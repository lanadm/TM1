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che\AppData\Local\Temp\"/>
    </mc:Choice>
  </mc:AlternateContent>
  <xr:revisionPtr revIDLastSave="0" documentId="8_{2ED31B09-E376-4DE3-BE25-94E656CC959F}" xr6:coauthVersionLast="47" xr6:coauthVersionMax="47" xr10:uidLastSave="{00000000-0000-0000-0000-000000000000}"/>
  <bookViews>
    <workbookView xWindow="1095" yWindow="945" windowWidth="34080" windowHeight="14055" firstSheet="1" activeTab="1" xr2:uid="{87CB796B-4FA9-4188-85B4-0D481E1508AD}"/>
  </bookViews>
  <sheets>
    <sheet name="Cognos_Office_Connection_Cache" sheetId="2" state="veryHidden" r:id="rId1"/>
    <sheet name="Main" sheetId="6" r:id="rId2"/>
    <sheet name="PO Detail" sheetId="5" r:id="rId3"/>
    <sheet name="12-Wk Forecast" sheetId="9" r:id="rId4"/>
  </sheets>
  <externalReferences>
    <externalReference r:id="rId5"/>
  </externalReferences>
  <definedNames>
    <definedName name="_xlnm._FilterDatabase" localSheetId="1" hidden="1">Main!$B$21:$CE$22</definedName>
    <definedName name="_xlnm._FilterDatabase" localSheetId="2" hidden="1">'PO Detail'!$A$24:$K$24</definedName>
    <definedName name="_xleta.IF" hidden="1" xlm="1">#NAME?</definedName>
    <definedName name="_xleta.YEAR" hidden="1" xlm="1">#NAME?</definedName>
    <definedName name="CurrentWeek">[1]Index!$C$7</definedName>
    <definedName name="CurrentYear">[1]Index!$C$4</definedName>
    <definedName name="CurrYear" hidden="1">#NAME?</definedName>
    <definedName name="DistributionCenter">Main!$D$18</definedName>
    <definedName name="ID" localSheetId="3" hidden="1">"2cb24908-0af0-47f5-a855-490915eaa5c4"</definedName>
    <definedName name="ID" localSheetId="0" hidden="1">"f765a3e8-fc39-4427-ad98-5cbe2ca6c05c"</definedName>
    <definedName name="ID" localSheetId="1" hidden="1">"dfeb3883-87f8-487a-b3a4-8b3225ecb6fd"</definedName>
    <definedName name="ID" localSheetId="2" hidden="1">"25a0eaed-fbb5-49b3-bf12-47fbc88a0b76"</definedName>
    <definedName name="ID_1" localSheetId="2" hidden="1">"62a73767-e10c-4082-b1cb-394223c61b17"</definedName>
    <definedName name="TM1RPTDATARNG1153905" localSheetId="3">'12-Wk Forecast'!$22:$137</definedName>
    <definedName name="TM1RPTDATARNG33279711" localSheetId="1">Main!$22:$206</definedName>
    <definedName name="TM1RPTDATARNG59776080" localSheetId="2">'PO Detail'!$25:$72</definedName>
    <definedName name="TM1RPTDATARNG59776080_1" localSheetId="2">'PO Detail'!$25:$25</definedName>
    <definedName name="TM1RPTFMTIDCOL1153905" localSheetId="3">'12-Wk Forecast'!$A$6:$A$15</definedName>
    <definedName name="TM1RPTFMTIDCOL33279711" localSheetId="1">Main!$A$3:$A$12</definedName>
    <definedName name="TM1RPTFMTIDCOL59776080" localSheetId="2">'PO Detail'!$A$7:$A$16</definedName>
    <definedName name="TM1RPTFMTRNG1153905" localSheetId="3">'12-Wk Forecast'!$D$6:$G$15</definedName>
    <definedName name="TM1RPTFMTRNG33279711" localSheetId="1">Main!$D$2:$AC$12</definedName>
    <definedName name="TM1RPTFMTRNG59776080" localSheetId="2">'PO Detail'!$B$7:$K$16</definedName>
    <definedName name="TM1RPTQRYRNG1153905" localSheetId="3">'12-Wk Forecast'!$D$16:$F$16</definedName>
    <definedName name="TM1RPTQRYRNG33279711" localSheetId="1">Main!$D$1:$F$1</definedName>
    <definedName name="TM1RPTQRYRNG59776080" localSheetId="2">'PO Detail'!$B$1:$H$1</definedName>
    <definedName name="TM1RPTVIEWRNG1153905" localSheetId="3">'12-Wk Forecast'!$A$1</definedName>
    <definedName name="TM1RPTVIEWRNG33279711" localSheetId="1">Main!$C$2</definedName>
    <definedName name="TM1RPTVIEWRNG59776080" localSheetId="2">'PO Detail'!$B$2</definedName>
    <definedName name="YEar" hidden="1">#NAME?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3" i="9" l="1"/>
  <c r="A23" i="9"/>
  <c r="B23" i="9"/>
  <c r="E56" i="5"/>
  <c r="E27" i="5"/>
  <c r="B125" i="9"/>
  <c r="B30" i="9"/>
  <c r="B85" i="9"/>
  <c r="C46" i="9"/>
  <c r="B130" i="9"/>
  <c r="C81" i="9"/>
  <c r="B90" i="9"/>
  <c r="C132" i="9"/>
  <c r="C34" i="9"/>
  <c r="B52" i="9"/>
  <c r="C60" i="9"/>
  <c r="B107" i="9"/>
  <c r="B89" i="9"/>
  <c r="B132" i="9"/>
  <c r="C31" i="9"/>
  <c r="C88" i="9"/>
  <c r="C98" i="9"/>
  <c r="E32" i="5"/>
  <c r="C137" i="9"/>
  <c r="E37" i="5"/>
  <c r="E31" i="5"/>
  <c r="C56" i="9"/>
  <c r="B129" i="9"/>
  <c r="B136" i="9"/>
  <c r="C121" i="9"/>
  <c r="C53" i="9"/>
  <c r="B49" i="9"/>
  <c r="C128" i="9"/>
  <c r="B92" i="9"/>
  <c r="B45" i="9"/>
  <c r="B135" i="9"/>
  <c r="E69" i="5"/>
  <c r="C102" i="9"/>
  <c r="B96" i="9"/>
  <c r="B56" i="9"/>
  <c r="B46" i="9"/>
  <c r="B103" i="9"/>
  <c r="C62" i="9"/>
  <c r="C71" i="9"/>
  <c r="C83" i="9"/>
  <c r="B66" i="9"/>
  <c r="C43" i="9"/>
  <c r="B26" i="9"/>
  <c r="C66" i="9"/>
  <c r="B63" i="9"/>
  <c r="E57" i="5"/>
  <c r="C123" i="9"/>
  <c r="C26" i="9"/>
  <c r="C29" i="9"/>
  <c r="C104" i="9"/>
  <c r="C64" i="9"/>
  <c r="B119" i="9"/>
  <c r="C69" i="9"/>
  <c r="C57" i="9"/>
  <c r="C108" i="9"/>
  <c r="B29" i="9"/>
  <c r="C99" i="9"/>
  <c r="C59" i="9"/>
  <c r="B112" i="9"/>
  <c r="B43" i="9"/>
  <c r="B94" i="9"/>
  <c r="C78" i="9"/>
  <c r="B122" i="9"/>
  <c r="C47" i="9"/>
  <c r="B44" i="9"/>
  <c r="C54" i="9"/>
  <c r="C45" i="9"/>
  <c r="B82" i="9"/>
  <c r="B37" i="9"/>
  <c r="C120" i="9"/>
  <c r="C80" i="9"/>
  <c r="C28" i="9"/>
  <c r="C115" i="9"/>
  <c r="C35" i="9"/>
  <c r="C75" i="9"/>
  <c r="C126" i="9"/>
  <c r="B128" i="9"/>
  <c r="C79" i="9"/>
  <c r="B100" i="9"/>
  <c r="B60" i="9"/>
  <c r="C106" i="9"/>
  <c r="B35" i="9"/>
  <c r="B86" i="9"/>
  <c r="C44" i="9"/>
  <c r="C30" i="9"/>
  <c r="C112" i="9"/>
  <c r="C72" i="9"/>
  <c r="C116" i="9"/>
  <c r="B87" i="9"/>
  <c r="B69" i="9"/>
  <c r="B73" i="9"/>
  <c r="B33" i="9"/>
  <c r="C118" i="9"/>
  <c r="E44" i="5"/>
  <c r="C111" i="9"/>
  <c r="B67" i="9"/>
  <c r="B106" i="9"/>
  <c r="B27" i="9"/>
  <c r="B61" i="9"/>
  <c r="C134" i="9"/>
  <c r="B133" i="9"/>
  <c r="B105" i="9"/>
  <c r="C97" i="9"/>
  <c r="B118" i="9"/>
  <c r="B78" i="9"/>
  <c r="B101" i="9"/>
  <c r="C36" i="9"/>
  <c r="B65" i="9"/>
  <c r="B72" i="9"/>
  <c r="B32" i="9"/>
  <c r="C110" i="9"/>
  <c r="C127" i="9"/>
  <c r="C87" i="9"/>
  <c r="B25" i="9"/>
  <c r="B68" i="9"/>
  <c r="B54" i="9"/>
  <c r="B39" i="9"/>
  <c r="B108" i="9"/>
  <c r="C114" i="9"/>
  <c r="C84" i="9"/>
  <c r="C42" i="9"/>
  <c r="B83" i="9"/>
  <c r="B134" i="9"/>
  <c r="C33" i="9"/>
  <c r="B42" i="9"/>
  <c r="B121" i="9"/>
  <c r="C38" i="9"/>
  <c r="C73" i="9"/>
  <c r="C124" i="9"/>
  <c r="B127" i="9"/>
  <c r="B84" i="9"/>
  <c r="C90" i="9"/>
  <c r="B95" i="9"/>
  <c r="B81" i="9"/>
  <c r="B124" i="9"/>
  <c r="B48" i="9"/>
  <c r="C130" i="9"/>
  <c r="C63" i="9"/>
  <c r="B58" i="9"/>
  <c r="B115" i="9"/>
  <c r="B104" i="9"/>
  <c r="B64" i="9"/>
  <c r="B24" i="9"/>
  <c r="C51" i="9"/>
  <c r="B114" i="9"/>
  <c r="B74" i="9"/>
  <c r="B34" i="9"/>
  <c r="C117" i="9"/>
  <c r="C119" i="9"/>
  <c r="C37" i="9"/>
  <c r="B126" i="9"/>
  <c r="C25" i="9"/>
  <c r="C65" i="9"/>
  <c r="B40" i="9"/>
  <c r="C27" i="9"/>
  <c r="B80" i="9"/>
  <c r="C67" i="9"/>
  <c r="B76" i="9"/>
  <c r="C122" i="9"/>
  <c r="E34" i="5"/>
  <c r="E52" i="5"/>
  <c r="C76" i="9"/>
  <c r="E42" i="5"/>
  <c r="E43" i="5"/>
  <c r="B36" i="9"/>
  <c r="C109" i="9"/>
  <c r="E68" i="5"/>
  <c r="E58" i="5"/>
  <c r="E61" i="5"/>
  <c r="E72" i="5"/>
  <c r="C82" i="9"/>
  <c r="C32" i="9"/>
  <c r="B50" i="9"/>
  <c r="E26" i="5"/>
  <c r="E48" i="5"/>
  <c r="C125" i="9"/>
  <c r="B123" i="9"/>
  <c r="B79" i="9"/>
  <c r="E39" i="5"/>
  <c r="E28" i="5"/>
  <c r="B117" i="9"/>
  <c r="C41" i="9"/>
  <c r="E60" i="5"/>
  <c r="E64" i="5"/>
  <c r="C48" i="9"/>
  <c r="E63" i="5"/>
  <c r="E41" i="5"/>
  <c r="C94" i="9"/>
  <c r="C52" i="9"/>
  <c r="C129" i="9"/>
  <c r="C113" i="9"/>
  <c r="B88" i="9"/>
  <c r="B41" i="9"/>
  <c r="E38" i="5"/>
  <c r="E49" i="5"/>
  <c r="B38" i="9"/>
  <c r="E70" i="5"/>
  <c r="E35" i="5"/>
  <c r="B137" i="9"/>
  <c r="C58" i="9"/>
  <c r="B71" i="9"/>
  <c r="C103" i="9"/>
  <c r="B59" i="9"/>
  <c r="C55" i="9"/>
  <c r="E53" i="5"/>
  <c r="E47" i="5"/>
  <c r="C68" i="9"/>
  <c r="C101" i="9"/>
  <c r="C85" i="9"/>
  <c r="B55" i="9"/>
  <c r="C89" i="9"/>
  <c r="B98" i="9"/>
  <c r="B110" i="9"/>
  <c r="B53" i="9"/>
  <c r="B70" i="9"/>
  <c r="B57" i="9"/>
  <c r="C136" i="9"/>
  <c r="C49" i="9"/>
  <c r="C96" i="9"/>
  <c r="C100" i="9"/>
  <c r="E51" i="5"/>
  <c r="E59" i="5"/>
  <c r="B28" i="9"/>
  <c r="B93" i="9"/>
  <c r="B77" i="9"/>
  <c r="C61" i="9"/>
  <c r="E62" i="5"/>
  <c r="E36" i="5"/>
  <c r="B111" i="9"/>
  <c r="C92" i="9"/>
  <c r="E55" i="5"/>
  <c r="E33" i="5"/>
  <c r="C74" i="9"/>
  <c r="C70" i="9"/>
  <c r="B99" i="9"/>
  <c r="C131" i="9"/>
  <c r="B31" i="9"/>
  <c r="C91" i="9"/>
  <c r="C39" i="9"/>
  <c r="B62" i="9"/>
  <c r="E67" i="5"/>
  <c r="E65" i="5"/>
  <c r="A2" i="9"/>
  <c r="B113" i="9"/>
  <c r="B97" i="9"/>
  <c r="B75" i="9"/>
  <c r="E54" i="5"/>
  <c r="E30" i="5"/>
  <c r="E71" i="5"/>
  <c r="E29" i="5"/>
  <c r="B109" i="9"/>
  <c r="C135" i="9"/>
  <c r="C77" i="9"/>
  <c r="C105" i="9"/>
  <c r="C24" i="9"/>
  <c r="E46" i="5"/>
  <c r="E66" i="5"/>
  <c r="C40" i="9"/>
  <c r="E50" i="5"/>
  <c r="E45" i="5"/>
  <c r="B131" i="9"/>
  <c r="C50" i="9"/>
  <c r="B120" i="9"/>
  <c r="C95" i="9"/>
  <c r="C107" i="9"/>
  <c r="B116" i="9"/>
  <c r="B102" i="9"/>
  <c r="E40" i="5"/>
  <c r="C133" i="9"/>
  <c r="C86" i="9"/>
  <c r="C93" i="9"/>
  <c r="B91" i="9"/>
  <c r="B47" i="9"/>
  <c r="B51" i="9"/>
  <c r="C188" i="6"/>
  <c r="C125" i="6"/>
  <c r="A54" i="5"/>
  <c r="C191" i="6"/>
  <c r="B56" i="6"/>
  <c r="B38" i="6"/>
  <c r="C153" i="6"/>
  <c r="B51" i="6"/>
  <c r="B159" i="6"/>
  <c r="B88" i="6"/>
  <c r="B179" i="6"/>
  <c r="B33" i="6"/>
  <c r="A45" i="5"/>
  <c r="B71" i="6"/>
  <c r="A43" i="9"/>
  <c r="A98" i="6"/>
  <c r="A132" i="9"/>
  <c r="A38" i="9"/>
  <c r="A89" i="6"/>
  <c r="A103" i="9"/>
  <c r="A115" i="6"/>
  <c r="A122" i="9"/>
  <c r="A32" i="6"/>
  <c r="A133" i="9"/>
  <c r="A66" i="9"/>
  <c r="A119" i="6"/>
  <c r="A26" i="9"/>
  <c r="A60" i="6"/>
  <c r="A67" i="9"/>
  <c r="A80" i="6"/>
  <c r="A37" i="6"/>
  <c r="A28" i="6"/>
  <c r="A118" i="6"/>
  <c r="A130" i="6"/>
  <c r="C169" i="6"/>
  <c r="C55" i="6"/>
  <c r="A59" i="5"/>
  <c r="B111" i="6"/>
  <c r="C176" i="6"/>
  <c r="C30" i="6"/>
  <c r="B158" i="6"/>
  <c r="C37" i="6"/>
  <c r="C39" i="6"/>
  <c r="B131" i="6"/>
  <c r="B182" i="6"/>
  <c r="C66" i="6"/>
  <c r="C56" i="6"/>
  <c r="A37" i="5"/>
  <c r="C126" i="6"/>
  <c r="A78" i="9"/>
  <c r="A117" i="6"/>
  <c r="A23" i="6"/>
  <c r="A81" i="9"/>
  <c r="A85" i="6"/>
  <c r="A38" i="6"/>
  <c r="A190" i="6"/>
  <c r="A93" i="6"/>
  <c r="A99" i="9"/>
  <c r="A165" i="6"/>
  <c r="A101" i="9"/>
  <c r="A29" i="6"/>
  <c r="B63" i="6"/>
  <c r="A131" i="6"/>
  <c r="C158" i="6"/>
  <c r="C77" i="6"/>
  <c r="B196" i="6"/>
  <c r="B86" i="6"/>
  <c r="C189" i="6"/>
  <c r="B194" i="6"/>
  <c r="B120" i="6"/>
  <c r="C192" i="6"/>
  <c r="B130" i="6"/>
  <c r="C60" i="6"/>
  <c r="B79" i="6"/>
  <c r="B184" i="6"/>
  <c r="A43" i="5"/>
  <c r="C175" i="6"/>
  <c r="B47" i="6"/>
  <c r="A121" i="9"/>
  <c r="A45" i="6"/>
  <c r="A95" i="6"/>
  <c r="A116" i="9"/>
  <c r="A90" i="6"/>
  <c r="A193" i="6"/>
  <c r="A101" i="6"/>
  <c r="A203" i="6"/>
  <c r="A189" i="6"/>
  <c r="A134" i="9"/>
  <c r="A172" i="6"/>
  <c r="A73" i="6"/>
  <c r="A47" i="6"/>
  <c r="A61" i="6"/>
  <c r="A48" i="9"/>
  <c r="A122" i="6"/>
  <c r="C63" i="6"/>
  <c r="C200" i="6"/>
  <c r="A25" i="5"/>
  <c r="C173" i="6"/>
  <c r="C164" i="6"/>
  <c r="B80" i="6"/>
  <c r="C171" i="6"/>
  <c r="B205" i="6"/>
  <c r="B30" i="6"/>
  <c r="C35" i="6"/>
  <c r="C113" i="6"/>
  <c r="C114" i="6"/>
  <c r="C127" i="6"/>
  <c r="C98" i="6"/>
  <c r="B104" i="6"/>
  <c r="B67" i="6"/>
  <c r="C32" i="6"/>
  <c r="C24" i="6"/>
  <c r="A35" i="6"/>
  <c r="A145" i="6"/>
  <c r="A45" i="9"/>
  <c r="A127" i="9"/>
  <c r="A169" i="6"/>
  <c r="A100" i="6"/>
  <c r="A188" i="6"/>
  <c r="A154" i="6"/>
  <c r="A185" i="6"/>
  <c r="A31" i="9"/>
  <c r="A117" i="9"/>
  <c r="A102" i="9"/>
  <c r="A124" i="6"/>
  <c r="A118" i="9"/>
  <c r="A112" i="9"/>
  <c r="A197" i="6"/>
  <c r="A71" i="9"/>
  <c r="A98" i="9"/>
  <c r="A109" i="6"/>
  <c r="A87" i="9"/>
  <c r="A71" i="5"/>
  <c r="C190" i="6"/>
  <c r="C80" i="6"/>
  <c r="C199" i="6"/>
  <c r="B43" i="6"/>
  <c r="C122" i="6"/>
  <c r="B172" i="6"/>
  <c r="B45" i="6"/>
  <c r="B123" i="6"/>
  <c r="B84" i="6"/>
  <c r="C145" i="6"/>
  <c r="B169" i="6"/>
  <c r="B122" i="6"/>
  <c r="B201" i="6"/>
  <c r="B140" i="6"/>
  <c r="B66" i="6"/>
  <c r="C81" i="6"/>
  <c r="C162" i="6"/>
  <c r="B36" i="6"/>
  <c r="A25" i="6"/>
  <c r="A200" i="6"/>
  <c r="A96" i="9"/>
  <c r="A116" i="6"/>
  <c r="A72" i="9"/>
  <c r="A79" i="6"/>
  <c r="A65" i="6"/>
  <c r="A32" i="9"/>
  <c r="A123" i="9"/>
  <c r="A74" i="9"/>
  <c r="A83" i="9"/>
  <c r="A58" i="9"/>
  <c r="C138" i="6"/>
  <c r="A70" i="5"/>
  <c r="B164" i="6"/>
  <c r="C46" i="6"/>
  <c r="C93" i="6"/>
  <c r="A46" i="5"/>
  <c r="A41" i="5"/>
  <c r="B134" i="6"/>
  <c r="C160" i="6"/>
  <c r="B26" i="6"/>
  <c r="B113" i="6"/>
  <c r="B87" i="6"/>
  <c r="B124" i="6"/>
  <c r="B195" i="6"/>
  <c r="B99" i="6"/>
  <c r="C154" i="6"/>
  <c r="B23" i="6"/>
  <c r="C45" i="6"/>
  <c r="B106" i="6"/>
  <c r="B44" i="6"/>
  <c r="A114" i="6"/>
  <c r="A155" i="6"/>
  <c r="A46" i="9"/>
  <c r="A25" i="9"/>
  <c r="A163" i="6"/>
  <c r="A196" i="6"/>
  <c r="A61" i="5"/>
  <c r="A69" i="5"/>
  <c r="C86" i="6"/>
  <c r="C36" i="6"/>
  <c r="C168" i="6"/>
  <c r="B115" i="6"/>
  <c r="A53" i="6"/>
  <c r="A59" i="9"/>
  <c r="A26" i="5"/>
  <c r="C100" i="6"/>
  <c r="B60" i="6"/>
  <c r="B73" i="6"/>
  <c r="C118" i="6"/>
  <c r="B61" i="6"/>
  <c r="B143" i="6"/>
  <c r="C111" i="6"/>
  <c r="B101" i="6"/>
  <c r="B125" i="6"/>
  <c r="B138" i="6"/>
  <c r="A60" i="5"/>
  <c r="A29" i="5"/>
  <c r="C202" i="6"/>
  <c r="B204" i="6"/>
  <c r="B57" i="6"/>
  <c r="C107" i="6"/>
  <c r="C28" i="6"/>
  <c r="B49" i="6"/>
  <c r="B41" i="6"/>
  <c r="A57" i="6"/>
  <c r="A61" i="9"/>
  <c r="A89" i="9"/>
  <c r="A198" i="6"/>
  <c r="A100" i="9"/>
  <c r="A76" i="6"/>
  <c r="A77" i="6"/>
  <c r="A60" i="9"/>
  <c r="A55" i="9"/>
  <c r="A171" i="6"/>
  <c r="A178" i="6"/>
  <c r="B177" i="6"/>
  <c r="B28" i="6"/>
  <c r="B206" i="6"/>
  <c r="C140" i="6"/>
  <c r="C141" i="6"/>
  <c r="A44" i="5"/>
  <c r="B77" i="6"/>
  <c r="C85" i="6"/>
  <c r="C146" i="6"/>
  <c r="C92" i="6"/>
  <c r="B53" i="6"/>
  <c r="A47" i="5"/>
  <c r="A192" i="6"/>
  <c r="A82" i="9"/>
  <c r="A27" i="5"/>
  <c r="C82" i="6"/>
  <c r="B50" i="6"/>
  <c r="B121" i="6"/>
  <c r="C104" i="6"/>
  <c r="C43" i="6"/>
  <c r="C61" i="6"/>
  <c r="C79" i="6"/>
  <c r="B161" i="6"/>
  <c r="C40" i="6"/>
  <c r="C112" i="6"/>
  <c r="B37" i="6"/>
  <c r="B152" i="6"/>
  <c r="B170" i="6"/>
  <c r="A40" i="5"/>
  <c r="C150" i="6"/>
  <c r="B167" i="6"/>
  <c r="C163" i="6"/>
  <c r="B100" i="6"/>
  <c r="C201" i="6"/>
  <c r="C196" i="6"/>
  <c r="A175" i="6"/>
  <c r="A27" i="9"/>
  <c r="A135" i="9"/>
  <c r="A113" i="6"/>
  <c r="A56" i="6"/>
  <c r="A160" i="6"/>
  <c r="A114" i="9"/>
  <c r="A93" i="9"/>
  <c r="A62" i="6"/>
  <c r="C96" i="6"/>
  <c r="B107" i="6"/>
  <c r="B112" i="6"/>
  <c r="B191" i="6"/>
  <c r="C76" i="6"/>
  <c r="B180" i="6"/>
  <c r="C83" i="6"/>
  <c r="B171" i="6"/>
  <c r="B136" i="6"/>
  <c r="B175" i="6"/>
  <c r="A72" i="5"/>
  <c r="C53" i="6"/>
  <c r="C128" i="6"/>
  <c r="B105" i="6"/>
  <c r="B58" i="6"/>
  <c r="B48" i="6"/>
  <c r="C109" i="6"/>
  <c r="A87" i="6"/>
  <c r="A62" i="9"/>
  <c r="A177" i="6"/>
  <c r="A126" i="6"/>
  <c r="A68" i="6"/>
  <c r="A58" i="6"/>
  <c r="A76" i="9"/>
  <c r="A63" i="5"/>
  <c r="B40" i="6"/>
  <c r="B24" i="6"/>
  <c r="B151" i="6"/>
  <c r="A50" i="5"/>
  <c r="B78" i="6"/>
  <c r="C110" i="6"/>
  <c r="C178" i="6"/>
  <c r="B114" i="6"/>
  <c r="C205" i="6"/>
  <c r="B132" i="6"/>
  <c r="B81" i="6"/>
  <c r="C186" i="6"/>
  <c r="C72" i="6"/>
  <c r="B199" i="6"/>
  <c r="C129" i="6"/>
  <c r="A103" i="6"/>
  <c r="A105" i="9"/>
  <c r="A105" i="6"/>
  <c r="A29" i="9"/>
  <c r="B32" i="6"/>
  <c r="B160" i="6"/>
  <c r="B193" i="6"/>
  <c r="C68" i="6"/>
  <c r="C161" i="6"/>
  <c r="B95" i="6"/>
  <c r="B153" i="6"/>
  <c r="C69" i="6"/>
  <c r="B129" i="6"/>
  <c r="B186" i="6"/>
  <c r="B31" i="6"/>
  <c r="B74" i="6"/>
  <c r="B174" i="6"/>
  <c r="B198" i="6"/>
  <c r="C130" i="6"/>
  <c r="C134" i="6"/>
  <c r="C157" i="6"/>
  <c r="C41" i="6"/>
  <c r="A147" i="6"/>
  <c r="A27" i="6"/>
  <c r="A164" i="6"/>
  <c r="A80" i="9"/>
  <c r="A71" i="6"/>
  <c r="A181" i="6"/>
  <c r="A130" i="9"/>
  <c r="A50" i="6"/>
  <c r="A115" i="9"/>
  <c r="A159" i="6"/>
  <c r="A109" i="9"/>
  <c r="A94" i="9"/>
  <c r="A137" i="9"/>
  <c r="A161" i="6"/>
  <c r="A34" i="9"/>
  <c r="B133" i="6"/>
  <c r="B118" i="6"/>
  <c r="B72" i="6"/>
  <c r="C167" i="6"/>
  <c r="B150" i="6"/>
  <c r="B89" i="6"/>
  <c r="C119" i="6"/>
  <c r="B200" i="6"/>
  <c r="C65" i="6"/>
  <c r="B162" i="6"/>
  <c r="C50" i="6"/>
  <c r="C99" i="6"/>
  <c r="C121" i="6"/>
  <c r="C42" i="6"/>
  <c r="B145" i="6"/>
  <c r="B91" i="6"/>
  <c r="C124" i="6"/>
  <c r="C155" i="6"/>
  <c r="A143" i="6"/>
  <c r="A97" i="6"/>
  <c r="A170" i="6"/>
  <c r="A30" i="9"/>
  <c r="A42" i="6"/>
  <c r="A102" i="6"/>
  <c r="A135" i="6"/>
  <c r="A59" i="6"/>
  <c r="A36" i="9"/>
  <c r="A112" i="6"/>
  <c r="A75" i="9"/>
  <c r="A158" i="6"/>
  <c r="A110" i="9"/>
  <c r="A202" i="6"/>
  <c r="C174" i="6"/>
  <c r="B178" i="6"/>
  <c r="B110" i="6"/>
  <c r="A62" i="5"/>
  <c r="B144" i="6"/>
  <c r="B168" i="6"/>
  <c r="B65" i="6"/>
  <c r="C70" i="6"/>
  <c r="B137" i="6"/>
  <c r="A68" i="5"/>
  <c r="B142" i="6"/>
  <c r="C120" i="6"/>
  <c r="C165" i="6"/>
  <c r="B62" i="6"/>
  <c r="C95" i="6"/>
  <c r="C91" i="6"/>
  <c r="A180" i="6"/>
  <c r="A141" i="6"/>
  <c r="A67" i="6"/>
  <c r="A73" i="9"/>
  <c r="A72" i="6"/>
  <c r="A26" i="6"/>
  <c r="A120" i="6"/>
  <c r="A47" i="9"/>
  <c r="B202" i="6"/>
  <c r="C143" i="6"/>
  <c r="C148" i="6"/>
  <c r="C170" i="6"/>
  <c r="D18" i="6"/>
  <c r="A30" i="5"/>
  <c r="A65" i="5"/>
  <c r="B108" i="6"/>
  <c r="B163" i="6"/>
  <c r="B147" i="6"/>
  <c r="B183" i="6"/>
  <c r="C48" i="6"/>
  <c r="C197" i="6"/>
  <c r="B156" i="6"/>
  <c r="B76" i="6"/>
  <c r="C58" i="6"/>
  <c r="B96" i="6"/>
  <c r="C94" i="6"/>
  <c r="A69" i="9"/>
  <c r="A99" i="6"/>
  <c r="A74" i="6"/>
  <c r="A108" i="9"/>
  <c r="A22" i="9"/>
  <c r="A24" i="6"/>
  <c r="A121" i="6"/>
  <c r="A137" i="6"/>
  <c r="A90" i="9"/>
  <c r="A138" i="6"/>
  <c r="A50" i="9"/>
  <c r="C87" i="6"/>
  <c r="C116" i="6"/>
  <c r="C204" i="6"/>
  <c r="B93" i="6"/>
  <c r="C29" i="6"/>
  <c r="A36" i="5"/>
  <c r="C179" i="6"/>
  <c r="B69" i="6"/>
  <c r="C27" i="6"/>
  <c r="C133" i="6"/>
  <c r="B90" i="6"/>
  <c r="C203" i="6"/>
  <c r="C166" i="6"/>
  <c r="B119" i="6"/>
  <c r="C183" i="6"/>
  <c r="C59" i="6"/>
  <c r="B141" i="6"/>
  <c r="C75" i="6"/>
  <c r="A120" i="9"/>
  <c r="A69" i="6"/>
  <c r="A128" i="6"/>
  <c r="A119" i="9"/>
  <c r="A134" i="6"/>
  <c r="A199" i="6"/>
  <c r="A206" i="6"/>
  <c r="A201" i="6"/>
  <c r="A107" i="9"/>
  <c r="A43" i="6"/>
  <c r="A205" i="6"/>
  <c r="A111" i="6"/>
  <c r="A39" i="9"/>
  <c r="A194" i="6"/>
  <c r="C144" i="6"/>
  <c r="C74" i="6"/>
  <c r="C156" i="6"/>
  <c r="B155" i="6"/>
  <c r="B165" i="6"/>
  <c r="C101" i="6"/>
  <c r="C159" i="6"/>
  <c r="B190" i="6"/>
  <c r="C147" i="6"/>
  <c r="B35" i="6"/>
  <c r="B149" i="6"/>
  <c r="C67" i="6"/>
  <c r="A66" i="5"/>
  <c r="A51" i="5"/>
  <c r="C103" i="6"/>
  <c r="A52" i="5"/>
  <c r="C177" i="6"/>
  <c r="B157" i="6"/>
  <c r="A35" i="9"/>
  <c r="A182" i="6"/>
  <c r="A52" i="6"/>
  <c r="A63" i="6"/>
  <c r="A149" i="6"/>
  <c r="A56" i="9"/>
  <c r="A91" i="6"/>
  <c r="A162" i="6"/>
  <c r="A28" i="9"/>
  <c r="A125" i="6"/>
  <c r="A148" i="6"/>
  <c r="A82" i="6"/>
  <c r="A46" i="6"/>
  <c r="A204" i="6"/>
  <c r="C102" i="6"/>
  <c r="C149" i="6"/>
  <c r="C117" i="6"/>
  <c r="B85" i="6"/>
  <c r="C108" i="6"/>
  <c r="C38" i="6"/>
  <c r="B187" i="6"/>
  <c r="B102" i="6"/>
  <c r="B128" i="6"/>
  <c r="A53" i="5"/>
  <c r="C152" i="6"/>
  <c r="C88" i="6"/>
  <c r="C193" i="6"/>
  <c r="A33" i="5"/>
  <c r="A39" i="5"/>
  <c r="B127" i="6"/>
  <c r="B176" i="6"/>
  <c r="B92" i="6"/>
  <c r="A70" i="9"/>
  <c r="A152" i="6"/>
  <c r="A129" i="6"/>
  <c r="A107" i="6"/>
  <c r="A83" i="6"/>
  <c r="A49" i="9"/>
  <c r="A133" i="6"/>
  <c r="C182" i="6"/>
  <c r="B203" i="6"/>
  <c r="C135" i="6"/>
  <c r="C131" i="6"/>
  <c r="B42" i="6"/>
  <c r="C26" i="6"/>
  <c r="B34" i="6"/>
  <c r="B154" i="6"/>
  <c r="C105" i="6"/>
  <c r="B185" i="6"/>
  <c r="B126" i="6"/>
  <c r="B82" i="6"/>
  <c r="B27" i="6"/>
  <c r="C44" i="6"/>
  <c r="B109" i="6"/>
  <c r="A56" i="5"/>
  <c r="B64" i="6"/>
  <c r="C142" i="6"/>
  <c r="A113" i="9"/>
  <c r="A49" i="6"/>
  <c r="A156" i="6"/>
  <c r="A173" i="6"/>
  <c r="A64" i="6"/>
  <c r="A84" i="9"/>
  <c r="A86" i="6"/>
  <c r="A24" i="9"/>
  <c r="C89" i="6"/>
  <c r="B192" i="6"/>
  <c r="A57" i="5"/>
  <c r="B117" i="6"/>
  <c r="C33" i="6"/>
  <c r="B59" i="6"/>
  <c r="B29" i="6"/>
  <c r="B25" i="6"/>
  <c r="A35" i="5"/>
  <c r="B166" i="6"/>
  <c r="C187" i="6"/>
  <c r="B83" i="6"/>
  <c r="C47" i="6"/>
  <c r="C123" i="6"/>
  <c r="B189" i="6"/>
  <c r="B39" i="6"/>
  <c r="C78" i="6"/>
  <c r="C198" i="6"/>
  <c r="A31" i="6"/>
  <c r="A150" i="6"/>
  <c r="A104" i="6"/>
  <c r="A40" i="6"/>
  <c r="A41" i="6"/>
  <c r="A95" i="9"/>
  <c r="A167" i="6"/>
  <c r="A131" i="9"/>
  <c r="C57" i="6"/>
  <c r="A42" i="5"/>
  <c r="C64" i="6"/>
  <c r="B54" i="6"/>
  <c r="C62" i="6"/>
  <c r="B188" i="6"/>
  <c r="C34" i="6"/>
  <c r="C194" i="6"/>
  <c r="B68" i="6"/>
  <c r="C49" i="6"/>
  <c r="C23" i="6"/>
  <c r="C206" i="6"/>
  <c r="B52" i="6"/>
  <c r="A32" i="5"/>
  <c r="B139" i="6"/>
  <c r="A55" i="5"/>
  <c r="C137" i="6"/>
  <c r="A67" i="5"/>
  <c r="A54" i="6"/>
  <c r="A53" i="9"/>
  <c r="A84" i="6"/>
  <c r="A55" i="6"/>
  <c r="A81" i="6"/>
  <c r="A96" i="6"/>
  <c r="A40" i="9"/>
  <c r="A52" i="9"/>
  <c r="A174" i="6"/>
  <c r="A184" i="6"/>
  <c r="A127" i="6"/>
  <c r="A136" i="9"/>
  <c r="A41" i="9"/>
  <c r="A30" i="6"/>
  <c r="A153" i="6"/>
  <c r="A36" i="6"/>
  <c r="A106" i="6"/>
  <c r="A33" i="6"/>
  <c r="A142" i="6"/>
  <c r="A28" i="5"/>
  <c r="C172" i="6"/>
  <c r="B70" i="6"/>
  <c r="B46" i="6"/>
  <c r="C184" i="6"/>
  <c r="C51" i="6"/>
  <c r="C25" i="6"/>
  <c r="C106" i="6"/>
  <c r="C97" i="6"/>
  <c r="C185" i="6"/>
  <c r="C52" i="6"/>
  <c r="C90" i="6"/>
  <c r="A64" i="5"/>
  <c r="A34" i="5"/>
  <c r="B97" i="6"/>
  <c r="D17" i="6"/>
  <c r="A75" i="6"/>
  <c r="A104" i="9"/>
  <c r="A136" i="6"/>
  <c r="A187" i="6"/>
  <c r="A64" i="9"/>
  <c r="A108" i="6"/>
  <c r="A33" i="9"/>
  <c r="A63" i="9"/>
  <c r="A168" i="6"/>
  <c r="A125" i="9"/>
  <c r="A195" i="6"/>
  <c r="A51" i="9"/>
  <c r="A68" i="9"/>
  <c r="A106" i="9"/>
  <c r="A151" i="6"/>
  <c r="A91" i="9"/>
  <c r="A139" i="6"/>
  <c r="A86" i="9"/>
  <c r="A92" i="9"/>
  <c r="A140" i="6"/>
  <c r="A39" i="6"/>
  <c r="A92" i="6"/>
  <c r="A65" i="9"/>
  <c r="A48" i="6"/>
  <c r="A44" i="6"/>
  <c r="C71" i="6"/>
  <c r="A191" i="6"/>
  <c r="A146" i="6"/>
  <c r="A179" i="6"/>
  <c r="A110" i="6"/>
  <c r="A78" i="6"/>
  <c r="C132" i="6"/>
  <c r="B75" i="6"/>
  <c r="A49" i="5"/>
  <c r="C180" i="6"/>
  <c r="B146" i="6"/>
  <c r="C115" i="6"/>
  <c r="B94" i="6"/>
  <c r="B173" i="6"/>
  <c r="C139" i="6"/>
  <c r="C195" i="6"/>
  <c r="C84" i="6"/>
  <c r="A48" i="5"/>
  <c r="B98" i="6"/>
  <c r="B181" i="6"/>
  <c r="A77" i="9"/>
  <c r="A94" i="6"/>
  <c r="A54" i="9"/>
  <c r="A37" i="9"/>
  <c r="A186" i="6"/>
  <c r="A57" i="9"/>
  <c r="A166" i="6"/>
  <c r="A88" i="6"/>
  <c r="A34" i="6"/>
  <c r="A126" i="9"/>
  <c r="A123" i="6"/>
  <c r="A129" i="9"/>
  <c r="A51" i="6"/>
  <c r="A183" i="6"/>
  <c r="A132" i="6"/>
  <c r="A157" i="6"/>
  <c r="A85" i="9"/>
  <c r="C54" i="6"/>
  <c r="A38" i="5"/>
  <c r="A58" i="5"/>
  <c r="B148" i="6"/>
  <c r="C151" i="6"/>
  <c r="B116" i="6"/>
  <c r="B103" i="6"/>
  <c r="C181" i="6"/>
  <c r="C31" i="6"/>
  <c r="C136" i="6"/>
  <c r="B197" i="6"/>
  <c r="B135" i="6"/>
  <c r="A31" i="5"/>
  <c r="C73" i="6"/>
  <c r="B55" i="6"/>
  <c r="A128" i="9"/>
  <c r="A176" i="6"/>
  <c r="A97" i="9"/>
  <c r="A88" i="9"/>
  <c r="A70" i="6"/>
  <c r="A79" i="9"/>
  <c r="A42" i="9"/>
  <c r="A144" i="6"/>
  <c r="A44" i="9"/>
  <c r="A124" i="9"/>
  <c r="A111" i="9"/>
  <c r="A66" i="6"/>
  <c r="A3" i="9" l="1"/>
  <c r="G3" i="9" s="1"/>
  <c r="CE21" i="6"/>
  <c r="BY21" i="6"/>
  <c r="BS21" i="6"/>
  <c r="BM21" i="6"/>
  <c r="BG21" i="6"/>
  <c r="BA21" i="6"/>
  <c r="AU21" i="6"/>
  <c r="AO21" i="6"/>
  <c r="AI21" i="6"/>
  <c r="AC21" i="6"/>
  <c r="W21" i="6"/>
  <c r="Q21" i="6"/>
  <c r="M21" i="6"/>
  <c r="L21" i="6"/>
  <c r="C4" i="5"/>
  <c r="D3" i="6"/>
  <c r="A22" i="6"/>
  <c r="D16" i="6"/>
  <c r="C2" i="6" s="1"/>
  <c r="E22" i="6"/>
  <c r="D22" i="6"/>
  <c r="A4" i="9" l="1"/>
  <c r="G2" i="9" s="1"/>
  <c r="G19" i="9" s="1"/>
  <c r="H3" i="9"/>
  <c r="H20" i="9" s="1"/>
  <c r="G20" i="9"/>
  <c r="D17" i="9"/>
  <c r="C20" i="5"/>
  <c r="J2" i="6"/>
  <c r="J1" i="6"/>
  <c r="F22" i="6"/>
  <c r="P22" i="6" s="1"/>
  <c r="N36" i="6"/>
  <c r="N25" i="6"/>
  <c r="Q24" i="6"/>
  <c r="J31" i="6"/>
  <c r="K24" i="6"/>
  <c r="P27" i="6"/>
  <c r="K36" i="6"/>
  <c r="O31" i="6"/>
  <c r="J26" i="6"/>
  <c r="L29" i="6"/>
  <c r="P23" i="6"/>
  <c r="P25" i="6"/>
  <c r="Q28" i="6"/>
  <c r="L30" i="6"/>
  <c r="K28" i="6"/>
  <c r="P26" i="6"/>
  <c r="Q30" i="6"/>
  <c r="Q31" i="6"/>
  <c r="J30" i="6"/>
  <c r="K27" i="6"/>
  <c r="Q25" i="6"/>
  <c r="K35" i="6"/>
  <c r="J35" i="6"/>
  <c r="J24" i="6"/>
  <c r="L31" i="6"/>
  <c r="P24" i="6"/>
  <c r="J25" i="6"/>
  <c r="O25" i="6"/>
  <c r="J27" i="6"/>
  <c r="N28" i="6"/>
  <c r="N33" i="6"/>
  <c r="Q26" i="6"/>
  <c r="O34" i="6"/>
  <c r="J23" i="6"/>
  <c r="M32" i="6"/>
  <c r="M34" i="6"/>
  <c r="J33" i="6"/>
  <c r="P36" i="6"/>
  <c r="Q33" i="6"/>
  <c r="L27" i="6"/>
  <c r="M33" i="6"/>
  <c r="M31" i="6"/>
  <c r="O29" i="6"/>
  <c r="O28" i="6"/>
  <c r="M36" i="6"/>
  <c r="K29" i="6"/>
  <c r="P34" i="6"/>
  <c r="P29" i="6"/>
  <c r="O26" i="6"/>
  <c r="M28" i="6"/>
  <c r="Q23" i="6"/>
  <c r="O23" i="6"/>
  <c r="P30" i="6"/>
  <c r="M27" i="6"/>
  <c r="P28" i="6"/>
  <c r="M24" i="6"/>
  <c r="O35" i="6"/>
  <c r="O32" i="6"/>
  <c r="N30" i="6"/>
  <c r="O24" i="6"/>
  <c r="K31" i="6"/>
  <c r="J28" i="6"/>
  <c r="L28" i="6"/>
  <c r="J29" i="6"/>
  <c r="K30" i="6"/>
  <c r="M26" i="6"/>
  <c r="L25" i="6"/>
  <c r="K25" i="6"/>
  <c r="P33" i="6"/>
  <c r="N35" i="6"/>
  <c r="M25" i="6"/>
  <c r="O33" i="6"/>
  <c r="L35" i="6"/>
  <c r="L33" i="6"/>
  <c r="L26" i="6"/>
  <c r="K26" i="6"/>
  <c r="K32" i="6"/>
  <c r="O36" i="6"/>
  <c r="Q36" i="6"/>
  <c r="N32" i="6"/>
  <c r="L34" i="6"/>
  <c r="N31" i="6"/>
  <c r="L32" i="6"/>
  <c r="Q29" i="6"/>
  <c r="N23" i="6"/>
  <c r="Q32" i="6"/>
  <c r="N24" i="6"/>
  <c r="K23" i="6"/>
  <c r="Q34" i="6"/>
  <c r="N27" i="6"/>
  <c r="P31" i="6"/>
  <c r="Q27" i="6"/>
  <c r="M35" i="6"/>
  <c r="N26" i="6"/>
  <c r="O30" i="6"/>
  <c r="M29" i="6"/>
  <c r="Q35" i="6"/>
  <c r="J36" i="6"/>
  <c r="L36" i="6"/>
  <c r="L23" i="6"/>
  <c r="P35" i="6"/>
  <c r="J32" i="6"/>
  <c r="P32" i="6"/>
  <c r="J34" i="6"/>
  <c r="M30" i="6"/>
  <c r="N34" i="6"/>
  <c r="K33" i="6"/>
  <c r="N29" i="6"/>
  <c r="L24" i="6"/>
  <c r="O27" i="6"/>
  <c r="M23" i="6"/>
  <c r="K34" i="6"/>
  <c r="H2" i="9" l="1"/>
  <c r="I3" i="9"/>
  <c r="I20" i="9" s="1"/>
  <c r="J19" i="6"/>
  <c r="G1" i="6"/>
  <c r="G19" i="6" s="1"/>
  <c r="J20" i="6"/>
  <c r="R2" i="6"/>
  <c r="G2" i="6"/>
  <c r="G20" i="6" s="1"/>
  <c r="O76" i="6"/>
  <c r="J89" i="6"/>
  <c r="O199" i="6"/>
  <c r="M103" i="6"/>
  <c r="Q123" i="6"/>
  <c r="G158" i="6"/>
  <c r="P197" i="6"/>
  <c r="N186" i="6"/>
  <c r="J118" i="6"/>
  <c r="K52" i="6"/>
  <c r="N157" i="6"/>
  <c r="J115" i="6"/>
  <c r="M199" i="6"/>
  <c r="N129" i="6"/>
  <c r="K205" i="6"/>
  <c r="Q181" i="6"/>
  <c r="J168" i="6"/>
  <c r="O156" i="6"/>
  <c r="M79" i="6"/>
  <c r="N185" i="6"/>
  <c r="O121" i="6"/>
  <c r="J203" i="6"/>
  <c r="L88" i="6"/>
  <c r="M106" i="6"/>
  <c r="Q125" i="6"/>
  <c r="Q117" i="6"/>
  <c r="G170" i="6"/>
  <c r="Q202" i="6"/>
  <c r="P196" i="6"/>
  <c r="Q149" i="6"/>
  <c r="L44" i="6"/>
  <c r="O192" i="6"/>
  <c r="J175" i="6"/>
  <c r="O164" i="6"/>
  <c r="G23" i="6"/>
  <c r="P140" i="6"/>
  <c r="J177" i="6"/>
  <c r="L181" i="6"/>
  <c r="P80" i="6"/>
  <c r="M54" i="6"/>
  <c r="M37" i="6"/>
  <c r="N54" i="6"/>
  <c r="Q136" i="6"/>
  <c r="L80" i="6"/>
  <c r="Q42" i="6"/>
  <c r="N94" i="6"/>
  <c r="K191" i="6"/>
  <c r="O47" i="6"/>
  <c r="K127" i="6"/>
  <c r="M150" i="6"/>
  <c r="Q48" i="6"/>
  <c r="G96" i="6"/>
  <c r="K76" i="6"/>
  <c r="O175" i="6"/>
  <c r="P183" i="6"/>
  <c r="K157" i="6"/>
  <c r="O114" i="6"/>
  <c r="L100" i="6"/>
  <c r="G38" i="6"/>
  <c r="K184" i="6"/>
  <c r="Q189" i="6"/>
  <c r="G91" i="6"/>
  <c r="Q172" i="6"/>
  <c r="O39" i="6"/>
  <c r="Q56" i="6"/>
  <c r="L78" i="6"/>
  <c r="J40" i="6"/>
  <c r="M191" i="6"/>
  <c r="G166" i="6"/>
  <c r="J182" i="6"/>
  <c r="O153" i="6"/>
  <c r="G108" i="6"/>
  <c r="P170" i="6"/>
  <c r="M70" i="6"/>
  <c r="L43" i="6"/>
  <c r="M84" i="6"/>
  <c r="L99" i="6"/>
  <c r="Q196" i="6"/>
  <c r="L148" i="6"/>
  <c r="L82" i="6"/>
  <c r="P120" i="6"/>
  <c r="K153" i="6"/>
  <c r="P171" i="6"/>
  <c r="J51" i="6"/>
  <c r="K143" i="6"/>
  <c r="N76" i="6"/>
  <c r="K130" i="6"/>
  <c r="K51" i="6"/>
  <c r="N126" i="6"/>
  <c r="J184" i="6"/>
  <c r="P149" i="6"/>
  <c r="L55" i="6"/>
  <c r="G104" i="6"/>
  <c r="O67" i="6"/>
  <c r="N63" i="6"/>
  <c r="Q85" i="6"/>
  <c r="N50" i="6"/>
  <c r="J113" i="6"/>
  <c r="K118" i="6"/>
  <c r="L130" i="6"/>
  <c r="O132" i="6"/>
  <c r="J65" i="6"/>
  <c r="O86" i="6"/>
  <c r="N144" i="6"/>
  <c r="L47" i="6"/>
  <c r="K55" i="6"/>
  <c r="K61" i="6"/>
  <c r="P77" i="6"/>
  <c r="K172" i="6"/>
  <c r="N51" i="6"/>
  <c r="G206" i="6"/>
  <c r="K107" i="6"/>
  <c r="L198" i="6"/>
  <c r="Q62" i="6"/>
  <c r="J45" i="6"/>
  <c r="J78" i="6"/>
  <c r="P153" i="6"/>
  <c r="G57" i="6"/>
  <c r="P72" i="6"/>
  <c r="L96" i="6"/>
  <c r="M76" i="6"/>
  <c r="M40" i="6"/>
  <c r="Q61" i="6"/>
  <c r="G147" i="6"/>
  <c r="M153" i="6"/>
  <c r="G160" i="6"/>
  <c r="J87" i="6"/>
  <c r="J180" i="6"/>
  <c r="M104" i="6"/>
  <c r="O152" i="6"/>
  <c r="K195" i="6"/>
  <c r="G105" i="6"/>
  <c r="L38" i="6"/>
  <c r="L196" i="6"/>
  <c r="G143" i="6"/>
  <c r="L85" i="6"/>
  <c r="Q178" i="6"/>
  <c r="P62" i="6"/>
  <c r="P48" i="6"/>
  <c r="K89" i="6"/>
  <c r="L61" i="6"/>
  <c r="J121" i="6"/>
  <c r="P130" i="6"/>
  <c r="L163" i="6"/>
  <c r="O189" i="6"/>
  <c r="N191" i="6"/>
  <c r="P89" i="6"/>
  <c r="N130" i="6"/>
  <c r="M181" i="6"/>
  <c r="J67" i="6"/>
  <c r="P194" i="6"/>
  <c r="Q139" i="6"/>
  <c r="K22" i="6"/>
  <c r="P125" i="6"/>
  <c r="M62" i="6"/>
  <c r="P57" i="6"/>
  <c r="M44" i="6"/>
  <c r="O41" i="6"/>
  <c r="L187" i="6"/>
  <c r="J49" i="6"/>
  <c r="K56" i="6"/>
  <c r="Q96" i="6"/>
  <c r="Q129" i="6"/>
  <c r="K128" i="6"/>
  <c r="L72" i="6"/>
  <c r="K152" i="6"/>
  <c r="K101" i="6"/>
  <c r="M198" i="6"/>
  <c r="G32" i="6"/>
  <c r="O82" i="6"/>
  <c r="J42" i="6"/>
  <c r="P175" i="6"/>
  <c r="N152" i="6"/>
  <c r="O22" i="6"/>
  <c r="K46" i="6"/>
  <c r="P144" i="6"/>
  <c r="G64" i="6"/>
  <c r="L201" i="6"/>
  <c r="Q141" i="6"/>
  <c r="P65" i="6"/>
  <c r="L192" i="6"/>
  <c r="L142" i="6"/>
  <c r="O97" i="6"/>
  <c r="L73" i="6"/>
  <c r="G162" i="6"/>
  <c r="P108" i="6"/>
  <c r="K177" i="6"/>
  <c r="G194" i="6"/>
  <c r="N73" i="6"/>
  <c r="N122" i="6"/>
  <c r="P190" i="6"/>
  <c r="Q166" i="6"/>
  <c r="G89" i="6"/>
  <c r="Q177" i="6"/>
  <c r="L57" i="6"/>
  <c r="J120" i="6"/>
  <c r="M131" i="6"/>
  <c r="Q206" i="6"/>
  <c r="M152" i="6"/>
  <c r="J147" i="6"/>
  <c r="N156" i="6"/>
  <c r="O178" i="6"/>
  <c r="L69" i="6"/>
  <c r="M68" i="6"/>
  <c r="K200" i="6"/>
  <c r="G129" i="6"/>
  <c r="M172" i="6"/>
  <c r="Q114" i="6"/>
  <c r="J79" i="6"/>
  <c r="L156" i="6"/>
  <c r="M86" i="6"/>
  <c r="L162" i="6"/>
  <c r="J144" i="6"/>
  <c r="K145" i="6"/>
  <c r="P151" i="6"/>
  <c r="Q64" i="6"/>
  <c r="J152" i="6"/>
  <c r="P169" i="6"/>
  <c r="N109" i="6"/>
  <c r="P198" i="6"/>
  <c r="M162" i="6"/>
  <c r="Q186" i="6"/>
  <c r="K119" i="6"/>
  <c r="K141" i="6"/>
  <c r="L145" i="6"/>
  <c r="M64" i="6"/>
  <c r="G102" i="6"/>
  <c r="K71" i="6"/>
  <c r="O51" i="6"/>
  <c r="P39" i="6"/>
  <c r="Q119" i="6"/>
  <c r="K190" i="6"/>
  <c r="L56" i="6"/>
  <c r="G112" i="6"/>
  <c r="L94" i="6"/>
  <c r="Q194" i="6"/>
  <c r="P180" i="6"/>
  <c r="K202" i="6"/>
  <c r="K38" i="6"/>
  <c r="M194" i="6"/>
  <c r="G73" i="6"/>
  <c r="M177" i="6"/>
  <c r="M169" i="6"/>
  <c r="G52" i="6"/>
  <c r="L126" i="6"/>
  <c r="J137" i="6"/>
  <c r="O85" i="6"/>
  <c r="N62" i="6"/>
  <c r="G93" i="6"/>
  <c r="N74" i="6"/>
  <c r="J107" i="6"/>
  <c r="J138" i="6"/>
  <c r="L71" i="6"/>
  <c r="J187" i="6"/>
  <c r="P161" i="6"/>
  <c r="K206" i="6"/>
  <c r="G163" i="6"/>
  <c r="O77" i="6"/>
  <c r="M179" i="6"/>
  <c r="Q197" i="6"/>
  <c r="Q77" i="6"/>
  <c r="N158" i="6"/>
  <c r="N95" i="6"/>
  <c r="O158" i="6"/>
  <c r="Q157" i="6"/>
  <c r="M127" i="6"/>
  <c r="P76" i="6"/>
  <c r="L200" i="6"/>
  <c r="J201" i="6"/>
  <c r="G135" i="6"/>
  <c r="L109" i="6"/>
  <c r="J132" i="6"/>
  <c r="J55" i="6"/>
  <c r="N166" i="6"/>
  <c r="G100" i="6"/>
  <c r="P67" i="6"/>
  <c r="J41" i="6"/>
  <c r="G27" i="6"/>
  <c r="O186" i="6"/>
  <c r="Q41" i="6"/>
  <c r="L39" i="6"/>
  <c r="N125" i="6"/>
  <c r="P47" i="6"/>
  <c r="K144" i="6"/>
  <c r="J146" i="6"/>
  <c r="L138" i="6"/>
  <c r="Q163" i="6"/>
  <c r="Q151" i="6"/>
  <c r="Q140" i="6"/>
  <c r="G144" i="6"/>
  <c r="J169" i="6"/>
  <c r="L133" i="6"/>
  <c r="Q71" i="6"/>
  <c r="L153" i="6"/>
  <c r="O147" i="6"/>
  <c r="G33" i="6"/>
  <c r="M73" i="6"/>
  <c r="M204" i="6"/>
  <c r="N188" i="6"/>
  <c r="Q70" i="6"/>
  <c r="G25" i="6"/>
  <c r="O73" i="6"/>
  <c r="Q53" i="6"/>
  <c r="G134" i="6"/>
  <c r="N151" i="6"/>
  <c r="P116" i="6"/>
  <c r="N53" i="6"/>
  <c r="L42" i="6"/>
  <c r="K49" i="6"/>
  <c r="L115" i="6"/>
  <c r="K123" i="6"/>
  <c r="M96" i="6"/>
  <c r="M135" i="6"/>
  <c r="L65" i="6"/>
  <c r="P145" i="6"/>
  <c r="M183" i="6"/>
  <c r="G39" i="6"/>
  <c r="M65" i="6"/>
  <c r="Q84" i="6"/>
  <c r="K147" i="6"/>
  <c r="N78" i="6"/>
  <c r="L172" i="6"/>
  <c r="O124" i="6"/>
  <c r="L184" i="6"/>
  <c r="G106" i="6"/>
  <c r="L54" i="6"/>
  <c r="Q104" i="6"/>
  <c r="L86" i="6"/>
  <c r="K129" i="6"/>
  <c r="M110" i="6"/>
  <c r="P150" i="6"/>
  <c r="P202" i="6"/>
  <c r="M51" i="6"/>
  <c r="K124" i="6"/>
  <c r="N150" i="6"/>
  <c r="K95" i="6"/>
  <c r="L146" i="6"/>
  <c r="G159" i="6"/>
  <c r="L199" i="6"/>
  <c r="P68" i="6"/>
  <c r="K117" i="6"/>
  <c r="Q59" i="6"/>
  <c r="G60" i="6"/>
  <c r="G31" i="6"/>
  <c r="L70" i="6"/>
  <c r="N118" i="6"/>
  <c r="P205" i="6"/>
  <c r="P147" i="6"/>
  <c r="K151" i="6"/>
  <c r="J125" i="6"/>
  <c r="L174" i="6"/>
  <c r="Q180" i="6"/>
  <c r="N161" i="6"/>
  <c r="J66" i="6"/>
  <c r="M121" i="6"/>
  <c r="K100" i="6"/>
  <c r="O206" i="6"/>
  <c r="M58" i="6"/>
  <c r="G107" i="6"/>
  <c r="Q118" i="6"/>
  <c r="O98" i="6"/>
  <c r="Q111" i="6"/>
  <c r="J92" i="6"/>
  <c r="J75" i="6"/>
  <c r="K81" i="6"/>
  <c r="P109" i="6"/>
  <c r="P131" i="6"/>
  <c r="M81" i="6"/>
  <c r="N136" i="6"/>
  <c r="K174" i="6"/>
  <c r="Q103" i="6"/>
  <c r="P103" i="6"/>
  <c r="L117" i="6"/>
  <c r="G63" i="6"/>
  <c r="M92" i="6"/>
  <c r="L131" i="6"/>
  <c r="N115" i="6"/>
  <c r="O185" i="6"/>
  <c r="L175" i="6"/>
  <c r="P182" i="6"/>
  <c r="O172" i="6"/>
  <c r="G122" i="6"/>
  <c r="K79" i="6"/>
  <c r="P43" i="6"/>
  <c r="P91" i="6"/>
  <c r="L123" i="6"/>
  <c r="P61" i="6"/>
  <c r="K80" i="6"/>
  <c r="M114" i="6"/>
  <c r="P90" i="6"/>
  <c r="K82" i="6"/>
  <c r="Q124" i="6"/>
  <c r="N142" i="6"/>
  <c r="O134" i="6"/>
  <c r="G154" i="6"/>
  <c r="M61" i="6"/>
  <c r="N200" i="6"/>
  <c r="P49" i="6"/>
  <c r="P60" i="6"/>
  <c r="G87" i="6"/>
  <c r="J81" i="6"/>
  <c r="N81" i="6"/>
  <c r="N100" i="6"/>
  <c r="K201" i="6"/>
  <c r="Q198" i="6"/>
  <c r="O131" i="6"/>
  <c r="P192" i="6"/>
  <c r="M136" i="6"/>
  <c r="J155" i="6"/>
  <c r="Q156" i="6"/>
  <c r="K63" i="6"/>
  <c r="N170" i="6"/>
  <c r="P98" i="6"/>
  <c r="K181" i="6"/>
  <c r="K92" i="6"/>
  <c r="L158" i="6"/>
  <c r="M105" i="6"/>
  <c r="O181" i="6"/>
  <c r="L74" i="6"/>
  <c r="J174" i="6"/>
  <c r="O87" i="6"/>
  <c r="N85" i="6"/>
  <c r="G186" i="6"/>
  <c r="P70" i="6"/>
  <c r="Q52" i="6"/>
  <c r="M185" i="6"/>
  <c r="J136" i="6"/>
  <c r="L62" i="6"/>
  <c r="B22" i="6"/>
  <c r="J142" i="6"/>
  <c r="K126" i="6"/>
  <c r="J96" i="6"/>
  <c r="P127" i="6"/>
  <c r="P45" i="6"/>
  <c r="J76" i="6"/>
  <c r="B2" i="5"/>
  <c r="J59" i="5"/>
  <c r="J32" i="5"/>
  <c r="I46" i="5"/>
  <c r="J161" i="6"/>
  <c r="M88" i="6"/>
  <c r="G205" i="6"/>
  <c r="N143" i="6"/>
  <c r="Q176" i="6"/>
  <c r="O163" i="6"/>
  <c r="K59" i="6"/>
  <c r="N120" i="6"/>
  <c r="Q54" i="6"/>
  <c r="K170" i="6"/>
  <c r="G204" i="6"/>
  <c r="Q101" i="6"/>
  <c r="M77" i="6"/>
  <c r="Q55" i="6"/>
  <c r="J153" i="6"/>
  <c r="J93" i="6"/>
  <c r="K96" i="6"/>
  <c r="O173" i="6"/>
  <c r="L92" i="6"/>
  <c r="Q170" i="6"/>
  <c r="Q90" i="6"/>
  <c r="L53" i="6"/>
  <c r="O93" i="6"/>
  <c r="G54" i="6"/>
  <c r="K169" i="6"/>
  <c r="Q205" i="6"/>
  <c r="J140" i="6"/>
  <c r="P172" i="6"/>
  <c r="G95" i="6"/>
  <c r="O66" i="6"/>
  <c r="N82" i="6"/>
  <c r="J38" i="6"/>
  <c r="L132" i="6"/>
  <c r="J94" i="6"/>
  <c r="P126" i="6"/>
  <c r="N193" i="6"/>
  <c r="O190" i="6"/>
  <c r="M82" i="6"/>
  <c r="K133" i="6"/>
  <c r="L204" i="6"/>
  <c r="G173" i="6"/>
  <c r="K91" i="6"/>
  <c r="Q153" i="6"/>
  <c r="P156" i="6"/>
  <c r="N56" i="6"/>
  <c r="L121" i="6"/>
  <c r="N135" i="6"/>
  <c r="N174" i="6"/>
  <c r="M69" i="6"/>
  <c r="K159" i="6"/>
  <c r="K109" i="6"/>
  <c r="G44" i="6"/>
  <c r="P164" i="6"/>
  <c r="K62" i="6"/>
  <c r="O90" i="6"/>
  <c r="P139" i="6"/>
  <c r="K41" i="6"/>
  <c r="M166" i="6"/>
  <c r="J47" i="6"/>
  <c r="M67" i="6"/>
  <c r="L101" i="6"/>
  <c r="Q159" i="6"/>
  <c r="O54" i="6"/>
  <c r="M158" i="6"/>
  <c r="J62" i="5"/>
  <c r="I43" i="5"/>
  <c r="I58" i="5"/>
  <c r="J63" i="5"/>
  <c r="I30" i="5"/>
  <c r="I41" i="5"/>
  <c r="I37" i="5"/>
  <c r="P58" i="6"/>
  <c r="P50" i="6"/>
  <c r="G55" i="6"/>
  <c r="O136" i="6"/>
  <c r="O174" i="6"/>
  <c r="O188" i="6"/>
  <c r="L137" i="6"/>
  <c r="O201" i="6"/>
  <c r="O125" i="6"/>
  <c r="M52" i="6"/>
  <c r="K176" i="6"/>
  <c r="K108" i="6"/>
  <c r="O119" i="6"/>
  <c r="K73" i="6"/>
  <c r="Q44" i="6"/>
  <c r="G123" i="6"/>
  <c r="K173" i="6"/>
  <c r="N55" i="6"/>
  <c r="M123" i="6"/>
  <c r="K203" i="6"/>
  <c r="K188" i="6"/>
  <c r="J101" i="6"/>
  <c r="N138" i="6"/>
  <c r="M168" i="6"/>
  <c r="O59" i="6"/>
  <c r="N48" i="6"/>
  <c r="N180" i="6"/>
  <c r="M109" i="6"/>
  <c r="G198" i="6"/>
  <c r="M205" i="6"/>
  <c r="P176" i="6"/>
  <c r="M173" i="6"/>
  <c r="M137" i="6"/>
  <c r="N202" i="6"/>
  <c r="J194" i="6"/>
  <c r="M117" i="6"/>
  <c r="N105" i="6"/>
  <c r="O60" i="6"/>
  <c r="N110" i="6"/>
  <c r="Q110" i="6"/>
  <c r="G86" i="6"/>
  <c r="J167" i="6"/>
  <c r="P129" i="6"/>
  <c r="P189" i="6"/>
  <c r="Q173" i="6"/>
  <c r="P154" i="6"/>
  <c r="K103" i="6"/>
  <c r="M112" i="6"/>
  <c r="N39" i="6"/>
  <c r="M99" i="6"/>
  <c r="L180" i="6"/>
  <c r="Q131" i="6"/>
  <c r="P158" i="6"/>
  <c r="K140" i="6"/>
  <c r="M133" i="6"/>
  <c r="O45" i="6"/>
  <c r="O105" i="6"/>
  <c r="P64" i="6"/>
  <c r="K180" i="6"/>
  <c r="L119" i="6"/>
  <c r="Q134" i="6"/>
  <c r="Q128" i="6"/>
  <c r="N131" i="6"/>
  <c r="I60" i="5"/>
  <c r="K38" i="5"/>
  <c r="I59" i="5"/>
  <c r="P51" i="6"/>
  <c r="K166" i="6"/>
  <c r="L79" i="6"/>
  <c r="Q97" i="6"/>
  <c r="F25" i="5"/>
  <c r="I48" i="5"/>
  <c r="K54" i="5"/>
  <c r="K48" i="5"/>
  <c r="J70" i="5"/>
  <c r="J58" i="5"/>
  <c r="I61" i="5"/>
  <c r="N99" i="6"/>
  <c r="K78" i="6"/>
  <c r="Q113" i="6"/>
  <c r="P162" i="6"/>
  <c r="Q68" i="6"/>
  <c r="O113" i="6"/>
  <c r="J127" i="6"/>
  <c r="M180" i="6"/>
  <c r="J71" i="6"/>
  <c r="M102" i="6"/>
  <c r="N206" i="6"/>
  <c r="P83" i="6"/>
  <c r="K116" i="6"/>
  <c r="K167" i="6"/>
  <c r="O38" i="6"/>
  <c r="G187" i="6"/>
  <c r="K90" i="6"/>
  <c r="P85" i="6"/>
  <c r="J99" i="6"/>
  <c r="Q91" i="6"/>
  <c r="G121" i="6"/>
  <c r="Q74" i="6"/>
  <c r="K185" i="6"/>
  <c r="M63" i="6"/>
  <c r="N169" i="6"/>
  <c r="P106" i="6"/>
  <c r="L60" i="6"/>
  <c r="L97" i="6"/>
  <c r="G56" i="6"/>
  <c r="N194" i="6"/>
  <c r="L83" i="6"/>
  <c r="J46" i="6"/>
  <c r="O195" i="6"/>
  <c r="J39" i="6"/>
  <c r="L185" i="6"/>
  <c r="L58" i="6"/>
  <c r="L128" i="6"/>
  <c r="O52" i="6"/>
  <c r="L124" i="6"/>
  <c r="P53" i="6"/>
  <c r="G88" i="6"/>
  <c r="P71" i="6"/>
  <c r="K204" i="6"/>
  <c r="P118" i="6"/>
  <c r="G62" i="6"/>
  <c r="M53" i="6"/>
  <c r="J134" i="6"/>
  <c r="O143" i="6"/>
  <c r="P119" i="6"/>
  <c r="O200" i="6"/>
  <c r="P122" i="6"/>
  <c r="L182" i="6"/>
  <c r="J150" i="6"/>
  <c r="J57" i="6"/>
  <c r="Q79" i="6"/>
  <c r="K136" i="6"/>
  <c r="O57" i="6"/>
  <c r="K54" i="6"/>
  <c r="G66" i="6"/>
  <c r="P163" i="6"/>
  <c r="L149" i="6"/>
  <c r="I70" i="5"/>
  <c r="J31" i="5"/>
  <c r="I64" i="5"/>
  <c r="L89" i="6"/>
  <c r="K72" i="5"/>
  <c r="K70" i="5"/>
  <c r="H25" i="5"/>
  <c r="K47" i="5"/>
  <c r="I50" i="5"/>
  <c r="Q187" i="6"/>
  <c r="O74" i="6"/>
  <c r="N58" i="6"/>
  <c r="Q137" i="6"/>
  <c r="K70" i="6"/>
  <c r="O140" i="6"/>
  <c r="N165" i="6"/>
  <c r="K139" i="6"/>
  <c r="M101" i="6"/>
  <c r="Q169" i="6"/>
  <c r="L141" i="6"/>
  <c r="Q78" i="6"/>
  <c r="J130" i="6"/>
  <c r="L46" i="6"/>
  <c r="P59" i="6"/>
  <c r="G22" i="6"/>
  <c r="L134" i="6"/>
  <c r="L102" i="6"/>
  <c r="L154" i="6"/>
  <c r="O89" i="6"/>
  <c r="G59" i="6"/>
  <c r="P74" i="6"/>
  <c r="O42" i="6"/>
  <c r="G150" i="6"/>
  <c r="N43" i="6"/>
  <c r="Q188" i="6"/>
  <c r="Q171" i="6"/>
  <c r="O148" i="6"/>
  <c r="G180" i="6"/>
  <c r="M59" i="6"/>
  <c r="J129" i="6"/>
  <c r="Q144" i="6"/>
  <c r="Q75" i="6"/>
  <c r="K149" i="6"/>
  <c r="O142" i="6"/>
  <c r="G174" i="6"/>
  <c r="Q199" i="6"/>
  <c r="N64" i="6"/>
  <c r="G117" i="6"/>
  <c r="M93" i="6"/>
  <c r="Q38" i="6"/>
  <c r="G81" i="6"/>
  <c r="N88" i="6"/>
  <c r="K88" i="6"/>
  <c r="L90" i="6"/>
  <c r="J112" i="6"/>
  <c r="K72" i="6"/>
  <c r="J61" i="6"/>
  <c r="P113" i="6"/>
  <c r="P97" i="6"/>
  <c r="M124" i="6"/>
  <c r="M155" i="6"/>
  <c r="G53" i="6"/>
  <c r="J157" i="6"/>
  <c r="M74" i="6"/>
  <c r="O176" i="6"/>
  <c r="J181" i="6"/>
  <c r="N163" i="6"/>
  <c r="K58" i="6"/>
  <c r="P123" i="6"/>
  <c r="M71" i="6"/>
  <c r="J141" i="6"/>
  <c r="O104" i="6"/>
  <c r="Q50" i="6"/>
  <c r="O109" i="6"/>
  <c r="K178" i="6"/>
  <c r="N189" i="6"/>
  <c r="J53" i="5"/>
  <c r="I62" i="5"/>
  <c r="B25" i="5"/>
  <c r="J179" i="6"/>
  <c r="O182" i="6"/>
  <c r="P105" i="6"/>
  <c r="J40" i="5"/>
  <c r="O48" i="6"/>
  <c r="J64" i="6"/>
  <c r="J42" i="5"/>
  <c r="K33" i="5"/>
  <c r="K71" i="5"/>
  <c r="J55" i="5"/>
  <c r="J51" i="5"/>
  <c r="K134" i="6"/>
  <c r="M178" i="6"/>
  <c r="Q192" i="6"/>
  <c r="K65" i="6"/>
  <c r="M75" i="6"/>
  <c r="N145" i="6"/>
  <c r="Q138" i="6"/>
  <c r="K97" i="6"/>
  <c r="P142" i="6"/>
  <c r="O50" i="6"/>
  <c r="J198" i="6"/>
  <c r="M126" i="6"/>
  <c r="P54" i="6"/>
  <c r="L165" i="6"/>
  <c r="L176" i="6"/>
  <c r="G203" i="6"/>
  <c r="N44" i="6"/>
  <c r="K189" i="6"/>
  <c r="J88" i="6"/>
  <c r="P133" i="6"/>
  <c r="G65" i="6"/>
  <c r="L108" i="6"/>
  <c r="M190" i="6"/>
  <c r="G49" i="6"/>
  <c r="M149" i="6"/>
  <c r="Q122" i="6"/>
  <c r="L76" i="6"/>
  <c r="N41" i="6"/>
  <c r="K132" i="6"/>
  <c r="M170" i="6"/>
  <c r="K111" i="6"/>
  <c r="N104" i="6"/>
  <c r="J117" i="6"/>
  <c r="M189" i="6"/>
  <c r="K196" i="6"/>
  <c r="G191" i="6"/>
  <c r="M60" i="6"/>
  <c r="O40" i="6"/>
  <c r="G183" i="6"/>
  <c r="J77" i="6"/>
  <c r="P200" i="6"/>
  <c r="J162" i="6"/>
  <c r="K182" i="6"/>
  <c r="P186" i="6"/>
  <c r="G43" i="6"/>
  <c r="Q112" i="6"/>
  <c r="N116" i="6"/>
  <c r="K44" i="6"/>
  <c r="Q165" i="6"/>
  <c r="L107" i="6"/>
  <c r="G29" i="6"/>
  <c r="J123" i="6"/>
  <c r="M97" i="6"/>
  <c r="N98" i="6"/>
  <c r="P199" i="6"/>
  <c r="P137" i="6"/>
  <c r="M167" i="6"/>
  <c r="P165" i="6"/>
  <c r="J186" i="6"/>
  <c r="N70" i="6"/>
  <c r="N61" i="6"/>
  <c r="P87" i="6"/>
  <c r="I63" i="5"/>
  <c r="O83" i="6"/>
  <c r="J28" i="5"/>
  <c r="G167" i="6"/>
  <c r="J50" i="5"/>
  <c r="K46" i="5"/>
  <c r="J39" i="5"/>
  <c r="K59" i="5"/>
  <c r="P143" i="6"/>
  <c r="M145" i="6"/>
  <c r="P44" i="6"/>
  <c r="L120" i="6"/>
  <c r="J111" i="6"/>
  <c r="O108" i="6"/>
  <c r="J74" i="6"/>
  <c r="O68" i="6"/>
  <c r="J84" i="6"/>
  <c r="J48" i="6"/>
  <c r="J199" i="6"/>
  <c r="C22" i="6"/>
  <c r="P195" i="6"/>
  <c r="L170" i="6"/>
  <c r="O65" i="6"/>
  <c r="L22" i="6"/>
  <c r="P94" i="6"/>
  <c r="J122" i="6"/>
  <c r="O165" i="6"/>
  <c r="K197" i="6"/>
  <c r="G148" i="6"/>
  <c r="P84" i="6"/>
  <c r="P187" i="6"/>
  <c r="G200" i="6"/>
  <c r="K183" i="6"/>
  <c r="P100" i="6"/>
  <c r="Q132" i="6"/>
  <c r="L118" i="6"/>
  <c r="J173" i="6"/>
  <c r="P181" i="6"/>
  <c r="N132" i="6"/>
  <c r="L87" i="6"/>
  <c r="P96" i="6"/>
  <c r="O115" i="6"/>
  <c r="M197" i="6"/>
  <c r="M111" i="6"/>
  <c r="G99" i="6"/>
  <c r="K163" i="6"/>
  <c r="N45" i="6"/>
  <c r="G169" i="6"/>
  <c r="K39" i="6"/>
  <c r="L113" i="6"/>
  <c r="G77" i="6"/>
  <c r="Q89" i="6"/>
  <c r="O183" i="6"/>
  <c r="G24" i="6"/>
  <c r="L139" i="6"/>
  <c r="K68" i="6"/>
  <c r="M156" i="6"/>
  <c r="L125" i="6"/>
  <c r="Q46" i="6"/>
  <c r="N159" i="6"/>
  <c r="P203" i="6"/>
  <c r="J192" i="6"/>
  <c r="P148" i="6"/>
  <c r="J197" i="6"/>
  <c r="J103" i="6"/>
  <c r="M143" i="6"/>
  <c r="O101" i="6"/>
  <c r="Q135" i="6"/>
  <c r="Q95" i="6"/>
  <c r="P166" i="6"/>
  <c r="Q185" i="6"/>
  <c r="O141" i="6"/>
  <c r="N66" i="6"/>
  <c r="O43" i="6"/>
  <c r="J35" i="5"/>
  <c r="K43" i="5"/>
  <c r="K26" i="5"/>
  <c r="J133" i="6"/>
  <c r="Q147" i="6"/>
  <c r="J29" i="5"/>
  <c r="J38" i="5"/>
  <c r="K27" i="5"/>
  <c r="O61" i="6"/>
  <c r="I26" i="5"/>
  <c r="I44" i="5"/>
  <c r="I68" i="5"/>
  <c r="O58" i="6"/>
  <c r="P107" i="6"/>
  <c r="I54" i="5"/>
  <c r="K45" i="5"/>
  <c r="K56" i="5"/>
  <c r="J65" i="5"/>
  <c r="M157" i="6"/>
  <c r="N68" i="6"/>
  <c r="Q120" i="6"/>
  <c r="L206" i="6"/>
  <c r="Q72" i="6"/>
  <c r="N198" i="6"/>
  <c r="O44" i="6"/>
  <c r="G74" i="6"/>
  <c r="J126" i="6"/>
  <c r="N203" i="6"/>
  <c r="O88" i="6"/>
  <c r="P124" i="6"/>
  <c r="O177" i="6"/>
  <c r="O91" i="6"/>
  <c r="K125" i="6"/>
  <c r="G119" i="6"/>
  <c r="P42" i="6"/>
  <c r="P141" i="6"/>
  <c r="K45" i="6"/>
  <c r="O111" i="6"/>
  <c r="G192" i="6"/>
  <c r="N127" i="6"/>
  <c r="Q193" i="6"/>
  <c r="G76" i="6"/>
  <c r="J106" i="6"/>
  <c r="L189" i="6"/>
  <c r="K69" i="6"/>
  <c r="L50" i="6"/>
  <c r="Q161" i="6"/>
  <c r="N177" i="6"/>
  <c r="M90" i="6"/>
  <c r="Q126" i="6"/>
  <c r="M201" i="6"/>
  <c r="O79" i="6"/>
  <c r="G188" i="6"/>
  <c r="M200" i="6"/>
  <c r="L114" i="6"/>
  <c r="G177" i="6"/>
  <c r="K168" i="6"/>
  <c r="O62" i="6"/>
  <c r="G41" i="6"/>
  <c r="L41" i="6"/>
  <c r="O49" i="6"/>
  <c r="G79" i="6"/>
  <c r="L143" i="6"/>
  <c r="L171" i="6"/>
  <c r="O159" i="6"/>
  <c r="O120" i="6"/>
  <c r="M188" i="6"/>
  <c r="O167" i="6"/>
  <c r="O149" i="6"/>
  <c r="L67" i="6"/>
  <c r="P93" i="6"/>
  <c r="J205" i="6"/>
  <c r="N141" i="6"/>
  <c r="K165" i="6"/>
  <c r="P132" i="6"/>
  <c r="G125" i="6"/>
  <c r="O202" i="6"/>
  <c r="Q86" i="6"/>
  <c r="K48" i="6"/>
  <c r="Q100" i="6"/>
  <c r="J202" i="6"/>
  <c r="K99" i="6"/>
  <c r="M42" i="6"/>
  <c r="Q94" i="6"/>
  <c r="K148" i="6"/>
  <c r="J47" i="5"/>
  <c r="K193" i="6"/>
  <c r="J52" i="5"/>
  <c r="J33" i="5"/>
  <c r="K36" i="5"/>
  <c r="G25" i="5"/>
  <c r="Q63" i="6"/>
  <c r="J60" i="6"/>
  <c r="L188" i="6"/>
  <c r="M55" i="6"/>
  <c r="N93" i="6"/>
  <c r="P201" i="6"/>
  <c r="N40" i="6"/>
  <c r="M22" i="6"/>
  <c r="Q69" i="6"/>
  <c r="N101" i="6"/>
  <c r="J151" i="6"/>
  <c r="Q195" i="6"/>
  <c r="M132" i="6"/>
  <c r="N173" i="6"/>
  <c r="J149" i="6"/>
  <c r="G145" i="6"/>
  <c r="K186" i="6"/>
  <c r="J131" i="6"/>
  <c r="L95" i="6"/>
  <c r="K155" i="6"/>
  <c r="G70" i="6"/>
  <c r="L66" i="6"/>
  <c r="O184" i="6"/>
  <c r="G139" i="6"/>
  <c r="N187" i="6"/>
  <c r="O110" i="6"/>
  <c r="N111" i="6"/>
  <c r="O168" i="6"/>
  <c r="K194" i="6"/>
  <c r="M91" i="6"/>
  <c r="J62" i="6"/>
  <c r="Q109" i="6"/>
  <c r="M154" i="6"/>
  <c r="G127" i="6"/>
  <c r="G47" i="6"/>
  <c r="L169" i="6"/>
  <c r="O122" i="6"/>
  <c r="G45" i="6"/>
  <c r="K75" i="6"/>
  <c r="P167" i="6"/>
  <c r="J124" i="6"/>
  <c r="Q60" i="6"/>
  <c r="L150" i="6"/>
  <c r="G113" i="6"/>
  <c r="N102" i="6"/>
  <c r="P174" i="6"/>
  <c r="N195" i="6"/>
  <c r="Q174" i="6"/>
  <c r="Q167" i="6"/>
  <c r="J172" i="6"/>
  <c r="J37" i="6"/>
  <c r="O100" i="6"/>
  <c r="G83" i="6"/>
  <c r="Q152" i="6"/>
  <c r="P78" i="6"/>
  <c r="L122" i="6"/>
  <c r="M80" i="6"/>
  <c r="O129" i="6"/>
  <c r="G118" i="6"/>
  <c r="Q99" i="6"/>
  <c r="J128" i="6"/>
  <c r="P178" i="6"/>
  <c r="J44" i="5"/>
  <c r="I40" i="5"/>
  <c r="J26" i="5"/>
  <c r="Q168" i="6"/>
  <c r="L168" i="6"/>
  <c r="K42" i="5"/>
  <c r="K28" i="5"/>
  <c r="G153" i="6"/>
  <c r="Q43" i="6"/>
  <c r="L52" i="6"/>
  <c r="M45" i="6"/>
  <c r="J37" i="5"/>
  <c r="K51" i="5"/>
  <c r="K62" i="5"/>
  <c r="I72" i="5"/>
  <c r="K86" i="6"/>
  <c r="J95" i="6"/>
  <c r="J102" i="6"/>
  <c r="J85" i="6"/>
  <c r="J159" i="6"/>
  <c r="N134" i="6"/>
  <c r="O64" i="6"/>
  <c r="J22" i="6"/>
  <c r="M144" i="6"/>
  <c r="L116" i="6"/>
  <c r="O144" i="6"/>
  <c r="M176" i="6"/>
  <c r="N140" i="6"/>
  <c r="J53" i="6"/>
  <c r="M184" i="6"/>
  <c r="G84" i="6"/>
  <c r="P82" i="6"/>
  <c r="K164" i="6"/>
  <c r="N176" i="6"/>
  <c r="K199" i="6"/>
  <c r="G175" i="6"/>
  <c r="O179" i="6"/>
  <c r="N75" i="6"/>
  <c r="N77" i="6"/>
  <c r="P101" i="6"/>
  <c r="L195" i="6"/>
  <c r="N46" i="6"/>
  <c r="L106" i="6"/>
  <c r="Q179" i="6"/>
  <c r="N87" i="6"/>
  <c r="G40" i="6"/>
  <c r="L84" i="6"/>
  <c r="O81" i="6"/>
  <c r="G85" i="6"/>
  <c r="G171" i="6"/>
  <c r="O95" i="6"/>
  <c r="J109" i="6"/>
  <c r="G37" i="6"/>
  <c r="K40" i="6"/>
  <c r="N121" i="6"/>
  <c r="Q45" i="6"/>
  <c r="L202" i="6"/>
  <c r="G111" i="6"/>
  <c r="G28" i="6"/>
  <c r="P193" i="6"/>
  <c r="P155" i="6"/>
  <c r="Q145" i="6"/>
  <c r="P52" i="6"/>
  <c r="J90" i="6"/>
  <c r="J160" i="6"/>
  <c r="Q154" i="6"/>
  <c r="G193" i="6"/>
  <c r="N199" i="6"/>
  <c r="M206" i="6"/>
  <c r="N147" i="6"/>
  <c r="Q203" i="6"/>
  <c r="Q184" i="6"/>
  <c r="G133" i="6"/>
  <c r="K94" i="6"/>
  <c r="O196" i="6"/>
  <c r="G189" i="6"/>
  <c r="O166" i="6"/>
  <c r="K74" i="6"/>
  <c r="O197" i="6"/>
  <c r="M203" i="6"/>
  <c r="O205" i="6"/>
  <c r="G161" i="6"/>
  <c r="I65" i="5"/>
  <c r="I39" i="5"/>
  <c r="K40" i="5"/>
  <c r="M186" i="6"/>
  <c r="O112" i="6"/>
  <c r="J139" i="6"/>
  <c r="M89" i="6"/>
  <c r="J206" i="6"/>
  <c r="M78" i="6"/>
  <c r="J110" i="6"/>
  <c r="P95" i="6"/>
  <c r="G46" i="6"/>
  <c r="Q108" i="6"/>
  <c r="L190" i="6"/>
  <c r="K146" i="6"/>
  <c r="Q87" i="6"/>
  <c r="O70" i="6"/>
  <c r="M134" i="6"/>
  <c r="M83" i="6"/>
  <c r="G152" i="6"/>
  <c r="L111" i="6"/>
  <c r="P121" i="6"/>
  <c r="P159" i="6"/>
  <c r="P46" i="6"/>
  <c r="G30" i="6"/>
  <c r="K102" i="6"/>
  <c r="L110" i="6"/>
  <c r="G26" i="6"/>
  <c r="O46" i="6"/>
  <c r="J100" i="6"/>
  <c r="N112" i="6"/>
  <c r="M41" i="6"/>
  <c r="L49" i="6"/>
  <c r="O150" i="6"/>
  <c r="G138" i="6"/>
  <c r="M87" i="6"/>
  <c r="N182" i="6"/>
  <c r="G157" i="6"/>
  <c r="G195" i="6"/>
  <c r="K60" i="6"/>
  <c r="O102" i="6"/>
  <c r="G115" i="6"/>
  <c r="O170" i="6"/>
  <c r="M113" i="6"/>
  <c r="K192" i="6"/>
  <c r="M148" i="6"/>
  <c r="G110" i="6"/>
  <c r="N108" i="6"/>
  <c r="J200" i="6"/>
  <c r="Q76" i="6"/>
  <c r="P104" i="6"/>
  <c r="N148" i="6"/>
  <c r="J63" i="6"/>
  <c r="O37" i="6"/>
  <c r="N114" i="6"/>
  <c r="G136" i="6"/>
  <c r="N97" i="6"/>
  <c r="K142" i="6"/>
  <c r="N153" i="6"/>
  <c r="P69" i="6"/>
  <c r="N164" i="6"/>
  <c r="G137" i="6"/>
  <c r="Q200" i="6"/>
  <c r="M43" i="6"/>
  <c r="G199" i="6"/>
  <c r="K98" i="6"/>
  <c r="N92" i="6"/>
  <c r="M159" i="6"/>
  <c r="M165" i="6"/>
  <c r="N65" i="6"/>
  <c r="Q106" i="6"/>
  <c r="G201" i="6"/>
  <c r="N103" i="6"/>
  <c r="J114" i="6"/>
  <c r="K158" i="6"/>
  <c r="K66" i="5"/>
  <c r="J68" i="5"/>
  <c r="J60" i="5"/>
  <c r="N137" i="6"/>
  <c r="L193" i="6"/>
  <c r="P136" i="6"/>
  <c r="Q175" i="6"/>
  <c r="O135" i="6"/>
  <c r="Q39" i="6"/>
  <c r="O194" i="6"/>
  <c r="M129" i="6"/>
  <c r="G90" i="6"/>
  <c r="M141" i="6"/>
  <c r="Q116" i="6"/>
  <c r="J91" i="6"/>
  <c r="M140" i="6"/>
  <c r="G155" i="6"/>
  <c r="J166" i="6"/>
  <c r="K37" i="6"/>
  <c r="G196" i="6"/>
  <c r="O72" i="6"/>
  <c r="N171" i="6"/>
  <c r="O155" i="6"/>
  <c r="N119" i="6"/>
  <c r="K198" i="6"/>
  <c r="L136" i="6"/>
  <c r="M171" i="6"/>
  <c r="Q130" i="6"/>
  <c r="K67" i="6"/>
  <c r="P81" i="6"/>
  <c r="J135" i="6"/>
  <c r="O138" i="6"/>
  <c r="L152" i="6"/>
  <c r="J44" i="6"/>
  <c r="G156" i="6"/>
  <c r="P86" i="6"/>
  <c r="L164" i="6"/>
  <c r="G131" i="6"/>
  <c r="G164" i="6"/>
  <c r="N37" i="6"/>
  <c r="J193" i="6"/>
  <c r="O123" i="6"/>
  <c r="N49" i="6"/>
  <c r="P92" i="6"/>
  <c r="N196" i="6"/>
  <c r="G202" i="6"/>
  <c r="K93" i="6"/>
  <c r="O69" i="6"/>
  <c r="J54" i="6"/>
  <c r="L112" i="6"/>
  <c r="O191" i="6"/>
  <c r="M160" i="6"/>
  <c r="K53" i="6"/>
  <c r="L129" i="6"/>
  <c r="G67" i="6"/>
  <c r="Q37" i="6"/>
  <c r="L77" i="6"/>
  <c r="P128" i="6"/>
  <c r="N60" i="6"/>
  <c r="P177" i="6"/>
  <c r="G109" i="6"/>
  <c r="K137" i="6"/>
  <c r="K105" i="6"/>
  <c r="G165" i="6"/>
  <c r="J97" i="6"/>
  <c r="Q127" i="6"/>
  <c r="N139" i="6"/>
  <c r="M47" i="6"/>
  <c r="O161" i="6"/>
  <c r="O103" i="6"/>
  <c r="I57" i="5"/>
  <c r="J49" i="5"/>
  <c r="I27" i="5"/>
  <c r="O75" i="6"/>
  <c r="I49" i="5"/>
  <c r="I28" i="5"/>
  <c r="J64" i="5"/>
  <c r="J171" i="6"/>
  <c r="K122" i="6"/>
  <c r="N184" i="6"/>
  <c r="K31" i="5"/>
  <c r="K68" i="5"/>
  <c r="K37" i="5"/>
  <c r="M66" i="6"/>
  <c r="O145" i="6"/>
  <c r="O162" i="6"/>
  <c r="J163" i="6"/>
  <c r="O126" i="6"/>
  <c r="G130" i="6"/>
  <c r="Q155" i="6"/>
  <c r="L157" i="6"/>
  <c r="G92" i="6"/>
  <c r="L186" i="6"/>
  <c r="N155" i="6"/>
  <c r="N59" i="6"/>
  <c r="P115" i="6"/>
  <c r="G61" i="6"/>
  <c r="Q115" i="6"/>
  <c r="M46" i="6"/>
  <c r="L135" i="6"/>
  <c r="N83" i="6"/>
  <c r="M192" i="6"/>
  <c r="N175" i="6"/>
  <c r="M72" i="6"/>
  <c r="N90" i="6"/>
  <c r="P188" i="6"/>
  <c r="N69" i="6"/>
  <c r="A1" i="9"/>
  <c r="M100" i="6"/>
  <c r="L179" i="6"/>
  <c r="G35" i="6"/>
  <c r="K135" i="6"/>
  <c r="O187" i="6"/>
  <c r="H94" i="9"/>
  <c r="L155" i="6"/>
  <c r="L64" i="6"/>
  <c r="G124" i="6"/>
  <c r="M50" i="6"/>
  <c r="L203" i="6"/>
  <c r="G80" i="6"/>
  <c r="G117" i="9"/>
  <c r="M116" i="6"/>
  <c r="L177" i="6"/>
  <c r="H58" i="9"/>
  <c r="H103" i="9"/>
  <c r="N80" i="6"/>
  <c r="O99" i="6"/>
  <c r="G71" i="6"/>
  <c r="K106" i="6"/>
  <c r="J190" i="6"/>
  <c r="G68" i="6"/>
  <c r="N38" i="6"/>
  <c r="O137" i="6"/>
  <c r="K83" i="6"/>
  <c r="K175" i="6"/>
  <c r="N205" i="6"/>
  <c r="J165" i="6"/>
  <c r="N162" i="6"/>
  <c r="O63" i="6"/>
  <c r="G142" i="6"/>
  <c r="L160" i="6"/>
  <c r="O92" i="6"/>
  <c r="M119" i="6"/>
  <c r="J195" i="6"/>
  <c r="J83" i="6"/>
  <c r="G51" i="6"/>
  <c r="N183" i="6"/>
  <c r="M56" i="6"/>
  <c r="G78" i="6"/>
  <c r="O133" i="6"/>
  <c r="J43" i="6"/>
  <c r="M164" i="6"/>
  <c r="K150" i="6"/>
  <c r="L159" i="6"/>
  <c r="G136" i="9"/>
  <c r="H127" i="9"/>
  <c r="I34" i="5"/>
  <c r="J27" i="5"/>
  <c r="N117" i="6"/>
  <c r="H83" i="9"/>
  <c r="G104" i="9"/>
  <c r="I66" i="5"/>
  <c r="M94" i="6"/>
  <c r="H114" i="9"/>
  <c r="G129" i="9"/>
  <c r="Q22" i="6"/>
  <c r="J72" i="5"/>
  <c r="I35" i="5"/>
  <c r="K44" i="5"/>
  <c r="P134" i="6"/>
  <c r="L205" i="6"/>
  <c r="L197" i="6"/>
  <c r="P99" i="6"/>
  <c r="M130" i="6"/>
  <c r="G82" i="6"/>
  <c r="N192" i="6"/>
  <c r="N57" i="6"/>
  <c r="G146" i="6"/>
  <c r="M175" i="6"/>
  <c r="K104" i="6"/>
  <c r="N107" i="6"/>
  <c r="P114" i="6"/>
  <c r="G190" i="6"/>
  <c r="L167" i="6"/>
  <c r="L127" i="6"/>
  <c r="N52" i="6"/>
  <c r="Q133" i="6"/>
  <c r="O116" i="6"/>
  <c r="J156" i="6"/>
  <c r="J72" i="6"/>
  <c r="J58" i="6"/>
  <c r="K112" i="6"/>
  <c r="O56" i="6"/>
  <c r="O160" i="6"/>
  <c r="J154" i="6"/>
  <c r="O53" i="6"/>
  <c r="Q160" i="6"/>
  <c r="N168" i="6"/>
  <c r="J178" i="6"/>
  <c r="G75" i="9"/>
  <c r="M107" i="6"/>
  <c r="K57" i="6"/>
  <c r="G126" i="6"/>
  <c r="L166" i="6"/>
  <c r="P191" i="6"/>
  <c r="G114" i="6"/>
  <c r="H73" i="9"/>
  <c r="K84" i="6"/>
  <c r="N204" i="6"/>
  <c r="G127" i="9"/>
  <c r="H46" i="9"/>
  <c r="O106" i="6"/>
  <c r="M115" i="6"/>
  <c r="G197" i="6"/>
  <c r="N91" i="6"/>
  <c r="Q40" i="6"/>
  <c r="G101" i="9"/>
  <c r="M174" i="6"/>
  <c r="J104" i="6"/>
  <c r="L51" i="6"/>
  <c r="O117" i="6"/>
  <c r="P41" i="6"/>
  <c r="L81" i="6"/>
  <c r="O118" i="6"/>
  <c r="P157" i="6"/>
  <c r="G94" i="6"/>
  <c r="O71" i="6"/>
  <c r="K47" i="6"/>
  <c r="Q88" i="6"/>
  <c r="N178" i="6"/>
  <c r="N197" i="6"/>
  <c r="G168" i="6"/>
  <c r="J185" i="6"/>
  <c r="P111" i="6"/>
  <c r="G176" i="6"/>
  <c r="N201" i="6"/>
  <c r="P56" i="6"/>
  <c r="M122" i="6"/>
  <c r="O193" i="6"/>
  <c r="G132" i="6"/>
  <c r="J57" i="5"/>
  <c r="K43" i="6"/>
  <c r="K60" i="5"/>
  <c r="J48" i="5"/>
  <c r="I67" i="5"/>
  <c r="K52" i="5"/>
  <c r="N167" i="6"/>
  <c r="K87" i="6"/>
  <c r="J50" i="6"/>
  <c r="L191" i="6"/>
  <c r="Q162" i="6"/>
  <c r="G72" i="6"/>
  <c r="Q58" i="6"/>
  <c r="L75" i="6"/>
  <c r="Q80" i="6"/>
  <c r="N160" i="6"/>
  <c r="K187" i="6"/>
  <c r="O146" i="6"/>
  <c r="P75" i="6"/>
  <c r="G178" i="6"/>
  <c r="L147" i="6"/>
  <c r="K50" i="6"/>
  <c r="Q204" i="6"/>
  <c r="J70" i="6"/>
  <c r="J56" i="6"/>
  <c r="J108" i="6"/>
  <c r="P63" i="6"/>
  <c r="J82" i="6"/>
  <c r="N133" i="6"/>
  <c r="Q93" i="6"/>
  <c r="O139" i="6"/>
  <c r="P55" i="6"/>
  <c r="Q66" i="6"/>
  <c r="N123" i="6"/>
  <c r="P173" i="6"/>
  <c r="P102" i="6"/>
  <c r="H99" i="9"/>
  <c r="L63" i="6"/>
  <c r="M202" i="6"/>
  <c r="G185" i="6"/>
  <c r="P168" i="6"/>
  <c r="K179" i="6"/>
  <c r="G149" i="6"/>
  <c r="G102" i="9"/>
  <c r="N89" i="6"/>
  <c r="P110" i="6"/>
  <c r="G60" i="9"/>
  <c r="L178" i="6"/>
  <c r="M142" i="6"/>
  <c r="M139" i="6"/>
  <c r="H90" i="9"/>
  <c r="P135" i="6"/>
  <c r="Q47" i="6"/>
  <c r="H74" i="9"/>
  <c r="N181" i="6"/>
  <c r="Q92" i="6"/>
  <c r="O169" i="6"/>
  <c r="K85" i="6"/>
  <c r="L194" i="6"/>
  <c r="G131" i="9"/>
  <c r="N96" i="6"/>
  <c r="J68" i="6"/>
  <c r="G140" i="6"/>
  <c r="M98" i="6"/>
  <c r="J191" i="6"/>
  <c r="N84" i="6"/>
  <c r="L140" i="6"/>
  <c r="M138" i="6"/>
  <c r="G42" i="6"/>
  <c r="N113" i="6"/>
  <c r="N172" i="6"/>
  <c r="N22" i="6"/>
  <c r="Q201" i="6"/>
  <c r="M125" i="6"/>
  <c r="G151" i="6"/>
  <c r="J52" i="6"/>
  <c r="M85" i="6"/>
  <c r="G181" i="6"/>
  <c r="G59" i="9"/>
  <c r="H111" i="9"/>
  <c r="G105" i="9"/>
  <c r="K49" i="5"/>
  <c r="J43" i="5"/>
  <c r="G30" i="9"/>
  <c r="L45" i="6"/>
  <c r="I52" i="5"/>
  <c r="I45" i="5"/>
  <c r="K39" i="5"/>
  <c r="K120" i="6"/>
  <c r="P138" i="6"/>
  <c r="Q146" i="6"/>
  <c r="J176" i="6"/>
  <c r="K156" i="6"/>
  <c r="G179" i="6"/>
  <c r="P146" i="6"/>
  <c r="L105" i="6"/>
  <c r="O78" i="6"/>
  <c r="M128" i="6"/>
  <c r="J116" i="6"/>
  <c r="M39" i="6"/>
  <c r="Q143" i="6"/>
  <c r="G141" i="6"/>
  <c r="M182" i="6"/>
  <c r="Q182" i="6"/>
  <c r="P40" i="6"/>
  <c r="L91" i="6"/>
  <c r="M146" i="6"/>
  <c r="J145" i="6"/>
  <c r="Q57" i="6"/>
  <c r="L98" i="6"/>
  <c r="J80" i="6"/>
  <c r="P206" i="6"/>
  <c r="J188" i="6"/>
  <c r="O84" i="6"/>
  <c r="M151" i="6"/>
  <c r="Q83" i="6"/>
  <c r="Q65" i="6"/>
  <c r="L59" i="6"/>
  <c r="G69" i="9"/>
  <c r="M118" i="6"/>
  <c r="Q98" i="6"/>
  <c r="G58" i="6"/>
  <c r="J105" i="6"/>
  <c r="O94" i="6"/>
  <c r="G184" i="6"/>
  <c r="H38" i="9"/>
  <c r="J143" i="6"/>
  <c r="L183" i="6"/>
  <c r="H108" i="9"/>
  <c r="G36" i="6"/>
  <c r="Q148" i="6"/>
  <c r="K115" i="6"/>
  <c r="H89" i="9"/>
  <c r="Q81" i="6"/>
  <c r="L40" i="6"/>
  <c r="G76" i="9"/>
  <c r="M95" i="6"/>
  <c r="J59" i="6"/>
  <c r="N124" i="6"/>
  <c r="Q73" i="6"/>
  <c r="N86" i="6"/>
  <c r="H96" i="9"/>
  <c r="P38" i="6"/>
  <c r="O127" i="6"/>
  <c r="G125" i="9"/>
  <c r="L161" i="6"/>
  <c r="O198" i="6"/>
  <c r="G128" i="6"/>
  <c r="Q105" i="6"/>
  <c r="O180" i="6"/>
  <c r="G42" i="9"/>
  <c r="J170" i="6"/>
  <c r="N146" i="6"/>
  <c r="G98" i="6"/>
  <c r="Q142" i="6"/>
  <c r="K162" i="6"/>
  <c r="G101" i="6"/>
  <c r="N179" i="6"/>
  <c r="L144" i="6"/>
  <c r="G69" i="6"/>
  <c r="H78" i="9"/>
  <c r="G55" i="9"/>
  <c r="H129" i="9"/>
  <c r="J45" i="5"/>
  <c r="N72" i="6"/>
  <c r="G120" i="6"/>
  <c r="G48" i="6"/>
  <c r="O154" i="6"/>
  <c r="N106" i="6"/>
  <c r="G75" i="6"/>
  <c r="G106" i="9"/>
  <c r="G65" i="9"/>
  <c r="K53" i="5"/>
  <c r="H47" i="9"/>
  <c r="G182" i="6"/>
  <c r="G103" i="6"/>
  <c r="K55" i="5"/>
  <c r="J69" i="5"/>
  <c r="I56" i="5"/>
  <c r="Q158" i="6"/>
  <c r="L151" i="6"/>
  <c r="K154" i="6"/>
  <c r="J98" i="6"/>
  <c r="Q121" i="6"/>
  <c r="G172" i="6"/>
  <c r="N47" i="6"/>
  <c r="L103" i="6"/>
  <c r="L37" i="6"/>
  <c r="P204" i="6"/>
  <c r="K171" i="6"/>
  <c r="L173" i="6"/>
  <c r="Q191" i="6"/>
  <c r="G97" i="6"/>
  <c r="N149" i="6"/>
  <c r="K131" i="6"/>
  <c r="M48" i="6"/>
  <c r="Q82" i="6"/>
  <c r="P185" i="6"/>
  <c r="K42" i="6"/>
  <c r="Q164" i="6"/>
  <c r="O157" i="6"/>
  <c r="Q51" i="6"/>
  <c r="K77" i="6"/>
  <c r="Q102" i="6"/>
  <c r="K161" i="6"/>
  <c r="O130" i="6"/>
  <c r="P73" i="6"/>
  <c r="K160" i="6"/>
  <c r="M195" i="6"/>
  <c r="G44" i="9"/>
  <c r="P184" i="6"/>
  <c r="M161" i="6"/>
  <c r="H125" i="9"/>
  <c r="M187" i="6"/>
  <c r="M57" i="6"/>
  <c r="G77" i="9"/>
  <c r="H119" i="9"/>
  <c r="Q183" i="6"/>
  <c r="J183" i="6"/>
  <c r="H41" i="9"/>
  <c r="N67" i="6"/>
  <c r="Q190" i="6"/>
  <c r="J196" i="6"/>
  <c r="G49" i="9"/>
  <c r="J69" i="6"/>
  <c r="K66" i="6"/>
  <c r="H124" i="9"/>
  <c r="M196" i="6"/>
  <c r="L93" i="6"/>
  <c r="O107" i="6"/>
  <c r="K110" i="6"/>
  <c r="J148" i="6"/>
  <c r="G133" i="9"/>
  <c r="M108" i="6"/>
  <c r="N190" i="6"/>
  <c r="G26" i="9"/>
  <c r="P88" i="6"/>
  <c r="H69" i="9"/>
  <c r="K65" i="5"/>
  <c r="I55" i="5"/>
  <c r="J41" i="5"/>
  <c r="I53" i="5"/>
  <c r="J164" i="6"/>
  <c r="M120" i="6"/>
  <c r="K121" i="6"/>
  <c r="N42" i="6"/>
  <c r="M49" i="6"/>
  <c r="G116" i="6"/>
  <c r="J158" i="6"/>
  <c r="O204" i="6"/>
  <c r="J86" i="6"/>
  <c r="O55" i="6"/>
  <c r="P160" i="6"/>
  <c r="Q49" i="6"/>
  <c r="Q107" i="6"/>
  <c r="K114" i="6"/>
  <c r="M163" i="6"/>
  <c r="P66" i="6"/>
  <c r="K113" i="6"/>
  <c r="P179" i="6"/>
  <c r="G34" i="6"/>
  <c r="M193" i="6"/>
  <c r="L104" i="6"/>
  <c r="P37" i="6"/>
  <c r="J204" i="6"/>
  <c r="N154" i="6"/>
  <c r="J119" i="6"/>
  <c r="O128" i="6"/>
  <c r="L68" i="6"/>
  <c r="N128" i="6"/>
  <c r="O203" i="6"/>
  <c r="P152" i="6"/>
  <c r="H120" i="9"/>
  <c r="Q67" i="6"/>
  <c r="K138" i="6"/>
  <c r="H92" i="9"/>
  <c r="O171" i="6"/>
  <c r="P117" i="6"/>
  <c r="H133" i="9"/>
  <c r="G50" i="6"/>
  <c r="N79" i="6"/>
  <c r="K64" i="6"/>
  <c r="G70" i="9"/>
  <c r="J73" i="6"/>
  <c r="N71" i="6"/>
  <c r="J189" i="6"/>
  <c r="G114" i="9"/>
  <c r="Q150" i="6"/>
  <c r="M38" i="6"/>
  <c r="H57" i="9"/>
  <c r="M147" i="6"/>
  <c r="L48" i="6"/>
  <c r="F22" i="9"/>
  <c r="O96" i="6"/>
  <c r="P79" i="6"/>
  <c r="G34" i="9"/>
  <c r="O80" i="6"/>
  <c r="P112" i="6"/>
  <c r="H98" i="9"/>
  <c r="O151" i="6"/>
  <c r="I31" i="5"/>
  <c r="I42" i="5"/>
  <c r="K29" i="5"/>
  <c r="K64" i="5"/>
  <c r="J54" i="5"/>
  <c r="K41" i="5"/>
  <c r="I36" i="5"/>
  <c r="K61" i="5"/>
  <c r="J34" i="5"/>
  <c r="J66" i="5"/>
  <c r="K34" i="5"/>
  <c r="J56" i="5"/>
  <c r="I32" i="5"/>
  <c r="K58" i="5"/>
  <c r="K50" i="5"/>
  <c r="K67" i="5"/>
  <c r="K35" i="5"/>
  <c r="I47" i="5"/>
  <c r="J67" i="5"/>
  <c r="K69" i="5"/>
  <c r="I69" i="5"/>
  <c r="K32" i="5"/>
  <c r="I29" i="5"/>
  <c r="I38" i="5"/>
  <c r="J36" i="5"/>
  <c r="I71" i="5"/>
  <c r="C25" i="5"/>
  <c r="J46" i="5"/>
  <c r="K57" i="5"/>
  <c r="I33" i="5"/>
  <c r="I51" i="5"/>
  <c r="J30" i="5"/>
  <c r="K63" i="5"/>
  <c r="K30" i="5"/>
  <c r="J71" i="5"/>
  <c r="J61" i="5"/>
  <c r="H54" i="9"/>
  <c r="G112" i="9"/>
  <c r="H45" i="9"/>
  <c r="G37" i="9"/>
  <c r="H76" i="9"/>
  <c r="H72" i="9"/>
  <c r="H112" i="9"/>
  <c r="G85" i="9"/>
  <c r="G46" i="9"/>
  <c r="H52" i="9"/>
  <c r="G137" i="9"/>
  <c r="G107" i="9"/>
  <c r="G118" i="9"/>
  <c r="H84" i="9"/>
  <c r="H32" i="9"/>
  <c r="H49" i="9"/>
  <c r="G92" i="9"/>
  <c r="G36" i="9"/>
  <c r="G25" i="9"/>
  <c r="H87" i="9"/>
  <c r="G68" i="9"/>
  <c r="G103" i="9"/>
  <c r="H61" i="9"/>
  <c r="G79" i="9"/>
  <c r="H135" i="9"/>
  <c r="H48" i="9"/>
  <c r="H88" i="9"/>
  <c r="H34" i="9"/>
  <c r="G83" i="9"/>
  <c r="H101" i="9"/>
  <c r="H79" i="9"/>
  <c r="G31" i="9"/>
  <c r="G130" i="9"/>
  <c r="H42" i="9"/>
  <c r="G73" i="9"/>
  <c r="G32" i="9"/>
  <c r="H137" i="9"/>
  <c r="H60" i="9"/>
  <c r="G40" i="9"/>
  <c r="H59" i="9"/>
  <c r="H82" i="9"/>
  <c r="G94" i="9"/>
  <c r="H117" i="9"/>
  <c r="H102" i="9"/>
  <c r="G82" i="9"/>
  <c r="H93" i="9"/>
  <c r="G121" i="9"/>
  <c r="H24" i="9"/>
  <c r="G109" i="9"/>
  <c r="G84" i="9"/>
  <c r="D22" i="9"/>
  <c r="B22" i="9" s="1"/>
  <c r="G61" i="9"/>
  <c r="H25" i="9"/>
  <c r="G111" i="9"/>
  <c r="H27" i="9"/>
  <c r="G35" i="9"/>
  <c r="G80" i="9"/>
  <c r="H70" i="9"/>
  <c r="H51" i="9"/>
  <c r="G27" i="9"/>
  <c r="H30" i="9"/>
  <c r="H131" i="9"/>
  <c r="H91" i="9"/>
  <c r="G81" i="9"/>
  <c r="G97" i="9"/>
  <c r="G72" i="9"/>
  <c r="G98" i="9"/>
  <c r="H36" i="9"/>
  <c r="H126" i="9"/>
  <c r="H56" i="9"/>
  <c r="G67" i="9"/>
  <c r="G113" i="9"/>
  <c r="G51" i="9"/>
  <c r="G88" i="9"/>
  <c r="H75" i="9"/>
  <c r="H121" i="9"/>
  <c r="H77" i="9"/>
  <c r="H136" i="9"/>
  <c r="G108" i="9"/>
  <c r="G96" i="9"/>
  <c r="G123" i="9"/>
  <c r="G78" i="9"/>
  <c r="H115" i="9"/>
  <c r="H86" i="9"/>
  <c r="H67" i="9"/>
  <c r="G128" i="9"/>
  <c r="G57" i="9"/>
  <c r="G132" i="9"/>
  <c r="G48" i="9"/>
  <c r="H43" i="9"/>
  <c r="H65" i="9"/>
  <c r="H116" i="9"/>
  <c r="G91" i="9"/>
  <c r="G38" i="9"/>
  <c r="G56" i="9"/>
  <c r="H71" i="9"/>
  <c r="H63" i="9"/>
  <c r="G134" i="9"/>
  <c r="G89" i="9"/>
  <c r="H132" i="9"/>
  <c r="G135" i="9"/>
  <c r="H110" i="9"/>
  <c r="G28" i="9"/>
  <c r="H105" i="9"/>
  <c r="G122" i="9"/>
  <c r="H104" i="9"/>
  <c r="H113" i="9"/>
  <c r="H66" i="9"/>
  <c r="G62" i="9"/>
  <c r="G95" i="9"/>
  <c r="H53" i="9"/>
  <c r="G90" i="9"/>
  <c r="G64" i="9"/>
  <c r="G66" i="9"/>
  <c r="H130" i="9"/>
  <c r="H85" i="9"/>
  <c r="H29" i="9"/>
  <c r="G58" i="9"/>
  <c r="G41" i="9"/>
  <c r="G24" i="9"/>
  <c r="G93" i="9"/>
  <c r="H33" i="9"/>
  <c r="H62" i="9"/>
  <c r="H26" i="9"/>
  <c r="G39" i="9"/>
  <c r="H95" i="9"/>
  <c r="G45" i="9"/>
  <c r="G124" i="9"/>
  <c r="G126" i="9"/>
  <c r="G110" i="9"/>
  <c r="G71" i="9"/>
  <c r="H80" i="9"/>
  <c r="H64" i="9"/>
  <c r="H100" i="9"/>
  <c r="G29" i="9"/>
  <c r="G63" i="9"/>
  <c r="H109" i="9"/>
  <c r="H39" i="9"/>
  <c r="H81" i="9"/>
  <c r="G115" i="9"/>
  <c r="H123" i="9"/>
  <c r="G52" i="9"/>
  <c r="H44" i="9"/>
  <c r="H28" i="9"/>
  <c r="G53" i="9"/>
  <c r="H55" i="9"/>
  <c r="H37" i="9"/>
  <c r="G87" i="9"/>
  <c r="G33" i="9"/>
  <c r="G100" i="9"/>
  <c r="H128" i="9"/>
  <c r="H134" i="9"/>
  <c r="G120" i="9"/>
  <c r="G99" i="9"/>
  <c r="G119" i="9"/>
  <c r="H107" i="9"/>
  <c r="G47" i="9"/>
  <c r="H97" i="9"/>
  <c r="E22" i="9"/>
  <c r="H122" i="9"/>
  <c r="G74" i="9"/>
  <c r="H40" i="9"/>
  <c r="H68" i="9"/>
  <c r="G50" i="9"/>
  <c r="G116" i="9"/>
  <c r="H31" i="9"/>
  <c r="H106" i="9"/>
  <c r="G86" i="9"/>
  <c r="G43" i="9"/>
  <c r="H118" i="9"/>
  <c r="H50" i="9"/>
  <c r="G54" i="9"/>
  <c r="H35" i="9"/>
  <c r="G23" i="9"/>
  <c r="H23" i="9"/>
  <c r="H25" i="6" l="1"/>
  <c r="H29" i="6"/>
  <c r="H33" i="6"/>
  <c r="H24" i="6"/>
  <c r="H28" i="6"/>
  <c r="H32" i="6"/>
  <c r="H36" i="6"/>
  <c r="H23" i="6"/>
  <c r="H27" i="6"/>
  <c r="H31" i="6"/>
  <c r="H35" i="6"/>
  <c r="H26" i="6"/>
  <c r="H30" i="6"/>
  <c r="H34" i="6"/>
  <c r="H38" i="6"/>
  <c r="H42" i="6"/>
  <c r="H46" i="6"/>
  <c r="H37" i="6"/>
  <c r="H41" i="6"/>
  <c r="H45" i="6"/>
  <c r="H49" i="6"/>
  <c r="H51" i="6"/>
  <c r="H40" i="6"/>
  <c r="H44" i="6"/>
  <c r="H48" i="6"/>
  <c r="H57" i="6"/>
  <c r="H52" i="6"/>
  <c r="H55" i="6"/>
  <c r="H39" i="6"/>
  <c r="H43" i="6"/>
  <c r="H47" i="6"/>
  <c r="H54" i="6"/>
  <c r="H50" i="6"/>
  <c r="H53" i="6"/>
  <c r="H61" i="6"/>
  <c r="H81" i="6"/>
  <c r="H58" i="6"/>
  <c r="H62" i="6"/>
  <c r="H66" i="6"/>
  <c r="H70" i="6"/>
  <c r="H79" i="6"/>
  <c r="H72" i="6"/>
  <c r="H80" i="6"/>
  <c r="H65" i="6"/>
  <c r="H69" i="6"/>
  <c r="H74" i="6"/>
  <c r="H56" i="6"/>
  <c r="H60" i="6"/>
  <c r="H64" i="6"/>
  <c r="H68" i="6"/>
  <c r="H75" i="6"/>
  <c r="H71" i="6"/>
  <c r="H76" i="6"/>
  <c r="H78" i="6"/>
  <c r="H59" i="6"/>
  <c r="H63" i="6"/>
  <c r="H67" i="6"/>
  <c r="H73" i="6"/>
  <c r="H77" i="6"/>
  <c r="H95" i="6"/>
  <c r="H83" i="6"/>
  <c r="H87" i="6"/>
  <c r="H91" i="6"/>
  <c r="H98" i="6"/>
  <c r="H82" i="6"/>
  <c r="H86" i="6"/>
  <c r="H90" i="6"/>
  <c r="H93" i="6"/>
  <c r="H85" i="6"/>
  <c r="H89" i="6"/>
  <c r="H97" i="6"/>
  <c r="H101" i="6"/>
  <c r="H94" i="6"/>
  <c r="H84" i="6"/>
  <c r="H88" i="6"/>
  <c r="H92" i="6"/>
  <c r="H118" i="6"/>
  <c r="H99" i="6"/>
  <c r="H103" i="6"/>
  <c r="H107" i="6"/>
  <c r="H111" i="6"/>
  <c r="H115" i="6"/>
  <c r="H121" i="6"/>
  <c r="H122" i="6"/>
  <c r="H102" i="6"/>
  <c r="H106" i="6"/>
  <c r="H110" i="6"/>
  <c r="H114" i="6"/>
  <c r="H117" i="6"/>
  <c r="H105" i="6"/>
  <c r="H109" i="6"/>
  <c r="H113" i="6"/>
  <c r="H120" i="6"/>
  <c r="H125" i="6"/>
  <c r="H96" i="6"/>
  <c r="H100" i="6"/>
  <c r="H104" i="6"/>
  <c r="H108" i="6"/>
  <c r="H112" i="6"/>
  <c r="H116" i="6"/>
  <c r="H129" i="6"/>
  <c r="H133" i="6"/>
  <c r="H137" i="6"/>
  <c r="H148" i="6"/>
  <c r="H124" i="6"/>
  <c r="H128" i="6"/>
  <c r="H132" i="6"/>
  <c r="H136" i="6"/>
  <c r="H139" i="6"/>
  <c r="H144" i="6"/>
  <c r="H141" i="6"/>
  <c r="H119" i="6"/>
  <c r="H123" i="6"/>
  <c r="H127" i="6"/>
  <c r="H131" i="6"/>
  <c r="H135" i="6"/>
  <c r="H145" i="6"/>
  <c r="H143" i="6"/>
  <c r="H126" i="6"/>
  <c r="H130" i="6"/>
  <c r="H134" i="6"/>
  <c r="H140" i="6"/>
  <c r="H165" i="6"/>
  <c r="H171" i="6"/>
  <c r="H149" i="6"/>
  <c r="H153" i="6"/>
  <c r="H157" i="6"/>
  <c r="H161" i="6"/>
  <c r="H166" i="6"/>
  <c r="H167" i="6"/>
  <c r="H152" i="6"/>
  <c r="H156" i="6"/>
  <c r="H160" i="6"/>
  <c r="H163" i="6"/>
  <c r="H176" i="6"/>
  <c r="H147" i="6"/>
  <c r="H151" i="6"/>
  <c r="H155" i="6"/>
  <c r="H159" i="6"/>
  <c r="H162" i="6"/>
  <c r="H168" i="6"/>
  <c r="H164" i="6"/>
  <c r="H172" i="6"/>
  <c r="H138" i="6"/>
  <c r="H142" i="6"/>
  <c r="H146" i="6"/>
  <c r="H150" i="6"/>
  <c r="H154" i="6"/>
  <c r="H158" i="6"/>
  <c r="H187" i="6"/>
  <c r="H170" i="6"/>
  <c r="H174" i="6"/>
  <c r="H178" i="6"/>
  <c r="H180" i="6"/>
  <c r="H182" i="6"/>
  <c r="H190" i="6"/>
  <c r="H169" i="6"/>
  <c r="H173" i="6"/>
  <c r="H177" i="6"/>
  <c r="H183" i="6"/>
  <c r="H194" i="6"/>
  <c r="H189" i="6"/>
  <c r="H179" i="6"/>
  <c r="H191" i="6"/>
  <c r="H185" i="6"/>
  <c r="H175" i="6"/>
  <c r="H186" i="6"/>
  <c r="H181" i="6"/>
  <c r="H198" i="6"/>
  <c r="H195" i="6"/>
  <c r="H199" i="6"/>
  <c r="H203" i="6"/>
  <c r="H202" i="6"/>
  <c r="H206" i="6"/>
  <c r="H193" i="6"/>
  <c r="H197" i="6"/>
  <c r="H201" i="6"/>
  <c r="H205" i="6"/>
  <c r="H184" i="6"/>
  <c r="H188" i="6"/>
  <c r="H192" i="6"/>
  <c r="H196" i="6"/>
  <c r="H200" i="6"/>
  <c r="H204" i="6"/>
  <c r="H19" i="9"/>
  <c r="I2" i="9"/>
  <c r="J3" i="9"/>
  <c r="H22" i="6"/>
  <c r="R20" i="6"/>
  <c r="R1" i="6"/>
  <c r="X2" i="6"/>
  <c r="I23" i="9"/>
  <c r="H22" i="9"/>
  <c r="D25" i="5"/>
  <c r="S181" i="6" a="1"/>
  <c r="S152" i="6" a="1"/>
  <c r="V178" i="6"/>
  <c r="R104" i="6"/>
  <c r="U174" i="6"/>
  <c r="R179" i="6"/>
  <c r="U77" i="6"/>
  <c r="U105" i="6"/>
  <c r="V170" i="6"/>
  <c r="V157" i="6"/>
  <c r="S56" i="6" a="1"/>
  <c r="U153" i="6"/>
  <c r="U202" i="6"/>
  <c r="T111" i="6"/>
  <c r="R159" i="6"/>
  <c r="R173" i="6"/>
  <c r="R182" i="6"/>
  <c r="R36" i="6"/>
  <c r="U94" i="6"/>
  <c r="I36" i="9"/>
  <c r="T53" i="6"/>
  <c r="S87" i="6" a="1"/>
  <c r="U129" i="6"/>
  <c r="S169" i="6" a="1"/>
  <c r="U52" i="6"/>
  <c r="I77" i="9"/>
  <c r="T80" i="6"/>
  <c r="I57" i="9"/>
  <c r="U185" i="6"/>
  <c r="T177" i="6"/>
  <c r="S41" i="6" a="1"/>
  <c r="R154" i="6"/>
  <c r="R174" i="6"/>
  <c r="U204" i="6"/>
  <c r="U111" i="6"/>
  <c r="U61" i="6"/>
  <c r="S24" i="6" a="1"/>
  <c r="V76" i="6"/>
  <c r="R40" i="6"/>
  <c r="T25" i="6"/>
  <c r="S180" i="6" a="1"/>
  <c r="I107" i="9"/>
  <c r="S105" i="6" a="1"/>
  <c r="T66" i="6"/>
  <c r="R97" i="6"/>
  <c r="R126" i="6"/>
  <c r="R191" i="6"/>
  <c r="T83" i="6"/>
  <c r="C22" i="9"/>
  <c r="T71" i="6"/>
  <c r="U183" i="6"/>
  <c r="S203" i="6" a="1"/>
  <c r="R66" i="6"/>
  <c r="R188" i="6"/>
  <c r="V184" i="6"/>
  <c r="T164" i="6"/>
  <c r="R102" i="6"/>
  <c r="T190" i="6"/>
  <c r="T159" i="6"/>
  <c r="V50" i="6"/>
  <c r="V145" i="6"/>
  <c r="S37" i="6" a="1"/>
  <c r="V148" i="6"/>
  <c r="R152" i="6"/>
  <c r="I64" i="9"/>
  <c r="R62" i="6"/>
  <c r="T26" i="6"/>
  <c r="V151" i="6"/>
  <c r="I101" i="9"/>
  <c r="S122" i="6" a="1"/>
  <c r="T63" i="6"/>
  <c r="V159" i="6"/>
  <c r="T87" i="6"/>
  <c r="R187" i="6"/>
  <c r="V33" i="6"/>
  <c r="T161" i="6"/>
  <c r="I106" i="9"/>
  <c r="T167" i="6"/>
  <c r="S165" i="6" a="1"/>
  <c r="T194" i="6"/>
  <c r="U190" i="6"/>
  <c r="U115" i="6"/>
  <c r="S77" i="6" a="1"/>
  <c r="U198" i="6"/>
  <c r="U82" i="6"/>
  <c r="R177" i="6"/>
  <c r="V75" i="6"/>
  <c r="R146" i="6"/>
  <c r="T35" i="6"/>
  <c r="S202" i="6" a="1"/>
  <c r="I46" i="9"/>
  <c r="R123" i="6"/>
  <c r="U120" i="6"/>
  <c r="T203" i="6"/>
  <c r="U169" i="6"/>
  <c r="I132" i="9"/>
  <c r="V113" i="6"/>
  <c r="R72" i="6"/>
  <c r="T48" i="6"/>
  <c r="S144" i="6" a="1"/>
  <c r="T172" i="6"/>
  <c r="I95" i="9"/>
  <c r="V114" i="6"/>
  <c r="I136" i="9"/>
  <c r="T185" i="6"/>
  <c r="V105" i="6"/>
  <c r="R129" i="6"/>
  <c r="U88" i="6"/>
  <c r="V101" i="6"/>
  <c r="U166" i="6"/>
  <c r="S97" i="6" a="1"/>
  <c r="R88" i="6"/>
  <c r="V89" i="6"/>
  <c r="R98" i="6"/>
  <c r="U180" i="6"/>
  <c r="U69" i="6"/>
  <c r="U54" i="6"/>
  <c r="T84" i="6"/>
  <c r="S149" i="6" a="1"/>
  <c r="I27" i="9"/>
  <c r="V140" i="6"/>
  <c r="S23" i="6" a="1"/>
  <c r="V192" i="6"/>
  <c r="R32" i="6"/>
  <c r="U86" i="6"/>
  <c r="V66" i="6"/>
  <c r="V183" i="6"/>
  <c r="S100" i="6" a="1"/>
  <c r="R50" i="6"/>
  <c r="V35" i="6"/>
  <c r="U119" i="6"/>
  <c r="I69" i="9"/>
  <c r="U71" i="6"/>
  <c r="S46" i="6" a="1"/>
  <c r="S158" i="6" a="1"/>
  <c r="V53" i="6"/>
  <c r="S91" i="6" a="1"/>
  <c r="V199" i="6"/>
  <c r="V203" i="6"/>
  <c r="V78" i="6"/>
  <c r="S32" i="6" a="1"/>
  <c r="S26" i="6" a="1"/>
  <c r="V158" i="6"/>
  <c r="V29" i="6"/>
  <c r="S134" i="6" a="1"/>
  <c r="T73" i="6"/>
  <c r="U63" i="6"/>
  <c r="V138" i="6"/>
  <c r="S197" i="6" a="1"/>
  <c r="U117" i="6"/>
  <c r="S55" i="6" a="1"/>
  <c r="U109" i="6"/>
  <c r="S142" i="6" a="1"/>
  <c r="S127" i="6" a="1"/>
  <c r="U196" i="6"/>
  <c r="S93" i="6" a="1"/>
  <c r="I99" i="9"/>
  <c r="U128" i="6"/>
  <c r="U59" i="6"/>
  <c r="T148" i="6"/>
  <c r="T123" i="6"/>
  <c r="V175" i="6"/>
  <c r="R70" i="6"/>
  <c r="R157" i="6"/>
  <c r="S99" i="6" a="1"/>
  <c r="S151" i="6" a="1"/>
  <c r="S116" i="6" a="1"/>
  <c r="V54" i="6"/>
  <c r="R100" i="6"/>
  <c r="U90" i="6"/>
  <c r="T46" i="6"/>
  <c r="U125" i="6"/>
  <c r="I105" i="9"/>
  <c r="T146" i="6"/>
  <c r="U149" i="6"/>
  <c r="V70" i="6"/>
  <c r="R34" i="6"/>
  <c r="U72" i="6"/>
  <c r="R144" i="6"/>
  <c r="R111" i="6"/>
  <c r="T140" i="6"/>
  <c r="S188" i="6" a="1"/>
  <c r="U127" i="6"/>
  <c r="S85" i="6" a="1"/>
  <c r="R101" i="6"/>
  <c r="S113" i="6" a="1"/>
  <c r="U87" i="6"/>
  <c r="R78" i="6"/>
  <c r="U124" i="6"/>
  <c r="V74" i="6"/>
  <c r="T68" i="6"/>
  <c r="S33" i="6" a="1"/>
  <c r="U91" i="6"/>
  <c r="I38" i="9"/>
  <c r="U103" i="6"/>
  <c r="R148" i="6"/>
  <c r="V93" i="6"/>
  <c r="U68" i="6"/>
  <c r="U56" i="6"/>
  <c r="V73" i="6"/>
  <c r="U38" i="6"/>
  <c r="U58" i="6"/>
  <c r="R192" i="6"/>
  <c r="R198" i="6"/>
  <c r="S90" i="6" a="1"/>
  <c r="S62" i="6" a="1"/>
  <c r="V189" i="6"/>
  <c r="T57" i="6"/>
  <c r="R125" i="6"/>
  <c r="I52" i="9"/>
  <c r="V150" i="6"/>
  <c r="T110" i="6"/>
  <c r="T96" i="6"/>
  <c r="S27" i="6" a="1"/>
  <c r="T95" i="6"/>
  <c r="S79" i="6" a="1"/>
  <c r="S174" i="6" a="1"/>
  <c r="V82" i="6"/>
  <c r="T42" i="6"/>
  <c r="U81" i="6"/>
  <c r="R162" i="6"/>
  <c r="V31" i="6"/>
  <c r="S195" i="6" a="1"/>
  <c r="U203" i="6"/>
  <c r="S94" i="6" a="1"/>
  <c r="V144" i="6"/>
  <c r="V161" i="6"/>
  <c r="R94" i="6"/>
  <c r="S145" i="6" a="1"/>
  <c r="T118" i="6"/>
  <c r="R178" i="6"/>
  <c r="S201" i="6" a="1"/>
  <c r="R38" i="6"/>
  <c r="R196" i="6"/>
  <c r="U70" i="6"/>
  <c r="I42" i="9"/>
  <c r="R54" i="6"/>
  <c r="S36" i="6" a="1"/>
  <c r="V71" i="6"/>
  <c r="V39" i="6"/>
  <c r="S88" i="6" a="1"/>
  <c r="R189" i="6"/>
  <c r="U173" i="6"/>
  <c r="I124" i="9"/>
  <c r="U47" i="6"/>
  <c r="I128" i="9"/>
  <c r="T124" i="6"/>
  <c r="U48" i="6"/>
  <c r="S125" i="6" a="1"/>
  <c r="U126" i="6"/>
  <c r="V172" i="6"/>
  <c r="S154" i="6" a="1"/>
  <c r="I96" i="9"/>
  <c r="R110" i="6"/>
  <c r="R67" i="6"/>
  <c r="T78" i="6"/>
  <c r="S67" i="6" a="1"/>
  <c r="R45" i="6"/>
  <c r="T130" i="6"/>
  <c r="I117" i="9"/>
  <c r="R124" i="6"/>
  <c r="R156" i="6"/>
  <c r="U93" i="6"/>
  <c r="U66" i="6"/>
  <c r="R147" i="6"/>
  <c r="T137" i="6"/>
  <c r="U178" i="6"/>
  <c r="T39" i="6"/>
  <c r="V167" i="6"/>
  <c r="S78" i="6" a="1"/>
  <c r="T104" i="6"/>
  <c r="S30" i="6" a="1"/>
  <c r="V154" i="6"/>
  <c r="R59" i="6"/>
  <c r="V165" i="6"/>
  <c r="T157" i="6"/>
  <c r="U37" i="6"/>
  <c r="U155" i="6"/>
  <c r="R84" i="6"/>
  <c r="U145" i="6"/>
  <c r="T160" i="6"/>
  <c r="U44" i="6"/>
  <c r="V133" i="6"/>
  <c r="S58" i="6" a="1"/>
  <c r="V46" i="6"/>
  <c r="R33" i="6"/>
  <c r="T186" i="6"/>
  <c r="I22" i="9"/>
  <c r="V111" i="6"/>
  <c r="U122" i="6"/>
  <c r="U57" i="6"/>
  <c r="T86" i="6"/>
  <c r="S139" i="6" a="1"/>
  <c r="V117" i="6"/>
  <c r="V176" i="6"/>
  <c r="V44" i="6"/>
  <c r="R139" i="6"/>
  <c r="V171" i="6"/>
  <c r="T38" i="6"/>
  <c r="S123" i="6" a="1"/>
  <c r="S198" i="6" a="1"/>
  <c r="R65" i="6"/>
  <c r="T128" i="6"/>
  <c r="T122" i="6"/>
  <c r="U184" i="6"/>
  <c r="I87" i="9"/>
  <c r="T156" i="6"/>
  <c r="I91" i="9"/>
  <c r="S143" i="6" a="1"/>
  <c r="I120" i="9"/>
  <c r="R109" i="6"/>
  <c r="U168" i="6"/>
  <c r="U108" i="6"/>
  <c r="R80" i="6"/>
  <c r="I59" i="9"/>
  <c r="V181" i="6"/>
  <c r="S141" i="6" a="1"/>
  <c r="R44" i="6"/>
  <c r="U140" i="6"/>
  <c r="U152" i="6"/>
  <c r="S191" i="6" a="1"/>
  <c r="T24" i="6"/>
  <c r="U148" i="6"/>
  <c r="T108" i="6"/>
  <c r="V61" i="6"/>
  <c r="T106" i="6"/>
  <c r="S65" i="6" a="1"/>
  <c r="V134" i="6"/>
  <c r="S54" i="6" a="1"/>
  <c r="S124" i="6" a="1"/>
  <c r="V56" i="6"/>
  <c r="S161" i="6" a="1"/>
  <c r="U161" i="6"/>
  <c r="U201" i="6"/>
  <c r="I78" i="9"/>
  <c r="T195" i="6"/>
  <c r="T31" i="6"/>
  <c r="T191" i="6"/>
  <c r="T169" i="6"/>
  <c r="U64" i="6"/>
  <c r="U151" i="6"/>
  <c r="U146" i="6"/>
  <c r="I74" i="9"/>
  <c r="V206" i="6"/>
  <c r="U35" i="6"/>
  <c r="S86" i="6" a="1"/>
  <c r="I34" i="9"/>
  <c r="S106" i="6" a="1"/>
  <c r="I30" i="9"/>
  <c r="V59" i="6"/>
  <c r="I83" i="9"/>
  <c r="R55" i="6"/>
  <c r="U75" i="6"/>
  <c r="V37" i="6"/>
  <c r="R143" i="6"/>
  <c r="I137" i="9"/>
  <c r="U187" i="6"/>
  <c r="I88" i="9"/>
  <c r="R201" i="6"/>
  <c r="U51" i="6"/>
  <c r="S82" i="6" a="1"/>
  <c r="U143" i="6"/>
  <c r="T30" i="6"/>
  <c r="T98" i="6"/>
  <c r="S189" i="6" a="1"/>
  <c r="T74" i="6"/>
  <c r="U171" i="6"/>
  <c r="U188" i="6"/>
  <c r="U186" i="6"/>
  <c r="R46" i="6"/>
  <c r="S183" i="6" a="1"/>
  <c r="V200" i="6"/>
  <c r="V47" i="6"/>
  <c r="S185" i="6" a="1"/>
  <c r="V179" i="6"/>
  <c r="S167" i="6" a="1"/>
  <c r="T196" i="6"/>
  <c r="S119" i="6" a="1"/>
  <c r="U162" i="6"/>
  <c r="V60" i="6"/>
  <c r="V49" i="6"/>
  <c r="I25" i="9"/>
  <c r="U102" i="6"/>
  <c r="V63" i="6"/>
  <c r="U200" i="6"/>
  <c r="T193" i="6"/>
  <c r="S146" i="6" a="1"/>
  <c r="U182" i="6"/>
  <c r="V193" i="6"/>
  <c r="U130" i="6"/>
  <c r="I33" i="9"/>
  <c r="R185" i="6"/>
  <c r="V107" i="6"/>
  <c r="I102" i="9"/>
  <c r="R29" i="6"/>
  <c r="T70" i="6"/>
  <c r="I116" i="9"/>
  <c r="R106" i="6"/>
  <c r="I108" i="9"/>
  <c r="R99" i="6"/>
  <c r="T187" i="6"/>
  <c r="T145" i="6"/>
  <c r="V191" i="6"/>
  <c r="I84" i="9"/>
  <c r="V195" i="6"/>
  <c r="I51" i="9"/>
  <c r="S76" i="6" a="1"/>
  <c r="S70" i="6" a="1"/>
  <c r="S42" i="6" a="1"/>
  <c r="T151" i="6"/>
  <c r="V24" i="6"/>
  <c r="V72" i="6"/>
  <c r="R133" i="6"/>
  <c r="T138" i="6"/>
  <c r="R200" i="6"/>
  <c r="S108" i="6" a="1"/>
  <c r="V100" i="6"/>
  <c r="R116" i="6"/>
  <c r="U159" i="6"/>
  <c r="V102" i="6"/>
  <c r="S204" i="6" a="1"/>
  <c r="T49" i="6"/>
  <c r="T181" i="6"/>
  <c r="S131" i="6" a="1"/>
  <c r="R127" i="6"/>
  <c r="U192" i="6"/>
  <c r="V90" i="6"/>
  <c r="I86" i="9"/>
  <c r="S172" i="6" a="1"/>
  <c r="I127" i="9"/>
  <c r="S53" i="6" a="1"/>
  <c r="T149" i="6"/>
  <c r="T200" i="6"/>
  <c r="S193" i="6" a="1"/>
  <c r="U49" i="6"/>
  <c r="R83" i="6"/>
  <c r="U177" i="6"/>
  <c r="V162" i="6"/>
  <c r="T152" i="6"/>
  <c r="V163" i="6"/>
  <c r="T27" i="6"/>
  <c r="T144" i="6"/>
  <c r="I79" i="9"/>
  <c r="S120" i="6" a="1"/>
  <c r="I71" i="9"/>
  <c r="R64" i="6"/>
  <c r="U96" i="6"/>
  <c r="R73" i="6"/>
  <c r="S121" i="6" a="1"/>
  <c r="I47" i="9"/>
  <c r="T171" i="6"/>
  <c r="I129" i="9"/>
  <c r="V38" i="6"/>
  <c r="S52" i="6" a="1"/>
  <c r="T100" i="6"/>
  <c r="S83" i="6" a="1"/>
  <c r="V43" i="6"/>
  <c r="U194" i="6"/>
  <c r="R53" i="6"/>
  <c r="S194" i="6" a="1"/>
  <c r="U101" i="6"/>
  <c r="T103" i="6"/>
  <c r="R197" i="6"/>
  <c r="T114" i="6"/>
  <c r="S29" i="6" a="1"/>
  <c r="S39" i="6" a="1"/>
  <c r="R195" i="6"/>
  <c r="V42" i="6"/>
  <c r="V68" i="6"/>
  <c r="I26" i="9"/>
  <c r="T109" i="6"/>
  <c r="U36" i="6"/>
  <c r="R51" i="6"/>
  <c r="T55" i="6"/>
  <c r="I104" i="9"/>
  <c r="S64" i="6" a="1"/>
  <c r="U24" i="6"/>
  <c r="V180" i="6"/>
  <c r="I76" i="9"/>
  <c r="V156" i="6"/>
  <c r="U98" i="6"/>
  <c r="V130" i="6"/>
  <c r="R122" i="6"/>
  <c r="S156" i="6" a="1"/>
  <c r="T113" i="6"/>
  <c r="U179" i="6"/>
  <c r="S200" i="6" a="1"/>
  <c r="U22" i="6"/>
  <c r="R150" i="6"/>
  <c r="R135" i="6"/>
  <c r="I126" i="9"/>
  <c r="R75" i="6"/>
  <c r="T60" i="6"/>
  <c r="S150" i="6" a="1"/>
  <c r="S68" i="6" a="1"/>
  <c r="R120" i="6"/>
  <c r="R149" i="6"/>
  <c r="V108" i="6"/>
  <c r="U55" i="6"/>
  <c r="S111" i="6" a="1"/>
  <c r="I135" i="9"/>
  <c r="T153" i="6"/>
  <c r="I37" i="9"/>
  <c r="S187" i="6" a="1"/>
  <c r="I25" i="5"/>
  <c r="R169" i="6"/>
  <c r="V69" i="6"/>
  <c r="R25" i="6"/>
  <c r="S66" i="6" a="1"/>
  <c r="V34" i="6"/>
  <c r="R165" i="6"/>
  <c r="U50" i="6"/>
  <c r="I67" i="9"/>
  <c r="T101" i="6"/>
  <c r="U34" i="6"/>
  <c r="V57" i="6"/>
  <c r="I39" i="9"/>
  <c r="U41" i="6"/>
  <c r="R142" i="6"/>
  <c r="U199" i="6"/>
  <c r="S176" i="6" a="1"/>
  <c r="S95" i="6" a="1"/>
  <c r="V174" i="6"/>
  <c r="U113" i="6"/>
  <c r="T175" i="6"/>
  <c r="R167" i="6"/>
  <c r="V79" i="6"/>
  <c r="V198" i="6"/>
  <c r="I73" i="9"/>
  <c r="U147" i="6"/>
  <c r="T44" i="6"/>
  <c r="T165" i="6"/>
  <c r="U136" i="6"/>
  <c r="T139" i="6"/>
  <c r="U53" i="6"/>
  <c r="S109" i="6" a="1"/>
  <c r="S178" i="6" a="1"/>
  <c r="S48" i="6" a="1"/>
  <c r="I82" i="9"/>
  <c r="T59" i="6"/>
  <c r="U25" i="6"/>
  <c r="R107" i="6"/>
  <c r="U157" i="6"/>
  <c r="S50" i="6" a="1"/>
  <c r="U84" i="6"/>
  <c r="V124" i="6"/>
  <c r="T105" i="6"/>
  <c r="V48" i="6"/>
  <c r="K25" i="5"/>
  <c r="R164" i="6"/>
  <c r="U97" i="6"/>
  <c r="V160" i="6"/>
  <c r="T134" i="6"/>
  <c r="S133" i="6" a="1"/>
  <c r="S74" i="6" a="1"/>
  <c r="S102" i="6" a="1"/>
  <c r="T158" i="6"/>
  <c r="V87" i="6"/>
  <c r="T23" i="6"/>
  <c r="S112" i="6" a="1"/>
  <c r="R35" i="6"/>
  <c r="U193" i="6"/>
  <c r="V98" i="6"/>
  <c r="I92" i="9"/>
  <c r="V186" i="6"/>
  <c r="R23" i="6"/>
  <c r="U114" i="6"/>
  <c r="T36" i="6"/>
  <c r="T201" i="6"/>
  <c r="R56" i="6"/>
  <c r="I72" i="9"/>
  <c r="V97" i="6"/>
  <c r="S69" i="6" a="1"/>
  <c r="R206" i="6"/>
  <c r="V187" i="6"/>
  <c r="R68" i="6"/>
  <c r="R184" i="6"/>
  <c r="V91" i="6"/>
  <c r="U110" i="6"/>
  <c r="I122" i="9"/>
  <c r="V122" i="6"/>
  <c r="T150" i="6"/>
  <c r="T75" i="6"/>
  <c r="R52" i="6"/>
  <c r="U165" i="6"/>
  <c r="U167" i="6"/>
  <c r="S192" i="6" a="1"/>
  <c r="R108" i="6"/>
  <c r="T76" i="6"/>
  <c r="I45" i="9"/>
  <c r="U31" i="6"/>
  <c r="T133" i="6"/>
  <c r="T51" i="6"/>
  <c r="T37" i="6"/>
  <c r="T79" i="6"/>
  <c r="S71" i="6" a="1"/>
  <c r="G22" i="9"/>
  <c r="R172" i="6"/>
  <c r="V190" i="6"/>
  <c r="I112" i="9"/>
  <c r="T154" i="6"/>
  <c r="I55" i="9"/>
  <c r="T127" i="6"/>
  <c r="R166" i="6"/>
  <c r="V185" i="6"/>
  <c r="U30" i="6"/>
  <c r="S47" i="6" a="1"/>
  <c r="R168" i="6"/>
  <c r="I35" i="9"/>
  <c r="T163" i="6"/>
  <c r="V131" i="6"/>
  <c r="U43" i="6"/>
  <c r="V96" i="6"/>
  <c r="R95" i="6"/>
  <c r="S148" i="6" a="1"/>
  <c r="I40" i="9"/>
  <c r="U67" i="6"/>
  <c r="I85" i="9"/>
  <c r="V112" i="6"/>
  <c r="T85" i="6"/>
  <c r="T189" i="6"/>
  <c r="S190" i="6" a="1"/>
  <c r="U141" i="6"/>
  <c r="T129" i="6"/>
  <c r="U39" i="6"/>
  <c r="U79" i="6"/>
  <c r="R161" i="6"/>
  <c r="I75" i="9"/>
  <c r="S170" i="6" a="1"/>
  <c r="U28" i="6"/>
  <c r="R92" i="6"/>
  <c r="S132" i="6" a="1"/>
  <c r="R181" i="6"/>
  <c r="V36" i="6"/>
  <c r="T182" i="6"/>
  <c r="S73" i="6" a="1"/>
  <c r="I113" i="9"/>
  <c r="S135" i="6" a="1"/>
  <c r="S157" i="6" a="1"/>
  <c r="R105" i="6"/>
  <c r="V115" i="6"/>
  <c r="T162" i="6"/>
  <c r="R39" i="6"/>
  <c r="I134" i="9"/>
  <c r="T204" i="6"/>
  <c r="R24" i="6"/>
  <c r="S138" i="6" a="1"/>
  <c r="R119" i="6"/>
  <c r="T99" i="6"/>
  <c r="T94" i="6"/>
  <c r="T40" i="6"/>
  <c r="I49" i="9"/>
  <c r="T82" i="6"/>
  <c r="U131" i="6"/>
  <c r="S60" i="6" a="1"/>
  <c r="T198" i="6"/>
  <c r="R79" i="6"/>
  <c r="I100" i="9"/>
  <c r="R74" i="6"/>
  <c r="V26" i="6"/>
  <c r="R202" i="6"/>
  <c r="U74" i="6"/>
  <c r="V204" i="6"/>
  <c r="U123" i="6"/>
  <c r="I80" i="9"/>
  <c r="U134" i="6"/>
  <c r="I60" i="9"/>
  <c r="V132" i="6"/>
  <c r="U172" i="6"/>
  <c r="T93" i="6"/>
  <c r="R103" i="6"/>
  <c r="V196" i="6"/>
  <c r="R77" i="6"/>
  <c r="I81" i="9"/>
  <c r="V121" i="6"/>
  <c r="R26" i="6"/>
  <c r="V55" i="6"/>
  <c r="V92" i="6"/>
  <c r="V120" i="6"/>
  <c r="T131" i="6"/>
  <c r="U205" i="6"/>
  <c r="I98" i="9"/>
  <c r="R91" i="6"/>
  <c r="I94" i="9"/>
  <c r="R138" i="6"/>
  <c r="V205" i="6"/>
  <c r="R163" i="6"/>
  <c r="S103" i="6" a="1"/>
  <c r="R134" i="6"/>
  <c r="U107" i="6"/>
  <c r="I63" i="9"/>
  <c r="U78" i="6"/>
  <c r="R27" i="6"/>
  <c r="U80" i="6"/>
  <c r="U116" i="6"/>
  <c r="V103" i="6"/>
  <c r="R153" i="6"/>
  <c r="I43" i="9"/>
  <c r="R137" i="6"/>
  <c r="I125" i="9"/>
  <c r="T89" i="6"/>
  <c r="R87" i="6"/>
  <c r="V51" i="6"/>
  <c r="U133" i="6"/>
  <c r="T116" i="6"/>
  <c r="U139" i="6"/>
  <c r="I28" i="9"/>
  <c r="R37" i="6"/>
  <c r="S35" i="6" a="1"/>
  <c r="T43" i="6"/>
  <c r="S184" i="6" a="1"/>
  <c r="V109" i="6"/>
  <c r="T97" i="6"/>
  <c r="S22" i="6" a="1"/>
  <c r="I61" i="9"/>
  <c r="T72" i="6"/>
  <c r="I41" i="9"/>
  <c r="V142" i="6"/>
  <c r="S63" i="6" a="1"/>
  <c r="S140" i="6" a="1"/>
  <c r="R121" i="6"/>
  <c r="V84" i="6"/>
  <c r="U206" i="6"/>
  <c r="I123" i="9"/>
  <c r="R69" i="6"/>
  <c r="T184" i="6"/>
  <c r="S118" i="6" a="1"/>
  <c r="S84" i="6" a="1"/>
  <c r="T141" i="6"/>
  <c r="U32" i="6"/>
  <c r="U158" i="6"/>
  <c r="V95" i="6"/>
  <c r="V62" i="6"/>
  <c r="R132" i="6"/>
  <c r="U42" i="6"/>
  <c r="T180" i="6"/>
  <c r="I121" i="9"/>
  <c r="T125" i="6"/>
  <c r="T28" i="6"/>
  <c r="S186" i="6" a="1"/>
  <c r="S163" i="6" a="1"/>
  <c r="V65" i="6"/>
  <c r="R136" i="6"/>
  <c r="R160" i="6"/>
  <c r="S153" i="6" a="1"/>
  <c r="I130" i="9"/>
  <c r="T22" i="6"/>
  <c r="V197" i="6"/>
  <c r="S175" i="6" a="1"/>
  <c r="V118" i="6"/>
  <c r="V119" i="6"/>
  <c r="V136" i="6"/>
  <c r="S110" i="6" a="1"/>
  <c r="V25" i="6"/>
  <c r="R112" i="6"/>
  <c r="I90" i="9"/>
  <c r="R204" i="6"/>
  <c r="S40" i="6" a="1"/>
  <c r="V45" i="6"/>
  <c r="U89" i="6"/>
  <c r="I131" i="9"/>
  <c r="V83" i="6"/>
  <c r="I62" i="9"/>
  <c r="S44" i="6" a="1"/>
  <c r="R193" i="6"/>
  <c r="T121" i="6"/>
  <c r="V168" i="6"/>
  <c r="V40" i="6"/>
  <c r="V166" i="6"/>
  <c r="R118" i="6"/>
  <c r="S75" i="6" a="1"/>
  <c r="R175" i="6"/>
  <c r="V139" i="6"/>
  <c r="T77" i="6"/>
  <c r="U176" i="6"/>
  <c r="T192" i="6"/>
  <c r="V77" i="6"/>
  <c r="V30" i="6"/>
  <c r="R81" i="6"/>
  <c r="V137" i="6"/>
  <c r="S72" i="6" a="1"/>
  <c r="S129" i="6" a="1"/>
  <c r="U100" i="6"/>
  <c r="U189" i="6"/>
  <c r="I68" i="9"/>
  <c r="U132" i="6"/>
  <c r="T34" i="6"/>
  <c r="S101" i="6" a="1"/>
  <c r="S171" i="6" a="1"/>
  <c r="T202" i="6"/>
  <c r="S114" i="6" a="1"/>
  <c r="V202" i="6"/>
  <c r="S168" i="6" a="1"/>
  <c r="I93" i="9"/>
  <c r="T41" i="6"/>
  <c r="S205" i="6" a="1"/>
  <c r="V173" i="6"/>
  <c r="R155" i="6"/>
  <c r="R128" i="6"/>
  <c r="V177" i="6"/>
  <c r="V22" i="6"/>
  <c r="V27" i="6"/>
  <c r="T107" i="6"/>
  <c r="I53" i="9"/>
  <c r="T45" i="6"/>
  <c r="S80" i="6" a="1"/>
  <c r="R93" i="6"/>
  <c r="R47" i="6"/>
  <c r="I70" i="9"/>
  <c r="R130" i="6"/>
  <c r="I111" i="9"/>
  <c r="T168" i="6"/>
  <c r="R115" i="6"/>
  <c r="T136" i="6"/>
  <c r="V67" i="6"/>
  <c r="V58" i="6"/>
  <c r="S34" i="6" a="1"/>
  <c r="S49" i="6" a="1"/>
  <c r="I58" i="9"/>
  <c r="S117" i="6" a="1"/>
  <c r="U121" i="6"/>
  <c r="R41" i="6"/>
  <c r="R205" i="6"/>
  <c r="U62" i="6"/>
  <c r="R31" i="6"/>
  <c r="T58" i="6"/>
  <c r="R183" i="6"/>
  <c r="T92" i="6"/>
  <c r="R71" i="6"/>
  <c r="V194" i="6"/>
  <c r="S173" i="6" a="1"/>
  <c r="I31" i="9"/>
  <c r="V153" i="6"/>
  <c r="V28" i="6"/>
  <c r="U106" i="6"/>
  <c r="V127" i="6"/>
  <c r="S179" i="6" a="1"/>
  <c r="T91" i="6"/>
  <c r="S107" i="6" a="1"/>
  <c r="S45" i="6" a="1"/>
  <c r="R28" i="6"/>
  <c r="R141" i="6"/>
  <c r="R131" i="6"/>
  <c r="T81" i="6"/>
  <c r="T205" i="6"/>
  <c r="S81" i="6" a="1"/>
  <c r="R145" i="6"/>
  <c r="U33" i="6"/>
  <c r="T155" i="6"/>
  <c r="R76" i="6"/>
  <c r="U150" i="6"/>
  <c r="T52" i="6"/>
  <c r="I119" i="9"/>
  <c r="S159" i="6" a="1"/>
  <c r="V81" i="6"/>
  <c r="V129" i="6"/>
  <c r="S206" i="6" a="1"/>
  <c r="R63" i="6"/>
  <c r="T102" i="6"/>
  <c r="V52" i="6"/>
  <c r="U160" i="6"/>
  <c r="R151" i="6"/>
  <c r="T54" i="6"/>
  <c r="V155" i="6"/>
  <c r="T47" i="6"/>
  <c r="R170" i="6"/>
  <c r="I133" i="9"/>
  <c r="T119" i="6"/>
  <c r="T64" i="6"/>
  <c r="S164" i="6" a="1"/>
  <c r="S115" i="6" a="1"/>
  <c r="I56" i="9"/>
  <c r="V99" i="6"/>
  <c r="V182" i="6"/>
  <c r="T112" i="6"/>
  <c r="R30" i="6"/>
  <c r="T174" i="6"/>
  <c r="T173" i="6"/>
  <c r="R61" i="6"/>
  <c r="I24" i="9"/>
  <c r="S155" i="6" a="1"/>
  <c r="R58" i="6"/>
  <c r="V86" i="6"/>
  <c r="U46" i="6"/>
  <c r="U85" i="6"/>
  <c r="V23" i="6"/>
  <c r="T90" i="6"/>
  <c r="R190" i="6"/>
  <c r="U144" i="6"/>
  <c r="V104" i="6"/>
  <c r="I66" i="9"/>
  <c r="V128" i="6"/>
  <c r="T29" i="6"/>
  <c r="I115" i="9"/>
  <c r="R117" i="6"/>
  <c r="S196" i="6" a="1"/>
  <c r="U83" i="6"/>
  <c r="I32" i="9"/>
  <c r="U29" i="6"/>
  <c r="S130" i="6" a="1"/>
  <c r="V64" i="6"/>
  <c r="T183" i="6"/>
  <c r="S126" i="6" a="1"/>
  <c r="U92" i="6"/>
  <c r="V164" i="6"/>
  <c r="S59" i="6" a="1"/>
  <c r="U164" i="6"/>
  <c r="S137" i="6" a="1"/>
  <c r="U197" i="6"/>
  <c r="S166" i="6" a="1"/>
  <c r="U45" i="6"/>
  <c r="T166" i="6"/>
  <c r="T32" i="6"/>
  <c r="U138" i="6"/>
  <c r="V123" i="6"/>
  <c r="U104" i="6"/>
  <c r="S92" i="6" a="1"/>
  <c r="I97" i="9"/>
  <c r="S199" i="6" a="1"/>
  <c r="T197" i="6"/>
  <c r="R194" i="6"/>
  <c r="S31" i="6" a="1"/>
  <c r="R180" i="6"/>
  <c r="U156" i="6"/>
  <c r="V188" i="6"/>
  <c r="I118" i="9"/>
  <c r="V143" i="6"/>
  <c r="U181" i="6"/>
  <c r="U163" i="6"/>
  <c r="V94" i="6"/>
  <c r="R113" i="6"/>
  <c r="S25" i="6" a="1"/>
  <c r="R48" i="6"/>
  <c r="T170" i="6"/>
  <c r="T50" i="6"/>
  <c r="V41" i="6"/>
  <c r="I29" i="9"/>
  <c r="T65" i="6"/>
  <c r="U23" i="6"/>
  <c r="I54" i="9"/>
  <c r="U65" i="6"/>
  <c r="V106" i="6"/>
  <c r="V201" i="6"/>
  <c r="S162" i="6" a="1"/>
  <c r="S28" i="6" a="1"/>
  <c r="R186" i="6"/>
  <c r="S57" i="6" a="1"/>
  <c r="V141" i="6"/>
  <c r="S136" i="6" a="1"/>
  <c r="R49" i="6"/>
  <c r="U170" i="6"/>
  <c r="R96" i="6"/>
  <c r="T143" i="6"/>
  <c r="T176" i="6"/>
  <c r="U195" i="6"/>
  <c r="R89" i="6"/>
  <c r="R57" i="6"/>
  <c r="V80" i="6"/>
  <c r="T61" i="6"/>
  <c r="T120" i="6"/>
  <c r="U95" i="6"/>
  <c r="V169" i="6"/>
  <c r="V110" i="6"/>
  <c r="S61" i="6" a="1"/>
  <c r="U26" i="6"/>
  <c r="S160" i="6" a="1"/>
  <c r="T147" i="6"/>
  <c r="U76" i="6"/>
  <c r="V152" i="6"/>
  <c r="I44" i="9"/>
  <c r="S51" i="6" a="1"/>
  <c r="I48" i="9"/>
  <c r="R90" i="6"/>
  <c r="R82" i="6"/>
  <c r="T126" i="6"/>
  <c r="V146" i="6"/>
  <c r="T69" i="6"/>
  <c r="I65" i="9"/>
  <c r="S96" i="6" a="1"/>
  <c r="U175" i="6"/>
  <c r="U135" i="6"/>
  <c r="U40" i="6"/>
  <c r="T117" i="6"/>
  <c r="R171" i="6"/>
  <c r="V125" i="6"/>
  <c r="S128" i="6" a="1"/>
  <c r="T62" i="6"/>
  <c r="V149" i="6"/>
  <c r="T33" i="6"/>
  <c r="I103" i="9"/>
  <c r="V88" i="6"/>
  <c r="R176" i="6"/>
  <c r="T56" i="6"/>
  <c r="I50" i="9"/>
  <c r="S147" i="6" a="1"/>
  <c r="T135" i="6"/>
  <c r="U60" i="6"/>
  <c r="T67" i="6"/>
  <c r="R22" i="6"/>
  <c r="V85" i="6"/>
  <c r="V116" i="6"/>
  <c r="T178" i="6"/>
  <c r="S177" i="6" a="1"/>
  <c r="S104" i="6" a="1"/>
  <c r="R199" i="6"/>
  <c r="T206" i="6"/>
  <c r="U99" i="6"/>
  <c r="V135" i="6"/>
  <c r="U137" i="6"/>
  <c r="R158" i="6"/>
  <c r="V32" i="6"/>
  <c r="S98" i="6" a="1"/>
  <c r="V147" i="6"/>
  <c r="R85" i="6"/>
  <c r="S182" i="6" a="1"/>
  <c r="I109" i="9"/>
  <c r="U118" i="6"/>
  <c r="I89" i="9"/>
  <c r="V126" i="6"/>
  <c r="T142" i="6"/>
  <c r="U73" i="6"/>
  <c r="U142" i="6"/>
  <c r="R86" i="6"/>
  <c r="I114" i="9"/>
  <c r="R42" i="6"/>
  <c r="I110" i="9"/>
  <c r="T88" i="6"/>
  <c r="S89" i="6" a="1"/>
  <c r="U191" i="6"/>
  <c r="U154" i="6"/>
  <c r="R60" i="6"/>
  <c r="T179" i="6"/>
  <c r="R43" i="6"/>
  <c r="R114" i="6"/>
  <c r="U27" i="6"/>
  <c r="T188" i="6"/>
  <c r="S38" i="6" a="1"/>
  <c r="U112" i="6"/>
  <c r="T132" i="6"/>
  <c r="T199" i="6"/>
  <c r="R203" i="6"/>
  <c r="T115" i="6"/>
  <c r="R140" i="6"/>
  <c r="S43" i="6" a="1"/>
  <c r="S36" i="6" l="1"/>
  <c r="W36" i="6" s="1"/>
  <c r="S32" i="6"/>
  <c r="W32" i="6" s="1"/>
  <c r="S28" i="6"/>
  <c r="W28" i="6" s="1"/>
  <c r="S24" i="6"/>
  <c r="W24" i="6" s="1"/>
  <c r="S33" i="6"/>
  <c r="W33" i="6" s="1"/>
  <c r="S29" i="6"/>
  <c r="W29" i="6" s="1"/>
  <c r="S25" i="6"/>
  <c r="W25" i="6" s="1"/>
  <c r="S34" i="6"/>
  <c r="W34" i="6" s="1"/>
  <c r="S30" i="6"/>
  <c r="W30" i="6" s="1"/>
  <c r="S26" i="6"/>
  <c r="W26" i="6" s="1"/>
  <c r="S35" i="6"/>
  <c r="W35" i="6" s="1"/>
  <c r="S31" i="6"/>
  <c r="W31" i="6" s="1"/>
  <c r="S27" i="6"/>
  <c r="W27" i="6" s="1"/>
  <c r="S23" i="6"/>
  <c r="W23" i="6" s="1"/>
  <c r="S206" i="6"/>
  <c r="W206" i="6" s="1"/>
  <c r="S202" i="6"/>
  <c r="W202" i="6" s="1"/>
  <c r="S198" i="6"/>
  <c r="W198" i="6" s="1"/>
  <c r="S194" i="6"/>
  <c r="W194" i="6" s="1"/>
  <c r="S203" i="6"/>
  <c r="W203" i="6" s="1"/>
  <c r="S199" i="6"/>
  <c r="W199" i="6" s="1"/>
  <c r="S195" i="6"/>
  <c r="W195" i="6" s="1"/>
  <c r="S204" i="6"/>
  <c r="W204" i="6" s="1"/>
  <c r="S200" i="6"/>
  <c r="W200" i="6" s="1"/>
  <c r="S196" i="6"/>
  <c r="W196" i="6" s="1"/>
  <c r="S192" i="6"/>
  <c r="W192" i="6" s="1"/>
  <c r="S205" i="6"/>
  <c r="W205" i="6" s="1"/>
  <c r="S201" i="6"/>
  <c r="W201" i="6" s="1"/>
  <c r="S197" i="6"/>
  <c r="W197" i="6" s="1"/>
  <c r="S193" i="6"/>
  <c r="W193" i="6" s="1"/>
  <c r="S191" i="6"/>
  <c r="W191" i="6" s="1"/>
  <c r="S189" i="6"/>
  <c r="W189" i="6" s="1"/>
  <c r="S183" i="6"/>
  <c r="W183" i="6" s="1"/>
  <c r="S177" i="6"/>
  <c r="W177" i="6" s="1"/>
  <c r="S173" i="6"/>
  <c r="W173" i="6" s="1"/>
  <c r="S180" i="6"/>
  <c r="W180" i="6" s="1"/>
  <c r="S182" i="6"/>
  <c r="W182" i="6" s="1"/>
  <c r="S190" i="6"/>
  <c r="W190" i="6" s="1"/>
  <c r="S174" i="6"/>
  <c r="W174" i="6" s="1"/>
  <c r="S178" i="6"/>
  <c r="W178" i="6" s="1"/>
  <c r="S187" i="6"/>
  <c r="W187" i="6" s="1"/>
  <c r="S181" i="6"/>
  <c r="W181" i="6" s="1"/>
  <c r="S175" i="6"/>
  <c r="W175" i="6" s="1"/>
  <c r="S171" i="6"/>
  <c r="W171" i="6" s="1"/>
  <c r="S167" i="6"/>
  <c r="W167" i="6" s="1"/>
  <c r="S186" i="6"/>
  <c r="W186" i="6" s="1"/>
  <c r="S188" i="6"/>
  <c r="W188" i="6" s="1"/>
  <c r="S179" i="6"/>
  <c r="W179" i="6" s="1"/>
  <c r="S185" i="6"/>
  <c r="W185" i="6" s="1"/>
  <c r="S176" i="6"/>
  <c r="W176" i="6" s="1"/>
  <c r="S184" i="6"/>
  <c r="W184" i="6" s="1"/>
  <c r="S160" i="6"/>
  <c r="W160" i="6" s="1"/>
  <c r="S156" i="6"/>
  <c r="W156" i="6" s="1"/>
  <c r="S152" i="6"/>
  <c r="W152" i="6" s="1"/>
  <c r="S148" i="6"/>
  <c r="W148" i="6" s="1"/>
  <c r="S144" i="6"/>
  <c r="W144" i="6" s="1"/>
  <c r="S163" i="6"/>
  <c r="W163" i="6" s="1"/>
  <c r="S166" i="6"/>
  <c r="W166" i="6" s="1"/>
  <c r="S161" i="6"/>
  <c r="W161" i="6" s="1"/>
  <c r="S157" i="6"/>
  <c r="W157" i="6" s="1"/>
  <c r="S153" i="6"/>
  <c r="W153" i="6" s="1"/>
  <c r="S149" i="6"/>
  <c r="W149" i="6" s="1"/>
  <c r="S165" i="6"/>
  <c r="W165" i="6" s="1"/>
  <c r="S170" i="6"/>
  <c r="W170" i="6" s="1"/>
  <c r="S158" i="6"/>
  <c r="W158" i="6" s="1"/>
  <c r="S154" i="6"/>
  <c r="W154" i="6" s="1"/>
  <c r="S162" i="6"/>
  <c r="W162" i="6" s="1"/>
  <c r="S169" i="6"/>
  <c r="W169" i="6" s="1"/>
  <c r="S164" i="6"/>
  <c r="W164" i="6" s="1"/>
  <c r="S159" i="6"/>
  <c r="W159" i="6" s="1"/>
  <c r="S155" i="6"/>
  <c r="W155" i="6" s="1"/>
  <c r="S151" i="6"/>
  <c r="W151" i="6" s="1"/>
  <c r="S172" i="6"/>
  <c r="W172" i="6" s="1"/>
  <c r="S168" i="6"/>
  <c r="W168" i="6" s="1"/>
  <c r="S145" i="6"/>
  <c r="W145" i="6" s="1"/>
  <c r="S147" i="6"/>
  <c r="W147" i="6" s="1"/>
  <c r="S141" i="6"/>
  <c r="W141" i="6" s="1"/>
  <c r="S139" i="6"/>
  <c r="W139" i="6" s="1"/>
  <c r="S136" i="6"/>
  <c r="W136" i="6" s="1"/>
  <c r="S132" i="6"/>
  <c r="W132" i="6" s="1"/>
  <c r="S128" i="6"/>
  <c r="W128" i="6" s="1"/>
  <c r="S150" i="6"/>
  <c r="W150" i="6" s="1"/>
  <c r="S146" i="6"/>
  <c r="W146" i="6" s="1"/>
  <c r="S137" i="6"/>
  <c r="W137" i="6" s="1"/>
  <c r="S133" i="6"/>
  <c r="W133" i="6" s="1"/>
  <c r="S129" i="6"/>
  <c r="W129" i="6" s="1"/>
  <c r="S125" i="6"/>
  <c r="W125" i="6" s="1"/>
  <c r="S140" i="6"/>
  <c r="W140" i="6" s="1"/>
  <c r="S134" i="6"/>
  <c r="W134" i="6" s="1"/>
  <c r="S130" i="6"/>
  <c r="W130" i="6" s="1"/>
  <c r="S138" i="6"/>
  <c r="W138" i="6" s="1"/>
  <c r="S142" i="6"/>
  <c r="W142" i="6" s="1"/>
  <c r="S143" i="6"/>
  <c r="W143" i="6" s="1"/>
  <c r="S135" i="6"/>
  <c r="W135" i="6" s="1"/>
  <c r="S131" i="6"/>
  <c r="W131" i="6" s="1"/>
  <c r="S127" i="6"/>
  <c r="W127" i="6" s="1"/>
  <c r="S114" i="6"/>
  <c r="W114" i="6" s="1"/>
  <c r="S110" i="6"/>
  <c r="W110" i="6" s="1"/>
  <c r="S106" i="6"/>
  <c r="W106" i="6" s="1"/>
  <c r="S102" i="6"/>
  <c r="W102" i="6" s="1"/>
  <c r="S98" i="6"/>
  <c r="W98" i="6" s="1"/>
  <c r="S94" i="6"/>
  <c r="W94" i="6" s="1"/>
  <c r="S123" i="6"/>
  <c r="W123" i="6" s="1"/>
  <c r="S119" i="6"/>
  <c r="W119" i="6" s="1"/>
  <c r="S115" i="6"/>
  <c r="W115" i="6" s="1"/>
  <c r="S111" i="6"/>
  <c r="W111" i="6" s="1"/>
  <c r="S107" i="6"/>
  <c r="W107" i="6" s="1"/>
  <c r="S121" i="6"/>
  <c r="W121" i="6" s="1"/>
  <c r="S126" i="6"/>
  <c r="W126" i="6" s="1"/>
  <c r="S118" i="6"/>
  <c r="W118" i="6" s="1"/>
  <c r="S116" i="6"/>
  <c r="W116" i="6" s="1"/>
  <c r="S112" i="6"/>
  <c r="W112" i="6" s="1"/>
  <c r="S108" i="6"/>
  <c r="W108" i="6" s="1"/>
  <c r="S122" i="6"/>
  <c r="W122" i="6" s="1"/>
  <c r="S120" i="6"/>
  <c r="W120" i="6" s="1"/>
  <c r="S113" i="6"/>
  <c r="W113" i="6" s="1"/>
  <c r="S109" i="6"/>
  <c r="W109" i="6" s="1"/>
  <c r="S105" i="6"/>
  <c r="W105" i="6" s="1"/>
  <c r="S101" i="6"/>
  <c r="W101" i="6" s="1"/>
  <c r="S97" i="6"/>
  <c r="W97" i="6" s="1"/>
  <c r="S124" i="6"/>
  <c r="W124" i="6" s="1"/>
  <c r="S117" i="6"/>
  <c r="W117" i="6" s="1"/>
  <c r="S93" i="6"/>
  <c r="W93" i="6" s="1"/>
  <c r="S90" i="6"/>
  <c r="W90" i="6" s="1"/>
  <c r="S86" i="6"/>
  <c r="W86" i="6" s="1"/>
  <c r="S82" i="6"/>
  <c r="W82" i="6" s="1"/>
  <c r="S78" i="6"/>
  <c r="W78" i="6" s="1"/>
  <c r="S74" i="6"/>
  <c r="W74" i="6" s="1"/>
  <c r="S104" i="6"/>
  <c r="W104" i="6" s="1"/>
  <c r="S99" i="6"/>
  <c r="W99" i="6" s="1"/>
  <c r="S91" i="6"/>
  <c r="W91" i="6" s="1"/>
  <c r="S87" i="6"/>
  <c r="W87" i="6" s="1"/>
  <c r="S83" i="6"/>
  <c r="W83" i="6" s="1"/>
  <c r="S95" i="6"/>
  <c r="W95" i="6" s="1"/>
  <c r="S92" i="6"/>
  <c r="W92" i="6" s="1"/>
  <c r="S88" i="6"/>
  <c r="W88" i="6" s="1"/>
  <c r="S84" i="6"/>
  <c r="W84" i="6" s="1"/>
  <c r="S100" i="6"/>
  <c r="W100" i="6" s="1"/>
  <c r="S96" i="6"/>
  <c r="W96" i="6" s="1"/>
  <c r="S89" i="6"/>
  <c r="W89" i="6" s="1"/>
  <c r="S85" i="6"/>
  <c r="W85" i="6" s="1"/>
  <c r="S81" i="6"/>
  <c r="W81" i="6" s="1"/>
  <c r="S103" i="6"/>
  <c r="W103" i="6" s="1"/>
  <c r="S69" i="6"/>
  <c r="W69" i="6" s="1"/>
  <c r="S65" i="6"/>
  <c r="W65" i="6" s="1"/>
  <c r="S61" i="6"/>
  <c r="W61" i="6" s="1"/>
  <c r="S57" i="6"/>
  <c r="W57" i="6" s="1"/>
  <c r="S72" i="6"/>
  <c r="W72" i="6" s="1"/>
  <c r="S66" i="6"/>
  <c r="W66" i="6" s="1"/>
  <c r="S62" i="6"/>
  <c r="W62" i="6" s="1"/>
  <c r="S58" i="6"/>
  <c r="W58" i="6" s="1"/>
  <c r="S54" i="6"/>
  <c r="W54" i="6" s="1"/>
  <c r="S80" i="6"/>
  <c r="W80" i="6" s="1"/>
  <c r="S70" i="6"/>
  <c r="W70" i="6" s="1"/>
  <c r="S79" i="6"/>
  <c r="W79" i="6" s="1"/>
  <c r="S73" i="6"/>
  <c r="W73" i="6" s="1"/>
  <c r="S67" i="6"/>
  <c r="W67" i="6" s="1"/>
  <c r="S63" i="6"/>
  <c r="W63" i="6" s="1"/>
  <c r="S77" i="6"/>
  <c r="W77" i="6" s="1"/>
  <c r="S76" i="6"/>
  <c r="W76" i="6" s="1"/>
  <c r="S71" i="6"/>
  <c r="W71" i="6" s="1"/>
  <c r="S68" i="6"/>
  <c r="W68" i="6" s="1"/>
  <c r="S64" i="6"/>
  <c r="W64" i="6" s="1"/>
  <c r="S60" i="6"/>
  <c r="W60" i="6" s="1"/>
  <c r="S75" i="6"/>
  <c r="W75" i="6" s="1"/>
  <c r="S48" i="6"/>
  <c r="W48" i="6" s="1"/>
  <c r="S44" i="6"/>
  <c r="W44" i="6" s="1"/>
  <c r="S40" i="6"/>
  <c r="W40" i="6" s="1"/>
  <c r="S51" i="6"/>
  <c r="W51" i="6" s="1"/>
  <c r="S49" i="6"/>
  <c r="W49" i="6" s="1"/>
  <c r="S45" i="6"/>
  <c r="W45" i="6" s="1"/>
  <c r="S41" i="6"/>
  <c r="W41" i="6" s="1"/>
  <c r="S37" i="6"/>
  <c r="W37" i="6" s="1"/>
  <c r="S59" i="6"/>
  <c r="W59" i="6" s="1"/>
  <c r="S46" i="6"/>
  <c r="W46" i="6" s="1"/>
  <c r="S42" i="6"/>
  <c r="W42" i="6" s="1"/>
  <c r="S38" i="6"/>
  <c r="W38" i="6" s="1"/>
  <c r="S56" i="6"/>
  <c r="W56" i="6" s="1"/>
  <c r="S50" i="6"/>
  <c r="W50" i="6" s="1"/>
  <c r="S53" i="6"/>
  <c r="W53" i="6" s="1"/>
  <c r="S47" i="6"/>
  <c r="W47" i="6" s="1"/>
  <c r="S43" i="6"/>
  <c r="W43" i="6" s="1"/>
  <c r="S39" i="6"/>
  <c r="W39" i="6" s="1"/>
  <c r="S52" i="6"/>
  <c r="W52" i="6" s="1"/>
  <c r="S55" i="6"/>
  <c r="W55" i="6" s="1"/>
  <c r="I19" i="9"/>
  <c r="J2" i="9"/>
  <c r="K3" i="9"/>
  <c r="J20" i="9"/>
  <c r="S22" i="6"/>
  <c r="W22" i="6" s="1"/>
  <c r="X20" i="6"/>
  <c r="X1" i="6"/>
  <c r="AD2" i="6"/>
  <c r="R19" i="6"/>
  <c r="J23" i="9"/>
  <c r="Z46" i="6"/>
  <c r="J114" i="9"/>
  <c r="AB158" i="6"/>
  <c r="J94" i="9"/>
  <c r="Z87" i="6"/>
  <c r="J29" i="9"/>
  <c r="AA62" i="6"/>
  <c r="AA102" i="6"/>
  <c r="Z138" i="6"/>
  <c r="AB52" i="6"/>
  <c r="Z160" i="6"/>
  <c r="AB151" i="6"/>
  <c r="Z166" i="6"/>
  <c r="AA161" i="6"/>
  <c r="X117" i="6"/>
  <c r="Z23" i="6"/>
  <c r="AB47" i="6"/>
  <c r="Z196" i="6"/>
  <c r="AB125" i="6"/>
  <c r="AB138" i="6"/>
  <c r="Y134" i="6" a="1"/>
  <c r="J87" i="9"/>
  <c r="AA71" i="6"/>
  <c r="Y116" i="6" a="1"/>
  <c r="AB123" i="6"/>
  <c r="X119" i="6"/>
  <c r="X185" i="6"/>
  <c r="J125" i="9"/>
  <c r="X69" i="6"/>
  <c r="AA144" i="6"/>
  <c r="X99" i="6"/>
  <c r="J109" i="9"/>
  <c r="AA199" i="6"/>
  <c r="X121" i="6"/>
  <c r="X151" i="6"/>
  <c r="Y137" i="6" a="1"/>
  <c r="J40" i="9"/>
  <c r="Y184" i="6" a="1"/>
  <c r="X172" i="6"/>
  <c r="J113" i="9"/>
  <c r="AB122" i="6"/>
  <c r="X112" i="6"/>
  <c r="AA133" i="6"/>
  <c r="Y177" i="6" a="1"/>
  <c r="Z89" i="6"/>
  <c r="Y153" i="6" a="1"/>
  <c r="X192" i="6"/>
  <c r="E25" i="5"/>
  <c r="AB63" i="6"/>
  <c r="J45" i="9"/>
  <c r="AB148" i="6"/>
  <c r="J81" i="9"/>
  <c r="AB72" i="6"/>
  <c r="Z33" i="6"/>
  <c r="AA109" i="6"/>
  <c r="AB61" i="6"/>
  <c r="X50" i="6"/>
  <c r="AA132" i="6"/>
  <c r="AB67" i="6"/>
  <c r="Z150" i="6"/>
  <c r="Z151" i="6"/>
  <c r="AB188" i="6"/>
  <c r="Y166" i="6" a="1"/>
  <c r="AA33" i="6"/>
  <c r="AA52" i="6"/>
  <c r="AB77" i="6"/>
  <c r="Y80" i="6" a="1"/>
  <c r="AB140" i="6"/>
  <c r="AB180" i="6"/>
  <c r="J26" i="9"/>
  <c r="AB71" i="6"/>
  <c r="AB109" i="6"/>
  <c r="AB135" i="6"/>
  <c r="J51" i="9"/>
  <c r="AA134" i="6"/>
  <c r="J80" i="9"/>
  <c r="AA76" i="6"/>
  <c r="X56" i="6"/>
  <c r="AA92" i="6"/>
  <c r="J64" i="9"/>
  <c r="Z146" i="6"/>
  <c r="AB111" i="6"/>
  <c r="Y180" i="6" a="1"/>
  <c r="AA124" i="6"/>
  <c r="X26" i="6"/>
  <c r="AB94" i="6"/>
  <c r="Y161" i="6" a="1"/>
  <c r="J84" i="9"/>
  <c r="AA145" i="6"/>
  <c r="AB69" i="6"/>
  <c r="Y59" i="6" a="1"/>
  <c r="X58" i="6"/>
  <c r="AB62" i="6"/>
  <c r="J69" i="9"/>
  <c r="X60" i="6"/>
  <c r="X187" i="6"/>
  <c r="J24" i="9"/>
  <c r="AB206" i="6"/>
  <c r="J25" i="5"/>
  <c r="Y191" i="6" a="1"/>
  <c r="AA35" i="6"/>
  <c r="AB37" i="6"/>
  <c r="J52" i="9"/>
  <c r="X143" i="6"/>
  <c r="AA27" i="6"/>
  <c r="Z83" i="6"/>
  <c r="AA56" i="6"/>
  <c r="X52" i="6"/>
  <c r="AB136" i="6"/>
  <c r="AA157" i="6"/>
  <c r="AA182" i="6"/>
  <c r="J107" i="9"/>
  <c r="X82" i="6"/>
  <c r="AB51" i="6"/>
  <c r="AB129" i="6"/>
  <c r="Z161" i="6"/>
  <c r="Y58" i="6" a="1"/>
  <c r="AA137" i="6"/>
  <c r="X22" i="6"/>
  <c r="Y96" i="6" a="1"/>
  <c r="J104" i="9"/>
  <c r="Z95" i="6"/>
  <c r="X131" i="6"/>
  <c r="X141" i="6"/>
  <c r="J71" i="9"/>
  <c r="Z53" i="6"/>
  <c r="Z34" i="6"/>
  <c r="AB49" i="6"/>
  <c r="X197" i="6"/>
  <c r="AB164" i="6"/>
  <c r="Z26" i="6"/>
  <c r="Z162" i="6"/>
  <c r="Y50" i="6" a="1"/>
  <c r="AB146" i="6"/>
  <c r="AA24" i="6"/>
  <c r="X102" i="6"/>
  <c r="AB73" i="6"/>
  <c r="AB112" i="6"/>
  <c r="J110" i="9"/>
  <c r="AA93" i="6"/>
  <c r="X36" i="6"/>
  <c r="AA150" i="6"/>
  <c r="J106" i="9"/>
  <c r="Z204" i="6"/>
  <c r="X28" i="6"/>
  <c r="AA74" i="6"/>
  <c r="AA149" i="6"/>
  <c r="Z64" i="6"/>
  <c r="Z22" i="6"/>
  <c r="AB100" i="6"/>
  <c r="AB157" i="6"/>
  <c r="J54" i="9"/>
  <c r="AB53" i="6"/>
  <c r="AA204" i="6"/>
  <c r="AA65" i="6"/>
  <c r="AB43" i="6"/>
  <c r="X135" i="6"/>
  <c r="AA135" i="6"/>
  <c r="Z112" i="6"/>
  <c r="Z187" i="6"/>
  <c r="AA34" i="6"/>
  <c r="AA156" i="6"/>
  <c r="Y106" i="6" a="1"/>
  <c r="AB104" i="6"/>
  <c r="J133" i="9"/>
  <c r="X203" i="6"/>
  <c r="AB28" i="6"/>
  <c r="Y150" i="6" a="1"/>
  <c r="AA75" i="6"/>
  <c r="AA84" i="6"/>
  <c r="AA36" i="6"/>
  <c r="Z93" i="6"/>
  <c r="X150" i="6"/>
  <c r="X95" i="6"/>
  <c r="Z109" i="6"/>
  <c r="Y30" i="6" a="1"/>
  <c r="Z174" i="6"/>
  <c r="Y48" i="6" a="1"/>
  <c r="J97" i="9"/>
  <c r="AB163" i="6"/>
  <c r="Z194" i="6"/>
  <c r="AB39" i="6"/>
  <c r="J37" i="9"/>
  <c r="Y79" i="6" a="1"/>
  <c r="AA123" i="6"/>
  <c r="Z201" i="6"/>
  <c r="X200" i="6"/>
  <c r="AB201" i="6"/>
  <c r="Y157" i="6" a="1"/>
  <c r="Y42" i="6" a="1"/>
  <c r="Z115" i="6"/>
  <c r="J41" i="9"/>
  <c r="X59" i="6"/>
  <c r="X76" i="6"/>
  <c r="AA143" i="6"/>
  <c r="J91" i="9"/>
  <c r="Z137" i="6"/>
  <c r="AA50" i="6"/>
  <c r="Y37" i="6" a="1"/>
  <c r="AA83" i="6"/>
  <c r="X23" i="6"/>
  <c r="Z205" i="6"/>
  <c r="AA168" i="6"/>
  <c r="X70" i="6"/>
  <c r="J88" i="9"/>
  <c r="X147" i="6"/>
  <c r="Y23" i="6" a="1"/>
  <c r="Y138" i="6" a="1"/>
  <c r="X87" i="6"/>
  <c r="AA115" i="6"/>
  <c r="Y31" i="6" a="1"/>
  <c r="Y110" i="6" a="1"/>
  <c r="X74" i="6"/>
  <c r="Z65" i="6"/>
  <c r="Y148" i="6" a="1"/>
  <c r="AB58" i="6"/>
  <c r="J68" i="9"/>
  <c r="Z110" i="6"/>
  <c r="Z192" i="6"/>
  <c r="Z113" i="6"/>
  <c r="AA31" i="6"/>
  <c r="X106" i="6"/>
  <c r="Z188" i="6"/>
  <c r="X49" i="6"/>
  <c r="J131" i="9"/>
  <c r="Y115" i="6" a="1"/>
  <c r="Y205" i="6" a="1"/>
  <c r="AA64" i="6"/>
  <c r="AB139" i="6"/>
  <c r="J127" i="9"/>
  <c r="AB176" i="6"/>
  <c r="AA48" i="6"/>
  <c r="AB142" i="6"/>
  <c r="J38" i="9"/>
  <c r="AB70" i="6"/>
  <c r="X123" i="6"/>
  <c r="Y72" i="6" a="1"/>
  <c r="AB42" i="6"/>
  <c r="Y28" i="6" a="1"/>
  <c r="Z143" i="6"/>
  <c r="J59" i="9"/>
  <c r="AB190" i="6"/>
  <c r="AA26" i="6"/>
  <c r="X46" i="6"/>
  <c r="X148" i="6"/>
  <c r="Z47" i="6"/>
  <c r="X101" i="6"/>
  <c r="AA89" i="6"/>
  <c r="Y57" i="6" a="1"/>
  <c r="Y73" i="6" a="1"/>
  <c r="Z49" i="6"/>
  <c r="AA55" i="6"/>
  <c r="J122" i="9"/>
  <c r="Z40" i="6"/>
  <c r="AB134" i="6"/>
  <c r="AA53" i="6"/>
  <c r="X32" i="6"/>
  <c r="AA118" i="6"/>
  <c r="AB130" i="6"/>
  <c r="AA111" i="6"/>
  <c r="J78" i="9"/>
  <c r="AA105" i="6"/>
  <c r="Z43" i="6"/>
  <c r="Y168" i="6" a="1"/>
  <c r="AA151" i="6"/>
  <c r="J66" i="9"/>
  <c r="Y39" i="6" a="1"/>
  <c r="AA165" i="6"/>
  <c r="AA119" i="6"/>
  <c r="J25" i="9"/>
  <c r="Z108" i="6"/>
  <c r="Y127" i="6" a="1"/>
  <c r="Z152" i="6"/>
  <c r="X162" i="6"/>
  <c r="Y85" i="6" a="1"/>
  <c r="AB160" i="6"/>
  <c r="J79" i="9"/>
  <c r="X111" i="6"/>
  <c r="AB32" i="6"/>
  <c r="X61" i="6"/>
  <c r="AA116" i="6"/>
  <c r="Z79" i="6"/>
  <c r="Z140" i="6"/>
  <c r="Z70" i="6"/>
  <c r="AB167" i="6"/>
  <c r="Y65" i="6" a="1"/>
  <c r="AA79" i="6"/>
  <c r="AA39" i="6"/>
  <c r="AB133" i="6"/>
  <c r="AB56" i="6"/>
  <c r="Y118" i="6" a="1"/>
  <c r="AB118" i="6"/>
  <c r="Y25" i="6" a="1"/>
  <c r="AA100" i="6"/>
  <c r="Z37" i="6"/>
  <c r="AB161" i="6"/>
  <c r="Y129" i="6" a="1"/>
  <c r="X155" i="6"/>
  <c r="Y119" i="6" a="1"/>
  <c r="J53" i="9"/>
  <c r="AA98" i="6"/>
  <c r="AB48" i="6"/>
  <c r="Z155" i="6"/>
  <c r="Y114" i="6" a="1"/>
  <c r="AB199" i="6"/>
  <c r="Y82" i="6" a="1"/>
  <c r="AB183" i="6"/>
  <c r="J65" i="9"/>
  <c r="AA173" i="6"/>
  <c r="Y169" i="6" a="1"/>
  <c r="AA38" i="6"/>
  <c r="Y92" i="6" a="1"/>
  <c r="X29" i="6"/>
  <c r="AB197" i="6"/>
  <c r="AA180" i="6"/>
  <c r="AA203" i="6"/>
  <c r="J111" i="9"/>
  <c r="AA127" i="6"/>
  <c r="X176" i="6"/>
  <c r="Z101" i="6"/>
  <c r="Y93" i="6" a="1"/>
  <c r="Y160" i="6" a="1"/>
  <c r="Z99" i="6"/>
  <c r="J96" i="9"/>
  <c r="Z182" i="6"/>
  <c r="Y36" i="6" a="1"/>
  <c r="Y187" i="6" a="1"/>
  <c r="Y194" i="6" a="1"/>
  <c r="Z206" i="6"/>
  <c r="AB200" i="6"/>
  <c r="Z167" i="6"/>
  <c r="AB173" i="6"/>
  <c r="Z118" i="6"/>
  <c r="AA97" i="6"/>
  <c r="Z76" i="6"/>
  <c r="AA138" i="6"/>
  <c r="Y87" i="6" a="1"/>
  <c r="AB23" i="6"/>
  <c r="X184" i="6"/>
  <c r="X85" i="6"/>
  <c r="Z98" i="6"/>
  <c r="AA70" i="6"/>
  <c r="AB205" i="6"/>
  <c r="AA54" i="6"/>
  <c r="AB78" i="6"/>
  <c r="J36" i="9"/>
  <c r="Z189" i="6"/>
  <c r="Z91" i="6"/>
  <c r="AA183" i="6"/>
  <c r="Z124" i="6"/>
  <c r="Z27" i="6"/>
  <c r="AB84" i="6"/>
  <c r="X204" i="6"/>
  <c r="Y186" i="6" a="1"/>
  <c r="J50" i="9"/>
  <c r="AA201" i="6"/>
  <c r="Z147" i="6"/>
  <c r="Z170" i="6"/>
  <c r="X196" i="6"/>
  <c r="AB116" i="6"/>
  <c r="Y103" i="6" a="1"/>
  <c r="AA30" i="6"/>
  <c r="Y67" i="6" a="1"/>
  <c r="Y130" i="6" a="1"/>
  <c r="Z193" i="6"/>
  <c r="AB147" i="6"/>
  <c r="Z175" i="6"/>
  <c r="J35" i="9"/>
  <c r="Z122" i="6"/>
  <c r="AA126" i="6"/>
  <c r="J116" i="9"/>
  <c r="AB184" i="6"/>
  <c r="J137" i="9"/>
  <c r="Y206" i="6" a="1"/>
  <c r="Y195" i="6" a="1"/>
  <c r="X134" i="6"/>
  <c r="AB110" i="6"/>
  <c r="Z179" i="6"/>
  <c r="AA44" i="6"/>
  <c r="X156" i="6"/>
  <c r="Z24" i="6"/>
  <c r="AA95" i="6"/>
  <c r="AA181" i="6"/>
  <c r="X71" i="6"/>
  <c r="Y142" i="6" a="1"/>
  <c r="J22" i="9"/>
  <c r="AA136" i="6"/>
  <c r="X157" i="6"/>
  <c r="J90" i="9"/>
  <c r="AA86" i="6"/>
  <c r="AA69" i="6"/>
  <c r="J115" i="9"/>
  <c r="Z77" i="6"/>
  <c r="AB25" i="6"/>
  <c r="AA153" i="6"/>
  <c r="Z156" i="6"/>
  <c r="Z184" i="6"/>
  <c r="J128" i="9"/>
  <c r="AA61" i="6"/>
  <c r="X98" i="6"/>
  <c r="X129" i="6"/>
  <c r="AA45" i="6"/>
  <c r="Y122" i="6" a="1"/>
  <c r="X96" i="6"/>
  <c r="AB36" i="6"/>
  <c r="X195" i="6"/>
  <c r="Z57" i="6"/>
  <c r="X91" i="6"/>
  <c r="X138" i="6"/>
  <c r="X145" i="6"/>
  <c r="J132" i="9"/>
  <c r="AB59" i="6"/>
  <c r="X53" i="6"/>
  <c r="J39" i="9"/>
  <c r="AA106" i="6"/>
  <c r="J108" i="9"/>
  <c r="Z45" i="6"/>
  <c r="AB83" i="6"/>
  <c r="Y158" i="6" a="1"/>
  <c r="AA49" i="6"/>
  <c r="Z145" i="6"/>
  <c r="Y189" i="6" a="1"/>
  <c r="X115" i="6"/>
  <c r="AA174" i="6"/>
  <c r="Z114" i="6"/>
  <c r="AB31" i="6"/>
  <c r="Y33" i="6" a="1"/>
  <c r="AB203" i="6"/>
  <c r="AA154" i="6"/>
  <c r="Y192" i="6" a="1"/>
  <c r="X113" i="6"/>
  <c r="Y46" i="6" a="1"/>
  <c r="AB181" i="6"/>
  <c r="AA108" i="6"/>
  <c r="Z29" i="6"/>
  <c r="AB85" i="6"/>
  <c r="AB149" i="6"/>
  <c r="J62" i="9"/>
  <c r="X206" i="6"/>
  <c r="Z183" i="6"/>
  <c r="Z181" i="6"/>
  <c r="X188" i="6"/>
  <c r="Y175" i="6" a="1"/>
  <c r="AB34" i="6"/>
  <c r="Y204" i="6" a="1"/>
  <c r="AA163" i="6"/>
  <c r="Z56" i="6"/>
  <c r="Y141" i="6" a="1"/>
  <c r="Y136" i="6" a="1"/>
  <c r="Z185" i="6"/>
  <c r="Y32" i="6" a="1"/>
  <c r="AB93" i="6"/>
  <c r="AB119" i="6"/>
  <c r="Z102" i="6"/>
  <c r="X100" i="6"/>
  <c r="AA58" i="6"/>
  <c r="J55" i="9"/>
  <c r="Z75" i="6"/>
  <c r="Z128" i="6"/>
  <c r="J101" i="9"/>
  <c r="Y126" i="6" a="1"/>
  <c r="J31" i="9"/>
  <c r="Z125" i="6"/>
  <c r="Y188" i="6" a="1"/>
  <c r="AA184" i="6"/>
  <c r="AA103" i="6"/>
  <c r="Z127" i="6"/>
  <c r="J118" i="9"/>
  <c r="Z121" i="6"/>
  <c r="AA187" i="6"/>
  <c r="AB113" i="6"/>
  <c r="AB97" i="6"/>
  <c r="X104" i="6"/>
  <c r="AA193" i="6"/>
  <c r="AA171" i="6"/>
  <c r="Z107" i="6"/>
  <c r="Y54" i="6" a="1"/>
  <c r="Y162" i="6" a="1"/>
  <c r="Z132" i="6"/>
  <c r="Z190" i="6"/>
  <c r="AB90" i="6"/>
  <c r="X97" i="6"/>
  <c r="AB155" i="6"/>
  <c r="AA23" i="6"/>
  <c r="Y41" i="6" a="1"/>
  <c r="AB91" i="6"/>
  <c r="J49" i="9"/>
  <c r="AB81" i="6"/>
  <c r="AA122" i="6"/>
  <c r="X38" i="6"/>
  <c r="Z94" i="6"/>
  <c r="Z90" i="6"/>
  <c r="X35" i="6"/>
  <c r="Z104" i="6"/>
  <c r="X72" i="6"/>
  <c r="Z58" i="6"/>
  <c r="Z72" i="6"/>
  <c r="Z142" i="6"/>
  <c r="Z131" i="6"/>
  <c r="AA130" i="6"/>
  <c r="Y71" i="6" a="1"/>
  <c r="Y89" i="6" a="1"/>
  <c r="AB40" i="6"/>
  <c r="Y170" i="6" a="1"/>
  <c r="Y51" i="6" a="1"/>
  <c r="J117" i="9"/>
  <c r="X199" i="6"/>
  <c r="Y199" i="6" a="1"/>
  <c r="J56" i="9"/>
  <c r="Z203" i="6"/>
  <c r="J93" i="9"/>
  <c r="AB196" i="6"/>
  <c r="Y200" i="6" a="1"/>
  <c r="X173" i="6"/>
  <c r="Z84" i="6"/>
  <c r="Y120" i="6" a="1"/>
  <c r="J105" i="9"/>
  <c r="AA104" i="6"/>
  <c r="AA60" i="6"/>
  <c r="J48" i="9"/>
  <c r="X37" i="6"/>
  <c r="AB102" i="6"/>
  <c r="AB194" i="6"/>
  <c r="J61" i="9"/>
  <c r="Z97" i="6"/>
  <c r="Y49" i="6" a="1"/>
  <c r="AB195" i="6"/>
  <c r="Z71" i="6"/>
  <c r="AA90" i="6"/>
  <c r="Y90" i="6" a="1"/>
  <c r="X161" i="6"/>
  <c r="AB189" i="6"/>
  <c r="X142" i="6"/>
  <c r="X24" i="6"/>
  <c r="J123" i="9"/>
  <c r="Z149" i="6"/>
  <c r="J135" i="9"/>
  <c r="AA94" i="6"/>
  <c r="Y75" i="6" a="1"/>
  <c r="AB54" i="6"/>
  <c r="Y100" i="6" a="1"/>
  <c r="AA121" i="6"/>
  <c r="AA29" i="6"/>
  <c r="X178" i="6"/>
  <c r="Y107" i="6" a="1"/>
  <c r="Z133" i="6"/>
  <c r="AB172" i="6"/>
  <c r="AB162" i="6"/>
  <c r="AA72" i="6"/>
  <c r="Z157" i="6"/>
  <c r="X43" i="6"/>
  <c r="Y196" i="6" a="1"/>
  <c r="X90" i="6"/>
  <c r="AB141" i="6"/>
  <c r="Z154" i="6"/>
  <c r="J72" i="9"/>
  <c r="Z202" i="6"/>
  <c r="Z105" i="6"/>
  <c r="X34" i="6"/>
  <c r="AA81" i="6"/>
  <c r="X48" i="6"/>
  <c r="J76" i="9"/>
  <c r="Y152" i="6" a="1"/>
  <c r="X120" i="6"/>
  <c r="AA179" i="6"/>
  <c r="AB45" i="6"/>
  <c r="Y47" i="6" a="1"/>
  <c r="AB156" i="6"/>
  <c r="Z96" i="6"/>
  <c r="X114" i="6"/>
  <c r="AA87" i="6"/>
  <c r="AB202" i="6"/>
  <c r="X133" i="6"/>
  <c r="J70" i="9"/>
  <c r="X128" i="6"/>
  <c r="J74" i="9"/>
  <c r="Z171" i="6"/>
  <c r="Y74" i="6" a="1"/>
  <c r="AA172" i="6"/>
  <c r="Y123" i="6" a="1"/>
  <c r="Y40" i="6" a="1"/>
  <c r="Y109" i="6" a="1"/>
  <c r="X201" i="6"/>
  <c r="AB92" i="6"/>
  <c r="AA67" i="6"/>
  <c r="Y61" i="6" a="1"/>
  <c r="AA159" i="6"/>
  <c r="AB178" i="6"/>
  <c r="Y63" i="6" a="1"/>
  <c r="AA91" i="6"/>
  <c r="Z117" i="6"/>
  <c r="AB154" i="6"/>
  <c r="X118" i="6"/>
  <c r="X154" i="6"/>
  <c r="Z30" i="6"/>
  <c r="X116" i="6"/>
  <c r="AB114" i="6"/>
  <c r="AA32" i="6"/>
  <c r="AA43" i="6"/>
  <c r="X30" i="6"/>
  <c r="Z82" i="6"/>
  <c r="X189" i="6"/>
  <c r="Z78" i="6"/>
  <c r="AA205" i="6"/>
  <c r="Y182" i="6" a="1"/>
  <c r="J130" i="9"/>
  <c r="AB187" i="6"/>
  <c r="Z42" i="6"/>
  <c r="Y29" i="6" a="1"/>
  <c r="AA120" i="6"/>
  <c r="X169" i="6"/>
  <c r="X92" i="6"/>
  <c r="AA112" i="6"/>
  <c r="Z119" i="6"/>
  <c r="Z38" i="6"/>
  <c r="AB115" i="6"/>
  <c r="X177" i="6"/>
  <c r="Z126" i="6"/>
  <c r="Z81" i="6"/>
  <c r="AB179" i="6"/>
  <c r="AA99" i="6"/>
  <c r="Y193" i="6" a="1"/>
  <c r="Y132" i="6" a="1"/>
  <c r="Y66" i="6" a="1"/>
  <c r="Z66" i="6"/>
  <c r="J57" i="9"/>
  <c r="Z139" i="6"/>
  <c r="X33" i="6"/>
  <c r="X47" i="6"/>
  <c r="Y167" i="6" a="1"/>
  <c r="Z173" i="6"/>
  <c r="Z62" i="6"/>
  <c r="AB41" i="6"/>
  <c r="AA148" i="6"/>
  <c r="AB87" i="6"/>
  <c r="J75" i="9"/>
  <c r="AB143" i="6"/>
  <c r="Y102" i="6" a="1"/>
  <c r="AB191" i="6"/>
  <c r="AA169" i="6"/>
  <c r="Z197" i="6"/>
  <c r="X183" i="6"/>
  <c r="AA176" i="6"/>
  <c r="AA162" i="6"/>
  <c r="AA117" i="6"/>
  <c r="AA147" i="6"/>
  <c r="AB24" i="6"/>
  <c r="Y156" i="6" a="1"/>
  <c r="Y203" i="6" a="1"/>
  <c r="Y35" i="6" a="1"/>
  <c r="Y88" i="6" a="1"/>
  <c r="AA28" i="6"/>
  <c r="AA129" i="6"/>
  <c r="AB103" i="6"/>
  <c r="J134" i="9"/>
  <c r="AB192" i="6"/>
  <c r="AB105" i="6"/>
  <c r="AB57" i="6"/>
  <c r="X167" i="6"/>
  <c r="AB75" i="6"/>
  <c r="Y64" i="6" a="1"/>
  <c r="Y95" i="6" a="1"/>
  <c r="AB170" i="6"/>
  <c r="X84" i="6"/>
  <c r="X78" i="6"/>
  <c r="Y53" i="6" a="1"/>
  <c r="AB121" i="6"/>
  <c r="J28" i="9"/>
  <c r="X45" i="6"/>
  <c r="Z31" i="6"/>
  <c r="Y135" i="6" a="1"/>
  <c r="Y146" i="6" a="1"/>
  <c r="Y44" i="6" a="1"/>
  <c r="AA197" i="6"/>
  <c r="AB96" i="6"/>
  <c r="Y154" i="6" a="1"/>
  <c r="Y98" i="6" a="1"/>
  <c r="J95" i="9"/>
  <c r="AB66" i="6"/>
  <c r="AA175" i="6"/>
  <c r="Y86" i="6" a="1"/>
  <c r="Y38" i="6" a="1"/>
  <c r="X136" i="6"/>
  <c r="X164" i="6"/>
  <c r="X175" i="6"/>
  <c r="Y70" i="6" a="1"/>
  <c r="Y101" i="6" a="1"/>
  <c r="AA41" i="6"/>
  <c r="Y27" i="6" a="1"/>
  <c r="X89" i="6"/>
  <c r="AA146" i="6"/>
  <c r="Y22" i="6" a="1"/>
  <c r="AA185" i="6"/>
  <c r="Y26" i="6" a="1"/>
  <c r="Y68" i="6" a="1"/>
  <c r="X88" i="6"/>
  <c r="J121" i="9"/>
  <c r="Y84" i="6" a="1"/>
  <c r="Z80" i="6"/>
  <c r="AB27" i="6"/>
  <c r="Z158" i="6"/>
  <c r="AA107" i="6"/>
  <c r="Z28" i="6"/>
  <c r="AB159" i="6"/>
  <c r="X77" i="6"/>
  <c r="Z73" i="6"/>
  <c r="Y52" i="6" a="1"/>
  <c r="J77" i="9"/>
  <c r="AA206" i="6"/>
  <c r="AB101" i="6"/>
  <c r="AB35" i="6"/>
  <c r="J100" i="9"/>
  <c r="AA125" i="6"/>
  <c r="X44" i="6"/>
  <c r="AA170" i="6"/>
  <c r="AA200" i="6"/>
  <c r="AB193" i="6"/>
  <c r="AA160" i="6"/>
  <c r="Y76" i="6" a="1"/>
  <c r="AB168" i="6"/>
  <c r="AA78" i="6"/>
  <c r="AB124" i="6"/>
  <c r="J82" i="9"/>
  <c r="Z111" i="6"/>
  <c r="AB29" i="6"/>
  <c r="AA96" i="6"/>
  <c r="AA178" i="6"/>
  <c r="X130" i="6"/>
  <c r="Y147" i="6" a="1"/>
  <c r="X41" i="6"/>
  <c r="Y171" i="6" a="1"/>
  <c r="J83" i="9"/>
  <c r="J34" i="9"/>
  <c r="X124" i="6"/>
  <c r="Y117" i="6" a="1"/>
  <c r="Y105" i="6" a="1"/>
  <c r="AA166" i="6"/>
  <c r="Y128" i="6" a="1"/>
  <c r="AB79" i="6"/>
  <c r="AB107" i="6"/>
  <c r="Z169" i="6"/>
  <c r="Z129" i="6"/>
  <c r="Y139" i="6" a="1"/>
  <c r="AA22" i="6"/>
  <c r="Z67" i="6"/>
  <c r="X55" i="6"/>
  <c r="Y143" i="6" a="1"/>
  <c r="Z52" i="6"/>
  <c r="AA114" i="6"/>
  <c r="AB74" i="6"/>
  <c r="Y149" i="6" a="1"/>
  <c r="J92" i="9"/>
  <c r="Y198" i="6" a="1"/>
  <c r="AA88" i="6"/>
  <c r="AB95" i="6"/>
  <c r="Z116" i="6"/>
  <c r="Y78" i="6" a="1"/>
  <c r="X86" i="6"/>
  <c r="AA42" i="6"/>
  <c r="Z92" i="6"/>
  <c r="J32" i="9"/>
  <c r="AA155" i="6"/>
  <c r="AB169" i="6"/>
  <c r="Z136" i="6"/>
  <c r="Z141" i="6"/>
  <c r="Y140" i="6" a="1"/>
  <c r="AB198" i="6"/>
  <c r="AB120" i="6"/>
  <c r="AB64" i="6"/>
  <c r="AA190" i="6"/>
  <c r="Y55" i="6" a="1"/>
  <c r="Y111" i="6" a="1"/>
  <c r="X174" i="6"/>
  <c r="Z25" i="6"/>
  <c r="AB175" i="6"/>
  <c r="AB44" i="6"/>
  <c r="AB106" i="6"/>
  <c r="AA59" i="6"/>
  <c r="AA73" i="6"/>
  <c r="J99" i="9"/>
  <c r="Y91" i="6" a="1"/>
  <c r="AA194" i="6"/>
  <c r="J30" i="9"/>
  <c r="J112" i="9"/>
  <c r="Y81" i="6" a="1"/>
  <c r="AB177" i="6"/>
  <c r="Y43" i="6" a="1"/>
  <c r="X166" i="6"/>
  <c r="Y45" i="6" a="1"/>
  <c r="X153" i="6"/>
  <c r="Y113" i="6" a="1"/>
  <c r="X63" i="6"/>
  <c r="Z50" i="6"/>
  <c r="Z120" i="6"/>
  <c r="X110" i="6"/>
  <c r="AB186" i="6"/>
  <c r="AB132" i="6"/>
  <c r="X159" i="6"/>
  <c r="Z32" i="6"/>
  <c r="X79" i="6"/>
  <c r="AB131" i="6"/>
  <c r="AB152" i="6"/>
  <c r="Z63" i="6"/>
  <c r="X94" i="6"/>
  <c r="AA191" i="6"/>
  <c r="AB98" i="6"/>
  <c r="X57" i="6"/>
  <c r="X182" i="6"/>
  <c r="Z39" i="6"/>
  <c r="Y179" i="6" a="1"/>
  <c r="Z35" i="6"/>
  <c r="X202" i="6"/>
  <c r="X40" i="6"/>
  <c r="Z198" i="6"/>
  <c r="AB89" i="6"/>
  <c r="Y159" i="6" a="1"/>
  <c r="J46" i="9"/>
  <c r="Z48" i="6"/>
  <c r="Y108" i="6" a="1"/>
  <c r="J103" i="9"/>
  <c r="AB26" i="6"/>
  <c r="Y201" i="6" a="1"/>
  <c r="Z106" i="6"/>
  <c r="Y131" i="6" a="1"/>
  <c r="AA40" i="6"/>
  <c r="AB82" i="6"/>
  <c r="AA68" i="6"/>
  <c r="AB137" i="6"/>
  <c r="Y69" i="6" a="1"/>
  <c r="Z148" i="6"/>
  <c r="X39" i="6"/>
  <c r="Z134" i="6"/>
  <c r="AA46" i="6"/>
  <c r="AA141" i="6"/>
  <c r="Y133" i="6" a="1"/>
  <c r="Z180" i="6"/>
  <c r="Y60" i="6" a="1"/>
  <c r="AB145" i="6"/>
  <c r="AB174" i="6"/>
  <c r="AB22" i="6"/>
  <c r="Z85" i="6"/>
  <c r="AB117" i="6"/>
  <c r="AA66" i="6"/>
  <c r="AA189" i="6"/>
  <c r="Z178" i="6"/>
  <c r="X66" i="6"/>
  <c r="X126" i="6"/>
  <c r="AB33" i="6"/>
  <c r="AB171" i="6"/>
  <c r="AB204" i="6"/>
  <c r="AA195" i="6"/>
  <c r="Z159" i="6"/>
  <c r="Z59" i="6"/>
  <c r="J33" i="9"/>
  <c r="Y183" i="6" a="1"/>
  <c r="X75" i="6"/>
  <c r="J42" i="9"/>
  <c r="X27" i="6"/>
  <c r="AB38" i="6"/>
  <c r="Y165" i="6" a="1"/>
  <c r="Z86" i="6"/>
  <c r="X139" i="6"/>
  <c r="Z100" i="6"/>
  <c r="X152" i="6"/>
  <c r="Y83" i="6" a="1"/>
  <c r="AA139" i="6"/>
  <c r="Z74" i="6"/>
  <c r="Z44" i="6"/>
  <c r="Y190" i="6" a="1"/>
  <c r="AA188" i="6"/>
  <c r="X108" i="6"/>
  <c r="AA167" i="6"/>
  <c r="X125" i="6"/>
  <c r="Z200" i="6"/>
  <c r="AB144" i="6"/>
  <c r="J86" i="9"/>
  <c r="X93" i="6"/>
  <c r="Z186" i="6"/>
  <c r="AB108" i="6"/>
  <c r="X190" i="6"/>
  <c r="Y181" i="6" a="1"/>
  <c r="X194" i="6"/>
  <c r="AB80" i="6"/>
  <c r="AB65" i="6"/>
  <c r="X198" i="6"/>
  <c r="J119" i="9"/>
  <c r="Z51" i="6"/>
  <c r="X51" i="6"/>
  <c r="J120" i="9"/>
  <c r="Y24" i="6" a="1"/>
  <c r="AB76" i="6"/>
  <c r="Z54" i="6"/>
  <c r="AA152" i="6"/>
  <c r="X140" i="6"/>
  <c r="AB165" i="6"/>
  <c r="AA140" i="6"/>
  <c r="AB99" i="6"/>
  <c r="AB153" i="6"/>
  <c r="AB50" i="6"/>
  <c r="Z168" i="6"/>
  <c r="Y151" i="6" a="1"/>
  <c r="Z135" i="6"/>
  <c r="Y144" i="6" a="1"/>
  <c r="Y174" i="6" a="1"/>
  <c r="X68" i="6"/>
  <c r="AA177" i="6"/>
  <c r="Z144" i="6"/>
  <c r="X127" i="6"/>
  <c r="Z36" i="6"/>
  <c r="X186" i="6"/>
  <c r="AB68" i="6"/>
  <c r="AB126" i="6"/>
  <c r="Y155" i="6" a="1"/>
  <c r="J27" i="9"/>
  <c r="J129" i="9"/>
  <c r="AB60" i="6"/>
  <c r="Y34" i="6" a="1"/>
  <c r="AA192" i="6"/>
  <c r="AA47" i="6"/>
  <c r="Y145" i="6" a="1"/>
  <c r="X149" i="6"/>
  <c r="X193" i="6"/>
  <c r="Z88" i="6"/>
  <c r="J102" i="9"/>
  <c r="Z68" i="6"/>
  <c r="AA113" i="6"/>
  <c r="Z123" i="6"/>
  <c r="J73" i="9"/>
  <c r="Z61" i="6"/>
  <c r="Z172" i="6"/>
  <c r="Z60" i="6"/>
  <c r="X181" i="6"/>
  <c r="AA51" i="6"/>
  <c r="AB166" i="6"/>
  <c r="Y97" i="6" a="1"/>
  <c r="Z55" i="6"/>
  <c r="X170" i="6"/>
  <c r="J58" i="9"/>
  <c r="X73" i="6"/>
  <c r="X109" i="6"/>
  <c r="AB30" i="6"/>
  <c r="X160" i="6"/>
  <c r="X191" i="6"/>
  <c r="AA82" i="6"/>
  <c r="Y163" i="6" a="1"/>
  <c r="X179" i="6"/>
  <c r="AB88" i="6"/>
  <c r="Y112" i="6" a="1"/>
  <c r="Y164" i="6" a="1"/>
  <c r="X163" i="6"/>
  <c r="AA57" i="6"/>
  <c r="X158" i="6"/>
  <c r="Y202" i="6" a="1"/>
  <c r="Y99" i="6" a="1"/>
  <c r="X103" i="6"/>
  <c r="AA202" i="6"/>
  <c r="AB150" i="6"/>
  <c r="AA63" i="6"/>
  <c r="AA128" i="6"/>
  <c r="AA77" i="6"/>
  <c r="X165" i="6"/>
  <c r="Y176" i="6" a="1"/>
  <c r="AB185" i="6"/>
  <c r="X144" i="6"/>
  <c r="AB86" i="6"/>
  <c r="AA80" i="6"/>
  <c r="J89" i="9"/>
  <c r="Z191" i="6"/>
  <c r="AB46" i="6"/>
  <c r="X81" i="6"/>
  <c r="J44" i="9"/>
  <c r="X105" i="6"/>
  <c r="Z199" i="6"/>
  <c r="X83" i="6"/>
  <c r="Y104" i="6" a="1"/>
  <c r="AA37" i="6"/>
  <c r="AA131" i="6"/>
  <c r="X146" i="6"/>
  <c r="Z69" i="6"/>
  <c r="Z165" i="6"/>
  <c r="J136" i="9"/>
  <c r="X137" i="6"/>
  <c r="Y172" i="6" a="1"/>
  <c r="X31" i="6"/>
  <c r="X122" i="6"/>
  <c r="Z103" i="6"/>
  <c r="AA196" i="6"/>
  <c r="Y77" i="6" a="1"/>
  <c r="Y178" i="6" a="1"/>
  <c r="Z164" i="6"/>
  <c r="AA164" i="6"/>
  <c r="Z195" i="6"/>
  <c r="J43" i="9"/>
  <c r="X64" i="6"/>
  <c r="Y185" i="6" a="1"/>
  <c r="X107" i="6"/>
  <c r="J124" i="9"/>
  <c r="X42" i="6"/>
  <c r="AA85" i="6"/>
  <c r="Y94" i="6" a="1"/>
  <c r="Z130" i="6"/>
  <c r="J60" i="9"/>
  <c r="X168" i="6"/>
  <c r="Z163" i="6"/>
  <c r="X62" i="6"/>
  <c r="J98" i="9"/>
  <c r="X80" i="6"/>
  <c r="AB128" i="6"/>
  <c r="AA110" i="6"/>
  <c r="Z177" i="6"/>
  <c r="X65" i="6"/>
  <c r="AA101" i="6"/>
  <c r="X180" i="6"/>
  <c r="Y124" i="6" a="1"/>
  <c r="Z153" i="6"/>
  <c r="X25" i="6"/>
  <c r="AA142" i="6"/>
  <c r="AA158" i="6"/>
  <c r="AA25" i="6"/>
  <c r="Y121" i="6" a="1"/>
  <c r="AB55" i="6"/>
  <c r="J67" i="9"/>
  <c r="X67" i="6"/>
  <c r="Z41" i="6"/>
  <c r="X171" i="6"/>
  <c r="Y197" i="6" a="1"/>
  <c r="AA198" i="6"/>
  <c r="J63" i="9"/>
  <c r="AB182" i="6"/>
  <c r="Y56" i="6" a="1"/>
  <c r="Y173" i="6" a="1"/>
  <c r="J47" i="9"/>
  <c r="Y125" i="6" a="1"/>
  <c r="Z176" i="6"/>
  <c r="Y62" i="6" a="1"/>
  <c r="X132" i="6"/>
  <c r="J85" i="9"/>
  <c r="X205" i="6"/>
  <c r="AB127" i="6"/>
  <c r="J126" i="9"/>
  <c r="X54" i="6"/>
  <c r="AA186" i="6"/>
  <c r="Y33" i="6" l="1"/>
  <c r="AC33" i="6" s="1"/>
  <c r="Y29" i="6"/>
  <c r="AC29" i="6" s="1"/>
  <c r="Y25" i="6"/>
  <c r="AC25" i="6" s="1"/>
  <c r="Y34" i="6"/>
  <c r="AC34" i="6" s="1"/>
  <c r="Y30" i="6"/>
  <c r="AC30" i="6" s="1"/>
  <c r="Y26" i="6"/>
  <c r="AC26" i="6" s="1"/>
  <c r="Y35" i="6"/>
  <c r="AC35" i="6" s="1"/>
  <c r="Y31" i="6"/>
  <c r="AC31" i="6" s="1"/>
  <c r="Y27" i="6"/>
  <c r="AC27" i="6" s="1"/>
  <c r="Y23" i="6"/>
  <c r="AC23" i="6" s="1"/>
  <c r="Y36" i="6"/>
  <c r="AC36" i="6" s="1"/>
  <c r="Y32" i="6"/>
  <c r="AC32" i="6" s="1"/>
  <c r="Y28" i="6"/>
  <c r="AC28" i="6" s="1"/>
  <c r="Y24" i="6"/>
  <c r="AC24" i="6" s="1"/>
  <c r="Y203" i="6"/>
  <c r="AC203" i="6" s="1"/>
  <c r="Y199" i="6"/>
  <c r="AC199" i="6" s="1"/>
  <c r="Y195" i="6"/>
  <c r="AC195" i="6" s="1"/>
  <c r="Y191" i="6"/>
  <c r="AC191" i="6" s="1"/>
  <c r="Y187" i="6"/>
  <c r="AC187" i="6" s="1"/>
  <c r="Y183" i="6"/>
  <c r="AC183" i="6" s="1"/>
  <c r="Y204" i="6"/>
  <c r="AC204" i="6" s="1"/>
  <c r="Y200" i="6"/>
  <c r="AC200" i="6" s="1"/>
  <c r="Y196" i="6"/>
  <c r="AC196" i="6" s="1"/>
  <c r="Y192" i="6"/>
  <c r="AC192" i="6" s="1"/>
  <c r="Y205" i="6"/>
  <c r="AC205" i="6" s="1"/>
  <c r="Y201" i="6"/>
  <c r="AC201" i="6" s="1"/>
  <c r="Y206" i="6"/>
  <c r="AC206" i="6" s="1"/>
  <c r="Y202" i="6"/>
  <c r="AC202" i="6" s="1"/>
  <c r="Y198" i="6"/>
  <c r="AC198" i="6" s="1"/>
  <c r="Y194" i="6"/>
  <c r="AC194" i="6" s="1"/>
  <c r="Y182" i="6"/>
  <c r="AC182" i="6" s="1"/>
  <c r="Y174" i="6"/>
  <c r="AC174" i="6" s="1"/>
  <c r="Y193" i="6"/>
  <c r="AC193" i="6" s="1"/>
  <c r="Y178" i="6"/>
  <c r="AC178" i="6" s="1"/>
  <c r="Y197" i="6"/>
  <c r="AC197" i="6" s="1"/>
  <c r="Y190" i="6"/>
  <c r="AC190" i="6" s="1"/>
  <c r="Y181" i="6"/>
  <c r="AC181" i="6" s="1"/>
  <c r="Y188" i="6"/>
  <c r="AC188" i="6" s="1"/>
  <c r="Y186" i="6"/>
  <c r="AC186" i="6" s="1"/>
  <c r="Y179" i="6"/>
  <c r="AC179" i="6" s="1"/>
  <c r="Y185" i="6"/>
  <c r="AC185" i="6" s="1"/>
  <c r="Y176" i="6"/>
  <c r="AC176" i="6" s="1"/>
  <c r="Y172" i="6"/>
  <c r="AC172" i="6" s="1"/>
  <c r="Y168" i="6"/>
  <c r="AC168" i="6" s="1"/>
  <c r="Y184" i="6"/>
  <c r="AC184" i="6" s="1"/>
  <c r="Y189" i="6"/>
  <c r="AC189" i="6" s="1"/>
  <c r="Y177" i="6"/>
  <c r="AC177" i="6" s="1"/>
  <c r="Y173" i="6"/>
  <c r="AC173" i="6" s="1"/>
  <c r="Y169" i="6"/>
  <c r="AC169" i="6" s="1"/>
  <c r="Y180" i="6"/>
  <c r="AC180" i="6" s="1"/>
  <c r="Y167" i="6"/>
  <c r="AC167" i="6" s="1"/>
  <c r="Y161" i="6"/>
  <c r="AC161" i="6" s="1"/>
  <c r="Y157" i="6"/>
  <c r="AC157" i="6" s="1"/>
  <c r="Y153" i="6"/>
  <c r="AC153" i="6" s="1"/>
  <c r="Y149" i="6"/>
  <c r="AC149" i="6" s="1"/>
  <c r="Y145" i="6"/>
  <c r="AC145" i="6" s="1"/>
  <c r="Y141" i="6"/>
  <c r="AC141" i="6" s="1"/>
  <c r="Y165" i="6"/>
  <c r="AC165" i="6" s="1"/>
  <c r="Y158" i="6"/>
  <c r="AC158" i="6" s="1"/>
  <c r="Y154" i="6"/>
  <c r="AC154" i="6" s="1"/>
  <c r="Y150" i="6"/>
  <c r="AC150" i="6" s="1"/>
  <c r="Y146" i="6"/>
  <c r="AC146" i="6" s="1"/>
  <c r="Y162" i="6"/>
  <c r="AC162" i="6" s="1"/>
  <c r="Y171" i="6"/>
  <c r="AC171" i="6" s="1"/>
  <c r="Y170" i="6"/>
  <c r="AC170" i="6" s="1"/>
  <c r="Y164" i="6"/>
  <c r="AC164" i="6" s="1"/>
  <c r="Y175" i="6"/>
  <c r="AC175" i="6" s="1"/>
  <c r="Y159" i="6"/>
  <c r="AC159" i="6" s="1"/>
  <c r="Y155" i="6"/>
  <c r="AC155" i="6" s="1"/>
  <c r="Y151" i="6"/>
  <c r="AC151" i="6" s="1"/>
  <c r="Y160" i="6"/>
  <c r="AC160" i="6" s="1"/>
  <c r="Y156" i="6"/>
  <c r="AC156" i="6" s="1"/>
  <c r="Y152" i="6"/>
  <c r="AC152" i="6" s="1"/>
  <c r="Y148" i="6"/>
  <c r="AC148" i="6" s="1"/>
  <c r="Y163" i="6"/>
  <c r="AC163" i="6" s="1"/>
  <c r="Y166" i="6"/>
  <c r="AC166" i="6" s="1"/>
  <c r="Y144" i="6"/>
  <c r="AC144" i="6" s="1"/>
  <c r="Y137" i="6"/>
  <c r="AC137" i="6" s="1"/>
  <c r="Y133" i="6"/>
  <c r="AC133" i="6" s="1"/>
  <c r="Y129" i="6"/>
  <c r="AC129" i="6" s="1"/>
  <c r="Y125" i="6"/>
  <c r="AC125" i="6" s="1"/>
  <c r="Y140" i="6"/>
  <c r="AC140" i="6" s="1"/>
  <c r="Y134" i="6"/>
  <c r="AC134" i="6" s="1"/>
  <c r="Y130" i="6"/>
  <c r="AC130" i="6" s="1"/>
  <c r="Y126" i="6"/>
  <c r="AC126" i="6" s="1"/>
  <c r="Y122" i="6"/>
  <c r="AC122" i="6" s="1"/>
  <c r="Y138" i="6"/>
  <c r="AC138" i="6" s="1"/>
  <c r="Y142" i="6"/>
  <c r="AC142" i="6" s="1"/>
  <c r="Y135" i="6"/>
  <c r="AC135" i="6" s="1"/>
  <c r="Y131" i="6"/>
  <c r="AC131" i="6" s="1"/>
  <c r="Y127" i="6"/>
  <c r="AC127" i="6" s="1"/>
  <c r="Y123" i="6"/>
  <c r="AC123" i="6" s="1"/>
  <c r="Y143" i="6"/>
  <c r="AC143" i="6" s="1"/>
  <c r="Y139" i="6"/>
  <c r="AC139" i="6" s="1"/>
  <c r="Y147" i="6"/>
  <c r="AC147" i="6" s="1"/>
  <c r="Y136" i="6"/>
  <c r="AC136" i="6" s="1"/>
  <c r="Y132" i="6"/>
  <c r="AC132" i="6" s="1"/>
  <c r="Y128" i="6"/>
  <c r="AC128" i="6" s="1"/>
  <c r="Y115" i="6"/>
  <c r="AC115" i="6" s="1"/>
  <c r="Y111" i="6"/>
  <c r="AC111" i="6" s="1"/>
  <c r="Y107" i="6"/>
  <c r="AC107" i="6" s="1"/>
  <c r="Y103" i="6"/>
  <c r="AC103" i="6" s="1"/>
  <c r="Y99" i="6"/>
  <c r="AC99" i="6" s="1"/>
  <c r="Y119" i="6"/>
  <c r="AC119" i="6" s="1"/>
  <c r="Y118" i="6"/>
  <c r="AC118" i="6" s="1"/>
  <c r="Y121" i="6"/>
  <c r="AC121" i="6" s="1"/>
  <c r="Y116" i="6"/>
  <c r="AC116" i="6" s="1"/>
  <c r="Y112" i="6"/>
  <c r="AC112" i="6" s="1"/>
  <c r="Y108" i="6"/>
  <c r="AC108" i="6" s="1"/>
  <c r="Y104" i="6"/>
  <c r="AC104" i="6" s="1"/>
  <c r="Y113" i="6"/>
  <c r="AC113" i="6" s="1"/>
  <c r="Y109" i="6"/>
  <c r="AC109" i="6" s="1"/>
  <c r="Y105" i="6"/>
  <c r="AC105" i="6" s="1"/>
  <c r="Y101" i="6"/>
  <c r="AC101" i="6" s="1"/>
  <c r="Y120" i="6"/>
  <c r="AC120" i="6" s="1"/>
  <c r="Y117" i="6"/>
  <c r="AC117" i="6" s="1"/>
  <c r="Y114" i="6"/>
  <c r="AC114" i="6" s="1"/>
  <c r="Y110" i="6"/>
  <c r="AC110" i="6" s="1"/>
  <c r="Y106" i="6"/>
  <c r="AC106" i="6" s="1"/>
  <c r="Y102" i="6"/>
  <c r="AC102" i="6" s="1"/>
  <c r="Y124" i="6"/>
  <c r="AC124" i="6" s="1"/>
  <c r="Y91" i="6"/>
  <c r="AC91" i="6" s="1"/>
  <c r="Y87" i="6"/>
  <c r="AC87" i="6" s="1"/>
  <c r="Y83" i="6"/>
  <c r="AC83" i="6" s="1"/>
  <c r="Y92" i="6"/>
  <c r="AC92" i="6" s="1"/>
  <c r="Y88" i="6"/>
  <c r="AC88" i="6" s="1"/>
  <c r="Y84" i="6"/>
  <c r="AC84" i="6" s="1"/>
  <c r="Y95" i="6"/>
  <c r="AC95" i="6" s="1"/>
  <c r="Y98" i="6"/>
  <c r="AC98" i="6" s="1"/>
  <c r="Y96" i="6"/>
  <c r="AC96" i="6" s="1"/>
  <c r="Y100" i="6"/>
  <c r="AC100" i="6" s="1"/>
  <c r="Y94" i="6"/>
  <c r="AC94" i="6" s="1"/>
  <c r="Y89" i="6"/>
  <c r="AC89" i="6" s="1"/>
  <c r="Y85" i="6"/>
  <c r="AC85" i="6" s="1"/>
  <c r="Y81" i="6"/>
  <c r="AC81" i="6" s="1"/>
  <c r="Y93" i="6"/>
  <c r="AC93" i="6" s="1"/>
  <c r="Y90" i="6"/>
  <c r="AC90" i="6" s="1"/>
  <c r="Y86" i="6"/>
  <c r="AC86" i="6" s="1"/>
  <c r="Y82" i="6"/>
  <c r="AC82" i="6" s="1"/>
  <c r="Y97" i="6"/>
  <c r="AC97" i="6" s="1"/>
  <c r="Y66" i="6"/>
  <c r="AC66" i="6" s="1"/>
  <c r="Y62" i="6"/>
  <c r="AC62" i="6" s="1"/>
  <c r="Y70" i="6"/>
  <c r="AC70" i="6" s="1"/>
  <c r="Y80" i="6"/>
  <c r="AC80" i="6" s="1"/>
  <c r="Y73" i="6"/>
  <c r="AC73" i="6" s="1"/>
  <c r="Y67" i="6"/>
  <c r="AC67" i="6" s="1"/>
  <c r="Y63" i="6"/>
  <c r="AC63" i="6" s="1"/>
  <c r="Y59" i="6"/>
  <c r="AC59" i="6" s="1"/>
  <c r="Y55" i="6"/>
  <c r="AC55" i="6" s="1"/>
  <c r="Y79" i="6"/>
  <c r="AC79" i="6" s="1"/>
  <c r="Y77" i="6"/>
  <c r="AC77" i="6" s="1"/>
  <c r="Y76" i="6"/>
  <c r="AC76" i="6" s="1"/>
  <c r="Y71" i="6"/>
  <c r="AC71" i="6" s="1"/>
  <c r="Y68" i="6"/>
  <c r="AC68" i="6" s="1"/>
  <c r="Y64" i="6"/>
  <c r="AC64" i="6" s="1"/>
  <c r="Y78" i="6"/>
  <c r="AC78" i="6" s="1"/>
  <c r="Y75" i="6"/>
  <c r="AC75" i="6" s="1"/>
  <c r="Y69" i="6"/>
  <c r="AC69" i="6" s="1"/>
  <c r="Y65" i="6"/>
  <c r="AC65" i="6" s="1"/>
  <c r="Y61" i="6"/>
  <c r="AC61" i="6" s="1"/>
  <c r="Y74" i="6"/>
  <c r="AC74" i="6" s="1"/>
  <c r="Y72" i="6"/>
  <c r="AC72" i="6" s="1"/>
  <c r="Y57" i="6"/>
  <c r="AC57" i="6" s="1"/>
  <c r="Y46" i="6"/>
  <c r="AC46" i="6" s="1"/>
  <c r="Y42" i="6"/>
  <c r="AC42" i="6" s="1"/>
  <c r="Y38" i="6"/>
  <c r="AC38" i="6" s="1"/>
  <c r="Y56" i="6"/>
  <c r="AC56" i="6" s="1"/>
  <c r="Y50" i="6"/>
  <c r="AC50" i="6" s="1"/>
  <c r="Y54" i="6"/>
  <c r="AC54" i="6" s="1"/>
  <c r="Y53" i="6"/>
  <c r="AC53" i="6" s="1"/>
  <c r="Y47" i="6"/>
  <c r="AC47" i="6" s="1"/>
  <c r="Y43" i="6"/>
  <c r="AC43" i="6" s="1"/>
  <c r="Y39" i="6"/>
  <c r="AC39" i="6" s="1"/>
  <c r="Y60" i="6"/>
  <c r="AC60" i="6" s="1"/>
  <c r="Y52" i="6"/>
  <c r="AC52" i="6" s="1"/>
  <c r="Y48" i="6"/>
  <c r="AC48" i="6" s="1"/>
  <c r="Y44" i="6"/>
  <c r="AC44" i="6" s="1"/>
  <c r="Y40" i="6"/>
  <c r="AC40" i="6" s="1"/>
  <c r="Y58" i="6"/>
  <c r="AC58" i="6" s="1"/>
  <c r="Y51" i="6"/>
  <c r="AC51" i="6" s="1"/>
  <c r="Y49" i="6"/>
  <c r="AC49" i="6" s="1"/>
  <c r="Y45" i="6"/>
  <c r="AC45" i="6" s="1"/>
  <c r="Y41" i="6"/>
  <c r="AC41" i="6" s="1"/>
  <c r="Y37" i="6"/>
  <c r="AC37" i="6" s="1"/>
  <c r="J19" i="9"/>
  <c r="L3" i="9"/>
  <c r="K20" i="9"/>
  <c r="K2" i="9"/>
  <c r="Y22" i="6"/>
  <c r="AC22" i="6" s="1"/>
  <c r="X19" i="6"/>
  <c r="AD20" i="6"/>
  <c r="AD1" i="6"/>
  <c r="AJ2" i="6"/>
  <c r="K23" i="9"/>
  <c r="AE99" i="6" a="1"/>
  <c r="AE86" i="6" a="1"/>
  <c r="AG181" i="6"/>
  <c r="AD44" i="6"/>
  <c r="K97" i="9"/>
  <c r="AF127" i="6"/>
  <c r="K28" i="9"/>
  <c r="AE98" i="6" a="1"/>
  <c r="AG133" i="6"/>
  <c r="AE164" i="6" a="1"/>
  <c r="K54" i="9"/>
  <c r="AG71" i="6"/>
  <c r="AG144" i="6"/>
  <c r="K99" i="9"/>
  <c r="AD123" i="6"/>
  <c r="AF161" i="6"/>
  <c r="K22" i="9"/>
  <c r="AD148" i="6"/>
  <c r="AD36" i="6"/>
  <c r="AF69" i="6"/>
  <c r="K104" i="9"/>
  <c r="AE149" i="6" a="1"/>
  <c r="AH108" i="6"/>
  <c r="AH110" i="6"/>
  <c r="AE155" i="6" a="1"/>
  <c r="AF110" i="6"/>
  <c r="AF197" i="6"/>
  <c r="AD95" i="6"/>
  <c r="AF64" i="6"/>
  <c r="AD63" i="6"/>
  <c r="AE32" i="6" a="1"/>
  <c r="AD129" i="6"/>
  <c r="AG206" i="6"/>
  <c r="AE23" i="6" a="1"/>
  <c r="K39" i="9"/>
  <c r="AG97" i="6"/>
  <c r="K84" i="9"/>
  <c r="AG83" i="6"/>
  <c r="K24" i="9"/>
  <c r="AD196" i="6"/>
  <c r="AG129" i="6"/>
  <c r="AD33" i="6"/>
  <c r="AD122" i="6"/>
  <c r="AF183" i="6"/>
  <c r="AE172" i="6" a="1"/>
  <c r="AG63" i="6"/>
  <c r="K94" i="9"/>
  <c r="AE192" i="6" a="1"/>
  <c r="AF45" i="6"/>
  <c r="AH166" i="6"/>
  <c r="AH83" i="6"/>
  <c r="K36" i="9"/>
  <c r="AG150" i="6"/>
  <c r="K114" i="9"/>
  <c r="AG174" i="6"/>
  <c r="AF81" i="6"/>
  <c r="AE123" i="6" a="1"/>
  <c r="K73" i="9"/>
  <c r="AH90" i="6"/>
  <c r="AG65" i="6"/>
  <c r="K38" i="9"/>
  <c r="AD170" i="6"/>
  <c r="AE89" i="6" a="1"/>
  <c r="K83" i="9"/>
  <c r="AG99" i="6"/>
  <c r="AF26" i="6"/>
  <c r="AH199" i="6"/>
  <c r="AG31" i="6"/>
  <c r="AG140" i="6"/>
  <c r="AH148" i="6"/>
  <c r="AD168" i="6"/>
  <c r="AF136" i="6"/>
  <c r="AG108" i="6"/>
  <c r="AH68" i="6"/>
  <c r="AH182" i="6"/>
  <c r="AE128" i="6" a="1"/>
  <c r="AH97" i="6"/>
  <c r="AE122" i="6" a="1"/>
  <c r="AD84" i="6"/>
  <c r="AE177" i="6" a="1"/>
  <c r="AD107" i="6"/>
  <c r="K93" i="9"/>
  <c r="AF125" i="6"/>
  <c r="K31" i="9"/>
  <c r="AE88" i="6" a="1"/>
  <c r="AD23" i="6"/>
  <c r="AH104" i="6"/>
  <c r="AF115" i="6"/>
  <c r="AE30" i="6" a="1"/>
  <c r="AH48" i="6"/>
  <c r="AE92" i="6" a="1"/>
  <c r="AD185" i="6"/>
  <c r="AE163" i="6" a="1"/>
  <c r="AG165" i="6"/>
  <c r="K113" i="9"/>
  <c r="AE181" i="6" a="1"/>
  <c r="AE148" i="6" a="1"/>
  <c r="AD112" i="6"/>
  <c r="AE90" i="6" a="1"/>
  <c r="K122" i="9"/>
  <c r="AF74" i="6"/>
  <c r="K29" i="9"/>
  <c r="AF97" i="6"/>
  <c r="K123" i="9"/>
  <c r="AE129" i="6" a="1"/>
  <c r="K98" i="9"/>
  <c r="AG72" i="6"/>
  <c r="AE145" i="6" a="1"/>
  <c r="K57" i="9"/>
  <c r="AE80" i="6" a="1"/>
  <c r="AD158" i="6"/>
  <c r="K41" i="9"/>
  <c r="AD94" i="6"/>
  <c r="AD60" i="6"/>
  <c r="AE106" i="6" a="1"/>
  <c r="AD32" i="6"/>
  <c r="AG37" i="6"/>
  <c r="AD182" i="6"/>
  <c r="AH126" i="6"/>
  <c r="AH198" i="6"/>
  <c r="AF206" i="6"/>
  <c r="AF50" i="6"/>
  <c r="AH38" i="6"/>
  <c r="AE57" i="6" a="1"/>
  <c r="AH54" i="6"/>
  <c r="AH144" i="6"/>
  <c r="AH161" i="6"/>
  <c r="AG198" i="6"/>
  <c r="AH176" i="6"/>
  <c r="K40" i="9"/>
  <c r="AE119" i="6" a="1"/>
  <c r="K85" i="9"/>
  <c r="AG75" i="6"/>
  <c r="AF29" i="6"/>
  <c r="AG61" i="6"/>
  <c r="AH112" i="6"/>
  <c r="AD48" i="6"/>
  <c r="AG81" i="6"/>
  <c r="AE83" i="6" a="1"/>
  <c r="AE45" i="6" a="1"/>
  <c r="K69" i="9"/>
  <c r="AF167" i="6"/>
  <c r="AF159" i="6"/>
  <c r="K52" i="9"/>
  <c r="AE188" i="6" a="1"/>
  <c r="AH55" i="6"/>
  <c r="AE180" i="6" a="1"/>
  <c r="AF152" i="6"/>
  <c r="K37" i="9"/>
  <c r="AH113" i="6"/>
  <c r="AD34" i="6"/>
  <c r="AF129" i="6"/>
  <c r="K62" i="9"/>
  <c r="AF141" i="6"/>
  <c r="AD26" i="6"/>
  <c r="AE102" i="6" a="1"/>
  <c r="AG125" i="6"/>
  <c r="K135" i="9"/>
  <c r="AE127" i="6" a="1"/>
  <c r="AD172" i="6"/>
  <c r="K119" i="9"/>
  <c r="AE205" i="6" a="1"/>
  <c r="AE103" i="6" a="1"/>
  <c r="AH131" i="6"/>
  <c r="AE25" i="6" a="1"/>
  <c r="AF53" i="6"/>
  <c r="AF169" i="6"/>
  <c r="AG73" i="6"/>
  <c r="AG121" i="6"/>
  <c r="AD87" i="6"/>
  <c r="AF126" i="6"/>
  <c r="AF160" i="6"/>
  <c r="AG57" i="6"/>
  <c r="AF38" i="6"/>
  <c r="AF185" i="6"/>
  <c r="AF192" i="6"/>
  <c r="AH146" i="6"/>
  <c r="AG182" i="6"/>
  <c r="AD31" i="6"/>
  <c r="AG102" i="6"/>
  <c r="K32" i="9"/>
  <c r="AD79" i="6"/>
  <c r="AE35" i="6" a="1"/>
  <c r="AD54" i="6"/>
  <c r="AG43" i="6"/>
  <c r="AE135" i="6" a="1"/>
  <c r="AD128" i="6"/>
  <c r="AE40" i="6" a="1"/>
  <c r="AD192" i="6"/>
  <c r="AH168" i="6"/>
  <c r="AE134" i="6" a="1"/>
  <c r="AH121" i="6"/>
  <c r="AF124" i="6"/>
  <c r="K118" i="9"/>
  <c r="AH130" i="6"/>
  <c r="K53" i="9"/>
  <c r="AH111" i="6"/>
  <c r="AD177" i="6"/>
  <c r="AE199" i="6" a="1"/>
  <c r="AG154" i="6"/>
  <c r="AG36" i="6"/>
  <c r="AH184" i="6"/>
  <c r="AG32" i="6"/>
  <c r="AH87" i="6"/>
  <c r="K81" i="9"/>
  <c r="AH71" i="6"/>
  <c r="AG24" i="6"/>
  <c r="AD155" i="6"/>
  <c r="AH152" i="6"/>
  <c r="K82" i="9"/>
  <c r="AE137" i="6" a="1"/>
  <c r="AE37" i="6" a="1"/>
  <c r="K66" i="9"/>
  <c r="AD67" i="6"/>
  <c r="AG166" i="6"/>
  <c r="AG85" i="6"/>
  <c r="AH159" i="6"/>
  <c r="AH64" i="6"/>
  <c r="AF128" i="6"/>
  <c r="AD92" i="6"/>
  <c r="AF66" i="6"/>
  <c r="AF200" i="6"/>
  <c r="AD164" i="6"/>
  <c r="AE185" i="6" a="1"/>
  <c r="AG205" i="6"/>
  <c r="AD180" i="6"/>
  <c r="AD156" i="6"/>
  <c r="AG90" i="6"/>
  <c r="AG114" i="6"/>
  <c r="AF196" i="6"/>
  <c r="AG25" i="6"/>
  <c r="AF62" i="6"/>
  <c r="AD27" i="6"/>
  <c r="AF83" i="6"/>
  <c r="AD69" i="6"/>
  <c r="AG202" i="6"/>
  <c r="AE111" i="6" a="1"/>
  <c r="AD51" i="6"/>
  <c r="AE27" i="6" a="1"/>
  <c r="AF33" i="6"/>
  <c r="AD121" i="6"/>
  <c r="AF103" i="6"/>
  <c r="AF77" i="6"/>
  <c r="AF63" i="6"/>
  <c r="AG38" i="6"/>
  <c r="K56" i="9"/>
  <c r="AH193" i="6"/>
  <c r="AH75" i="6"/>
  <c r="AF89" i="6"/>
  <c r="AH28" i="6"/>
  <c r="AF106" i="6"/>
  <c r="K27" i="9"/>
  <c r="AE179" i="6" a="1"/>
  <c r="AD55" i="6"/>
  <c r="AH34" i="6"/>
  <c r="AG117" i="6"/>
  <c r="AH30" i="6"/>
  <c r="AH197" i="6"/>
  <c r="K106" i="9"/>
  <c r="AF72" i="6"/>
  <c r="AG34" i="6"/>
  <c r="AE196" i="6" a="1"/>
  <c r="AD142" i="6"/>
  <c r="K136" i="9"/>
  <c r="AH88" i="6"/>
  <c r="AH49" i="6"/>
  <c r="K120" i="9"/>
  <c r="AE84" i="6" a="1"/>
  <c r="AG200" i="6"/>
  <c r="AE169" i="6" a="1"/>
  <c r="AF148" i="6"/>
  <c r="AD204" i="6"/>
  <c r="AD102" i="6"/>
  <c r="AE68" i="6" a="1"/>
  <c r="AE54" i="6" a="1"/>
  <c r="AF96" i="6"/>
  <c r="AD179" i="6"/>
  <c r="AG201" i="6"/>
  <c r="AG184" i="6"/>
  <c r="AG64" i="6"/>
  <c r="AH127" i="6"/>
  <c r="AF168" i="6"/>
  <c r="AG126" i="6"/>
  <c r="AE62" i="6" a="1"/>
  <c r="AH129" i="6"/>
  <c r="AG204" i="6"/>
  <c r="AD133" i="6"/>
  <c r="AF187" i="6"/>
  <c r="AD131" i="6"/>
  <c r="AF205" i="6"/>
  <c r="AH47" i="6"/>
  <c r="AD126" i="6"/>
  <c r="AF130" i="6"/>
  <c r="AD137" i="6"/>
  <c r="AE94" i="6" a="1"/>
  <c r="AF109" i="6"/>
  <c r="AF40" i="6"/>
  <c r="K102" i="9"/>
  <c r="AE190" i="6" a="1"/>
  <c r="AD29" i="6"/>
  <c r="AH109" i="6"/>
  <c r="K86" i="9"/>
  <c r="AH137" i="6"/>
  <c r="AF54" i="6"/>
  <c r="AH58" i="6"/>
  <c r="AH94" i="6"/>
  <c r="AF198" i="6"/>
  <c r="AH40" i="6"/>
  <c r="AD30" i="6"/>
  <c r="AE131" i="6" a="1"/>
  <c r="AD62" i="6"/>
  <c r="AH185" i="6"/>
  <c r="AF182" i="6"/>
  <c r="AH31" i="6"/>
  <c r="AG80" i="6"/>
  <c r="AD143" i="6"/>
  <c r="AH23" i="6"/>
  <c r="AF90" i="6"/>
  <c r="AH70" i="6"/>
  <c r="AF78" i="6"/>
  <c r="AE100" i="6" a="1"/>
  <c r="AD81" i="6"/>
  <c r="AF94" i="6"/>
  <c r="AG48" i="6"/>
  <c r="AD138" i="6"/>
  <c r="AG195" i="6"/>
  <c r="AH114" i="6"/>
  <c r="AH143" i="6"/>
  <c r="AE81" i="6" a="1"/>
  <c r="AE49" i="6" a="1"/>
  <c r="AG109" i="6"/>
  <c r="AF59" i="6"/>
  <c r="AE47" i="6" a="1"/>
  <c r="AE173" i="6" a="1"/>
  <c r="AE31" i="6" a="1"/>
  <c r="AG137" i="6"/>
  <c r="AE171" i="6" a="1"/>
  <c r="AF138" i="6"/>
  <c r="AD110" i="6"/>
  <c r="AF154" i="6"/>
  <c r="AF164" i="6"/>
  <c r="AG89" i="6"/>
  <c r="AD166" i="6"/>
  <c r="AD45" i="6"/>
  <c r="K109" i="9"/>
  <c r="AG120" i="6"/>
  <c r="AD52" i="6"/>
  <c r="AH151" i="6"/>
  <c r="AE121" i="6" a="1"/>
  <c r="AF191" i="6"/>
  <c r="AE168" i="6" a="1"/>
  <c r="AG78" i="6"/>
  <c r="AE136" i="6" a="1"/>
  <c r="AH117" i="6"/>
  <c r="AD151" i="6"/>
  <c r="AH32" i="6"/>
  <c r="AE34" i="6" a="1"/>
  <c r="AG161" i="6"/>
  <c r="K105" i="9"/>
  <c r="AG124" i="6"/>
  <c r="AD161" i="6"/>
  <c r="AH66" i="6"/>
  <c r="AD120" i="6"/>
  <c r="AD175" i="6"/>
  <c r="AF104" i="6"/>
  <c r="AG28" i="6"/>
  <c r="AH100" i="6"/>
  <c r="AG69" i="6"/>
  <c r="AH44" i="6"/>
  <c r="AE176" i="6" a="1"/>
  <c r="AF32" i="6"/>
  <c r="AG103" i="6"/>
  <c r="AG94" i="6"/>
  <c r="AF24" i="6"/>
  <c r="AH74" i="6"/>
  <c r="AF86" i="6"/>
  <c r="AF108" i="6"/>
  <c r="AD194" i="6"/>
  <c r="AF179" i="6"/>
  <c r="AH93" i="6"/>
  <c r="AG54" i="6"/>
  <c r="AH91" i="6"/>
  <c r="AE110" i="6" a="1"/>
  <c r="AH177" i="6"/>
  <c r="AH65" i="6"/>
  <c r="AF193" i="6"/>
  <c r="AH78" i="6"/>
  <c r="AH190" i="6"/>
  <c r="AF105" i="6"/>
  <c r="AH154" i="6"/>
  <c r="AG46" i="6"/>
  <c r="AH39" i="6"/>
  <c r="AF119" i="6"/>
  <c r="AE130" i="6" a="1"/>
  <c r="AG105" i="6"/>
  <c r="AE195" i="6" a="1"/>
  <c r="AF48" i="6"/>
  <c r="AE112" i="6" a="1"/>
  <c r="AD40" i="6"/>
  <c r="AD77" i="6"/>
  <c r="AF180" i="6"/>
  <c r="AD96" i="6"/>
  <c r="AE67" i="6" a="1"/>
  <c r="AD197" i="6"/>
  <c r="AF140" i="6"/>
  <c r="AE58" i="6" a="1"/>
  <c r="AH101" i="6"/>
  <c r="K129" i="9"/>
  <c r="AE50" i="6" a="1"/>
  <c r="AE182" i="6" a="1"/>
  <c r="AH186" i="6"/>
  <c r="AG179" i="6"/>
  <c r="AE175" i="6" a="1"/>
  <c r="AF194" i="6"/>
  <c r="AE64" i="6" a="1"/>
  <c r="AD35" i="6"/>
  <c r="AD134" i="6"/>
  <c r="AG123" i="6"/>
  <c r="AF188" i="6"/>
  <c r="AE107" i="6" a="1"/>
  <c r="K44" i="9"/>
  <c r="AF199" i="6"/>
  <c r="AE133" i="6" a="1"/>
  <c r="AD101" i="6"/>
  <c r="AG95" i="6"/>
  <c r="AD78" i="6"/>
  <c r="AF172" i="6"/>
  <c r="AH26" i="6"/>
  <c r="AF51" i="6"/>
  <c r="AE170" i="6" a="1"/>
  <c r="AH52" i="6"/>
  <c r="AE75" i="6" a="1"/>
  <c r="AG26" i="6"/>
  <c r="AG175" i="6"/>
  <c r="AG119" i="6"/>
  <c r="AF30" i="6"/>
  <c r="AG127" i="6"/>
  <c r="AD145" i="6"/>
  <c r="AD73" i="6"/>
  <c r="AD111" i="6"/>
  <c r="AG76" i="6"/>
  <c r="AG128" i="6"/>
  <c r="AD178" i="6"/>
  <c r="AH155" i="6"/>
  <c r="AD174" i="6"/>
  <c r="AG104" i="6"/>
  <c r="AF88" i="6"/>
  <c r="AH150" i="6"/>
  <c r="AH82" i="6"/>
  <c r="AG147" i="6"/>
  <c r="K108" i="9"/>
  <c r="AG47" i="6"/>
  <c r="AF186" i="6"/>
  <c r="AD46" i="6"/>
  <c r="AD43" i="6"/>
  <c r="AF173" i="6"/>
  <c r="AG192" i="6"/>
  <c r="AD165" i="6"/>
  <c r="AD90" i="6"/>
  <c r="AD85" i="6"/>
  <c r="AE61" i="6" a="1"/>
  <c r="AF82" i="6"/>
  <c r="K55" i="9"/>
  <c r="AD61" i="6"/>
  <c r="AD152" i="6"/>
  <c r="AG156" i="6"/>
  <c r="AE157" i="6" a="1"/>
  <c r="K68" i="9"/>
  <c r="AG87" i="6"/>
  <c r="AH178" i="6"/>
  <c r="AH173" i="6"/>
  <c r="AG196" i="6"/>
  <c r="AD64" i="6"/>
  <c r="K130" i="9"/>
  <c r="AD139" i="6"/>
  <c r="AD127" i="6"/>
  <c r="AG170" i="6"/>
  <c r="AH103" i="6"/>
  <c r="AE42" i="6" a="1"/>
  <c r="AE204" i="6" a="1"/>
  <c r="AH205" i="6"/>
  <c r="AG160" i="6"/>
  <c r="AF153" i="6"/>
  <c r="AH41" i="6"/>
  <c r="AF151" i="6"/>
  <c r="AG39" i="6"/>
  <c r="K91" i="9"/>
  <c r="AE162" i="6" a="1"/>
  <c r="AF93" i="6"/>
  <c r="AD140" i="6"/>
  <c r="AF41" i="6"/>
  <c r="AG58" i="6"/>
  <c r="AF176" i="6"/>
  <c r="AH164" i="6"/>
  <c r="AG139" i="6"/>
  <c r="AE87" i="6" a="1"/>
  <c r="AH69" i="6"/>
  <c r="AH67" i="6"/>
  <c r="AH149" i="6"/>
  <c r="AG143" i="6"/>
  <c r="AE114" i="6" a="1"/>
  <c r="AH124" i="6"/>
  <c r="AG155" i="6"/>
  <c r="K110" i="9"/>
  <c r="AE38" i="6" a="1"/>
  <c r="AG136" i="6"/>
  <c r="AE71" i="6" a="1"/>
  <c r="AH123" i="6"/>
  <c r="AD72" i="6"/>
  <c r="AD65" i="6"/>
  <c r="AG151" i="6"/>
  <c r="AH45" i="6"/>
  <c r="AF122" i="6"/>
  <c r="AE197" i="6" a="1"/>
  <c r="AF84" i="6"/>
  <c r="K45" i="9"/>
  <c r="AD88" i="6"/>
  <c r="AE165" i="6" a="1"/>
  <c r="AF39" i="6"/>
  <c r="AD97" i="6"/>
  <c r="AD169" i="6"/>
  <c r="AF57" i="6"/>
  <c r="AF113" i="6"/>
  <c r="AF170" i="6"/>
  <c r="AD190" i="6"/>
  <c r="AG68" i="6"/>
  <c r="AE159" i="6" a="1"/>
  <c r="AG145" i="6"/>
  <c r="K30" i="9"/>
  <c r="AE200" i="6" a="1"/>
  <c r="AG173" i="6"/>
  <c r="AE193" i="6" a="1"/>
  <c r="AE65" i="6" a="1"/>
  <c r="AF174" i="6"/>
  <c r="AG131" i="6"/>
  <c r="AD154" i="6"/>
  <c r="AH56" i="6"/>
  <c r="AH76" i="6"/>
  <c r="AE194" i="6" a="1"/>
  <c r="AD193" i="6"/>
  <c r="AD74" i="6"/>
  <c r="AD198" i="6"/>
  <c r="AD41" i="6"/>
  <c r="AD167" i="6"/>
  <c r="AH98" i="6"/>
  <c r="AE203" i="6" a="1"/>
  <c r="AF76" i="6"/>
  <c r="AH24" i="6"/>
  <c r="AG82" i="6"/>
  <c r="AG118" i="6"/>
  <c r="AG164" i="6"/>
  <c r="AH195" i="6"/>
  <c r="AG51" i="6"/>
  <c r="AF47" i="6"/>
  <c r="AD147" i="6"/>
  <c r="AD49" i="6"/>
  <c r="AG42" i="6"/>
  <c r="AG84" i="6"/>
  <c r="AD83" i="6"/>
  <c r="AE93" i="6" a="1"/>
  <c r="K49" i="9"/>
  <c r="AH187" i="6"/>
  <c r="AE147" i="6" a="1"/>
  <c r="AG106" i="6"/>
  <c r="AH174" i="6"/>
  <c r="AG77" i="6"/>
  <c r="AG159" i="6"/>
  <c r="K59" i="9"/>
  <c r="AE78" i="6" a="1"/>
  <c r="AG56" i="6"/>
  <c r="AF23" i="6"/>
  <c r="AG178" i="6"/>
  <c r="AG190" i="6"/>
  <c r="AH160" i="6"/>
  <c r="AD39" i="6"/>
  <c r="K26" i="9"/>
  <c r="AE26" i="6" a="1"/>
  <c r="AG52" i="6"/>
  <c r="AD150" i="6"/>
  <c r="AH85" i="6"/>
  <c r="AD25" i="6"/>
  <c r="AE160" i="6" a="1"/>
  <c r="AF68" i="6"/>
  <c r="AF100" i="6"/>
  <c r="AD98" i="6"/>
  <c r="AF195" i="6"/>
  <c r="AG60" i="6"/>
  <c r="AG135" i="6"/>
  <c r="AH105" i="6"/>
  <c r="AD47" i="6"/>
  <c r="K107" i="9"/>
  <c r="AG153" i="6"/>
  <c r="AH115" i="6"/>
  <c r="K127" i="9"/>
  <c r="AG112" i="6"/>
  <c r="AG168" i="6"/>
  <c r="AF132" i="6"/>
  <c r="AD202" i="6"/>
  <c r="AD58" i="6"/>
  <c r="AD146" i="6"/>
  <c r="K95" i="9"/>
  <c r="AH77" i="6"/>
  <c r="AD109" i="6"/>
  <c r="AE166" i="6" a="1"/>
  <c r="AE79" i="6" a="1"/>
  <c r="AG134" i="6"/>
  <c r="K35" i="9"/>
  <c r="AF79" i="6"/>
  <c r="AD176" i="6"/>
  <c r="AG33" i="6"/>
  <c r="K101" i="9"/>
  <c r="AH156" i="6"/>
  <c r="AD144" i="6"/>
  <c r="K121" i="9"/>
  <c r="AF175" i="6"/>
  <c r="AF71" i="6"/>
  <c r="AG172" i="6"/>
  <c r="AE108" i="6" a="1"/>
  <c r="AD118" i="6"/>
  <c r="AD189" i="6"/>
  <c r="AF70" i="6"/>
  <c r="AE143" i="6" a="1"/>
  <c r="AG79" i="6"/>
  <c r="AG50" i="6"/>
  <c r="AH128" i="6"/>
  <c r="AD135" i="6"/>
  <c r="K46" i="9"/>
  <c r="AF162" i="6"/>
  <c r="AD50" i="6"/>
  <c r="K74" i="9"/>
  <c r="AH99" i="6"/>
  <c r="AD38" i="6"/>
  <c r="AD195" i="6"/>
  <c r="AF139" i="6"/>
  <c r="AH183" i="6"/>
  <c r="AD42" i="6"/>
  <c r="K42" i="9"/>
  <c r="AH189" i="6"/>
  <c r="AE117" i="6" a="1"/>
  <c r="AE154" i="6" a="1"/>
  <c r="AF189" i="6"/>
  <c r="AE63" i="6" a="1"/>
  <c r="K124" i="9"/>
  <c r="AE104" i="6" a="1"/>
  <c r="AG115" i="6"/>
  <c r="AD201" i="6"/>
  <c r="AE120" i="6" a="1"/>
  <c r="AH106" i="6"/>
  <c r="AG187" i="6"/>
  <c r="AD86" i="6"/>
  <c r="K76" i="9"/>
  <c r="K61" i="9"/>
  <c r="AH72" i="6"/>
  <c r="AH138" i="6"/>
  <c r="AH53" i="6"/>
  <c r="AF58" i="6"/>
  <c r="AG93" i="6"/>
  <c r="AD117" i="6"/>
  <c r="AE184" i="6" a="1"/>
  <c r="AH57" i="6"/>
  <c r="AG132" i="6"/>
  <c r="AE115" i="6" a="1"/>
  <c r="AH180" i="6"/>
  <c r="AE189" i="6" a="1"/>
  <c r="AD113" i="6"/>
  <c r="K65" i="9"/>
  <c r="AG74" i="6"/>
  <c r="AD68" i="6"/>
  <c r="K128" i="9"/>
  <c r="AG101" i="6"/>
  <c r="AD157" i="6"/>
  <c r="AD57" i="6"/>
  <c r="AE126" i="6" a="1"/>
  <c r="AD82" i="6"/>
  <c r="AE139" i="6" a="1"/>
  <c r="K96" i="9"/>
  <c r="AH141" i="6"/>
  <c r="AD76" i="6"/>
  <c r="AD125" i="6"/>
  <c r="K43" i="9"/>
  <c r="AH125" i="6"/>
  <c r="K71" i="9"/>
  <c r="AG138" i="6"/>
  <c r="AG67" i="6"/>
  <c r="AE151" i="6" a="1"/>
  <c r="AE36" i="6" a="1"/>
  <c r="AF112" i="6"/>
  <c r="AD93" i="6"/>
  <c r="AF46" i="6"/>
  <c r="AF202" i="6"/>
  <c r="AH51" i="6"/>
  <c r="AG53" i="6"/>
  <c r="AH153" i="6"/>
  <c r="AH36" i="6"/>
  <c r="AH145" i="6"/>
  <c r="AE174" i="6" a="1"/>
  <c r="AE158" i="6" a="1"/>
  <c r="AH107" i="6"/>
  <c r="AH200" i="6"/>
  <c r="AE74" i="6" a="1"/>
  <c r="AG169" i="6"/>
  <c r="AH147" i="6"/>
  <c r="AG86" i="6"/>
  <c r="AD108" i="6"/>
  <c r="AH133" i="6"/>
  <c r="AH175" i="6"/>
  <c r="AE183" i="6" a="1"/>
  <c r="AF25" i="6"/>
  <c r="AD59" i="6"/>
  <c r="K72" i="9"/>
  <c r="K100" i="9"/>
  <c r="AF165" i="6"/>
  <c r="K60" i="9"/>
  <c r="AE116" i="6" a="1"/>
  <c r="AE96" i="6" a="1"/>
  <c r="AH142" i="6"/>
  <c r="AE152" i="6" a="1"/>
  <c r="AH204" i="6"/>
  <c r="AF107" i="6"/>
  <c r="AD71" i="6"/>
  <c r="AE109" i="6" a="1"/>
  <c r="AG180" i="6"/>
  <c r="AD203" i="6"/>
  <c r="AD149" i="6"/>
  <c r="AH50" i="6"/>
  <c r="K90" i="9"/>
  <c r="AE167" i="6" a="1"/>
  <c r="AG141" i="6"/>
  <c r="AH27" i="6"/>
  <c r="AE56" i="6" a="1"/>
  <c r="AE101" i="6" a="1"/>
  <c r="AD91" i="6"/>
  <c r="AG41" i="6"/>
  <c r="AG44" i="6"/>
  <c r="AE153" i="6" a="1"/>
  <c r="AG27" i="6"/>
  <c r="AG193" i="6"/>
  <c r="K51" i="9"/>
  <c r="AF95" i="6"/>
  <c r="K132" i="9"/>
  <c r="K125" i="9"/>
  <c r="AH162" i="6"/>
  <c r="AE113" i="6" a="1"/>
  <c r="AG92" i="6"/>
  <c r="AG142" i="6"/>
  <c r="AF27" i="6"/>
  <c r="AF123" i="6"/>
  <c r="AH179" i="6"/>
  <c r="K126" i="9"/>
  <c r="AD136" i="6"/>
  <c r="AE52" i="6" a="1"/>
  <c r="AG62" i="6"/>
  <c r="AD200" i="6"/>
  <c r="AD184" i="6"/>
  <c r="AD114" i="6"/>
  <c r="AF171" i="6"/>
  <c r="AF149" i="6"/>
  <c r="AE66" i="6" a="1"/>
  <c r="AF117" i="6"/>
  <c r="AH192" i="6"/>
  <c r="AH171" i="6"/>
  <c r="AH35" i="6"/>
  <c r="AG188" i="6"/>
  <c r="AG110" i="6"/>
  <c r="AF28" i="6"/>
  <c r="AD89" i="6"/>
  <c r="AD186" i="6"/>
  <c r="AG185" i="6"/>
  <c r="AG98" i="6"/>
  <c r="AD205" i="6"/>
  <c r="AG113" i="6"/>
  <c r="AD28" i="6"/>
  <c r="AF99" i="6"/>
  <c r="K87" i="9"/>
  <c r="AF75" i="6"/>
  <c r="K79" i="9"/>
  <c r="AE146" i="6" a="1"/>
  <c r="AH62" i="6"/>
  <c r="AG152" i="6"/>
  <c r="AD153" i="6"/>
  <c r="AH116" i="6"/>
  <c r="AE105" i="6" a="1"/>
  <c r="AG158" i="6"/>
  <c r="AD124" i="6"/>
  <c r="AG176" i="6"/>
  <c r="AF184" i="6"/>
  <c r="AG203" i="6"/>
  <c r="AH119" i="6"/>
  <c r="AE85" i="6" a="1"/>
  <c r="AD163" i="6"/>
  <c r="AF181" i="6"/>
  <c r="AE59" i="6" a="1"/>
  <c r="AF203" i="6"/>
  <c r="AF146" i="6"/>
  <c r="AE77" i="6" a="1"/>
  <c r="AD183" i="6"/>
  <c r="AF36" i="6"/>
  <c r="AF98" i="6"/>
  <c r="AH172" i="6"/>
  <c r="AF34" i="6"/>
  <c r="AG55" i="6"/>
  <c r="AH163" i="6"/>
  <c r="AE46" i="6" a="1"/>
  <c r="AF166" i="6"/>
  <c r="AH165" i="6"/>
  <c r="AF61" i="6"/>
  <c r="AE29" i="6" a="1"/>
  <c r="AD80" i="6"/>
  <c r="K34" i="9"/>
  <c r="AF177" i="6"/>
  <c r="K133" i="9"/>
  <c r="AD105" i="6"/>
  <c r="AF31" i="6"/>
  <c r="AF201" i="6"/>
  <c r="AG199" i="6"/>
  <c r="AE198" i="6" a="1"/>
  <c r="AF37" i="6"/>
  <c r="AF163" i="6"/>
  <c r="AE144" i="6" a="1"/>
  <c r="AH102" i="6"/>
  <c r="AH140" i="6"/>
  <c r="AG167" i="6"/>
  <c r="AE187" i="6" a="1"/>
  <c r="AE44" i="6" a="1"/>
  <c r="AG186" i="6"/>
  <c r="AF116" i="6"/>
  <c r="AD191" i="6"/>
  <c r="K80" i="9"/>
  <c r="AF121" i="6"/>
  <c r="AH29" i="6"/>
  <c r="AD115" i="6"/>
  <c r="K116" i="9"/>
  <c r="AF147" i="6"/>
  <c r="AG59" i="6"/>
  <c r="AE95" i="6" a="1"/>
  <c r="AD181" i="6"/>
  <c r="AG189" i="6"/>
  <c r="AH181" i="6"/>
  <c r="AF49" i="6"/>
  <c r="AE76" i="6" a="1"/>
  <c r="AG66" i="6"/>
  <c r="AH118" i="6"/>
  <c r="AH132" i="6"/>
  <c r="AD173" i="6"/>
  <c r="AG149" i="6"/>
  <c r="AF52" i="6"/>
  <c r="AG30" i="6"/>
  <c r="AE41" i="6" a="1"/>
  <c r="AE48" i="6" a="1"/>
  <c r="AG122" i="6"/>
  <c r="AD206" i="6"/>
  <c r="AE51" i="6" a="1"/>
  <c r="K75" i="9"/>
  <c r="AE201" i="6" a="1"/>
  <c r="AG96" i="6"/>
  <c r="AH42" i="6"/>
  <c r="AE138" i="6" a="1"/>
  <c r="AE186" i="6" a="1"/>
  <c r="K88" i="9"/>
  <c r="AE150" i="6" a="1"/>
  <c r="AH89" i="6"/>
  <c r="AF92" i="6"/>
  <c r="AH169" i="6"/>
  <c r="AD99" i="6"/>
  <c r="AE132" i="6" a="1"/>
  <c r="AH61" i="6"/>
  <c r="AD75" i="6"/>
  <c r="AF135" i="6"/>
  <c r="AE53" i="6" a="1"/>
  <c r="AE142" i="6" a="1"/>
  <c r="AD70" i="6"/>
  <c r="AE97" i="6" a="1"/>
  <c r="AF157" i="6"/>
  <c r="AG163" i="6"/>
  <c r="AF190" i="6"/>
  <c r="AG111" i="6"/>
  <c r="AD159" i="6"/>
  <c r="AG162" i="6"/>
  <c r="AD116" i="6"/>
  <c r="AG107" i="6"/>
  <c r="K33" i="9"/>
  <c r="AD106" i="6"/>
  <c r="AF44" i="6"/>
  <c r="AE55" i="6" a="1"/>
  <c r="AF102" i="6"/>
  <c r="AH79" i="6"/>
  <c r="AG23" i="6"/>
  <c r="AH73" i="6"/>
  <c r="AF35" i="6"/>
  <c r="AH92" i="6"/>
  <c r="AE28" i="6" a="1"/>
  <c r="AE43" i="6" a="1"/>
  <c r="K63" i="9"/>
  <c r="AE202" i="6" a="1"/>
  <c r="AF156" i="6"/>
  <c r="K47" i="9"/>
  <c r="AF73" i="6"/>
  <c r="AE140" i="6" a="1"/>
  <c r="AF56" i="6"/>
  <c r="AD103" i="6"/>
  <c r="AH120" i="6"/>
  <c r="AH84" i="6"/>
  <c r="AD188" i="6"/>
  <c r="AF118" i="6"/>
  <c r="AD171" i="6"/>
  <c r="AH188" i="6"/>
  <c r="AD130" i="6"/>
  <c r="AD53" i="6"/>
  <c r="AF80" i="6"/>
  <c r="AH158" i="6"/>
  <c r="AF155" i="6"/>
  <c r="AG91" i="6"/>
  <c r="AF65" i="6"/>
  <c r="AD199" i="6"/>
  <c r="AD141" i="6"/>
  <c r="AF60" i="6"/>
  <c r="AH122" i="6"/>
  <c r="K111" i="9"/>
  <c r="AF142" i="6"/>
  <c r="K67" i="9"/>
  <c r="AF134" i="6"/>
  <c r="AD132" i="6"/>
  <c r="AE161" i="6" a="1"/>
  <c r="AD24" i="6"/>
  <c r="AE72" i="6" a="1"/>
  <c r="AH33" i="6"/>
  <c r="AE206" i="6" a="1"/>
  <c r="AH139" i="6"/>
  <c r="AG40" i="6"/>
  <c r="K117" i="9"/>
  <c r="AF133" i="6"/>
  <c r="AE73" i="6" a="1"/>
  <c r="K134" i="9"/>
  <c r="AD119" i="6"/>
  <c r="AH96" i="6"/>
  <c r="AD100" i="6"/>
  <c r="AH136" i="6"/>
  <c r="AH63" i="6"/>
  <c r="AF111" i="6"/>
  <c r="K131" i="9"/>
  <c r="AG88" i="6"/>
  <c r="AF101" i="6"/>
  <c r="AF204" i="6"/>
  <c r="AH134" i="6"/>
  <c r="AH157" i="6"/>
  <c r="AH203" i="6"/>
  <c r="AE60" i="6" a="1"/>
  <c r="AF144" i="6"/>
  <c r="AF178" i="6"/>
  <c r="AG45" i="6"/>
  <c r="AH81" i="6"/>
  <c r="K58" i="9"/>
  <c r="AG70" i="6"/>
  <c r="K25" i="9"/>
  <c r="AF91" i="6"/>
  <c r="AG49" i="6"/>
  <c r="AE156" i="6" a="1"/>
  <c r="AE33" i="6" a="1"/>
  <c r="AH191" i="6"/>
  <c r="AE24" i="6" a="1"/>
  <c r="AF43" i="6"/>
  <c r="AE141" i="6" a="1"/>
  <c r="AE70" i="6" a="1"/>
  <c r="K64" i="9"/>
  <c r="AH194" i="6"/>
  <c r="AG183" i="6"/>
  <c r="K48" i="9"/>
  <c r="AG148" i="6"/>
  <c r="AH43" i="6"/>
  <c r="AF67" i="6"/>
  <c r="AE69" i="6" a="1"/>
  <c r="K137" i="9"/>
  <c r="AH80" i="6"/>
  <c r="AF85" i="6"/>
  <c r="AD37" i="6"/>
  <c r="AG116" i="6"/>
  <c r="AF143" i="6"/>
  <c r="AF131" i="6"/>
  <c r="K70" i="9"/>
  <c r="AG130" i="6"/>
  <c r="AG171" i="6"/>
  <c r="AF145" i="6"/>
  <c r="AH196" i="6"/>
  <c r="AF150" i="6"/>
  <c r="AF87" i="6"/>
  <c r="AD162" i="6"/>
  <c r="AH167" i="6"/>
  <c r="AH170" i="6"/>
  <c r="AE124" i="6" a="1"/>
  <c r="AD187" i="6"/>
  <c r="K112" i="9"/>
  <c r="AF114" i="6"/>
  <c r="K103" i="9"/>
  <c r="AD56" i="6"/>
  <c r="AH202" i="6"/>
  <c r="AH37" i="6"/>
  <c r="AG197" i="6"/>
  <c r="AF120" i="6"/>
  <c r="AF137" i="6"/>
  <c r="AH135" i="6"/>
  <c r="AE39" i="6" a="1"/>
  <c r="AH46" i="6"/>
  <c r="K78" i="9"/>
  <c r="AE178" i="6" a="1"/>
  <c r="K89" i="9"/>
  <c r="AH206" i="6"/>
  <c r="AD160" i="6"/>
  <c r="AE125" i="6" a="1"/>
  <c r="K115" i="9"/>
  <c r="AG157" i="6"/>
  <c r="AG191" i="6"/>
  <c r="AH60" i="6"/>
  <c r="AG177" i="6"/>
  <c r="AE191" i="6" a="1"/>
  <c r="AH201" i="6"/>
  <c r="AD104" i="6"/>
  <c r="AG35" i="6"/>
  <c r="AD66" i="6"/>
  <c r="K50" i="9"/>
  <c r="AE82" i="6" a="1"/>
  <c r="AE118" i="6" a="1"/>
  <c r="AG100" i="6"/>
  <c r="AH95" i="6"/>
  <c r="AG194" i="6"/>
  <c r="AF158" i="6"/>
  <c r="AH86" i="6"/>
  <c r="AH59" i="6"/>
  <c r="AF42" i="6"/>
  <c r="AH25" i="6"/>
  <c r="AF55" i="6"/>
  <c r="AE91" i="6" a="1"/>
  <c r="AG29" i="6"/>
  <c r="K92" i="9"/>
  <c r="AG146" i="6"/>
  <c r="K77" i="9"/>
  <c r="AE34" i="6" l="1"/>
  <c r="AI34" i="6" s="1"/>
  <c r="AE30" i="6"/>
  <c r="AI30" i="6" s="1"/>
  <c r="AE26" i="6"/>
  <c r="AI26" i="6" s="1"/>
  <c r="AE35" i="6"/>
  <c r="AI35" i="6" s="1"/>
  <c r="AE31" i="6"/>
  <c r="AI31" i="6" s="1"/>
  <c r="AE27" i="6"/>
  <c r="AI27" i="6" s="1"/>
  <c r="AE23" i="6"/>
  <c r="AI23" i="6" s="1"/>
  <c r="AE36" i="6"/>
  <c r="AI36" i="6" s="1"/>
  <c r="AE32" i="6"/>
  <c r="AI32" i="6" s="1"/>
  <c r="AE28" i="6"/>
  <c r="AI28" i="6" s="1"/>
  <c r="AE24" i="6"/>
  <c r="AI24" i="6" s="1"/>
  <c r="AE33" i="6"/>
  <c r="AI33" i="6" s="1"/>
  <c r="AE29" i="6"/>
  <c r="AI29" i="6" s="1"/>
  <c r="AE25" i="6"/>
  <c r="AI25" i="6" s="1"/>
  <c r="AE204" i="6"/>
  <c r="AI204" i="6" s="1"/>
  <c r="AE200" i="6"/>
  <c r="AI200" i="6" s="1"/>
  <c r="AE196" i="6"/>
  <c r="AI196" i="6" s="1"/>
  <c r="AE192" i="6"/>
  <c r="AI192" i="6" s="1"/>
  <c r="AE188" i="6"/>
  <c r="AI188" i="6" s="1"/>
  <c r="AE184" i="6"/>
  <c r="AI184" i="6" s="1"/>
  <c r="AE205" i="6"/>
  <c r="AI205" i="6" s="1"/>
  <c r="AE201" i="6"/>
  <c r="AI201" i="6" s="1"/>
  <c r="AE197" i="6"/>
  <c r="AI197" i="6" s="1"/>
  <c r="AE193" i="6"/>
  <c r="AI193" i="6" s="1"/>
  <c r="AE189" i="6"/>
  <c r="AI189" i="6" s="1"/>
  <c r="AE185" i="6"/>
  <c r="AI185" i="6" s="1"/>
  <c r="AE181" i="6"/>
  <c r="AI181" i="6" s="1"/>
  <c r="AE206" i="6"/>
  <c r="AI206" i="6" s="1"/>
  <c r="AE202" i="6"/>
  <c r="AI202" i="6" s="1"/>
  <c r="AE198" i="6"/>
  <c r="AI198" i="6" s="1"/>
  <c r="AE194" i="6"/>
  <c r="AI194" i="6" s="1"/>
  <c r="AE203" i="6"/>
  <c r="AI203" i="6" s="1"/>
  <c r="AE199" i="6"/>
  <c r="AI199" i="6" s="1"/>
  <c r="AE195" i="6"/>
  <c r="AI195" i="6" s="1"/>
  <c r="AE191" i="6"/>
  <c r="AI191" i="6" s="1"/>
  <c r="AE175" i="6"/>
  <c r="AI175" i="6" s="1"/>
  <c r="AE171" i="6"/>
  <c r="AI171" i="6" s="1"/>
  <c r="AE167" i="6"/>
  <c r="AI167" i="6" s="1"/>
  <c r="AE163" i="6"/>
  <c r="AI163" i="6" s="1"/>
  <c r="AE187" i="6"/>
  <c r="AI187" i="6" s="1"/>
  <c r="AE186" i="6"/>
  <c r="AI186" i="6" s="1"/>
  <c r="AE179" i="6"/>
  <c r="AI179" i="6" s="1"/>
  <c r="AE176" i="6"/>
  <c r="AI176" i="6" s="1"/>
  <c r="AE172" i="6"/>
  <c r="AI172" i="6" s="1"/>
  <c r="AE168" i="6"/>
  <c r="AI168" i="6" s="1"/>
  <c r="AE177" i="6"/>
  <c r="AI177" i="6" s="1"/>
  <c r="AE173" i="6"/>
  <c r="AI173" i="6" s="1"/>
  <c r="AE183" i="6"/>
  <c r="AI183" i="6" s="1"/>
  <c r="AE180" i="6"/>
  <c r="AI180" i="6" s="1"/>
  <c r="AE182" i="6"/>
  <c r="AI182" i="6" s="1"/>
  <c r="AE178" i="6"/>
  <c r="AI178" i="6" s="1"/>
  <c r="AE190" i="6"/>
  <c r="AI190" i="6" s="1"/>
  <c r="AE162" i="6"/>
  <c r="AI162" i="6" s="1"/>
  <c r="AE164" i="6"/>
  <c r="AI164" i="6" s="1"/>
  <c r="AE159" i="6"/>
  <c r="AI159" i="6" s="1"/>
  <c r="AE155" i="6"/>
  <c r="AI155" i="6" s="1"/>
  <c r="AE151" i="6"/>
  <c r="AI151" i="6" s="1"/>
  <c r="AE147" i="6"/>
  <c r="AI147" i="6" s="1"/>
  <c r="AE143" i="6"/>
  <c r="AI143" i="6" s="1"/>
  <c r="AE170" i="6"/>
  <c r="AI170" i="6" s="1"/>
  <c r="AE169" i="6"/>
  <c r="AI169" i="6" s="1"/>
  <c r="AE160" i="6"/>
  <c r="AI160" i="6" s="1"/>
  <c r="AE156" i="6"/>
  <c r="AI156" i="6" s="1"/>
  <c r="AE152" i="6"/>
  <c r="AI152" i="6" s="1"/>
  <c r="AE148" i="6"/>
  <c r="AI148" i="6" s="1"/>
  <c r="AE166" i="6"/>
  <c r="AI166" i="6" s="1"/>
  <c r="AE161" i="6"/>
  <c r="AI161" i="6" s="1"/>
  <c r="AE157" i="6"/>
  <c r="AI157" i="6" s="1"/>
  <c r="AE153" i="6"/>
  <c r="AI153" i="6" s="1"/>
  <c r="AE149" i="6"/>
  <c r="AI149" i="6" s="1"/>
  <c r="AE145" i="6"/>
  <c r="AI145" i="6" s="1"/>
  <c r="AE165" i="6"/>
  <c r="AI165" i="6" s="1"/>
  <c r="AE174" i="6"/>
  <c r="AI174" i="6" s="1"/>
  <c r="AE158" i="6"/>
  <c r="AI158" i="6" s="1"/>
  <c r="AE154" i="6"/>
  <c r="AI154" i="6" s="1"/>
  <c r="AE150" i="6"/>
  <c r="AI150" i="6" s="1"/>
  <c r="AE146" i="6"/>
  <c r="AI146" i="6" s="1"/>
  <c r="AE140" i="6"/>
  <c r="AI140" i="6" s="1"/>
  <c r="AE134" i="6"/>
  <c r="AI134" i="6" s="1"/>
  <c r="AE130" i="6"/>
  <c r="AI130" i="6" s="1"/>
  <c r="AE126" i="6"/>
  <c r="AI126" i="6" s="1"/>
  <c r="AE122" i="6"/>
  <c r="AI122" i="6" s="1"/>
  <c r="AE118" i="6"/>
  <c r="AI118" i="6" s="1"/>
  <c r="AE138" i="6"/>
  <c r="AI138" i="6" s="1"/>
  <c r="AE135" i="6"/>
  <c r="AI135" i="6" s="1"/>
  <c r="AE131" i="6"/>
  <c r="AI131" i="6" s="1"/>
  <c r="AE127" i="6"/>
  <c r="AI127" i="6" s="1"/>
  <c r="AE123" i="6"/>
  <c r="AI123" i="6" s="1"/>
  <c r="AE119" i="6"/>
  <c r="AI119" i="6" s="1"/>
  <c r="AE142" i="6"/>
  <c r="AI142" i="6" s="1"/>
  <c r="AE139" i="6"/>
  <c r="AI139" i="6" s="1"/>
  <c r="AE141" i="6"/>
  <c r="AI141" i="6" s="1"/>
  <c r="AE136" i="6"/>
  <c r="AI136" i="6" s="1"/>
  <c r="AE132" i="6"/>
  <c r="AI132" i="6" s="1"/>
  <c r="AE128" i="6"/>
  <c r="AI128" i="6" s="1"/>
  <c r="AE137" i="6"/>
  <c r="AI137" i="6" s="1"/>
  <c r="AE133" i="6"/>
  <c r="AI133" i="6" s="1"/>
  <c r="AE129" i="6"/>
  <c r="AI129" i="6" s="1"/>
  <c r="AE125" i="6"/>
  <c r="AI125" i="6" s="1"/>
  <c r="AE121" i="6"/>
  <c r="AI121" i="6" s="1"/>
  <c r="AE144" i="6"/>
  <c r="AI144" i="6" s="1"/>
  <c r="AE113" i="6"/>
  <c r="AI113" i="6" s="1"/>
  <c r="AE109" i="6"/>
  <c r="AI109" i="6" s="1"/>
  <c r="AE105" i="6"/>
  <c r="AI105" i="6" s="1"/>
  <c r="AE120" i="6"/>
  <c r="AI120" i="6" s="1"/>
  <c r="AE117" i="6"/>
  <c r="AI117" i="6" s="1"/>
  <c r="AE114" i="6"/>
  <c r="AI114" i="6" s="1"/>
  <c r="AE110" i="6"/>
  <c r="AI110" i="6" s="1"/>
  <c r="AE106" i="6"/>
  <c r="AI106" i="6" s="1"/>
  <c r="AE102" i="6"/>
  <c r="AI102" i="6" s="1"/>
  <c r="AE98" i="6"/>
  <c r="AI98" i="6" s="1"/>
  <c r="AE124" i="6"/>
  <c r="AI124" i="6" s="1"/>
  <c r="AE115" i="6"/>
  <c r="AI115" i="6" s="1"/>
  <c r="AE111" i="6"/>
  <c r="AI111" i="6" s="1"/>
  <c r="AE107" i="6"/>
  <c r="AI107" i="6" s="1"/>
  <c r="AE103" i="6"/>
  <c r="AI103" i="6" s="1"/>
  <c r="AE116" i="6"/>
  <c r="AI116" i="6" s="1"/>
  <c r="AE112" i="6"/>
  <c r="AI112" i="6" s="1"/>
  <c r="AE108" i="6"/>
  <c r="AI108" i="6" s="1"/>
  <c r="AE104" i="6"/>
  <c r="AI104" i="6" s="1"/>
  <c r="AE100" i="6"/>
  <c r="AI100" i="6" s="1"/>
  <c r="AE96" i="6"/>
  <c r="AI96" i="6" s="1"/>
  <c r="AE92" i="6"/>
  <c r="AI92" i="6" s="1"/>
  <c r="AE99" i="6"/>
  <c r="AI99" i="6" s="1"/>
  <c r="AE95" i="6"/>
  <c r="AI95" i="6" s="1"/>
  <c r="AE94" i="6"/>
  <c r="AI94" i="6" s="1"/>
  <c r="AE89" i="6"/>
  <c r="AI89" i="6" s="1"/>
  <c r="AE85" i="6"/>
  <c r="AI85" i="6" s="1"/>
  <c r="AE81" i="6"/>
  <c r="AI81" i="6" s="1"/>
  <c r="AE77" i="6"/>
  <c r="AI77" i="6" s="1"/>
  <c r="AE93" i="6"/>
  <c r="AI93" i="6" s="1"/>
  <c r="AE90" i="6"/>
  <c r="AI90" i="6" s="1"/>
  <c r="AE86" i="6"/>
  <c r="AI86" i="6" s="1"/>
  <c r="AE82" i="6"/>
  <c r="AI82" i="6" s="1"/>
  <c r="AE78" i="6"/>
  <c r="AI78" i="6" s="1"/>
  <c r="AE74" i="6"/>
  <c r="AI74" i="6" s="1"/>
  <c r="AE70" i="6"/>
  <c r="AI70" i="6" s="1"/>
  <c r="AE97" i="6"/>
  <c r="AI97" i="6" s="1"/>
  <c r="AE91" i="6"/>
  <c r="AI91" i="6" s="1"/>
  <c r="AE87" i="6"/>
  <c r="AI87" i="6" s="1"/>
  <c r="AE101" i="6"/>
  <c r="AI101" i="6" s="1"/>
  <c r="AE88" i="6"/>
  <c r="AI88" i="6" s="1"/>
  <c r="AE84" i="6"/>
  <c r="AI84" i="6" s="1"/>
  <c r="AE80" i="6"/>
  <c r="AI80" i="6" s="1"/>
  <c r="AE67" i="6"/>
  <c r="AI67" i="6" s="1"/>
  <c r="AE63" i="6"/>
  <c r="AI63" i="6" s="1"/>
  <c r="AE59" i="6"/>
  <c r="AI59" i="6" s="1"/>
  <c r="AE55" i="6"/>
  <c r="AI55" i="6" s="1"/>
  <c r="AE51" i="6"/>
  <c r="AI51" i="6" s="1"/>
  <c r="AE83" i="6"/>
  <c r="AI83" i="6" s="1"/>
  <c r="AE73" i="6"/>
  <c r="AI73" i="6" s="1"/>
  <c r="AE79" i="6"/>
  <c r="AI79" i="6" s="1"/>
  <c r="AE71" i="6"/>
  <c r="AI71" i="6" s="1"/>
  <c r="AE68" i="6"/>
  <c r="AI68" i="6" s="1"/>
  <c r="AE64" i="6"/>
  <c r="AI64" i="6" s="1"/>
  <c r="AE60" i="6"/>
  <c r="AI60" i="6" s="1"/>
  <c r="AE56" i="6"/>
  <c r="AI56" i="6" s="1"/>
  <c r="AE52" i="6"/>
  <c r="AI52" i="6" s="1"/>
  <c r="AE76" i="6"/>
  <c r="AI76" i="6" s="1"/>
  <c r="AE75" i="6"/>
  <c r="AI75" i="6" s="1"/>
  <c r="AE69" i="6"/>
  <c r="AI69" i="6" s="1"/>
  <c r="AE65" i="6"/>
  <c r="AI65" i="6" s="1"/>
  <c r="AE72" i="6"/>
  <c r="AI72" i="6" s="1"/>
  <c r="AE66" i="6"/>
  <c r="AI66" i="6" s="1"/>
  <c r="AE62" i="6"/>
  <c r="AI62" i="6" s="1"/>
  <c r="AE50" i="6"/>
  <c r="AI50" i="6" s="1"/>
  <c r="AE53" i="6"/>
  <c r="AI53" i="6" s="1"/>
  <c r="AE47" i="6"/>
  <c r="AI47" i="6" s="1"/>
  <c r="AE43" i="6"/>
  <c r="AI43" i="6" s="1"/>
  <c r="AE39" i="6"/>
  <c r="AI39" i="6" s="1"/>
  <c r="AE54" i="6"/>
  <c r="AI54" i="6" s="1"/>
  <c r="AE48" i="6"/>
  <c r="AI48" i="6" s="1"/>
  <c r="AE44" i="6"/>
  <c r="AI44" i="6" s="1"/>
  <c r="AE40" i="6"/>
  <c r="AI40" i="6" s="1"/>
  <c r="AE49" i="6"/>
  <c r="AI49" i="6" s="1"/>
  <c r="AE45" i="6"/>
  <c r="AI45" i="6" s="1"/>
  <c r="AE41" i="6"/>
  <c r="AI41" i="6" s="1"/>
  <c r="AE37" i="6"/>
  <c r="AI37" i="6" s="1"/>
  <c r="AE58" i="6"/>
  <c r="AI58" i="6" s="1"/>
  <c r="AE57" i="6"/>
  <c r="AI57" i="6" s="1"/>
  <c r="AE61" i="6"/>
  <c r="AI61" i="6" s="1"/>
  <c r="AE46" i="6"/>
  <c r="AI46" i="6" s="1"/>
  <c r="AE42" i="6"/>
  <c r="AI42" i="6" s="1"/>
  <c r="AE38" i="6"/>
  <c r="AI38" i="6" s="1"/>
  <c r="L2" i="9"/>
  <c r="K19" i="9"/>
  <c r="M3" i="9"/>
  <c r="L20" i="9"/>
  <c r="AP2" i="6"/>
  <c r="AJ1" i="6"/>
  <c r="AJ20" i="6"/>
  <c r="AD19" i="6"/>
  <c r="L23" i="9"/>
  <c r="L131" i="9"/>
  <c r="AL84" i="6"/>
  <c r="AM133" i="6"/>
  <c r="AJ56" i="6"/>
  <c r="AK153" i="6" a="1"/>
  <c r="AN83" i="6"/>
  <c r="AJ169" i="6"/>
  <c r="AM167" i="6"/>
  <c r="L66" i="9"/>
  <c r="AL137" i="6"/>
  <c r="AL33" i="6"/>
  <c r="AK92" i="6" a="1"/>
  <c r="AM141" i="6"/>
  <c r="AM71" i="6"/>
  <c r="AL25" i="6"/>
  <c r="AL109" i="6"/>
  <c r="AL151" i="6"/>
  <c r="AJ176" i="6"/>
  <c r="AN144" i="6"/>
  <c r="AL82" i="6"/>
  <c r="L43" i="9"/>
  <c r="AL65" i="6"/>
  <c r="AK179" i="6" a="1"/>
  <c r="AL173" i="6"/>
  <c r="AK119" i="6" a="1"/>
  <c r="AL155" i="6"/>
  <c r="L125" i="9"/>
  <c r="AN79" i="6"/>
  <c r="L117" i="9"/>
  <c r="AJ179" i="6"/>
  <c r="AM48" i="6"/>
  <c r="AK83" i="6" a="1"/>
  <c r="AN186" i="6"/>
  <c r="AJ196" i="6"/>
  <c r="AJ116" i="6"/>
  <c r="AM205" i="6"/>
  <c r="L122" i="9"/>
  <c r="AK146" i="6" a="1"/>
  <c r="AK134" i="6" a="1"/>
  <c r="AK31" i="6" a="1"/>
  <c r="L110" i="9"/>
  <c r="AJ141" i="6"/>
  <c r="AJ144" i="6"/>
  <c r="AJ192" i="6"/>
  <c r="AJ114" i="6"/>
  <c r="AL83" i="6"/>
  <c r="AJ55" i="6"/>
  <c r="AJ84" i="6"/>
  <c r="AJ31" i="6"/>
  <c r="AK135" i="6" a="1"/>
  <c r="AM27" i="6"/>
  <c r="AN45" i="6"/>
  <c r="AN67" i="6"/>
  <c r="AL132" i="6"/>
  <c r="AL35" i="6"/>
  <c r="AL80" i="6"/>
  <c r="AL201" i="6"/>
  <c r="AK72" i="6" a="1"/>
  <c r="AK167" i="6" a="1"/>
  <c r="AL59" i="6"/>
  <c r="L108" i="9"/>
  <c r="AN157" i="6"/>
  <c r="L35" i="9"/>
  <c r="AL189" i="6"/>
  <c r="AL100" i="6"/>
  <c r="AL195" i="6"/>
  <c r="L112" i="9"/>
  <c r="AN140" i="6"/>
  <c r="L104" i="9"/>
  <c r="AK38" i="6" a="1"/>
  <c r="AK39" i="6" a="1"/>
  <c r="AM117" i="6"/>
  <c r="AK170" i="6" a="1"/>
  <c r="AM149" i="6"/>
  <c r="AK123" i="6" a="1"/>
  <c r="AK68" i="6" a="1"/>
  <c r="L77" i="9"/>
  <c r="AJ112" i="6"/>
  <c r="AL177" i="6"/>
  <c r="AM164" i="6"/>
  <c r="AJ202" i="6"/>
  <c r="L118" i="9"/>
  <c r="AK117" i="6" a="1"/>
  <c r="AL163" i="6"/>
  <c r="AK136" i="6" a="1"/>
  <c r="AJ174" i="6"/>
  <c r="AJ64" i="6"/>
  <c r="L57" i="9"/>
  <c r="AK116" i="6" a="1"/>
  <c r="AN153" i="6"/>
  <c r="AJ54" i="6"/>
  <c r="AJ41" i="6"/>
  <c r="AM121" i="6"/>
  <c r="AL71" i="6"/>
  <c r="AK57" i="6" a="1"/>
  <c r="AM25" i="6"/>
  <c r="AK97" i="6" a="1"/>
  <c r="AM113" i="6"/>
  <c r="AE22" i="6" a="1"/>
  <c r="AJ62" i="6"/>
  <c r="AN122" i="6"/>
  <c r="AK94" i="6" a="1"/>
  <c r="AN85" i="6"/>
  <c r="AJ61" i="6"/>
  <c r="AK184" i="6" a="1"/>
  <c r="AK129" i="6" a="1"/>
  <c r="AK158" i="6" a="1"/>
  <c r="L55" i="9"/>
  <c r="AJ129" i="6"/>
  <c r="L100" i="9"/>
  <c r="AK41" i="6" a="1"/>
  <c r="AN68" i="6"/>
  <c r="AL48" i="6"/>
  <c r="AL36" i="6"/>
  <c r="AM94" i="6"/>
  <c r="AL32" i="6"/>
  <c r="AJ113" i="6"/>
  <c r="AL190" i="6"/>
  <c r="AN55" i="6"/>
  <c r="AK178" i="6" a="1"/>
  <c r="AN66" i="6"/>
  <c r="AN65" i="6"/>
  <c r="AM100" i="6"/>
  <c r="L64" i="9"/>
  <c r="L134" i="9"/>
  <c r="AN177" i="6"/>
  <c r="AL101" i="6"/>
  <c r="L65" i="9"/>
  <c r="AL123" i="6"/>
  <c r="AK132" i="6" a="1"/>
  <c r="AL161" i="6"/>
  <c r="L98" i="9"/>
  <c r="AM69" i="6"/>
  <c r="AJ111" i="6"/>
  <c r="AN125" i="6"/>
  <c r="L90" i="9"/>
  <c r="AJ118" i="6"/>
  <c r="AK78" i="6" a="1"/>
  <c r="AL205" i="6"/>
  <c r="AK139" i="6" a="1"/>
  <c r="AM93" i="6"/>
  <c r="AM132" i="6"/>
  <c r="AM82" i="6"/>
  <c r="AM31" i="6"/>
  <c r="AJ175" i="6"/>
  <c r="AN127" i="6"/>
  <c r="AN101" i="6"/>
  <c r="AL86" i="6"/>
  <c r="AL89" i="6"/>
  <c r="AK125" i="6" a="1"/>
  <c r="AL106" i="6"/>
  <c r="AN82" i="6"/>
  <c r="AL128" i="6"/>
  <c r="AM194" i="6"/>
  <c r="AJ158" i="6"/>
  <c r="L136" i="9"/>
  <c r="AN148" i="6"/>
  <c r="L47" i="9"/>
  <c r="AL185" i="6"/>
  <c r="AK185" i="6" a="1"/>
  <c r="AN181" i="6"/>
  <c r="AM30" i="6"/>
  <c r="AK67" i="6" a="1"/>
  <c r="AM26" i="6"/>
  <c r="AL170" i="6"/>
  <c r="AJ46" i="6"/>
  <c r="AM98" i="6"/>
  <c r="AL184" i="6"/>
  <c r="AN76" i="6"/>
  <c r="AJ198" i="6"/>
  <c r="AL162" i="6"/>
  <c r="AJ28" i="6"/>
  <c r="L81" i="9"/>
  <c r="AK74" i="6" a="1"/>
  <c r="AJ39" i="6"/>
  <c r="AN203" i="6"/>
  <c r="AM109" i="6"/>
  <c r="AJ44" i="6"/>
  <c r="L45" i="9"/>
  <c r="AK144" i="6" a="1"/>
  <c r="AF22" i="6"/>
  <c r="AM206" i="6"/>
  <c r="AN54" i="6"/>
  <c r="AK113" i="6" a="1"/>
  <c r="AM43" i="6"/>
  <c r="AL99" i="6"/>
  <c r="AN42" i="6"/>
  <c r="AK171" i="6" a="1"/>
  <c r="AJ81" i="6"/>
  <c r="AJ106" i="6"/>
  <c r="AL93" i="6"/>
  <c r="AK85" i="6" a="1"/>
  <c r="AJ96" i="6"/>
  <c r="AL158" i="6"/>
  <c r="AK69" i="6" a="1"/>
  <c r="AK114" i="6" a="1"/>
  <c r="AL172" i="6"/>
  <c r="AL204" i="6"/>
  <c r="AM32" i="6"/>
  <c r="AK109" i="6" a="1"/>
  <c r="L128" i="9"/>
  <c r="AM125" i="6"/>
  <c r="AJ37" i="6"/>
  <c r="AK61" i="6" a="1"/>
  <c r="AK29" i="6" a="1"/>
  <c r="AM162" i="6"/>
  <c r="AK33" i="6" a="1"/>
  <c r="AM169" i="6"/>
  <c r="AN178" i="6"/>
  <c r="AM184" i="6"/>
  <c r="AJ128" i="6"/>
  <c r="AN179" i="6"/>
  <c r="AL180" i="6"/>
  <c r="AL171" i="6"/>
  <c r="AJ30" i="6"/>
  <c r="L28" i="9"/>
  <c r="AJ166" i="6"/>
  <c r="AN74" i="6"/>
  <c r="AK166" i="6" a="1"/>
  <c r="L53" i="9"/>
  <c r="L32" i="9"/>
  <c r="AN56" i="6"/>
  <c r="AN115" i="6"/>
  <c r="AN96" i="6"/>
  <c r="AM78" i="6"/>
  <c r="AL105" i="6"/>
  <c r="AN145" i="6"/>
  <c r="AK173" i="6" a="1"/>
  <c r="AM52" i="6"/>
  <c r="AK43" i="6" a="1"/>
  <c r="AJ190" i="6"/>
  <c r="AL206" i="6"/>
  <c r="AM38" i="6"/>
  <c r="AM129" i="6"/>
  <c r="AM122" i="6"/>
  <c r="AM75" i="6"/>
  <c r="AL183" i="6"/>
  <c r="AJ76" i="6"/>
  <c r="AN164" i="6"/>
  <c r="AN196" i="6"/>
  <c r="AN30" i="6"/>
  <c r="AM130" i="6"/>
  <c r="AM28" i="6"/>
  <c r="AJ89" i="6"/>
  <c r="AL78" i="6"/>
  <c r="AN156" i="6"/>
  <c r="AM107" i="6"/>
  <c r="AM148" i="6"/>
  <c r="AN69" i="6"/>
  <c r="AL38" i="6"/>
  <c r="AL131" i="6"/>
  <c r="AM83" i="6"/>
  <c r="AM152" i="6"/>
  <c r="AM119" i="6"/>
  <c r="L97" i="9"/>
  <c r="AL41" i="6"/>
  <c r="AK23" i="6" a="1"/>
  <c r="L114" i="9"/>
  <c r="AL103" i="6"/>
  <c r="AM37" i="6"/>
  <c r="L40" i="9"/>
  <c r="AN25" i="6"/>
  <c r="AN40" i="6"/>
  <c r="AN99" i="6"/>
  <c r="AL110" i="6"/>
  <c r="AK203" i="6" a="1"/>
  <c r="AM106" i="6"/>
  <c r="AN197" i="6"/>
  <c r="AN111" i="6"/>
  <c r="AL187" i="6"/>
  <c r="AN93" i="6"/>
  <c r="AJ91" i="6"/>
  <c r="AN60" i="6"/>
  <c r="AM96" i="6"/>
  <c r="AJ107" i="6"/>
  <c r="AN53" i="6"/>
  <c r="AN198" i="6"/>
  <c r="AM80" i="6"/>
  <c r="AM110" i="6"/>
  <c r="AN146" i="6"/>
  <c r="AM59" i="6"/>
  <c r="AK30" i="6" a="1"/>
  <c r="AN187" i="6"/>
  <c r="AN26" i="6"/>
  <c r="AK183" i="6" a="1"/>
  <c r="AL139" i="6"/>
  <c r="AN57" i="6"/>
  <c r="AJ132" i="6"/>
  <c r="AM137" i="6"/>
  <c r="AJ177" i="6"/>
  <c r="AK188" i="6" a="1"/>
  <c r="AK181" i="6" a="1"/>
  <c r="L113" i="9"/>
  <c r="AJ167" i="6"/>
  <c r="AM42" i="6"/>
  <c r="L44" i="9"/>
  <c r="AJ151" i="6"/>
  <c r="AJ38" i="6"/>
  <c r="L69" i="9"/>
  <c r="AM47" i="6"/>
  <c r="AK64" i="6" a="1"/>
  <c r="AM54" i="6"/>
  <c r="AN29" i="6"/>
  <c r="AL98" i="6"/>
  <c r="AL62" i="6"/>
  <c r="AM140" i="6"/>
  <c r="AN64" i="6"/>
  <c r="L56" i="9"/>
  <c r="AN167" i="6"/>
  <c r="AN31" i="6"/>
  <c r="AK107" i="6" a="1"/>
  <c r="AL176" i="6"/>
  <c r="L101" i="9"/>
  <c r="AN204" i="6"/>
  <c r="AJ24" i="6"/>
  <c r="AJ103" i="6"/>
  <c r="AM165" i="6"/>
  <c r="AN27" i="6"/>
  <c r="AL69" i="6"/>
  <c r="AL126" i="6"/>
  <c r="AM176" i="6"/>
  <c r="AJ140" i="6"/>
  <c r="AK118" i="6" a="1"/>
  <c r="AN109" i="6"/>
  <c r="AJ182" i="6"/>
  <c r="AM61" i="6"/>
  <c r="AM160" i="6"/>
  <c r="AJ53" i="6"/>
  <c r="AN22" i="6"/>
  <c r="AJ187" i="6"/>
  <c r="AL117" i="6"/>
  <c r="AM168" i="6"/>
  <c r="AN47" i="6"/>
  <c r="AN121" i="6"/>
  <c r="L59" i="9"/>
  <c r="AN124" i="6"/>
  <c r="AK98" i="6" a="1"/>
  <c r="AJ52" i="6"/>
  <c r="AK161" i="6" a="1"/>
  <c r="AK34" i="6" a="1"/>
  <c r="AL196" i="6"/>
  <c r="L27" i="9"/>
  <c r="AM91" i="6"/>
  <c r="AN94" i="6"/>
  <c r="AM88" i="6"/>
  <c r="AK156" i="6" a="1"/>
  <c r="AJ73" i="6"/>
  <c r="AM197" i="6"/>
  <c r="L60" i="9"/>
  <c r="AJ143" i="6"/>
  <c r="AK159" i="6" a="1"/>
  <c r="L130" i="9"/>
  <c r="AJ122" i="6"/>
  <c r="AN92" i="6"/>
  <c r="AM150" i="6"/>
  <c r="AM198" i="6"/>
  <c r="AK199" i="6" a="1"/>
  <c r="AK35" i="6" a="1"/>
  <c r="AL147" i="6"/>
  <c r="AM97" i="6"/>
  <c r="AL92" i="6"/>
  <c r="AM136" i="6"/>
  <c r="AN165" i="6"/>
  <c r="AL181" i="6"/>
  <c r="AN116" i="6"/>
  <c r="AM182" i="6"/>
  <c r="AK182" i="6" a="1"/>
  <c r="AL148" i="6"/>
  <c r="AK63" i="6" a="1"/>
  <c r="AN199" i="6"/>
  <c r="L115" i="9"/>
  <c r="AN161" i="6"/>
  <c r="AN149" i="6"/>
  <c r="AL44" i="6"/>
  <c r="AJ92" i="6"/>
  <c r="AN183" i="6"/>
  <c r="AM115" i="6"/>
  <c r="AJ203" i="6"/>
  <c r="AL97" i="6"/>
  <c r="AN91" i="6"/>
  <c r="AK155" i="6" a="1"/>
  <c r="AM126" i="6"/>
  <c r="L38" i="9"/>
  <c r="AM159" i="6"/>
  <c r="AK140" i="6" a="1"/>
  <c r="AJ191" i="6"/>
  <c r="AL157" i="6"/>
  <c r="AJ75" i="6"/>
  <c r="AJ131" i="6"/>
  <c r="L92" i="9"/>
  <c r="AN180" i="6"/>
  <c r="AL197" i="6"/>
  <c r="AK149" i="6" a="1"/>
  <c r="AN155" i="6"/>
  <c r="AL40" i="6"/>
  <c r="AK147" i="6" a="1"/>
  <c r="AM193" i="6"/>
  <c r="L85" i="9"/>
  <c r="AN184" i="6"/>
  <c r="AK121" i="6" a="1"/>
  <c r="AN51" i="6"/>
  <c r="AL118" i="6"/>
  <c r="L22" i="9"/>
  <c r="AL192" i="6"/>
  <c r="AM118" i="6"/>
  <c r="L94" i="9"/>
  <c r="AM49" i="6"/>
  <c r="AM138" i="6"/>
  <c r="AL68" i="6"/>
  <c r="AK22" i="6" a="1"/>
  <c r="AN120" i="6"/>
  <c r="AM123" i="6"/>
  <c r="AL47" i="6"/>
  <c r="AJ68" i="6"/>
  <c r="AK196" i="6" a="1"/>
  <c r="AN110" i="6"/>
  <c r="AM53" i="6"/>
  <c r="L124" i="9"/>
  <c r="AK187" i="6" a="1"/>
  <c r="AN188" i="6"/>
  <c r="AM101" i="6"/>
  <c r="AL111" i="6"/>
  <c r="AK55" i="6" a="1"/>
  <c r="AM95" i="6"/>
  <c r="L39" i="9"/>
  <c r="AJ197" i="6"/>
  <c r="AJ138" i="6"/>
  <c r="AN78" i="6"/>
  <c r="AN166" i="6"/>
  <c r="AJ49" i="6"/>
  <c r="AN126" i="6"/>
  <c r="L88" i="9"/>
  <c r="L105" i="9"/>
  <c r="AM170" i="6"/>
  <c r="L72" i="9"/>
  <c r="AJ135" i="6"/>
  <c r="AN97" i="6"/>
  <c r="AJ26" i="6"/>
  <c r="AK93" i="6" a="1"/>
  <c r="AJ181" i="6"/>
  <c r="AN134" i="6"/>
  <c r="AM196" i="6"/>
  <c r="AL76" i="6"/>
  <c r="AM191" i="6"/>
  <c r="AJ171" i="6"/>
  <c r="AM187" i="6"/>
  <c r="AM183" i="6"/>
  <c r="AN202" i="6"/>
  <c r="AL144" i="6"/>
  <c r="AK70" i="6" a="1"/>
  <c r="AH22" i="6"/>
  <c r="AJ50" i="6"/>
  <c r="AJ74" i="6"/>
  <c r="L41" i="9"/>
  <c r="AL114" i="6"/>
  <c r="AL119" i="6"/>
  <c r="AN75" i="6"/>
  <c r="AK162" i="6" a="1"/>
  <c r="AJ47" i="6"/>
  <c r="AK169" i="6" a="1"/>
  <c r="AK77" i="6" a="1"/>
  <c r="AK100" i="6" a="1"/>
  <c r="AN129" i="6"/>
  <c r="AN185" i="6"/>
  <c r="AN200" i="6"/>
  <c r="L71" i="9"/>
  <c r="AM124" i="6"/>
  <c r="AN190" i="6"/>
  <c r="AK95" i="6" a="1"/>
  <c r="AM108" i="6"/>
  <c r="AJ83" i="6"/>
  <c r="AK126" i="6" a="1"/>
  <c r="L133" i="9"/>
  <c r="AK195" i="6" a="1"/>
  <c r="AN41" i="6"/>
  <c r="AJ121" i="6"/>
  <c r="AL140" i="6"/>
  <c r="AJ82" i="6"/>
  <c r="AN147" i="6"/>
  <c r="AL24" i="6"/>
  <c r="L52" i="9"/>
  <c r="AK131" i="6" a="1"/>
  <c r="AJ32" i="6"/>
  <c r="AM163" i="6"/>
  <c r="AL95" i="6"/>
  <c r="AK27" i="6" a="1"/>
  <c r="AM128" i="6"/>
  <c r="AM139" i="6"/>
  <c r="AJ164" i="6"/>
  <c r="AJ110" i="6"/>
  <c r="AK75" i="6" a="1"/>
  <c r="AM120" i="6"/>
  <c r="L123" i="9"/>
  <c r="AL120" i="6"/>
  <c r="AK99" i="6" a="1"/>
  <c r="L127" i="9"/>
  <c r="AL143" i="6"/>
  <c r="AN98" i="6"/>
  <c r="AN86" i="6"/>
  <c r="AL141" i="6"/>
  <c r="AL42" i="6"/>
  <c r="AN162" i="6"/>
  <c r="AL66" i="6"/>
  <c r="AJ48" i="6"/>
  <c r="AK186" i="6" a="1"/>
  <c r="AJ42" i="6"/>
  <c r="AK49" i="6" a="1"/>
  <c r="AN24" i="6"/>
  <c r="AK202" i="6" a="1"/>
  <c r="AM174" i="6"/>
  <c r="AN43" i="6"/>
  <c r="AN135" i="6"/>
  <c r="AM73" i="6"/>
  <c r="AK79" i="6" a="1"/>
  <c r="L120" i="9"/>
  <c r="AJ148" i="6"/>
  <c r="AJ40" i="6"/>
  <c r="AN118" i="6"/>
  <c r="AM180" i="6"/>
  <c r="AM22" i="6"/>
  <c r="AK71" i="6" a="1"/>
  <c r="AL30" i="6"/>
  <c r="L93" i="9"/>
  <c r="AL94" i="6"/>
  <c r="AJ34" i="6"/>
  <c r="AK143" i="6" a="1"/>
  <c r="AM60" i="6"/>
  <c r="AK110" i="6" a="1"/>
  <c r="L102" i="9"/>
  <c r="AK52" i="6" a="1"/>
  <c r="AK56" i="6" a="1"/>
  <c r="L74" i="9"/>
  <c r="AL142" i="6"/>
  <c r="AL133" i="6"/>
  <c r="AN171" i="6"/>
  <c r="AK152" i="6" a="1"/>
  <c r="AM177" i="6"/>
  <c r="AM151" i="6"/>
  <c r="AL46" i="6"/>
  <c r="AK201" i="6" a="1"/>
  <c r="L75" i="9"/>
  <c r="L67" i="9"/>
  <c r="AL39" i="6"/>
  <c r="AJ25" i="6"/>
  <c r="AJ156" i="6"/>
  <c r="AJ105" i="6"/>
  <c r="AK138" i="6" a="1"/>
  <c r="AK200" i="6" a="1"/>
  <c r="AJ99" i="6"/>
  <c r="AK81" i="6" a="1"/>
  <c r="AM24" i="6"/>
  <c r="AM146" i="6"/>
  <c r="AM46" i="6"/>
  <c r="AM153" i="6"/>
  <c r="AL74" i="6"/>
  <c r="AK84" i="6" a="1"/>
  <c r="AM92" i="6"/>
  <c r="AK28" i="6" a="1"/>
  <c r="L80" i="9"/>
  <c r="AK160" i="6" a="1"/>
  <c r="AK36" i="6" a="1"/>
  <c r="AM87" i="6"/>
  <c r="AK59" i="6" a="1"/>
  <c r="AJ87" i="6"/>
  <c r="AL70" i="6"/>
  <c r="L49" i="9"/>
  <c r="AM186" i="6"/>
  <c r="AL145" i="6"/>
  <c r="L29" i="9"/>
  <c r="AL194" i="6"/>
  <c r="AJ188" i="6"/>
  <c r="AL165" i="6"/>
  <c r="AM65" i="6"/>
  <c r="AL146" i="6"/>
  <c r="AJ125" i="6"/>
  <c r="AK189" i="6" a="1"/>
  <c r="AJ78" i="6"/>
  <c r="L54" i="9"/>
  <c r="L46" i="9"/>
  <c r="AK44" i="6" a="1"/>
  <c r="AL23" i="6"/>
  <c r="AJ124" i="6"/>
  <c r="AL60" i="6"/>
  <c r="AL67" i="6"/>
  <c r="AK46" i="6" a="1"/>
  <c r="AL156" i="6"/>
  <c r="AL115" i="6"/>
  <c r="AM34" i="6"/>
  <c r="AK193" i="6" a="1"/>
  <c r="AL61" i="6"/>
  <c r="AJ184" i="6"/>
  <c r="AJ170" i="6"/>
  <c r="AM70" i="6"/>
  <c r="AK62" i="6" a="1"/>
  <c r="AL198" i="6"/>
  <c r="AJ36" i="6"/>
  <c r="AM44" i="6"/>
  <c r="AN189" i="6"/>
  <c r="AL107" i="6"/>
  <c r="AM201" i="6"/>
  <c r="AM175" i="6"/>
  <c r="AN46" i="6"/>
  <c r="AN205" i="6"/>
  <c r="AJ139" i="6"/>
  <c r="AN89" i="6"/>
  <c r="AK177" i="6" a="1"/>
  <c r="AN193" i="6"/>
  <c r="AM55" i="6"/>
  <c r="AL164" i="6"/>
  <c r="AM66" i="6"/>
  <c r="AK206" i="6" a="1"/>
  <c r="AM112" i="6"/>
  <c r="AJ147" i="6"/>
  <c r="AJ204" i="6"/>
  <c r="AL57" i="6"/>
  <c r="AJ142" i="6"/>
  <c r="AL152" i="6"/>
  <c r="AK108" i="6" a="1"/>
  <c r="AL182" i="6"/>
  <c r="AL199" i="6"/>
  <c r="AM157" i="6"/>
  <c r="AL166" i="6"/>
  <c r="AM64" i="6"/>
  <c r="AM185" i="6"/>
  <c r="L135" i="9"/>
  <c r="AK198" i="6" a="1"/>
  <c r="AK37" i="6" a="1"/>
  <c r="AJ35" i="6"/>
  <c r="AK194" i="6" a="1"/>
  <c r="AN102" i="6"/>
  <c r="AK137" i="6" a="1"/>
  <c r="AL56" i="6"/>
  <c r="AL167" i="6"/>
  <c r="AM74" i="6"/>
  <c r="AJ199" i="6"/>
  <c r="AJ133" i="6"/>
  <c r="L87" i="9"/>
  <c r="L132" i="9"/>
  <c r="AK115" i="6" a="1"/>
  <c r="AL124" i="6"/>
  <c r="AN151" i="6"/>
  <c r="AN77" i="6"/>
  <c r="AN195" i="6"/>
  <c r="AN38" i="6"/>
  <c r="AJ71" i="6"/>
  <c r="AL134" i="6"/>
  <c r="AK25" i="6" a="1"/>
  <c r="AM143" i="6"/>
  <c r="AK96" i="6" a="1"/>
  <c r="AN107" i="6"/>
  <c r="AJ126" i="6"/>
  <c r="L121" i="9"/>
  <c r="AM57" i="6"/>
  <c r="AJ93" i="6"/>
  <c r="AL26" i="6"/>
  <c r="AL136" i="6"/>
  <c r="AK104" i="6" a="1"/>
  <c r="AK180" i="6" a="1"/>
  <c r="AL43" i="6"/>
  <c r="AN160" i="6"/>
  <c r="AL129" i="6"/>
  <c r="AM188" i="6"/>
  <c r="AM156" i="6"/>
  <c r="AN206" i="6"/>
  <c r="AN112" i="6"/>
  <c r="AJ168" i="6"/>
  <c r="AN201" i="6"/>
  <c r="AN172" i="6"/>
  <c r="AN154" i="6"/>
  <c r="AJ185" i="6"/>
  <c r="AJ194" i="6"/>
  <c r="AL72" i="6"/>
  <c r="L82" i="9"/>
  <c r="AM181" i="6"/>
  <c r="AK111" i="6" a="1"/>
  <c r="AM29" i="6"/>
  <c r="AN70" i="6"/>
  <c r="AM166" i="6"/>
  <c r="AK51" i="6" a="1"/>
  <c r="AM155" i="6"/>
  <c r="AL169" i="6"/>
  <c r="AJ80" i="6"/>
  <c r="AJ146" i="6"/>
  <c r="AN150" i="6"/>
  <c r="L34" i="9"/>
  <c r="L79" i="9"/>
  <c r="AN95" i="6"/>
  <c r="AK60" i="6" a="1"/>
  <c r="AN61" i="6"/>
  <c r="AK86" i="6" a="1"/>
  <c r="AM192" i="6"/>
  <c r="AN84" i="6"/>
  <c r="AN59" i="6"/>
  <c r="AJ97" i="6"/>
  <c r="AK127" i="6" a="1"/>
  <c r="AJ63" i="6"/>
  <c r="AL178" i="6"/>
  <c r="AL193" i="6"/>
  <c r="AL54" i="6"/>
  <c r="L68" i="9"/>
  <c r="AK82" i="6" a="1"/>
  <c r="AN62" i="6"/>
  <c r="AK32" i="6" a="1"/>
  <c r="AJ193" i="6"/>
  <c r="AL79" i="6"/>
  <c r="AK48" i="6" a="1"/>
  <c r="AK163" i="6" a="1"/>
  <c r="AN100" i="6"/>
  <c r="AK54" i="6" a="1"/>
  <c r="AM111" i="6"/>
  <c r="AM41" i="6"/>
  <c r="AL87" i="6"/>
  <c r="AM158" i="6"/>
  <c r="AL179" i="6"/>
  <c r="AL55" i="6"/>
  <c r="AM51" i="6"/>
  <c r="AN88" i="6"/>
  <c r="AM62" i="6"/>
  <c r="AM89" i="6"/>
  <c r="AM104" i="6"/>
  <c r="L37" i="9"/>
  <c r="AJ123" i="6"/>
  <c r="AN123" i="6"/>
  <c r="AM35" i="6"/>
  <c r="AN71" i="6"/>
  <c r="AG22" i="6"/>
  <c r="AJ159" i="6"/>
  <c r="AJ102" i="6"/>
  <c r="AJ201" i="6"/>
  <c r="L91" i="9"/>
  <c r="AJ137" i="6"/>
  <c r="AL108" i="6"/>
  <c r="L24" i="9"/>
  <c r="L26" i="9"/>
  <c r="AK174" i="6" a="1"/>
  <c r="AL90" i="6"/>
  <c r="AN103" i="6"/>
  <c r="AK103" i="6" a="1"/>
  <c r="AL160" i="6"/>
  <c r="AK58" i="6" a="1"/>
  <c r="AL175" i="6"/>
  <c r="AM99" i="6"/>
  <c r="AL37" i="6"/>
  <c r="AK141" i="6" a="1"/>
  <c r="AJ152" i="6"/>
  <c r="AN137" i="6"/>
  <c r="AL203" i="6"/>
  <c r="L109" i="9"/>
  <c r="AL75" i="6"/>
  <c r="AN49" i="6"/>
  <c r="AL77" i="6"/>
  <c r="AJ22" i="6"/>
  <c r="AJ117" i="6"/>
  <c r="AM114" i="6"/>
  <c r="AL53" i="6"/>
  <c r="AM172" i="6"/>
  <c r="AM171" i="6"/>
  <c r="AM86" i="6"/>
  <c r="AK80" i="6" a="1"/>
  <c r="AL64" i="6"/>
  <c r="AM134" i="6"/>
  <c r="AK65" i="6" a="1"/>
  <c r="L126" i="9"/>
  <c r="AJ119" i="6"/>
  <c r="AN169" i="6"/>
  <c r="L48" i="9"/>
  <c r="AN33" i="6"/>
  <c r="AJ65" i="6"/>
  <c r="AJ85" i="6"/>
  <c r="AM33" i="6"/>
  <c r="AM135" i="6"/>
  <c r="AM145" i="6"/>
  <c r="AM72" i="6"/>
  <c r="AK73" i="6" a="1"/>
  <c r="AL125" i="6"/>
  <c r="AN106" i="6"/>
  <c r="AL88" i="6"/>
  <c r="AL186" i="6"/>
  <c r="L70" i="9"/>
  <c r="AM178" i="6"/>
  <c r="AM76" i="6"/>
  <c r="AN32" i="6"/>
  <c r="AN28" i="6"/>
  <c r="AL102" i="6"/>
  <c r="AM90" i="6"/>
  <c r="L51" i="9"/>
  <c r="AJ186" i="6"/>
  <c r="AM77" i="6"/>
  <c r="AN119" i="6"/>
  <c r="AK101" i="6" a="1"/>
  <c r="AN138" i="6"/>
  <c r="AJ57" i="6"/>
  <c r="AJ67" i="6"/>
  <c r="AN52" i="6"/>
  <c r="AL168" i="6"/>
  <c r="AJ163" i="6"/>
  <c r="L96" i="9"/>
  <c r="AN176" i="6"/>
  <c r="AJ66" i="6"/>
  <c r="AL135" i="6"/>
  <c r="AN173" i="6"/>
  <c r="AL52" i="6"/>
  <c r="AL51" i="6"/>
  <c r="AJ136" i="6"/>
  <c r="AK205" i="6" a="1"/>
  <c r="AJ70" i="6"/>
  <c r="AJ183" i="6"/>
  <c r="AJ195" i="6"/>
  <c r="AJ59" i="6"/>
  <c r="AJ94" i="6"/>
  <c r="AK66" i="6" a="1"/>
  <c r="AN182" i="6"/>
  <c r="AM81" i="6"/>
  <c r="AL58" i="6"/>
  <c r="AN80" i="6"/>
  <c r="AN23" i="6"/>
  <c r="AL138" i="6"/>
  <c r="AK151" i="6" a="1"/>
  <c r="AJ205" i="6"/>
  <c r="AK176" i="6" a="1"/>
  <c r="AJ155" i="6"/>
  <c r="AL188" i="6"/>
  <c r="L99" i="9"/>
  <c r="AK120" i="6" a="1"/>
  <c r="L103" i="9"/>
  <c r="AL200" i="6"/>
  <c r="AJ86" i="6"/>
  <c r="AJ33" i="6"/>
  <c r="AJ29" i="6"/>
  <c r="AK172" i="6" a="1"/>
  <c r="AL50" i="6"/>
  <c r="L30" i="9"/>
  <c r="AK91" i="6" a="1"/>
  <c r="AN152" i="6"/>
  <c r="AM85" i="6"/>
  <c r="AM67" i="6"/>
  <c r="AJ79" i="6"/>
  <c r="AJ77" i="6"/>
  <c r="AM189" i="6"/>
  <c r="AL159" i="6"/>
  <c r="AK168" i="6" a="1"/>
  <c r="AJ58" i="6"/>
  <c r="AL28" i="6"/>
  <c r="AN128" i="6"/>
  <c r="AM56" i="6"/>
  <c r="AL202" i="6"/>
  <c r="AJ101" i="6"/>
  <c r="AK133" i="6" a="1"/>
  <c r="AK190" i="6" a="1"/>
  <c r="AJ160" i="6"/>
  <c r="AL49" i="6"/>
  <c r="L73" i="9"/>
  <c r="AK165" i="6" a="1"/>
  <c r="AJ180" i="6"/>
  <c r="AJ104" i="6"/>
  <c r="AJ200" i="6"/>
  <c r="AM84" i="6"/>
  <c r="AM154" i="6"/>
  <c r="AL121" i="6"/>
  <c r="AN159" i="6"/>
  <c r="AN141" i="6"/>
  <c r="AK164" i="6" a="1"/>
  <c r="AJ88" i="6"/>
  <c r="AJ157" i="6"/>
  <c r="AK87" i="6" a="1"/>
  <c r="AM40" i="6"/>
  <c r="AK130" i="6" a="1"/>
  <c r="AN163" i="6"/>
  <c r="AL130" i="6"/>
  <c r="L78" i="9"/>
  <c r="AL81" i="6"/>
  <c r="L50" i="9"/>
  <c r="AN105" i="6"/>
  <c r="L83" i="9"/>
  <c r="AL31" i="6"/>
  <c r="AL27" i="6"/>
  <c r="AN48" i="6"/>
  <c r="AJ51" i="6"/>
  <c r="L116" i="9"/>
  <c r="AL96" i="6"/>
  <c r="AJ162" i="6"/>
  <c r="AL113" i="6"/>
  <c r="AM199" i="6"/>
  <c r="AN58" i="6"/>
  <c r="AM147" i="6"/>
  <c r="AK76" i="6" a="1"/>
  <c r="AK112" i="6" a="1"/>
  <c r="AL122" i="6"/>
  <c r="AJ161" i="6"/>
  <c r="AL34" i="6"/>
  <c r="AN158" i="6"/>
  <c r="AM190" i="6"/>
  <c r="AN130" i="6"/>
  <c r="AN39" i="6"/>
  <c r="AM161" i="6"/>
  <c r="AK90" i="6" a="1"/>
  <c r="AN132" i="6"/>
  <c r="AN63" i="6"/>
  <c r="L106" i="9"/>
  <c r="AN72" i="6"/>
  <c r="AL73" i="6"/>
  <c r="AJ108" i="6"/>
  <c r="AM39" i="6"/>
  <c r="AL154" i="6"/>
  <c r="AL63" i="6"/>
  <c r="AJ173" i="6"/>
  <c r="AJ98" i="6"/>
  <c r="AL153" i="6"/>
  <c r="AN81" i="6"/>
  <c r="AJ172" i="6"/>
  <c r="AN108" i="6"/>
  <c r="L107" i="9"/>
  <c r="AJ189" i="6"/>
  <c r="L25" i="9"/>
  <c r="AM179" i="6"/>
  <c r="AJ23" i="6"/>
  <c r="AJ134" i="6"/>
  <c r="L62" i="9"/>
  <c r="AM105" i="6"/>
  <c r="AK154" i="6" a="1"/>
  <c r="AK42" i="6" a="1"/>
  <c r="AL191" i="6"/>
  <c r="L63" i="9"/>
  <c r="AK124" i="6" a="1"/>
  <c r="AM144" i="6"/>
  <c r="AJ45" i="6"/>
  <c r="AK105" i="6" a="1"/>
  <c r="AJ130" i="6"/>
  <c r="AN139" i="6"/>
  <c r="AK204" i="6" a="1"/>
  <c r="AK191" i="6" a="1"/>
  <c r="AK102" i="6" a="1"/>
  <c r="AJ109" i="6"/>
  <c r="AK24" i="6" a="1"/>
  <c r="AN90" i="6"/>
  <c r="AJ69" i="6"/>
  <c r="AM203" i="6"/>
  <c r="AM116" i="6"/>
  <c r="AM63" i="6"/>
  <c r="AL22" i="6"/>
  <c r="AK88" i="6" a="1"/>
  <c r="AN192" i="6"/>
  <c r="L61" i="9"/>
  <c r="AN168" i="6"/>
  <c r="AJ153" i="6"/>
  <c r="AJ43" i="6"/>
  <c r="AM131" i="6"/>
  <c r="AM142" i="6"/>
  <c r="AL85" i="6"/>
  <c r="AM195" i="6"/>
  <c r="AL104" i="6"/>
  <c r="L86" i="9"/>
  <c r="AK192" i="6" a="1"/>
  <c r="L111" i="9"/>
  <c r="AJ120" i="6"/>
  <c r="AL29" i="6"/>
  <c r="AL127" i="6"/>
  <c r="L95" i="9"/>
  <c r="AN113" i="6"/>
  <c r="AL149" i="6"/>
  <c r="AJ90" i="6"/>
  <c r="AJ154" i="6"/>
  <c r="AM36" i="6"/>
  <c r="AN170" i="6"/>
  <c r="AM127" i="6"/>
  <c r="AK145" i="6" a="1"/>
  <c r="L137" i="9"/>
  <c r="AK47" i="6" a="1"/>
  <c r="AM103" i="6"/>
  <c r="AJ150" i="6"/>
  <c r="AN136" i="6"/>
  <c r="AJ178" i="6"/>
  <c r="AK142" i="6" a="1"/>
  <c r="AM202" i="6"/>
  <c r="AN142" i="6"/>
  <c r="L33" i="9"/>
  <c r="AK175" i="6" a="1"/>
  <c r="L58" i="9"/>
  <c r="AJ95" i="6"/>
  <c r="AM23" i="6"/>
  <c r="AN131" i="6"/>
  <c r="L42" i="9"/>
  <c r="AN194" i="6"/>
  <c r="AM79" i="6"/>
  <c r="AK45" i="6" a="1"/>
  <c r="AJ145" i="6"/>
  <c r="AN34" i="6"/>
  <c r="AK50" i="6" a="1"/>
  <c r="AN143" i="6"/>
  <c r="AK89" i="6" a="1"/>
  <c r="AK197" i="6" a="1"/>
  <c r="AN37" i="6"/>
  <c r="AM173" i="6"/>
  <c r="L84" i="9"/>
  <c r="AK53" i="6" a="1"/>
  <c r="L129" i="9"/>
  <c r="AN87" i="6"/>
  <c r="AJ72" i="6"/>
  <c r="AN114" i="6"/>
  <c r="AJ115" i="6"/>
  <c r="AK122" i="6" a="1"/>
  <c r="AJ127" i="6"/>
  <c r="AK40" i="6" a="1"/>
  <c r="L89" i="9"/>
  <c r="AJ165" i="6"/>
  <c r="AN35" i="6"/>
  <c r="AL116" i="6"/>
  <c r="AK157" i="6" a="1"/>
  <c r="AN191" i="6"/>
  <c r="AM58" i="6"/>
  <c r="AL91" i="6"/>
  <c r="AM102" i="6"/>
  <c r="AJ206" i="6"/>
  <c r="AM45" i="6"/>
  <c r="AD22" i="6"/>
  <c r="L119" i="9"/>
  <c r="AN117" i="6"/>
  <c r="AJ27" i="6"/>
  <c r="AK148" i="6" a="1"/>
  <c r="AN73" i="6"/>
  <c r="AJ149" i="6"/>
  <c r="AN36" i="6"/>
  <c r="AN133" i="6"/>
  <c r="AK150" i="6" a="1"/>
  <c r="AK128" i="6" a="1"/>
  <c r="AM50" i="6"/>
  <c r="AK26" i="6" a="1"/>
  <c r="AL150" i="6"/>
  <c r="AL174" i="6"/>
  <c r="AM204" i="6"/>
  <c r="AN44" i="6"/>
  <c r="AK106" i="6" a="1"/>
  <c r="AJ100" i="6"/>
  <c r="L31" i="9"/>
  <c r="AN50" i="6"/>
  <c r="L76" i="9"/>
  <c r="AN174" i="6"/>
  <c r="AL112" i="6"/>
  <c r="AM200" i="6"/>
  <c r="AL45" i="6"/>
  <c r="AJ60" i="6"/>
  <c r="AM68" i="6"/>
  <c r="AN175" i="6"/>
  <c r="L36" i="9"/>
  <c r="AN104" i="6"/>
  <c r="AK35" i="6" l="1"/>
  <c r="AO35" i="6" s="1"/>
  <c r="AK31" i="6"/>
  <c r="AO31" i="6" s="1"/>
  <c r="AK27" i="6"/>
  <c r="AO27" i="6" s="1"/>
  <c r="AK23" i="6"/>
  <c r="AO23" i="6" s="1"/>
  <c r="AK36" i="6"/>
  <c r="AO36" i="6" s="1"/>
  <c r="AK32" i="6"/>
  <c r="AO32" i="6" s="1"/>
  <c r="AK28" i="6"/>
  <c r="AO28" i="6" s="1"/>
  <c r="AK24" i="6"/>
  <c r="AO24" i="6" s="1"/>
  <c r="AK33" i="6"/>
  <c r="AO33" i="6" s="1"/>
  <c r="AK29" i="6"/>
  <c r="AO29" i="6" s="1"/>
  <c r="AK25" i="6"/>
  <c r="AO25" i="6" s="1"/>
  <c r="AK34" i="6"/>
  <c r="AO34" i="6" s="1"/>
  <c r="AK30" i="6"/>
  <c r="AO30" i="6" s="1"/>
  <c r="AK26" i="6"/>
  <c r="AO26" i="6" s="1"/>
  <c r="AK205" i="6"/>
  <c r="AO205" i="6" s="1"/>
  <c r="AK201" i="6"/>
  <c r="AO201" i="6" s="1"/>
  <c r="AK197" i="6"/>
  <c r="AO197" i="6" s="1"/>
  <c r="AK193" i="6"/>
  <c r="AO193" i="6" s="1"/>
  <c r="AK189" i="6"/>
  <c r="AO189" i="6" s="1"/>
  <c r="AK185" i="6"/>
  <c r="AO185" i="6" s="1"/>
  <c r="AK181" i="6"/>
  <c r="AO181" i="6" s="1"/>
  <c r="AK206" i="6"/>
  <c r="AO206" i="6" s="1"/>
  <c r="AK202" i="6"/>
  <c r="AO202" i="6" s="1"/>
  <c r="AK198" i="6"/>
  <c r="AO198" i="6" s="1"/>
  <c r="AK194" i="6"/>
  <c r="AO194" i="6" s="1"/>
  <c r="AK190" i="6"/>
  <c r="AO190" i="6" s="1"/>
  <c r="AK203" i="6"/>
  <c r="AO203" i="6" s="1"/>
  <c r="AK199" i="6"/>
  <c r="AO199" i="6" s="1"/>
  <c r="AK195" i="6"/>
  <c r="AO195" i="6" s="1"/>
  <c r="AK204" i="6"/>
  <c r="AO204" i="6" s="1"/>
  <c r="AK200" i="6"/>
  <c r="AO200" i="6" s="1"/>
  <c r="AK196" i="6"/>
  <c r="AO196" i="6" s="1"/>
  <c r="AK192" i="6"/>
  <c r="AO192" i="6" s="1"/>
  <c r="AK188" i="6"/>
  <c r="AO188" i="6" s="1"/>
  <c r="AK184" i="6"/>
  <c r="AO184" i="6" s="1"/>
  <c r="AK177" i="6"/>
  <c r="AO177" i="6" s="1"/>
  <c r="AK183" i="6"/>
  <c r="AO183" i="6" s="1"/>
  <c r="AK180" i="6"/>
  <c r="AO180" i="6" s="1"/>
  <c r="AK182" i="6"/>
  <c r="AO182" i="6" s="1"/>
  <c r="AK174" i="6"/>
  <c r="AO174" i="6" s="1"/>
  <c r="AK170" i="6"/>
  <c r="AO170" i="6" s="1"/>
  <c r="AK191" i="6"/>
  <c r="AO191" i="6" s="1"/>
  <c r="AK178" i="6"/>
  <c r="AO178" i="6" s="1"/>
  <c r="AK187" i="6"/>
  <c r="AO187" i="6" s="1"/>
  <c r="AK186" i="6"/>
  <c r="AO186" i="6" s="1"/>
  <c r="AK179" i="6"/>
  <c r="AO179" i="6" s="1"/>
  <c r="AK176" i="6"/>
  <c r="AO176" i="6" s="1"/>
  <c r="AK171" i="6"/>
  <c r="AO171" i="6" s="1"/>
  <c r="AK169" i="6"/>
  <c r="AO169" i="6" s="1"/>
  <c r="AK160" i="6"/>
  <c r="AO160" i="6" s="1"/>
  <c r="AK156" i="6"/>
  <c r="AO156" i="6" s="1"/>
  <c r="AK152" i="6"/>
  <c r="AO152" i="6" s="1"/>
  <c r="AK148" i="6"/>
  <c r="AO148" i="6" s="1"/>
  <c r="AK163" i="6"/>
  <c r="AO163" i="6" s="1"/>
  <c r="AK168" i="6"/>
  <c r="AO168" i="6" s="1"/>
  <c r="AK166" i="6"/>
  <c r="AO166" i="6" s="1"/>
  <c r="AK161" i="6"/>
  <c r="AO161" i="6" s="1"/>
  <c r="AK157" i="6"/>
  <c r="AO157" i="6" s="1"/>
  <c r="AK153" i="6"/>
  <c r="AO153" i="6" s="1"/>
  <c r="AK149" i="6"/>
  <c r="AO149" i="6" s="1"/>
  <c r="AK145" i="6"/>
  <c r="AO145" i="6" s="1"/>
  <c r="AK175" i="6"/>
  <c r="AO175" i="6" s="1"/>
  <c r="AK172" i="6"/>
  <c r="AO172" i="6" s="1"/>
  <c r="AK165" i="6"/>
  <c r="AO165" i="6" s="1"/>
  <c r="AK167" i="6"/>
  <c r="AO167" i="6" s="1"/>
  <c r="AK158" i="6"/>
  <c r="AO158" i="6" s="1"/>
  <c r="AK154" i="6"/>
  <c r="AO154" i="6" s="1"/>
  <c r="AK150" i="6"/>
  <c r="AO150" i="6" s="1"/>
  <c r="AK146" i="6"/>
  <c r="AO146" i="6" s="1"/>
  <c r="AK173" i="6"/>
  <c r="AO173" i="6" s="1"/>
  <c r="AK162" i="6"/>
  <c r="AO162" i="6" s="1"/>
  <c r="AK159" i="6"/>
  <c r="AO159" i="6" s="1"/>
  <c r="AK155" i="6"/>
  <c r="AO155" i="6" s="1"/>
  <c r="AK151" i="6"/>
  <c r="AO151" i="6" s="1"/>
  <c r="AK164" i="6"/>
  <c r="AO164" i="6" s="1"/>
  <c r="AK135" i="6"/>
  <c r="AO135" i="6" s="1"/>
  <c r="AK131" i="6"/>
  <c r="AO131" i="6" s="1"/>
  <c r="AK127" i="6"/>
  <c r="AO127" i="6" s="1"/>
  <c r="AK123" i="6"/>
  <c r="AO123" i="6" s="1"/>
  <c r="AK142" i="6"/>
  <c r="AO142" i="6" s="1"/>
  <c r="AK143" i="6"/>
  <c r="AO143" i="6" s="1"/>
  <c r="AK141" i="6"/>
  <c r="AO141" i="6" s="1"/>
  <c r="AK139" i="6"/>
  <c r="AO139" i="6" s="1"/>
  <c r="AK136" i="6"/>
  <c r="AO136" i="6" s="1"/>
  <c r="AK132" i="6"/>
  <c r="AO132" i="6" s="1"/>
  <c r="AK128" i="6"/>
  <c r="AO128" i="6" s="1"/>
  <c r="AK124" i="6"/>
  <c r="AO124" i="6" s="1"/>
  <c r="AK120" i="6"/>
  <c r="AO120" i="6" s="1"/>
  <c r="AK137" i="6"/>
  <c r="AO137" i="6" s="1"/>
  <c r="AK133" i="6"/>
  <c r="AO133" i="6" s="1"/>
  <c r="AK129" i="6"/>
  <c r="AO129" i="6" s="1"/>
  <c r="AK125" i="6"/>
  <c r="AO125" i="6" s="1"/>
  <c r="AK140" i="6"/>
  <c r="AO140" i="6" s="1"/>
  <c r="AK144" i="6"/>
  <c r="AO144" i="6" s="1"/>
  <c r="AK147" i="6"/>
  <c r="AO147" i="6" s="1"/>
  <c r="AK134" i="6"/>
  <c r="AO134" i="6" s="1"/>
  <c r="AK130" i="6"/>
  <c r="AO130" i="6" s="1"/>
  <c r="AK126" i="6"/>
  <c r="AO126" i="6" s="1"/>
  <c r="AK122" i="6"/>
  <c r="AO122" i="6" s="1"/>
  <c r="AK138" i="6"/>
  <c r="AO138" i="6" s="1"/>
  <c r="AK117" i="6"/>
  <c r="AO117" i="6" s="1"/>
  <c r="AK114" i="6"/>
  <c r="AO114" i="6" s="1"/>
  <c r="AK110" i="6"/>
  <c r="AO110" i="6" s="1"/>
  <c r="AK106" i="6"/>
  <c r="AO106" i="6" s="1"/>
  <c r="AK102" i="6"/>
  <c r="AO102" i="6" s="1"/>
  <c r="AK115" i="6"/>
  <c r="AO115" i="6" s="1"/>
  <c r="AK111" i="6"/>
  <c r="AO111" i="6" s="1"/>
  <c r="AK107" i="6"/>
  <c r="AO107" i="6" s="1"/>
  <c r="AK103" i="6"/>
  <c r="AO103" i="6" s="1"/>
  <c r="AK119" i="6"/>
  <c r="AO119" i="6" s="1"/>
  <c r="AK116" i="6"/>
  <c r="AO116" i="6" s="1"/>
  <c r="AK112" i="6"/>
  <c r="AO112" i="6" s="1"/>
  <c r="AK108" i="6"/>
  <c r="AO108" i="6" s="1"/>
  <c r="AK104" i="6"/>
  <c r="AO104" i="6" s="1"/>
  <c r="AK100" i="6"/>
  <c r="AO100" i="6" s="1"/>
  <c r="AK118" i="6"/>
  <c r="AO118" i="6" s="1"/>
  <c r="AK121" i="6"/>
  <c r="AO121" i="6" s="1"/>
  <c r="AK113" i="6"/>
  <c r="AO113" i="6" s="1"/>
  <c r="AK109" i="6"/>
  <c r="AO109" i="6" s="1"/>
  <c r="AK105" i="6"/>
  <c r="AO105" i="6" s="1"/>
  <c r="AK101" i="6"/>
  <c r="AO101" i="6" s="1"/>
  <c r="AK97" i="6"/>
  <c r="AO97" i="6" s="1"/>
  <c r="AK96" i="6"/>
  <c r="AO96" i="6" s="1"/>
  <c r="AK90" i="6"/>
  <c r="AO90" i="6" s="1"/>
  <c r="AK86" i="6"/>
  <c r="AO86" i="6" s="1"/>
  <c r="AK82" i="6"/>
  <c r="AO82" i="6" s="1"/>
  <c r="AK78" i="6"/>
  <c r="AO78" i="6" s="1"/>
  <c r="AK93" i="6"/>
  <c r="AO93" i="6" s="1"/>
  <c r="AK91" i="6"/>
  <c r="AO91" i="6" s="1"/>
  <c r="AK87" i="6"/>
  <c r="AO87" i="6" s="1"/>
  <c r="AK83" i="6"/>
  <c r="AO83" i="6" s="1"/>
  <c r="AK79" i="6"/>
  <c r="AO79" i="6" s="1"/>
  <c r="AK88" i="6"/>
  <c r="AO88" i="6" s="1"/>
  <c r="AK84" i="6"/>
  <c r="AO84" i="6" s="1"/>
  <c r="AK80" i="6"/>
  <c r="AO80" i="6" s="1"/>
  <c r="AK92" i="6"/>
  <c r="AO92" i="6" s="1"/>
  <c r="AK98" i="6"/>
  <c r="AO98" i="6" s="1"/>
  <c r="AK95" i="6"/>
  <c r="AO95" i="6" s="1"/>
  <c r="AK94" i="6"/>
  <c r="AO94" i="6" s="1"/>
  <c r="AK89" i="6"/>
  <c r="AO89" i="6" s="1"/>
  <c r="AK85" i="6"/>
  <c r="AO85" i="6" s="1"/>
  <c r="AK81" i="6"/>
  <c r="AO81" i="6" s="1"/>
  <c r="AK99" i="6"/>
  <c r="AO99" i="6" s="1"/>
  <c r="AK77" i="6"/>
  <c r="AO77" i="6" s="1"/>
  <c r="AK76" i="6"/>
  <c r="AO76" i="6" s="1"/>
  <c r="AK75" i="6"/>
  <c r="AO75" i="6" s="1"/>
  <c r="AK69" i="6"/>
  <c r="AO69" i="6" s="1"/>
  <c r="AK65" i="6"/>
  <c r="AO65" i="6" s="1"/>
  <c r="AK61" i="6"/>
  <c r="AO61" i="6" s="1"/>
  <c r="AK74" i="6"/>
  <c r="AO74" i="6" s="1"/>
  <c r="AK72" i="6"/>
  <c r="AO72" i="6" s="1"/>
  <c r="AK66" i="6"/>
  <c r="AO66" i="6" s="1"/>
  <c r="AK62" i="6"/>
  <c r="AO62" i="6" s="1"/>
  <c r="AK58" i="6"/>
  <c r="AO58" i="6" s="1"/>
  <c r="AK70" i="6"/>
  <c r="AO70" i="6" s="1"/>
  <c r="AK67" i="6"/>
  <c r="AO67" i="6" s="1"/>
  <c r="AK63" i="6"/>
  <c r="AO63" i="6" s="1"/>
  <c r="AK73" i="6"/>
  <c r="AO73" i="6" s="1"/>
  <c r="AK71" i="6"/>
  <c r="AO71" i="6" s="1"/>
  <c r="AK68" i="6"/>
  <c r="AO68" i="6" s="1"/>
  <c r="AK64" i="6"/>
  <c r="AO64" i="6" s="1"/>
  <c r="AK60" i="6"/>
  <c r="AO60" i="6" s="1"/>
  <c r="AK56" i="6"/>
  <c r="AO56" i="6" s="1"/>
  <c r="AK53" i="6"/>
  <c r="AO53" i="6" s="1"/>
  <c r="AK52" i="6"/>
  <c r="AO52" i="6" s="1"/>
  <c r="AK48" i="6"/>
  <c r="AO48" i="6" s="1"/>
  <c r="AK44" i="6"/>
  <c r="AO44" i="6" s="1"/>
  <c r="AK40" i="6"/>
  <c r="AO40" i="6" s="1"/>
  <c r="AK59" i="6"/>
  <c r="AO59" i="6" s="1"/>
  <c r="AK55" i="6"/>
  <c r="AO55" i="6" s="1"/>
  <c r="AK51" i="6"/>
  <c r="AO51" i="6" s="1"/>
  <c r="AK49" i="6"/>
  <c r="AO49" i="6" s="1"/>
  <c r="AK45" i="6"/>
  <c r="AO45" i="6" s="1"/>
  <c r="AK41" i="6"/>
  <c r="AO41" i="6" s="1"/>
  <c r="AK57" i="6"/>
  <c r="AO57" i="6" s="1"/>
  <c r="AK46" i="6"/>
  <c r="AO46" i="6" s="1"/>
  <c r="AK42" i="6"/>
  <c r="AO42" i="6" s="1"/>
  <c r="AK38" i="6"/>
  <c r="AO38" i="6" s="1"/>
  <c r="AK50" i="6"/>
  <c r="AO50" i="6" s="1"/>
  <c r="AK47" i="6"/>
  <c r="AO47" i="6" s="1"/>
  <c r="AK43" i="6"/>
  <c r="AO43" i="6" s="1"/>
  <c r="AK39" i="6"/>
  <c r="AO39" i="6" s="1"/>
  <c r="AK54" i="6"/>
  <c r="AO54" i="6" s="1"/>
  <c r="AK37" i="6"/>
  <c r="AO37" i="6" s="1"/>
  <c r="N3" i="9"/>
  <c r="M20" i="9"/>
  <c r="M2" i="9"/>
  <c r="L19" i="9"/>
  <c r="AE22" i="6"/>
  <c r="AI22" i="6" s="1"/>
  <c r="AK22" i="6"/>
  <c r="AJ19" i="6"/>
  <c r="AV2" i="6"/>
  <c r="AP1" i="6"/>
  <c r="AP20" i="6"/>
  <c r="M23" i="9"/>
  <c r="AR77" i="6"/>
  <c r="AT81" i="6"/>
  <c r="AQ39" i="6" a="1"/>
  <c r="AQ164" i="6" a="1"/>
  <c r="AQ70" i="6" a="1"/>
  <c r="AP60" i="6"/>
  <c r="AR157" i="6"/>
  <c r="AR114" i="6"/>
  <c r="AS180" i="6"/>
  <c r="AR138" i="6"/>
  <c r="AR158" i="6"/>
  <c r="AQ183" i="6" a="1"/>
  <c r="AQ122" i="6" a="1"/>
  <c r="M44" i="9"/>
  <c r="AT167" i="6"/>
  <c r="AR112" i="6"/>
  <c r="AP190" i="6"/>
  <c r="AR180" i="6"/>
  <c r="AT93" i="6"/>
  <c r="AS33" i="6"/>
  <c r="AT116" i="6"/>
  <c r="AS182" i="6"/>
  <c r="AR104" i="6"/>
  <c r="AS31" i="6"/>
  <c r="AP184" i="6"/>
  <c r="AP102" i="6"/>
  <c r="AS188" i="6"/>
  <c r="AQ94" i="6" a="1"/>
  <c r="M128" i="9"/>
  <c r="AR126" i="6"/>
  <c r="AT138" i="6"/>
  <c r="AR39" i="6"/>
  <c r="AS152" i="6"/>
  <c r="AT86" i="6"/>
  <c r="AR150" i="6"/>
  <c r="AS140" i="6"/>
  <c r="AP126" i="6"/>
  <c r="AT30" i="6"/>
  <c r="AT46" i="6"/>
  <c r="AT176" i="6"/>
  <c r="AP74" i="6"/>
  <c r="AQ79" i="6" a="1"/>
  <c r="AR57" i="6"/>
  <c r="AQ84" i="6" a="1"/>
  <c r="AT58" i="6"/>
  <c r="AR148" i="6"/>
  <c r="AQ115" i="6" a="1"/>
  <c r="AS176" i="6"/>
  <c r="AP78" i="6"/>
  <c r="AQ191" i="6" a="1"/>
  <c r="AS67" i="6"/>
  <c r="AQ142" i="6" a="1"/>
  <c r="AQ49" i="6" a="1"/>
  <c r="AQ43" i="6" a="1"/>
  <c r="AT109" i="6"/>
  <c r="AR200" i="6"/>
  <c r="AR37" i="6"/>
  <c r="AQ86" i="6" a="1"/>
  <c r="AP75" i="6"/>
  <c r="AT118" i="6"/>
  <c r="M69" i="9"/>
  <c r="AS202" i="6"/>
  <c r="AT162" i="6"/>
  <c r="AS68" i="6"/>
  <c r="AT129" i="6"/>
  <c r="AT55" i="6"/>
  <c r="AT23" i="6"/>
  <c r="AT143" i="6"/>
  <c r="AP171" i="6"/>
  <c r="AP81" i="6"/>
  <c r="AQ28" i="6" a="1"/>
  <c r="AQ77" i="6" a="1"/>
  <c r="AT117" i="6"/>
  <c r="AT76" i="6"/>
  <c r="AQ162" i="6" a="1"/>
  <c r="M83" i="9"/>
  <c r="AT45" i="6"/>
  <c r="AQ60" i="6" a="1"/>
  <c r="AT153" i="6"/>
  <c r="AS45" i="6"/>
  <c r="AP147" i="6"/>
  <c r="AQ37" i="6" a="1"/>
  <c r="M50" i="9"/>
  <c r="AR174" i="6"/>
  <c r="AP71" i="6"/>
  <c r="AR70" i="6"/>
  <c r="AR178" i="6"/>
  <c r="AP200" i="6"/>
  <c r="M113" i="9"/>
  <c r="AP50" i="6"/>
  <c r="AR149" i="6"/>
  <c r="AR164" i="6"/>
  <c r="M97" i="9"/>
  <c r="AQ161" i="6" a="1"/>
  <c r="AR190" i="6"/>
  <c r="AQ96" i="6" a="1"/>
  <c r="AR78" i="6"/>
  <c r="AS206" i="6"/>
  <c r="AR107" i="6"/>
  <c r="AT87" i="6"/>
  <c r="AQ113" i="6" a="1"/>
  <c r="AR85" i="6"/>
  <c r="AT33" i="6"/>
  <c r="AR52" i="6"/>
  <c r="AR105" i="6"/>
  <c r="AS105" i="6"/>
  <c r="AP141" i="6"/>
  <c r="AQ140" i="6" a="1"/>
  <c r="AR24" i="6"/>
  <c r="AT180" i="6"/>
  <c r="AT49" i="6"/>
  <c r="AS126" i="6"/>
  <c r="AT48" i="6"/>
  <c r="AR122" i="6"/>
  <c r="AS77" i="6"/>
  <c r="AT78" i="6"/>
  <c r="AS158" i="6"/>
  <c r="AR25" i="6"/>
  <c r="AP85" i="6"/>
  <c r="AS43" i="6"/>
  <c r="AT56" i="6"/>
  <c r="M119" i="9"/>
  <c r="AR194" i="6"/>
  <c r="AQ71" i="6" a="1"/>
  <c r="AT95" i="6"/>
  <c r="AQ67" i="6" a="1"/>
  <c r="AP169" i="6"/>
  <c r="AP31" i="6"/>
  <c r="AT79" i="6"/>
  <c r="AT94" i="6"/>
  <c r="AS203" i="6"/>
  <c r="AS123" i="6"/>
  <c r="AS150" i="6"/>
  <c r="AS177" i="6"/>
  <c r="AS96" i="6"/>
  <c r="AP77" i="6"/>
  <c r="AQ30" i="6" a="1"/>
  <c r="AS106" i="6"/>
  <c r="AS113" i="6"/>
  <c r="AS193" i="6"/>
  <c r="AR161" i="6"/>
  <c r="AT166" i="6"/>
  <c r="AT50" i="6"/>
  <c r="AR123" i="6"/>
  <c r="AR132" i="6"/>
  <c r="AQ23" i="6" a="1"/>
  <c r="AR81" i="6"/>
  <c r="AP142" i="6"/>
  <c r="AT148" i="6"/>
  <c r="AP131" i="6"/>
  <c r="AT57" i="6"/>
  <c r="M108" i="9"/>
  <c r="AP158" i="6"/>
  <c r="AP99" i="6"/>
  <c r="AP52" i="6"/>
  <c r="M92" i="9"/>
  <c r="AR137" i="6"/>
  <c r="AT73" i="6"/>
  <c r="AR195" i="6"/>
  <c r="AQ46" i="6" a="1"/>
  <c r="AS111" i="6"/>
  <c r="AT184" i="6"/>
  <c r="AS46" i="6"/>
  <c r="AQ73" i="6" a="1"/>
  <c r="AQ87" i="6" a="1"/>
  <c r="AT35" i="6"/>
  <c r="AQ175" i="6" a="1"/>
  <c r="AP179" i="6"/>
  <c r="AS85" i="6"/>
  <c r="AQ103" i="6" a="1"/>
  <c r="AS154" i="6"/>
  <c r="AS170" i="6"/>
  <c r="AR45" i="6"/>
  <c r="AP66" i="6"/>
  <c r="AT66" i="6"/>
  <c r="AR92" i="6"/>
  <c r="AQ185" i="6" a="1"/>
  <c r="AT39" i="6"/>
  <c r="AP165" i="6"/>
  <c r="AR43" i="6"/>
  <c r="AR35" i="6"/>
  <c r="AP199" i="6"/>
  <c r="AP103" i="6"/>
  <c r="AT128" i="6"/>
  <c r="M58" i="9"/>
  <c r="AP91" i="6"/>
  <c r="AQ173" i="6" a="1"/>
  <c r="AS70" i="6"/>
  <c r="AP109" i="6"/>
  <c r="AR175" i="6"/>
  <c r="AP82" i="6"/>
  <c r="AR188" i="6"/>
  <c r="AR162" i="6"/>
  <c r="AP29" i="6"/>
  <c r="AP121" i="6"/>
  <c r="AS194" i="6"/>
  <c r="AR89" i="6"/>
  <c r="AQ34" i="6" a="1"/>
  <c r="M71" i="9"/>
  <c r="AR196" i="6"/>
  <c r="M105" i="9"/>
  <c r="AS144" i="6"/>
  <c r="M55" i="9"/>
  <c r="AP112" i="6"/>
  <c r="AP191" i="6"/>
  <c r="AT124" i="6"/>
  <c r="M134" i="9"/>
  <c r="AP65" i="6"/>
  <c r="AR47" i="6"/>
  <c r="AS38" i="6"/>
  <c r="M110" i="9"/>
  <c r="AP128" i="6"/>
  <c r="AR36" i="6"/>
  <c r="AQ179" i="6" a="1"/>
  <c r="AS164" i="6"/>
  <c r="AS44" i="6"/>
  <c r="AT191" i="6"/>
  <c r="AT82" i="6"/>
  <c r="AQ45" i="6" a="1"/>
  <c r="AP136" i="6"/>
  <c r="AR94" i="6"/>
  <c r="M112" i="9"/>
  <c r="AT154" i="6"/>
  <c r="AT175" i="6"/>
  <c r="AS185" i="6"/>
  <c r="AS137" i="6"/>
  <c r="AQ74" i="6" a="1"/>
  <c r="AT130" i="6"/>
  <c r="AS195" i="6"/>
  <c r="AQ91" i="6" a="1"/>
  <c r="AP178" i="6"/>
  <c r="AQ99" i="6" a="1"/>
  <c r="M133" i="9"/>
  <c r="AS155" i="6"/>
  <c r="M100" i="9"/>
  <c r="AQ51" i="6" a="1"/>
  <c r="M117" i="9"/>
  <c r="AR144" i="6"/>
  <c r="M89" i="9"/>
  <c r="AS71" i="6"/>
  <c r="M81" i="9"/>
  <c r="AR203" i="6"/>
  <c r="AR44" i="6"/>
  <c r="M118" i="9"/>
  <c r="M57" i="9"/>
  <c r="AP201" i="6"/>
  <c r="AR71" i="6"/>
  <c r="AT193" i="6"/>
  <c r="AS190" i="6"/>
  <c r="AR54" i="6"/>
  <c r="AP95" i="6"/>
  <c r="AP101" i="6"/>
  <c r="AP69" i="6"/>
  <c r="AS79" i="6"/>
  <c r="AR93" i="6"/>
  <c r="AP148" i="6"/>
  <c r="AP47" i="6"/>
  <c r="AQ58" i="6" a="1"/>
  <c r="AS84" i="6"/>
  <c r="AP127" i="6"/>
  <c r="AP177" i="6"/>
  <c r="AQ172" i="6" a="1"/>
  <c r="AS149" i="6"/>
  <c r="AS53" i="6"/>
  <c r="AT174" i="6"/>
  <c r="M67" i="9"/>
  <c r="M111" i="9"/>
  <c r="AS47" i="6"/>
  <c r="AR42" i="6"/>
  <c r="AP59" i="6"/>
  <c r="AS54" i="6"/>
  <c r="AP123" i="6"/>
  <c r="AT38" i="6"/>
  <c r="AR51" i="6"/>
  <c r="AS169" i="6"/>
  <c r="M59" i="9"/>
  <c r="AQ144" i="6" a="1"/>
  <c r="M64" i="9"/>
  <c r="AT157" i="6"/>
  <c r="M63" i="9"/>
  <c r="AQ198" i="6" a="1"/>
  <c r="M48" i="9"/>
  <c r="AP144" i="6"/>
  <c r="M84" i="9"/>
  <c r="AP150" i="6"/>
  <c r="M76" i="9"/>
  <c r="AP163" i="6"/>
  <c r="AP53" i="6"/>
  <c r="M65" i="9"/>
  <c r="M52" i="9"/>
  <c r="AT171" i="6"/>
  <c r="AS108" i="6"/>
  <c r="AR177" i="6"/>
  <c r="AR191" i="6"/>
  <c r="AR67" i="6"/>
  <c r="AQ66" i="6" a="1"/>
  <c r="AT71" i="6"/>
  <c r="AT203" i="6"/>
  <c r="AQ206" i="6" a="1"/>
  <c r="AS80" i="6"/>
  <c r="AQ93" i="6" a="1"/>
  <c r="AR73" i="6"/>
  <c r="AP130" i="6"/>
  <c r="M54" i="9"/>
  <c r="AQ184" i="6" a="1"/>
  <c r="AQ108" i="6" a="1"/>
  <c r="AP110" i="6"/>
  <c r="AP135" i="6"/>
  <c r="AQ89" i="6" a="1"/>
  <c r="AT135" i="6"/>
  <c r="AT204" i="6"/>
  <c r="AS30" i="6"/>
  <c r="AQ145" i="6" a="1"/>
  <c r="M125" i="9"/>
  <c r="AQ124" i="6" a="1"/>
  <c r="AR34" i="6"/>
  <c r="AQ170" i="6" a="1"/>
  <c r="M47" i="9"/>
  <c r="AR206" i="6"/>
  <c r="M39" i="9"/>
  <c r="AQ57" i="6" a="1"/>
  <c r="AQ65" i="6" a="1"/>
  <c r="M60" i="9"/>
  <c r="M77" i="9"/>
  <c r="AQ47" i="6" a="1"/>
  <c r="AP40" i="6"/>
  <c r="AS124" i="6"/>
  <c r="AT168" i="6"/>
  <c r="AS167" i="6"/>
  <c r="AS81" i="6"/>
  <c r="AT182" i="6"/>
  <c r="AQ190" i="6" a="1"/>
  <c r="AP98" i="6"/>
  <c r="AP143" i="6"/>
  <c r="AR120" i="6"/>
  <c r="AT190" i="6"/>
  <c r="AT68" i="6"/>
  <c r="M90" i="9"/>
  <c r="AS115" i="6"/>
  <c r="AP62" i="6"/>
  <c r="AQ138" i="6" a="1"/>
  <c r="AT195" i="6"/>
  <c r="AT120" i="6"/>
  <c r="AR83" i="6"/>
  <c r="AR27" i="6"/>
  <c r="M104" i="9"/>
  <c r="AS142" i="6"/>
  <c r="AT151" i="6"/>
  <c r="AS173" i="6"/>
  <c r="AP151" i="6"/>
  <c r="AS116" i="6"/>
  <c r="AQ100" i="6" a="1"/>
  <c r="AT36" i="6"/>
  <c r="AR136" i="6"/>
  <c r="M56" i="9"/>
  <c r="AQ114" i="6" a="1"/>
  <c r="AT28" i="6"/>
  <c r="AQ130" i="6" a="1"/>
  <c r="M109" i="9"/>
  <c r="AQ149" i="6" a="1"/>
  <c r="M101" i="9"/>
  <c r="AP134" i="6"/>
  <c r="AR49" i="6"/>
  <c r="M85" i="9"/>
  <c r="AP24" i="6"/>
  <c r="AP175" i="6"/>
  <c r="AQ199" i="6" a="1"/>
  <c r="AP172" i="6"/>
  <c r="AR184" i="6"/>
  <c r="AS138" i="6"/>
  <c r="AR145" i="6"/>
  <c r="AS97" i="6"/>
  <c r="AT194" i="6"/>
  <c r="AR84" i="6"/>
  <c r="AT160" i="6"/>
  <c r="AP162" i="6"/>
  <c r="AS40" i="6"/>
  <c r="AS129" i="6"/>
  <c r="M99" i="9"/>
  <c r="AS37" i="6"/>
  <c r="AS201" i="6"/>
  <c r="AT140" i="6"/>
  <c r="AT83" i="6"/>
  <c r="AP38" i="6"/>
  <c r="M116" i="9"/>
  <c r="AQ29" i="6" a="1"/>
  <c r="AS172" i="6"/>
  <c r="AS26" i="6"/>
  <c r="AR142" i="6"/>
  <c r="AS204" i="6"/>
  <c r="AP100" i="6"/>
  <c r="M40" i="9"/>
  <c r="AT149" i="6"/>
  <c r="M32" i="9"/>
  <c r="AQ121" i="6" a="1"/>
  <c r="AP54" i="6"/>
  <c r="AP28" i="6"/>
  <c r="AP26" i="6"/>
  <c r="AR182" i="6"/>
  <c r="AS135" i="6"/>
  <c r="AQ194" i="6" a="1"/>
  <c r="M86" i="9"/>
  <c r="AS51" i="6"/>
  <c r="AP139" i="6"/>
  <c r="AQ104" i="6" a="1"/>
  <c r="AT69" i="6"/>
  <c r="AT74" i="6"/>
  <c r="AR82" i="6"/>
  <c r="AS87" i="6"/>
  <c r="AS56" i="6"/>
  <c r="AS130" i="6"/>
  <c r="AR33" i="6"/>
  <c r="M46" i="9"/>
  <c r="AQ123" i="6" a="1"/>
  <c r="M121" i="9"/>
  <c r="AT170" i="6"/>
  <c r="AT105" i="6"/>
  <c r="AP125" i="6"/>
  <c r="AT32" i="6"/>
  <c r="AR133" i="6"/>
  <c r="AP194" i="6"/>
  <c r="AS118" i="6"/>
  <c r="AR30" i="6"/>
  <c r="AT139" i="6"/>
  <c r="AP36" i="6"/>
  <c r="AP84" i="6"/>
  <c r="AT91" i="6"/>
  <c r="AP30" i="6"/>
  <c r="AS24" i="6"/>
  <c r="AR130" i="6"/>
  <c r="AQ143" i="6" a="1"/>
  <c r="AT97" i="6"/>
  <c r="M33" i="9"/>
  <c r="AT197" i="6"/>
  <c r="AP76" i="6"/>
  <c r="AQ197" i="6" a="1"/>
  <c r="AR170" i="6"/>
  <c r="M70" i="9"/>
  <c r="AR99" i="6"/>
  <c r="AT115" i="6"/>
  <c r="AR48" i="6"/>
  <c r="AS74" i="6"/>
  <c r="AS27" i="6"/>
  <c r="M82" i="9"/>
  <c r="AQ178" i="6" a="1"/>
  <c r="AT107" i="6"/>
  <c r="AQ141" i="6" a="1"/>
  <c r="AQ160" i="6" a="1"/>
  <c r="AQ68" i="6" a="1"/>
  <c r="AT206" i="6"/>
  <c r="AR23" i="6"/>
  <c r="AQ155" i="6" a="1"/>
  <c r="AS200" i="6"/>
  <c r="AP154" i="6"/>
  <c r="AQ147" i="6" a="1"/>
  <c r="AQ133" i="6" a="1"/>
  <c r="M129" i="9"/>
  <c r="AR152" i="6"/>
  <c r="AR197" i="6"/>
  <c r="AR55" i="6"/>
  <c r="AS22" i="6"/>
  <c r="AS178" i="6"/>
  <c r="AT40" i="6"/>
  <c r="M124" i="9"/>
  <c r="AP37" i="6"/>
  <c r="AP116" i="6"/>
  <c r="AQ44" i="6" a="1"/>
  <c r="AR60" i="6"/>
  <c r="AR156" i="6"/>
  <c r="AQ109" i="6" a="1"/>
  <c r="M87" i="9"/>
  <c r="AR65" i="6"/>
  <c r="AP72" i="6"/>
  <c r="AQ33" i="6" a="1"/>
  <c r="AS187" i="6"/>
  <c r="AR61" i="6"/>
  <c r="AR135" i="6"/>
  <c r="AT24" i="6"/>
  <c r="AP205" i="6"/>
  <c r="AR26" i="6"/>
  <c r="AP170" i="6"/>
  <c r="AS62" i="6"/>
  <c r="AS28" i="6"/>
  <c r="AS64" i="6"/>
  <c r="AP157" i="6"/>
  <c r="AR80" i="6"/>
  <c r="M94" i="9"/>
  <c r="M28" i="9"/>
  <c r="AS191" i="6"/>
  <c r="AT96" i="6"/>
  <c r="AS127" i="6"/>
  <c r="AT102" i="6"/>
  <c r="M106" i="9"/>
  <c r="AT72" i="6"/>
  <c r="AT131" i="6"/>
  <c r="AR90" i="6"/>
  <c r="AP106" i="6"/>
  <c r="AQ32" i="6" a="1"/>
  <c r="M136" i="9"/>
  <c r="AQ72" i="6" a="1"/>
  <c r="AP183" i="6"/>
  <c r="AS92" i="6"/>
  <c r="AR59" i="6"/>
  <c r="AQ137" i="6" a="1"/>
  <c r="AQ35" i="6" a="1"/>
  <c r="AQ146" i="6" a="1"/>
  <c r="AQ42" i="6" a="1"/>
  <c r="AT188" i="6"/>
  <c r="AS75" i="6"/>
  <c r="AQ22" i="6" a="1"/>
  <c r="AQ85" i="6" a="1"/>
  <c r="AP92" i="6"/>
  <c r="AT98" i="6"/>
  <c r="AR193" i="6"/>
  <c r="AS90" i="6"/>
  <c r="AS93" i="6"/>
  <c r="AT54" i="6"/>
  <c r="AR127" i="6"/>
  <c r="AR64" i="6"/>
  <c r="AP49" i="6"/>
  <c r="AP192" i="6"/>
  <c r="AS36" i="6"/>
  <c r="AP113" i="6"/>
  <c r="AQ111" i="6" a="1"/>
  <c r="AT89" i="6"/>
  <c r="AQ150" i="6" a="1"/>
  <c r="AQ107" i="6" a="1"/>
  <c r="AP188" i="6"/>
  <c r="M41" i="9"/>
  <c r="M122" i="9"/>
  <c r="AQ129" i="6" a="1"/>
  <c r="AQ202" i="6" a="1"/>
  <c r="AT88" i="6"/>
  <c r="AR176" i="6"/>
  <c r="M37" i="9"/>
  <c r="AT181" i="6"/>
  <c r="AR96" i="6"/>
  <c r="AR98" i="6"/>
  <c r="AP129" i="6"/>
  <c r="AR95" i="6"/>
  <c r="M91" i="9"/>
  <c r="AR172" i="6"/>
  <c r="AT111" i="6"/>
  <c r="AP153" i="6"/>
  <c r="M30" i="9"/>
  <c r="AP161" i="6"/>
  <c r="M35" i="9"/>
  <c r="AP185" i="6"/>
  <c r="AQ154" i="6" a="1"/>
  <c r="AS199" i="6"/>
  <c r="AP118" i="6"/>
  <c r="AT205" i="6"/>
  <c r="AP58" i="6"/>
  <c r="AP90" i="6"/>
  <c r="AQ163" i="6" a="1"/>
  <c r="AQ180" i="6" a="1"/>
  <c r="AQ120" i="6" a="1"/>
  <c r="AT43" i="6"/>
  <c r="AT144" i="6"/>
  <c r="AT186" i="6"/>
  <c r="AQ48" i="6" a="1"/>
  <c r="AR41" i="6"/>
  <c r="M36" i="9"/>
  <c r="M53" i="9"/>
  <c r="AS171" i="6"/>
  <c r="AR109" i="6"/>
  <c r="AP61" i="6"/>
  <c r="AP146" i="6"/>
  <c r="M115" i="9"/>
  <c r="AT44" i="6"/>
  <c r="AQ78" i="6" a="1"/>
  <c r="AR169" i="6"/>
  <c r="AT65" i="6"/>
  <c r="AR189" i="6"/>
  <c r="AR29" i="6"/>
  <c r="AT108" i="6"/>
  <c r="AQ119" i="6" a="1"/>
  <c r="AQ151" i="6" a="1"/>
  <c r="M127" i="9"/>
  <c r="AR50" i="6"/>
  <c r="AR124" i="6"/>
  <c r="AP42" i="6"/>
  <c r="AS128" i="6"/>
  <c r="AP124" i="6"/>
  <c r="AR129" i="6"/>
  <c r="AR151" i="6"/>
  <c r="AT202" i="6"/>
  <c r="M26" i="9"/>
  <c r="AR186" i="6"/>
  <c r="AP39" i="6"/>
  <c r="AT75" i="6"/>
  <c r="AQ196" i="6" a="1"/>
  <c r="AQ116" i="6" a="1"/>
  <c r="M103" i="9"/>
  <c r="AR66" i="6"/>
  <c r="AQ92" i="6" a="1"/>
  <c r="AP27" i="6"/>
  <c r="AR147" i="6"/>
  <c r="AP96" i="6"/>
  <c r="AQ52" i="6" a="1"/>
  <c r="AP156" i="6"/>
  <c r="AT60" i="6"/>
  <c r="AP105" i="6"/>
  <c r="AR143" i="6"/>
  <c r="AS186" i="6"/>
  <c r="AT77" i="6"/>
  <c r="AQ200" i="6" a="1"/>
  <c r="AT196" i="6"/>
  <c r="AP204" i="6"/>
  <c r="AP22" i="6"/>
  <c r="AT137" i="6"/>
  <c r="AS141" i="6"/>
  <c r="AS86" i="6"/>
  <c r="AR103" i="6"/>
  <c r="M130" i="9"/>
  <c r="M131" i="9"/>
  <c r="AT114" i="6"/>
  <c r="AP145" i="6"/>
  <c r="AP55" i="6"/>
  <c r="AR58" i="6"/>
  <c r="AS29" i="6"/>
  <c r="AS58" i="6"/>
  <c r="AR163" i="6"/>
  <c r="AS91" i="6"/>
  <c r="AT125" i="6"/>
  <c r="AP67" i="6"/>
  <c r="AS23" i="6"/>
  <c r="AR183" i="6"/>
  <c r="AT113" i="6"/>
  <c r="AQ139" i="6" a="1"/>
  <c r="M66" i="9"/>
  <c r="AP122" i="6"/>
  <c r="AQ132" i="6" a="1"/>
  <c r="AQ101" i="6" a="1"/>
  <c r="M80" i="9"/>
  <c r="AP88" i="6"/>
  <c r="AT84" i="6"/>
  <c r="AQ189" i="6" a="1"/>
  <c r="AT110" i="6"/>
  <c r="AR102" i="6"/>
  <c r="AQ176" i="6" a="1"/>
  <c r="AS168" i="6"/>
  <c r="AQ181" i="6" a="1"/>
  <c r="AR140" i="6"/>
  <c r="AQ50" i="6" a="1"/>
  <c r="M126" i="9"/>
  <c r="AP203" i="6"/>
  <c r="AT64" i="6"/>
  <c r="AQ159" i="6" a="1"/>
  <c r="AP119" i="6"/>
  <c r="AT158" i="6"/>
  <c r="M61" i="9"/>
  <c r="AT25" i="6"/>
  <c r="AR100" i="6"/>
  <c r="AP104" i="6"/>
  <c r="AT192" i="6"/>
  <c r="AR63" i="6"/>
  <c r="AS35" i="6"/>
  <c r="AT173" i="6"/>
  <c r="AS166" i="6"/>
  <c r="AR76" i="6"/>
  <c r="AR173" i="6"/>
  <c r="AS95" i="6"/>
  <c r="AQ36" i="6" a="1"/>
  <c r="AP43" i="6"/>
  <c r="AQ54" i="6" a="1"/>
  <c r="AT51" i="6"/>
  <c r="M120" i="9"/>
  <c r="AT156" i="6"/>
  <c r="AT155" i="6"/>
  <c r="AR204" i="6"/>
  <c r="AS41" i="6"/>
  <c r="M42" i="9"/>
  <c r="AQ128" i="6" a="1"/>
  <c r="AP45" i="6"/>
  <c r="AT42" i="6"/>
  <c r="AS159" i="6"/>
  <c r="AQ168" i="6" a="1"/>
  <c r="AQ131" i="6" a="1"/>
  <c r="AQ63" i="6" a="1"/>
  <c r="AR108" i="6"/>
  <c r="AQ40" i="6" a="1"/>
  <c r="AT37" i="6"/>
  <c r="AS101" i="6"/>
  <c r="M73" i="9"/>
  <c r="AS72" i="6"/>
  <c r="AP93" i="6"/>
  <c r="AR40" i="6"/>
  <c r="AT112" i="6"/>
  <c r="AS117" i="6"/>
  <c r="AT29" i="6"/>
  <c r="AT27" i="6"/>
  <c r="AR179" i="6"/>
  <c r="AS102" i="6"/>
  <c r="AQ134" i="6" a="1"/>
  <c r="AQ55" i="6" a="1"/>
  <c r="AQ24" i="6" a="1"/>
  <c r="AS114" i="6"/>
  <c r="AP182" i="6"/>
  <c r="AQ118" i="6" a="1"/>
  <c r="AT178" i="6"/>
  <c r="AR201" i="6"/>
  <c r="AS76" i="6"/>
  <c r="AS109" i="6"/>
  <c r="AT150" i="6"/>
  <c r="AS120" i="6"/>
  <c r="M75" i="9"/>
  <c r="AR168" i="6"/>
  <c r="AR146" i="6"/>
  <c r="AR106" i="6"/>
  <c r="M22" i="9"/>
  <c r="M96" i="9"/>
  <c r="AS107" i="6"/>
  <c r="AP166" i="6"/>
  <c r="AP114" i="6"/>
  <c r="AT26" i="6"/>
  <c r="AS55" i="6"/>
  <c r="AQ110" i="6" a="1"/>
  <c r="M95" i="9"/>
  <c r="AQ188" i="6" a="1"/>
  <c r="AT67" i="6"/>
  <c r="AT80" i="6"/>
  <c r="AR155" i="6"/>
  <c r="AS205" i="6"/>
  <c r="AS148" i="6"/>
  <c r="AT53" i="6"/>
  <c r="AS59" i="6"/>
  <c r="AT100" i="6"/>
  <c r="M68" i="9"/>
  <c r="AP132" i="6"/>
  <c r="AT179" i="6"/>
  <c r="AP198" i="6"/>
  <c r="AT121" i="6"/>
  <c r="AS78" i="6"/>
  <c r="AT31" i="6"/>
  <c r="AR28" i="6"/>
  <c r="AS104" i="6"/>
  <c r="AS153" i="6"/>
  <c r="AT142" i="6"/>
  <c r="AP46" i="6"/>
  <c r="AP189" i="6"/>
  <c r="AQ135" i="6" a="1"/>
  <c r="AQ125" i="6" a="1"/>
  <c r="AT161" i="6"/>
  <c r="AQ165" i="6" a="1"/>
  <c r="AT47" i="6"/>
  <c r="AQ158" i="6" a="1"/>
  <c r="AR167" i="6"/>
  <c r="AS147" i="6"/>
  <c r="AR75" i="6"/>
  <c r="AP33" i="6"/>
  <c r="AP44" i="6"/>
  <c r="AS69" i="6"/>
  <c r="AR166" i="6"/>
  <c r="AS99" i="6"/>
  <c r="M51" i="9"/>
  <c r="AS133" i="6"/>
  <c r="AS198" i="6"/>
  <c r="AS162" i="6"/>
  <c r="AT183" i="6"/>
  <c r="AQ203" i="6" a="1"/>
  <c r="AS61" i="6"/>
  <c r="AQ156" i="6" a="1"/>
  <c r="AP181" i="6"/>
  <c r="AR38" i="6"/>
  <c r="AS132" i="6"/>
  <c r="AT85" i="6"/>
  <c r="AQ169" i="6" a="1"/>
  <c r="M31" i="9"/>
  <c r="AT147" i="6"/>
  <c r="AS88" i="6"/>
  <c r="AP51" i="6"/>
  <c r="AT163" i="6"/>
  <c r="AT126" i="6"/>
  <c r="AR32" i="6"/>
  <c r="AT132" i="6"/>
  <c r="AS131" i="6"/>
  <c r="AP167" i="6"/>
  <c r="AT103" i="6"/>
  <c r="AR171" i="6"/>
  <c r="AQ152" i="6" a="1"/>
  <c r="AS183" i="6"/>
  <c r="AS197" i="6"/>
  <c r="AS175" i="6"/>
  <c r="AS165" i="6"/>
  <c r="AS112" i="6"/>
  <c r="AR121" i="6"/>
  <c r="AP164" i="6"/>
  <c r="AP202" i="6"/>
  <c r="AT189" i="6"/>
  <c r="AR31" i="6"/>
  <c r="AP57" i="6"/>
  <c r="AS39" i="6"/>
  <c r="AQ76" i="6" a="1"/>
  <c r="AT146" i="6"/>
  <c r="AT34" i="6"/>
  <c r="AQ56" i="6" a="1"/>
  <c r="AT134" i="6"/>
  <c r="AS157" i="6"/>
  <c r="AS66" i="6"/>
  <c r="AP107" i="6"/>
  <c r="AS100" i="6"/>
  <c r="AR110" i="6"/>
  <c r="AS139" i="6"/>
  <c r="AR117" i="6"/>
  <c r="AQ90" i="6" a="1"/>
  <c r="AP195" i="6"/>
  <c r="M93" i="9"/>
  <c r="AS134" i="6"/>
  <c r="AP89" i="6"/>
  <c r="AT200" i="6"/>
  <c r="AQ59" i="6" a="1"/>
  <c r="AQ64" i="6" a="1"/>
  <c r="AP83" i="6"/>
  <c r="AS65" i="6"/>
  <c r="AS89" i="6"/>
  <c r="AQ69" i="6" a="1"/>
  <c r="M78" i="9"/>
  <c r="AS42" i="6"/>
  <c r="AQ205" i="6" a="1"/>
  <c r="AQ171" i="6" a="1"/>
  <c r="M62" i="9"/>
  <c r="AP196" i="6"/>
  <c r="AP176" i="6"/>
  <c r="AP70" i="6"/>
  <c r="AS103" i="6"/>
  <c r="AQ62" i="6" a="1"/>
  <c r="AS151" i="6"/>
  <c r="AP193" i="6"/>
  <c r="AQ27" i="6" a="1"/>
  <c r="AQ166" i="6" a="1"/>
  <c r="AS196" i="6"/>
  <c r="AP97" i="6"/>
  <c r="AQ75" i="6" a="1"/>
  <c r="AP35" i="6"/>
  <c r="AP173" i="6"/>
  <c r="M137" i="9"/>
  <c r="AR139" i="6"/>
  <c r="AR62" i="6"/>
  <c r="M79" i="9"/>
  <c r="AR153" i="6"/>
  <c r="AP138" i="6"/>
  <c r="M132" i="9"/>
  <c r="AS98" i="6"/>
  <c r="AQ82" i="6" a="1"/>
  <c r="AP94" i="6"/>
  <c r="AS73" i="6"/>
  <c r="AR69" i="6"/>
  <c r="AQ201" i="6" a="1"/>
  <c r="AS163" i="6"/>
  <c r="AP115" i="6"/>
  <c r="AR101" i="6"/>
  <c r="AS136" i="6"/>
  <c r="AP86" i="6"/>
  <c r="M24" i="9"/>
  <c r="AQ153" i="6" a="1"/>
  <c r="AS181" i="6"/>
  <c r="AP79" i="6"/>
  <c r="AP140" i="6"/>
  <c r="AP149" i="6"/>
  <c r="AT199" i="6"/>
  <c r="AR199" i="6"/>
  <c r="AQ195" i="6" a="1"/>
  <c r="AT122" i="6"/>
  <c r="M25" i="9"/>
  <c r="AQ177" i="6" a="1"/>
  <c r="AP180" i="6"/>
  <c r="AT22" i="6"/>
  <c r="M98" i="9"/>
  <c r="AR131" i="6"/>
  <c r="AP159" i="6"/>
  <c r="AS156" i="6"/>
  <c r="AP63" i="6"/>
  <c r="AR154" i="6"/>
  <c r="AP133" i="6"/>
  <c r="AR56" i="6"/>
  <c r="AR119" i="6"/>
  <c r="AT90" i="6"/>
  <c r="AT159" i="6"/>
  <c r="AT61" i="6"/>
  <c r="AQ26" i="6" a="1"/>
  <c r="AR115" i="6"/>
  <c r="AP87" i="6"/>
  <c r="M72" i="9"/>
  <c r="AT198" i="6"/>
  <c r="AR22" i="6"/>
  <c r="AQ61" i="6" a="1"/>
  <c r="AQ136" i="6" a="1"/>
  <c r="AS161" i="6"/>
  <c r="AQ38" i="6" a="1"/>
  <c r="AP56" i="6"/>
  <c r="AQ174" i="6" a="1"/>
  <c r="AP187" i="6"/>
  <c r="AP32" i="6"/>
  <c r="AR128" i="6"/>
  <c r="AR68" i="6"/>
  <c r="AS52" i="6"/>
  <c r="AS143" i="6"/>
  <c r="AT201" i="6"/>
  <c r="AP108" i="6"/>
  <c r="AP137" i="6"/>
  <c r="AT106" i="6"/>
  <c r="AR72" i="6"/>
  <c r="M114" i="9"/>
  <c r="AR113" i="6"/>
  <c r="AS83" i="6"/>
  <c r="AP186" i="6"/>
  <c r="M29" i="9"/>
  <c r="AR53" i="6"/>
  <c r="AQ167" i="6" a="1"/>
  <c r="AR86" i="6"/>
  <c r="AT62" i="6"/>
  <c r="M38" i="9"/>
  <c r="AR46" i="6"/>
  <c r="AQ102" i="6" a="1"/>
  <c r="AQ105" i="6" a="1"/>
  <c r="AP152" i="6"/>
  <c r="AS146" i="6"/>
  <c r="AQ186" i="6" a="1"/>
  <c r="AS119" i="6"/>
  <c r="AP111" i="6"/>
  <c r="AT165" i="6"/>
  <c r="AR91" i="6"/>
  <c r="AT177" i="6"/>
  <c r="AP120" i="6"/>
  <c r="AS179" i="6"/>
  <c r="AP34" i="6"/>
  <c r="AR159" i="6"/>
  <c r="AS145" i="6"/>
  <c r="AQ192" i="6" a="1"/>
  <c r="M102" i="9"/>
  <c r="AQ112" i="6" a="1"/>
  <c r="AQ53" i="6" a="1"/>
  <c r="AP68" i="6"/>
  <c r="AS63" i="6"/>
  <c r="AR125" i="6"/>
  <c r="M45" i="9"/>
  <c r="AQ106" i="6" a="1"/>
  <c r="AS50" i="6"/>
  <c r="AQ157" i="6" a="1"/>
  <c r="M107" i="9"/>
  <c r="AT127" i="6"/>
  <c r="AR192" i="6"/>
  <c r="AQ88" i="6" a="1"/>
  <c r="AR79" i="6"/>
  <c r="M135" i="9"/>
  <c r="AR198" i="6"/>
  <c r="AQ81" i="6" a="1"/>
  <c r="AS122" i="6"/>
  <c r="AQ117" i="6" a="1"/>
  <c r="AT185" i="6"/>
  <c r="AP41" i="6"/>
  <c r="AP48" i="6"/>
  <c r="AS121" i="6"/>
  <c r="AR134" i="6"/>
  <c r="M34" i="9"/>
  <c r="AS125" i="6"/>
  <c r="AR118" i="6"/>
  <c r="AS34" i="6"/>
  <c r="AR160" i="6"/>
  <c r="AP160" i="6"/>
  <c r="AR202" i="6"/>
  <c r="AQ25" i="6" a="1"/>
  <c r="AQ80" i="6" a="1"/>
  <c r="AT123" i="6"/>
  <c r="AT172" i="6"/>
  <c r="AQ187" i="6" a="1"/>
  <c r="AR88" i="6"/>
  <c r="AS94" i="6"/>
  <c r="AR97" i="6"/>
  <c r="AR205" i="6"/>
  <c r="AQ95" i="6" a="1"/>
  <c r="AT136" i="6"/>
  <c r="AP117" i="6"/>
  <c r="AT152" i="6"/>
  <c r="AS174" i="6"/>
  <c r="M27" i="9"/>
  <c r="AP73" i="6"/>
  <c r="AP80" i="6"/>
  <c r="AS57" i="6"/>
  <c r="AT52" i="6"/>
  <c r="AS160" i="6"/>
  <c r="AQ41" i="6" a="1"/>
  <c r="AS82" i="6"/>
  <c r="AR116" i="6"/>
  <c r="AR141" i="6"/>
  <c r="AS32" i="6"/>
  <c r="AT169" i="6"/>
  <c r="AT70" i="6"/>
  <c r="AT133" i="6"/>
  <c r="M49" i="9"/>
  <c r="AS60" i="6"/>
  <c r="AP206" i="6"/>
  <c r="AT59" i="6"/>
  <c r="AT104" i="6"/>
  <c r="AT101" i="6"/>
  <c r="M123" i="9"/>
  <c r="AP174" i="6"/>
  <c r="AR181" i="6"/>
  <c r="AQ98" i="6" a="1"/>
  <c r="AS25" i="6"/>
  <c r="AR185" i="6"/>
  <c r="AQ126" i="6" a="1"/>
  <c r="AS189" i="6"/>
  <c r="AQ97" i="6" a="1"/>
  <c r="M74" i="9"/>
  <c r="AT187" i="6"/>
  <c r="AT41" i="6"/>
  <c r="AS192" i="6"/>
  <c r="AQ127" i="6" a="1"/>
  <c r="AT164" i="6"/>
  <c r="AQ83" i="6" a="1"/>
  <c r="AS48" i="6"/>
  <c r="AS110" i="6"/>
  <c r="AR165" i="6"/>
  <c r="M88" i="9"/>
  <c r="AR87" i="6"/>
  <c r="AP168" i="6"/>
  <c r="AP23" i="6"/>
  <c r="AQ148" i="6" a="1"/>
  <c r="AT119" i="6"/>
  <c r="AT63" i="6"/>
  <c r="AS184" i="6"/>
  <c r="M43" i="9"/>
  <c r="AP197" i="6"/>
  <c r="AR187" i="6"/>
  <c r="AT145" i="6"/>
  <c r="AQ182" i="6" a="1"/>
  <c r="AR74" i="6"/>
  <c r="AR111" i="6"/>
  <c r="AQ31" i="6" a="1"/>
  <c r="AQ204" i="6" a="1"/>
  <c r="AP155" i="6"/>
  <c r="AP64" i="6"/>
  <c r="AS49" i="6"/>
  <c r="AP25" i="6"/>
  <c r="AT92" i="6"/>
  <c r="AT99" i="6"/>
  <c r="AT141" i="6"/>
  <c r="AQ193" i="6" a="1"/>
  <c r="AQ33" i="6" l="1"/>
  <c r="AU33" i="6" s="1"/>
  <c r="AQ29" i="6"/>
  <c r="AU29" i="6" s="1"/>
  <c r="AQ25" i="6"/>
  <c r="AU25" i="6" s="1"/>
  <c r="AQ34" i="6"/>
  <c r="AU34" i="6" s="1"/>
  <c r="AQ30" i="6"/>
  <c r="AU30" i="6" s="1"/>
  <c r="AQ26" i="6"/>
  <c r="AU26" i="6" s="1"/>
  <c r="AQ35" i="6"/>
  <c r="AU35" i="6" s="1"/>
  <c r="AQ31" i="6"/>
  <c r="AU31" i="6" s="1"/>
  <c r="AQ27" i="6"/>
  <c r="AU27" i="6" s="1"/>
  <c r="AQ23" i="6"/>
  <c r="AU23" i="6" s="1"/>
  <c r="AQ36" i="6"/>
  <c r="AU36" i="6" s="1"/>
  <c r="AQ32" i="6"/>
  <c r="AU32" i="6" s="1"/>
  <c r="AQ28" i="6"/>
  <c r="AU28" i="6" s="1"/>
  <c r="AQ24" i="6"/>
  <c r="AU24" i="6" s="1"/>
  <c r="AQ203" i="6"/>
  <c r="AU203" i="6" s="1"/>
  <c r="AQ199" i="6"/>
  <c r="AU199" i="6" s="1"/>
  <c r="AQ204" i="6"/>
  <c r="AU204" i="6" s="1"/>
  <c r="AQ200" i="6"/>
  <c r="AU200" i="6" s="1"/>
  <c r="AQ196" i="6"/>
  <c r="AU196" i="6" s="1"/>
  <c r="AQ192" i="6"/>
  <c r="AU192" i="6" s="1"/>
  <c r="AQ188" i="6"/>
  <c r="AU188" i="6" s="1"/>
  <c r="AQ205" i="6"/>
  <c r="AU205" i="6" s="1"/>
  <c r="AQ201" i="6"/>
  <c r="AU201" i="6" s="1"/>
  <c r="AQ197" i="6"/>
  <c r="AU197" i="6" s="1"/>
  <c r="AQ206" i="6"/>
  <c r="AU206" i="6" s="1"/>
  <c r="AQ202" i="6"/>
  <c r="AU202" i="6" s="1"/>
  <c r="AQ198" i="6"/>
  <c r="AU198" i="6" s="1"/>
  <c r="AQ194" i="6"/>
  <c r="AU194" i="6" s="1"/>
  <c r="AQ183" i="6"/>
  <c r="AU183" i="6" s="1"/>
  <c r="AQ180" i="6"/>
  <c r="AU180" i="6" s="1"/>
  <c r="AQ189" i="6"/>
  <c r="AU189" i="6" s="1"/>
  <c r="AQ174" i="6"/>
  <c r="AU174" i="6" s="1"/>
  <c r="AQ170" i="6"/>
  <c r="AU170" i="6" s="1"/>
  <c r="AQ166" i="6"/>
  <c r="AU166" i="6" s="1"/>
  <c r="AQ182" i="6"/>
  <c r="AU182" i="6" s="1"/>
  <c r="AQ178" i="6"/>
  <c r="AU178" i="6" s="1"/>
  <c r="AQ191" i="6"/>
  <c r="AU191" i="6" s="1"/>
  <c r="AQ175" i="6"/>
  <c r="AU175" i="6" s="1"/>
  <c r="AQ171" i="6"/>
  <c r="AU171" i="6" s="1"/>
  <c r="AQ181" i="6"/>
  <c r="AU181" i="6" s="1"/>
  <c r="AQ195" i="6"/>
  <c r="AU195" i="6" s="1"/>
  <c r="AQ190" i="6"/>
  <c r="AU190" i="6" s="1"/>
  <c r="AQ187" i="6"/>
  <c r="AU187" i="6" s="1"/>
  <c r="AQ179" i="6"/>
  <c r="AU179" i="6" s="1"/>
  <c r="AQ176" i="6"/>
  <c r="AU176" i="6" s="1"/>
  <c r="AQ172" i="6"/>
  <c r="AU172" i="6" s="1"/>
  <c r="AQ186" i="6"/>
  <c r="AU186" i="6" s="1"/>
  <c r="AQ193" i="6"/>
  <c r="AU193" i="6" s="1"/>
  <c r="AQ185" i="6"/>
  <c r="AU185" i="6" s="1"/>
  <c r="AQ184" i="6"/>
  <c r="AU184" i="6" s="1"/>
  <c r="AQ177" i="6"/>
  <c r="AU177" i="6" s="1"/>
  <c r="AQ173" i="6"/>
  <c r="AU173" i="6" s="1"/>
  <c r="AQ169" i="6"/>
  <c r="AU169" i="6" s="1"/>
  <c r="AQ163" i="6"/>
  <c r="AU163" i="6" s="1"/>
  <c r="AQ157" i="6"/>
  <c r="AU157" i="6" s="1"/>
  <c r="AQ153" i="6"/>
  <c r="AU153" i="6" s="1"/>
  <c r="AQ149" i="6"/>
  <c r="AU149" i="6" s="1"/>
  <c r="AQ145" i="6"/>
  <c r="AU145" i="6" s="1"/>
  <c r="AQ141" i="6"/>
  <c r="AU141" i="6" s="1"/>
  <c r="AQ161" i="6"/>
  <c r="AU161" i="6" s="1"/>
  <c r="AQ168" i="6"/>
  <c r="AU168" i="6" s="1"/>
  <c r="AQ158" i="6"/>
  <c r="AU158" i="6" s="1"/>
  <c r="AQ154" i="6"/>
  <c r="AU154" i="6" s="1"/>
  <c r="AQ150" i="6"/>
  <c r="AU150" i="6" s="1"/>
  <c r="AQ146" i="6"/>
  <c r="AU146" i="6" s="1"/>
  <c r="AQ165" i="6"/>
  <c r="AU165" i="6" s="1"/>
  <c r="AQ167" i="6"/>
  <c r="AU167" i="6" s="1"/>
  <c r="AQ162" i="6"/>
  <c r="AU162" i="6" s="1"/>
  <c r="AQ159" i="6"/>
  <c r="AU159" i="6" s="1"/>
  <c r="AQ155" i="6"/>
  <c r="AU155" i="6" s="1"/>
  <c r="AQ151" i="6"/>
  <c r="AU151" i="6" s="1"/>
  <c r="AQ147" i="6"/>
  <c r="AU147" i="6" s="1"/>
  <c r="AQ164" i="6"/>
  <c r="AU164" i="6" s="1"/>
  <c r="AQ160" i="6"/>
  <c r="AU160" i="6" s="1"/>
  <c r="AQ156" i="6"/>
  <c r="AU156" i="6" s="1"/>
  <c r="AQ152" i="6"/>
  <c r="AU152" i="6" s="1"/>
  <c r="AQ143" i="6"/>
  <c r="AU143" i="6" s="1"/>
  <c r="AQ139" i="6"/>
  <c r="AU139" i="6" s="1"/>
  <c r="AQ136" i="6"/>
  <c r="AU136" i="6" s="1"/>
  <c r="AQ132" i="6"/>
  <c r="AU132" i="6" s="1"/>
  <c r="AQ128" i="6"/>
  <c r="AU128" i="6" s="1"/>
  <c r="AQ124" i="6"/>
  <c r="AU124" i="6" s="1"/>
  <c r="AQ120" i="6"/>
  <c r="AU120" i="6" s="1"/>
  <c r="AQ137" i="6"/>
  <c r="AU137" i="6" s="1"/>
  <c r="AQ133" i="6"/>
  <c r="AU133" i="6" s="1"/>
  <c r="AQ129" i="6"/>
  <c r="AU129" i="6" s="1"/>
  <c r="AQ125" i="6"/>
  <c r="AU125" i="6" s="1"/>
  <c r="AQ140" i="6"/>
  <c r="AU140" i="6" s="1"/>
  <c r="AQ134" i="6"/>
  <c r="AU134" i="6" s="1"/>
  <c r="AQ130" i="6"/>
  <c r="AU130" i="6" s="1"/>
  <c r="AQ126" i="6"/>
  <c r="AU126" i="6" s="1"/>
  <c r="AQ148" i="6"/>
  <c r="AU148" i="6" s="1"/>
  <c r="AQ138" i="6"/>
  <c r="AU138" i="6" s="1"/>
  <c r="AQ144" i="6"/>
  <c r="AU144" i="6" s="1"/>
  <c r="AQ135" i="6"/>
  <c r="AU135" i="6" s="1"/>
  <c r="AQ131" i="6"/>
  <c r="AU131" i="6" s="1"/>
  <c r="AQ127" i="6"/>
  <c r="AU127" i="6" s="1"/>
  <c r="AQ123" i="6"/>
  <c r="AU123" i="6" s="1"/>
  <c r="AQ142" i="6"/>
  <c r="AU142" i="6" s="1"/>
  <c r="AQ122" i="6"/>
  <c r="AU122" i="6" s="1"/>
  <c r="AQ115" i="6"/>
  <c r="AU115" i="6" s="1"/>
  <c r="AQ111" i="6"/>
  <c r="AU111" i="6" s="1"/>
  <c r="AQ107" i="6"/>
  <c r="AU107" i="6" s="1"/>
  <c r="AQ112" i="6"/>
  <c r="AU112" i="6" s="1"/>
  <c r="AQ108" i="6"/>
  <c r="AU108" i="6" s="1"/>
  <c r="AQ104" i="6"/>
  <c r="AU104" i="6" s="1"/>
  <c r="AQ116" i="6"/>
  <c r="AU116" i="6" s="1"/>
  <c r="AQ118" i="6"/>
  <c r="AU118" i="6" s="1"/>
  <c r="AQ119" i="6"/>
  <c r="AU119" i="6" s="1"/>
  <c r="AQ113" i="6"/>
  <c r="AU113" i="6" s="1"/>
  <c r="AQ109" i="6"/>
  <c r="AU109" i="6" s="1"/>
  <c r="AQ105" i="6"/>
  <c r="AU105" i="6" s="1"/>
  <c r="AQ101" i="6"/>
  <c r="AU101" i="6" s="1"/>
  <c r="AQ121" i="6"/>
  <c r="AU121" i="6" s="1"/>
  <c r="AQ117" i="6"/>
  <c r="AU117" i="6" s="1"/>
  <c r="AQ114" i="6"/>
  <c r="AU114" i="6" s="1"/>
  <c r="AQ110" i="6"/>
  <c r="AU110" i="6" s="1"/>
  <c r="AQ106" i="6"/>
  <c r="AU106" i="6" s="1"/>
  <c r="AQ102" i="6"/>
  <c r="AU102" i="6" s="1"/>
  <c r="AQ98" i="6"/>
  <c r="AU98" i="6" s="1"/>
  <c r="AQ91" i="6"/>
  <c r="AU91" i="6" s="1"/>
  <c r="AQ87" i="6"/>
  <c r="AU87" i="6" s="1"/>
  <c r="AQ100" i="6"/>
  <c r="AU100" i="6" s="1"/>
  <c r="AQ97" i="6"/>
  <c r="AU97" i="6" s="1"/>
  <c r="AQ88" i="6"/>
  <c r="AU88" i="6" s="1"/>
  <c r="AQ84" i="6"/>
  <c r="AU84" i="6" s="1"/>
  <c r="AQ80" i="6"/>
  <c r="AU80" i="6" s="1"/>
  <c r="AQ92" i="6"/>
  <c r="AU92" i="6" s="1"/>
  <c r="AQ95" i="6"/>
  <c r="AU95" i="6" s="1"/>
  <c r="AQ103" i="6"/>
  <c r="AU103" i="6" s="1"/>
  <c r="AQ89" i="6"/>
  <c r="AU89" i="6" s="1"/>
  <c r="AQ99" i="6"/>
  <c r="AU99" i="6" s="1"/>
  <c r="AQ94" i="6"/>
  <c r="AU94" i="6" s="1"/>
  <c r="AQ96" i="6"/>
  <c r="AU96" i="6" s="1"/>
  <c r="AQ90" i="6"/>
  <c r="AU90" i="6" s="1"/>
  <c r="AQ86" i="6"/>
  <c r="AU86" i="6" s="1"/>
  <c r="AQ82" i="6"/>
  <c r="AU82" i="6" s="1"/>
  <c r="AQ93" i="6"/>
  <c r="AU93" i="6" s="1"/>
  <c r="AQ74" i="6"/>
  <c r="AU74" i="6" s="1"/>
  <c r="AQ72" i="6"/>
  <c r="AU72" i="6" s="1"/>
  <c r="AQ78" i="6"/>
  <c r="AU78" i="6" s="1"/>
  <c r="AQ85" i="6"/>
  <c r="AU85" i="6" s="1"/>
  <c r="AQ66" i="6"/>
  <c r="AU66" i="6" s="1"/>
  <c r="AQ62" i="6"/>
  <c r="AU62" i="6" s="1"/>
  <c r="AQ58" i="6"/>
  <c r="AU58" i="6" s="1"/>
  <c r="AQ70" i="6"/>
  <c r="AU70" i="6" s="1"/>
  <c r="AQ81" i="6"/>
  <c r="AU81" i="6" s="1"/>
  <c r="AQ67" i="6"/>
  <c r="AU67" i="6" s="1"/>
  <c r="AQ63" i="6"/>
  <c r="AU63" i="6" s="1"/>
  <c r="AQ59" i="6"/>
  <c r="AU59" i="6" s="1"/>
  <c r="AQ73" i="6"/>
  <c r="AU73" i="6" s="1"/>
  <c r="AQ71" i="6"/>
  <c r="AU71" i="6" s="1"/>
  <c r="AQ68" i="6"/>
  <c r="AU68" i="6" s="1"/>
  <c r="AQ64" i="6"/>
  <c r="AU64" i="6" s="1"/>
  <c r="AQ77" i="6"/>
  <c r="AU77" i="6" s="1"/>
  <c r="AQ79" i="6"/>
  <c r="AU79" i="6" s="1"/>
  <c r="AQ76" i="6"/>
  <c r="AU76" i="6" s="1"/>
  <c r="AQ83" i="6"/>
  <c r="AU83" i="6" s="1"/>
  <c r="AQ69" i="6"/>
  <c r="AU69" i="6" s="1"/>
  <c r="AQ65" i="6"/>
  <c r="AU65" i="6" s="1"/>
  <c r="AQ61" i="6"/>
  <c r="AU61" i="6" s="1"/>
  <c r="AQ57" i="6"/>
  <c r="AU57" i="6" s="1"/>
  <c r="AQ75" i="6"/>
  <c r="AU75" i="6" s="1"/>
  <c r="AQ51" i="6"/>
  <c r="AU51" i="6" s="1"/>
  <c r="AQ49" i="6"/>
  <c r="AU49" i="6" s="1"/>
  <c r="AQ45" i="6"/>
  <c r="AU45" i="6" s="1"/>
  <c r="AQ41" i="6"/>
  <c r="AU41" i="6" s="1"/>
  <c r="AQ37" i="6"/>
  <c r="AU37" i="6" s="1"/>
  <c r="AQ55" i="6"/>
  <c r="AU55" i="6" s="1"/>
  <c r="AQ46" i="6"/>
  <c r="AU46" i="6" s="1"/>
  <c r="AQ42" i="6"/>
  <c r="AU42" i="6" s="1"/>
  <c r="AQ60" i="6"/>
  <c r="AU60" i="6" s="1"/>
  <c r="AQ50" i="6"/>
  <c r="AU50" i="6" s="1"/>
  <c r="AQ47" i="6"/>
  <c r="AU47" i="6" s="1"/>
  <c r="AQ43" i="6"/>
  <c r="AU43" i="6" s="1"/>
  <c r="AQ39" i="6"/>
  <c r="AU39" i="6" s="1"/>
  <c r="AQ56" i="6"/>
  <c r="AU56" i="6" s="1"/>
  <c r="AQ54" i="6"/>
  <c r="AU54" i="6" s="1"/>
  <c r="AQ53" i="6"/>
  <c r="AU53" i="6" s="1"/>
  <c r="AQ52" i="6"/>
  <c r="AU52" i="6" s="1"/>
  <c r="AQ48" i="6"/>
  <c r="AU48" i="6" s="1"/>
  <c r="AQ44" i="6"/>
  <c r="AU44" i="6" s="1"/>
  <c r="AQ40" i="6"/>
  <c r="AU40" i="6" s="1"/>
  <c r="AQ38" i="6"/>
  <c r="AU38" i="6" s="1"/>
  <c r="N2" i="9"/>
  <c r="M19" i="9"/>
  <c r="O3" i="9"/>
  <c r="N20" i="9"/>
  <c r="AO22" i="6"/>
  <c r="AQ22" i="6"/>
  <c r="AP19" i="6"/>
  <c r="BB2" i="6"/>
  <c r="AV1" i="6"/>
  <c r="AV20" i="6"/>
  <c r="N23" i="9"/>
  <c r="AW49" i="6" a="1"/>
  <c r="AY106" i="6"/>
  <c r="AV176" i="6"/>
  <c r="AV106" i="6"/>
  <c r="AY192" i="6"/>
  <c r="AY186" i="6"/>
  <c r="AX68" i="6"/>
  <c r="AX51" i="6"/>
  <c r="AZ34" i="6"/>
  <c r="AV108" i="6"/>
  <c r="AY65" i="6"/>
  <c r="AW99" i="6" a="1"/>
  <c r="AZ26" i="6"/>
  <c r="AW184" i="6" a="1"/>
  <c r="AY43" i="6"/>
  <c r="AW153" i="6" a="1"/>
  <c r="AX94" i="6"/>
  <c r="AW121" i="6" a="1"/>
  <c r="AY109" i="6"/>
  <c r="AX188" i="6"/>
  <c r="AX169" i="6"/>
  <c r="AV71" i="6"/>
  <c r="AZ114" i="6"/>
  <c r="AZ148" i="6"/>
  <c r="AV48" i="6"/>
  <c r="AY80" i="6"/>
  <c r="N29" i="9"/>
  <c r="AV120" i="6"/>
  <c r="AX204" i="6"/>
  <c r="AZ35" i="6"/>
  <c r="AW102" i="6" a="1"/>
  <c r="AW198" i="6" a="1"/>
  <c r="AX91" i="6"/>
  <c r="AV39" i="6"/>
  <c r="AV127" i="6"/>
  <c r="N111" i="9"/>
  <c r="AY136" i="6"/>
  <c r="AW31" i="6" a="1"/>
  <c r="AZ134" i="6"/>
  <c r="AV203" i="6"/>
  <c r="AZ94" i="6"/>
  <c r="AZ63" i="6"/>
  <c r="AV50" i="6"/>
  <c r="AW158" i="6" a="1"/>
  <c r="AV70" i="6"/>
  <c r="AY22" i="6"/>
  <c r="AW118" i="6" a="1"/>
  <c r="N42" i="9"/>
  <c r="AW70" i="6" a="1"/>
  <c r="AV52" i="6"/>
  <c r="AW136" i="6" a="1"/>
  <c r="AX115" i="6"/>
  <c r="N62" i="9"/>
  <c r="AZ119" i="6"/>
  <c r="N54" i="9"/>
  <c r="AW161" i="6" a="1"/>
  <c r="AV35" i="6"/>
  <c r="AX86" i="6"/>
  <c r="AY157" i="6"/>
  <c r="AY125" i="6"/>
  <c r="AV27" i="6"/>
  <c r="AZ46" i="6"/>
  <c r="AW147" i="6" a="1"/>
  <c r="AV189" i="6"/>
  <c r="N22" i="9"/>
  <c r="AZ172" i="6"/>
  <c r="AW94" i="6" a="1"/>
  <c r="AV169" i="6"/>
  <c r="AV86" i="6"/>
  <c r="AZ182" i="6"/>
  <c r="AV175" i="6"/>
  <c r="AZ167" i="6"/>
  <c r="AZ62" i="6"/>
  <c r="AY190" i="6"/>
  <c r="N107" i="9"/>
  <c r="AW171" i="6" a="1"/>
  <c r="AV164" i="6"/>
  <c r="AX36" i="6"/>
  <c r="AY47" i="6"/>
  <c r="AY152" i="6"/>
  <c r="AV194" i="6"/>
  <c r="AV53" i="6"/>
  <c r="AZ146" i="6"/>
  <c r="N58" i="9"/>
  <c r="AW79" i="6" a="1"/>
  <c r="AX111" i="6"/>
  <c r="AZ41" i="6"/>
  <c r="AY70" i="6"/>
  <c r="AV125" i="6"/>
  <c r="AX182" i="6"/>
  <c r="AW175" i="6" a="1"/>
  <c r="AY193" i="6"/>
  <c r="AW166" i="6" a="1"/>
  <c r="AX177" i="6"/>
  <c r="AV30" i="6"/>
  <c r="AZ158" i="6"/>
  <c r="AV195" i="6"/>
  <c r="AY44" i="6"/>
  <c r="AW141" i="6" a="1"/>
  <c r="AY58" i="6"/>
  <c r="AY54" i="6"/>
  <c r="AZ124" i="6"/>
  <c r="AZ125" i="6"/>
  <c r="AX126" i="6"/>
  <c r="AV199" i="6"/>
  <c r="AY171" i="6"/>
  <c r="AW60" i="6" a="1"/>
  <c r="AV43" i="6"/>
  <c r="AV55" i="6"/>
  <c r="AV190" i="6"/>
  <c r="N113" i="9"/>
  <c r="AZ123" i="6"/>
  <c r="AV69" i="6"/>
  <c r="AV153" i="6"/>
  <c r="AX73" i="6"/>
  <c r="N97" i="9"/>
  <c r="AZ192" i="6"/>
  <c r="N89" i="9"/>
  <c r="AV118" i="6"/>
  <c r="AY29" i="6"/>
  <c r="AY131" i="6"/>
  <c r="AV155" i="6"/>
  <c r="AX90" i="6"/>
  <c r="AX33" i="6"/>
  <c r="N126" i="9"/>
  <c r="AV151" i="6"/>
  <c r="AV76" i="6"/>
  <c r="AV196" i="6"/>
  <c r="AY99" i="6"/>
  <c r="AX197" i="6"/>
  <c r="AV40" i="6"/>
  <c r="AX202" i="6"/>
  <c r="AZ51" i="6"/>
  <c r="AX144" i="6"/>
  <c r="AW28" i="6" a="1"/>
  <c r="N120" i="9"/>
  <c r="AV47" i="6"/>
  <c r="AX183" i="6"/>
  <c r="AW75" i="6" a="1"/>
  <c r="AY140" i="6"/>
  <c r="AY174" i="6"/>
  <c r="AX48" i="6"/>
  <c r="AX166" i="6"/>
  <c r="AZ204" i="6"/>
  <c r="AZ205" i="6"/>
  <c r="AY149" i="6"/>
  <c r="AY112" i="6"/>
  <c r="AY144" i="6"/>
  <c r="AX54" i="6"/>
  <c r="AV167" i="6"/>
  <c r="AY85" i="6"/>
  <c r="AZ71" i="6"/>
  <c r="AW32" i="6" a="1"/>
  <c r="AY139" i="6"/>
  <c r="AV68" i="6"/>
  <c r="AW164" i="6" a="1"/>
  <c r="AW26" i="6" a="1"/>
  <c r="N124" i="9"/>
  <c r="AV111" i="6"/>
  <c r="AY122" i="6"/>
  <c r="AV134" i="6"/>
  <c r="AY94" i="6"/>
  <c r="N108" i="9"/>
  <c r="AZ145" i="6"/>
  <c r="N100" i="9"/>
  <c r="AW115" i="6" a="1"/>
  <c r="AV168" i="6"/>
  <c r="AV83" i="6"/>
  <c r="AX149" i="6"/>
  <c r="AY141" i="6"/>
  <c r="AV126" i="6"/>
  <c r="N57" i="9"/>
  <c r="AZ150" i="6"/>
  <c r="AV181" i="6"/>
  <c r="AX95" i="6"/>
  <c r="AZ61" i="6"/>
  <c r="AZ199" i="6"/>
  <c r="AY177" i="6"/>
  <c r="AY62" i="6"/>
  <c r="AV142" i="6"/>
  <c r="AX38" i="6"/>
  <c r="AW47" i="6" a="1"/>
  <c r="AW61" i="6" a="1"/>
  <c r="AX201" i="6"/>
  <c r="AY28" i="6"/>
  <c r="AV133" i="6"/>
  <c r="AX37" i="6"/>
  <c r="AZ198" i="6"/>
  <c r="AV99" i="6"/>
  <c r="AZ73" i="6"/>
  <c r="AZ138" i="6"/>
  <c r="AV124" i="6"/>
  <c r="AV74" i="6"/>
  <c r="N59" i="9"/>
  <c r="AW195" i="6" a="1"/>
  <c r="N79" i="9"/>
  <c r="AZ120" i="6"/>
  <c r="AY145" i="6"/>
  <c r="AY66" i="6"/>
  <c r="AZ74" i="6"/>
  <c r="N63" i="9"/>
  <c r="AX129" i="6"/>
  <c r="N55" i="9"/>
  <c r="AW139" i="6" a="1"/>
  <c r="AZ43" i="6"/>
  <c r="AY108" i="6"/>
  <c r="AY71" i="6"/>
  <c r="AX114" i="6"/>
  <c r="AV61" i="6"/>
  <c r="N68" i="9"/>
  <c r="AW86" i="6" a="1"/>
  <c r="AW101" i="6" a="1"/>
  <c r="AW38" i="6" a="1"/>
  <c r="AV156" i="6"/>
  <c r="AX52" i="6"/>
  <c r="AW162" i="6" a="1"/>
  <c r="AZ39" i="6"/>
  <c r="AZ65" i="6"/>
  <c r="AZ130" i="6"/>
  <c r="AX203" i="6"/>
  <c r="AY69" i="6"/>
  <c r="AZ163" i="6"/>
  <c r="AW33" i="6" a="1"/>
  <c r="AV130" i="6"/>
  <c r="AY135" i="6"/>
  <c r="AW114" i="6" a="1"/>
  <c r="AZ200" i="6"/>
  <c r="AX62" i="6"/>
  <c r="AY121" i="6"/>
  <c r="AZ82" i="6"/>
  <c r="AW188" i="6" a="1"/>
  <c r="AY35" i="6"/>
  <c r="AW78" i="6" a="1"/>
  <c r="AX147" i="6"/>
  <c r="AV95" i="6"/>
  <c r="AY178" i="6"/>
  <c r="AZ137" i="6"/>
  <c r="AV136" i="6"/>
  <c r="AV80" i="6"/>
  <c r="AY59" i="6"/>
  <c r="AW45" i="6" a="1"/>
  <c r="AV97" i="6"/>
  <c r="AY68" i="6"/>
  <c r="N26" i="9"/>
  <c r="AX121" i="6"/>
  <c r="AX22" i="6"/>
  <c r="AV131" i="6"/>
  <c r="AV88" i="6"/>
  <c r="N125" i="9"/>
  <c r="AZ168" i="6"/>
  <c r="N117" i="9"/>
  <c r="AY138" i="6"/>
  <c r="AX141" i="6"/>
  <c r="AY116" i="6"/>
  <c r="AZ84" i="6"/>
  <c r="AX43" i="6"/>
  <c r="AX107" i="6"/>
  <c r="N85" i="9"/>
  <c r="AZ147" i="6"/>
  <c r="AZ118" i="6"/>
  <c r="AX99" i="6"/>
  <c r="AY181" i="6"/>
  <c r="AW168" i="6" a="1"/>
  <c r="AZ151" i="6"/>
  <c r="AW72" i="6" a="1"/>
  <c r="AV162" i="6"/>
  <c r="AW126" i="6" a="1"/>
  <c r="AY166" i="6"/>
  <c r="AY134" i="6"/>
  <c r="AZ190" i="6"/>
  <c r="AZ202" i="6"/>
  <c r="AW90" i="6" a="1"/>
  <c r="AZ157" i="6"/>
  <c r="AX89" i="6"/>
  <c r="AW85" i="6" a="1"/>
  <c r="AV150" i="6"/>
  <c r="AW81" i="6" a="1"/>
  <c r="AZ201" i="6"/>
  <c r="AX97" i="6"/>
  <c r="AV36" i="6"/>
  <c r="AW53" i="6" a="1"/>
  <c r="AY158" i="6"/>
  <c r="AZ115" i="6"/>
  <c r="AY165" i="6"/>
  <c r="AV60" i="6"/>
  <c r="AY197" i="6"/>
  <c r="AZ106" i="6"/>
  <c r="AW148" i="6" a="1"/>
  <c r="AX159" i="6"/>
  <c r="AV93" i="6"/>
  <c r="AZ169" i="6"/>
  <c r="AW105" i="6" a="1"/>
  <c r="AV185" i="6"/>
  <c r="AY196" i="6"/>
  <c r="AW107" i="6" a="1"/>
  <c r="AX176" i="6"/>
  <c r="N135" i="9"/>
  <c r="AZ181" i="6"/>
  <c r="AZ171" i="6"/>
  <c r="AV96" i="6"/>
  <c r="AW55" i="6" a="1"/>
  <c r="AZ52" i="6"/>
  <c r="N137" i="9"/>
  <c r="N88" i="9"/>
  <c r="AY96" i="6"/>
  <c r="AZ92" i="6"/>
  <c r="AY148" i="6"/>
  <c r="AY46" i="6"/>
  <c r="N72" i="9"/>
  <c r="AV148" i="6"/>
  <c r="N64" i="9"/>
  <c r="AX125" i="6"/>
  <c r="AZ68" i="6"/>
  <c r="AW117" i="6" a="1"/>
  <c r="AX67" i="6"/>
  <c r="AX84" i="6"/>
  <c r="AW97" i="6" a="1"/>
  <c r="N32" i="9"/>
  <c r="AZ42" i="6"/>
  <c r="AV81" i="6"/>
  <c r="AX117" i="6"/>
  <c r="N102" i="9"/>
  <c r="AV66" i="6"/>
  <c r="AX120" i="6"/>
  <c r="AW63" i="6" a="1"/>
  <c r="AV174" i="6"/>
  <c r="AZ136" i="6"/>
  <c r="AW27" i="6" a="1"/>
  <c r="AV85" i="6"/>
  <c r="AV166" i="6"/>
  <c r="AW189" i="6" a="1"/>
  <c r="N27" i="9"/>
  <c r="AZ95" i="6"/>
  <c r="AV78" i="6"/>
  <c r="AX104" i="6"/>
  <c r="AZ133" i="6"/>
  <c r="AX27" i="6"/>
  <c r="AW109" i="6" a="1"/>
  <c r="AX23" i="6"/>
  <c r="AV161" i="6"/>
  <c r="AY172" i="6"/>
  <c r="AZ93" i="6"/>
  <c r="AY155" i="6"/>
  <c r="AX82" i="6"/>
  <c r="AW57" i="6" a="1"/>
  <c r="AY34" i="6"/>
  <c r="N118" i="9"/>
  <c r="AW59" i="6" a="1"/>
  <c r="AZ175" i="6"/>
  <c r="AV62" i="6"/>
  <c r="N33" i="9"/>
  <c r="AY105" i="6"/>
  <c r="AV128" i="6"/>
  <c r="AW122" i="6" a="1"/>
  <c r="AW42" i="6" a="1"/>
  <c r="AX80" i="6"/>
  <c r="AV159" i="6"/>
  <c r="AX123" i="6"/>
  <c r="AZ96" i="6"/>
  <c r="AX55" i="6"/>
  <c r="AY185" i="6"/>
  <c r="AX150" i="6"/>
  <c r="N82" i="9"/>
  <c r="AW39" i="6" a="1"/>
  <c r="AW87" i="6" a="1"/>
  <c r="AW135" i="6" a="1"/>
  <c r="AY111" i="6"/>
  <c r="N119" i="9"/>
  <c r="AX35" i="6"/>
  <c r="AZ89" i="6"/>
  <c r="AX58" i="6"/>
  <c r="AV144" i="6"/>
  <c r="AY76" i="6"/>
  <c r="AZ25" i="6"/>
  <c r="AW65" i="6" a="1"/>
  <c r="AY33" i="6"/>
  <c r="AW192" i="6" a="1"/>
  <c r="AW54" i="6" a="1"/>
  <c r="AY61" i="6"/>
  <c r="AX56" i="6"/>
  <c r="AY189" i="6"/>
  <c r="AY75" i="6"/>
  <c r="AV23" i="6"/>
  <c r="N49" i="9"/>
  <c r="AY48" i="6"/>
  <c r="AZ67" i="6"/>
  <c r="AV191" i="6"/>
  <c r="N44" i="9"/>
  <c r="AX152" i="6"/>
  <c r="AY63" i="6"/>
  <c r="AX138" i="6"/>
  <c r="AZ104" i="6"/>
  <c r="AX190" i="6"/>
  <c r="AX163" i="6"/>
  <c r="AW156" i="6" a="1"/>
  <c r="AV179" i="6"/>
  <c r="AZ86" i="6"/>
  <c r="AW112" i="6" a="1"/>
  <c r="AX42" i="6"/>
  <c r="N83" i="9"/>
  <c r="AX112" i="6"/>
  <c r="AZ113" i="6"/>
  <c r="AX132" i="6"/>
  <c r="AX116" i="6"/>
  <c r="AX198" i="6"/>
  <c r="AX93" i="6"/>
  <c r="AZ50" i="6"/>
  <c r="AX140" i="6"/>
  <c r="AX168" i="6"/>
  <c r="AW116" i="6" a="1"/>
  <c r="AZ140" i="6"/>
  <c r="AZ105" i="6"/>
  <c r="AV180" i="6"/>
  <c r="AW152" i="6" a="1"/>
  <c r="AV137" i="6"/>
  <c r="AY57" i="6"/>
  <c r="N132" i="9"/>
  <c r="AZ33" i="6"/>
  <c r="AW163" i="6" a="1"/>
  <c r="AZ66" i="6"/>
  <c r="AX108" i="6"/>
  <c r="AX66" i="6"/>
  <c r="AX205" i="6"/>
  <c r="AW167" i="6" a="1"/>
  <c r="AZ178" i="6"/>
  <c r="AY129" i="6"/>
  <c r="AV165" i="6"/>
  <c r="AW169" i="6" a="1"/>
  <c r="AV132" i="6"/>
  <c r="AV58" i="6"/>
  <c r="AY159" i="6"/>
  <c r="AX29" i="6"/>
  <c r="N60" i="9"/>
  <c r="AW40" i="6" a="1"/>
  <c r="AX69" i="6"/>
  <c r="AX164" i="6"/>
  <c r="N61" i="9"/>
  <c r="AW200" i="6" a="1"/>
  <c r="AZ88" i="6"/>
  <c r="AY38" i="6"/>
  <c r="N86" i="9"/>
  <c r="AW157" i="6" a="1"/>
  <c r="AW120" i="6" a="1"/>
  <c r="AZ195" i="6"/>
  <c r="AX158" i="6"/>
  <c r="AV57" i="6"/>
  <c r="AV117" i="6"/>
  <c r="AV72" i="6"/>
  <c r="AZ31" i="6"/>
  <c r="AX134" i="6"/>
  <c r="AY199" i="6"/>
  <c r="AX139" i="6"/>
  <c r="AW22" i="6" a="1"/>
  <c r="AX195" i="6"/>
  <c r="AX81" i="6"/>
  <c r="AY175" i="6"/>
  <c r="AX65" i="6"/>
  <c r="AW179" i="6" a="1"/>
  <c r="AV149" i="6"/>
  <c r="AX167" i="6"/>
  <c r="AZ186" i="6"/>
  <c r="AX100" i="6"/>
  <c r="N121" i="9"/>
  <c r="N127" i="9"/>
  <c r="AW30" i="6" a="1"/>
  <c r="AW76" i="6" a="1"/>
  <c r="AX155" i="6"/>
  <c r="AX124" i="6"/>
  <c r="AW64" i="6" a="1"/>
  <c r="AY187" i="6"/>
  <c r="AZ127" i="6"/>
  <c r="AX101" i="6"/>
  <c r="AY180" i="6"/>
  <c r="AX39" i="6"/>
  <c r="AY206" i="6"/>
  <c r="AY83" i="6"/>
  <c r="AV139" i="6"/>
  <c r="AZ193" i="6"/>
  <c r="AW140" i="6" a="1"/>
  <c r="N77" i="9"/>
  <c r="AZ112" i="6"/>
  <c r="AY64" i="6"/>
  <c r="AZ132" i="6"/>
  <c r="AX34" i="6"/>
  <c r="AW205" i="6" a="1"/>
  <c r="N94" i="9"/>
  <c r="AX145" i="6"/>
  <c r="N28" i="9"/>
  <c r="AV94" i="6"/>
  <c r="AV140" i="6"/>
  <c r="AW69" i="6" a="1"/>
  <c r="AX46" i="6"/>
  <c r="AX192" i="6"/>
  <c r="AV141" i="6"/>
  <c r="AW58" i="6" a="1"/>
  <c r="AX32" i="6"/>
  <c r="AZ162" i="6"/>
  <c r="AX133" i="6"/>
  <c r="AW197" i="6" a="1"/>
  <c r="AX174" i="6"/>
  <c r="AY77" i="6"/>
  <c r="AY143" i="6"/>
  <c r="AV73" i="6"/>
  <c r="AX110" i="6"/>
  <c r="AW108" i="6" a="1"/>
  <c r="AV54" i="6"/>
  <c r="AV24" i="6"/>
  <c r="AW46" i="6" a="1"/>
  <c r="AZ166" i="6"/>
  <c r="AX87" i="6"/>
  <c r="AW137" i="6" a="1"/>
  <c r="AW133" i="6" a="1"/>
  <c r="AW93" i="6" a="1"/>
  <c r="AY156" i="6"/>
  <c r="AW176" i="6" a="1"/>
  <c r="AW142" i="6" a="1"/>
  <c r="AZ111" i="6"/>
  <c r="AW206" i="6" a="1"/>
  <c r="AX131" i="6"/>
  <c r="AZ99" i="6"/>
  <c r="AV121" i="6"/>
  <c r="AV202" i="6"/>
  <c r="N24" i="9"/>
  <c r="AW150" i="6" a="1"/>
  <c r="AZ128" i="6"/>
  <c r="AY45" i="6"/>
  <c r="AZ28" i="6"/>
  <c r="AW110" i="6" a="1"/>
  <c r="N25" i="9"/>
  <c r="AW95" i="6" a="1"/>
  <c r="N122" i="9"/>
  <c r="AV186" i="6"/>
  <c r="AY128" i="6"/>
  <c r="AY114" i="6"/>
  <c r="AV38" i="6"/>
  <c r="AY107" i="6"/>
  <c r="AW127" i="6" a="1"/>
  <c r="AV92" i="6"/>
  <c r="N105" i="9"/>
  <c r="AW174" i="6" a="1"/>
  <c r="AW74" i="6" a="1"/>
  <c r="AW92" i="6" a="1"/>
  <c r="AW67" i="6" a="1"/>
  <c r="AX88" i="6"/>
  <c r="AZ47" i="6"/>
  <c r="AW91" i="6" a="1"/>
  <c r="AW89" i="6" a="1"/>
  <c r="AZ97" i="6"/>
  <c r="AZ155" i="6"/>
  <c r="AW66" i="6" a="1"/>
  <c r="AZ203" i="6"/>
  <c r="AY30" i="6"/>
  <c r="AV116" i="6"/>
  <c r="AX151" i="6"/>
  <c r="AY200" i="6"/>
  <c r="AV29" i="6"/>
  <c r="AW154" i="6" a="1"/>
  <c r="N36" i="9"/>
  <c r="AX60" i="6"/>
  <c r="N45" i="9"/>
  <c r="AW160" i="6" a="1"/>
  <c r="AV109" i="6"/>
  <c r="AW196" i="6" a="1"/>
  <c r="AW37" i="6" a="1"/>
  <c r="N38" i="9"/>
  <c r="AZ141" i="6"/>
  <c r="AY113" i="6"/>
  <c r="AX47" i="6"/>
  <c r="N74" i="9"/>
  <c r="AW41" i="6" a="1"/>
  <c r="AZ197" i="6"/>
  <c r="AZ179" i="6"/>
  <c r="AZ59" i="6"/>
  <c r="AV91" i="6"/>
  <c r="AX157" i="6"/>
  <c r="AX118" i="6"/>
  <c r="AX103" i="6"/>
  <c r="N87" i="9"/>
  <c r="AW155" i="6" a="1"/>
  <c r="AY162" i="6"/>
  <c r="AZ22" i="6"/>
  <c r="N116" i="9"/>
  <c r="AW193" i="6" a="1"/>
  <c r="AX98" i="6"/>
  <c r="AY176" i="6"/>
  <c r="AW132" i="6" a="1"/>
  <c r="AY37" i="6"/>
  <c r="AV200" i="6"/>
  <c r="AZ100" i="6"/>
  <c r="AW202" i="6" a="1"/>
  <c r="AY142" i="6"/>
  <c r="AX92" i="6"/>
  <c r="AZ135" i="6"/>
  <c r="AV82" i="6"/>
  <c r="AZ36" i="6"/>
  <c r="AZ64" i="6"/>
  <c r="AV172" i="6"/>
  <c r="AY191" i="6"/>
  <c r="AZ116" i="6"/>
  <c r="AY123" i="6"/>
  <c r="N130" i="9"/>
  <c r="AX154" i="6"/>
  <c r="N123" i="9"/>
  <c r="AY184" i="6"/>
  <c r="AZ152" i="6"/>
  <c r="AV41" i="6"/>
  <c r="AW143" i="6" a="1"/>
  <c r="N98" i="9"/>
  <c r="AY182" i="6"/>
  <c r="AV182" i="6"/>
  <c r="AY160" i="6"/>
  <c r="N136" i="9"/>
  <c r="AZ129" i="6"/>
  <c r="AZ45" i="6"/>
  <c r="AY95" i="6"/>
  <c r="AX59" i="6"/>
  <c r="AV197" i="6"/>
  <c r="AZ180" i="6"/>
  <c r="AY204" i="6"/>
  <c r="AY49" i="6"/>
  <c r="N34" i="9"/>
  <c r="AW113" i="6" a="1"/>
  <c r="AZ159" i="6"/>
  <c r="AV87" i="6"/>
  <c r="AW204" i="6" a="1"/>
  <c r="AV122" i="6"/>
  <c r="AX128" i="6"/>
  <c r="N129" i="9"/>
  <c r="AW51" i="6" a="1"/>
  <c r="N43" i="9"/>
  <c r="AY179" i="6"/>
  <c r="AZ131" i="6"/>
  <c r="N71" i="9"/>
  <c r="AZ75" i="6"/>
  <c r="AY127" i="6"/>
  <c r="AV37" i="6"/>
  <c r="AV67" i="6"/>
  <c r="AX160" i="6"/>
  <c r="AV123" i="6"/>
  <c r="AW130" i="6" a="1"/>
  <c r="N73" i="9"/>
  <c r="AW149" i="6" a="1"/>
  <c r="AZ189" i="6"/>
  <c r="AV171" i="6"/>
  <c r="AV65" i="6"/>
  <c r="AX25" i="6"/>
  <c r="AV84" i="6"/>
  <c r="AW100" i="6" a="1"/>
  <c r="AY60" i="6"/>
  <c r="AV110" i="6"/>
  <c r="AW181" i="6" a="1"/>
  <c r="N53" i="9"/>
  <c r="AX79" i="6"/>
  <c r="AX26" i="6"/>
  <c r="N78" i="9"/>
  <c r="AZ37" i="6"/>
  <c r="AY117" i="6"/>
  <c r="AX74" i="6"/>
  <c r="N99" i="9"/>
  <c r="AW138" i="6" a="1"/>
  <c r="AW71" i="6" a="1"/>
  <c r="AY97" i="6"/>
  <c r="N75" i="9"/>
  <c r="AZ77" i="6"/>
  <c r="N96" i="9"/>
  <c r="AY124" i="6"/>
  <c r="AX179" i="6"/>
  <c r="AW56" i="6" a="1"/>
  <c r="N133" i="9"/>
  <c r="AW177" i="6" a="1"/>
  <c r="AV63" i="6"/>
  <c r="AY205" i="6"/>
  <c r="AW183" i="6" a="1"/>
  <c r="AZ53" i="6"/>
  <c r="AW194" i="6" a="1"/>
  <c r="AX196" i="6"/>
  <c r="N84" i="9"/>
  <c r="AX148" i="6"/>
  <c r="AZ49" i="6"/>
  <c r="AV143" i="6"/>
  <c r="AX96" i="6"/>
  <c r="AZ107" i="6"/>
  <c r="AV147" i="6"/>
  <c r="AV112" i="6"/>
  <c r="AX194" i="6"/>
  <c r="AZ164" i="6"/>
  <c r="AX71" i="6"/>
  <c r="N131" i="9"/>
  <c r="AZ185" i="6"/>
  <c r="AY36" i="6"/>
  <c r="N114" i="9"/>
  <c r="AX113" i="6"/>
  <c r="AX136" i="6"/>
  <c r="AW50" i="6" a="1"/>
  <c r="AV26" i="6"/>
  <c r="AV100" i="6"/>
  <c r="AY137" i="6"/>
  <c r="AX156" i="6"/>
  <c r="AZ27" i="6"/>
  <c r="AY120" i="6"/>
  <c r="AY40" i="6"/>
  <c r="AY39" i="6"/>
  <c r="AW180" i="6" a="1"/>
  <c r="AY86" i="6"/>
  <c r="AZ194" i="6"/>
  <c r="N95" i="9"/>
  <c r="AY132" i="6"/>
  <c r="N35" i="9"/>
  <c r="AV192" i="6"/>
  <c r="AV205" i="6"/>
  <c r="AY147" i="6"/>
  <c r="AX186" i="6"/>
  <c r="AX28" i="6"/>
  <c r="AW82" i="6" a="1"/>
  <c r="AZ91" i="6"/>
  <c r="AY23" i="6"/>
  <c r="AY118" i="6"/>
  <c r="AW52" i="6" a="1"/>
  <c r="N80" i="9"/>
  <c r="AV154" i="6"/>
  <c r="AY168" i="6"/>
  <c r="AW111" i="6" a="1"/>
  <c r="AY72" i="6"/>
  <c r="AY202" i="6"/>
  <c r="AV42" i="6"/>
  <c r="AY67" i="6"/>
  <c r="N39" i="9"/>
  <c r="AX41" i="6"/>
  <c r="AX105" i="6"/>
  <c r="AZ48" i="6"/>
  <c r="AX180" i="6"/>
  <c r="AY53" i="6"/>
  <c r="AY100" i="6"/>
  <c r="N110" i="9"/>
  <c r="AZ108" i="6"/>
  <c r="AV45" i="6"/>
  <c r="AY88" i="6"/>
  <c r="AX30" i="6"/>
  <c r="AY130" i="6"/>
  <c r="AW25" i="6" a="1"/>
  <c r="N37" i="9"/>
  <c r="AV51" i="6"/>
  <c r="AV75" i="6"/>
  <c r="AW68" i="6" a="1"/>
  <c r="AY24" i="6"/>
  <c r="AY74" i="6"/>
  <c r="AW187" i="6" a="1"/>
  <c r="AV64" i="6"/>
  <c r="AZ176" i="6"/>
  <c r="AX109" i="6"/>
  <c r="AW182" i="6" a="1"/>
  <c r="AZ70" i="6"/>
  <c r="AX178" i="6"/>
  <c r="AZ117" i="6"/>
  <c r="AX31" i="6"/>
  <c r="AY183" i="6"/>
  <c r="AY163" i="6"/>
  <c r="AX193" i="6"/>
  <c r="AV204" i="6"/>
  <c r="AY50" i="6"/>
  <c r="AX106" i="6"/>
  <c r="AX170" i="6"/>
  <c r="N101" i="9"/>
  <c r="AV114" i="6"/>
  <c r="AZ143" i="6"/>
  <c r="AV201" i="6"/>
  <c r="AV46" i="6"/>
  <c r="AZ40" i="6"/>
  <c r="AV119" i="6"/>
  <c r="N41" i="9"/>
  <c r="AY153" i="6"/>
  <c r="AZ154" i="6"/>
  <c r="AY126" i="6"/>
  <c r="AZ24" i="6"/>
  <c r="AV113" i="6"/>
  <c r="AZ206" i="6"/>
  <c r="N115" i="9"/>
  <c r="AY146" i="6"/>
  <c r="AX70" i="6"/>
  <c r="AV157" i="6"/>
  <c r="AW24" i="6" a="1"/>
  <c r="AY203" i="6"/>
  <c r="AZ122" i="6"/>
  <c r="AZ149" i="6"/>
  <c r="AW178" i="6" a="1"/>
  <c r="AZ121" i="6"/>
  <c r="AX44" i="6"/>
  <c r="AW103" i="6" a="1"/>
  <c r="AX40" i="6"/>
  <c r="AZ29" i="6"/>
  <c r="AY110" i="6"/>
  <c r="AX85" i="6"/>
  <c r="AW151" i="6" a="1"/>
  <c r="AV163" i="6"/>
  <c r="AZ174" i="6"/>
  <c r="N46" i="9"/>
  <c r="AY56" i="6"/>
  <c r="N48" i="9"/>
  <c r="AZ161" i="6"/>
  <c r="N134" i="9"/>
  <c r="AV198" i="6"/>
  <c r="AX77" i="6"/>
  <c r="AV173" i="6"/>
  <c r="AW201" i="6" a="1"/>
  <c r="N52" i="9"/>
  <c r="AY89" i="6"/>
  <c r="AX83" i="6"/>
  <c r="AX57" i="6"/>
  <c r="AV25" i="6"/>
  <c r="AV102" i="6"/>
  <c r="AW125" i="6" a="1"/>
  <c r="AV34" i="6"/>
  <c r="AV170" i="6"/>
  <c r="AX185" i="6"/>
  <c r="AW131" i="6" a="1"/>
  <c r="AX50" i="6"/>
  <c r="AY92" i="6"/>
  <c r="AX165" i="6"/>
  <c r="AZ110" i="6"/>
  <c r="AV183" i="6"/>
  <c r="N66" i="9"/>
  <c r="AY161" i="6"/>
  <c r="AZ188" i="6"/>
  <c r="AV79" i="6"/>
  <c r="AW34" i="6" a="1"/>
  <c r="AY103" i="6"/>
  <c r="AX49" i="6"/>
  <c r="AZ191" i="6"/>
  <c r="AV178" i="6"/>
  <c r="AZ38" i="6"/>
  <c r="N81" i="9"/>
  <c r="AV138" i="6"/>
  <c r="AZ30" i="6"/>
  <c r="AW44" i="6" a="1"/>
  <c r="N65" i="9"/>
  <c r="AY102" i="6"/>
  <c r="AX181" i="6"/>
  <c r="AY101" i="6"/>
  <c r="AY98" i="6"/>
  <c r="N69" i="9"/>
  <c r="AX102" i="6"/>
  <c r="AX76" i="6"/>
  <c r="AX137" i="6"/>
  <c r="AV101" i="6"/>
  <c r="AZ57" i="6"/>
  <c r="AZ139" i="6"/>
  <c r="AY32" i="6"/>
  <c r="AY91" i="6"/>
  <c r="AY169" i="6"/>
  <c r="AZ126" i="6"/>
  <c r="AZ85" i="6"/>
  <c r="AX161" i="6"/>
  <c r="AV184" i="6"/>
  <c r="AX146" i="6"/>
  <c r="AW62" i="6" a="1"/>
  <c r="N128" i="9"/>
  <c r="AW199" i="6" a="1"/>
  <c r="AV129" i="6"/>
  <c r="AZ55" i="6"/>
  <c r="N50" i="9"/>
  <c r="AX162" i="6"/>
  <c r="AY27" i="6"/>
  <c r="AZ44" i="6"/>
  <c r="AZ156" i="6"/>
  <c r="AX63" i="6"/>
  <c r="N112" i="9"/>
  <c r="AW88" i="6" a="1"/>
  <c r="AX122" i="6"/>
  <c r="AV177" i="6"/>
  <c r="AZ23" i="6"/>
  <c r="AZ144" i="6"/>
  <c r="AX53" i="6"/>
  <c r="AW35" i="6" a="1"/>
  <c r="AW119" i="6" a="1"/>
  <c r="AW106" i="6" a="1"/>
  <c r="AZ60" i="6"/>
  <c r="AW84" i="6" a="1"/>
  <c r="AY104" i="6"/>
  <c r="AW159" i="6" a="1"/>
  <c r="AY188" i="6"/>
  <c r="AV135" i="6"/>
  <c r="N92" i="9"/>
  <c r="AZ184" i="6"/>
  <c r="AV31" i="6"/>
  <c r="AW170" i="6" a="1"/>
  <c r="N76" i="9"/>
  <c r="AW190" i="6" a="1"/>
  <c r="AZ72" i="6"/>
  <c r="AY78" i="6"/>
  <c r="AX78" i="6"/>
  <c r="AY26" i="6"/>
  <c r="AX119" i="6"/>
  <c r="AX206" i="6"/>
  <c r="AZ54" i="6"/>
  <c r="AW145" i="6" a="1"/>
  <c r="AY133" i="6"/>
  <c r="AX175" i="6"/>
  <c r="AW29" i="6" a="1"/>
  <c r="AY55" i="6"/>
  <c r="AW48" i="6" a="1"/>
  <c r="AV22" i="6"/>
  <c r="AV158" i="6"/>
  <c r="AW144" i="6" a="1"/>
  <c r="AY42" i="6"/>
  <c r="AY194" i="6"/>
  <c r="AX199" i="6"/>
  <c r="N67" i="9"/>
  <c r="AY90" i="6"/>
  <c r="AW83" i="6" a="1"/>
  <c r="AX142" i="6"/>
  <c r="AW203" i="6" a="1"/>
  <c r="AV28" i="6"/>
  <c r="AV90" i="6"/>
  <c r="AY198" i="6"/>
  <c r="AX200" i="6"/>
  <c r="AW104" i="6" a="1"/>
  <c r="AX130" i="6"/>
  <c r="AV187" i="6"/>
  <c r="AY170" i="6"/>
  <c r="AV44" i="6"/>
  <c r="AZ79" i="6"/>
  <c r="AZ177" i="6"/>
  <c r="AZ101" i="6"/>
  <c r="AY82" i="6"/>
  <c r="N47" i="9"/>
  <c r="AZ187" i="6"/>
  <c r="AY25" i="6"/>
  <c r="AW96" i="6" a="1"/>
  <c r="N31" i="9"/>
  <c r="AZ160" i="6"/>
  <c r="AY81" i="6"/>
  <c r="AZ87" i="6"/>
  <c r="AX61" i="6"/>
  <c r="AZ32" i="6"/>
  <c r="AZ90" i="6"/>
  <c r="AV146" i="6"/>
  <c r="AW185" i="6" a="1"/>
  <c r="AY51" i="6"/>
  <c r="AY79" i="6"/>
  <c r="AZ196" i="6"/>
  <c r="AZ58" i="6"/>
  <c r="AY151" i="6"/>
  <c r="AZ78" i="6"/>
  <c r="AW165" i="6" a="1"/>
  <c r="AX191" i="6"/>
  <c r="N30" i="9"/>
  <c r="AW186" i="6" a="1"/>
  <c r="AX64" i="6"/>
  <c r="N51" i="9"/>
  <c r="AW172" i="6" a="1"/>
  <c r="AY115" i="6"/>
  <c r="AZ69" i="6"/>
  <c r="AZ109" i="6"/>
  <c r="AV89" i="6"/>
  <c r="AY167" i="6"/>
  <c r="AX172" i="6"/>
  <c r="AV56" i="6"/>
  <c r="N109" i="9"/>
  <c r="AV145" i="6"/>
  <c r="AY87" i="6"/>
  <c r="AW134" i="6" a="1"/>
  <c r="N93" i="9"/>
  <c r="AV104" i="6"/>
  <c r="AV193" i="6"/>
  <c r="AY119" i="6"/>
  <c r="AY52" i="6"/>
  <c r="AV33" i="6"/>
  <c r="AV59" i="6"/>
  <c r="AX45" i="6"/>
  <c r="AV98" i="6"/>
  <c r="AZ183" i="6"/>
  <c r="AX135" i="6"/>
  <c r="AY173" i="6"/>
  <c r="AV107" i="6"/>
  <c r="AZ170" i="6"/>
  <c r="N70" i="9"/>
  <c r="AZ103" i="6"/>
  <c r="AY84" i="6"/>
  <c r="N90" i="9"/>
  <c r="AY164" i="6"/>
  <c r="AZ56" i="6"/>
  <c r="AV49" i="6"/>
  <c r="AX24" i="6"/>
  <c r="AX143" i="6"/>
  <c r="AV206" i="6"/>
  <c r="AZ102" i="6"/>
  <c r="AY31" i="6"/>
  <c r="AV115" i="6"/>
  <c r="AZ80" i="6"/>
  <c r="AV160" i="6"/>
  <c r="AY73" i="6"/>
  <c r="AX75" i="6"/>
  <c r="N104" i="9"/>
  <c r="N103" i="9"/>
  <c r="AZ76" i="6"/>
  <c r="AZ165" i="6"/>
  <c r="AW124" i="6" a="1"/>
  <c r="AY41" i="6"/>
  <c r="AW129" i="6" a="1"/>
  <c r="AW77" i="6" a="1"/>
  <c r="AW191" i="6" a="1"/>
  <c r="AY93" i="6"/>
  <c r="AV105" i="6"/>
  <c r="N56" i="9"/>
  <c r="AV188" i="6"/>
  <c r="AX187" i="6"/>
  <c r="AW80" i="6" a="1"/>
  <c r="N40" i="9"/>
  <c r="AZ142" i="6"/>
  <c r="AY154" i="6"/>
  <c r="AX184" i="6"/>
  <c r="AY201" i="6"/>
  <c r="AX189" i="6"/>
  <c r="AZ81" i="6"/>
  <c r="AW43" i="6" a="1"/>
  <c r="AW173" i="6" a="1"/>
  <c r="AW98" i="6" a="1"/>
  <c r="AW128" i="6" a="1"/>
  <c r="AX153" i="6"/>
  <c r="AW146" i="6" a="1"/>
  <c r="AZ173" i="6"/>
  <c r="N106" i="9"/>
  <c r="AZ98" i="6"/>
  <c r="AX173" i="6"/>
  <c r="N91" i="9"/>
  <c r="AV77" i="6"/>
  <c r="AZ153" i="6"/>
  <c r="AW73" i="6" a="1"/>
  <c r="AW23" i="6" a="1"/>
  <c r="AV152" i="6"/>
  <c r="AY195" i="6"/>
  <c r="AX127" i="6"/>
  <c r="AV32" i="6"/>
  <c r="AX171" i="6"/>
  <c r="AZ83" i="6"/>
  <c r="AW123" i="6" a="1"/>
  <c r="AV103" i="6"/>
  <c r="AY150" i="6"/>
  <c r="AX72" i="6"/>
  <c r="AW36" i="6" a="1"/>
  <c r="AW34" i="6" l="1"/>
  <c r="BA34" i="6" s="1"/>
  <c r="AW30" i="6"/>
  <c r="BA30" i="6" s="1"/>
  <c r="AW26" i="6"/>
  <c r="BA26" i="6" s="1"/>
  <c r="AW35" i="6"/>
  <c r="BA35" i="6" s="1"/>
  <c r="AW31" i="6"/>
  <c r="BA31" i="6" s="1"/>
  <c r="AW27" i="6"/>
  <c r="BA27" i="6" s="1"/>
  <c r="AW23" i="6"/>
  <c r="BA23" i="6" s="1"/>
  <c r="AW36" i="6"/>
  <c r="BA36" i="6" s="1"/>
  <c r="AW32" i="6"/>
  <c r="BA32" i="6" s="1"/>
  <c r="AW28" i="6"/>
  <c r="BA28" i="6" s="1"/>
  <c r="AW24" i="6"/>
  <c r="BA24" i="6" s="1"/>
  <c r="AW33" i="6"/>
  <c r="BA33" i="6" s="1"/>
  <c r="AW29" i="6"/>
  <c r="BA29" i="6" s="1"/>
  <c r="AW25" i="6"/>
  <c r="BA25" i="6" s="1"/>
  <c r="AW204" i="6"/>
  <c r="BA204" i="6" s="1"/>
  <c r="AW200" i="6"/>
  <c r="BA200" i="6" s="1"/>
  <c r="AW196" i="6"/>
  <c r="BA196" i="6" s="1"/>
  <c r="AW192" i="6"/>
  <c r="BA192" i="6" s="1"/>
  <c r="AW205" i="6"/>
  <c r="BA205" i="6" s="1"/>
  <c r="AW201" i="6"/>
  <c r="BA201" i="6" s="1"/>
  <c r="AW197" i="6"/>
  <c r="BA197" i="6" s="1"/>
  <c r="AW193" i="6"/>
  <c r="BA193" i="6" s="1"/>
  <c r="AW206" i="6"/>
  <c r="BA206" i="6" s="1"/>
  <c r="AW202" i="6"/>
  <c r="BA202" i="6" s="1"/>
  <c r="AW198" i="6"/>
  <c r="BA198" i="6" s="1"/>
  <c r="AW194" i="6"/>
  <c r="BA194" i="6" s="1"/>
  <c r="AW203" i="6"/>
  <c r="BA203" i="6" s="1"/>
  <c r="AW199" i="6"/>
  <c r="BA199" i="6" s="1"/>
  <c r="AW195" i="6"/>
  <c r="BA195" i="6" s="1"/>
  <c r="AW175" i="6"/>
  <c r="BA175" i="6" s="1"/>
  <c r="AW171" i="6"/>
  <c r="BA171" i="6" s="1"/>
  <c r="AW167" i="6"/>
  <c r="BA167" i="6" s="1"/>
  <c r="AW163" i="6"/>
  <c r="BA163" i="6" s="1"/>
  <c r="AW181" i="6"/>
  <c r="BA181" i="6" s="1"/>
  <c r="AW191" i="6"/>
  <c r="BA191" i="6" s="1"/>
  <c r="AW190" i="6"/>
  <c r="BA190" i="6" s="1"/>
  <c r="AW179" i="6"/>
  <c r="BA179" i="6" s="1"/>
  <c r="AW176" i="6"/>
  <c r="BA176" i="6" s="1"/>
  <c r="AW187" i="6"/>
  <c r="BA187" i="6" s="1"/>
  <c r="AW186" i="6"/>
  <c r="BA186" i="6" s="1"/>
  <c r="AW185" i="6"/>
  <c r="BA185" i="6" s="1"/>
  <c r="AW188" i="6"/>
  <c r="BA188" i="6" s="1"/>
  <c r="AW177" i="6"/>
  <c r="BA177" i="6" s="1"/>
  <c r="AW184" i="6"/>
  <c r="BA184" i="6" s="1"/>
  <c r="AW180" i="6"/>
  <c r="BA180" i="6" s="1"/>
  <c r="AW183" i="6"/>
  <c r="BA183" i="6" s="1"/>
  <c r="AW174" i="6"/>
  <c r="BA174" i="6" s="1"/>
  <c r="AW170" i="6"/>
  <c r="BA170" i="6" s="1"/>
  <c r="AW166" i="6"/>
  <c r="BA166" i="6" s="1"/>
  <c r="AW189" i="6"/>
  <c r="BA189" i="6" s="1"/>
  <c r="AW182" i="6"/>
  <c r="BA182" i="6" s="1"/>
  <c r="AW178" i="6"/>
  <c r="BA178" i="6" s="1"/>
  <c r="AW168" i="6"/>
  <c r="BA168" i="6" s="1"/>
  <c r="AW158" i="6"/>
  <c r="BA158" i="6" s="1"/>
  <c r="AW154" i="6"/>
  <c r="BA154" i="6" s="1"/>
  <c r="AW150" i="6"/>
  <c r="BA150" i="6" s="1"/>
  <c r="AW146" i="6"/>
  <c r="BA146" i="6" s="1"/>
  <c r="AW165" i="6"/>
  <c r="BA165" i="6" s="1"/>
  <c r="AW172" i="6"/>
  <c r="BA172" i="6" s="1"/>
  <c r="AW162" i="6"/>
  <c r="BA162" i="6" s="1"/>
  <c r="AW159" i="6"/>
  <c r="BA159" i="6" s="1"/>
  <c r="AW155" i="6"/>
  <c r="BA155" i="6" s="1"/>
  <c r="AW151" i="6"/>
  <c r="BA151" i="6" s="1"/>
  <c r="AW164" i="6"/>
  <c r="BA164" i="6" s="1"/>
  <c r="AW173" i="6"/>
  <c r="BA173" i="6" s="1"/>
  <c r="AW160" i="6"/>
  <c r="BA160" i="6" s="1"/>
  <c r="AW156" i="6"/>
  <c r="BA156" i="6" s="1"/>
  <c r="AW152" i="6"/>
  <c r="BA152" i="6" s="1"/>
  <c r="AW148" i="6"/>
  <c r="BA148" i="6" s="1"/>
  <c r="AW144" i="6"/>
  <c r="BA144" i="6" s="1"/>
  <c r="AW169" i="6"/>
  <c r="BA169" i="6" s="1"/>
  <c r="AW157" i="6"/>
  <c r="BA157" i="6" s="1"/>
  <c r="AW153" i="6"/>
  <c r="BA153" i="6" s="1"/>
  <c r="AW149" i="6"/>
  <c r="BA149" i="6" s="1"/>
  <c r="AW161" i="6"/>
  <c r="BA161" i="6" s="1"/>
  <c r="AW137" i="6"/>
  <c r="BA137" i="6" s="1"/>
  <c r="AW133" i="6"/>
  <c r="BA133" i="6" s="1"/>
  <c r="AW129" i="6"/>
  <c r="BA129" i="6" s="1"/>
  <c r="AW125" i="6"/>
  <c r="BA125" i="6" s="1"/>
  <c r="AW121" i="6"/>
  <c r="BA121" i="6" s="1"/>
  <c r="AW140" i="6"/>
  <c r="BA140" i="6" s="1"/>
  <c r="AW134" i="6"/>
  <c r="BA134" i="6" s="1"/>
  <c r="AW130" i="6"/>
  <c r="BA130" i="6" s="1"/>
  <c r="AW138" i="6"/>
  <c r="BA138" i="6" s="1"/>
  <c r="AW145" i="6"/>
  <c r="BA145" i="6" s="1"/>
  <c r="AW147" i="6"/>
  <c r="BA147" i="6" s="1"/>
  <c r="AW135" i="6"/>
  <c r="BA135" i="6" s="1"/>
  <c r="AW131" i="6"/>
  <c r="BA131" i="6" s="1"/>
  <c r="AW127" i="6"/>
  <c r="BA127" i="6" s="1"/>
  <c r="AW123" i="6"/>
  <c r="BA123" i="6" s="1"/>
  <c r="AW142" i="6"/>
  <c r="BA142" i="6" s="1"/>
  <c r="AW139" i="6"/>
  <c r="BA139" i="6" s="1"/>
  <c r="AW136" i="6"/>
  <c r="BA136" i="6" s="1"/>
  <c r="AW132" i="6"/>
  <c r="BA132" i="6" s="1"/>
  <c r="AW128" i="6"/>
  <c r="BA128" i="6" s="1"/>
  <c r="AW124" i="6"/>
  <c r="BA124" i="6" s="1"/>
  <c r="AW143" i="6"/>
  <c r="BA143" i="6" s="1"/>
  <c r="AW141" i="6"/>
  <c r="BA141" i="6" s="1"/>
  <c r="AW112" i="6"/>
  <c r="BA112" i="6" s="1"/>
  <c r="AW108" i="6"/>
  <c r="BA108" i="6" s="1"/>
  <c r="AW104" i="6"/>
  <c r="BA104" i="6" s="1"/>
  <c r="AW100" i="6"/>
  <c r="BA100" i="6" s="1"/>
  <c r="AW96" i="6"/>
  <c r="BA96" i="6" s="1"/>
  <c r="AW92" i="6"/>
  <c r="BA92" i="6" s="1"/>
  <c r="AW116" i="6"/>
  <c r="BA116" i="6" s="1"/>
  <c r="AW118" i="6"/>
  <c r="BA118" i="6" s="1"/>
  <c r="AW119" i="6"/>
  <c r="BA119" i="6" s="1"/>
  <c r="AW126" i="6"/>
  <c r="BA126" i="6" s="1"/>
  <c r="AW113" i="6"/>
  <c r="BA113" i="6" s="1"/>
  <c r="AW109" i="6"/>
  <c r="BA109" i="6" s="1"/>
  <c r="AW105" i="6"/>
  <c r="BA105" i="6" s="1"/>
  <c r="AW101" i="6"/>
  <c r="BA101" i="6" s="1"/>
  <c r="AW114" i="6"/>
  <c r="BA114" i="6" s="1"/>
  <c r="AW110" i="6"/>
  <c r="BA110" i="6" s="1"/>
  <c r="AW106" i="6"/>
  <c r="BA106" i="6" s="1"/>
  <c r="AW102" i="6"/>
  <c r="BA102" i="6" s="1"/>
  <c r="AW98" i="6"/>
  <c r="BA98" i="6" s="1"/>
  <c r="AW94" i="6"/>
  <c r="BA94" i="6" s="1"/>
  <c r="AW117" i="6"/>
  <c r="BA117" i="6" s="1"/>
  <c r="AW115" i="6"/>
  <c r="BA115" i="6" s="1"/>
  <c r="AW111" i="6"/>
  <c r="BA111" i="6" s="1"/>
  <c r="AW107" i="6"/>
  <c r="BA107" i="6" s="1"/>
  <c r="AW120" i="6"/>
  <c r="BA120" i="6" s="1"/>
  <c r="AW122" i="6"/>
  <c r="BA122" i="6" s="1"/>
  <c r="AW88" i="6"/>
  <c r="BA88" i="6" s="1"/>
  <c r="AW84" i="6"/>
  <c r="BA84" i="6" s="1"/>
  <c r="AW80" i="6"/>
  <c r="BA80" i="6" s="1"/>
  <c r="AW89" i="6"/>
  <c r="BA89" i="6" s="1"/>
  <c r="AW85" i="6"/>
  <c r="BA85" i="6" s="1"/>
  <c r="AW95" i="6"/>
  <c r="BA95" i="6" s="1"/>
  <c r="AW103" i="6"/>
  <c r="BA103" i="6" s="1"/>
  <c r="AW90" i="6"/>
  <c r="BA90" i="6" s="1"/>
  <c r="AW86" i="6"/>
  <c r="BA86" i="6" s="1"/>
  <c r="AW82" i="6"/>
  <c r="BA82" i="6" s="1"/>
  <c r="AW99" i="6"/>
  <c r="BA99" i="6" s="1"/>
  <c r="AW93" i="6"/>
  <c r="BA93" i="6" s="1"/>
  <c r="AW91" i="6"/>
  <c r="BA91" i="6" s="1"/>
  <c r="AW87" i="6"/>
  <c r="BA87" i="6" s="1"/>
  <c r="AW83" i="6"/>
  <c r="BA83" i="6" s="1"/>
  <c r="AW79" i="6"/>
  <c r="BA79" i="6" s="1"/>
  <c r="AW97" i="6"/>
  <c r="BA97" i="6" s="1"/>
  <c r="AW67" i="6"/>
  <c r="BA67" i="6" s="1"/>
  <c r="AW63" i="6"/>
  <c r="BA63" i="6" s="1"/>
  <c r="AW59" i="6"/>
  <c r="BA59" i="6" s="1"/>
  <c r="AW73" i="6"/>
  <c r="BA73" i="6" s="1"/>
  <c r="AW81" i="6"/>
  <c r="BA81" i="6" s="1"/>
  <c r="AW71" i="6"/>
  <c r="BA71" i="6" s="1"/>
  <c r="AW68" i="6"/>
  <c r="BA68" i="6" s="1"/>
  <c r="AW64" i="6"/>
  <c r="BA64" i="6" s="1"/>
  <c r="AW60" i="6"/>
  <c r="BA60" i="6" s="1"/>
  <c r="AW77" i="6"/>
  <c r="BA77" i="6" s="1"/>
  <c r="AW76" i="6"/>
  <c r="BA76" i="6" s="1"/>
  <c r="AW69" i="6"/>
  <c r="BA69" i="6" s="1"/>
  <c r="AW65" i="6"/>
  <c r="BA65" i="6" s="1"/>
  <c r="AW61" i="6"/>
  <c r="BA61" i="6" s="1"/>
  <c r="AW75" i="6"/>
  <c r="BA75" i="6" s="1"/>
  <c r="AW74" i="6"/>
  <c r="BA74" i="6" s="1"/>
  <c r="AW72" i="6"/>
  <c r="BA72" i="6" s="1"/>
  <c r="AW66" i="6"/>
  <c r="BA66" i="6" s="1"/>
  <c r="AW62" i="6"/>
  <c r="BA62" i="6" s="1"/>
  <c r="AW58" i="6"/>
  <c r="BA58" i="6" s="1"/>
  <c r="AW78" i="6"/>
  <c r="BA78" i="6" s="1"/>
  <c r="AW70" i="6"/>
  <c r="BA70" i="6" s="1"/>
  <c r="AW55" i="6"/>
  <c r="BA55" i="6" s="1"/>
  <c r="AW46" i="6"/>
  <c r="BA46" i="6" s="1"/>
  <c r="AW42" i="6"/>
  <c r="BA42" i="6" s="1"/>
  <c r="AW38" i="6"/>
  <c r="BA38" i="6" s="1"/>
  <c r="AW57" i="6"/>
  <c r="BA57" i="6" s="1"/>
  <c r="AW50" i="6"/>
  <c r="BA50" i="6" s="1"/>
  <c r="AW47" i="6"/>
  <c r="BA47" i="6" s="1"/>
  <c r="AW43" i="6"/>
  <c r="BA43" i="6" s="1"/>
  <c r="AW39" i="6"/>
  <c r="BA39" i="6" s="1"/>
  <c r="AW53" i="6"/>
  <c r="BA53" i="6" s="1"/>
  <c r="AW56" i="6"/>
  <c r="BA56" i="6" s="1"/>
  <c r="AW52" i="6"/>
  <c r="BA52" i="6" s="1"/>
  <c r="AW48" i="6"/>
  <c r="BA48" i="6" s="1"/>
  <c r="AW44" i="6"/>
  <c r="BA44" i="6" s="1"/>
  <c r="AW54" i="6"/>
  <c r="BA54" i="6" s="1"/>
  <c r="AW49" i="6"/>
  <c r="BA49" i="6" s="1"/>
  <c r="AW45" i="6"/>
  <c r="BA45" i="6" s="1"/>
  <c r="AW41" i="6"/>
  <c r="BA41" i="6" s="1"/>
  <c r="AW37" i="6"/>
  <c r="BA37" i="6" s="1"/>
  <c r="AW51" i="6"/>
  <c r="BA51" i="6" s="1"/>
  <c r="AW40" i="6"/>
  <c r="BA40" i="6" s="1"/>
  <c r="P3" i="9"/>
  <c r="O20" i="9"/>
  <c r="O2" i="9"/>
  <c r="N19" i="9"/>
  <c r="AU22" i="6"/>
  <c r="AW22" i="6"/>
  <c r="AV19" i="6"/>
  <c r="BB1" i="6"/>
  <c r="BH2" i="6"/>
  <c r="BB20" i="6"/>
  <c r="O23" i="9"/>
  <c r="BC124" i="6" a="1"/>
  <c r="BD137" i="6"/>
  <c r="BD185" i="6"/>
  <c r="BF111" i="6"/>
  <c r="O44" i="9"/>
  <c r="BB155" i="6"/>
  <c r="BB51" i="6"/>
  <c r="BF98" i="6"/>
  <c r="O118" i="9"/>
  <c r="BC52" i="6" a="1"/>
  <c r="BB34" i="6"/>
  <c r="BD114" i="6"/>
  <c r="BE173" i="6"/>
  <c r="BD65" i="6"/>
  <c r="BE84" i="6"/>
  <c r="BB146" i="6"/>
  <c r="BF146" i="6"/>
  <c r="BC65" i="6" a="1"/>
  <c r="BE72" i="6"/>
  <c r="BD159" i="6"/>
  <c r="BB119" i="6"/>
  <c r="O131" i="9"/>
  <c r="BB147" i="6"/>
  <c r="BB173" i="6"/>
  <c r="BC142" i="6" a="1"/>
  <c r="O42" i="9"/>
  <c r="BE123" i="6"/>
  <c r="BF140" i="6"/>
  <c r="BE160" i="6"/>
  <c r="BE97" i="6"/>
  <c r="BB89" i="6"/>
  <c r="O63" i="9"/>
  <c r="BC126" i="6" a="1"/>
  <c r="BD135" i="6"/>
  <c r="BB25" i="6"/>
  <c r="BF150" i="6"/>
  <c r="BE62" i="6"/>
  <c r="BE130" i="6"/>
  <c r="BC121" i="6" a="1"/>
  <c r="BD45" i="6"/>
  <c r="BD40" i="6"/>
  <c r="BF92" i="6"/>
  <c r="BF95" i="6"/>
  <c r="BC200" i="6" a="1"/>
  <c r="BC28" i="6" a="1"/>
  <c r="BC84" i="6" a="1"/>
  <c r="BE187" i="6"/>
  <c r="BC193" i="6" a="1"/>
  <c r="BE119" i="6"/>
  <c r="BE88" i="6"/>
  <c r="BC118" i="6" a="1"/>
  <c r="BB179" i="6"/>
  <c r="BE154" i="6"/>
  <c r="BE166" i="6"/>
  <c r="BE134" i="6"/>
  <c r="BF46" i="6"/>
  <c r="BD90" i="6"/>
  <c r="BF37" i="6"/>
  <c r="BD112" i="6"/>
  <c r="BD201" i="6"/>
  <c r="BD93" i="6"/>
  <c r="BE141" i="6"/>
  <c r="BD95" i="6"/>
  <c r="BB165" i="6"/>
  <c r="O93" i="9"/>
  <c r="BC79" i="6" a="1"/>
  <c r="BC62" i="6" a="1"/>
  <c r="BD172" i="6"/>
  <c r="O97" i="9"/>
  <c r="BD98" i="6"/>
  <c r="BD60" i="6"/>
  <c r="BE168" i="6"/>
  <c r="BF110" i="6"/>
  <c r="BE55" i="6"/>
  <c r="BD152" i="6"/>
  <c r="BD89" i="6"/>
  <c r="BB152" i="6"/>
  <c r="BB121" i="6"/>
  <c r="BF41" i="6"/>
  <c r="BE90" i="6"/>
  <c r="BE188" i="6"/>
  <c r="BB35" i="6"/>
  <c r="BB49" i="6"/>
  <c r="BE199" i="6"/>
  <c r="BE114" i="6"/>
  <c r="O115" i="9"/>
  <c r="BB176" i="6"/>
  <c r="O30" i="9"/>
  <c r="BF143" i="6"/>
  <c r="BC98" i="6" a="1"/>
  <c r="BD49" i="6"/>
  <c r="O120" i="9"/>
  <c r="BC150" i="6" a="1"/>
  <c r="BF73" i="6"/>
  <c r="BE143" i="6"/>
  <c r="BF89" i="6"/>
  <c r="BB103" i="6"/>
  <c r="BC199" i="6" a="1"/>
  <c r="O25" i="9"/>
  <c r="BB92" i="6"/>
  <c r="BF129" i="6"/>
  <c r="BB110" i="6"/>
  <c r="O129" i="9"/>
  <c r="BC80" i="6" a="1"/>
  <c r="BB128" i="6"/>
  <c r="BC176" i="6" a="1"/>
  <c r="BC86" i="6" a="1"/>
  <c r="O48" i="9"/>
  <c r="BE76" i="6"/>
  <c r="BD67" i="6"/>
  <c r="BF60" i="6"/>
  <c r="O28" i="9"/>
  <c r="BC116" i="6" a="1"/>
  <c r="BE77" i="6"/>
  <c r="BF187" i="6"/>
  <c r="BE44" i="6"/>
  <c r="BD92" i="6"/>
  <c r="BE108" i="6"/>
  <c r="BE135" i="6"/>
  <c r="BC190" i="6" a="1"/>
  <c r="O70" i="9"/>
  <c r="BB153" i="6"/>
  <c r="BB107" i="6"/>
  <c r="BF71" i="6"/>
  <c r="BE29" i="6"/>
  <c r="BF149" i="6"/>
  <c r="BD39" i="6"/>
  <c r="BF186" i="6"/>
  <c r="BB27" i="6"/>
  <c r="BF44" i="6"/>
  <c r="O132" i="9"/>
  <c r="BB190" i="6"/>
  <c r="BD87" i="6"/>
  <c r="BC125" i="6" a="1"/>
  <c r="O91" i="9"/>
  <c r="BE112" i="6"/>
  <c r="BD206" i="6"/>
  <c r="BC195" i="6" a="1"/>
  <c r="BF176" i="6"/>
  <c r="O84" i="9"/>
  <c r="BB130" i="6"/>
  <c r="BF135" i="6"/>
  <c r="BC111" i="6" a="1"/>
  <c r="BF204" i="6"/>
  <c r="BC165" i="6" a="1"/>
  <c r="BE71" i="6"/>
  <c r="BB94" i="6"/>
  <c r="O60" i="9"/>
  <c r="BC90" i="6" a="1"/>
  <c r="BE121" i="6"/>
  <c r="BE192" i="6"/>
  <c r="BB125" i="6"/>
  <c r="BD28" i="6"/>
  <c r="BB99" i="6"/>
  <c r="BD176" i="6"/>
  <c r="BD88" i="6"/>
  <c r="O122" i="9"/>
  <c r="BB177" i="6"/>
  <c r="BC96" i="6" a="1"/>
  <c r="BB139" i="6"/>
  <c r="BF38" i="6"/>
  <c r="BE96" i="6"/>
  <c r="BF162" i="6"/>
  <c r="BF79" i="6"/>
  <c r="BE203" i="6"/>
  <c r="O49" i="9"/>
  <c r="BF165" i="6"/>
  <c r="BC162" i="6" a="1"/>
  <c r="BD78" i="6"/>
  <c r="BC26" i="6" a="1"/>
  <c r="BD142" i="6"/>
  <c r="BD164" i="6"/>
  <c r="BD106" i="6"/>
  <c r="BD33" i="6"/>
  <c r="BF137" i="6"/>
  <c r="O79" i="9"/>
  <c r="BE73" i="6"/>
  <c r="BD157" i="6"/>
  <c r="BB112" i="6"/>
  <c r="BF32" i="6"/>
  <c r="BB48" i="6"/>
  <c r="BD37" i="6"/>
  <c r="BE38" i="6"/>
  <c r="BC78" i="6" a="1"/>
  <c r="BE111" i="6"/>
  <c r="BC182" i="6" a="1"/>
  <c r="BC38" i="6" a="1"/>
  <c r="BC42" i="6" a="1"/>
  <c r="O109" i="9"/>
  <c r="BB126" i="6"/>
  <c r="BD47" i="6"/>
  <c r="BB157" i="6"/>
  <c r="BD107" i="6"/>
  <c r="BD34" i="6"/>
  <c r="BC191" i="6" a="1"/>
  <c r="BC64" i="6" a="1"/>
  <c r="BE163" i="6"/>
  <c r="O77" i="9"/>
  <c r="BF64" i="6"/>
  <c r="BB63" i="6"/>
  <c r="BE132" i="6"/>
  <c r="BD131" i="6"/>
  <c r="BF76" i="6"/>
  <c r="BB117" i="6"/>
  <c r="BB73" i="6"/>
  <c r="BD200" i="6"/>
  <c r="O119" i="9"/>
  <c r="BF106" i="6"/>
  <c r="BC161" i="6" a="1"/>
  <c r="BF100" i="6"/>
  <c r="BB68" i="6"/>
  <c r="BF130" i="6"/>
  <c r="BC66" i="6" a="1"/>
  <c r="BE104" i="6"/>
  <c r="BC34" i="6" a="1"/>
  <c r="BF50" i="6"/>
  <c r="O34" i="9"/>
  <c r="BC122" i="6" a="1"/>
  <c r="BC204" i="6" a="1"/>
  <c r="BF179" i="6"/>
  <c r="BB33" i="6"/>
  <c r="BC146" i="6" a="1"/>
  <c r="BD160" i="6"/>
  <c r="O31" i="9"/>
  <c r="BF171" i="6"/>
  <c r="BC33" i="6" a="1"/>
  <c r="BD188" i="6"/>
  <c r="O64" i="9"/>
  <c r="BE185" i="6"/>
  <c r="BD158" i="6"/>
  <c r="BE155" i="6"/>
  <c r="BF133" i="6"/>
  <c r="BD178" i="6"/>
  <c r="BC77" i="6" a="1"/>
  <c r="O126" i="9"/>
  <c r="BE49" i="6"/>
  <c r="O32" i="9"/>
  <c r="BB37" i="6"/>
  <c r="BE189" i="6"/>
  <c r="O102" i="9"/>
  <c r="BD202" i="6"/>
  <c r="BF160" i="6"/>
  <c r="O86" i="9"/>
  <c r="BB166" i="6"/>
  <c r="BE99" i="6"/>
  <c r="O74" i="9"/>
  <c r="BE115" i="6"/>
  <c r="BE181" i="6"/>
  <c r="BD22" i="6"/>
  <c r="BD77" i="6"/>
  <c r="BB143" i="6"/>
  <c r="BC67" i="6" a="1"/>
  <c r="BD59" i="6"/>
  <c r="BF152" i="6"/>
  <c r="BB76" i="6"/>
  <c r="O136" i="9"/>
  <c r="BC113" i="6" a="1"/>
  <c r="O35" i="9"/>
  <c r="BC194" i="6" a="1"/>
  <c r="O121" i="9"/>
  <c r="BE158" i="6"/>
  <c r="BB129" i="6"/>
  <c r="BE63" i="6"/>
  <c r="BE67" i="6"/>
  <c r="O105" i="9"/>
  <c r="BD181" i="6"/>
  <c r="BE35" i="6"/>
  <c r="BC203" i="6" a="1"/>
  <c r="BF125" i="6"/>
  <c r="O81" i="9"/>
  <c r="BF131" i="6"/>
  <c r="BD52" i="6"/>
  <c r="O65" i="9"/>
  <c r="BD156" i="6"/>
  <c r="BF134" i="6"/>
  <c r="O29" i="9"/>
  <c r="BE48" i="6"/>
  <c r="BE157" i="6"/>
  <c r="BE86" i="6"/>
  <c r="BF74" i="6"/>
  <c r="BF156" i="6"/>
  <c r="BE45" i="6"/>
  <c r="BE98" i="6"/>
  <c r="BE40" i="6"/>
  <c r="BB45" i="6"/>
  <c r="O107" i="9"/>
  <c r="BB88" i="6"/>
  <c r="BC196" i="6" a="1"/>
  <c r="BD149" i="6"/>
  <c r="BD113" i="6"/>
  <c r="BD36" i="6"/>
  <c r="BF97" i="6"/>
  <c r="O52" i="9"/>
  <c r="BB182" i="6"/>
  <c r="BB199" i="6"/>
  <c r="BC109" i="6" a="1"/>
  <c r="BC131" i="6" a="1"/>
  <c r="O36" i="9"/>
  <c r="BB105" i="6"/>
  <c r="BB36" i="6"/>
  <c r="BF66" i="6"/>
  <c r="BD56" i="6"/>
  <c r="O106" i="9"/>
  <c r="BC172" i="6" a="1"/>
  <c r="BC148" i="6" a="1"/>
  <c r="O135" i="9"/>
  <c r="BE78" i="6"/>
  <c r="O78" i="9"/>
  <c r="BD27" i="6"/>
  <c r="BD147" i="6"/>
  <c r="BF184" i="6"/>
  <c r="BC145" i="6" a="1"/>
  <c r="BC147" i="6" a="1"/>
  <c r="BD170" i="6"/>
  <c r="BB78" i="6"/>
  <c r="BF116" i="6"/>
  <c r="BC153" i="6" a="1"/>
  <c r="BE79" i="6"/>
  <c r="BB23" i="6"/>
  <c r="BB53" i="6"/>
  <c r="BD183" i="6"/>
  <c r="BE161" i="6"/>
  <c r="BC170" i="6" a="1"/>
  <c r="BE124" i="6"/>
  <c r="BD171" i="6"/>
  <c r="BF193" i="6"/>
  <c r="BD75" i="6"/>
  <c r="BB174" i="6"/>
  <c r="O59" i="9"/>
  <c r="BD136" i="6"/>
  <c r="BB148" i="6"/>
  <c r="BC152" i="6" a="1"/>
  <c r="BD99" i="6"/>
  <c r="BC156" i="6" a="1"/>
  <c r="BB77" i="6"/>
  <c r="BF30" i="6"/>
  <c r="BC71" i="6" a="1"/>
  <c r="BC49" i="6" a="1"/>
  <c r="BF136" i="6"/>
  <c r="BD195" i="6"/>
  <c r="BE194" i="6"/>
  <c r="BD43" i="6"/>
  <c r="BC88" i="6" a="1"/>
  <c r="BE30" i="6"/>
  <c r="BC181" i="6" a="1"/>
  <c r="O101" i="9"/>
  <c r="BC117" i="6" a="1"/>
  <c r="BB123" i="6"/>
  <c r="BE191" i="6"/>
  <c r="BB70" i="6"/>
  <c r="O130" i="9"/>
  <c r="BC136" i="6" a="1"/>
  <c r="BD26" i="6"/>
  <c r="BB82" i="6"/>
  <c r="BC166" i="6" a="1"/>
  <c r="O61" i="9"/>
  <c r="O94" i="9"/>
  <c r="BC140" i="6" a="1"/>
  <c r="O90" i="9"/>
  <c r="BE83" i="6"/>
  <c r="O57" i="9"/>
  <c r="BF25" i="6"/>
  <c r="BF45" i="6"/>
  <c r="BB203" i="6"/>
  <c r="BC120" i="6" a="1"/>
  <c r="BC74" i="6" a="1"/>
  <c r="BB84" i="6"/>
  <c r="BC91" i="6" a="1"/>
  <c r="BE50" i="6"/>
  <c r="BF158" i="6"/>
  <c r="BD105" i="6"/>
  <c r="BD29" i="6"/>
  <c r="BF183" i="6"/>
  <c r="BD101" i="6"/>
  <c r="BB164" i="6"/>
  <c r="BD141" i="6"/>
  <c r="BD64" i="6"/>
  <c r="BC169" i="6" a="1"/>
  <c r="BE195" i="6"/>
  <c r="BE100" i="6"/>
  <c r="BC39" i="6" a="1"/>
  <c r="BE32" i="6"/>
  <c r="BD69" i="6"/>
  <c r="BF182" i="6"/>
  <c r="BD204" i="6"/>
  <c r="BB58" i="6"/>
  <c r="BC60" i="6" a="1"/>
  <c r="BD72" i="6"/>
  <c r="BB90" i="6"/>
  <c r="BF206" i="6"/>
  <c r="BE101" i="6"/>
  <c r="BB111" i="6"/>
  <c r="BC51" i="6" a="1"/>
  <c r="BD48" i="6"/>
  <c r="BB39" i="6"/>
  <c r="BB22" i="6"/>
  <c r="BF43" i="6"/>
  <c r="BC31" i="6" a="1"/>
  <c r="BC123" i="6" a="1"/>
  <c r="O56" i="9"/>
  <c r="BB102" i="6"/>
  <c r="BF90" i="6"/>
  <c r="BD191" i="6"/>
  <c r="BF139" i="6"/>
  <c r="O85" i="9"/>
  <c r="BB56" i="6"/>
  <c r="BD53" i="6"/>
  <c r="BF22" i="6"/>
  <c r="BD62" i="6"/>
  <c r="BE27" i="6"/>
  <c r="O73" i="9"/>
  <c r="BF195" i="6"/>
  <c r="O45" i="9"/>
  <c r="BC54" i="6" a="1"/>
  <c r="O127" i="9"/>
  <c r="BF27" i="6"/>
  <c r="BD129" i="6"/>
  <c r="BF202" i="6"/>
  <c r="BF57" i="6"/>
  <c r="BE206" i="6"/>
  <c r="BF185" i="6"/>
  <c r="BD174" i="6"/>
  <c r="BF163" i="6"/>
  <c r="BD169" i="6"/>
  <c r="BF177" i="6"/>
  <c r="BC25" i="6" a="1"/>
  <c r="BF196" i="6"/>
  <c r="O124" i="9"/>
  <c r="BE42" i="6"/>
  <c r="BF99" i="6"/>
  <c r="BE60" i="6"/>
  <c r="BD163" i="6"/>
  <c r="BE149" i="6"/>
  <c r="BD153" i="6"/>
  <c r="BF201" i="6"/>
  <c r="O27" i="9"/>
  <c r="BE198" i="6"/>
  <c r="BE69" i="6"/>
  <c r="BF83" i="6"/>
  <c r="BB181" i="6"/>
  <c r="O40" i="9"/>
  <c r="BF120" i="6"/>
  <c r="BB169" i="6"/>
  <c r="BB178" i="6"/>
  <c r="BC46" i="6" a="1"/>
  <c r="BB28" i="6"/>
  <c r="O98" i="9"/>
  <c r="BD192" i="6"/>
  <c r="BD35" i="6"/>
  <c r="BD194" i="6"/>
  <c r="O82" i="9"/>
  <c r="BF54" i="6"/>
  <c r="BB170" i="6"/>
  <c r="BF48" i="6"/>
  <c r="BB42" i="6"/>
  <c r="BE105" i="6"/>
  <c r="BB161" i="6"/>
  <c r="O46" i="9"/>
  <c r="BC134" i="6" a="1"/>
  <c r="BD203" i="6"/>
  <c r="BF118" i="6"/>
  <c r="BB204" i="6"/>
  <c r="BE74" i="6"/>
  <c r="O71" i="9"/>
  <c r="BD61" i="6"/>
  <c r="BD155" i="6"/>
  <c r="BD180" i="6"/>
  <c r="BC50" i="6" a="1"/>
  <c r="BD115" i="6"/>
  <c r="O92" i="9"/>
  <c r="BC188" i="6" a="1"/>
  <c r="BC36" i="6" a="1"/>
  <c r="BC101" i="6" a="1"/>
  <c r="BB188" i="6"/>
  <c r="BC37" i="6" a="1"/>
  <c r="BB62" i="6"/>
  <c r="BE116" i="6"/>
  <c r="O88" i="9"/>
  <c r="BB198" i="6"/>
  <c r="BF102" i="6"/>
  <c r="BC159" i="6" a="1"/>
  <c r="BD32" i="6"/>
  <c r="BF200" i="6"/>
  <c r="BB122" i="6"/>
  <c r="BE200" i="6"/>
  <c r="BC89" i="6" a="1"/>
  <c r="BD24" i="6"/>
  <c r="BD103" i="6"/>
  <c r="BF63" i="6"/>
  <c r="BF194" i="6"/>
  <c r="BD38" i="6"/>
  <c r="BB30" i="6"/>
  <c r="O53" i="9"/>
  <c r="BF157" i="6"/>
  <c r="BF33" i="6"/>
  <c r="BC53" i="6" a="1"/>
  <c r="O37" i="9"/>
  <c r="BB44" i="6"/>
  <c r="BE51" i="6"/>
  <c r="BD109" i="6"/>
  <c r="BC85" i="6" a="1"/>
  <c r="BB104" i="6"/>
  <c r="BF153" i="6"/>
  <c r="O95" i="9"/>
  <c r="BE128" i="6"/>
  <c r="BC97" i="6" a="1"/>
  <c r="BD70" i="6"/>
  <c r="BB124" i="6"/>
  <c r="BF93" i="6"/>
  <c r="O26" i="9"/>
  <c r="BE144" i="6"/>
  <c r="BD130" i="6"/>
  <c r="BE59" i="6"/>
  <c r="BB197" i="6"/>
  <c r="BE75" i="6"/>
  <c r="O39" i="9"/>
  <c r="BB113" i="6"/>
  <c r="BF82" i="6"/>
  <c r="O76" i="9"/>
  <c r="BC177" i="6" a="1"/>
  <c r="BC144" i="6" a="1"/>
  <c r="BC83" i="6" a="1"/>
  <c r="BB135" i="6"/>
  <c r="BD119" i="6"/>
  <c r="BE169" i="6"/>
  <c r="BC130" i="6" a="1"/>
  <c r="BC151" i="6" a="1"/>
  <c r="BE118" i="6"/>
  <c r="BB57" i="6"/>
  <c r="BE26" i="6"/>
  <c r="BD134" i="6"/>
  <c r="BC58" i="6" a="1"/>
  <c r="BE177" i="6"/>
  <c r="BC41" i="6" a="1"/>
  <c r="BD30" i="6"/>
  <c r="BF166" i="6"/>
  <c r="BD193" i="6"/>
  <c r="BD54" i="6"/>
  <c r="BD80" i="6"/>
  <c r="BF105" i="6"/>
  <c r="BE23" i="6"/>
  <c r="BF141" i="6"/>
  <c r="BF35" i="6"/>
  <c r="BE193" i="6"/>
  <c r="BD31" i="6"/>
  <c r="BE89" i="6"/>
  <c r="BC167" i="6" a="1"/>
  <c r="BF147" i="6"/>
  <c r="BB172" i="6"/>
  <c r="BB69" i="6"/>
  <c r="BF123" i="6"/>
  <c r="O50" i="9"/>
  <c r="BF188" i="6"/>
  <c r="BB106" i="6"/>
  <c r="BB120" i="6"/>
  <c r="BB118" i="6"/>
  <c r="BE131" i="6"/>
  <c r="O128" i="9"/>
  <c r="BD132" i="6"/>
  <c r="BE126" i="6"/>
  <c r="O108" i="9"/>
  <c r="BD161" i="6"/>
  <c r="BE95" i="6"/>
  <c r="O96" i="9"/>
  <c r="BC178" i="6" a="1"/>
  <c r="BF161" i="6"/>
  <c r="O125" i="9"/>
  <c r="BF132" i="6"/>
  <c r="O137" i="9"/>
  <c r="BD100" i="6"/>
  <c r="BF198" i="6"/>
  <c r="BD189" i="6"/>
  <c r="O72" i="9"/>
  <c r="BB127" i="6"/>
  <c r="BE125" i="6"/>
  <c r="BF121" i="6"/>
  <c r="BC35" i="6" a="1"/>
  <c r="BB109" i="6"/>
  <c r="BE182" i="6"/>
  <c r="BF75" i="6"/>
  <c r="BD57" i="6"/>
  <c r="BF40" i="6"/>
  <c r="BF172" i="6"/>
  <c r="BD123" i="6"/>
  <c r="BC40" i="6" a="1"/>
  <c r="BB85" i="6"/>
  <c r="BD145" i="6"/>
  <c r="BB24" i="6"/>
  <c r="BB149" i="6"/>
  <c r="BE136" i="6"/>
  <c r="BE46" i="6"/>
  <c r="BF29" i="6"/>
  <c r="BC187" i="6" a="1"/>
  <c r="BF164" i="6"/>
  <c r="BF145" i="6"/>
  <c r="BE148" i="6"/>
  <c r="BF39" i="6"/>
  <c r="BD165" i="6"/>
  <c r="O123" i="9"/>
  <c r="BB183" i="6"/>
  <c r="BF81" i="6"/>
  <c r="BF55" i="6"/>
  <c r="BC76" i="6" a="1"/>
  <c r="BE152" i="6"/>
  <c r="O99" i="9"/>
  <c r="BD46" i="6"/>
  <c r="BC173" i="6" a="1"/>
  <c r="O55" i="9"/>
  <c r="BD120" i="6"/>
  <c r="BE117" i="6"/>
  <c r="O67" i="9"/>
  <c r="BC158" i="6" a="1"/>
  <c r="BB137" i="6"/>
  <c r="O80" i="9"/>
  <c r="BE61" i="6"/>
  <c r="O68" i="9"/>
  <c r="BE165" i="6"/>
  <c r="BE36" i="6"/>
  <c r="BC115" i="6" a="1"/>
  <c r="BE202" i="6"/>
  <c r="BC168" i="6" a="1"/>
  <c r="O117" i="9"/>
  <c r="BE22" i="6"/>
  <c r="BE142" i="6"/>
  <c r="BB97" i="6"/>
  <c r="BB47" i="6"/>
  <c r="BE201" i="6"/>
  <c r="BE205" i="6"/>
  <c r="BE85" i="6"/>
  <c r="BF51" i="6"/>
  <c r="BF96" i="6"/>
  <c r="BD71" i="6"/>
  <c r="BC95" i="6" a="1"/>
  <c r="BE64" i="6"/>
  <c r="BF189" i="6"/>
  <c r="BB64" i="6"/>
  <c r="BD128" i="6"/>
  <c r="BB26" i="6"/>
  <c r="BD127" i="6"/>
  <c r="BE58" i="6"/>
  <c r="BF138" i="6"/>
  <c r="BF31" i="6"/>
  <c r="BC149" i="6" a="1"/>
  <c r="BB193" i="6"/>
  <c r="BC75" i="6" a="1"/>
  <c r="BB52" i="6"/>
  <c r="BC198" i="6" a="1"/>
  <c r="BC163" i="6" a="1"/>
  <c r="BB31" i="6"/>
  <c r="BB162" i="6"/>
  <c r="BF42" i="6"/>
  <c r="BC155" i="6" a="1"/>
  <c r="BD148" i="6"/>
  <c r="BD42" i="6"/>
  <c r="BF36" i="6"/>
  <c r="BC99" i="6" a="1"/>
  <c r="BF169" i="6"/>
  <c r="O112" i="9"/>
  <c r="BB100" i="6"/>
  <c r="BC82" i="6" a="1"/>
  <c r="O51" i="9"/>
  <c r="BF190" i="6"/>
  <c r="BB86" i="6"/>
  <c r="BC108" i="6" a="1"/>
  <c r="BE127" i="6"/>
  <c r="BF124" i="6"/>
  <c r="BF127" i="6"/>
  <c r="BE107" i="6"/>
  <c r="BE150" i="6"/>
  <c r="BB61" i="6"/>
  <c r="BE147" i="6"/>
  <c r="BB202" i="6"/>
  <c r="BC105" i="6" a="1"/>
  <c r="BF203" i="6"/>
  <c r="BF80" i="6"/>
  <c r="BF56" i="6"/>
  <c r="BE186" i="6"/>
  <c r="BE190" i="6"/>
  <c r="BE47" i="6"/>
  <c r="BC139" i="6" a="1"/>
  <c r="BE137" i="6"/>
  <c r="O62" i="9"/>
  <c r="BD76" i="6"/>
  <c r="BD94" i="6"/>
  <c r="BC129" i="6" a="1"/>
  <c r="BD162" i="6"/>
  <c r="BE25" i="6"/>
  <c r="BF142" i="6"/>
  <c r="BD177" i="6"/>
  <c r="BF52" i="6"/>
  <c r="BD44" i="6"/>
  <c r="BE109" i="6"/>
  <c r="BD25" i="6"/>
  <c r="BB60" i="6"/>
  <c r="BF101" i="6"/>
  <c r="O83" i="9"/>
  <c r="BE80" i="6"/>
  <c r="BE172" i="6"/>
  <c r="BF34" i="6"/>
  <c r="BE28" i="6"/>
  <c r="BC92" i="6" a="1"/>
  <c r="BF192" i="6"/>
  <c r="O133" i="9"/>
  <c r="BC110" i="6" a="1"/>
  <c r="BE102" i="6"/>
  <c r="BF197" i="6"/>
  <c r="BD81" i="6"/>
  <c r="BD104" i="6"/>
  <c r="BB75" i="6"/>
  <c r="BF68" i="6"/>
  <c r="BE92" i="6"/>
  <c r="BB41" i="6"/>
  <c r="BB158" i="6"/>
  <c r="BE197" i="6"/>
  <c r="BC184" i="6" a="1"/>
  <c r="BD187" i="6"/>
  <c r="BD63" i="6"/>
  <c r="BC133" i="6" a="1"/>
  <c r="BB43" i="6"/>
  <c r="BE39" i="6"/>
  <c r="BC137" i="6" a="1"/>
  <c r="BE204" i="6"/>
  <c r="BF199" i="6"/>
  <c r="O41" i="9"/>
  <c r="BB175" i="6"/>
  <c r="BF53" i="6"/>
  <c r="BE54" i="6"/>
  <c r="BE156" i="6"/>
  <c r="BC30" i="6" a="1"/>
  <c r="BF191" i="6"/>
  <c r="BF58" i="6"/>
  <c r="BF62" i="6"/>
  <c r="BF148" i="6"/>
  <c r="BB93" i="6"/>
  <c r="BC29" i="6" a="1"/>
  <c r="BD150" i="6"/>
  <c r="BB114" i="6"/>
  <c r="BF28" i="6"/>
  <c r="BE41" i="6"/>
  <c r="BD108" i="6"/>
  <c r="BC32" i="6" a="1"/>
  <c r="BE140" i="6"/>
  <c r="BD198" i="6"/>
  <c r="BF26" i="6"/>
  <c r="BC189" i="6" a="1"/>
  <c r="O43" i="9"/>
  <c r="BE129" i="6"/>
  <c r="BE145" i="6"/>
  <c r="BE24" i="6"/>
  <c r="BD146" i="6"/>
  <c r="BD143" i="6"/>
  <c r="BF77" i="6"/>
  <c r="BB142" i="6"/>
  <c r="BB192" i="6"/>
  <c r="BC63" i="6" a="1"/>
  <c r="BC164" i="6" a="1"/>
  <c r="BC103" i="6" a="1"/>
  <c r="BD73" i="6"/>
  <c r="BC24" i="6" a="1"/>
  <c r="BB171" i="6"/>
  <c r="BC202" i="6" a="1"/>
  <c r="BC47" i="6" a="1"/>
  <c r="BE106" i="6"/>
  <c r="BE34" i="6"/>
  <c r="BE196" i="6"/>
  <c r="BB186" i="6"/>
  <c r="BE159" i="6"/>
  <c r="BC160" i="6" a="1"/>
  <c r="BE65" i="6"/>
  <c r="BB83" i="6"/>
  <c r="BB136" i="6"/>
  <c r="BB46" i="6"/>
  <c r="BD102" i="6"/>
  <c r="BF108" i="6"/>
  <c r="O110" i="9"/>
  <c r="BF170" i="6"/>
  <c r="BB150" i="6"/>
  <c r="BE146" i="6"/>
  <c r="BE180" i="6"/>
  <c r="BC174" i="6" a="1"/>
  <c r="BF107" i="6"/>
  <c r="BB50" i="6"/>
  <c r="BB144" i="6"/>
  <c r="O111" i="9"/>
  <c r="BF144" i="6"/>
  <c r="BE110" i="6"/>
  <c r="BB167" i="6"/>
  <c r="BC100" i="6" a="1"/>
  <c r="BF126" i="6"/>
  <c r="BD138" i="6"/>
  <c r="BD154" i="6"/>
  <c r="BF167" i="6"/>
  <c r="BD190" i="6"/>
  <c r="BD197" i="6"/>
  <c r="BC87" i="6" a="1"/>
  <c r="BF159" i="6"/>
  <c r="BC70" i="6" a="1"/>
  <c r="BB29" i="6"/>
  <c r="BC143" i="6" a="1"/>
  <c r="BF61" i="6"/>
  <c r="BE122" i="6"/>
  <c r="BF205" i="6"/>
  <c r="BC23" i="6" a="1"/>
  <c r="BB131" i="6"/>
  <c r="BD182" i="6"/>
  <c r="BD85" i="6"/>
  <c r="BD167" i="6"/>
  <c r="BE133" i="6"/>
  <c r="BC132" i="6" a="1"/>
  <c r="BB140" i="6"/>
  <c r="BD116" i="6"/>
  <c r="BC22" i="6" a="1"/>
  <c r="BD118" i="6"/>
  <c r="BC102" i="6" a="1"/>
  <c r="BB205" i="6"/>
  <c r="BD96" i="6"/>
  <c r="BB201" i="6"/>
  <c r="BC186" i="6" a="1"/>
  <c r="BF122" i="6"/>
  <c r="O89" i="9"/>
  <c r="BD82" i="6"/>
  <c r="BC73" i="6" a="1"/>
  <c r="BF91" i="6"/>
  <c r="BD173" i="6"/>
  <c r="BF181" i="6"/>
  <c r="BB160" i="6"/>
  <c r="BD140" i="6"/>
  <c r="BC135" i="6" a="1"/>
  <c r="O66" i="9"/>
  <c r="BF59" i="6"/>
  <c r="BD41" i="6"/>
  <c r="BB200" i="6"/>
  <c r="BF86" i="6"/>
  <c r="BF114" i="6"/>
  <c r="BF24" i="6"/>
  <c r="BF154" i="6"/>
  <c r="BD91" i="6"/>
  <c r="BF175" i="6"/>
  <c r="BF113" i="6"/>
  <c r="BC106" i="6" a="1"/>
  <c r="BF49" i="6"/>
  <c r="BC185" i="6" a="1"/>
  <c r="BB40" i="6"/>
  <c r="BB101" i="6"/>
  <c r="BF173" i="6"/>
  <c r="O114" i="9"/>
  <c r="BE43" i="6"/>
  <c r="BD133" i="6"/>
  <c r="BD125" i="6"/>
  <c r="BC127" i="6" a="1"/>
  <c r="BF78" i="6"/>
  <c r="BC56" i="6" a="1"/>
  <c r="BC197" i="6" a="1"/>
  <c r="BC45" i="6" a="1"/>
  <c r="BD23" i="6"/>
  <c r="BD168" i="6"/>
  <c r="BF112" i="6"/>
  <c r="BC93" i="6" a="1"/>
  <c r="BC61" i="6" a="1"/>
  <c r="BD139" i="6"/>
  <c r="BD151" i="6"/>
  <c r="BC55" i="6" a="1"/>
  <c r="BF117" i="6"/>
  <c r="BB72" i="6"/>
  <c r="BB154" i="6"/>
  <c r="BC205" i="6" a="1"/>
  <c r="BB196" i="6"/>
  <c r="BC59" i="6" a="1"/>
  <c r="BF155" i="6"/>
  <c r="O100" i="9"/>
  <c r="BB133" i="6"/>
  <c r="BF47" i="6"/>
  <c r="BD121" i="6"/>
  <c r="BB184" i="6"/>
  <c r="BC48" i="6" a="1"/>
  <c r="BE81" i="6"/>
  <c r="BC27" i="6" a="1"/>
  <c r="BB116" i="6"/>
  <c r="BE91" i="6"/>
  <c r="BF174" i="6"/>
  <c r="BD144" i="6"/>
  <c r="BC43" i="6" a="1"/>
  <c r="BE113" i="6"/>
  <c r="O47" i="9"/>
  <c r="BC171" i="6" a="1"/>
  <c r="BE87" i="6"/>
  <c r="BE138" i="6"/>
  <c r="BD86" i="6"/>
  <c r="BB141" i="6"/>
  <c r="BB206" i="6"/>
  <c r="BC72" i="6" a="1"/>
  <c r="BD58" i="6"/>
  <c r="O75" i="9"/>
  <c r="BD83" i="6"/>
  <c r="BB55" i="6"/>
  <c r="BC192" i="6" a="1"/>
  <c r="BD124" i="6"/>
  <c r="BD110" i="6"/>
  <c r="BC157" i="6" a="1"/>
  <c r="BC128" i="6" a="1"/>
  <c r="BB163" i="6"/>
  <c r="BD55" i="6"/>
  <c r="BE37" i="6"/>
  <c r="BC119" i="6" a="1"/>
  <c r="O69" i="9"/>
  <c r="BE175" i="6"/>
  <c r="BB71" i="6"/>
  <c r="BC81" i="6" a="1"/>
  <c r="BB108" i="6"/>
  <c r="BE53" i="6"/>
  <c r="BF109" i="6"/>
  <c r="BB80" i="6"/>
  <c r="BF168" i="6"/>
  <c r="BE33" i="6"/>
  <c r="BC44" i="6" a="1"/>
  <c r="O54" i="9"/>
  <c r="BE184" i="6"/>
  <c r="BD175" i="6"/>
  <c r="BF103" i="6"/>
  <c r="BC180" i="6" a="1"/>
  <c r="BE68" i="6"/>
  <c r="BD74" i="6"/>
  <c r="BB38" i="6"/>
  <c r="BF67" i="6"/>
  <c r="BB98" i="6"/>
  <c r="BB187" i="6"/>
  <c r="BB138" i="6"/>
  <c r="BB95" i="6"/>
  <c r="BB168" i="6"/>
  <c r="BB81" i="6"/>
  <c r="BC141" i="6" a="1"/>
  <c r="BE164" i="6"/>
  <c r="BF178" i="6"/>
  <c r="BE179" i="6"/>
  <c r="BB54" i="6"/>
  <c r="BB180" i="6"/>
  <c r="BB79" i="6"/>
  <c r="BC104" i="6" a="1"/>
  <c r="BD68" i="6"/>
  <c r="BC69" i="6" a="1"/>
  <c r="BD126" i="6"/>
  <c r="BF88" i="6"/>
  <c r="O24" i="9"/>
  <c r="BF128" i="6"/>
  <c r="BE178" i="6"/>
  <c r="BF115" i="6"/>
  <c r="BB151" i="6"/>
  <c r="BE82" i="6"/>
  <c r="BC57" i="6" a="1"/>
  <c r="BD84" i="6"/>
  <c r="BE162" i="6"/>
  <c r="BF23" i="6"/>
  <c r="BB191" i="6"/>
  <c r="O33" i="9"/>
  <c r="BD51" i="6"/>
  <c r="BE70" i="6"/>
  <c r="BC112" i="6" a="1"/>
  <c r="BF72" i="6"/>
  <c r="BF84" i="6"/>
  <c r="BE94" i="6"/>
  <c r="BE174" i="6"/>
  <c r="BB156" i="6"/>
  <c r="BB87" i="6"/>
  <c r="O22" i="9"/>
  <c r="BB96" i="6"/>
  <c r="BC183" i="6" a="1"/>
  <c r="O104" i="9"/>
  <c r="BE57" i="6"/>
  <c r="BF87" i="6"/>
  <c r="BD122" i="6"/>
  <c r="BD179" i="6"/>
  <c r="BE176" i="6"/>
  <c r="O134" i="9"/>
  <c r="BC68" i="6" a="1"/>
  <c r="BF94" i="6"/>
  <c r="BB115" i="6"/>
  <c r="BB194" i="6"/>
  <c r="BB189" i="6"/>
  <c r="BE31" i="6"/>
  <c r="BE151" i="6"/>
  <c r="BE170" i="6"/>
  <c r="BB195" i="6"/>
  <c r="BC138" i="6" a="1"/>
  <c r="BE167" i="6"/>
  <c r="BE93" i="6"/>
  <c r="BD117" i="6"/>
  <c r="BD186" i="6"/>
  <c r="BF104" i="6"/>
  <c r="BC114" i="6" a="1"/>
  <c r="O103" i="9"/>
  <c r="BF65" i="6"/>
  <c r="BC94" i="6" a="1"/>
  <c r="BE56" i="6"/>
  <c r="O38" i="9"/>
  <c r="BD205" i="6"/>
  <c r="BC201" i="6" a="1"/>
  <c r="BE52" i="6"/>
  <c r="BE103" i="6"/>
  <c r="BC154" i="6" a="1"/>
  <c r="BD50" i="6"/>
  <c r="BD166" i="6"/>
  <c r="BE139" i="6"/>
  <c r="BB59" i="6"/>
  <c r="BB134" i="6"/>
  <c r="BF180" i="6"/>
  <c r="BB159" i="6"/>
  <c r="BD199" i="6"/>
  <c r="BB66" i="6"/>
  <c r="BF85" i="6"/>
  <c r="O113" i="9"/>
  <c r="BF70" i="6"/>
  <c r="BE66" i="6"/>
  <c r="BC175" i="6" a="1"/>
  <c r="BC179" i="6" a="1"/>
  <c r="BB74" i="6"/>
  <c r="BB32" i="6"/>
  <c r="BB132" i="6"/>
  <c r="BD184" i="6"/>
  <c r="BD196" i="6"/>
  <c r="BB145" i="6"/>
  <c r="BD97" i="6"/>
  <c r="BB91" i="6"/>
  <c r="BE120" i="6"/>
  <c r="BC206" i="6" a="1"/>
  <c r="BD66" i="6"/>
  <c r="BC107" i="6" a="1"/>
  <c r="O58" i="9"/>
  <c r="BB65" i="6"/>
  <c r="BB67" i="6"/>
  <c r="BF119" i="6"/>
  <c r="O87" i="9"/>
  <c r="BF151" i="6"/>
  <c r="BE183" i="6"/>
  <c r="BD111" i="6"/>
  <c r="BE153" i="6"/>
  <c r="BF69" i="6"/>
  <c r="O116" i="9"/>
  <c r="BD79" i="6"/>
  <c r="BB185" i="6"/>
  <c r="BE171" i="6"/>
  <c r="BC35" i="6" l="1"/>
  <c r="BG35" i="6" s="1"/>
  <c r="BC31" i="6"/>
  <c r="BG31" i="6" s="1"/>
  <c r="BC27" i="6"/>
  <c r="BG27" i="6" s="1"/>
  <c r="BC23" i="6"/>
  <c r="BG23" i="6" s="1"/>
  <c r="BC36" i="6"/>
  <c r="BG36" i="6" s="1"/>
  <c r="BC32" i="6"/>
  <c r="BG32" i="6" s="1"/>
  <c r="BC28" i="6"/>
  <c r="BG28" i="6" s="1"/>
  <c r="BC24" i="6"/>
  <c r="BG24" i="6" s="1"/>
  <c r="BC33" i="6"/>
  <c r="BG33" i="6" s="1"/>
  <c r="BC29" i="6"/>
  <c r="BG29" i="6" s="1"/>
  <c r="BC25" i="6"/>
  <c r="BG25" i="6" s="1"/>
  <c r="BC34" i="6"/>
  <c r="BG34" i="6" s="1"/>
  <c r="BC30" i="6"/>
  <c r="BG30" i="6" s="1"/>
  <c r="BC26" i="6"/>
  <c r="BG26" i="6" s="1"/>
  <c r="BC205" i="6"/>
  <c r="BG205" i="6" s="1"/>
  <c r="BC201" i="6"/>
  <c r="BG201" i="6" s="1"/>
  <c r="BC197" i="6"/>
  <c r="BG197" i="6" s="1"/>
  <c r="BC206" i="6"/>
  <c r="BG206" i="6" s="1"/>
  <c r="BC202" i="6"/>
  <c r="BG202" i="6" s="1"/>
  <c r="BC198" i="6"/>
  <c r="BG198" i="6" s="1"/>
  <c r="BC203" i="6"/>
  <c r="BG203" i="6" s="1"/>
  <c r="BC199" i="6"/>
  <c r="BG199" i="6" s="1"/>
  <c r="BC195" i="6"/>
  <c r="BG195" i="6" s="1"/>
  <c r="BC191" i="6"/>
  <c r="BG191" i="6" s="1"/>
  <c r="BC204" i="6"/>
  <c r="BG204" i="6" s="1"/>
  <c r="BC200" i="6"/>
  <c r="BG200" i="6" s="1"/>
  <c r="BC196" i="6"/>
  <c r="BG196" i="6" s="1"/>
  <c r="BC192" i="6"/>
  <c r="BG192" i="6" s="1"/>
  <c r="BC190" i="6"/>
  <c r="BG190" i="6" s="1"/>
  <c r="BC179" i="6"/>
  <c r="BG179" i="6" s="1"/>
  <c r="BC176" i="6"/>
  <c r="BG176" i="6" s="1"/>
  <c r="BC172" i="6"/>
  <c r="BG172" i="6" s="1"/>
  <c r="BC187" i="6"/>
  <c r="BG187" i="6" s="1"/>
  <c r="BC186" i="6"/>
  <c r="BG186" i="6" s="1"/>
  <c r="BC185" i="6"/>
  <c r="BG185" i="6" s="1"/>
  <c r="BC177" i="6"/>
  <c r="BG177" i="6" s="1"/>
  <c r="BC188" i="6"/>
  <c r="BG188" i="6" s="1"/>
  <c r="BC184" i="6"/>
  <c r="BG184" i="6" s="1"/>
  <c r="BC180" i="6"/>
  <c r="BG180" i="6" s="1"/>
  <c r="BC183" i="6"/>
  <c r="BG183" i="6" s="1"/>
  <c r="BC174" i="6"/>
  <c r="BG174" i="6" s="1"/>
  <c r="BC170" i="6"/>
  <c r="BG170" i="6" s="1"/>
  <c r="BC193" i="6"/>
  <c r="BG193" i="6" s="1"/>
  <c r="BC182" i="6"/>
  <c r="BG182" i="6" s="1"/>
  <c r="BC178" i="6"/>
  <c r="BG178" i="6" s="1"/>
  <c r="BC189" i="6"/>
  <c r="BG189" i="6" s="1"/>
  <c r="BC175" i="6"/>
  <c r="BG175" i="6" s="1"/>
  <c r="BC194" i="6"/>
  <c r="BG194" i="6" s="1"/>
  <c r="BC181" i="6"/>
  <c r="BG181" i="6" s="1"/>
  <c r="BC162" i="6"/>
  <c r="BG162" i="6" s="1"/>
  <c r="BC159" i="6"/>
  <c r="BG159" i="6" s="1"/>
  <c r="BC155" i="6"/>
  <c r="BG155" i="6" s="1"/>
  <c r="BC151" i="6"/>
  <c r="BG151" i="6" s="1"/>
  <c r="BC147" i="6"/>
  <c r="BG147" i="6" s="1"/>
  <c r="BC143" i="6"/>
  <c r="BG143" i="6" s="1"/>
  <c r="BC167" i="6"/>
  <c r="BG167" i="6" s="1"/>
  <c r="BC164" i="6"/>
  <c r="BG164" i="6" s="1"/>
  <c r="BC160" i="6"/>
  <c r="BG160" i="6" s="1"/>
  <c r="BC156" i="6"/>
  <c r="BG156" i="6" s="1"/>
  <c r="BC152" i="6"/>
  <c r="BG152" i="6" s="1"/>
  <c r="BC148" i="6"/>
  <c r="BG148" i="6" s="1"/>
  <c r="BC173" i="6"/>
  <c r="BG173" i="6" s="1"/>
  <c r="BC163" i="6"/>
  <c r="BG163" i="6" s="1"/>
  <c r="BC157" i="6"/>
  <c r="BG157" i="6" s="1"/>
  <c r="BC153" i="6"/>
  <c r="BG153" i="6" s="1"/>
  <c r="BC161" i="6"/>
  <c r="BG161" i="6" s="1"/>
  <c r="BC169" i="6"/>
  <c r="BG169" i="6" s="1"/>
  <c r="BC166" i="6"/>
  <c r="BG166" i="6" s="1"/>
  <c r="BC171" i="6"/>
  <c r="BG171" i="6" s="1"/>
  <c r="BC158" i="6"/>
  <c r="BG158" i="6" s="1"/>
  <c r="BC154" i="6"/>
  <c r="BG154" i="6" s="1"/>
  <c r="BC150" i="6"/>
  <c r="BG150" i="6" s="1"/>
  <c r="BC168" i="6"/>
  <c r="BG168" i="6" s="1"/>
  <c r="BC165" i="6"/>
  <c r="BG165" i="6" s="1"/>
  <c r="BC138" i="6"/>
  <c r="BG138" i="6" s="1"/>
  <c r="BC144" i="6"/>
  <c r="BG144" i="6" s="1"/>
  <c r="BC135" i="6"/>
  <c r="BG135" i="6" s="1"/>
  <c r="BC131" i="6"/>
  <c r="BG131" i="6" s="1"/>
  <c r="BC127" i="6"/>
  <c r="BG127" i="6" s="1"/>
  <c r="BC145" i="6"/>
  <c r="BG145" i="6" s="1"/>
  <c r="BC139" i="6"/>
  <c r="BG139" i="6" s="1"/>
  <c r="BC136" i="6"/>
  <c r="BG136" i="6" s="1"/>
  <c r="BC132" i="6"/>
  <c r="BG132" i="6" s="1"/>
  <c r="BC128" i="6"/>
  <c r="BG128" i="6" s="1"/>
  <c r="BC124" i="6"/>
  <c r="BG124" i="6" s="1"/>
  <c r="BC142" i="6"/>
  <c r="BG142" i="6" s="1"/>
  <c r="BC141" i="6"/>
  <c r="BG141" i="6" s="1"/>
  <c r="BC137" i="6"/>
  <c r="BG137" i="6" s="1"/>
  <c r="BC133" i="6"/>
  <c r="BG133" i="6" s="1"/>
  <c r="BC129" i="6"/>
  <c r="BG129" i="6" s="1"/>
  <c r="BC149" i="6"/>
  <c r="BG149" i="6" s="1"/>
  <c r="BC146" i="6"/>
  <c r="BG146" i="6" s="1"/>
  <c r="BC140" i="6"/>
  <c r="BG140" i="6" s="1"/>
  <c r="BC134" i="6"/>
  <c r="BG134" i="6" s="1"/>
  <c r="BC130" i="6"/>
  <c r="BG130" i="6" s="1"/>
  <c r="BC126" i="6"/>
  <c r="BG126" i="6" s="1"/>
  <c r="BC113" i="6"/>
  <c r="BG113" i="6" s="1"/>
  <c r="BC109" i="6"/>
  <c r="BG109" i="6" s="1"/>
  <c r="BC105" i="6"/>
  <c r="BG105" i="6" s="1"/>
  <c r="BC101" i="6"/>
  <c r="BG101" i="6" s="1"/>
  <c r="BC97" i="6"/>
  <c r="BG97" i="6" s="1"/>
  <c r="BC93" i="6"/>
  <c r="BG93" i="6" s="1"/>
  <c r="BC119" i="6"/>
  <c r="BG119" i="6" s="1"/>
  <c r="BC114" i="6"/>
  <c r="BG114" i="6" s="1"/>
  <c r="BC110" i="6"/>
  <c r="BG110" i="6" s="1"/>
  <c r="BC106" i="6"/>
  <c r="BG106" i="6" s="1"/>
  <c r="BC117" i="6"/>
  <c r="BG117" i="6" s="1"/>
  <c r="BC123" i="6"/>
  <c r="BG123" i="6" s="1"/>
  <c r="BC121" i="6"/>
  <c r="BG121" i="6" s="1"/>
  <c r="BC115" i="6"/>
  <c r="BG115" i="6" s="1"/>
  <c r="BC111" i="6"/>
  <c r="BG111" i="6" s="1"/>
  <c r="BC107" i="6"/>
  <c r="BG107" i="6" s="1"/>
  <c r="BC120" i="6"/>
  <c r="BG120" i="6" s="1"/>
  <c r="BC125" i="6"/>
  <c r="BG125" i="6" s="1"/>
  <c r="BC112" i="6"/>
  <c r="BG112" i="6" s="1"/>
  <c r="BC108" i="6"/>
  <c r="BG108" i="6" s="1"/>
  <c r="BC104" i="6"/>
  <c r="BG104" i="6" s="1"/>
  <c r="BC100" i="6"/>
  <c r="BG100" i="6" s="1"/>
  <c r="BC96" i="6"/>
  <c r="BG96" i="6" s="1"/>
  <c r="BC116" i="6"/>
  <c r="BG116" i="6" s="1"/>
  <c r="BC122" i="6"/>
  <c r="BG122" i="6" s="1"/>
  <c r="BC118" i="6"/>
  <c r="BG118" i="6" s="1"/>
  <c r="BC89" i="6"/>
  <c r="BG89" i="6" s="1"/>
  <c r="BC85" i="6"/>
  <c r="BG85" i="6" s="1"/>
  <c r="BC81" i="6"/>
  <c r="BG81" i="6" s="1"/>
  <c r="BC77" i="6"/>
  <c r="BG77" i="6" s="1"/>
  <c r="BC73" i="6"/>
  <c r="BG73" i="6" s="1"/>
  <c r="BC95" i="6"/>
  <c r="BG95" i="6" s="1"/>
  <c r="BC94" i="6"/>
  <c r="BG94" i="6" s="1"/>
  <c r="BC102" i="6"/>
  <c r="BG102" i="6" s="1"/>
  <c r="BC90" i="6"/>
  <c r="BG90" i="6" s="1"/>
  <c r="BC86" i="6"/>
  <c r="BG86" i="6" s="1"/>
  <c r="BC82" i="6"/>
  <c r="BG82" i="6" s="1"/>
  <c r="BC98" i="6"/>
  <c r="BG98" i="6" s="1"/>
  <c r="BC103" i="6"/>
  <c r="BG103" i="6" s="1"/>
  <c r="BC99" i="6"/>
  <c r="BG99" i="6" s="1"/>
  <c r="BC91" i="6"/>
  <c r="BG91" i="6" s="1"/>
  <c r="BC87" i="6"/>
  <c r="BG87" i="6" s="1"/>
  <c r="BC83" i="6"/>
  <c r="BG83" i="6" s="1"/>
  <c r="BC88" i="6"/>
  <c r="BG88" i="6" s="1"/>
  <c r="BC84" i="6"/>
  <c r="BG84" i="6" s="1"/>
  <c r="BC80" i="6"/>
  <c r="BG80" i="6" s="1"/>
  <c r="BC92" i="6"/>
  <c r="BG92" i="6" s="1"/>
  <c r="BC71" i="6"/>
  <c r="BG71" i="6" s="1"/>
  <c r="BC68" i="6"/>
  <c r="BG68" i="6" s="1"/>
  <c r="BC64" i="6"/>
  <c r="BG64" i="6" s="1"/>
  <c r="BC60" i="6"/>
  <c r="BG60" i="6" s="1"/>
  <c r="BC56" i="6"/>
  <c r="BG56" i="6" s="1"/>
  <c r="BC76" i="6"/>
  <c r="BG76" i="6" s="1"/>
  <c r="BC69" i="6"/>
  <c r="BG69" i="6" s="1"/>
  <c r="BC65" i="6"/>
  <c r="BG65" i="6" s="1"/>
  <c r="BC61" i="6"/>
  <c r="BG61" i="6" s="1"/>
  <c r="BC57" i="6"/>
  <c r="BG57" i="6" s="1"/>
  <c r="BC53" i="6"/>
  <c r="BG53" i="6" s="1"/>
  <c r="BC75" i="6"/>
  <c r="BG75" i="6" s="1"/>
  <c r="BC79" i="6"/>
  <c r="BG79" i="6" s="1"/>
  <c r="BC72" i="6"/>
  <c r="BG72" i="6" s="1"/>
  <c r="BC74" i="6"/>
  <c r="BG74" i="6" s="1"/>
  <c r="BC66" i="6"/>
  <c r="BG66" i="6" s="1"/>
  <c r="BC62" i="6"/>
  <c r="BG62" i="6" s="1"/>
  <c r="BC78" i="6"/>
  <c r="BG78" i="6" s="1"/>
  <c r="BC70" i="6"/>
  <c r="BG70" i="6" s="1"/>
  <c r="BC67" i="6"/>
  <c r="BG67" i="6" s="1"/>
  <c r="BC63" i="6"/>
  <c r="BG63" i="6" s="1"/>
  <c r="BC59" i="6"/>
  <c r="BG59" i="6" s="1"/>
  <c r="BC50" i="6"/>
  <c r="BG50" i="6" s="1"/>
  <c r="BC47" i="6"/>
  <c r="BG47" i="6" s="1"/>
  <c r="BC43" i="6"/>
  <c r="BG43" i="6" s="1"/>
  <c r="BC39" i="6"/>
  <c r="BG39" i="6" s="1"/>
  <c r="BC58" i="6"/>
  <c r="BG58" i="6" s="1"/>
  <c r="BC48" i="6"/>
  <c r="BG48" i="6" s="1"/>
  <c r="BC44" i="6"/>
  <c r="BG44" i="6" s="1"/>
  <c r="BC40" i="6"/>
  <c r="BG40" i="6" s="1"/>
  <c r="BC54" i="6"/>
  <c r="BG54" i="6" s="1"/>
  <c r="BC52" i="6"/>
  <c r="BG52" i="6" s="1"/>
  <c r="BC49" i="6"/>
  <c r="BG49" i="6" s="1"/>
  <c r="BC45" i="6"/>
  <c r="BG45" i="6" s="1"/>
  <c r="BC41" i="6"/>
  <c r="BG41" i="6" s="1"/>
  <c r="BC37" i="6"/>
  <c r="BG37" i="6" s="1"/>
  <c r="BC51" i="6"/>
  <c r="BG51" i="6" s="1"/>
  <c r="BC46" i="6"/>
  <c r="BG46" i="6" s="1"/>
  <c r="BC42" i="6"/>
  <c r="BG42" i="6" s="1"/>
  <c r="BC38" i="6"/>
  <c r="BG38" i="6" s="1"/>
  <c r="BC55" i="6"/>
  <c r="BG55" i="6" s="1"/>
  <c r="P2" i="9"/>
  <c r="O19" i="9"/>
  <c r="Q3" i="9"/>
  <c r="P20" i="9"/>
  <c r="BA22" i="6"/>
  <c r="BC22" i="6"/>
  <c r="BH20" i="6"/>
  <c r="BH1" i="6"/>
  <c r="BN2" i="6"/>
  <c r="BB19" i="6"/>
  <c r="P23" i="9"/>
  <c r="BK202" i="6"/>
  <c r="BH117" i="6"/>
  <c r="BH179" i="6"/>
  <c r="BK81" i="6"/>
  <c r="P116" i="9"/>
  <c r="BI191" i="6" a="1"/>
  <c r="P87" i="9"/>
  <c r="BK40" i="6"/>
  <c r="P42" i="9"/>
  <c r="BL177" i="6"/>
  <c r="BK113" i="6"/>
  <c r="BJ180" i="6"/>
  <c r="BK125" i="6"/>
  <c r="BL61" i="6"/>
  <c r="BH121" i="6"/>
  <c r="BJ105" i="6"/>
  <c r="BI62" i="6" a="1"/>
  <c r="BK195" i="6"/>
  <c r="P60" i="9"/>
  <c r="BK52" i="6"/>
  <c r="BI79" i="6" a="1"/>
  <c r="BI44" i="6" a="1"/>
  <c r="BK175" i="6"/>
  <c r="BJ82" i="6"/>
  <c r="BK127" i="6"/>
  <c r="BK69" i="6"/>
  <c r="BI46" i="6" a="1"/>
  <c r="BL27" i="6"/>
  <c r="BH144" i="6"/>
  <c r="BJ182" i="6"/>
  <c r="BJ187" i="6"/>
  <c r="BI194" i="6" a="1"/>
  <c r="BH81" i="6"/>
  <c r="BJ60" i="6"/>
  <c r="BK91" i="6"/>
  <c r="BL126" i="6"/>
  <c r="BK164" i="6"/>
  <c r="BK118" i="6"/>
  <c r="P46" i="9"/>
  <c r="BJ143" i="6"/>
  <c r="BJ196" i="6"/>
  <c r="BI188" i="6" a="1"/>
  <c r="BH116" i="6"/>
  <c r="BI95" i="6" a="1"/>
  <c r="BH69" i="6"/>
  <c r="BL128" i="6"/>
  <c r="BJ183" i="6"/>
  <c r="BI184" i="6" a="1"/>
  <c r="P90" i="9"/>
  <c r="BJ154" i="6"/>
  <c r="P99" i="9"/>
  <c r="BH133" i="6"/>
  <c r="BJ201" i="6"/>
  <c r="BH189" i="6"/>
  <c r="BI128" i="6" a="1"/>
  <c r="BJ27" i="6"/>
  <c r="BH78" i="6"/>
  <c r="BK112" i="6"/>
  <c r="BH112" i="6"/>
  <c r="BI147" i="6" a="1"/>
  <c r="P95" i="9"/>
  <c r="BJ189" i="6"/>
  <c r="P50" i="9"/>
  <c r="BI176" i="6" a="1"/>
  <c r="P104" i="9"/>
  <c r="BJ205" i="6"/>
  <c r="BJ181" i="6"/>
  <c r="BI168" i="6" a="1"/>
  <c r="BH59" i="6"/>
  <c r="BJ94" i="6"/>
  <c r="BL142" i="6"/>
  <c r="BH204" i="6"/>
  <c r="BL101" i="6"/>
  <c r="BL93" i="6"/>
  <c r="P39" i="9"/>
  <c r="BL123" i="6"/>
  <c r="BL163" i="6"/>
  <c r="BH41" i="6"/>
  <c r="BH164" i="6"/>
  <c r="BI86" i="6" a="1"/>
  <c r="BI70" i="6" a="1"/>
  <c r="BL185" i="6"/>
  <c r="BH97" i="6"/>
  <c r="BI31" i="6" a="1"/>
  <c r="BJ59" i="6"/>
  <c r="BK70" i="6"/>
  <c r="BK136" i="6"/>
  <c r="BI137" i="6" a="1"/>
  <c r="BL148" i="6"/>
  <c r="BH198" i="6"/>
  <c r="BK83" i="6"/>
  <c r="BL69" i="6"/>
  <c r="BJ104" i="6"/>
  <c r="BI123" i="6" a="1"/>
  <c r="BH33" i="6"/>
  <c r="BH50" i="6"/>
  <c r="BH169" i="6"/>
  <c r="BH193" i="6"/>
  <c r="BH56" i="6"/>
  <c r="BL161" i="6"/>
  <c r="BH79" i="6"/>
  <c r="BH80" i="6"/>
  <c r="BL87" i="6"/>
  <c r="BL164" i="6"/>
  <c r="BJ31" i="6"/>
  <c r="BK168" i="6"/>
  <c r="BJ123" i="6"/>
  <c r="BI111" i="6" a="1"/>
  <c r="BK87" i="6"/>
  <c r="BI164" i="6" a="1"/>
  <c r="BI100" i="6" a="1"/>
  <c r="BK173" i="6"/>
  <c r="P132" i="9"/>
  <c r="BH84" i="6"/>
  <c r="BH167" i="6"/>
  <c r="BJ107" i="6"/>
  <c r="BH165" i="6"/>
  <c r="P58" i="9"/>
  <c r="BJ75" i="6"/>
  <c r="P112" i="9"/>
  <c r="BL103" i="6"/>
  <c r="P35" i="9"/>
  <c r="BH145" i="6"/>
  <c r="BJ44" i="6"/>
  <c r="BJ64" i="6"/>
  <c r="BI201" i="6" a="1"/>
  <c r="BI66" i="6" a="1"/>
  <c r="BI174" i="6" a="1"/>
  <c r="BK63" i="6"/>
  <c r="BL195" i="6"/>
  <c r="BJ176" i="6"/>
  <c r="P125" i="9"/>
  <c r="BJ41" i="6"/>
  <c r="BK59" i="6"/>
  <c r="BK120" i="6"/>
  <c r="BI65" i="6" a="1"/>
  <c r="BK165" i="6"/>
  <c r="BL89" i="6"/>
  <c r="BI58" i="6" a="1"/>
  <c r="BH122" i="6"/>
  <c r="BJ66" i="6"/>
  <c r="BK41" i="6"/>
  <c r="BI170" i="6" a="1"/>
  <c r="BI167" i="6" a="1"/>
  <c r="BI189" i="6" a="1"/>
  <c r="BI183" i="6" a="1"/>
  <c r="BJ43" i="6"/>
  <c r="BJ184" i="6"/>
  <c r="BI33" i="6" a="1"/>
  <c r="P127" i="9"/>
  <c r="BJ145" i="6"/>
  <c r="BL181" i="6"/>
  <c r="BH125" i="6"/>
  <c r="BL111" i="6"/>
  <c r="BK77" i="6"/>
  <c r="P111" i="9"/>
  <c r="BK166" i="6"/>
  <c r="BH203" i="6"/>
  <c r="BK45" i="6"/>
  <c r="BL74" i="6"/>
  <c r="P120" i="9"/>
  <c r="BL129" i="6"/>
  <c r="P43" i="9"/>
  <c r="BJ138" i="6"/>
  <c r="BJ36" i="6"/>
  <c r="BK170" i="6"/>
  <c r="BL196" i="6"/>
  <c r="BH190" i="6"/>
  <c r="P121" i="9"/>
  <c r="BH102" i="6"/>
  <c r="BH114" i="6"/>
  <c r="BK137" i="6"/>
  <c r="BH103" i="6"/>
  <c r="BJ136" i="6"/>
  <c r="P64" i="9"/>
  <c r="BI203" i="6" a="1"/>
  <c r="BL121" i="6"/>
  <c r="BJ165" i="6"/>
  <c r="BI98" i="6" a="1"/>
  <c r="BL44" i="6"/>
  <c r="BL58" i="6"/>
  <c r="P65" i="9"/>
  <c r="BL50" i="6"/>
  <c r="P22" i="9"/>
  <c r="BI99" i="6" a="1"/>
  <c r="BL54" i="6"/>
  <c r="BL157" i="6"/>
  <c r="BJ63" i="6"/>
  <c r="BJ73" i="6"/>
  <c r="BK151" i="6"/>
  <c r="BH132" i="6"/>
  <c r="BI61" i="6" a="1"/>
  <c r="BK197" i="6"/>
  <c r="BJ200" i="6"/>
  <c r="BH118" i="6"/>
  <c r="BI159" i="6" a="1"/>
  <c r="BJ115" i="6"/>
  <c r="BI52" i="6" a="1"/>
  <c r="P28" i="9"/>
  <c r="BL156" i="6"/>
  <c r="BK196" i="6"/>
  <c r="BH54" i="6"/>
  <c r="BJ108" i="6"/>
  <c r="BK184" i="6"/>
  <c r="P54" i="9"/>
  <c r="P74" i="9"/>
  <c r="BL80" i="6"/>
  <c r="BJ61" i="6"/>
  <c r="BH85" i="6"/>
  <c r="BK65" i="6"/>
  <c r="P51" i="9"/>
  <c r="BL106" i="6"/>
  <c r="BK34" i="6"/>
  <c r="BJ149" i="6"/>
  <c r="BK30" i="6"/>
  <c r="BJ117" i="6"/>
  <c r="BK176" i="6"/>
  <c r="BL203" i="6"/>
  <c r="P84" i="9"/>
  <c r="BJ53" i="6"/>
  <c r="BJ22" i="6"/>
  <c r="BL124" i="6"/>
  <c r="BI139" i="6" a="1"/>
  <c r="BL41" i="6"/>
  <c r="BH32" i="6"/>
  <c r="BJ54" i="6"/>
  <c r="BH159" i="6"/>
  <c r="BJ72" i="6"/>
  <c r="BJ175" i="6"/>
  <c r="P136" i="9"/>
  <c r="BK44" i="6"/>
  <c r="BI132" i="6" a="1"/>
  <c r="BH113" i="6"/>
  <c r="BL72" i="6"/>
  <c r="BL26" i="6"/>
  <c r="BI134" i="6" a="1"/>
  <c r="BH23" i="6"/>
  <c r="BL122" i="6"/>
  <c r="BL36" i="6"/>
  <c r="BJ191" i="6"/>
  <c r="BH171" i="6"/>
  <c r="BL59" i="6"/>
  <c r="P63" i="9"/>
  <c r="BI177" i="6" a="1"/>
  <c r="P113" i="9"/>
  <c r="BK67" i="6"/>
  <c r="BL130" i="6"/>
  <c r="BJ37" i="6"/>
  <c r="BH34" i="6"/>
  <c r="BJ173" i="6"/>
  <c r="BH45" i="6"/>
  <c r="BI202" i="6" a="1"/>
  <c r="BK130" i="6"/>
  <c r="BL97" i="6"/>
  <c r="BI144" i="6" a="1"/>
  <c r="P93" i="9"/>
  <c r="BJ77" i="6"/>
  <c r="BJ140" i="6"/>
  <c r="BK97" i="6"/>
  <c r="BH100" i="6"/>
  <c r="BJ99" i="6"/>
  <c r="BK58" i="6"/>
  <c r="BL73" i="6"/>
  <c r="BH57" i="6"/>
  <c r="BI185" i="6" a="1"/>
  <c r="BK194" i="6"/>
  <c r="P106" i="9"/>
  <c r="BH62" i="6"/>
  <c r="P67" i="9"/>
  <c r="BH160" i="6"/>
  <c r="BJ130" i="6"/>
  <c r="BI90" i="6" a="1"/>
  <c r="BI75" i="6" a="1"/>
  <c r="BH27" i="6"/>
  <c r="BI150" i="6" a="1"/>
  <c r="BK169" i="6"/>
  <c r="BH147" i="6"/>
  <c r="BH52" i="6"/>
  <c r="BI83" i="6" a="1"/>
  <c r="P129" i="9"/>
  <c r="BL155" i="6"/>
  <c r="P26" i="9"/>
  <c r="BJ206" i="6"/>
  <c r="P76" i="9"/>
  <c r="BK132" i="6"/>
  <c r="BK147" i="6"/>
  <c r="BK185" i="6"/>
  <c r="BK32" i="6"/>
  <c r="BL112" i="6"/>
  <c r="BI71" i="6" a="1"/>
  <c r="P81" i="9"/>
  <c r="BJ51" i="6"/>
  <c r="BH153" i="6"/>
  <c r="BI88" i="6" a="1"/>
  <c r="P32" i="9"/>
  <c r="BK53" i="6"/>
  <c r="BL64" i="6"/>
  <c r="BH104" i="6"/>
  <c r="BK114" i="6"/>
  <c r="BK199" i="6"/>
  <c r="BI53" i="6" a="1"/>
  <c r="BI40" i="6" a="1"/>
  <c r="BL170" i="6"/>
  <c r="BI107" i="6" a="1"/>
  <c r="BH46" i="6"/>
  <c r="P37" i="9"/>
  <c r="BL34" i="6"/>
  <c r="BL189" i="6"/>
  <c r="BI115" i="6" a="1"/>
  <c r="BI195" i="6" a="1"/>
  <c r="BH129" i="6"/>
  <c r="BK201" i="6"/>
  <c r="BI80" i="6" a="1"/>
  <c r="BK85" i="6"/>
  <c r="BK55" i="6"/>
  <c r="BJ48" i="6"/>
  <c r="BH115" i="6"/>
  <c r="P92" i="9"/>
  <c r="BK74" i="6"/>
  <c r="P88" i="9"/>
  <c r="BL71" i="6"/>
  <c r="P55" i="9"/>
  <c r="BK71" i="6"/>
  <c r="P105" i="9"/>
  <c r="BH194" i="6"/>
  <c r="BI179" i="6" a="1"/>
  <c r="P89" i="9"/>
  <c r="BK150" i="6"/>
  <c r="P44" i="9"/>
  <c r="BK182" i="6"/>
  <c r="BH90" i="6"/>
  <c r="BL88" i="6"/>
  <c r="P110" i="9"/>
  <c r="BK48" i="6"/>
  <c r="BJ84" i="6"/>
  <c r="BL52" i="6"/>
  <c r="BH205" i="6"/>
  <c r="BJ76" i="6"/>
  <c r="BI117" i="6" a="1"/>
  <c r="BH35" i="6"/>
  <c r="BI42" i="6" a="1"/>
  <c r="BJ112" i="6"/>
  <c r="BK167" i="6"/>
  <c r="BK154" i="6"/>
  <c r="BK102" i="6"/>
  <c r="BJ190" i="6"/>
  <c r="BJ127" i="6"/>
  <c r="BK37" i="6"/>
  <c r="BH40" i="6"/>
  <c r="BJ163" i="6"/>
  <c r="P71" i="9"/>
  <c r="BH195" i="6"/>
  <c r="BJ28" i="6"/>
  <c r="BK187" i="6"/>
  <c r="P80" i="9"/>
  <c r="BH123" i="6"/>
  <c r="P68" i="9"/>
  <c r="BL200" i="6"/>
  <c r="BK129" i="6"/>
  <c r="P52" i="9"/>
  <c r="BK206" i="6"/>
  <c r="P109" i="9"/>
  <c r="BJ40" i="6"/>
  <c r="BH138" i="6"/>
  <c r="BI199" i="6" a="1"/>
  <c r="BL29" i="6"/>
  <c r="BH166" i="6"/>
  <c r="BL47" i="6"/>
  <c r="BI142" i="6" a="1"/>
  <c r="BK116" i="6"/>
  <c r="BH186" i="6"/>
  <c r="BI106" i="6" a="1"/>
  <c r="BL206" i="6"/>
  <c r="BI32" i="6" a="1"/>
  <c r="BI50" i="6" a="1"/>
  <c r="BL151" i="6"/>
  <c r="BI92" i="6" a="1"/>
  <c r="BH143" i="6"/>
  <c r="BH42" i="6"/>
  <c r="BK205" i="6"/>
  <c r="BJ144" i="6"/>
  <c r="BK119" i="6"/>
  <c r="BJ172" i="6"/>
  <c r="BJ166" i="6"/>
  <c r="P34" i="9"/>
  <c r="BL39" i="6"/>
  <c r="BJ34" i="6"/>
  <c r="BL138" i="6"/>
  <c r="BJ24" i="6"/>
  <c r="BK163" i="6"/>
  <c r="P47" i="9"/>
  <c r="BI110" i="6" a="1"/>
  <c r="BJ67" i="6"/>
  <c r="P31" i="9"/>
  <c r="BH39" i="6"/>
  <c r="P48" i="9"/>
  <c r="BI192" i="6" a="1"/>
  <c r="BL167" i="6"/>
  <c r="BL99" i="6"/>
  <c r="BL31" i="6"/>
  <c r="BJ139" i="6"/>
  <c r="BI118" i="6" a="1"/>
  <c r="BK138" i="6"/>
  <c r="BH65" i="6"/>
  <c r="BI73" i="6" a="1"/>
  <c r="BI84" i="6" a="1"/>
  <c r="BJ202" i="6"/>
  <c r="BH152" i="6"/>
  <c r="BJ81" i="6"/>
  <c r="BH89" i="6"/>
  <c r="BJ25" i="6"/>
  <c r="BL182" i="6"/>
  <c r="BI101" i="6" a="1"/>
  <c r="BI24" i="6" a="1"/>
  <c r="BK190" i="6"/>
  <c r="BL153" i="6"/>
  <c r="BL135" i="6"/>
  <c r="BJ65" i="6"/>
  <c r="BH29" i="6"/>
  <c r="BJ118" i="6"/>
  <c r="BH71" i="6"/>
  <c r="BJ169" i="6"/>
  <c r="BH141" i="6"/>
  <c r="BI76" i="6" a="1"/>
  <c r="BJ114" i="6"/>
  <c r="BL75" i="6"/>
  <c r="BJ52" i="6"/>
  <c r="BJ106" i="6"/>
  <c r="BL108" i="6"/>
  <c r="BK86" i="6"/>
  <c r="P96" i="9"/>
  <c r="BJ49" i="6"/>
  <c r="BL28" i="6"/>
  <c r="BK66" i="6"/>
  <c r="BJ30" i="6"/>
  <c r="BI175" i="6" a="1"/>
  <c r="P133" i="9"/>
  <c r="BJ197" i="6"/>
  <c r="BJ178" i="6"/>
  <c r="P117" i="9"/>
  <c r="BH175" i="6"/>
  <c r="P126" i="9"/>
  <c r="BH51" i="6"/>
  <c r="BJ62" i="6"/>
  <c r="BK152" i="6"/>
  <c r="BI27" i="6" a="1"/>
  <c r="BH139" i="6"/>
  <c r="BI131" i="6" a="1"/>
  <c r="BI69" i="6" a="1"/>
  <c r="BJ161" i="6"/>
  <c r="P41" i="9"/>
  <c r="P33" i="9"/>
  <c r="BL172" i="6"/>
  <c r="BL199" i="6"/>
  <c r="BJ156" i="6"/>
  <c r="BL76" i="6"/>
  <c r="BJ35" i="6"/>
  <c r="BL127" i="6"/>
  <c r="BL169" i="6"/>
  <c r="BL104" i="6"/>
  <c r="BI181" i="6" a="1"/>
  <c r="BH168" i="6"/>
  <c r="BK22" i="6"/>
  <c r="BI166" i="6" a="1"/>
  <c r="BI29" i="6" a="1"/>
  <c r="BK84" i="6"/>
  <c r="BH76" i="6"/>
  <c r="BK39" i="6"/>
  <c r="BI204" i="6" a="1"/>
  <c r="BJ83" i="6"/>
  <c r="BH87" i="6"/>
  <c r="BH134" i="6"/>
  <c r="BH47" i="6"/>
  <c r="P38" i="9"/>
  <c r="BK105" i="6"/>
  <c r="BK46" i="6"/>
  <c r="BL184" i="6"/>
  <c r="BJ179" i="6"/>
  <c r="BH49" i="6"/>
  <c r="BK156" i="6"/>
  <c r="BJ204" i="6"/>
  <c r="BI172" i="6" a="1"/>
  <c r="BJ194" i="6"/>
  <c r="BI157" i="6" a="1"/>
  <c r="BI60" i="6" a="1"/>
  <c r="BI173" i="6" a="1"/>
  <c r="P27" i="9"/>
  <c r="BL60" i="6"/>
  <c r="BJ124" i="6"/>
  <c r="BJ47" i="6"/>
  <c r="BL24" i="6"/>
  <c r="BH44" i="6"/>
  <c r="P72" i="9"/>
  <c r="BL85" i="6"/>
  <c r="BH67" i="6"/>
  <c r="P56" i="9"/>
  <c r="BK179" i="6"/>
  <c r="BH24" i="6"/>
  <c r="BI148" i="6" a="1"/>
  <c r="BH158" i="6"/>
  <c r="BJ162" i="6"/>
  <c r="BK161" i="6"/>
  <c r="BJ168" i="6"/>
  <c r="BL92" i="6"/>
  <c r="BL160" i="6"/>
  <c r="BH149" i="6"/>
  <c r="P69" i="9"/>
  <c r="P130" i="9"/>
  <c r="BK148" i="6"/>
  <c r="BJ177" i="6"/>
  <c r="BJ137" i="6"/>
  <c r="BL45" i="6"/>
  <c r="BI127" i="6" a="1"/>
  <c r="BK106" i="6"/>
  <c r="BK96" i="6"/>
  <c r="BK204" i="6"/>
  <c r="BJ147" i="6"/>
  <c r="BK61" i="6"/>
  <c r="BH91" i="6"/>
  <c r="BK153" i="6"/>
  <c r="BJ85" i="6"/>
  <c r="BH174" i="6"/>
  <c r="BI94" i="6" a="1"/>
  <c r="BH101" i="6"/>
  <c r="BJ32" i="6"/>
  <c r="BL43" i="6"/>
  <c r="BL46" i="6"/>
  <c r="BL114" i="6"/>
  <c r="BJ71" i="6"/>
  <c r="BL117" i="6"/>
  <c r="BH36" i="6"/>
  <c r="BL154" i="6"/>
  <c r="BH156" i="6"/>
  <c r="P134" i="9"/>
  <c r="BK180" i="6"/>
  <c r="BH26" i="6"/>
  <c r="BH98" i="6"/>
  <c r="BK62" i="6"/>
  <c r="BJ155" i="6"/>
  <c r="BK159" i="6"/>
  <c r="BJ110" i="6"/>
  <c r="BH181" i="6"/>
  <c r="BJ125" i="6"/>
  <c r="BH48" i="6"/>
  <c r="P131" i="9"/>
  <c r="P61" i="9"/>
  <c r="BJ70" i="6"/>
  <c r="BK157" i="6"/>
  <c r="BJ87" i="6"/>
  <c r="BL125" i="6"/>
  <c r="BI125" i="6" a="1"/>
  <c r="BL202" i="6"/>
  <c r="BK93" i="6"/>
  <c r="BJ39" i="6"/>
  <c r="P124" i="9"/>
  <c r="BJ135" i="6"/>
  <c r="BJ141" i="6"/>
  <c r="BH109" i="6"/>
  <c r="BL40" i="6"/>
  <c r="BI200" i="6" a="1"/>
  <c r="BK108" i="6"/>
  <c r="BJ109" i="6"/>
  <c r="BH170" i="6"/>
  <c r="BK26" i="6"/>
  <c r="BK78" i="6"/>
  <c r="BH64" i="6"/>
  <c r="BJ192" i="6"/>
  <c r="BK101" i="6"/>
  <c r="BH162" i="6"/>
  <c r="BJ26" i="6"/>
  <c r="BH111" i="6"/>
  <c r="BK56" i="6"/>
  <c r="BH28" i="6"/>
  <c r="BL140" i="6"/>
  <c r="BK24" i="6"/>
  <c r="BL191" i="6"/>
  <c r="BL150" i="6"/>
  <c r="BL145" i="6"/>
  <c r="BH70" i="6"/>
  <c r="BH202" i="6"/>
  <c r="BH128" i="6"/>
  <c r="BK140" i="6"/>
  <c r="BL205" i="6"/>
  <c r="P86" i="9"/>
  <c r="P123" i="9"/>
  <c r="BL187" i="6"/>
  <c r="BI178" i="6" a="1"/>
  <c r="BK43" i="6"/>
  <c r="BH146" i="6"/>
  <c r="BH58" i="6"/>
  <c r="BI93" i="6" a="1"/>
  <c r="BH66" i="6"/>
  <c r="BH68" i="6"/>
  <c r="BL180" i="6"/>
  <c r="BI129" i="6" a="1"/>
  <c r="P45" i="9"/>
  <c r="BJ167" i="6"/>
  <c r="BI67" i="6" a="1"/>
  <c r="P107" i="9"/>
  <c r="BK186" i="6"/>
  <c r="BJ78" i="6"/>
  <c r="P30" i="9"/>
  <c r="BH110" i="6"/>
  <c r="BI34" i="6" a="1"/>
  <c r="BI153" i="6" a="1"/>
  <c r="BL175" i="6"/>
  <c r="BJ56" i="6"/>
  <c r="BL137" i="6"/>
  <c r="P103" i="9"/>
  <c r="BH55" i="6"/>
  <c r="BK143" i="6"/>
  <c r="BK123" i="6"/>
  <c r="BI171" i="6" a="1"/>
  <c r="BJ74" i="6"/>
  <c r="BL94" i="6"/>
  <c r="BJ174" i="6"/>
  <c r="BK177" i="6"/>
  <c r="BL32" i="6"/>
  <c r="BH119" i="6"/>
  <c r="BI156" i="6" a="1"/>
  <c r="BH155" i="6"/>
  <c r="BJ119" i="6"/>
  <c r="BJ93" i="6"/>
  <c r="BK36" i="6"/>
  <c r="BL179" i="6"/>
  <c r="BL96" i="6"/>
  <c r="BH30" i="6"/>
  <c r="BL91" i="6"/>
  <c r="BH108" i="6"/>
  <c r="BI190" i="6" a="1"/>
  <c r="BH60" i="6"/>
  <c r="BL193" i="6"/>
  <c r="BJ111" i="6"/>
  <c r="BJ92" i="6"/>
  <c r="BK54" i="6"/>
  <c r="BH201" i="6"/>
  <c r="BI64" i="6" a="1"/>
  <c r="BK29" i="6"/>
  <c r="P78" i="9"/>
  <c r="BL120" i="6"/>
  <c r="BJ68" i="6"/>
  <c r="BI78" i="6" a="1"/>
  <c r="BJ38" i="6"/>
  <c r="BH94" i="6"/>
  <c r="BH126" i="6"/>
  <c r="BK73" i="6"/>
  <c r="BI68" i="6" a="1"/>
  <c r="BK144" i="6"/>
  <c r="BK94" i="6"/>
  <c r="BK178" i="6"/>
  <c r="BL37" i="6"/>
  <c r="BL51" i="6"/>
  <c r="BL49" i="6"/>
  <c r="BI57" i="6" a="1"/>
  <c r="BL168" i="6"/>
  <c r="BH163" i="6"/>
  <c r="BL86" i="6"/>
  <c r="P82" i="9"/>
  <c r="BL62" i="6"/>
  <c r="BH150" i="6"/>
  <c r="P75" i="9"/>
  <c r="P91" i="9"/>
  <c r="BK115" i="6"/>
  <c r="BK99" i="6"/>
  <c r="BI89" i="6" a="1"/>
  <c r="BJ157" i="6"/>
  <c r="P66" i="9"/>
  <c r="BK103" i="6"/>
  <c r="BI145" i="6" a="1"/>
  <c r="BH61" i="6"/>
  <c r="BK172" i="6"/>
  <c r="BK79" i="6"/>
  <c r="BH140" i="6"/>
  <c r="BL55" i="6"/>
  <c r="BH130" i="6"/>
  <c r="BL146" i="6"/>
  <c r="BL107" i="6"/>
  <c r="BK110" i="6"/>
  <c r="BJ57" i="6"/>
  <c r="BI54" i="6" a="1"/>
  <c r="BI103" i="6" a="1"/>
  <c r="BJ134" i="6"/>
  <c r="BL147" i="6"/>
  <c r="BJ185" i="6"/>
  <c r="BK28" i="6"/>
  <c r="BJ46" i="6"/>
  <c r="BL152" i="6"/>
  <c r="BL67" i="6"/>
  <c r="BI187" i="6" a="1"/>
  <c r="BH151" i="6"/>
  <c r="BK131" i="6"/>
  <c r="BH53" i="6"/>
  <c r="BK128" i="6"/>
  <c r="BL131" i="6"/>
  <c r="BH73" i="6"/>
  <c r="BK35" i="6"/>
  <c r="BK25" i="6"/>
  <c r="P25" i="9"/>
  <c r="BI96" i="6" a="1"/>
  <c r="BL100" i="6"/>
  <c r="BL134" i="6"/>
  <c r="BJ151" i="6"/>
  <c r="P119" i="9"/>
  <c r="BL144" i="6"/>
  <c r="BH154" i="6"/>
  <c r="BL84" i="6"/>
  <c r="P83" i="9"/>
  <c r="BL197" i="6"/>
  <c r="BK42" i="6"/>
  <c r="P128" i="9"/>
  <c r="BL186" i="6"/>
  <c r="BL53" i="6"/>
  <c r="BH93" i="6"/>
  <c r="BI104" i="6" a="1"/>
  <c r="BI77" i="6" a="1"/>
  <c r="BJ79" i="6"/>
  <c r="BK126" i="6"/>
  <c r="BJ195" i="6"/>
  <c r="BH192" i="6"/>
  <c r="BL81" i="6"/>
  <c r="BK200" i="6"/>
  <c r="BL90" i="6"/>
  <c r="BL98" i="6"/>
  <c r="BI154" i="6" a="1"/>
  <c r="BK49" i="6"/>
  <c r="BJ100" i="6"/>
  <c r="BL48" i="6"/>
  <c r="BH99" i="6"/>
  <c r="BH180" i="6"/>
  <c r="BH75" i="6"/>
  <c r="P73" i="9"/>
  <c r="BH188" i="6"/>
  <c r="BK64" i="6"/>
  <c r="BL79" i="6"/>
  <c r="BI158" i="6" a="1"/>
  <c r="BL162" i="6"/>
  <c r="BL143" i="6"/>
  <c r="BL57" i="6"/>
  <c r="BI26" i="6" a="1"/>
  <c r="BK31" i="6"/>
  <c r="P122" i="9"/>
  <c r="BH182" i="6"/>
  <c r="P114" i="9"/>
  <c r="BI43" i="6" a="1"/>
  <c r="BL165" i="6"/>
  <c r="BK160" i="6"/>
  <c r="BL105" i="6"/>
  <c r="BL113" i="6"/>
  <c r="BI25" i="6" a="1"/>
  <c r="BH106" i="6"/>
  <c r="BL83" i="6"/>
  <c r="BI22" i="6" a="1"/>
  <c r="P59" i="9"/>
  <c r="BI161" i="6" a="1"/>
  <c r="BJ148" i="6"/>
  <c r="BK155" i="6"/>
  <c r="BJ95" i="6"/>
  <c r="BH96" i="6"/>
  <c r="BK146" i="6"/>
  <c r="BJ90" i="6"/>
  <c r="BH22" i="6"/>
  <c r="BJ129" i="6"/>
  <c r="BJ113" i="6"/>
  <c r="BI143" i="6" a="1"/>
  <c r="BH38" i="6"/>
  <c r="BL166" i="6"/>
  <c r="BK133" i="6"/>
  <c r="BI182" i="6" a="1"/>
  <c r="BJ91" i="6"/>
  <c r="BJ89" i="6"/>
  <c r="BK72" i="6"/>
  <c r="BH148" i="6"/>
  <c r="BI41" i="6" a="1"/>
  <c r="P36" i="9"/>
  <c r="BI146" i="6" a="1"/>
  <c r="BK109" i="6"/>
  <c r="BK174" i="6"/>
  <c r="BJ101" i="6"/>
  <c r="BI122" i="6" a="1"/>
  <c r="BI82" i="6" a="1"/>
  <c r="BI112" i="6" a="1"/>
  <c r="BI30" i="6" a="1"/>
  <c r="P53" i="9"/>
  <c r="BI136" i="6" a="1"/>
  <c r="BL56" i="6"/>
  <c r="BJ98" i="6"/>
  <c r="BI91" i="6" a="1"/>
  <c r="BI155" i="6" a="1"/>
  <c r="BI48" i="6" a="1"/>
  <c r="BJ159" i="6"/>
  <c r="BK60" i="6"/>
  <c r="BI206" i="6" a="1"/>
  <c r="BK188" i="6"/>
  <c r="BL30" i="6"/>
  <c r="BH43" i="6"/>
  <c r="BI63" i="6" a="1"/>
  <c r="BH95" i="6"/>
  <c r="BL159" i="6"/>
  <c r="BK57" i="6"/>
  <c r="BL63" i="6"/>
  <c r="BK75" i="6"/>
  <c r="BK98" i="6"/>
  <c r="BK76" i="6"/>
  <c r="BI47" i="6" a="1"/>
  <c r="BJ132" i="6"/>
  <c r="BJ160" i="6"/>
  <c r="BJ142" i="6"/>
  <c r="BH74" i="6"/>
  <c r="BJ97" i="6"/>
  <c r="BL139" i="6"/>
  <c r="BI108" i="6" a="1"/>
  <c r="BH105" i="6"/>
  <c r="BI140" i="6" a="1"/>
  <c r="BH184" i="6"/>
  <c r="P101" i="9"/>
  <c r="BK50" i="6"/>
  <c r="BK181" i="6"/>
  <c r="BJ86" i="6"/>
  <c r="BI59" i="6" a="1"/>
  <c r="BK193" i="6"/>
  <c r="P49" i="9"/>
  <c r="BK90" i="6"/>
  <c r="BH63" i="6"/>
  <c r="BL109" i="6"/>
  <c r="P115" i="9"/>
  <c r="BL22" i="6"/>
  <c r="BJ120" i="6"/>
  <c r="BJ158" i="6"/>
  <c r="BH31" i="6"/>
  <c r="BL188" i="6"/>
  <c r="BJ50" i="6"/>
  <c r="BJ203" i="6"/>
  <c r="BK100" i="6"/>
  <c r="BL171" i="6"/>
  <c r="BL119" i="6"/>
  <c r="BL70" i="6"/>
  <c r="BL174" i="6"/>
  <c r="BI180" i="6" a="1"/>
  <c r="BH199" i="6"/>
  <c r="BL149" i="6"/>
  <c r="BJ133" i="6"/>
  <c r="BI138" i="6" a="1"/>
  <c r="BI113" i="6" a="1"/>
  <c r="BJ80" i="6"/>
  <c r="BJ146" i="6"/>
  <c r="BI135" i="6" a="1"/>
  <c r="BJ150" i="6"/>
  <c r="BL133" i="6"/>
  <c r="BK51" i="6"/>
  <c r="P40" i="9"/>
  <c r="BJ152" i="6"/>
  <c r="BK38" i="6"/>
  <c r="BK107" i="6"/>
  <c r="P57" i="9"/>
  <c r="BH83" i="6"/>
  <c r="P77" i="9"/>
  <c r="BI121" i="6" a="1"/>
  <c r="BL110" i="6"/>
  <c r="BH191" i="6"/>
  <c r="P70" i="9"/>
  <c r="BI81" i="6" a="1"/>
  <c r="P62" i="9"/>
  <c r="BK142" i="6"/>
  <c r="BL190" i="6"/>
  <c r="BI149" i="6" a="1"/>
  <c r="BI116" i="6" a="1"/>
  <c r="BL102" i="6"/>
  <c r="BH25" i="6"/>
  <c r="BJ45" i="6"/>
  <c r="BI74" i="6" a="1"/>
  <c r="BK23" i="6"/>
  <c r="BH37" i="6"/>
  <c r="BJ170" i="6"/>
  <c r="P98" i="9"/>
  <c r="BH124" i="6"/>
  <c r="BI87" i="6" a="1"/>
  <c r="BI28" i="6" a="1"/>
  <c r="BH161" i="6"/>
  <c r="BL23" i="6"/>
  <c r="BH135" i="6"/>
  <c r="BJ186" i="6"/>
  <c r="BL178" i="6"/>
  <c r="BJ131" i="6"/>
  <c r="BH72" i="6"/>
  <c r="BI36" i="6" a="1"/>
  <c r="BK162" i="6"/>
  <c r="BI163" i="6" a="1"/>
  <c r="BH137" i="6"/>
  <c r="BK104" i="6"/>
  <c r="BJ116" i="6"/>
  <c r="BH107" i="6"/>
  <c r="BI105" i="6" a="1"/>
  <c r="BI49" i="6" a="1"/>
  <c r="BH172" i="6"/>
  <c r="BL173" i="6"/>
  <c r="BI198" i="6" a="1"/>
  <c r="BI152" i="6" a="1"/>
  <c r="BH77" i="6"/>
  <c r="BK68" i="6"/>
  <c r="BK88" i="6"/>
  <c r="BI45" i="6" a="1"/>
  <c r="BK198" i="6"/>
  <c r="BK203" i="6"/>
  <c r="BH187" i="6"/>
  <c r="BK95" i="6"/>
  <c r="P118" i="9"/>
  <c r="BL204" i="6"/>
  <c r="BI109" i="6" a="1"/>
  <c r="BH176" i="6"/>
  <c r="P85" i="9"/>
  <c r="BL66" i="6"/>
  <c r="P94" i="9"/>
  <c r="BJ42" i="6"/>
  <c r="BJ103" i="6"/>
  <c r="BH178" i="6"/>
  <c r="BJ33" i="6"/>
  <c r="BK82" i="6"/>
  <c r="BJ29" i="6"/>
  <c r="BI186" i="6" a="1"/>
  <c r="BI37" i="6" a="1"/>
  <c r="P135" i="9"/>
  <c r="BL77" i="6"/>
  <c r="BJ164" i="6"/>
  <c r="BJ23" i="6"/>
  <c r="BK158" i="6"/>
  <c r="P29" i="9"/>
  <c r="BI72" i="6" a="1"/>
  <c r="BK149" i="6"/>
  <c r="BH120" i="6"/>
  <c r="BI119" i="6" a="1"/>
  <c r="BI193" i="6" a="1"/>
  <c r="BJ121" i="6"/>
  <c r="BI120" i="6" a="1"/>
  <c r="BH131" i="6"/>
  <c r="BI55" i="6" a="1"/>
  <c r="BI151" i="6" a="1"/>
  <c r="BI56" i="6" a="1"/>
  <c r="BK47" i="6"/>
  <c r="P137" i="9"/>
  <c r="BI124" i="6" a="1"/>
  <c r="BH142" i="6"/>
  <c r="BL192" i="6"/>
  <c r="BI196" i="6" a="1"/>
  <c r="BH92" i="6"/>
  <c r="BK171" i="6"/>
  <c r="BJ122" i="6"/>
  <c r="BI205" i="6" a="1"/>
  <c r="BH197" i="6"/>
  <c r="BK134" i="6"/>
  <c r="BJ193" i="6"/>
  <c r="BL198" i="6"/>
  <c r="BH183" i="6"/>
  <c r="BI39" i="6" a="1"/>
  <c r="BL33" i="6"/>
  <c r="BL116" i="6"/>
  <c r="BK92" i="6"/>
  <c r="BH127" i="6"/>
  <c r="P24" i="9"/>
  <c r="BL141" i="6"/>
  <c r="BK33" i="6"/>
  <c r="BI114" i="6" a="1"/>
  <c r="BL95" i="6"/>
  <c r="BH86" i="6"/>
  <c r="BK27" i="6"/>
  <c r="BL158" i="6"/>
  <c r="BH196" i="6"/>
  <c r="BL176" i="6"/>
  <c r="BI51" i="6" a="1"/>
  <c r="BL194" i="6"/>
  <c r="BH88" i="6"/>
  <c r="BJ188" i="6"/>
  <c r="BK121" i="6"/>
  <c r="BJ199" i="6"/>
  <c r="BK192" i="6"/>
  <c r="BI141" i="6" a="1"/>
  <c r="BK141" i="6"/>
  <c r="BL42" i="6"/>
  <c r="BI197" i="6" a="1"/>
  <c r="BK183" i="6"/>
  <c r="BL82" i="6"/>
  <c r="BH136" i="6"/>
  <c r="P100" i="9"/>
  <c r="BH185" i="6"/>
  <c r="BL115" i="6"/>
  <c r="BK145" i="6"/>
  <c r="BJ128" i="6"/>
  <c r="BJ198" i="6"/>
  <c r="BI126" i="6" a="1"/>
  <c r="BI133" i="6" a="1"/>
  <c r="BH157" i="6"/>
  <c r="BI97" i="6" a="1"/>
  <c r="BJ153" i="6"/>
  <c r="BL68" i="6"/>
  <c r="BK189" i="6"/>
  <c r="BK80" i="6"/>
  <c r="BK111" i="6"/>
  <c r="BL35" i="6"/>
  <c r="BJ171" i="6"/>
  <c r="BK124" i="6"/>
  <c r="BH206" i="6"/>
  <c r="P102" i="9"/>
  <c r="BH173" i="6"/>
  <c r="BI169" i="6" a="1"/>
  <c r="BJ69" i="6"/>
  <c r="BK139" i="6"/>
  <c r="BJ96" i="6"/>
  <c r="BL132" i="6"/>
  <c r="BI130" i="6" a="1"/>
  <c r="BI85" i="6" a="1"/>
  <c r="P108" i="9"/>
  <c r="BK117" i="6"/>
  <c r="P79" i="9"/>
  <c r="BI162" i="6" a="1"/>
  <c r="BI160" i="6" a="1"/>
  <c r="BI102" i="6" a="1"/>
  <c r="BL136" i="6"/>
  <c r="BJ102" i="6"/>
  <c r="BL78" i="6"/>
  <c r="BL38" i="6"/>
  <c r="BH177" i="6"/>
  <c r="BK122" i="6"/>
  <c r="P97" i="9"/>
  <c r="BL65" i="6"/>
  <c r="BL118" i="6"/>
  <c r="BH82" i="6"/>
  <c r="BJ58" i="6"/>
  <c r="BI23" i="6" a="1"/>
  <c r="BI165" i="6" a="1"/>
  <c r="BK135" i="6"/>
  <c r="BK89" i="6"/>
  <c r="BL25" i="6"/>
  <c r="BL201" i="6"/>
  <c r="BI35" i="6" a="1"/>
  <c r="BJ126" i="6"/>
  <c r="BJ88" i="6"/>
  <c r="BI38" i="6" a="1"/>
  <c r="BL183" i="6"/>
  <c r="BK191" i="6"/>
  <c r="BJ55" i="6"/>
  <c r="BH200" i="6"/>
  <c r="BI36" i="6" l="1"/>
  <c r="BM36" i="6" s="1"/>
  <c r="BI32" i="6"/>
  <c r="BM32" i="6" s="1"/>
  <c r="BI28" i="6"/>
  <c r="BM28" i="6" s="1"/>
  <c r="BI24" i="6"/>
  <c r="BM24" i="6" s="1"/>
  <c r="BI33" i="6"/>
  <c r="BM33" i="6" s="1"/>
  <c r="BI29" i="6"/>
  <c r="BM29" i="6" s="1"/>
  <c r="BI25" i="6"/>
  <c r="BM25" i="6" s="1"/>
  <c r="BI34" i="6"/>
  <c r="BM34" i="6" s="1"/>
  <c r="BI30" i="6"/>
  <c r="BM30" i="6" s="1"/>
  <c r="BI26" i="6"/>
  <c r="BM26" i="6" s="1"/>
  <c r="BI35" i="6"/>
  <c r="BM35" i="6" s="1"/>
  <c r="BI31" i="6"/>
  <c r="BM31" i="6" s="1"/>
  <c r="BI27" i="6"/>
  <c r="BM27" i="6" s="1"/>
  <c r="BI23" i="6"/>
  <c r="BM23" i="6" s="1"/>
  <c r="BI206" i="6"/>
  <c r="BM206" i="6" s="1"/>
  <c r="BI202" i="6"/>
  <c r="BM202" i="6" s="1"/>
  <c r="BI198" i="6"/>
  <c r="BM198" i="6" s="1"/>
  <c r="BI194" i="6"/>
  <c r="BM194" i="6" s="1"/>
  <c r="BI190" i="6"/>
  <c r="BM190" i="6" s="1"/>
  <c r="BI186" i="6"/>
  <c r="BM186" i="6" s="1"/>
  <c r="BI182" i="6"/>
  <c r="BM182" i="6" s="1"/>
  <c r="BI203" i="6"/>
  <c r="BM203" i="6" s="1"/>
  <c r="BI199" i="6"/>
  <c r="BM199" i="6" s="1"/>
  <c r="BI195" i="6"/>
  <c r="BM195" i="6" s="1"/>
  <c r="BI191" i="6"/>
  <c r="BM191" i="6" s="1"/>
  <c r="BI204" i="6"/>
  <c r="BM204" i="6" s="1"/>
  <c r="BI200" i="6"/>
  <c r="BM200" i="6" s="1"/>
  <c r="BI205" i="6"/>
  <c r="BM205" i="6" s="1"/>
  <c r="BI201" i="6"/>
  <c r="BM201" i="6" s="1"/>
  <c r="BI197" i="6"/>
  <c r="BM197" i="6" s="1"/>
  <c r="BI193" i="6"/>
  <c r="BM193" i="6" s="1"/>
  <c r="BI177" i="6"/>
  <c r="BM177" i="6" s="1"/>
  <c r="BI185" i="6"/>
  <c r="BM185" i="6" s="1"/>
  <c r="BI188" i="6"/>
  <c r="BM188" i="6" s="1"/>
  <c r="BI196" i="6"/>
  <c r="BM196" i="6" s="1"/>
  <c r="BI184" i="6"/>
  <c r="BM184" i="6" s="1"/>
  <c r="BI180" i="6"/>
  <c r="BM180" i="6" s="1"/>
  <c r="BI183" i="6"/>
  <c r="BM183" i="6" s="1"/>
  <c r="BI178" i="6"/>
  <c r="BM178" i="6" s="1"/>
  <c r="BI189" i="6"/>
  <c r="BM189" i="6" s="1"/>
  <c r="BI175" i="6"/>
  <c r="BM175" i="6" s="1"/>
  <c r="BI171" i="6"/>
  <c r="BM171" i="6" s="1"/>
  <c r="BI192" i="6"/>
  <c r="BM192" i="6" s="1"/>
  <c r="BI181" i="6"/>
  <c r="BM181" i="6" s="1"/>
  <c r="BI179" i="6"/>
  <c r="BM179" i="6" s="1"/>
  <c r="BI176" i="6"/>
  <c r="BM176" i="6" s="1"/>
  <c r="BI172" i="6"/>
  <c r="BM172" i="6" s="1"/>
  <c r="BI168" i="6"/>
  <c r="BM168" i="6" s="1"/>
  <c r="BI187" i="6"/>
  <c r="BM187" i="6" s="1"/>
  <c r="BI160" i="6"/>
  <c r="BM160" i="6" s="1"/>
  <c r="BI156" i="6"/>
  <c r="BM156" i="6" s="1"/>
  <c r="BI152" i="6"/>
  <c r="BM152" i="6" s="1"/>
  <c r="BI148" i="6"/>
  <c r="BM148" i="6" s="1"/>
  <c r="BI144" i="6"/>
  <c r="BM144" i="6" s="1"/>
  <c r="BI140" i="6"/>
  <c r="BM140" i="6" s="1"/>
  <c r="BI163" i="6"/>
  <c r="BM163" i="6" s="1"/>
  <c r="BI157" i="6"/>
  <c r="BM157" i="6" s="1"/>
  <c r="BI153" i="6"/>
  <c r="BM153" i="6" s="1"/>
  <c r="BI149" i="6"/>
  <c r="BM149" i="6" s="1"/>
  <c r="BI145" i="6"/>
  <c r="BM145" i="6" s="1"/>
  <c r="BI161" i="6"/>
  <c r="BM161" i="6" s="1"/>
  <c r="BI173" i="6"/>
  <c r="BM173" i="6" s="1"/>
  <c r="BI170" i="6"/>
  <c r="BM170" i="6" s="1"/>
  <c r="BI166" i="6"/>
  <c r="BM166" i="6" s="1"/>
  <c r="BI169" i="6"/>
  <c r="BM169" i="6" s="1"/>
  <c r="BI158" i="6"/>
  <c r="BM158" i="6" s="1"/>
  <c r="BI154" i="6"/>
  <c r="BM154" i="6" s="1"/>
  <c r="BI165" i="6"/>
  <c r="BM165" i="6" s="1"/>
  <c r="BI174" i="6"/>
  <c r="BM174" i="6" s="1"/>
  <c r="BI162" i="6"/>
  <c r="BM162" i="6" s="1"/>
  <c r="BI159" i="6"/>
  <c r="BM159" i="6" s="1"/>
  <c r="BI155" i="6"/>
  <c r="BM155" i="6" s="1"/>
  <c r="BI151" i="6"/>
  <c r="BM151" i="6" s="1"/>
  <c r="BI167" i="6"/>
  <c r="BM167" i="6" s="1"/>
  <c r="BI164" i="6"/>
  <c r="BM164" i="6" s="1"/>
  <c r="BI150" i="6"/>
  <c r="BM150" i="6" s="1"/>
  <c r="BI136" i="6"/>
  <c r="BM136" i="6" s="1"/>
  <c r="BI132" i="6"/>
  <c r="BM132" i="6" s="1"/>
  <c r="BI128" i="6"/>
  <c r="BM128" i="6" s="1"/>
  <c r="BI124" i="6"/>
  <c r="BM124" i="6" s="1"/>
  <c r="BI139" i="6"/>
  <c r="BM139" i="6" s="1"/>
  <c r="BI147" i="6"/>
  <c r="BM147" i="6" s="1"/>
  <c r="BI142" i="6"/>
  <c r="BM142" i="6" s="1"/>
  <c r="BI141" i="6"/>
  <c r="BM141" i="6" s="1"/>
  <c r="BI137" i="6"/>
  <c r="BM137" i="6" s="1"/>
  <c r="BI133" i="6"/>
  <c r="BM133" i="6" s="1"/>
  <c r="BI129" i="6"/>
  <c r="BM129" i="6" s="1"/>
  <c r="BI125" i="6"/>
  <c r="BM125" i="6" s="1"/>
  <c r="BI121" i="6"/>
  <c r="BM121" i="6" s="1"/>
  <c r="BI143" i="6"/>
  <c r="BM143" i="6" s="1"/>
  <c r="BI146" i="6"/>
  <c r="BM146" i="6" s="1"/>
  <c r="BI134" i="6"/>
  <c r="BM134" i="6" s="1"/>
  <c r="BI130" i="6"/>
  <c r="BM130" i="6" s="1"/>
  <c r="BI126" i="6"/>
  <c r="BM126" i="6" s="1"/>
  <c r="BI122" i="6"/>
  <c r="BM122" i="6" s="1"/>
  <c r="BI138" i="6"/>
  <c r="BM138" i="6" s="1"/>
  <c r="BI135" i="6"/>
  <c r="BM135" i="6" s="1"/>
  <c r="BI131" i="6"/>
  <c r="BM131" i="6" s="1"/>
  <c r="BI127" i="6"/>
  <c r="BM127" i="6" s="1"/>
  <c r="BI114" i="6"/>
  <c r="BM114" i="6" s="1"/>
  <c r="BI110" i="6"/>
  <c r="BM110" i="6" s="1"/>
  <c r="BI106" i="6"/>
  <c r="BM106" i="6" s="1"/>
  <c r="BI102" i="6"/>
  <c r="BM102" i="6" s="1"/>
  <c r="BI98" i="6"/>
  <c r="BM98" i="6" s="1"/>
  <c r="BI117" i="6"/>
  <c r="BM117" i="6" s="1"/>
  <c r="BI115" i="6"/>
  <c r="BM115" i="6" s="1"/>
  <c r="BI111" i="6"/>
  <c r="BM111" i="6" s="1"/>
  <c r="BI107" i="6"/>
  <c r="BM107" i="6" s="1"/>
  <c r="BI123" i="6"/>
  <c r="BM123" i="6" s="1"/>
  <c r="BI120" i="6"/>
  <c r="BM120" i="6" s="1"/>
  <c r="BI112" i="6"/>
  <c r="BM112" i="6" s="1"/>
  <c r="BI108" i="6"/>
  <c r="BM108" i="6" s="1"/>
  <c r="BI104" i="6"/>
  <c r="BM104" i="6" s="1"/>
  <c r="BI100" i="6"/>
  <c r="BM100" i="6" s="1"/>
  <c r="BI116" i="6"/>
  <c r="BM116" i="6" s="1"/>
  <c r="BI118" i="6"/>
  <c r="BM118" i="6" s="1"/>
  <c r="BI113" i="6"/>
  <c r="BM113" i="6" s="1"/>
  <c r="BI109" i="6"/>
  <c r="BM109" i="6" s="1"/>
  <c r="BI105" i="6"/>
  <c r="BM105" i="6" s="1"/>
  <c r="BI101" i="6"/>
  <c r="BM101" i="6" s="1"/>
  <c r="BI119" i="6"/>
  <c r="BM119" i="6" s="1"/>
  <c r="BI90" i="6"/>
  <c r="BM90" i="6" s="1"/>
  <c r="BI86" i="6"/>
  <c r="BM86" i="6" s="1"/>
  <c r="BI82" i="6"/>
  <c r="BM82" i="6" s="1"/>
  <c r="BI96" i="6"/>
  <c r="BM96" i="6" s="1"/>
  <c r="BI93" i="6"/>
  <c r="BM93" i="6" s="1"/>
  <c r="BI91" i="6"/>
  <c r="BM91" i="6" s="1"/>
  <c r="BI87" i="6"/>
  <c r="BM87" i="6" s="1"/>
  <c r="BI83" i="6"/>
  <c r="BM83" i="6" s="1"/>
  <c r="BI99" i="6"/>
  <c r="BM99" i="6" s="1"/>
  <c r="BI103" i="6"/>
  <c r="BM103" i="6" s="1"/>
  <c r="BI88" i="6"/>
  <c r="BM88" i="6" s="1"/>
  <c r="BI84" i="6"/>
  <c r="BM84" i="6" s="1"/>
  <c r="BI97" i="6"/>
  <c r="BM97" i="6" s="1"/>
  <c r="BI92" i="6"/>
  <c r="BM92" i="6" s="1"/>
  <c r="BI89" i="6"/>
  <c r="BM89" i="6" s="1"/>
  <c r="BI85" i="6"/>
  <c r="BM85" i="6" s="1"/>
  <c r="BI81" i="6"/>
  <c r="BM81" i="6" s="1"/>
  <c r="BI95" i="6"/>
  <c r="BM95" i="6" s="1"/>
  <c r="BI94" i="6"/>
  <c r="BM94" i="6" s="1"/>
  <c r="BI76" i="6"/>
  <c r="BM76" i="6" s="1"/>
  <c r="BI69" i="6"/>
  <c r="BM69" i="6" s="1"/>
  <c r="BI65" i="6"/>
  <c r="BM65" i="6" s="1"/>
  <c r="BI61" i="6"/>
  <c r="BM61" i="6" s="1"/>
  <c r="BI77" i="6"/>
  <c r="BM77" i="6" s="1"/>
  <c r="BI75" i="6"/>
  <c r="BM75" i="6" s="1"/>
  <c r="BI72" i="6"/>
  <c r="BM72" i="6" s="1"/>
  <c r="BI79" i="6"/>
  <c r="BM79" i="6" s="1"/>
  <c r="BI66" i="6"/>
  <c r="BM66" i="6" s="1"/>
  <c r="BI62" i="6"/>
  <c r="BM62" i="6" s="1"/>
  <c r="BI58" i="6"/>
  <c r="BM58" i="6" s="1"/>
  <c r="BI54" i="6"/>
  <c r="BM54" i="6" s="1"/>
  <c r="BI74" i="6"/>
  <c r="BM74" i="6" s="1"/>
  <c r="BI80" i="6"/>
  <c r="BM80" i="6" s="1"/>
  <c r="BI70" i="6"/>
  <c r="BM70" i="6" s="1"/>
  <c r="BI78" i="6"/>
  <c r="BM78" i="6" s="1"/>
  <c r="BI67" i="6"/>
  <c r="BM67" i="6" s="1"/>
  <c r="BI63" i="6"/>
  <c r="BM63" i="6" s="1"/>
  <c r="BI73" i="6"/>
  <c r="BM73" i="6" s="1"/>
  <c r="BI68" i="6"/>
  <c r="BM68" i="6" s="1"/>
  <c r="BI64" i="6"/>
  <c r="BM64" i="6" s="1"/>
  <c r="BI60" i="6"/>
  <c r="BM60" i="6" s="1"/>
  <c r="BI71" i="6"/>
  <c r="BM71" i="6" s="1"/>
  <c r="BI53" i="6"/>
  <c r="BM53" i="6" s="1"/>
  <c r="BI52" i="6"/>
  <c r="BM52" i="6" s="1"/>
  <c r="BI49" i="6"/>
  <c r="BM49" i="6" s="1"/>
  <c r="BI45" i="6"/>
  <c r="BM45" i="6" s="1"/>
  <c r="BI41" i="6"/>
  <c r="BM41" i="6" s="1"/>
  <c r="BI37" i="6"/>
  <c r="BM37" i="6" s="1"/>
  <c r="BI56" i="6"/>
  <c r="BM56" i="6" s="1"/>
  <c r="BI51" i="6"/>
  <c r="BM51" i="6" s="1"/>
  <c r="BI46" i="6"/>
  <c r="BM46" i="6" s="1"/>
  <c r="BI42" i="6"/>
  <c r="BM42" i="6" s="1"/>
  <c r="BI38" i="6"/>
  <c r="BM38" i="6" s="1"/>
  <c r="BI55" i="6"/>
  <c r="BM55" i="6" s="1"/>
  <c r="BI50" i="6"/>
  <c r="BM50" i="6" s="1"/>
  <c r="BI47" i="6"/>
  <c r="BM47" i="6" s="1"/>
  <c r="BI43" i="6"/>
  <c r="BM43" i="6" s="1"/>
  <c r="BI39" i="6"/>
  <c r="BM39" i="6" s="1"/>
  <c r="BI59" i="6"/>
  <c r="BM59" i="6" s="1"/>
  <c r="BI57" i="6"/>
  <c r="BM57" i="6" s="1"/>
  <c r="BI48" i="6"/>
  <c r="BM48" i="6" s="1"/>
  <c r="BI44" i="6"/>
  <c r="BM44" i="6" s="1"/>
  <c r="BI40" i="6"/>
  <c r="BM40" i="6" s="1"/>
  <c r="R3" i="9"/>
  <c r="R20" i="9" s="1"/>
  <c r="Q20" i="9"/>
  <c r="Q2" i="9"/>
  <c r="P19" i="9"/>
  <c r="BG22" i="6"/>
  <c r="BI22" i="6"/>
  <c r="BN1" i="6"/>
  <c r="BN20" i="6"/>
  <c r="BT2" i="6"/>
  <c r="BH19" i="6"/>
  <c r="Q23" i="9"/>
  <c r="BQ43" i="6"/>
  <c r="BO132" i="6" a="1"/>
  <c r="BO91" i="6" a="1"/>
  <c r="BP66" i="6"/>
  <c r="Q95" i="9"/>
  <c r="BQ103" i="6"/>
  <c r="Q92" i="9"/>
  <c r="BN128" i="6"/>
  <c r="Q51" i="9"/>
  <c r="BO109" i="6" a="1"/>
  <c r="BN29" i="6"/>
  <c r="BO68" i="6" a="1"/>
  <c r="BN127" i="6"/>
  <c r="Q72" i="9"/>
  <c r="BN111" i="6"/>
  <c r="BO70" i="6" a="1"/>
  <c r="BO46" i="6" a="1"/>
  <c r="BO48" i="6" a="1"/>
  <c r="Q48" i="9"/>
  <c r="BO133" i="6" a="1"/>
  <c r="BR115" i="6"/>
  <c r="BQ97" i="6"/>
  <c r="BO168" i="6" a="1"/>
  <c r="Q81" i="9"/>
  <c r="BR175" i="6"/>
  <c r="BO172" i="6" a="1"/>
  <c r="BQ91" i="6"/>
  <c r="BO36" i="6" a="1"/>
  <c r="BO148" i="6" a="1"/>
  <c r="BN104" i="6"/>
  <c r="BN150" i="6"/>
  <c r="Q53" i="9"/>
  <c r="BN154" i="6"/>
  <c r="BR192" i="6"/>
  <c r="BP201" i="6"/>
  <c r="BN141" i="6"/>
  <c r="BO73" i="6" a="1"/>
  <c r="BR152" i="6"/>
  <c r="BO30" i="6" a="1"/>
  <c r="BR137" i="6"/>
  <c r="Q132" i="9"/>
  <c r="Q119" i="9"/>
  <c r="BO85" i="6" a="1"/>
  <c r="BO40" i="6" a="1"/>
  <c r="BQ74" i="6"/>
  <c r="BR197" i="6"/>
  <c r="BP127" i="6"/>
  <c r="BQ69" i="6"/>
  <c r="Q42" i="9"/>
  <c r="BP138" i="6"/>
  <c r="Q87" i="9"/>
  <c r="BR204" i="6"/>
  <c r="BN33" i="6"/>
  <c r="BO93" i="6" a="1"/>
  <c r="BP27" i="6"/>
  <c r="BQ194" i="6"/>
  <c r="BQ125" i="6"/>
  <c r="Q27" i="9"/>
  <c r="BQ130" i="6"/>
  <c r="BQ81" i="6"/>
  <c r="BN194" i="6"/>
  <c r="BR57" i="6"/>
  <c r="BQ34" i="6"/>
  <c r="BR196" i="6"/>
  <c r="BO178" i="6" a="1"/>
  <c r="BN99" i="6"/>
  <c r="BP87" i="6"/>
  <c r="Q85" i="9"/>
  <c r="BO125" i="6" a="1"/>
  <c r="BQ45" i="6"/>
  <c r="BQ39" i="6"/>
  <c r="BR185" i="6"/>
  <c r="BP47" i="6"/>
  <c r="BP115" i="6"/>
  <c r="BN69" i="6"/>
  <c r="Q94" i="9"/>
  <c r="BN73" i="6"/>
  <c r="BN170" i="6"/>
  <c r="BN132" i="6"/>
  <c r="BN180" i="6"/>
  <c r="BN135" i="6"/>
  <c r="BO67" i="6" a="1"/>
  <c r="BQ44" i="6"/>
  <c r="Q127" i="9"/>
  <c r="BQ80" i="6"/>
  <c r="Q116" i="9"/>
  <c r="BQ114" i="6"/>
  <c r="BR53" i="6"/>
  <c r="BO79" i="6" a="1"/>
  <c r="BQ141" i="6"/>
  <c r="Q112" i="9"/>
  <c r="BN56" i="6"/>
  <c r="Q34" i="9"/>
  <c r="BO163" i="6" a="1"/>
  <c r="BP31" i="6"/>
  <c r="BR37" i="6"/>
  <c r="BR25" i="6"/>
  <c r="BR117" i="6"/>
  <c r="BQ126" i="6"/>
  <c r="BR34" i="6"/>
  <c r="BN94" i="6"/>
  <c r="BO87" i="6" a="1"/>
  <c r="Q113" i="9"/>
  <c r="BP198" i="6"/>
  <c r="BN23" i="6"/>
  <c r="BQ98" i="6"/>
  <c r="BQ136" i="6"/>
  <c r="BN118" i="6"/>
  <c r="BQ113" i="6"/>
  <c r="Q24" i="9"/>
  <c r="BQ85" i="6"/>
  <c r="BP156" i="6"/>
  <c r="BO51" i="6" a="1"/>
  <c r="BP144" i="6"/>
  <c r="BQ198" i="6"/>
  <c r="BO47" i="6" a="1"/>
  <c r="BQ56" i="6"/>
  <c r="BN30" i="6"/>
  <c r="BP55" i="6"/>
  <c r="BO175" i="6" a="1"/>
  <c r="BN63" i="6"/>
  <c r="BR182" i="6"/>
  <c r="BN174" i="6"/>
  <c r="BQ102" i="6"/>
  <c r="BR148" i="6"/>
  <c r="BP74" i="6"/>
  <c r="BP187" i="6"/>
  <c r="Q45" i="9"/>
  <c r="Q111" i="9"/>
  <c r="BN81" i="6"/>
  <c r="BR46" i="6"/>
  <c r="BR159" i="6"/>
  <c r="BQ59" i="6"/>
  <c r="Q67" i="9"/>
  <c r="BP116" i="6"/>
  <c r="Q104" i="9"/>
  <c r="BR58" i="6"/>
  <c r="BR29" i="6"/>
  <c r="BN205" i="6"/>
  <c r="BR164" i="6"/>
  <c r="Q137" i="9"/>
  <c r="BP163" i="6"/>
  <c r="BN35" i="6"/>
  <c r="BP84" i="6"/>
  <c r="BN117" i="6"/>
  <c r="Q44" i="9"/>
  <c r="BQ170" i="6"/>
  <c r="BP29" i="6"/>
  <c r="Q97" i="9"/>
  <c r="BQ143" i="6"/>
  <c r="BQ165" i="6"/>
  <c r="BO95" i="6" a="1"/>
  <c r="Q126" i="9"/>
  <c r="BP120" i="6"/>
  <c r="BP202" i="6"/>
  <c r="BP90" i="6"/>
  <c r="BP107" i="6"/>
  <c r="BR168" i="6"/>
  <c r="BN82" i="6"/>
  <c r="BP45" i="6"/>
  <c r="BQ28" i="6"/>
  <c r="BP190" i="6"/>
  <c r="BP159" i="6"/>
  <c r="BQ193" i="6"/>
  <c r="BN83" i="6"/>
  <c r="Q90" i="9"/>
  <c r="BP106" i="6"/>
  <c r="BQ89" i="6"/>
  <c r="BO137" i="6" a="1"/>
  <c r="Q99" i="9"/>
  <c r="Q91" i="9"/>
  <c r="BQ72" i="6"/>
  <c r="BR154" i="6"/>
  <c r="BN54" i="6"/>
  <c r="BP80" i="6"/>
  <c r="Q29" i="9"/>
  <c r="BO122" i="6" a="1"/>
  <c r="BN158" i="6"/>
  <c r="BO150" i="6" a="1"/>
  <c r="Q46" i="9"/>
  <c r="BO100" i="6" a="1"/>
  <c r="BP145" i="6"/>
  <c r="BQ35" i="6"/>
  <c r="BO26" i="6" a="1"/>
  <c r="BP54" i="6"/>
  <c r="BO37" i="6" a="1"/>
  <c r="Q58" i="9"/>
  <c r="BO65" i="6" a="1"/>
  <c r="BQ116" i="6"/>
  <c r="BR169" i="6"/>
  <c r="BN64" i="6"/>
  <c r="BQ23" i="6"/>
  <c r="BO202" i="6" a="1"/>
  <c r="Q59" i="9"/>
  <c r="BR85" i="6"/>
  <c r="BO193" i="6" a="1"/>
  <c r="BN102" i="6"/>
  <c r="BP147" i="6"/>
  <c r="Q68" i="9"/>
  <c r="BN116" i="6"/>
  <c r="BQ29" i="6"/>
  <c r="BQ197" i="6"/>
  <c r="BP169" i="6"/>
  <c r="Q39" i="9"/>
  <c r="BR98" i="6"/>
  <c r="BQ158" i="6"/>
  <c r="Q28" i="9"/>
  <c r="BO190" i="6" a="1"/>
  <c r="BQ131" i="6"/>
  <c r="BP205" i="6"/>
  <c r="BP34" i="6"/>
  <c r="BQ42" i="6"/>
  <c r="BO112" i="6" a="1"/>
  <c r="BQ84" i="6"/>
  <c r="BO130" i="6" a="1"/>
  <c r="BN169" i="6"/>
  <c r="BP153" i="6"/>
  <c r="BQ171" i="6"/>
  <c r="BO27" i="6" a="1"/>
  <c r="BR172" i="6"/>
  <c r="Q54" i="9"/>
  <c r="BQ187" i="6"/>
  <c r="BN182" i="6"/>
  <c r="Q115" i="9"/>
  <c r="BQ38" i="6"/>
  <c r="BR91" i="6"/>
  <c r="BR23" i="6"/>
  <c r="BP131" i="6"/>
  <c r="BR195" i="6"/>
  <c r="BQ90" i="6"/>
  <c r="BN156" i="6"/>
  <c r="BN47" i="6"/>
  <c r="Q128" i="9"/>
  <c r="BR166" i="6"/>
  <c r="BP197" i="6"/>
  <c r="BP136" i="6"/>
  <c r="BR43" i="6"/>
  <c r="BN24" i="6"/>
  <c r="BP189" i="6"/>
  <c r="BP35" i="6"/>
  <c r="BR162" i="6"/>
  <c r="BO52" i="6" a="1"/>
  <c r="BP68" i="6"/>
  <c r="BO108" i="6" a="1"/>
  <c r="Q63" i="9"/>
  <c r="BQ73" i="6"/>
  <c r="BO177" i="6" a="1"/>
  <c r="BP171" i="6"/>
  <c r="BQ163" i="6"/>
  <c r="Q117" i="9"/>
  <c r="BP99" i="6"/>
  <c r="BO140" i="6" a="1"/>
  <c r="Q101" i="9"/>
  <c r="BP101" i="6"/>
  <c r="BR184" i="6"/>
  <c r="BQ162" i="6"/>
  <c r="BR28" i="6"/>
  <c r="BP188" i="6"/>
  <c r="BP70" i="6"/>
  <c r="BQ57" i="6"/>
  <c r="BO164" i="6" a="1"/>
  <c r="BN199" i="6"/>
  <c r="BN61" i="6"/>
  <c r="BQ62" i="6"/>
  <c r="BQ77" i="6"/>
  <c r="BP181" i="6"/>
  <c r="BN101" i="6"/>
  <c r="BO201" i="6" a="1"/>
  <c r="BO146" i="6" a="1"/>
  <c r="BR109" i="6"/>
  <c r="Q83" i="9"/>
  <c r="BR66" i="6"/>
  <c r="BO94" i="6" a="1"/>
  <c r="BO153" i="6" a="1"/>
  <c r="BO171" i="6" a="1"/>
  <c r="BR206" i="6"/>
  <c r="BO200" i="6" a="1"/>
  <c r="BR33" i="6"/>
  <c r="BQ46" i="6"/>
  <c r="BR155" i="6"/>
  <c r="BQ58" i="6"/>
  <c r="BO155" i="6" a="1"/>
  <c r="Q80" i="9"/>
  <c r="BN190" i="6"/>
  <c r="BP128" i="6"/>
  <c r="Q121" i="9"/>
  <c r="BO99" i="6" a="1"/>
  <c r="Q56" i="9"/>
  <c r="BN58" i="6"/>
  <c r="BP58" i="6"/>
  <c r="Q40" i="9"/>
  <c r="BR142" i="6"/>
  <c r="BO151" i="6" a="1"/>
  <c r="BR183" i="6"/>
  <c r="BO28" i="6" a="1"/>
  <c r="BO158" i="6" a="1"/>
  <c r="BP79" i="6"/>
  <c r="BN115" i="6"/>
  <c r="BR151" i="6"/>
  <c r="BN172" i="6"/>
  <c r="BN129" i="6"/>
  <c r="BO134" i="6" a="1"/>
  <c r="BR119" i="6"/>
  <c r="BR199" i="6"/>
  <c r="BQ156" i="6"/>
  <c r="BR49" i="6"/>
  <c r="BR122" i="6"/>
  <c r="Q70" i="9"/>
  <c r="BQ105" i="6"/>
  <c r="BP174" i="6"/>
  <c r="BN204" i="6"/>
  <c r="BP24" i="6"/>
  <c r="BN36" i="6"/>
  <c r="BR73" i="6"/>
  <c r="BO25" i="6" a="1"/>
  <c r="BP104" i="6"/>
  <c r="BQ66" i="6"/>
  <c r="BN176" i="6"/>
  <c r="BN202" i="6"/>
  <c r="BQ185" i="6"/>
  <c r="BO101" i="6" a="1"/>
  <c r="BQ205" i="6"/>
  <c r="Q38" i="9"/>
  <c r="BP118" i="6"/>
  <c r="BQ167" i="6"/>
  <c r="BP38" i="6"/>
  <c r="BO57" i="6" a="1"/>
  <c r="BN91" i="6"/>
  <c r="BR158" i="6"/>
  <c r="BN59" i="6"/>
  <c r="BN163" i="6"/>
  <c r="BQ127" i="6"/>
  <c r="BQ202" i="6"/>
  <c r="BO123" i="6" a="1"/>
  <c r="Q35" i="9"/>
  <c r="BP22" i="6"/>
  <c r="BP129" i="6"/>
  <c r="Q52" i="9"/>
  <c r="BQ109" i="6"/>
  <c r="BR26" i="6"/>
  <c r="BQ203" i="6"/>
  <c r="BQ37" i="6"/>
  <c r="BQ30" i="6"/>
  <c r="BQ191" i="6"/>
  <c r="BQ176" i="6"/>
  <c r="BN119" i="6"/>
  <c r="BR51" i="6"/>
  <c r="BP41" i="6"/>
  <c r="BO136" i="6" a="1"/>
  <c r="BP123" i="6"/>
  <c r="BN80" i="6"/>
  <c r="BQ60" i="6"/>
  <c r="BQ166" i="6"/>
  <c r="BN185" i="6"/>
  <c r="BP44" i="6"/>
  <c r="BP78" i="6"/>
  <c r="BO76" i="6" a="1"/>
  <c r="BQ101" i="6"/>
  <c r="BQ64" i="6"/>
  <c r="BR31" i="6"/>
  <c r="BO103" i="6" a="1"/>
  <c r="BR188" i="6"/>
  <c r="BQ180" i="6"/>
  <c r="BO34" i="6" a="1"/>
  <c r="BQ145" i="6"/>
  <c r="BP32" i="6"/>
  <c r="BO126" i="6" a="1"/>
  <c r="BP114" i="6"/>
  <c r="BR186" i="6"/>
  <c r="BQ41" i="6"/>
  <c r="BR124" i="6"/>
  <c r="BP157" i="6"/>
  <c r="BP182" i="6"/>
  <c r="BR147" i="6"/>
  <c r="BO145" i="6" a="1"/>
  <c r="BR121" i="6"/>
  <c r="BN139" i="6"/>
  <c r="BR200" i="6"/>
  <c r="BO115" i="6" a="1"/>
  <c r="BR171" i="6"/>
  <c r="BP191" i="6"/>
  <c r="BN191" i="6"/>
  <c r="BQ140" i="6"/>
  <c r="BP151" i="6"/>
  <c r="BO69" i="6" a="1"/>
  <c r="Q41" i="9"/>
  <c r="BP199" i="6"/>
  <c r="BQ31" i="6"/>
  <c r="BO194" i="6" a="1"/>
  <c r="BN144" i="6"/>
  <c r="BN112" i="6"/>
  <c r="BQ168" i="6"/>
  <c r="BQ181" i="6"/>
  <c r="BQ95" i="6"/>
  <c r="BQ169" i="6"/>
  <c r="BQ65" i="6"/>
  <c r="BR143" i="6"/>
  <c r="BO78" i="6" a="1"/>
  <c r="BN53" i="6"/>
  <c r="BN25" i="6"/>
  <c r="BR170" i="6"/>
  <c r="BO159" i="6" a="1"/>
  <c r="Q47" i="9"/>
  <c r="BR62" i="6"/>
  <c r="BN27" i="6"/>
  <c r="BR132" i="6"/>
  <c r="BO154" i="6" a="1"/>
  <c r="BR36" i="6"/>
  <c r="BR133" i="6"/>
  <c r="BN43" i="6"/>
  <c r="BQ182" i="6"/>
  <c r="BP139" i="6"/>
  <c r="BP73" i="6"/>
  <c r="BP67" i="6"/>
  <c r="BN153" i="6"/>
  <c r="BN188" i="6"/>
  <c r="BQ133" i="6"/>
  <c r="BO105" i="6" a="1"/>
  <c r="BP124" i="6"/>
  <c r="BR38" i="6"/>
  <c r="BR80" i="6"/>
  <c r="BO192" i="6" a="1"/>
  <c r="BP98" i="6"/>
  <c r="BN123" i="6"/>
  <c r="BN32" i="6"/>
  <c r="BN178" i="6"/>
  <c r="BR78" i="6"/>
  <c r="BN130" i="6"/>
  <c r="BR55" i="6"/>
  <c r="BR108" i="6"/>
  <c r="BR90" i="6"/>
  <c r="BP53" i="6"/>
  <c r="BP196" i="6"/>
  <c r="BR173" i="6"/>
  <c r="BQ119" i="6"/>
  <c r="BO114" i="6" a="1"/>
  <c r="BP23" i="6"/>
  <c r="BP93" i="6"/>
  <c r="BQ177" i="6"/>
  <c r="Q125" i="9"/>
  <c r="BO138" i="6" a="1"/>
  <c r="BP33" i="6"/>
  <c r="BR22" i="6"/>
  <c r="BO129" i="6" a="1"/>
  <c r="BP25" i="6"/>
  <c r="BQ22" i="6"/>
  <c r="Q89" i="9"/>
  <c r="BO128" i="6" a="1"/>
  <c r="BR193" i="6"/>
  <c r="BR42" i="6"/>
  <c r="BO120" i="6" a="1"/>
  <c r="BQ122" i="6"/>
  <c r="BQ50" i="6"/>
  <c r="BR120" i="6"/>
  <c r="BN90" i="6"/>
  <c r="BO83" i="6" a="1"/>
  <c r="BP192" i="6"/>
  <c r="BO179" i="6" a="1"/>
  <c r="BP94" i="6"/>
  <c r="BP109" i="6"/>
  <c r="Q98" i="9"/>
  <c r="BO29" i="6" a="1"/>
  <c r="BR47" i="6"/>
  <c r="Q108" i="9"/>
  <c r="BO183" i="6" a="1"/>
  <c r="BP149" i="6"/>
  <c r="BQ75" i="6"/>
  <c r="BP96" i="6"/>
  <c r="BO199" i="6" a="1"/>
  <c r="BR45" i="6"/>
  <c r="BP161" i="6"/>
  <c r="BO104" i="6" a="1"/>
  <c r="BP137" i="6"/>
  <c r="BQ33" i="6"/>
  <c r="BR127" i="6"/>
  <c r="BP46" i="6"/>
  <c r="Q64" i="9"/>
  <c r="BO173" i="6" a="1"/>
  <c r="BQ178" i="6"/>
  <c r="BP160" i="6"/>
  <c r="BR104" i="6"/>
  <c r="BO43" i="6" a="1"/>
  <c r="BP64" i="6"/>
  <c r="Q93" i="9"/>
  <c r="BQ121" i="6"/>
  <c r="BP95" i="6"/>
  <c r="BR161" i="6"/>
  <c r="BO118" i="6" a="1"/>
  <c r="BN184" i="6"/>
  <c r="BP37" i="6"/>
  <c r="Q103" i="9"/>
  <c r="BO92" i="6" a="1"/>
  <c r="BO64" i="6" a="1"/>
  <c r="BR100" i="6"/>
  <c r="BN40" i="6"/>
  <c r="BR74" i="6"/>
  <c r="BQ82" i="6"/>
  <c r="BN161" i="6"/>
  <c r="BQ111" i="6"/>
  <c r="BO111" i="6" a="1"/>
  <c r="BO63" i="6" a="1"/>
  <c r="BP110" i="6"/>
  <c r="BO147" i="6" a="1"/>
  <c r="BR30" i="6"/>
  <c r="BN72" i="6"/>
  <c r="BR126" i="6"/>
  <c r="BP72" i="6"/>
  <c r="BO58" i="6" a="1"/>
  <c r="BN143" i="6"/>
  <c r="BN152" i="6"/>
  <c r="Q32" i="9"/>
  <c r="BR178" i="6"/>
  <c r="BQ146" i="6"/>
  <c r="BN137" i="6"/>
  <c r="BO191" i="6" a="1"/>
  <c r="BQ190" i="6"/>
  <c r="BP206" i="6"/>
  <c r="BP49" i="6"/>
  <c r="BQ142" i="6"/>
  <c r="BP71" i="6"/>
  <c r="BQ117" i="6"/>
  <c r="BN195" i="6"/>
  <c r="BO59" i="6" a="1"/>
  <c r="BP180" i="6"/>
  <c r="BO205" i="6" a="1"/>
  <c r="BP50" i="6"/>
  <c r="BQ159" i="6"/>
  <c r="BO56" i="6" a="1"/>
  <c r="BR41" i="6"/>
  <c r="BO117" i="6" a="1"/>
  <c r="BQ189" i="6"/>
  <c r="BR163" i="6"/>
  <c r="BN66" i="6"/>
  <c r="BN98" i="6"/>
  <c r="BO121" i="6" a="1"/>
  <c r="BO102" i="6" a="1"/>
  <c r="BO204" i="6" a="1"/>
  <c r="BO89" i="6" a="1"/>
  <c r="BP103" i="6"/>
  <c r="Q50" i="9"/>
  <c r="BN87" i="6"/>
  <c r="BO197" i="6" a="1"/>
  <c r="BQ173" i="6"/>
  <c r="BQ63" i="6"/>
  <c r="BN126" i="6"/>
  <c r="BP52" i="6"/>
  <c r="BQ120" i="6"/>
  <c r="BQ132" i="6"/>
  <c r="BR157" i="6"/>
  <c r="BO71" i="6" a="1"/>
  <c r="BQ112" i="6"/>
  <c r="BO50" i="6" a="1"/>
  <c r="BN31" i="6"/>
  <c r="BR97" i="6"/>
  <c r="BR205" i="6"/>
  <c r="BP57" i="6"/>
  <c r="BQ71" i="6"/>
  <c r="BO110" i="6" a="1"/>
  <c r="BN147" i="6"/>
  <c r="Q134" i="9"/>
  <c r="BN74" i="6"/>
  <c r="BQ76" i="6"/>
  <c r="BP200" i="6"/>
  <c r="BP204" i="6"/>
  <c r="BO160" i="6" a="1"/>
  <c r="BO166" i="6" a="1"/>
  <c r="BQ100" i="6"/>
  <c r="BP152" i="6"/>
  <c r="BP69" i="6"/>
  <c r="Q120" i="9"/>
  <c r="BN140" i="6"/>
  <c r="BN183" i="6"/>
  <c r="BO142" i="6" a="1"/>
  <c r="BR176" i="6"/>
  <c r="BR81" i="6"/>
  <c r="BP102" i="6"/>
  <c r="BO139" i="6" a="1"/>
  <c r="BQ129" i="6"/>
  <c r="BN22" i="6"/>
  <c r="BP184" i="6"/>
  <c r="BN76" i="6"/>
  <c r="BP142" i="6"/>
  <c r="BQ25" i="6"/>
  <c r="BR114" i="6"/>
  <c r="BP97" i="6"/>
  <c r="BQ94" i="6"/>
  <c r="BN192" i="6"/>
  <c r="BP162" i="6"/>
  <c r="BQ160" i="6"/>
  <c r="BQ26" i="6"/>
  <c r="BQ52" i="6"/>
  <c r="BP85" i="6"/>
  <c r="BP77" i="6"/>
  <c r="BP130" i="6"/>
  <c r="BR130" i="6"/>
  <c r="BN108" i="6"/>
  <c r="BR64" i="6"/>
  <c r="BP105" i="6"/>
  <c r="BN187" i="6"/>
  <c r="BQ139" i="6"/>
  <c r="Q106" i="9"/>
  <c r="BQ128" i="6"/>
  <c r="Q33" i="9"/>
  <c r="BR54" i="6"/>
  <c r="BN162" i="6"/>
  <c r="BR110" i="6"/>
  <c r="BO81" i="6" a="1"/>
  <c r="BN57" i="6"/>
  <c r="BN48" i="6"/>
  <c r="BR48" i="6"/>
  <c r="Q75" i="9"/>
  <c r="BR89" i="6"/>
  <c r="BR68" i="6"/>
  <c r="BN124" i="6"/>
  <c r="BO97" i="6" a="1"/>
  <c r="BR67" i="6"/>
  <c r="BO82" i="6" a="1"/>
  <c r="BQ108" i="6"/>
  <c r="BN203" i="6"/>
  <c r="BO176" i="6" a="1"/>
  <c r="BQ123" i="6"/>
  <c r="BQ67" i="6"/>
  <c r="BR116" i="6"/>
  <c r="BR111" i="6"/>
  <c r="BN92" i="6"/>
  <c r="BN151" i="6"/>
  <c r="BQ107" i="6"/>
  <c r="BN38" i="6"/>
  <c r="BQ154" i="6"/>
  <c r="BQ153" i="6"/>
  <c r="BR32" i="6"/>
  <c r="BO184" i="6" a="1"/>
  <c r="BP150" i="6"/>
  <c r="BO124" i="6" a="1"/>
  <c r="BN70" i="6"/>
  <c r="BR190" i="6"/>
  <c r="BQ147" i="6"/>
  <c r="Q57" i="9"/>
  <c r="BP179" i="6"/>
  <c r="BO86" i="6" a="1"/>
  <c r="Q22" i="9"/>
  <c r="BO206" i="6" a="1"/>
  <c r="Q30" i="9"/>
  <c r="BP170" i="6"/>
  <c r="BN134" i="6"/>
  <c r="BO39" i="6" a="1"/>
  <c r="BO77" i="6" a="1"/>
  <c r="BO170" i="6" a="1"/>
  <c r="BN121" i="6"/>
  <c r="BN97" i="6"/>
  <c r="BN164" i="6"/>
  <c r="BQ149" i="6"/>
  <c r="BP100" i="6"/>
  <c r="BR179" i="6"/>
  <c r="BN155" i="6"/>
  <c r="BO162" i="6" a="1"/>
  <c r="BQ192" i="6"/>
  <c r="BP140" i="6"/>
  <c r="BP186" i="6"/>
  <c r="BO55" i="6" a="1"/>
  <c r="BR79" i="6"/>
  <c r="BQ86" i="6"/>
  <c r="BO24" i="6" a="1"/>
  <c r="BR65" i="6"/>
  <c r="BP132" i="6"/>
  <c r="BO186" i="6" a="1"/>
  <c r="BN122" i="6"/>
  <c r="BN167" i="6"/>
  <c r="BQ118" i="6"/>
  <c r="Q122" i="9"/>
  <c r="BR174" i="6"/>
  <c r="BR59" i="6"/>
  <c r="BN79" i="6"/>
  <c r="Q131" i="9"/>
  <c r="BN68" i="6"/>
  <c r="Q37" i="9"/>
  <c r="BP88" i="6"/>
  <c r="BN88" i="6"/>
  <c r="BN197" i="6"/>
  <c r="BP164" i="6"/>
  <c r="BR198" i="6"/>
  <c r="BQ135" i="6"/>
  <c r="BO195" i="6" a="1"/>
  <c r="BO161" i="6" a="1"/>
  <c r="Q123" i="9"/>
  <c r="BN201" i="6"/>
  <c r="BO189" i="6" a="1"/>
  <c r="BQ144" i="6"/>
  <c r="BN196" i="6"/>
  <c r="BQ27" i="6"/>
  <c r="BN55" i="6"/>
  <c r="BN60" i="6"/>
  <c r="BN52" i="6"/>
  <c r="BP113" i="6"/>
  <c r="BP126" i="6"/>
  <c r="BQ40" i="6"/>
  <c r="BR71" i="6"/>
  <c r="BO75" i="6" a="1"/>
  <c r="BO38" i="6" a="1"/>
  <c r="BR202" i="6"/>
  <c r="BQ206" i="6"/>
  <c r="BP81" i="6"/>
  <c r="BQ174" i="6"/>
  <c r="BP175" i="6"/>
  <c r="BO188" i="6" a="1"/>
  <c r="BN198" i="6"/>
  <c r="BO167" i="6" a="1"/>
  <c r="BO203" i="6" a="1"/>
  <c r="BN65" i="6"/>
  <c r="BR187" i="6"/>
  <c r="BN168" i="6"/>
  <c r="BQ155" i="6"/>
  <c r="BQ79" i="6"/>
  <c r="BQ49" i="6"/>
  <c r="BR160" i="6"/>
  <c r="BQ134" i="6"/>
  <c r="Q61" i="9"/>
  <c r="BP51" i="6"/>
  <c r="BN148" i="6"/>
  <c r="Q86" i="9"/>
  <c r="BQ115" i="6"/>
  <c r="BP60" i="6"/>
  <c r="BO74" i="6" a="1"/>
  <c r="BN189" i="6"/>
  <c r="BP195" i="6"/>
  <c r="BN136" i="6"/>
  <c r="BO198" i="6" a="1"/>
  <c r="BR106" i="6"/>
  <c r="BO88" i="6" a="1"/>
  <c r="BQ104" i="6"/>
  <c r="BN28" i="6"/>
  <c r="BP61" i="6"/>
  <c r="BN165" i="6"/>
  <c r="BO182" i="6" a="1"/>
  <c r="BR129" i="6"/>
  <c r="BO62" i="6" a="1"/>
  <c r="BR72" i="6"/>
  <c r="BQ96" i="6"/>
  <c r="BP65" i="6"/>
  <c r="BN67" i="6"/>
  <c r="BR134" i="6"/>
  <c r="BQ68" i="6"/>
  <c r="BQ148" i="6"/>
  <c r="BR96" i="6"/>
  <c r="BR77" i="6"/>
  <c r="BR156" i="6"/>
  <c r="BO60" i="6" a="1"/>
  <c r="BO185" i="6" a="1"/>
  <c r="BP176" i="6"/>
  <c r="BO127" i="6" a="1"/>
  <c r="BO143" i="6" a="1"/>
  <c r="BQ55" i="6"/>
  <c r="BP125" i="6"/>
  <c r="Q73" i="9"/>
  <c r="BR83" i="6"/>
  <c r="BO149" i="6" a="1"/>
  <c r="BO152" i="6" a="1"/>
  <c r="Q102" i="9"/>
  <c r="BR99" i="6"/>
  <c r="BP148" i="6"/>
  <c r="BR84" i="6"/>
  <c r="BN26" i="6"/>
  <c r="BN149" i="6"/>
  <c r="Q78" i="9"/>
  <c r="BP165" i="6"/>
  <c r="BR140" i="6"/>
  <c r="BO66" i="6" a="1"/>
  <c r="BO169" i="6" a="1"/>
  <c r="BO181" i="6" a="1"/>
  <c r="BN114" i="6"/>
  <c r="BN146" i="6"/>
  <c r="BR35" i="6"/>
  <c r="BO45" i="6" a="1"/>
  <c r="BR135" i="6"/>
  <c r="BO156" i="6" a="1"/>
  <c r="BO35" i="6" a="1"/>
  <c r="BN200" i="6"/>
  <c r="BP117" i="6"/>
  <c r="BN37" i="6"/>
  <c r="BO33" i="6" a="1"/>
  <c r="BP154" i="6"/>
  <c r="BR70" i="6"/>
  <c r="BP183" i="6"/>
  <c r="BQ201" i="6"/>
  <c r="BR112" i="6"/>
  <c r="BN71" i="6"/>
  <c r="BQ70" i="6"/>
  <c r="BP91" i="6"/>
  <c r="BO131" i="6" a="1"/>
  <c r="BQ164" i="6"/>
  <c r="BQ150" i="6"/>
  <c r="BO180" i="6" a="1"/>
  <c r="BP56" i="6"/>
  <c r="BP92" i="6"/>
  <c r="BR167" i="6"/>
  <c r="BO22" i="6" a="1"/>
  <c r="BO144" i="6" a="1"/>
  <c r="BR123" i="6"/>
  <c r="BR87" i="6"/>
  <c r="BP122" i="6"/>
  <c r="BR95" i="6"/>
  <c r="BR105" i="6"/>
  <c r="Q77" i="9"/>
  <c r="BR93" i="6"/>
  <c r="Q65" i="9"/>
  <c r="BR125" i="6"/>
  <c r="BN34" i="6"/>
  <c r="BN93" i="6"/>
  <c r="BP40" i="6"/>
  <c r="BQ51" i="6"/>
  <c r="BQ24" i="6"/>
  <c r="BP86" i="6"/>
  <c r="BN173" i="6"/>
  <c r="BN44" i="6"/>
  <c r="Q135" i="9"/>
  <c r="BP75" i="6"/>
  <c r="BR50" i="6"/>
  <c r="BO174" i="6" a="1"/>
  <c r="BR150" i="6"/>
  <c r="BR191" i="6"/>
  <c r="BP82" i="6"/>
  <c r="BO107" i="6" a="1"/>
  <c r="BN193" i="6"/>
  <c r="BN179" i="6"/>
  <c r="BP185" i="6"/>
  <c r="BP141" i="6"/>
  <c r="BQ151" i="6"/>
  <c r="BP158" i="6"/>
  <c r="BN166" i="6"/>
  <c r="BN133" i="6"/>
  <c r="BN62" i="6"/>
  <c r="BP177" i="6"/>
  <c r="BN106" i="6"/>
  <c r="BN51" i="6"/>
  <c r="BO113" i="6" a="1"/>
  <c r="BN46" i="6"/>
  <c r="BQ61" i="6"/>
  <c r="BO98" i="6" a="1"/>
  <c r="BN181" i="6"/>
  <c r="BN113" i="6"/>
  <c r="BP173" i="6"/>
  <c r="BQ47" i="6"/>
  <c r="BO72" i="6" a="1"/>
  <c r="BR139" i="6"/>
  <c r="BN95" i="6"/>
  <c r="Q118" i="9"/>
  <c r="BR86" i="6"/>
  <c r="Q130" i="9"/>
  <c r="BO116" i="6" a="1"/>
  <c r="BQ32" i="6"/>
  <c r="BP146" i="6"/>
  <c r="BN85" i="6"/>
  <c r="BQ99" i="6"/>
  <c r="BO31" i="6" a="1"/>
  <c r="BR82" i="6"/>
  <c r="BP36" i="6"/>
  <c r="BO106" i="6" a="1"/>
  <c r="BR76" i="6"/>
  <c r="Q82" i="9"/>
  <c r="BQ110" i="6"/>
  <c r="BP39" i="6"/>
  <c r="BO54" i="6" a="1"/>
  <c r="BQ106" i="6"/>
  <c r="BP167" i="6"/>
  <c r="Q69" i="9"/>
  <c r="BN175" i="6"/>
  <c r="BQ152" i="6"/>
  <c r="BO44" i="6" a="1"/>
  <c r="BN138" i="6"/>
  <c r="BR102" i="6"/>
  <c r="BP59" i="6"/>
  <c r="BN96" i="6"/>
  <c r="BO119" i="6" a="1"/>
  <c r="BP178" i="6"/>
  <c r="BN49" i="6"/>
  <c r="Q84" i="9"/>
  <c r="BP112" i="6"/>
  <c r="Q76" i="9"/>
  <c r="BR103" i="6"/>
  <c r="BO84" i="6" a="1"/>
  <c r="Q129" i="9"/>
  <c r="BR144" i="6"/>
  <c r="BN105" i="6"/>
  <c r="BP63" i="6"/>
  <c r="BN131" i="6"/>
  <c r="Q105" i="9"/>
  <c r="BQ48" i="6"/>
  <c r="BP133" i="6"/>
  <c r="BO141" i="6" a="1"/>
  <c r="BR138" i="6"/>
  <c r="BO80" i="6" a="1"/>
  <c r="BO42" i="6" a="1"/>
  <c r="BP30" i="6"/>
  <c r="BP193" i="6"/>
  <c r="BO23" i="6" a="1"/>
  <c r="BR107" i="6"/>
  <c r="BN50" i="6"/>
  <c r="BP168" i="6"/>
  <c r="BO49" i="6" a="1"/>
  <c r="BR177" i="6"/>
  <c r="Q107" i="9"/>
  <c r="BQ161" i="6"/>
  <c r="BP194" i="6"/>
  <c r="BO90" i="6" a="1"/>
  <c r="BN142" i="6"/>
  <c r="BR60" i="6"/>
  <c r="BN206" i="6"/>
  <c r="BN177" i="6"/>
  <c r="BN109" i="6"/>
  <c r="Q79" i="9"/>
  <c r="BO96" i="6" a="1"/>
  <c r="Q71" i="9"/>
  <c r="BQ78" i="6"/>
  <c r="BR61" i="6"/>
  <c r="Q60" i="9"/>
  <c r="BQ157" i="6"/>
  <c r="BR141" i="6"/>
  <c r="BN42" i="6"/>
  <c r="BN171" i="6"/>
  <c r="Q36" i="9"/>
  <c r="BP121" i="6"/>
  <c r="BQ184" i="6"/>
  <c r="BO53" i="6" a="1"/>
  <c r="BQ188" i="6"/>
  <c r="BR189" i="6"/>
  <c r="BN39" i="6"/>
  <c r="BR24" i="6"/>
  <c r="BO196" i="6" a="1"/>
  <c r="Q110" i="9"/>
  <c r="BO187" i="6" a="1"/>
  <c r="BN45" i="6"/>
  <c r="BQ195" i="6"/>
  <c r="BP62" i="6"/>
  <c r="BN103" i="6"/>
  <c r="BN86" i="6"/>
  <c r="BR56" i="6"/>
  <c r="BN120" i="6"/>
  <c r="BQ53" i="6"/>
  <c r="BR40" i="6"/>
  <c r="Q62" i="9"/>
  <c r="BR128" i="6"/>
  <c r="BR52" i="6"/>
  <c r="BR131" i="6"/>
  <c r="BR203" i="6"/>
  <c r="BP166" i="6"/>
  <c r="BP203" i="6"/>
  <c r="BN41" i="6"/>
  <c r="BO157" i="6" a="1"/>
  <c r="Q66" i="9"/>
  <c r="BN186" i="6"/>
  <c r="BP135" i="6"/>
  <c r="BR69" i="6"/>
  <c r="Q74" i="9"/>
  <c r="BQ137" i="6"/>
  <c r="BR88" i="6"/>
  <c r="BR165" i="6"/>
  <c r="BQ138" i="6"/>
  <c r="BP111" i="6"/>
  <c r="BQ196" i="6"/>
  <c r="BP134" i="6"/>
  <c r="Q25" i="9"/>
  <c r="BQ92" i="6"/>
  <c r="BQ200" i="6"/>
  <c r="BR39" i="6"/>
  <c r="Q26" i="9"/>
  <c r="BR75" i="6"/>
  <c r="Q88" i="9"/>
  <c r="BR92" i="6"/>
  <c r="BN110" i="6"/>
  <c r="Q55" i="9"/>
  <c r="BQ87" i="6"/>
  <c r="BO135" i="6" a="1"/>
  <c r="BO165" i="6" a="1"/>
  <c r="BQ124" i="6"/>
  <c r="Q31" i="9"/>
  <c r="BR145" i="6"/>
  <c r="BN125" i="6"/>
  <c r="BR101" i="6"/>
  <c r="BP89" i="6"/>
  <c r="BR146" i="6"/>
  <c r="BN75" i="6"/>
  <c r="BO32" i="6" a="1"/>
  <c r="BN159" i="6"/>
  <c r="BP26" i="6"/>
  <c r="BN78" i="6"/>
  <c r="BQ54" i="6"/>
  <c r="BQ83" i="6"/>
  <c r="Q49" i="9"/>
  <c r="BP43" i="6"/>
  <c r="BQ88" i="6"/>
  <c r="BQ172" i="6"/>
  <c r="BR27" i="6"/>
  <c r="BR113" i="6"/>
  <c r="BP42" i="6"/>
  <c r="BN160" i="6"/>
  <c r="BR201" i="6"/>
  <c r="BQ93" i="6"/>
  <c r="BQ183" i="6"/>
  <c r="BN107" i="6"/>
  <c r="BP28" i="6"/>
  <c r="Q124" i="9"/>
  <c r="BN84" i="6"/>
  <c r="BR194" i="6"/>
  <c r="BP143" i="6"/>
  <c r="BR118" i="6"/>
  <c r="BR181" i="6"/>
  <c r="Q100" i="9"/>
  <c r="BQ186" i="6"/>
  <c r="BN157" i="6"/>
  <c r="BR94" i="6"/>
  <c r="Q96" i="9"/>
  <c r="BP172" i="6"/>
  <c r="Q43" i="9"/>
  <c r="BR63" i="6"/>
  <c r="BP76" i="6"/>
  <c r="Q133" i="9"/>
  <c r="BQ204" i="6"/>
  <c r="BR149" i="6"/>
  <c r="BN77" i="6"/>
  <c r="BR136" i="6"/>
  <c r="Q109" i="9"/>
  <c r="BO61" i="6" a="1"/>
  <c r="BQ179" i="6"/>
  <c r="BP83" i="6"/>
  <c r="BN100" i="6"/>
  <c r="BR44" i="6"/>
  <c r="BP48" i="6"/>
  <c r="BR153" i="6"/>
  <c r="BQ199" i="6"/>
  <c r="BQ36" i="6"/>
  <c r="BP119" i="6"/>
  <c r="BQ175" i="6"/>
  <c r="BN145" i="6"/>
  <c r="Q114" i="9"/>
  <c r="BP108" i="6"/>
  <c r="BN89" i="6"/>
  <c r="BO41" i="6" a="1"/>
  <c r="BP155" i="6"/>
  <c r="BR180" i="6"/>
  <c r="Q136" i="9"/>
  <c r="BO33" i="6" l="1"/>
  <c r="BS33" i="6" s="1"/>
  <c r="BO29" i="6"/>
  <c r="BS29" i="6" s="1"/>
  <c r="BO25" i="6"/>
  <c r="BS25" i="6" s="1"/>
  <c r="BO34" i="6"/>
  <c r="BS34" i="6" s="1"/>
  <c r="BO30" i="6"/>
  <c r="BS30" i="6" s="1"/>
  <c r="BO26" i="6"/>
  <c r="BS26" i="6" s="1"/>
  <c r="BO35" i="6"/>
  <c r="BS35" i="6" s="1"/>
  <c r="BO31" i="6"/>
  <c r="BS31" i="6" s="1"/>
  <c r="BO27" i="6"/>
  <c r="BS27" i="6" s="1"/>
  <c r="BO23" i="6"/>
  <c r="BS23" i="6" s="1"/>
  <c r="BO36" i="6"/>
  <c r="BS36" i="6" s="1"/>
  <c r="BO32" i="6"/>
  <c r="BS32" i="6" s="1"/>
  <c r="BO28" i="6"/>
  <c r="BS28" i="6" s="1"/>
  <c r="BO24" i="6"/>
  <c r="BS24" i="6" s="1"/>
  <c r="BO203" i="6"/>
  <c r="BS203" i="6" s="1"/>
  <c r="BO199" i="6"/>
  <c r="BS199" i="6" s="1"/>
  <c r="BO195" i="6"/>
  <c r="BS195" i="6" s="1"/>
  <c r="BO191" i="6"/>
  <c r="BS191" i="6" s="1"/>
  <c r="BO187" i="6"/>
  <c r="BS187" i="6" s="1"/>
  <c r="BO183" i="6"/>
  <c r="BS183" i="6" s="1"/>
  <c r="BO204" i="6"/>
  <c r="BS204" i="6" s="1"/>
  <c r="BO200" i="6"/>
  <c r="BS200" i="6" s="1"/>
  <c r="BO196" i="6"/>
  <c r="BS196" i="6" s="1"/>
  <c r="BO192" i="6"/>
  <c r="BS192" i="6" s="1"/>
  <c r="BO188" i="6"/>
  <c r="BS188" i="6" s="1"/>
  <c r="BO184" i="6"/>
  <c r="BS184" i="6" s="1"/>
  <c r="BO180" i="6"/>
  <c r="BS180" i="6" s="1"/>
  <c r="BO205" i="6"/>
  <c r="BS205" i="6" s="1"/>
  <c r="BO201" i="6"/>
  <c r="BS201" i="6" s="1"/>
  <c r="BO197" i="6"/>
  <c r="BS197" i="6" s="1"/>
  <c r="BO193" i="6"/>
  <c r="BS193" i="6" s="1"/>
  <c r="BO206" i="6"/>
  <c r="BS206" i="6" s="1"/>
  <c r="BO202" i="6"/>
  <c r="BS202" i="6" s="1"/>
  <c r="BO198" i="6"/>
  <c r="BS198" i="6" s="1"/>
  <c r="BO194" i="6"/>
  <c r="BS194" i="6" s="1"/>
  <c r="BO190" i="6"/>
  <c r="BS190" i="6" s="1"/>
  <c r="BO174" i="6"/>
  <c r="BS174" i="6" s="1"/>
  <c r="BO170" i="6"/>
  <c r="BS170" i="6" s="1"/>
  <c r="BO166" i="6"/>
  <c r="BS166" i="6" s="1"/>
  <c r="BO162" i="6"/>
  <c r="BS162" i="6" s="1"/>
  <c r="BO178" i="6"/>
  <c r="BS178" i="6" s="1"/>
  <c r="BO182" i="6"/>
  <c r="BS182" i="6" s="1"/>
  <c r="BO175" i="6"/>
  <c r="BS175" i="6" s="1"/>
  <c r="BO171" i="6"/>
  <c r="BS171" i="6" s="1"/>
  <c r="BO167" i="6"/>
  <c r="BS167" i="6" s="1"/>
  <c r="BO189" i="6"/>
  <c r="BS189" i="6" s="1"/>
  <c r="BO181" i="6"/>
  <c r="BS181" i="6" s="1"/>
  <c r="BO176" i="6"/>
  <c r="BS176" i="6" s="1"/>
  <c r="BO179" i="6"/>
  <c r="BS179" i="6" s="1"/>
  <c r="BO186" i="6"/>
  <c r="BS186" i="6" s="1"/>
  <c r="BO177" i="6"/>
  <c r="BS177" i="6" s="1"/>
  <c r="BO185" i="6"/>
  <c r="BS185" i="6" s="1"/>
  <c r="BO161" i="6"/>
  <c r="BS161" i="6" s="1"/>
  <c r="BO158" i="6"/>
  <c r="BS158" i="6" s="1"/>
  <c r="BO154" i="6"/>
  <c r="BS154" i="6" s="1"/>
  <c r="BO150" i="6"/>
  <c r="BS150" i="6" s="1"/>
  <c r="BO146" i="6"/>
  <c r="BS146" i="6" s="1"/>
  <c r="BO142" i="6"/>
  <c r="BS142" i="6" s="1"/>
  <c r="BO173" i="6"/>
  <c r="BS173" i="6" s="1"/>
  <c r="BO169" i="6"/>
  <c r="BS169" i="6" s="1"/>
  <c r="BO165" i="6"/>
  <c r="BS165" i="6" s="1"/>
  <c r="BO159" i="6"/>
  <c r="BS159" i="6" s="1"/>
  <c r="BO155" i="6"/>
  <c r="BS155" i="6" s="1"/>
  <c r="BO151" i="6"/>
  <c r="BS151" i="6" s="1"/>
  <c r="BO147" i="6"/>
  <c r="BS147" i="6" s="1"/>
  <c r="BO168" i="6"/>
  <c r="BS168" i="6" s="1"/>
  <c r="BO164" i="6"/>
  <c r="BS164" i="6" s="1"/>
  <c r="BO160" i="6"/>
  <c r="BS160" i="6" s="1"/>
  <c r="BO156" i="6"/>
  <c r="BS156" i="6" s="1"/>
  <c r="BO152" i="6"/>
  <c r="BS152" i="6" s="1"/>
  <c r="BO148" i="6"/>
  <c r="BS148" i="6" s="1"/>
  <c r="BO144" i="6"/>
  <c r="BS144" i="6" s="1"/>
  <c r="BO172" i="6"/>
  <c r="BS172" i="6" s="1"/>
  <c r="BO163" i="6"/>
  <c r="BS163" i="6" s="1"/>
  <c r="BO157" i="6"/>
  <c r="BS157" i="6" s="1"/>
  <c r="BO153" i="6"/>
  <c r="BS153" i="6" s="1"/>
  <c r="BO149" i="6"/>
  <c r="BS149" i="6" s="1"/>
  <c r="BO145" i="6"/>
  <c r="BS145" i="6" s="1"/>
  <c r="BO141" i="6"/>
  <c r="BS141" i="6" s="1"/>
  <c r="BO137" i="6"/>
  <c r="BS137" i="6" s="1"/>
  <c r="BO133" i="6"/>
  <c r="BS133" i="6" s="1"/>
  <c r="BO129" i="6"/>
  <c r="BS129" i="6" s="1"/>
  <c r="BO125" i="6"/>
  <c r="BS125" i="6" s="1"/>
  <c r="BO121" i="6"/>
  <c r="BS121" i="6" s="1"/>
  <c r="BO117" i="6"/>
  <c r="BS117" i="6" s="1"/>
  <c r="BO143" i="6"/>
  <c r="BS143" i="6" s="1"/>
  <c r="BO140" i="6"/>
  <c r="BS140" i="6" s="1"/>
  <c r="BO134" i="6"/>
  <c r="BS134" i="6" s="1"/>
  <c r="BO130" i="6"/>
  <c r="BS130" i="6" s="1"/>
  <c r="BO126" i="6"/>
  <c r="BS126" i="6" s="1"/>
  <c r="BO122" i="6"/>
  <c r="BS122" i="6" s="1"/>
  <c r="BO138" i="6"/>
  <c r="BS138" i="6" s="1"/>
  <c r="BO135" i="6"/>
  <c r="BS135" i="6" s="1"/>
  <c r="BO131" i="6"/>
  <c r="BS131" i="6" s="1"/>
  <c r="BO127" i="6"/>
  <c r="BS127" i="6" s="1"/>
  <c r="BO136" i="6"/>
  <c r="BS136" i="6" s="1"/>
  <c r="BO132" i="6"/>
  <c r="BS132" i="6" s="1"/>
  <c r="BO128" i="6"/>
  <c r="BS128" i="6" s="1"/>
  <c r="BO124" i="6"/>
  <c r="BS124" i="6" s="1"/>
  <c r="BO120" i="6"/>
  <c r="BS120" i="6" s="1"/>
  <c r="BO139" i="6"/>
  <c r="BS139" i="6" s="1"/>
  <c r="BO112" i="6"/>
  <c r="BS112" i="6" s="1"/>
  <c r="BO108" i="6"/>
  <c r="BS108" i="6" s="1"/>
  <c r="BO104" i="6"/>
  <c r="BS104" i="6" s="1"/>
  <c r="BO116" i="6"/>
  <c r="BS116" i="6" s="1"/>
  <c r="BO123" i="6"/>
  <c r="BS123" i="6" s="1"/>
  <c r="BO118" i="6"/>
  <c r="BS118" i="6" s="1"/>
  <c r="BO113" i="6"/>
  <c r="BS113" i="6" s="1"/>
  <c r="BO109" i="6"/>
  <c r="BS109" i="6" s="1"/>
  <c r="BO105" i="6"/>
  <c r="BS105" i="6" s="1"/>
  <c r="BO101" i="6"/>
  <c r="BS101" i="6" s="1"/>
  <c r="BO97" i="6"/>
  <c r="BS97" i="6" s="1"/>
  <c r="BO119" i="6"/>
  <c r="BS119" i="6" s="1"/>
  <c r="BO114" i="6"/>
  <c r="BS114" i="6" s="1"/>
  <c r="BO110" i="6"/>
  <c r="BS110" i="6" s="1"/>
  <c r="BO106" i="6"/>
  <c r="BS106" i="6" s="1"/>
  <c r="BO102" i="6"/>
  <c r="BS102" i="6" s="1"/>
  <c r="BO115" i="6"/>
  <c r="BS115" i="6" s="1"/>
  <c r="BO111" i="6"/>
  <c r="BS111" i="6" s="1"/>
  <c r="BO107" i="6"/>
  <c r="BS107" i="6" s="1"/>
  <c r="BO103" i="6"/>
  <c r="BS103" i="6" s="1"/>
  <c r="BO99" i="6"/>
  <c r="BS99" i="6" s="1"/>
  <c r="BO95" i="6"/>
  <c r="BS95" i="6" s="1"/>
  <c r="BO98" i="6"/>
  <c r="BS98" i="6" s="1"/>
  <c r="BO88" i="6"/>
  <c r="BS88" i="6" s="1"/>
  <c r="BO84" i="6"/>
  <c r="BS84" i="6" s="1"/>
  <c r="BO80" i="6"/>
  <c r="BS80" i="6" s="1"/>
  <c r="BO76" i="6"/>
  <c r="BS76" i="6" s="1"/>
  <c r="BO92" i="6"/>
  <c r="BS92" i="6" s="1"/>
  <c r="BO89" i="6"/>
  <c r="BS89" i="6" s="1"/>
  <c r="BO85" i="6"/>
  <c r="BS85" i="6" s="1"/>
  <c r="BO81" i="6"/>
  <c r="BS81" i="6" s="1"/>
  <c r="BO77" i="6"/>
  <c r="BS77" i="6" s="1"/>
  <c r="BO73" i="6"/>
  <c r="BS73" i="6" s="1"/>
  <c r="BO100" i="6"/>
  <c r="BS100" i="6" s="1"/>
  <c r="BO94" i="6"/>
  <c r="BS94" i="6" s="1"/>
  <c r="BO90" i="6"/>
  <c r="BS90" i="6" s="1"/>
  <c r="BO86" i="6"/>
  <c r="BS86" i="6" s="1"/>
  <c r="BO96" i="6"/>
  <c r="BS96" i="6" s="1"/>
  <c r="BO93" i="6"/>
  <c r="BS93" i="6" s="1"/>
  <c r="BO91" i="6"/>
  <c r="BS91" i="6" s="1"/>
  <c r="BO87" i="6"/>
  <c r="BS87" i="6" s="1"/>
  <c r="BO83" i="6"/>
  <c r="BS83" i="6" s="1"/>
  <c r="BO79" i="6"/>
  <c r="BS79" i="6" s="1"/>
  <c r="BO75" i="6"/>
  <c r="BS75" i="6" s="1"/>
  <c r="BO66" i="6"/>
  <c r="BS66" i="6" s="1"/>
  <c r="BO62" i="6"/>
  <c r="BS62" i="6" s="1"/>
  <c r="BO58" i="6"/>
  <c r="BS58" i="6" s="1"/>
  <c r="BO54" i="6"/>
  <c r="BS54" i="6" s="1"/>
  <c r="BO50" i="6"/>
  <c r="BS50" i="6" s="1"/>
  <c r="BO74" i="6"/>
  <c r="BS74" i="6" s="1"/>
  <c r="BO70" i="6"/>
  <c r="BS70" i="6" s="1"/>
  <c r="BO67" i="6"/>
  <c r="BS67" i="6" s="1"/>
  <c r="BO63" i="6"/>
  <c r="BS63" i="6" s="1"/>
  <c r="BO59" i="6"/>
  <c r="BS59" i="6" s="1"/>
  <c r="BO55" i="6"/>
  <c r="BS55" i="6" s="1"/>
  <c r="BO51" i="6"/>
  <c r="BS51" i="6" s="1"/>
  <c r="BO82" i="6"/>
  <c r="BS82" i="6" s="1"/>
  <c r="BO78" i="6"/>
  <c r="BS78" i="6" s="1"/>
  <c r="BO68" i="6"/>
  <c r="BS68" i="6" s="1"/>
  <c r="BO71" i="6"/>
  <c r="BS71" i="6" s="1"/>
  <c r="BO69" i="6"/>
  <c r="BS69" i="6" s="1"/>
  <c r="BO65" i="6"/>
  <c r="BS65" i="6" s="1"/>
  <c r="BO61" i="6"/>
  <c r="BS61" i="6" s="1"/>
  <c r="BO72" i="6"/>
  <c r="BS72" i="6" s="1"/>
  <c r="BO56" i="6"/>
  <c r="BS56" i="6" s="1"/>
  <c r="BO64" i="6"/>
  <c r="BS64" i="6" s="1"/>
  <c r="BO60" i="6"/>
  <c r="BS60" i="6" s="1"/>
  <c r="BO46" i="6"/>
  <c r="BS46" i="6" s="1"/>
  <c r="BO42" i="6"/>
  <c r="BS42" i="6" s="1"/>
  <c r="BO38" i="6"/>
  <c r="BS38" i="6" s="1"/>
  <c r="BO47" i="6"/>
  <c r="BS47" i="6" s="1"/>
  <c r="BO43" i="6"/>
  <c r="BS43" i="6" s="1"/>
  <c r="BO39" i="6"/>
  <c r="BS39" i="6" s="1"/>
  <c r="BO48" i="6"/>
  <c r="BS48" i="6" s="1"/>
  <c r="BO44" i="6"/>
  <c r="BS44" i="6" s="1"/>
  <c r="BO40" i="6"/>
  <c r="BS40" i="6" s="1"/>
  <c r="BO57" i="6"/>
  <c r="BS57" i="6" s="1"/>
  <c r="BO53" i="6"/>
  <c r="BS53" i="6" s="1"/>
  <c r="BO52" i="6"/>
  <c r="BS52" i="6" s="1"/>
  <c r="BO49" i="6"/>
  <c r="BS49" i="6" s="1"/>
  <c r="BO45" i="6"/>
  <c r="BS45" i="6" s="1"/>
  <c r="BO41" i="6"/>
  <c r="BS41" i="6" s="1"/>
  <c r="BO37" i="6"/>
  <c r="BS37" i="6" s="1"/>
  <c r="R2" i="9"/>
  <c r="Q19" i="9"/>
  <c r="BM22" i="6"/>
  <c r="BO22" i="6"/>
  <c r="BN19" i="6"/>
  <c r="BT20" i="6"/>
  <c r="BT1" i="6"/>
  <c r="BZ2" i="6"/>
  <c r="R23" i="9"/>
  <c r="R137" i="9"/>
  <c r="BX203" i="6"/>
  <c r="BV90" i="6"/>
  <c r="BT151" i="6"/>
  <c r="BV116" i="6"/>
  <c r="BT190" i="6"/>
  <c r="BW54" i="6"/>
  <c r="R76" i="9"/>
  <c r="BX127" i="6"/>
  <c r="BU136" i="6" a="1"/>
  <c r="BT97" i="6"/>
  <c r="R97" i="9"/>
  <c r="BV173" i="6"/>
  <c r="BW88" i="6"/>
  <c r="R81" i="9"/>
  <c r="BT96" i="6"/>
  <c r="BX27" i="6"/>
  <c r="BW154" i="6"/>
  <c r="BX148" i="6"/>
  <c r="BT186" i="6"/>
  <c r="BW35" i="6"/>
  <c r="BV138" i="6"/>
  <c r="BU117" i="6" a="1"/>
  <c r="BT50" i="6"/>
  <c r="BT179" i="6"/>
  <c r="BW195" i="6"/>
  <c r="BU123" i="6" a="1"/>
  <c r="BV35" i="6"/>
  <c r="BV111" i="6"/>
  <c r="BW67" i="6"/>
  <c r="BU60" i="6" a="1"/>
  <c r="BU37" i="6" a="1"/>
  <c r="BU121" i="6" a="1"/>
  <c r="BX112" i="6"/>
  <c r="BU73" i="6" a="1"/>
  <c r="BU27" i="6" a="1"/>
  <c r="R112" i="9"/>
  <c r="BU200" i="6" a="1"/>
  <c r="BX180" i="6"/>
  <c r="BU79" i="6" a="1"/>
  <c r="BU124" i="6" a="1"/>
  <c r="BX41" i="6"/>
  <c r="R100" i="9"/>
  <c r="BV40" i="6"/>
  <c r="BU78" i="6" a="1"/>
  <c r="BU162" i="6" a="1"/>
  <c r="BU170" i="6" a="1"/>
  <c r="BW188" i="6"/>
  <c r="BW116" i="6"/>
  <c r="R101" i="9"/>
  <c r="BV155" i="6"/>
  <c r="BX172" i="6"/>
  <c r="BW199" i="6"/>
  <c r="R60" i="9"/>
  <c r="BV162" i="6"/>
  <c r="BT22" i="6"/>
  <c r="R44" i="9"/>
  <c r="BU81" i="6" a="1"/>
  <c r="BV28" i="6"/>
  <c r="BX189" i="6"/>
  <c r="BW127" i="6"/>
  <c r="BV171" i="6"/>
  <c r="BT36" i="6"/>
  <c r="BW119" i="6"/>
  <c r="BW69" i="6"/>
  <c r="BX117" i="6"/>
  <c r="BT125" i="6"/>
  <c r="BV22" i="6"/>
  <c r="BU179" i="6" a="1"/>
  <c r="BX33" i="6"/>
  <c r="BV148" i="6"/>
  <c r="BX43" i="6"/>
  <c r="BW193" i="6"/>
  <c r="BU82" i="6" a="1"/>
  <c r="BX191" i="6"/>
  <c r="BU138" i="6" a="1"/>
  <c r="BU122" i="6" a="1"/>
  <c r="BW49" i="6"/>
  <c r="R67" i="9"/>
  <c r="BX119" i="6"/>
  <c r="BT45" i="6"/>
  <c r="BX70" i="6"/>
  <c r="BT161" i="6"/>
  <c r="R108" i="9"/>
  <c r="BU50" i="6" a="1"/>
  <c r="BX42" i="6"/>
  <c r="R43" i="9"/>
  <c r="BT79" i="6"/>
  <c r="BT73" i="6"/>
  <c r="BX164" i="6"/>
  <c r="BX182" i="6"/>
  <c r="BX32" i="6"/>
  <c r="BU204" i="6" a="1"/>
  <c r="BX97" i="6"/>
  <c r="BV100" i="6"/>
  <c r="BU92" i="6" a="1"/>
  <c r="R31" i="9"/>
  <c r="BU39" i="6" a="1"/>
  <c r="BT70" i="6"/>
  <c r="BU184" i="6" a="1"/>
  <c r="BU166" i="6" a="1"/>
  <c r="BW203" i="6"/>
  <c r="BT92" i="6"/>
  <c r="R56" i="9"/>
  <c r="BV128" i="6"/>
  <c r="BU108" i="6" a="1"/>
  <c r="BW118" i="6"/>
  <c r="R85" i="9"/>
  <c r="BX143" i="6"/>
  <c r="BT193" i="6"/>
  <c r="R122" i="9"/>
  <c r="BW112" i="6"/>
  <c r="BV34" i="6"/>
  <c r="BW56" i="6"/>
  <c r="BU61" i="6" a="1"/>
  <c r="BX198" i="6"/>
  <c r="BV26" i="6"/>
  <c r="R49" i="9"/>
  <c r="BW92" i="6"/>
  <c r="BU192" i="6" a="1"/>
  <c r="BX72" i="6"/>
  <c r="R33" i="9"/>
  <c r="BU144" i="6" a="1"/>
  <c r="BU24" i="6" a="1"/>
  <c r="BT163" i="6"/>
  <c r="BT170" i="6"/>
  <c r="BT49" i="6"/>
  <c r="BU199" i="6" a="1"/>
  <c r="R87" i="9"/>
  <c r="BU168" i="6" a="1"/>
  <c r="BU67" i="6" a="1"/>
  <c r="BX57" i="6"/>
  <c r="R54" i="9"/>
  <c r="BX195" i="6"/>
  <c r="BV56" i="6"/>
  <c r="BT71" i="6"/>
  <c r="BV39" i="6"/>
  <c r="R39" i="9"/>
  <c r="BT191" i="6"/>
  <c r="BU47" i="6" a="1"/>
  <c r="BX156" i="6"/>
  <c r="BT62" i="6"/>
  <c r="BT93" i="6"/>
  <c r="BX63" i="6"/>
  <c r="BX146" i="6"/>
  <c r="BU139" i="6" a="1"/>
  <c r="BX147" i="6"/>
  <c r="BV53" i="6"/>
  <c r="BU119" i="6" a="1"/>
  <c r="R125" i="9"/>
  <c r="BX173" i="6"/>
  <c r="BV121" i="6"/>
  <c r="BV193" i="6"/>
  <c r="BX176" i="6"/>
  <c r="BW176" i="6"/>
  <c r="BW58" i="6"/>
  <c r="BT34" i="6"/>
  <c r="BT108" i="6"/>
  <c r="BX196" i="6"/>
  <c r="BV169" i="6"/>
  <c r="R40" i="9"/>
  <c r="BV134" i="6"/>
  <c r="BW149" i="6"/>
  <c r="R69" i="9"/>
  <c r="BX103" i="6"/>
  <c r="BU49" i="6" a="1"/>
  <c r="BU165" i="6" a="1"/>
  <c r="R65" i="9"/>
  <c r="BV54" i="6"/>
  <c r="BV183" i="6"/>
  <c r="R135" i="9"/>
  <c r="BT43" i="6"/>
  <c r="BV45" i="6"/>
  <c r="BV174" i="6"/>
  <c r="R119" i="9"/>
  <c r="BU164" i="6" a="1"/>
  <c r="BU84" i="6" a="1"/>
  <c r="BV55" i="6"/>
  <c r="BT154" i="6"/>
  <c r="BW126" i="6"/>
  <c r="BX85" i="6"/>
  <c r="R42" i="9"/>
  <c r="BV194" i="6"/>
  <c r="BW174" i="6"/>
  <c r="BX96" i="6"/>
  <c r="BT27" i="6"/>
  <c r="BV80" i="6"/>
  <c r="BV118" i="6"/>
  <c r="BW141" i="6"/>
  <c r="BV200" i="6"/>
  <c r="R133" i="9"/>
  <c r="BW42" i="6"/>
  <c r="BU63" i="6" a="1"/>
  <c r="BV143" i="6"/>
  <c r="BT145" i="6"/>
  <c r="BV85" i="6"/>
  <c r="BU181" i="6" a="1"/>
  <c r="BW104" i="6"/>
  <c r="R80" i="9"/>
  <c r="BW57" i="6"/>
  <c r="BX183" i="6"/>
  <c r="BW187" i="6"/>
  <c r="BT63" i="6"/>
  <c r="BW189" i="6"/>
  <c r="BV160" i="6"/>
  <c r="BW32" i="6"/>
  <c r="BU197" i="6" a="1"/>
  <c r="BV117" i="6"/>
  <c r="BV146" i="6"/>
  <c r="BT26" i="6"/>
  <c r="BT156" i="6"/>
  <c r="BW117" i="6"/>
  <c r="R24" i="9"/>
  <c r="BT69" i="6"/>
  <c r="BW178" i="6"/>
  <c r="BT140" i="6"/>
  <c r="R28" i="9"/>
  <c r="BU152" i="6" a="1"/>
  <c r="BU130" i="6" a="1"/>
  <c r="R90" i="9"/>
  <c r="BV133" i="6"/>
  <c r="R41" i="9"/>
  <c r="BT116" i="6"/>
  <c r="R74" i="9"/>
  <c r="BW161" i="6"/>
  <c r="BU65" i="6" a="1"/>
  <c r="BT198" i="6"/>
  <c r="BT56" i="6"/>
  <c r="BT178" i="6"/>
  <c r="BX49" i="6"/>
  <c r="R136" i="9"/>
  <c r="BT86" i="6"/>
  <c r="BT137" i="6"/>
  <c r="BT162" i="6"/>
  <c r="BV33" i="6"/>
  <c r="BT118" i="6"/>
  <c r="BT77" i="6"/>
  <c r="BW109" i="6"/>
  <c r="BW48" i="6"/>
  <c r="R88" i="9"/>
  <c r="BX159" i="6"/>
  <c r="BU188" i="6" a="1"/>
  <c r="BT51" i="6"/>
  <c r="BT172" i="6"/>
  <c r="BW108" i="6"/>
  <c r="BU48" i="6" a="1"/>
  <c r="BV115" i="6"/>
  <c r="R35" i="9"/>
  <c r="BT169" i="6"/>
  <c r="BX199" i="6"/>
  <c r="BW157" i="6"/>
  <c r="BV104" i="6"/>
  <c r="BU161" i="6" a="1"/>
  <c r="BV98" i="6"/>
  <c r="BX30" i="6"/>
  <c r="BV187" i="6"/>
  <c r="BT201" i="6"/>
  <c r="BX91" i="6"/>
  <c r="BW24" i="6"/>
  <c r="BV103" i="6"/>
  <c r="BX138" i="6"/>
  <c r="BX31" i="6"/>
  <c r="BX65" i="6"/>
  <c r="BT120" i="6"/>
  <c r="BV163" i="6"/>
  <c r="R106" i="9"/>
  <c r="BU125" i="6" a="1"/>
  <c r="BX54" i="6"/>
  <c r="R37" i="9"/>
  <c r="BX22" i="6"/>
  <c r="R127" i="9"/>
  <c r="BT184" i="6"/>
  <c r="R123" i="9"/>
  <c r="BX68" i="6"/>
  <c r="BT127" i="6"/>
  <c r="R91" i="9"/>
  <c r="BU31" i="6" a="1"/>
  <c r="BV105" i="6"/>
  <c r="BX36" i="6"/>
  <c r="BU97" i="6" a="1"/>
  <c r="BV25" i="6"/>
  <c r="BX28" i="6"/>
  <c r="BT54" i="6"/>
  <c r="BX86" i="6"/>
  <c r="BX80" i="6"/>
  <c r="BV164" i="6"/>
  <c r="BT132" i="6"/>
  <c r="BW143" i="6"/>
  <c r="BV46" i="6"/>
  <c r="BV38" i="6"/>
  <c r="BT109" i="6"/>
  <c r="BW180" i="6"/>
  <c r="BW34" i="6"/>
  <c r="BT197" i="6"/>
  <c r="BV99" i="6"/>
  <c r="BV32" i="6"/>
  <c r="BV177" i="6"/>
  <c r="BW182" i="6"/>
  <c r="BT181" i="6"/>
  <c r="R53" i="9"/>
  <c r="BV122" i="6"/>
  <c r="BW170" i="6"/>
  <c r="R126" i="9"/>
  <c r="BT66" i="6"/>
  <c r="R82" i="9"/>
  <c r="BX169" i="6"/>
  <c r="R110" i="9"/>
  <c r="BT75" i="6"/>
  <c r="BW71" i="6"/>
  <c r="BT60" i="6"/>
  <c r="BV205" i="6"/>
  <c r="BW50" i="6"/>
  <c r="BU100" i="6" a="1"/>
  <c r="R78" i="9"/>
  <c r="BU206" i="6" a="1"/>
  <c r="BW106" i="6"/>
  <c r="BX132" i="6"/>
  <c r="BW135" i="6"/>
  <c r="BX188" i="6"/>
  <c r="BW94" i="6"/>
  <c r="BU174" i="6" a="1"/>
  <c r="BX136" i="6"/>
  <c r="R30" i="9"/>
  <c r="BX149" i="6"/>
  <c r="BT29" i="6"/>
  <c r="BX167" i="6"/>
  <c r="BX50" i="6"/>
  <c r="BV154" i="6"/>
  <c r="BT98" i="6"/>
  <c r="BX38" i="6"/>
  <c r="BX178" i="6"/>
  <c r="BU102" i="6" a="1"/>
  <c r="BT129" i="6"/>
  <c r="BW137" i="6"/>
  <c r="BV192" i="6"/>
  <c r="BU113" i="6" a="1"/>
  <c r="BU172" i="6" a="1"/>
  <c r="BT176" i="6"/>
  <c r="BW26" i="6"/>
  <c r="BW47" i="6"/>
  <c r="BV66" i="6"/>
  <c r="BV109" i="6"/>
  <c r="BX23" i="6"/>
  <c r="BX81" i="6"/>
  <c r="BW134" i="6"/>
  <c r="BW31" i="6"/>
  <c r="BU129" i="6" a="1"/>
  <c r="R29" i="9"/>
  <c r="BW86" i="6"/>
  <c r="BW23" i="6"/>
  <c r="BU118" i="6" a="1"/>
  <c r="BV69" i="6"/>
  <c r="BU169" i="6" a="1"/>
  <c r="BV151" i="6"/>
  <c r="BV186" i="6"/>
  <c r="BV123" i="6"/>
  <c r="BV23" i="6"/>
  <c r="R79" i="9"/>
  <c r="BV57" i="6"/>
  <c r="BU34" i="6" a="1"/>
  <c r="BU159" i="6" a="1"/>
  <c r="BX58" i="6"/>
  <c r="BW200" i="6"/>
  <c r="BT78" i="6"/>
  <c r="BX175" i="6"/>
  <c r="BX90" i="6"/>
  <c r="BU153" i="6" a="1"/>
  <c r="R105" i="9"/>
  <c r="BT165" i="6"/>
  <c r="BW177" i="6"/>
  <c r="BV191" i="6"/>
  <c r="BU104" i="6" a="1"/>
  <c r="BU150" i="6" a="1"/>
  <c r="BT159" i="6"/>
  <c r="BX125" i="6"/>
  <c r="BV206" i="6"/>
  <c r="BU156" i="6" a="1"/>
  <c r="BV24" i="6"/>
  <c r="BW43" i="6"/>
  <c r="BV145" i="6"/>
  <c r="BT32" i="6"/>
  <c r="BV153" i="6"/>
  <c r="R131" i="9"/>
  <c r="BV112" i="6"/>
  <c r="BT24" i="6"/>
  <c r="BU53" i="6" a="1"/>
  <c r="BU76" i="6" a="1"/>
  <c r="BW64" i="6"/>
  <c r="BT206" i="6"/>
  <c r="BV92" i="6"/>
  <c r="BT100" i="6"/>
  <c r="BW33" i="6"/>
  <c r="R34" i="9"/>
  <c r="BX157" i="6"/>
  <c r="BW101" i="6"/>
  <c r="BU116" i="6" a="1"/>
  <c r="R124" i="9"/>
  <c r="R22" i="9"/>
  <c r="BV178" i="6"/>
  <c r="BU46" i="6" a="1"/>
  <c r="BT33" i="6"/>
  <c r="BU158" i="6" a="1"/>
  <c r="BV82" i="6"/>
  <c r="BX139" i="6"/>
  <c r="BT95" i="6"/>
  <c r="BV125" i="6"/>
  <c r="BV93" i="6"/>
  <c r="BX197" i="6"/>
  <c r="BV201" i="6"/>
  <c r="BW194" i="6"/>
  <c r="BW100" i="6"/>
  <c r="BX120" i="6"/>
  <c r="R68" i="9"/>
  <c r="BU167" i="6" a="1"/>
  <c r="BV158" i="6"/>
  <c r="BU98" i="6" a="1"/>
  <c r="BV107" i="6"/>
  <c r="BT146" i="6"/>
  <c r="BV71" i="6"/>
  <c r="BW59" i="6"/>
  <c r="BV170" i="6"/>
  <c r="BV119" i="6"/>
  <c r="BV30" i="6"/>
  <c r="BT189" i="6"/>
  <c r="BV132" i="6"/>
  <c r="BU25" i="6" a="1"/>
  <c r="BU42" i="6" a="1"/>
  <c r="R118" i="9"/>
  <c r="BX201" i="6"/>
  <c r="BU33" i="6" a="1"/>
  <c r="BT111" i="6"/>
  <c r="BV135" i="6"/>
  <c r="BW197" i="6"/>
  <c r="BW89" i="6"/>
  <c r="BT53" i="6"/>
  <c r="BV59" i="6"/>
  <c r="BU36" i="6" a="1"/>
  <c r="R128" i="9"/>
  <c r="BW168" i="6"/>
  <c r="BV44" i="6"/>
  <c r="BU69" i="6" a="1"/>
  <c r="R55" i="9"/>
  <c r="BU94" i="6" a="1"/>
  <c r="BW165" i="6"/>
  <c r="BT177" i="6"/>
  <c r="BU30" i="6" a="1"/>
  <c r="BW72" i="6"/>
  <c r="BV27" i="6"/>
  <c r="BU175" i="6" a="1"/>
  <c r="BW186" i="6"/>
  <c r="BT175" i="6"/>
  <c r="BX55" i="6"/>
  <c r="BX187" i="6"/>
  <c r="BU62" i="6" a="1"/>
  <c r="BX130" i="6"/>
  <c r="BT80" i="6"/>
  <c r="BX79" i="6"/>
  <c r="R93" i="9"/>
  <c r="BU191" i="6" a="1"/>
  <c r="BX134" i="6"/>
  <c r="BW66" i="6"/>
  <c r="BW121" i="6"/>
  <c r="BW175" i="6"/>
  <c r="BW164" i="6"/>
  <c r="BU83" i="6" a="1"/>
  <c r="BU90" i="6" a="1"/>
  <c r="BW169" i="6"/>
  <c r="BX62" i="6"/>
  <c r="BV79" i="6"/>
  <c r="BU40" i="6" a="1"/>
  <c r="BW158" i="6"/>
  <c r="BW124" i="6"/>
  <c r="BW27" i="6"/>
  <c r="BT187" i="6"/>
  <c r="BX60" i="6"/>
  <c r="BV73" i="6"/>
  <c r="BU151" i="6" a="1"/>
  <c r="BV202" i="6"/>
  <c r="BU101" i="6" a="1"/>
  <c r="BW44" i="6"/>
  <c r="BV52" i="6"/>
  <c r="BW80" i="6"/>
  <c r="R83" i="9"/>
  <c r="BT168" i="6"/>
  <c r="BV114" i="6"/>
  <c r="BW202" i="6"/>
  <c r="R104" i="9"/>
  <c r="BW83" i="6"/>
  <c r="BT173" i="6"/>
  <c r="BW185" i="6"/>
  <c r="BU55" i="6" a="1"/>
  <c r="BX76" i="6"/>
  <c r="BT47" i="6"/>
  <c r="BX168" i="6"/>
  <c r="BW68" i="6"/>
  <c r="BU112" i="6" a="1"/>
  <c r="BU80" i="6" a="1"/>
  <c r="BU85" i="6" a="1"/>
  <c r="BW93" i="6"/>
  <c r="BT61" i="6"/>
  <c r="BV77" i="6"/>
  <c r="R121" i="9"/>
  <c r="BT188" i="6"/>
  <c r="BV197" i="6"/>
  <c r="BX109" i="6"/>
  <c r="R48" i="9"/>
  <c r="BX113" i="6"/>
  <c r="BT94" i="6"/>
  <c r="BV67" i="6"/>
  <c r="BV131" i="6"/>
  <c r="BV74" i="6"/>
  <c r="BT99" i="6"/>
  <c r="BX46" i="6"/>
  <c r="BW129" i="6"/>
  <c r="BV62" i="6"/>
  <c r="BX95" i="6"/>
  <c r="BV126" i="6"/>
  <c r="BX206" i="6"/>
  <c r="BW183" i="6"/>
  <c r="BX66" i="6"/>
  <c r="BT28" i="6"/>
  <c r="BW73" i="6"/>
  <c r="BT160" i="6"/>
  <c r="BU126" i="6" a="1"/>
  <c r="BX94" i="6"/>
  <c r="BX82" i="6"/>
  <c r="BX171" i="6"/>
  <c r="BU70" i="6" a="1"/>
  <c r="BU135" i="6" a="1"/>
  <c r="BT122" i="6"/>
  <c r="R70" i="9"/>
  <c r="BT203" i="6"/>
  <c r="BV198" i="6"/>
  <c r="BU134" i="6" a="1"/>
  <c r="R59" i="9"/>
  <c r="BW153" i="6"/>
  <c r="BT81" i="6"/>
  <c r="R116" i="9"/>
  <c r="BV130" i="6"/>
  <c r="BX154" i="6"/>
  <c r="BU89" i="6" a="1"/>
  <c r="BX77" i="6"/>
  <c r="BT152" i="6"/>
  <c r="BV179" i="6"/>
  <c r="BU202" i="6" a="1"/>
  <c r="BT180" i="6"/>
  <c r="R84" i="9"/>
  <c r="BW60" i="6"/>
  <c r="BX74" i="6"/>
  <c r="BW55" i="6"/>
  <c r="BT30" i="6"/>
  <c r="BT87" i="6"/>
  <c r="BX71" i="6"/>
  <c r="BX193" i="6"/>
  <c r="R89" i="9"/>
  <c r="BU56" i="6" a="1"/>
  <c r="BW147" i="6"/>
  <c r="BU103" i="6" a="1"/>
  <c r="BW201" i="6"/>
  <c r="BT85" i="6"/>
  <c r="BX181" i="6"/>
  <c r="BX110" i="6"/>
  <c r="BU142" i="6" a="1"/>
  <c r="BW163" i="6"/>
  <c r="BT59" i="6"/>
  <c r="BU29" i="6" a="1"/>
  <c r="BU177" i="6" a="1"/>
  <c r="BW103" i="6"/>
  <c r="BX155" i="6"/>
  <c r="BU195" i="6" a="1"/>
  <c r="BV181" i="6"/>
  <c r="BW179" i="6"/>
  <c r="BT128" i="6"/>
  <c r="BT174" i="6"/>
  <c r="BW46" i="6"/>
  <c r="BT35" i="6"/>
  <c r="BT200" i="6"/>
  <c r="BT167" i="6"/>
  <c r="BT199" i="6"/>
  <c r="R46" i="9"/>
  <c r="BX101" i="6"/>
  <c r="R26" i="9"/>
  <c r="BX185" i="6"/>
  <c r="BW204" i="6"/>
  <c r="BX205" i="6"/>
  <c r="BU145" i="6" a="1"/>
  <c r="R109" i="9"/>
  <c r="BW144" i="6"/>
  <c r="BU183" i="6" a="1"/>
  <c r="BW198" i="6"/>
  <c r="BW28" i="6"/>
  <c r="BU127" i="6" a="1"/>
  <c r="BV110" i="6"/>
  <c r="BX160" i="6"/>
  <c r="R52" i="9"/>
  <c r="BX114" i="6"/>
  <c r="BW122" i="6"/>
  <c r="BU96" i="6" a="1"/>
  <c r="BW130" i="6"/>
  <c r="BV68" i="6"/>
  <c r="BW65" i="6"/>
  <c r="BW41" i="6"/>
  <c r="BW156" i="6"/>
  <c r="BW133" i="6"/>
  <c r="BW142" i="6"/>
  <c r="BX84" i="6"/>
  <c r="BT104" i="6"/>
  <c r="BX165" i="6"/>
  <c r="BT115" i="6"/>
  <c r="BU115" i="6" a="1"/>
  <c r="BX151" i="6"/>
  <c r="BT138" i="6"/>
  <c r="BX140" i="6"/>
  <c r="BW148" i="6"/>
  <c r="BT55" i="6"/>
  <c r="BW29" i="6"/>
  <c r="BX150" i="6"/>
  <c r="BX47" i="6"/>
  <c r="BT194" i="6"/>
  <c r="BT23" i="6"/>
  <c r="BU196" i="6" a="1"/>
  <c r="R47" i="9"/>
  <c r="BV113" i="6"/>
  <c r="BT64" i="6"/>
  <c r="BU140" i="6" a="1"/>
  <c r="BT121" i="6"/>
  <c r="BT84" i="6"/>
  <c r="R129" i="9"/>
  <c r="BT123" i="6"/>
  <c r="R64" i="9"/>
  <c r="BU187" i="6" a="1"/>
  <c r="BX108" i="6"/>
  <c r="BX40" i="6"/>
  <c r="BX26" i="6"/>
  <c r="BT48" i="6"/>
  <c r="BW61" i="6"/>
  <c r="BW160" i="6"/>
  <c r="R130" i="9"/>
  <c r="BU38" i="6" a="1"/>
  <c r="BW79" i="6"/>
  <c r="BV75" i="6"/>
  <c r="BX170" i="6"/>
  <c r="BT72" i="6"/>
  <c r="BV182" i="6"/>
  <c r="BX69" i="6"/>
  <c r="BX37" i="6"/>
  <c r="BU205" i="6" a="1"/>
  <c r="BX39" i="6"/>
  <c r="BU45" i="6" a="1"/>
  <c r="BX128" i="6"/>
  <c r="BU128" i="6" a="1"/>
  <c r="BV175" i="6"/>
  <c r="BX166" i="6"/>
  <c r="BX200" i="6"/>
  <c r="BT90" i="6"/>
  <c r="R95" i="9"/>
  <c r="BT143" i="6"/>
  <c r="BT107" i="6"/>
  <c r="BU23" i="6" a="1"/>
  <c r="BV86" i="6"/>
  <c r="BU72" i="6" a="1"/>
  <c r="BT101" i="6"/>
  <c r="BV29" i="6"/>
  <c r="BU133" i="6" a="1"/>
  <c r="R96" i="9"/>
  <c r="BU110" i="6" a="1"/>
  <c r="BX145" i="6"/>
  <c r="BU154" i="6" a="1"/>
  <c r="BW77" i="6"/>
  <c r="BV157" i="6"/>
  <c r="BW136" i="6"/>
  <c r="BV49" i="6"/>
  <c r="BW107" i="6"/>
  <c r="R92" i="9"/>
  <c r="BW140" i="6"/>
  <c r="BX111" i="6"/>
  <c r="BT65" i="6"/>
  <c r="BV144" i="6"/>
  <c r="BT136" i="6"/>
  <c r="BW102" i="6"/>
  <c r="BU44" i="6" a="1"/>
  <c r="BW87" i="6"/>
  <c r="BU43" i="6" a="1"/>
  <c r="R77" i="9"/>
  <c r="BU149" i="6" a="1"/>
  <c r="BT149" i="6"/>
  <c r="BV61" i="6"/>
  <c r="BW114" i="6"/>
  <c r="BU91" i="6" a="1"/>
  <c r="BT88" i="6"/>
  <c r="BV76" i="6"/>
  <c r="BV168" i="6"/>
  <c r="BU74" i="6" a="1"/>
  <c r="BX135" i="6"/>
  <c r="BW76" i="6"/>
  <c r="BW146" i="6"/>
  <c r="BV152" i="6"/>
  <c r="BX78" i="6"/>
  <c r="BX174" i="6"/>
  <c r="BW75" i="6"/>
  <c r="BX102" i="6"/>
  <c r="R50" i="9"/>
  <c r="BT67" i="6"/>
  <c r="BT164" i="6"/>
  <c r="BT182" i="6"/>
  <c r="BU132" i="6" a="1"/>
  <c r="BU58" i="6" a="1"/>
  <c r="BV204" i="6"/>
  <c r="BU35" i="6" a="1"/>
  <c r="BU77" i="6" a="1"/>
  <c r="R51" i="9"/>
  <c r="R71" i="9"/>
  <c r="BV63" i="6"/>
  <c r="BW162" i="6"/>
  <c r="R117" i="9"/>
  <c r="BT135" i="6"/>
  <c r="BW36" i="6"/>
  <c r="BW123" i="6"/>
  <c r="BU193" i="6" a="1"/>
  <c r="BX52" i="6"/>
  <c r="BX121" i="6"/>
  <c r="BT114" i="6"/>
  <c r="BU111" i="6" a="1"/>
  <c r="BU75" i="6" a="1"/>
  <c r="R32" i="9"/>
  <c r="BT68" i="6"/>
  <c r="BW40" i="6"/>
  <c r="BV190" i="6"/>
  <c r="BT106" i="6"/>
  <c r="BX106" i="6"/>
  <c r="BV101" i="6"/>
  <c r="BT44" i="6"/>
  <c r="BT195" i="6"/>
  <c r="BU157" i="6" a="1"/>
  <c r="BX44" i="6"/>
  <c r="BU178" i="6" a="1"/>
  <c r="BU180" i="6" a="1"/>
  <c r="BT83" i="6"/>
  <c r="BW85" i="6"/>
  <c r="BU176" i="6" a="1"/>
  <c r="R103" i="9"/>
  <c r="BX88" i="6"/>
  <c r="R99" i="9"/>
  <c r="BW150" i="6"/>
  <c r="BT183" i="6"/>
  <c r="BX64" i="6"/>
  <c r="BX177" i="6"/>
  <c r="BT82" i="6"/>
  <c r="BV50" i="6"/>
  <c r="BX123" i="6"/>
  <c r="BW90" i="6"/>
  <c r="BW78" i="6"/>
  <c r="R72" i="9"/>
  <c r="BX83" i="6"/>
  <c r="BX34" i="6"/>
  <c r="BT112" i="6"/>
  <c r="BT74" i="6"/>
  <c r="BX137" i="6"/>
  <c r="BX161" i="6"/>
  <c r="BW52" i="6"/>
  <c r="BT91" i="6"/>
  <c r="BU86" i="6" a="1"/>
  <c r="BX35" i="6"/>
  <c r="BV81" i="6"/>
  <c r="BU105" i="6" a="1"/>
  <c r="BX116" i="6"/>
  <c r="BX87" i="6"/>
  <c r="BT158" i="6"/>
  <c r="BX75" i="6"/>
  <c r="BV120" i="6"/>
  <c r="BV95" i="6"/>
  <c r="BX158" i="6"/>
  <c r="BU185" i="6" a="1"/>
  <c r="BW131" i="6"/>
  <c r="BW191" i="6"/>
  <c r="BX141" i="6"/>
  <c r="BV51" i="6"/>
  <c r="BX89" i="6"/>
  <c r="R58" i="9"/>
  <c r="BV184" i="6"/>
  <c r="R86" i="9"/>
  <c r="BV41" i="6"/>
  <c r="BT126" i="6"/>
  <c r="BU68" i="6" a="1"/>
  <c r="BX48" i="6"/>
  <c r="BX115" i="6"/>
  <c r="R27" i="9"/>
  <c r="BU41" i="6" a="1"/>
  <c r="BW190" i="6"/>
  <c r="BV96" i="6"/>
  <c r="BV166" i="6"/>
  <c r="BU171" i="6" a="1"/>
  <c r="BV72" i="6"/>
  <c r="BX126" i="6"/>
  <c r="BV87" i="6"/>
  <c r="BW111" i="6"/>
  <c r="BV36" i="6"/>
  <c r="BV156" i="6"/>
  <c r="BW51" i="6"/>
  <c r="BW192" i="6"/>
  <c r="BW22" i="6"/>
  <c r="BW151" i="6"/>
  <c r="BU194" i="6" a="1"/>
  <c r="BV127" i="6"/>
  <c r="BV42" i="6"/>
  <c r="BW39" i="6"/>
  <c r="BX184" i="6"/>
  <c r="BU22" i="6" a="1"/>
  <c r="BU163" i="6" a="1"/>
  <c r="BV124" i="6"/>
  <c r="BT52" i="6"/>
  <c r="BW96" i="6"/>
  <c r="R107" i="9"/>
  <c r="BT139" i="6"/>
  <c r="BT148" i="6"/>
  <c r="BX24" i="6"/>
  <c r="BV189" i="6"/>
  <c r="BV159" i="6"/>
  <c r="BV161" i="6"/>
  <c r="BX98" i="6"/>
  <c r="BU93" i="6" a="1"/>
  <c r="BT205" i="6"/>
  <c r="BV106" i="6"/>
  <c r="BV70" i="6"/>
  <c r="BT40" i="6"/>
  <c r="BW30" i="6"/>
  <c r="BT185" i="6"/>
  <c r="BT46" i="6"/>
  <c r="BT202" i="6"/>
  <c r="BU146" i="6" a="1"/>
  <c r="BU109" i="6" a="1"/>
  <c r="BX67" i="6"/>
  <c r="BX107" i="6"/>
  <c r="BU186" i="6" a="1"/>
  <c r="BW138" i="6"/>
  <c r="BX163" i="6"/>
  <c r="BT192" i="6"/>
  <c r="BX118" i="6"/>
  <c r="BT133" i="6"/>
  <c r="R25" i="9"/>
  <c r="BV139" i="6"/>
  <c r="R94" i="9"/>
  <c r="BT131" i="6"/>
  <c r="BX25" i="6"/>
  <c r="BW99" i="6"/>
  <c r="BX124" i="6"/>
  <c r="BW184" i="6"/>
  <c r="R120" i="9"/>
  <c r="BU59" i="6" a="1"/>
  <c r="BX99" i="6"/>
  <c r="BT134" i="6"/>
  <c r="BT38" i="6"/>
  <c r="BU26" i="6" a="1"/>
  <c r="BV94" i="6"/>
  <c r="BT41" i="6"/>
  <c r="BV91" i="6"/>
  <c r="BU114" i="6" a="1"/>
  <c r="BV43" i="6"/>
  <c r="BT141" i="6"/>
  <c r="BX144" i="6"/>
  <c r="BT103" i="6"/>
  <c r="BX45" i="6"/>
  <c r="BU54" i="6" a="1"/>
  <c r="BW37" i="6"/>
  <c r="BU141" i="6" a="1"/>
  <c r="BT105" i="6"/>
  <c r="BW84" i="6"/>
  <c r="BT25" i="6"/>
  <c r="BU160" i="6" a="1"/>
  <c r="BV136" i="6"/>
  <c r="BT196" i="6"/>
  <c r="BT166" i="6"/>
  <c r="BW155" i="6"/>
  <c r="BW38" i="6"/>
  <c r="BW63" i="6"/>
  <c r="BV137" i="6"/>
  <c r="BT57" i="6"/>
  <c r="BV185" i="6"/>
  <c r="BU137" i="6" a="1"/>
  <c r="BT124" i="6"/>
  <c r="R73" i="9"/>
  <c r="BV188" i="6"/>
  <c r="BV88" i="6"/>
  <c r="BW91" i="6"/>
  <c r="R57" i="9"/>
  <c r="BV89" i="6"/>
  <c r="BV37" i="6"/>
  <c r="BX194" i="6"/>
  <c r="BU99" i="6" a="1"/>
  <c r="BV60" i="6"/>
  <c r="BW172" i="6"/>
  <c r="R111" i="9"/>
  <c r="BW115" i="6"/>
  <c r="BV31" i="6"/>
  <c r="BV150" i="6"/>
  <c r="BU32" i="6" a="1"/>
  <c r="BW82" i="6"/>
  <c r="BT119" i="6"/>
  <c r="BU71" i="6" a="1"/>
  <c r="R75" i="9"/>
  <c r="BX179" i="6"/>
  <c r="BW113" i="6"/>
  <c r="BT58" i="6"/>
  <c r="BU106" i="6" a="1"/>
  <c r="BV196" i="6"/>
  <c r="BW166" i="6"/>
  <c r="BV203" i="6"/>
  <c r="BT153" i="6"/>
  <c r="BV129" i="6"/>
  <c r="BU87" i="6" a="1"/>
  <c r="BX53" i="6"/>
  <c r="BX61" i="6"/>
  <c r="BT130" i="6"/>
  <c r="BU203" i="6" a="1"/>
  <c r="BX153" i="6"/>
  <c r="BT204" i="6"/>
  <c r="BV47" i="6"/>
  <c r="BW62" i="6"/>
  <c r="BW70" i="6"/>
  <c r="BV172" i="6"/>
  <c r="BX142" i="6"/>
  <c r="BW152" i="6"/>
  <c r="BV167" i="6"/>
  <c r="BU148" i="6" a="1"/>
  <c r="R36" i="9"/>
  <c r="BV65" i="6"/>
  <c r="BT117" i="6"/>
  <c r="BT42" i="6"/>
  <c r="R98" i="9"/>
  <c r="BU190" i="6" a="1"/>
  <c r="BX131" i="6"/>
  <c r="BX104" i="6"/>
  <c r="BV64" i="6"/>
  <c r="BU88" i="6" a="1"/>
  <c r="BV58" i="6"/>
  <c r="R66" i="9"/>
  <c r="BU95" i="6" a="1"/>
  <c r="BX29" i="6"/>
  <c r="BU57" i="6" a="1"/>
  <c r="BX186" i="6"/>
  <c r="BX129" i="6"/>
  <c r="BV97" i="6"/>
  <c r="BU51" i="6" a="1"/>
  <c r="R62" i="9"/>
  <c r="BX56" i="6"/>
  <c r="BW159" i="6"/>
  <c r="BU155" i="6" a="1"/>
  <c r="BV199" i="6"/>
  <c r="BV180" i="6"/>
  <c r="BT142" i="6"/>
  <c r="BU131" i="6" a="1"/>
  <c r="BT89" i="6"/>
  <c r="BW128" i="6"/>
  <c r="BU189" i="6" a="1"/>
  <c r="BX105" i="6"/>
  <c r="BT39" i="6"/>
  <c r="BU147" i="6" a="1"/>
  <c r="BW196" i="6"/>
  <c r="BX122" i="6"/>
  <c r="BV176" i="6"/>
  <c r="BV149" i="6"/>
  <c r="BW105" i="6"/>
  <c r="BT37" i="6"/>
  <c r="BW74" i="6"/>
  <c r="BU173" i="6" a="1"/>
  <c r="BX133" i="6"/>
  <c r="BW97" i="6"/>
  <c r="BU64" i="6" a="1"/>
  <c r="BT102" i="6"/>
  <c r="BX204" i="6"/>
  <c r="BW132" i="6"/>
  <c r="BV140" i="6"/>
  <c r="BU52" i="6" a="1"/>
  <c r="BX92" i="6"/>
  <c r="BX93" i="6"/>
  <c r="BW139" i="6"/>
  <c r="R114" i="9"/>
  <c r="BW95" i="6"/>
  <c r="BW205" i="6"/>
  <c r="BW110" i="6"/>
  <c r="R45" i="9"/>
  <c r="BT155" i="6"/>
  <c r="BU182" i="6" a="1"/>
  <c r="BU66" i="6" a="1"/>
  <c r="BU143" i="6" a="1"/>
  <c r="BV147" i="6"/>
  <c r="BV108" i="6"/>
  <c r="R115" i="9"/>
  <c r="BW167" i="6"/>
  <c r="BU28" i="6" a="1"/>
  <c r="BT150" i="6"/>
  <c r="BV165" i="6"/>
  <c r="BX59" i="6"/>
  <c r="BT31" i="6"/>
  <c r="R132" i="9"/>
  <c r="BV48" i="6"/>
  <c r="BW98" i="6"/>
  <c r="BU120" i="6" a="1"/>
  <c r="BX192" i="6"/>
  <c r="BX73" i="6"/>
  <c r="BX190" i="6"/>
  <c r="BV78" i="6"/>
  <c r="BT113" i="6"/>
  <c r="R38" i="9"/>
  <c r="BV83" i="6"/>
  <c r="BT147" i="6"/>
  <c r="BX51" i="6"/>
  <c r="BW45" i="6"/>
  <c r="BV141" i="6"/>
  <c r="BW125" i="6"/>
  <c r="R113" i="9"/>
  <c r="BV195" i="6"/>
  <c r="BX152" i="6"/>
  <c r="BT144" i="6"/>
  <c r="BT76" i="6"/>
  <c r="BV84" i="6"/>
  <c r="BU201" i="6" a="1"/>
  <c r="BX202" i="6"/>
  <c r="BW120" i="6"/>
  <c r="R61" i="9"/>
  <c r="BT110" i="6"/>
  <c r="BW173" i="6"/>
  <c r="BX162" i="6"/>
  <c r="R134" i="9"/>
  <c r="BW171" i="6"/>
  <c r="BW81" i="6"/>
  <c r="BV142" i="6"/>
  <c r="BX100" i="6"/>
  <c r="BT157" i="6"/>
  <c r="BW145" i="6"/>
  <c r="R102" i="9"/>
  <c r="BW206" i="6"/>
  <c r="BV102" i="6"/>
  <c r="BW53" i="6"/>
  <c r="BU107" i="6" a="1"/>
  <c r="BT171" i="6"/>
  <c r="BU198" i="6" a="1"/>
  <c r="BW181" i="6"/>
  <c r="BW25" i="6"/>
  <c r="R63" i="9"/>
  <c r="BU34" i="6" l="1"/>
  <c r="BY34" i="6" s="1"/>
  <c r="BU30" i="6"/>
  <c r="BY30" i="6" s="1"/>
  <c r="BU26" i="6"/>
  <c r="BY26" i="6" s="1"/>
  <c r="BU35" i="6"/>
  <c r="BY35" i="6" s="1"/>
  <c r="BU31" i="6"/>
  <c r="BY31" i="6" s="1"/>
  <c r="BU27" i="6"/>
  <c r="BY27" i="6" s="1"/>
  <c r="BU23" i="6"/>
  <c r="BY23" i="6" s="1"/>
  <c r="BU36" i="6"/>
  <c r="BY36" i="6" s="1"/>
  <c r="BU32" i="6"/>
  <c r="BY32" i="6" s="1"/>
  <c r="BU28" i="6"/>
  <c r="BY28" i="6" s="1"/>
  <c r="BU24" i="6"/>
  <c r="BY24" i="6" s="1"/>
  <c r="BU33" i="6"/>
  <c r="BY33" i="6" s="1"/>
  <c r="BU29" i="6"/>
  <c r="BY29" i="6" s="1"/>
  <c r="BU25" i="6"/>
  <c r="BY25" i="6" s="1"/>
  <c r="BU204" i="6"/>
  <c r="BY204" i="6" s="1"/>
  <c r="BU200" i="6"/>
  <c r="BY200" i="6" s="1"/>
  <c r="BU196" i="6"/>
  <c r="BY196" i="6" s="1"/>
  <c r="BU192" i="6"/>
  <c r="BY192" i="6" s="1"/>
  <c r="BU188" i="6"/>
  <c r="BY188" i="6" s="1"/>
  <c r="BU184" i="6"/>
  <c r="BY184" i="6" s="1"/>
  <c r="BU205" i="6"/>
  <c r="BY205" i="6" s="1"/>
  <c r="BU201" i="6"/>
  <c r="BY201" i="6" s="1"/>
  <c r="BU197" i="6"/>
  <c r="BY197" i="6" s="1"/>
  <c r="BU193" i="6"/>
  <c r="BY193" i="6" s="1"/>
  <c r="BU189" i="6"/>
  <c r="BY189" i="6" s="1"/>
  <c r="BU206" i="6"/>
  <c r="BY206" i="6" s="1"/>
  <c r="BU202" i="6"/>
  <c r="BY202" i="6" s="1"/>
  <c r="BU198" i="6"/>
  <c r="BY198" i="6" s="1"/>
  <c r="BU203" i="6"/>
  <c r="BY203" i="6" s="1"/>
  <c r="BU199" i="6"/>
  <c r="BY199" i="6" s="1"/>
  <c r="BU195" i="6"/>
  <c r="BY195" i="6" s="1"/>
  <c r="BU191" i="6"/>
  <c r="BY191" i="6" s="1"/>
  <c r="BU181" i="6"/>
  <c r="BY181" i="6" s="1"/>
  <c r="BU176" i="6"/>
  <c r="BY176" i="6" s="1"/>
  <c r="BU179" i="6"/>
  <c r="BY179" i="6" s="1"/>
  <c r="BU186" i="6"/>
  <c r="BY186" i="6" s="1"/>
  <c r="BU177" i="6"/>
  <c r="BY177" i="6" s="1"/>
  <c r="BU173" i="6"/>
  <c r="BY173" i="6" s="1"/>
  <c r="BU169" i="6"/>
  <c r="BY169" i="6" s="1"/>
  <c r="BU190" i="6"/>
  <c r="BY190" i="6" s="1"/>
  <c r="BU187" i="6"/>
  <c r="BY187" i="6" s="1"/>
  <c r="BU185" i="6"/>
  <c r="BY185" i="6" s="1"/>
  <c r="BU180" i="6"/>
  <c r="BY180" i="6" s="1"/>
  <c r="BU194" i="6"/>
  <c r="BY194" i="6" s="1"/>
  <c r="BU178" i="6"/>
  <c r="BY178" i="6" s="1"/>
  <c r="BU183" i="6"/>
  <c r="BY183" i="6" s="1"/>
  <c r="BU182" i="6"/>
  <c r="BY182" i="6" s="1"/>
  <c r="BU175" i="6"/>
  <c r="BY175" i="6" s="1"/>
  <c r="BU166" i="6"/>
  <c r="BY166" i="6" s="1"/>
  <c r="BU165" i="6"/>
  <c r="BY165" i="6" s="1"/>
  <c r="BU170" i="6"/>
  <c r="BY170" i="6" s="1"/>
  <c r="BU162" i="6"/>
  <c r="BY162" i="6" s="1"/>
  <c r="BU159" i="6"/>
  <c r="BY159" i="6" s="1"/>
  <c r="BU155" i="6"/>
  <c r="BY155" i="6" s="1"/>
  <c r="BU151" i="6"/>
  <c r="BY151" i="6" s="1"/>
  <c r="BU147" i="6"/>
  <c r="BY147" i="6" s="1"/>
  <c r="BU168" i="6"/>
  <c r="BY168" i="6" s="1"/>
  <c r="BU171" i="6"/>
  <c r="BY171" i="6" s="1"/>
  <c r="BU164" i="6"/>
  <c r="BY164" i="6" s="1"/>
  <c r="BU160" i="6"/>
  <c r="BY160" i="6" s="1"/>
  <c r="BU156" i="6"/>
  <c r="BY156" i="6" s="1"/>
  <c r="BU152" i="6"/>
  <c r="BY152" i="6" s="1"/>
  <c r="BU148" i="6"/>
  <c r="BY148" i="6" s="1"/>
  <c r="BU144" i="6"/>
  <c r="BY144" i="6" s="1"/>
  <c r="BU167" i="6"/>
  <c r="BY167" i="6" s="1"/>
  <c r="BU174" i="6"/>
  <c r="BY174" i="6" s="1"/>
  <c r="BU172" i="6"/>
  <c r="BY172" i="6" s="1"/>
  <c r="BU157" i="6"/>
  <c r="BY157" i="6" s="1"/>
  <c r="BU153" i="6"/>
  <c r="BY153" i="6" s="1"/>
  <c r="BU149" i="6"/>
  <c r="BY149" i="6" s="1"/>
  <c r="BU145" i="6"/>
  <c r="BY145" i="6" s="1"/>
  <c r="BU163" i="6"/>
  <c r="BY163" i="6" s="1"/>
  <c r="BU161" i="6"/>
  <c r="BY161" i="6" s="1"/>
  <c r="BU158" i="6"/>
  <c r="BY158" i="6" s="1"/>
  <c r="BU154" i="6"/>
  <c r="BY154" i="6" s="1"/>
  <c r="BU150" i="6"/>
  <c r="BY150" i="6" s="1"/>
  <c r="BU143" i="6"/>
  <c r="BY143" i="6" s="1"/>
  <c r="BU140" i="6"/>
  <c r="BY140" i="6" s="1"/>
  <c r="BU134" i="6"/>
  <c r="BY134" i="6" s="1"/>
  <c r="BU130" i="6"/>
  <c r="BY130" i="6" s="1"/>
  <c r="BU126" i="6"/>
  <c r="BY126" i="6" s="1"/>
  <c r="BU122" i="6"/>
  <c r="BY122" i="6" s="1"/>
  <c r="BU138" i="6"/>
  <c r="BY138" i="6" s="1"/>
  <c r="BU135" i="6"/>
  <c r="BY135" i="6" s="1"/>
  <c r="BU131" i="6"/>
  <c r="BY131" i="6" s="1"/>
  <c r="BU127" i="6"/>
  <c r="BY127" i="6" s="1"/>
  <c r="BU123" i="6"/>
  <c r="BY123" i="6" s="1"/>
  <c r="BU119" i="6"/>
  <c r="BY119" i="6" s="1"/>
  <c r="BU146" i="6"/>
  <c r="BY146" i="6" s="1"/>
  <c r="BU136" i="6"/>
  <c r="BY136" i="6" s="1"/>
  <c r="BU132" i="6"/>
  <c r="BY132" i="6" s="1"/>
  <c r="BU128" i="6"/>
  <c r="BY128" i="6" s="1"/>
  <c r="BU124" i="6"/>
  <c r="BY124" i="6" s="1"/>
  <c r="BU139" i="6"/>
  <c r="BY139" i="6" s="1"/>
  <c r="BU141" i="6"/>
  <c r="BY141" i="6" s="1"/>
  <c r="BU137" i="6"/>
  <c r="BY137" i="6" s="1"/>
  <c r="BU133" i="6"/>
  <c r="BY133" i="6" s="1"/>
  <c r="BU129" i="6"/>
  <c r="BY129" i="6" s="1"/>
  <c r="BU125" i="6"/>
  <c r="BY125" i="6" s="1"/>
  <c r="BU121" i="6"/>
  <c r="BY121" i="6" s="1"/>
  <c r="BU142" i="6"/>
  <c r="BY142" i="6" s="1"/>
  <c r="BU116" i="6"/>
  <c r="BY116" i="6" s="1"/>
  <c r="BU120" i="6"/>
  <c r="BY120" i="6" s="1"/>
  <c r="BU113" i="6"/>
  <c r="BY113" i="6" s="1"/>
  <c r="BU109" i="6"/>
  <c r="BY109" i="6" s="1"/>
  <c r="BU105" i="6"/>
  <c r="BY105" i="6" s="1"/>
  <c r="BU101" i="6"/>
  <c r="BY101" i="6" s="1"/>
  <c r="BU118" i="6"/>
  <c r="BY118" i="6" s="1"/>
  <c r="BU114" i="6"/>
  <c r="BY114" i="6" s="1"/>
  <c r="BU110" i="6"/>
  <c r="BY110" i="6" s="1"/>
  <c r="BU106" i="6"/>
  <c r="BY106" i="6" s="1"/>
  <c r="BU102" i="6"/>
  <c r="BY102" i="6" s="1"/>
  <c r="BU117" i="6"/>
  <c r="BY117" i="6" s="1"/>
  <c r="BU115" i="6"/>
  <c r="BY115" i="6" s="1"/>
  <c r="BU111" i="6"/>
  <c r="BY111" i="6" s="1"/>
  <c r="BU107" i="6"/>
  <c r="BY107" i="6" s="1"/>
  <c r="BU103" i="6"/>
  <c r="BY103" i="6" s="1"/>
  <c r="BU112" i="6"/>
  <c r="BY112" i="6" s="1"/>
  <c r="BU108" i="6"/>
  <c r="BY108" i="6" s="1"/>
  <c r="BU104" i="6"/>
  <c r="BY104" i="6" s="1"/>
  <c r="BU100" i="6"/>
  <c r="BY100" i="6" s="1"/>
  <c r="BU96" i="6"/>
  <c r="BY96" i="6" s="1"/>
  <c r="BU97" i="6"/>
  <c r="BY97" i="6" s="1"/>
  <c r="BU92" i="6"/>
  <c r="BY92" i="6" s="1"/>
  <c r="BU99" i="6"/>
  <c r="BY99" i="6" s="1"/>
  <c r="BU89" i="6"/>
  <c r="BY89" i="6" s="1"/>
  <c r="BU85" i="6"/>
  <c r="BY85" i="6" s="1"/>
  <c r="BU81" i="6"/>
  <c r="BY81" i="6" s="1"/>
  <c r="BU77" i="6"/>
  <c r="BY77" i="6" s="1"/>
  <c r="BU90" i="6"/>
  <c r="BY90" i="6" s="1"/>
  <c r="BU86" i="6"/>
  <c r="BY86" i="6" s="1"/>
  <c r="BU82" i="6"/>
  <c r="BY82" i="6" s="1"/>
  <c r="BU94" i="6"/>
  <c r="BY94" i="6" s="1"/>
  <c r="BU95" i="6"/>
  <c r="BY95" i="6" s="1"/>
  <c r="BU93" i="6"/>
  <c r="BY93" i="6" s="1"/>
  <c r="BU91" i="6"/>
  <c r="BY91" i="6" s="1"/>
  <c r="BU87" i="6"/>
  <c r="BY87" i="6" s="1"/>
  <c r="BU83" i="6"/>
  <c r="BY83" i="6" s="1"/>
  <c r="BU79" i="6"/>
  <c r="BY79" i="6" s="1"/>
  <c r="BU98" i="6"/>
  <c r="BY98" i="6" s="1"/>
  <c r="BU88" i="6"/>
  <c r="BY88" i="6" s="1"/>
  <c r="BU84" i="6"/>
  <c r="BY84" i="6" s="1"/>
  <c r="BU80" i="6"/>
  <c r="BY80" i="6" s="1"/>
  <c r="BU73" i="6"/>
  <c r="BY73" i="6" s="1"/>
  <c r="BU78" i="6"/>
  <c r="BY78" i="6" s="1"/>
  <c r="BU68" i="6"/>
  <c r="BY68" i="6" s="1"/>
  <c r="BU64" i="6"/>
  <c r="BY64" i="6" s="1"/>
  <c r="BU60" i="6"/>
  <c r="BY60" i="6" s="1"/>
  <c r="BU71" i="6"/>
  <c r="BY71" i="6" s="1"/>
  <c r="BU69" i="6"/>
  <c r="BY69" i="6" s="1"/>
  <c r="BU65" i="6"/>
  <c r="BY65" i="6" s="1"/>
  <c r="BU61" i="6"/>
  <c r="BY61" i="6" s="1"/>
  <c r="BU57" i="6"/>
  <c r="BY57" i="6" s="1"/>
  <c r="BU76" i="6"/>
  <c r="BY76" i="6" s="1"/>
  <c r="BU72" i="6"/>
  <c r="BY72" i="6" s="1"/>
  <c r="BU75" i="6"/>
  <c r="BY75" i="6" s="1"/>
  <c r="BU66" i="6"/>
  <c r="BY66" i="6" s="1"/>
  <c r="BU62" i="6"/>
  <c r="BY62" i="6" s="1"/>
  <c r="BU74" i="6"/>
  <c r="BY74" i="6" s="1"/>
  <c r="BU70" i="6"/>
  <c r="BY70" i="6" s="1"/>
  <c r="BU67" i="6"/>
  <c r="BY67" i="6" s="1"/>
  <c r="BU63" i="6"/>
  <c r="BY63" i="6" s="1"/>
  <c r="BU59" i="6"/>
  <c r="BY59" i="6" s="1"/>
  <c r="BU55" i="6"/>
  <c r="BY55" i="6" s="1"/>
  <c r="BU47" i="6"/>
  <c r="BY47" i="6" s="1"/>
  <c r="BU43" i="6"/>
  <c r="BY43" i="6" s="1"/>
  <c r="BU39" i="6"/>
  <c r="BY39" i="6" s="1"/>
  <c r="BU50" i="6"/>
  <c r="BY50" i="6" s="1"/>
  <c r="BU48" i="6"/>
  <c r="BY48" i="6" s="1"/>
  <c r="BU44" i="6"/>
  <c r="BY44" i="6" s="1"/>
  <c r="BU40" i="6"/>
  <c r="BY40" i="6" s="1"/>
  <c r="BU53" i="6"/>
  <c r="BY53" i="6" s="1"/>
  <c r="BU49" i="6"/>
  <c r="BY49" i="6" s="1"/>
  <c r="BU45" i="6"/>
  <c r="BY45" i="6" s="1"/>
  <c r="BU41" i="6"/>
  <c r="BY41" i="6" s="1"/>
  <c r="BU37" i="6"/>
  <c r="BY37" i="6" s="1"/>
  <c r="BU52" i="6"/>
  <c r="BY52" i="6" s="1"/>
  <c r="BU54" i="6"/>
  <c r="BY54" i="6" s="1"/>
  <c r="BU58" i="6"/>
  <c r="BY58" i="6" s="1"/>
  <c r="BU56" i="6"/>
  <c r="BY56" i="6" s="1"/>
  <c r="BU51" i="6"/>
  <c r="BY51" i="6" s="1"/>
  <c r="BU46" i="6"/>
  <c r="BY46" i="6" s="1"/>
  <c r="BU42" i="6"/>
  <c r="BY42" i="6" s="1"/>
  <c r="BU38" i="6"/>
  <c r="BY38" i="6" s="1"/>
  <c r="R19" i="9"/>
  <c r="BS22" i="6"/>
  <c r="BU22" i="6"/>
  <c r="BZ20" i="6"/>
  <c r="BZ1" i="6"/>
  <c r="BT19" i="6"/>
  <c r="CC27" i="6"/>
  <c r="CA152" i="6" a="1"/>
  <c r="CC78" i="6"/>
  <c r="CC149" i="6"/>
  <c r="CA159" i="6" a="1"/>
  <c r="CD32" i="6"/>
  <c r="CC146" i="6"/>
  <c r="CA61" i="6" a="1"/>
  <c r="CD171" i="6"/>
  <c r="CA115" i="6" a="1"/>
  <c r="BZ161" i="6"/>
  <c r="BZ177" i="6"/>
  <c r="CA70" i="6" a="1"/>
  <c r="BZ44" i="6"/>
  <c r="CD37" i="6"/>
  <c r="CA148" i="6" a="1"/>
  <c r="CB195" i="6"/>
  <c r="CC124" i="6"/>
  <c r="CD166" i="6"/>
  <c r="CC135" i="6"/>
  <c r="CA201" i="6" a="1"/>
  <c r="CB30" i="6"/>
  <c r="CD22" i="6"/>
  <c r="BZ139" i="6"/>
  <c r="CC120" i="6"/>
  <c r="CB110" i="6"/>
  <c r="CD38" i="6"/>
  <c r="CD103" i="6"/>
  <c r="CC162" i="6"/>
  <c r="CC154" i="6"/>
  <c r="BZ53" i="6"/>
  <c r="CB164" i="6"/>
  <c r="CD145" i="6"/>
  <c r="CC33" i="6"/>
  <c r="CA56" i="6" a="1"/>
  <c r="CA88" i="6" a="1"/>
  <c r="CA95" i="6" a="1"/>
  <c r="CC104" i="6"/>
  <c r="CC143" i="6"/>
  <c r="CB142" i="6"/>
  <c r="CC134" i="6"/>
  <c r="BZ91" i="6"/>
  <c r="BZ33" i="6"/>
  <c r="CB55" i="6"/>
  <c r="CD56" i="6"/>
  <c r="CC125" i="6"/>
  <c r="CD101" i="6"/>
  <c r="CC114" i="6"/>
  <c r="BZ45" i="6"/>
  <c r="CC76" i="6"/>
  <c r="CD152" i="6"/>
  <c r="CC187" i="6"/>
  <c r="CA137" i="6" a="1"/>
  <c r="BZ51" i="6"/>
  <c r="CC83" i="6"/>
  <c r="BZ138" i="6"/>
  <c r="CC155" i="6"/>
  <c r="CA112" i="6" a="1"/>
  <c r="CA25" i="6" a="1"/>
  <c r="BZ115" i="6"/>
  <c r="BZ156" i="6"/>
  <c r="BZ194" i="6"/>
  <c r="CB91" i="6"/>
  <c r="CC176" i="6"/>
  <c r="CB125" i="6"/>
  <c r="CD126" i="6"/>
  <c r="CA198" i="6" a="1"/>
  <c r="CB52" i="6"/>
  <c r="CA55" i="6" a="1"/>
  <c r="CC184" i="6"/>
  <c r="CD23" i="6"/>
  <c r="CA135" i="6" a="1"/>
  <c r="CC29" i="6"/>
  <c r="CC161" i="6"/>
  <c r="CA40" i="6" a="1"/>
  <c r="CC40" i="6"/>
  <c r="CA151" i="6" a="1"/>
  <c r="CC79" i="6"/>
  <c r="BZ145" i="6"/>
  <c r="CC35" i="6"/>
  <c r="CD54" i="6"/>
  <c r="CB119" i="6"/>
  <c r="CB59" i="6"/>
  <c r="BZ195" i="6"/>
  <c r="CD170" i="6"/>
  <c r="CC144" i="6"/>
  <c r="CB51" i="6"/>
  <c r="CB26" i="6"/>
  <c r="CD148" i="6"/>
  <c r="CA181" i="6" a="1"/>
  <c r="BZ168" i="6"/>
  <c r="BZ148" i="6"/>
  <c r="CC72" i="6"/>
  <c r="CA131" i="6" a="1"/>
  <c r="BZ72" i="6"/>
  <c r="CB31" i="6"/>
  <c r="CB60" i="6"/>
  <c r="CA92" i="6" a="1"/>
  <c r="CD137" i="6"/>
  <c r="CD87" i="6"/>
  <c r="BZ197" i="6"/>
  <c r="CB50" i="6"/>
  <c r="CD84" i="6"/>
  <c r="CB177" i="6"/>
  <c r="BZ37" i="6"/>
  <c r="BZ146" i="6"/>
  <c r="BZ112" i="6"/>
  <c r="CC81" i="6"/>
  <c r="BZ187" i="6"/>
  <c r="CA63" i="6" a="1"/>
  <c r="CC185" i="6"/>
  <c r="CA196" i="6" a="1"/>
  <c r="CC191" i="6"/>
  <c r="CC63" i="6"/>
  <c r="BZ66" i="6"/>
  <c r="BZ95" i="6"/>
  <c r="CD158" i="6"/>
  <c r="CC51" i="6"/>
  <c r="CA175" i="6" a="1"/>
  <c r="CC108" i="6"/>
  <c r="CB144" i="6"/>
  <c r="BZ57" i="6"/>
  <c r="CB156" i="6"/>
  <c r="CA134" i="6" a="1"/>
  <c r="CD77" i="6"/>
  <c r="CA194" i="6" a="1"/>
  <c r="BZ50" i="6"/>
  <c r="CD133" i="6"/>
  <c r="CA74" i="6" a="1"/>
  <c r="BZ54" i="6"/>
  <c r="CA160" i="6" a="1"/>
  <c r="CB136" i="6"/>
  <c r="CD59" i="6"/>
  <c r="BZ108" i="6"/>
  <c r="CB73" i="6"/>
  <c r="BZ93" i="6"/>
  <c r="CD200" i="6"/>
  <c r="BZ58" i="6"/>
  <c r="CB107" i="6"/>
  <c r="CD190" i="6"/>
  <c r="CB32" i="6"/>
  <c r="CD69" i="6"/>
  <c r="CB28" i="6"/>
  <c r="BZ124" i="6"/>
  <c r="CC100" i="6"/>
  <c r="CB186" i="6"/>
  <c r="CC98" i="6"/>
  <c r="CB201" i="6"/>
  <c r="CD40" i="6"/>
  <c r="CB95" i="6"/>
  <c r="CA52" i="6" a="1"/>
  <c r="BZ185" i="6"/>
  <c r="CD159" i="6"/>
  <c r="CC169" i="6"/>
  <c r="CD144" i="6"/>
  <c r="CC147" i="6"/>
  <c r="BZ64" i="6"/>
  <c r="BZ162" i="6"/>
  <c r="CD90" i="6"/>
  <c r="CB105" i="6"/>
  <c r="BZ31" i="6"/>
  <c r="BZ141" i="6"/>
  <c r="CC126" i="6"/>
  <c r="BZ43" i="6"/>
  <c r="CA174" i="6" a="1"/>
  <c r="CD202" i="6"/>
  <c r="CB78" i="6"/>
  <c r="CA120" i="6" a="1"/>
  <c r="CA204" i="6" a="1"/>
  <c r="BZ114" i="6"/>
  <c r="CC25" i="6"/>
  <c r="BZ76" i="6"/>
  <c r="CC203" i="6"/>
  <c r="CC46" i="6"/>
  <c r="CD36" i="6"/>
  <c r="BZ22" i="6"/>
  <c r="CB79" i="6"/>
  <c r="CD143" i="6"/>
  <c r="CA47" i="6" a="1"/>
  <c r="CC206" i="6"/>
  <c r="CC194" i="6"/>
  <c r="BZ174" i="6"/>
  <c r="CB148" i="6"/>
  <c r="CC122" i="6"/>
  <c r="CD128" i="6"/>
  <c r="CD55" i="6"/>
  <c r="BZ100" i="6"/>
  <c r="BZ82" i="6"/>
  <c r="CC26" i="6"/>
  <c r="CB56" i="6"/>
  <c r="CB34" i="6"/>
  <c r="CC112" i="6"/>
  <c r="CA78" i="6" a="1"/>
  <c r="CB127" i="6"/>
  <c r="CB113" i="6"/>
  <c r="BZ24" i="6"/>
  <c r="BZ129" i="6"/>
  <c r="BZ201" i="6"/>
  <c r="CA197" i="6" a="1"/>
  <c r="BZ144" i="6"/>
  <c r="CA107" i="6" a="1"/>
  <c r="CD203" i="6"/>
  <c r="CB120" i="6"/>
  <c r="CD191" i="6"/>
  <c r="CB162" i="6"/>
  <c r="BZ175" i="6"/>
  <c r="CD194" i="6"/>
  <c r="CB25" i="6"/>
  <c r="CC171" i="6"/>
  <c r="CA191" i="6" a="1"/>
  <c r="CD98" i="6"/>
  <c r="BZ206" i="6"/>
  <c r="CD151" i="6"/>
  <c r="BZ193" i="6"/>
  <c r="CB183" i="6"/>
  <c r="CD187" i="6"/>
  <c r="CB111" i="6"/>
  <c r="BZ202" i="6"/>
  <c r="BZ196" i="6"/>
  <c r="CA100" i="6" a="1"/>
  <c r="CA122" i="6" a="1"/>
  <c r="CA30" i="6" a="1"/>
  <c r="CB202" i="6"/>
  <c r="CA34" i="6" a="1"/>
  <c r="BZ68" i="6"/>
  <c r="CD161" i="6"/>
  <c r="CD79" i="6"/>
  <c r="CC75" i="6"/>
  <c r="BZ158" i="6"/>
  <c r="CC92" i="6"/>
  <c r="CC65" i="6"/>
  <c r="BZ26" i="6"/>
  <c r="CA190" i="6" a="1"/>
  <c r="CD130" i="6"/>
  <c r="BZ94" i="6"/>
  <c r="CC153" i="6"/>
  <c r="CC173" i="6"/>
  <c r="CC90" i="6"/>
  <c r="BZ131" i="6"/>
  <c r="CC89" i="6"/>
  <c r="CD135" i="6"/>
  <c r="CC31" i="6"/>
  <c r="CA64" i="6" a="1"/>
  <c r="CB134" i="6"/>
  <c r="CC179" i="6"/>
  <c r="CA166" i="6" a="1"/>
  <c r="BZ110" i="6"/>
  <c r="CA38" i="6" a="1"/>
  <c r="CC44" i="6"/>
  <c r="CB158" i="6"/>
  <c r="CA161" i="6" a="1"/>
  <c r="CA104" i="6" a="1"/>
  <c r="CC156" i="6"/>
  <c r="CC139" i="6"/>
  <c r="CB35" i="6"/>
  <c r="CC198" i="6"/>
  <c r="CD68" i="6"/>
  <c r="BZ126" i="6"/>
  <c r="CB133" i="6"/>
  <c r="BZ184" i="6"/>
  <c r="CB68" i="6"/>
  <c r="CA62" i="6" a="1"/>
  <c r="BZ169" i="6"/>
  <c r="CB75" i="6"/>
  <c r="CB160" i="6"/>
  <c r="CA183" i="6" a="1"/>
  <c r="CC61" i="6"/>
  <c r="BZ81" i="6"/>
  <c r="BZ83" i="6"/>
  <c r="CA173" i="6" a="1"/>
  <c r="CB151" i="6"/>
  <c r="BZ120" i="6"/>
  <c r="CD76" i="6"/>
  <c r="CD134" i="6"/>
  <c r="BZ170" i="6"/>
  <c r="CA22" i="6" a="1"/>
  <c r="CB139" i="6"/>
  <c r="BZ178" i="6"/>
  <c r="CA28" i="6" a="1"/>
  <c r="CB132" i="6"/>
  <c r="CA141" i="6" a="1"/>
  <c r="CD188" i="6"/>
  <c r="CB48" i="6"/>
  <c r="CC121" i="6"/>
  <c r="CC95" i="6"/>
  <c r="BZ135" i="6"/>
  <c r="CD160" i="6"/>
  <c r="CD178" i="6"/>
  <c r="CC64" i="6"/>
  <c r="CD129" i="6"/>
  <c r="CC151" i="6"/>
  <c r="CA109" i="6" a="1"/>
  <c r="CA179" i="6" a="1"/>
  <c r="CA106" i="6" a="1"/>
  <c r="BZ102" i="6"/>
  <c r="CA49" i="6" a="1"/>
  <c r="CD147" i="6"/>
  <c r="CC106" i="6"/>
  <c r="CD85" i="6"/>
  <c r="CA84" i="6" a="1"/>
  <c r="CC196" i="6"/>
  <c r="CD72" i="6"/>
  <c r="CC119" i="6"/>
  <c r="CB172" i="6"/>
  <c r="CB58" i="6"/>
  <c r="CC197" i="6"/>
  <c r="CB178" i="6"/>
  <c r="CB64" i="6"/>
  <c r="BZ191" i="6"/>
  <c r="CD114" i="6"/>
  <c r="CA79" i="6" a="1"/>
  <c r="CC28" i="6"/>
  <c r="CC38" i="6"/>
  <c r="CB46" i="6"/>
  <c r="BZ87" i="6"/>
  <c r="BZ200" i="6"/>
  <c r="CB97" i="6"/>
  <c r="CA67" i="6" a="1"/>
  <c r="CA114" i="6" a="1"/>
  <c r="CB84" i="6"/>
  <c r="CC55" i="6"/>
  <c r="CC148" i="6"/>
  <c r="CC101" i="6"/>
  <c r="CD29" i="6"/>
  <c r="CB115" i="6"/>
  <c r="CC200" i="6"/>
  <c r="CD132" i="6"/>
  <c r="BZ157" i="6"/>
  <c r="CD140" i="6"/>
  <c r="CA65" i="6" a="1"/>
  <c r="CB109" i="6"/>
  <c r="CB171" i="6"/>
  <c r="BZ189" i="6"/>
  <c r="CD108" i="6"/>
  <c r="CD75" i="6"/>
  <c r="CD96" i="6"/>
  <c r="CA91" i="6" a="1"/>
  <c r="CB38" i="6"/>
  <c r="BZ198" i="6"/>
  <c r="CA110" i="6" a="1"/>
  <c r="CC137" i="6"/>
  <c r="CD26" i="6"/>
  <c r="CA102" i="6" a="1"/>
  <c r="CD196" i="6"/>
  <c r="CD109" i="6"/>
  <c r="CC53" i="6"/>
  <c r="BZ107" i="6"/>
  <c r="CD184" i="6"/>
  <c r="BZ153" i="6"/>
  <c r="CC43" i="6"/>
  <c r="CA202" i="6" a="1"/>
  <c r="CB189" i="6"/>
  <c r="CC107" i="6"/>
  <c r="CB123" i="6"/>
  <c r="BZ28" i="6"/>
  <c r="CD67" i="6"/>
  <c r="CA119" i="6" a="1"/>
  <c r="CD193" i="6"/>
  <c r="CD157" i="6"/>
  <c r="CD31" i="6"/>
  <c r="CA147" i="6" a="1"/>
  <c r="CB39" i="6"/>
  <c r="CB83" i="6"/>
  <c r="CA136" i="6" a="1"/>
  <c r="CB45" i="6"/>
  <c r="CB101" i="6"/>
  <c r="CC186" i="6"/>
  <c r="CB143" i="6"/>
  <c r="CB145" i="6"/>
  <c r="CD49" i="6"/>
  <c r="CB205" i="6"/>
  <c r="CA186" i="6" a="1"/>
  <c r="CD138" i="6"/>
  <c r="CA113" i="6" a="1"/>
  <c r="CB114" i="6"/>
  <c r="CB102" i="6"/>
  <c r="CC158" i="6"/>
  <c r="CD57" i="6"/>
  <c r="CA31" i="6" a="1"/>
  <c r="CC57" i="6"/>
  <c r="CC174" i="6"/>
  <c r="CD112" i="6"/>
  <c r="CA72" i="6" a="1"/>
  <c r="BZ166" i="6"/>
  <c r="CD174" i="6"/>
  <c r="CD131" i="6"/>
  <c r="CD43" i="6"/>
  <c r="BZ80" i="6"/>
  <c r="CD88" i="6"/>
  <c r="CA85" i="6" a="1"/>
  <c r="BZ49" i="6"/>
  <c r="BZ30" i="6"/>
  <c r="BZ171" i="6"/>
  <c r="CB141" i="6"/>
  <c r="CC150" i="6"/>
  <c r="CD154" i="6"/>
  <c r="CA36" i="6" a="1"/>
  <c r="CD102" i="6"/>
  <c r="BZ52" i="6"/>
  <c r="CB131" i="6"/>
  <c r="CB88" i="6"/>
  <c r="CA170" i="6" a="1"/>
  <c r="CC142" i="6"/>
  <c r="CA149" i="6" a="1"/>
  <c r="CB106" i="6"/>
  <c r="CA180" i="6" a="1"/>
  <c r="CB126" i="6"/>
  <c r="BZ104" i="6"/>
  <c r="CA200" i="6" a="1"/>
  <c r="CC190" i="6"/>
  <c r="CB121" i="6"/>
  <c r="CB163" i="6"/>
  <c r="CD63" i="6"/>
  <c r="CC117" i="6"/>
  <c r="CC192" i="6"/>
  <c r="CB138" i="6"/>
  <c r="BZ75" i="6"/>
  <c r="CA98" i="6" a="1"/>
  <c r="CA169" i="6" a="1"/>
  <c r="BZ181" i="6"/>
  <c r="CA58" i="6" a="1"/>
  <c r="CD121" i="6"/>
  <c r="CC102" i="6"/>
  <c r="CA90" i="6" a="1"/>
  <c r="BZ188" i="6"/>
  <c r="CB108" i="6"/>
  <c r="CA203" i="6" a="1"/>
  <c r="BZ116" i="6"/>
  <c r="CA86" i="6" a="1"/>
  <c r="CC159" i="6"/>
  <c r="BZ118" i="6"/>
  <c r="CC82" i="6"/>
  <c r="CA206" i="6" a="1"/>
  <c r="CC163" i="6"/>
  <c r="CC182" i="6"/>
  <c r="CA162" i="6" a="1"/>
  <c r="BZ73" i="6"/>
  <c r="CC49" i="6"/>
  <c r="CC59" i="6"/>
  <c r="CC41" i="6"/>
  <c r="BZ142" i="6"/>
  <c r="CA24" i="6" a="1"/>
  <c r="CB61" i="6"/>
  <c r="CB74" i="6"/>
  <c r="BZ151" i="6"/>
  <c r="CD105" i="6"/>
  <c r="BZ159" i="6"/>
  <c r="CD185" i="6"/>
  <c r="CD89" i="6"/>
  <c r="CD189" i="6"/>
  <c r="CD153" i="6"/>
  <c r="CA144" i="6" a="1"/>
  <c r="CA138" i="6" a="1"/>
  <c r="CD80" i="6"/>
  <c r="CC70" i="6"/>
  <c r="CA53" i="6" a="1"/>
  <c r="CD179" i="6"/>
  <c r="CB165" i="6"/>
  <c r="BZ60" i="6"/>
  <c r="CB180" i="6"/>
  <c r="CA89" i="6" a="1"/>
  <c r="CD74" i="6"/>
  <c r="CA75" i="6" a="1"/>
  <c r="CA118" i="6" a="1"/>
  <c r="CD28" i="6"/>
  <c r="CA128" i="6" a="1"/>
  <c r="CB100" i="6"/>
  <c r="CC183" i="6"/>
  <c r="CD53" i="6"/>
  <c r="CB168" i="6"/>
  <c r="CA187" i="6" a="1"/>
  <c r="CD117" i="6"/>
  <c r="CB66" i="6"/>
  <c r="BZ38" i="6"/>
  <c r="CD119" i="6"/>
  <c r="CB37" i="6"/>
  <c r="BZ39" i="6"/>
  <c r="CC201" i="6"/>
  <c r="CC45" i="6"/>
  <c r="CA142" i="6" a="1"/>
  <c r="CC80" i="6"/>
  <c r="CB176" i="6"/>
  <c r="CD176" i="6"/>
  <c r="CB85" i="6"/>
  <c r="BZ125" i="6"/>
  <c r="CC109" i="6"/>
  <c r="CA59" i="6" a="1"/>
  <c r="BZ105" i="6"/>
  <c r="CC99" i="6"/>
  <c r="CB130" i="6"/>
  <c r="CC118" i="6"/>
  <c r="CD50" i="6"/>
  <c r="BZ77" i="6"/>
  <c r="CD86" i="6"/>
  <c r="CD66" i="6"/>
  <c r="BZ97" i="6"/>
  <c r="CC66" i="6"/>
  <c r="CC42" i="6"/>
  <c r="CC164" i="6"/>
  <c r="BZ41" i="6"/>
  <c r="BZ29" i="6"/>
  <c r="CD97" i="6"/>
  <c r="BZ204" i="6"/>
  <c r="CD198" i="6"/>
  <c r="CC32" i="6"/>
  <c r="CB182" i="6"/>
  <c r="CD204" i="6"/>
  <c r="CC24" i="6"/>
  <c r="CD186" i="6"/>
  <c r="CB36" i="6"/>
  <c r="CC60" i="6"/>
  <c r="CA48" i="6" a="1"/>
  <c r="BZ203" i="6"/>
  <c r="CC67" i="6"/>
  <c r="CD127" i="6"/>
  <c r="BZ117" i="6"/>
  <c r="CA103" i="6" a="1"/>
  <c r="CB129" i="6"/>
  <c r="CC193" i="6"/>
  <c r="BZ132" i="6"/>
  <c r="BZ137" i="6"/>
  <c r="CB47" i="6"/>
  <c r="BZ179" i="6"/>
  <c r="BZ155" i="6"/>
  <c r="BZ65" i="6"/>
  <c r="CD25" i="6"/>
  <c r="CD120" i="6"/>
  <c r="CA43" i="6" a="1"/>
  <c r="CD122" i="6"/>
  <c r="CD78" i="6"/>
  <c r="CD95" i="6"/>
  <c r="CD27" i="6"/>
  <c r="CC177" i="6"/>
  <c r="CD73" i="6"/>
  <c r="CB184" i="6"/>
  <c r="BZ128" i="6"/>
  <c r="CB71" i="6"/>
  <c r="CD177" i="6"/>
  <c r="BZ23" i="6"/>
  <c r="CD111" i="6"/>
  <c r="CC138" i="6"/>
  <c r="BZ113" i="6"/>
  <c r="CD82" i="6"/>
  <c r="CB27" i="6"/>
  <c r="BZ140" i="6"/>
  <c r="BZ56" i="6"/>
  <c r="CB104" i="6"/>
  <c r="CD30" i="6"/>
  <c r="CB137" i="6"/>
  <c r="CD165" i="6"/>
  <c r="CC34" i="6"/>
  <c r="CA199" i="6" a="1"/>
  <c r="CC30" i="6"/>
  <c r="CA158" i="6" a="1"/>
  <c r="CC93" i="6"/>
  <c r="CB86" i="6"/>
  <c r="CA165" i="6" a="1"/>
  <c r="CD93" i="6"/>
  <c r="BZ186" i="6"/>
  <c r="CD155" i="6"/>
  <c r="CD182" i="6"/>
  <c r="CA54" i="6" a="1"/>
  <c r="CB40" i="6"/>
  <c r="CD107" i="6"/>
  <c r="CB77" i="6"/>
  <c r="BZ176" i="6"/>
  <c r="CB150" i="6"/>
  <c r="CB43" i="6"/>
  <c r="CD81" i="6"/>
  <c r="CD206" i="6"/>
  <c r="CC127" i="6"/>
  <c r="BZ48" i="6"/>
  <c r="CB29" i="6"/>
  <c r="CC175" i="6"/>
  <c r="CB175" i="6"/>
  <c r="CB116" i="6"/>
  <c r="CB118" i="6"/>
  <c r="CB112" i="6"/>
  <c r="CC157" i="6"/>
  <c r="CA153" i="6" a="1"/>
  <c r="CC52" i="6"/>
  <c r="CA27" i="6" a="1"/>
  <c r="CD125" i="6"/>
  <c r="CC58" i="6"/>
  <c r="CA35" i="6" a="1"/>
  <c r="CB81" i="6"/>
  <c r="CA26" i="6" a="1"/>
  <c r="BZ154" i="6"/>
  <c r="CA101" i="6" a="1"/>
  <c r="CC133" i="6"/>
  <c r="CC204" i="6"/>
  <c r="CC129" i="6"/>
  <c r="CC50" i="6"/>
  <c r="CB155" i="6"/>
  <c r="CA143" i="6" a="1"/>
  <c r="BZ69" i="6"/>
  <c r="CA140" i="6" a="1"/>
  <c r="CD92" i="6"/>
  <c r="CC199" i="6"/>
  <c r="CA189" i="6" a="1"/>
  <c r="CD146" i="6"/>
  <c r="CA80" i="6" a="1"/>
  <c r="CD199" i="6"/>
  <c r="BZ106" i="6"/>
  <c r="CA182" i="6" a="1"/>
  <c r="CB152" i="6"/>
  <c r="BZ62" i="6"/>
  <c r="CA83" i="6" a="1"/>
  <c r="CC48" i="6"/>
  <c r="CC23" i="6"/>
  <c r="CD136" i="6"/>
  <c r="CB170" i="6"/>
  <c r="CA46" i="6" a="1"/>
  <c r="CC165" i="6"/>
  <c r="CB124" i="6"/>
  <c r="CC152" i="6"/>
  <c r="CD44" i="6"/>
  <c r="CC105" i="6"/>
  <c r="CC145" i="6"/>
  <c r="BZ192" i="6"/>
  <c r="CB185" i="6"/>
  <c r="CD65" i="6"/>
  <c r="CD71" i="6"/>
  <c r="CA130" i="6" a="1"/>
  <c r="BZ130" i="6"/>
  <c r="CD46" i="6"/>
  <c r="CA44" i="6" a="1"/>
  <c r="CD116" i="6"/>
  <c r="BZ109" i="6"/>
  <c r="CD181" i="6"/>
  <c r="CB190" i="6"/>
  <c r="BZ85" i="6"/>
  <c r="CA123" i="6" a="1"/>
  <c r="CC113" i="6"/>
  <c r="CC96" i="6"/>
  <c r="CB53" i="6"/>
  <c r="BZ199" i="6"/>
  <c r="CA77" i="6" a="1"/>
  <c r="CD60" i="6"/>
  <c r="CB198" i="6"/>
  <c r="BZ71" i="6"/>
  <c r="CA108" i="6" a="1"/>
  <c r="CB62" i="6"/>
  <c r="CB65" i="6"/>
  <c r="BZ180" i="6"/>
  <c r="CC111" i="6"/>
  <c r="BZ99" i="6"/>
  <c r="BZ152" i="6"/>
  <c r="CD47" i="6"/>
  <c r="CA94" i="6" a="1"/>
  <c r="CA185" i="6" a="1"/>
  <c r="CD201" i="6"/>
  <c r="BZ47" i="6"/>
  <c r="CD183" i="6"/>
  <c r="CB80" i="6"/>
  <c r="BZ167" i="6"/>
  <c r="CD163" i="6"/>
  <c r="CD150" i="6"/>
  <c r="CB196" i="6"/>
  <c r="CC22" i="6"/>
  <c r="CB72" i="6"/>
  <c r="CB76" i="6"/>
  <c r="BZ40" i="6"/>
  <c r="CA93" i="6" a="1"/>
  <c r="BZ163" i="6"/>
  <c r="CC195" i="6"/>
  <c r="CC115" i="6"/>
  <c r="CC88" i="6"/>
  <c r="BZ143" i="6"/>
  <c r="CB96" i="6"/>
  <c r="CC77" i="6"/>
  <c r="CA172" i="6" a="1"/>
  <c r="CC130" i="6"/>
  <c r="CD141" i="6"/>
  <c r="CC69" i="6"/>
  <c r="CA117" i="6" a="1"/>
  <c r="CB135" i="6"/>
  <c r="CD99" i="6"/>
  <c r="CC132" i="6"/>
  <c r="BZ67" i="6"/>
  <c r="BZ55" i="6"/>
  <c r="CC37" i="6"/>
  <c r="CA178" i="6" a="1"/>
  <c r="BZ111" i="6"/>
  <c r="CD118" i="6"/>
  <c r="CC168" i="6"/>
  <c r="CD162" i="6"/>
  <c r="BZ173" i="6"/>
  <c r="CB157" i="6"/>
  <c r="CB128" i="6"/>
  <c r="BZ36" i="6"/>
  <c r="BZ182" i="6"/>
  <c r="CA121" i="6" a="1"/>
  <c r="CA168" i="6" a="1"/>
  <c r="CD139" i="6"/>
  <c r="CB54" i="6"/>
  <c r="CB193" i="6"/>
  <c r="CB197" i="6"/>
  <c r="CB70" i="6"/>
  <c r="CD70" i="6"/>
  <c r="CA96" i="6" a="1"/>
  <c r="CA99" i="6" a="1"/>
  <c r="CC110" i="6"/>
  <c r="BZ103" i="6"/>
  <c r="CD62" i="6"/>
  <c r="CA105" i="6" a="1"/>
  <c r="CA146" i="6" a="1"/>
  <c r="BZ119" i="6"/>
  <c r="CA41" i="6" a="1"/>
  <c r="CC74" i="6"/>
  <c r="CC136" i="6"/>
  <c r="CA42" i="6" a="1"/>
  <c r="CA97" i="6" a="1"/>
  <c r="CB194" i="6"/>
  <c r="CD61" i="6"/>
  <c r="CB154" i="6"/>
  <c r="BZ165" i="6"/>
  <c r="CB69" i="6"/>
  <c r="CC160" i="6"/>
  <c r="CB94" i="6"/>
  <c r="CC205" i="6"/>
  <c r="CA116" i="6" a="1"/>
  <c r="CB67" i="6"/>
  <c r="CB174" i="6"/>
  <c r="CC141" i="6"/>
  <c r="CA177" i="6" a="1"/>
  <c r="CD175" i="6"/>
  <c r="CC94" i="6"/>
  <c r="CD64" i="6"/>
  <c r="CD58" i="6"/>
  <c r="CD173" i="6"/>
  <c r="CC103" i="6"/>
  <c r="CB90" i="6"/>
  <c r="CC116" i="6"/>
  <c r="CA163" i="6" a="1"/>
  <c r="CC91" i="6"/>
  <c r="CD24" i="6"/>
  <c r="CC140" i="6"/>
  <c r="BZ190" i="6"/>
  <c r="CC71" i="6"/>
  <c r="BZ101" i="6"/>
  <c r="CB199" i="6"/>
  <c r="CA184" i="6" a="1"/>
  <c r="CA45" i="6" a="1"/>
  <c r="CC54" i="6"/>
  <c r="BZ96" i="6"/>
  <c r="CB153" i="6"/>
  <c r="CC97" i="6"/>
  <c r="CC189" i="6"/>
  <c r="CC123" i="6"/>
  <c r="CB204" i="6"/>
  <c r="CA29" i="6" a="1"/>
  <c r="CD48" i="6"/>
  <c r="CA71" i="6" a="1"/>
  <c r="CB192" i="6"/>
  <c r="CC131" i="6"/>
  <c r="BZ46" i="6"/>
  <c r="BZ90" i="6"/>
  <c r="CC73" i="6"/>
  <c r="CB188" i="6"/>
  <c r="CB57" i="6"/>
  <c r="CD52" i="6"/>
  <c r="CC85" i="6"/>
  <c r="CC167" i="6"/>
  <c r="CD169" i="6"/>
  <c r="CA205" i="6" a="1"/>
  <c r="CD142" i="6"/>
  <c r="CA195" i="6" a="1"/>
  <c r="CD205" i="6"/>
  <c r="CC68" i="6"/>
  <c r="CA66" i="6" a="1"/>
  <c r="CD113" i="6"/>
  <c r="BZ123" i="6"/>
  <c r="BZ25" i="6"/>
  <c r="CD156" i="6"/>
  <c r="CD91" i="6"/>
  <c r="BZ63" i="6"/>
  <c r="CA50" i="6" a="1"/>
  <c r="BZ134" i="6"/>
  <c r="CC47" i="6"/>
  <c r="CA145" i="6" a="1"/>
  <c r="CD104" i="6"/>
  <c r="CB167" i="6"/>
  <c r="CB92" i="6"/>
  <c r="BZ92" i="6"/>
  <c r="CA51" i="6" a="1"/>
  <c r="CD167" i="6"/>
  <c r="CD110" i="6"/>
  <c r="CC62" i="6"/>
  <c r="BZ32" i="6"/>
  <c r="CA37" i="6" a="1"/>
  <c r="CC181" i="6"/>
  <c r="BZ74" i="6"/>
  <c r="CD83" i="6"/>
  <c r="CD33" i="6"/>
  <c r="CD124" i="6"/>
  <c r="CA73" i="6" a="1"/>
  <c r="CA156" i="6" a="1"/>
  <c r="CB146" i="6"/>
  <c r="CB173" i="6"/>
  <c r="BZ86" i="6"/>
  <c r="CB147" i="6"/>
  <c r="BZ59" i="6"/>
  <c r="CB191" i="6"/>
  <c r="CA192" i="6" a="1"/>
  <c r="BZ35" i="6"/>
  <c r="CA150" i="6" a="1"/>
  <c r="CD94" i="6"/>
  <c r="CD100" i="6"/>
  <c r="CA139" i="6" a="1"/>
  <c r="CC188" i="6"/>
  <c r="CB159" i="6"/>
  <c r="CC39" i="6"/>
  <c r="CB23" i="6"/>
  <c r="CC36" i="6"/>
  <c r="CA132" i="6" a="1"/>
  <c r="CA154" i="6" a="1"/>
  <c r="BZ78" i="6"/>
  <c r="CD197" i="6"/>
  <c r="BZ133" i="6"/>
  <c r="CA76" i="6" a="1"/>
  <c r="CB203" i="6"/>
  <c r="BZ70" i="6"/>
  <c r="CD149" i="6"/>
  <c r="CA57" i="6" a="1"/>
  <c r="CA39" i="6" a="1"/>
  <c r="CD45" i="6"/>
  <c r="BZ183" i="6"/>
  <c r="CB22" i="6"/>
  <c r="BZ34" i="6"/>
  <c r="CA157" i="6" a="1"/>
  <c r="CB99" i="6"/>
  <c r="CA167" i="6" a="1"/>
  <c r="BZ79" i="6"/>
  <c r="CD35" i="6"/>
  <c r="CD164" i="6"/>
  <c r="CB161" i="6"/>
  <c r="CD39" i="6"/>
  <c r="CA60" i="6" a="1"/>
  <c r="CC87" i="6"/>
  <c r="CD180" i="6"/>
  <c r="CB42" i="6"/>
  <c r="BZ136" i="6"/>
  <c r="CC180" i="6"/>
  <c r="CB140" i="6"/>
  <c r="CC166" i="6"/>
  <c r="BZ98" i="6"/>
  <c r="BZ27" i="6"/>
  <c r="CA133" i="6" a="1"/>
  <c r="CB93" i="6"/>
  <c r="CA87" i="6" a="1"/>
  <c r="CC128" i="6"/>
  <c r="CB82" i="6"/>
  <c r="CB166" i="6"/>
  <c r="CD123" i="6"/>
  <c r="BZ127" i="6"/>
  <c r="CD34" i="6"/>
  <c r="CB41" i="6"/>
  <c r="CD195" i="6"/>
  <c r="CA81" i="6" a="1"/>
  <c r="CA171" i="6" a="1"/>
  <c r="BZ88" i="6"/>
  <c r="CD172" i="6"/>
  <c r="CA193" i="6" a="1"/>
  <c r="CB179" i="6"/>
  <c r="CB49" i="6"/>
  <c r="BZ150" i="6"/>
  <c r="CB169" i="6"/>
  <c r="CD192" i="6"/>
  <c r="CC84" i="6"/>
  <c r="BZ89" i="6"/>
  <c r="CA33" i="6" a="1"/>
  <c r="CB181" i="6"/>
  <c r="CB206" i="6"/>
  <c r="CD41" i="6"/>
  <c r="CA68" i="6" a="1"/>
  <c r="CA32" i="6" a="1"/>
  <c r="CA129" i="6" a="1"/>
  <c r="CD168" i="6"/>
  <c r="BZ122" i="6"/>
  <c r="BZ147" i="6"/>
  <c r="BZ149" i="6"/>
  <c r="CB103" i="6"/>
  <c r="CA82" i="6" a="1"/>
  <c r="CB87" i="6"/>
  <c r="CA111" i="6" a="1"/>
  <c r="CB33" i="6"/>
  <c r="CB117" i="6"/>
  <c r="CB44" i="6"/>
  <c r="CA176" i="6" a="1"/>
  <c r="CD115" i="6"/>
  <c r="BZ42" i="6"/>
  <c r="CC170" i="6"/>
  <c r="CC202" i="6"/>
  <c r="CA188" i="6" a="1"/>
  <c r="CA23" i="6" a="1"/>
  <c r="CA155" i="6" a="1"/>
  <c r="CB200" i="6"/>
  <c r="CD42" i="6"/>
  <c r="CC178" i="6"/>
  <c r="CB63" i="6"/>
  <c r="BZ160" i="6"/>
  <c r="CB122" i="6"/>
  <c r="CA126" i="6" a="1"/>
  <c r="CC86" i="6"/>
  <c r="CD51" i="6"/>
  <c r="BZ164" i="6"/>
  <c r="CB24" i="6"/>
  <c r="CA127" i="6" a="1"/>
  <c r="CA69" i="6" a="1"/>
  <c r="CB89" i="6"/>
  <c r="CB98" i="6"/>
  <c r="CB187" i="6"/>
  <c r="BZ61" i="6"/>
  <c r="BZ172" i="6"/>
  <c r="CD106" i="6"/>
  <c r="BZ121" i="6"/>
  <c r="BZ205" i="6"/>
  <c r="BZ84" i="6"/>
  <c r="CC56" i="6"/>
  <c r="CA125" i="6" a="1"/>
  <c r="CC172" i="6"/>
  <c r="CA124" i="6" a="1"/>
  <c r="CA164" i="6" a="1"/>
  <c r="CB149" i="6"/>
  <c r="CA36" i="6" l="1"/>
  <c r="CE36" i="6" s="1"/>
  <c r="CA32" i="6"/>
  <c r="CE32" i="6" s="1"/>
  <c r="CA28" i="6"/>
  <c r="CE28" i="6" s="1"/>
  <c r="CA24" i="6"/>
  <c r="CE24" i="6" s="1"/>
  <c r="CA33" i="6"/>
  <c r="CE33" i="6" s="1"/>
  <c r="CA29" i="6"/>
  <c r="CE29" i="6" s="1"/>
  <c r="CA25" i="6"/>
  <c r="CE25" i="6" s="1"/>
  <c r="CA34" i="6"/>
  <c r="CE34" i="6" s="1"/>
  <c r="CA30" i="6"/>
  <c r="CE30" i="6" s="1"/>
  <c r="CA26" i="6"/>
  <c r="CE26" i="6" s="1"/>
  <c r="CA35" i="6"/>
  <c r="CE35" i="6" s="1"/>
  <c r="CA31" i="6"/>
  <c r="CE31" i="6" s="1"/>
  <c r="CA27" i="6"/>
  <c r="CE27" i="6" s="1"/>
  <c r="CA23" i="6"/>
  <c r="CE23" i="6" s="1"/>
  <c r="CA206" i="6"/>
  <c r="CE206" i="6" s="1"/>
  <c r="CA202" i="6"/>
  <c r="CE202" i="6" s="1"/>
  <c r="CA198" i="6"/>
  <c r="CE198" i="6" s="1"/>
  <c r="CA203" i="6"/>
  <c r="CE203" i="6" s="1"/>
  <c r="CA199" i="6"/>
  <c r="CE199" i="6" s="1"/>
  <c r="CA195" i="6"/>
  <c r="CE195" i="6" s="1"/>
  <c r="CA191" i="6"/>
  <c r="CE191" i="6" s="1"/>
  <c r="CA187" i="6"/>
  <c r="CE187" i="6" s="1"/>
  <c r="CA204" i="6"/>
  <c r="CE204" i="6" s="1"/>
  <c r="CA200" i="6"/>
  <c r="CE200" i="6" s="1"/>
  <c r="CA196" i="6"/>
  <c r="CE196" i="6" s="1"/>
  <c r="CA205" i="6"/>
  <c r="CE205" i="6" s="1"/>
  <c r="CA201" i="6"/>
  <c r="CE201" i="6" s="1"/>
  <c r="CA197" i="6"/>
  <c r="CE197" i="6" s="1"/>
  <c r="CA193" i="6"/>
  <c r="CE193" i="6" s="1"/>
  <c r="CA181" i="6"/>
  <c r="CE181" i="6" s="1"/>
  <c r="CA177" i="6"/>
  <c r="CE177" i="6" s="1"/>
  <c r="CA173" i="6"/>
  <c r="CE173" i="6" s="1"/>
  <c r="CA169" i="6"/>
  <c r="CE169" i="6" s="1"/>
  <c r="CA186" i="6"/>
  <c r="CE186" i="6" s="1"/>
  <c r="CA180" i="6"/>
  <c r="CE180" i="6" s="1"/>
  <c r="CA192" i="6"/>
  <c r="CE192" i="6" s="1"/>
  <c r="CA190" i="6"/>
  <c r="CE190" i="6" s="1"/>
  <c r="CA185" i="6"/>
  <c r="CE185" i="6" s="1"/>
  <c r="CA174" i="6"/>
  <c r="CE174" i="6" s="1"/>
  <c r="CA184" i="6"/>
  <c r="CE184" i="6" s="1"/>
  <c r="CA188" i="6"/>
  <c r="CE188" i="6" s="1"/>
  <c r="CA183" i="6"/>
  <c r="CE183" i="6" s="1"/>
  <c r="CA178" i="6"/>
  <c r="CE178" i="6" s="1"/>
  <c r="CA175" i="6"/>
  <c r="CE175" i="6" s="1"/>
  <c r="CA171" i="6"/>
  <c r="CE171" i="6" s="1"/>
  <c r="CA182" i="6"/>
  <c r="CE182" i="6" s="1"/>
  <c r="CA194" i="6"/>
  <c r="CE194" i="6" s="1"/>
  <c r="CA176" i="6"/>
  <c r="CE176" i="6" s="1"/>
  <c r="CA172" i="6"/>
  <c r="CE172" i="6" s="1"/>
  <c r="CA168" i="6"/>
  <c r="CE168" i="6" s="1"/>
  <c r="CA189" i="6"/>
  <c r="CE189" i="6" s="1"/>
  <c r="CA179" i="6"/>
  <c r="CE179" i="6" s="1"/>
  <c r="CA170" i="6"/>
  <c r="CE170" i="6" s="1"/>
  <c r="CA160" i="6"/>
  <c r="CE160" i="6" s="1"/>
  <c r="CA156" i="6"/>
  <c r="CE156" i="6" s="1"/>
  <c r="CA152" i="6"/>
  <c r="CE152" i="6" s="1"/>
  <c r="CA148" i="6"/>
  <c r="CE148" i="6" s="1"/>
  <c r="CA144" i="6"/>
  <c r="CE144" i="6" s="1"/>
  <c r="CA140" i="6"/>
  <c r="CE140" i="6" s="1"/>
  <c r="CA164" i="6"/>
  <c r="CE164" i="6" s="1"/>
  <c r="CA167" i="6"/>
  <c r="CE167" i="6" s="1"/>
  <c r="CA157" i="6"/>
  <c r="CE157" i="6" s="1"/>
  <c r="CA153" i="6"/>
  <c r="CE153" i="6" s="1"/>
  <c r="CA149" i="6"/>
  <c r="CE149" i="6" s="1"/>
  <c r="CA145" i="6"/>
  <c r="CE145" i="6" s="1"/>
  <c r="CA163" i="6"/>
  <c r="CE163" i="6" s="1"/>
  <c r="CA161" i="6"/>
  <c r="CE161" i="6" s="1"/>
  <c r="CA158" i="6"/>
  <c r="CE158" i="6" s="1"/>
  <c r="CA154" i="6"/>
  <c r="CE154" i="6" s="1"/>
  <c r="CA150" i="6"/>
  <c r="CE150" i="6" s="1"/>
  <c r="CA146" i="6"/>
  <c r="CE146" i="6" s="1"/>
  <c r="CA166" i="6"/>
  <c r="CE166" i="6" s="1"/>
  <c r="CA165" i="6"/>
  <c r="CE165" i="6" s="1"/>
  <c r="CA162" i="6"/>
  <c r="CE162" i="6" s="1"/>
  <c r="CA159" i="6"/>
  <c r="CE159" i="6" s="1"/>
  <c r="CA155" i="6"/>
  <c r="CE155" i="6" s="1"/>
  <c r="CA151" i="6"/>
  <c r="CE151" i="6" s="1"/>
  <c r="CA135" i="6"/>
  <c r="CE135" i="6" s="1"/>
  <c r="CA131" i="6"/>
  <c r="CE131" i="6" s="1"/>
  <c r="CA127" i="6"/>
  <c r="CE127" i="6" s="1"/>
  <c r="CA123" i="6"/>
  <c r="CE123" i="6" s="1"/>
  <c r="CA119" i="6"/>
  <c r="CE119" i="6" s="1"/>
  <c r="CA147" i="6"/>
  <c r="CE147" i="6" s="1"/>
  <c r="CA136" i="6"/>
  <c r="CE136" i="6" s="1"/>
  <c r="CA132" i="6"/>
  <c r="CE132" i="6" s="1"/>
  <c r="CA128" i="6"/>
  <c r="CE128" i="6" s="1"/>
  <c r="CA139" i="6"/>
  <c r="CE139" i="6" s="1"/>
  <c r="CA141" i="6"/>
  <c r="CE141" i="6" s="1"/>
  <c r="CA137" i="6"/>
  <c r="CE137" i="6" s="1"/>
  <c r="CA133" i="6"/>
  <c r="CE133" i="6" s="1"/>
  <c r="CA129" i="6"/>
  <c r="CE129" i="6" s="1"/>
  <c r="CA125" i="6"/>
  <c r="CE125" i="6" s="1"/>
  <c r="CA142" i="6"/>
  <c r="CE142" i="6" s="1"/>
  <c r="CA134" i="6"/>
  <c r="CE134" i="6" s="1"/>
  <c r="CA130" i="6"/>
  <c r="CE130" i="6" s="1"/>
  <c r="CA126" i="6"/>
  <c r="CE126" i="6" s="1"/>
  <c r="CA122" i="6"/>
  <c r="CE122" i="6" s="1"/>
  <c r="CA143" i="6"/>
  <c r="CE143" i="6" s="1"/>
  <c r="CA138" i="6"/>
  <c r="CE138" i="6" s="1"/>
  <c r="CA120" i="6"/>
  <c r="CE120" i="6" s="1"/>
  <c r="CA114" i="6"/>
  <c r="CE114" i="6" s="1"/>
  <c r="CA110" i="6"/>
  <c r="CE110" i="6" s="1"/>
  <c r="CA106" i="6"/>
  <c r="CE106" i="6" s="1"/>
  <c r="CA124" i="6"/>
  <c r="CE124" i="6" s="1"/>
  <c r="CA117" i="6"/>
  <c r="CE117" i="6" s="1"/>
  <c r="CA115" i="6"/>
  <c r="CE115" i="6" s="1"/>
  <c r="CA111" i="6"/>
  <c r="CE111" i="6" s="1"/>
  <c r="CA107" i="6"/>
  <c r="CE107" i="6" s="1"/>
  <c r="CA103" i="6"/>
  <c r="CE103" i="6" s="1"/>
  <c r="CA112" i="6"/>
  <c r="CE112" i="6" s="1"/>
  <c r="CA108" i="6"/>
  <c r="CE108" i="6" s="1"/>
  <c r="CA104" i="6"/>
  <c r="CE104" i="6" s="1"/>
  <c r="CA100" i="6"/>
  <c r="CE100" i="6" s="1"/>
  <c r="CA116" i="6"/>
  <c r="CE116" i="6" s="1"/>
  <c r="CA113" i="6"/>
  <c r="CE113" i="6" s="1"/>
  <c r="CA109" i="6"/>
  <c r="CE109" i="6" s="1"/>
  <c r="CA105" i="6"/>
  <c r="CE105" i="6" s="1"/>
  <c r="CA101" i="6"/>
  <c r="CE101" i="6" s="1"/>
  <c r="CA97" i="6"/>
  <c r="CE97" i="6" s="1"/>
  <c r="CA121" i="6"/>
  <c r="CE121" i="6" s="1"/>
  <c r="CA118" i="6"/>
  <c r="CE118" i="6" s="1"/>
  <c r="CA102" i="6"/>
  <c r="CE102" i="6" s="1"/>
  <c r="CA99" i="6"/>
  <c r="CE99" i="6" s="1"/>
  <c r="CA90" i="6"/>
  <c r="CE90" i="6" s="1"/>
  <c r="CA86" i="6"/>
  <c r="CE86" i="6" s="1"/>
  <c r="CA94" i="6"/>
  <c r="CE94" i="6" s="1"/>
  <c r="CA95" i="6"/>
  <c r="CE95" i="6" s="1"/>
  <c r="CA91" i="6"/>
  <c r="CE91" i="6" s="1"/>
  <c r="CA87" i="6"/>
  <c r="CE87" i="6" s="1"/>
  <c r="CA83" i="6"/>
  <c r="CE83" i="6" s="1"/>
  <c r="CA93" i="6"/>
  <c r="CE93" i="6" s="1"/>
  <c r="CA96" i="6"/>
  <c r="CE96" i="6" s="1"/>
  <c r="CA98" i="6"/>
  <c r="CE98" i="6" s="1"/>
  <c r="CA88" i="6"/>
  <c r="CE88" i="6" s="1"/>
  <c r="CA92" i="6"/>
  <c r="CE92" i="6" s="1"/>
  <c r="CA89" i="6"/>
  <c r="CE89" i="6" s="1"/>
  <c r="CA85" i="6"/>
  <c r="CE85" i="6" s="1"/>
  <c r="CA81" i="6"/>
  <c r="CE81" i="6" s="1"/>
  <c r="CA71" i="6"/>
  <c r="CE71" i="6" s="1"/>
  <c r="CA80" i="6"/>
  <c r="CE80" i="6" s="1"/>
  <c r="CA69" i="6"/>
  <c r="CE69" i="6" s="1"/>
  <c r="CA65" i="6"/>
  <c r="CE65" i="6" s="1"/>
  <c r="CA61" i="6"/>
  <c r="CE61" i="6" s="1"/>
  <c r="CA57" i="6"/>
  <c r="CE57" i="6" s="1"/>
  <c r="CA84" i="6"/>
  <c r="CE84" i="6" s="1"/>
  <c r="CA82" i="6"/>
  <c r="CE82" i="6" s="1"/>
  <c r="CA76" i="6"/>
  <c r="CE76" i="6" s="1"/>
  <c r="CA72" i="6"/>
  <c r="CE72" i="6" s="1"/>
  <c r="CA66" i="6"/>
  <c r="CE66" i="6" s="1"/>
  <c r="CA62" i="6"/>
  <c r="CE62" i="6" s="1"/>
  <c r="CA58" i="6"/>
  <c r="CE58" i="6" s="1"/>
  <c r="CA77" i="6"/>
  <c r="CE77" i="6" s="1"/>
  <c r="CA75" i="6"/>
  <c r="CE75" i="6" s="1"/>
  <c r="CA70" i="6"/>
  <c r="CE70" i="6" s="1"/>
  <c r="CA74" i="6"/>
  <c r="CE74" i="6" s="1"/>
  <c r="CA67" i="6"/>
  <c r="CE67" i="6" s="1"/>
  <c r="CA63" i="6"/>
  <c r="CE63" i="6" s="1"/>
  <c r="CA79" i="6"/>
  <c r="CE79" i="6" s="1"/>
  <c r="CA73" i="6"/>
  <c r="CE73" i="6" s="1"/>
  <c r="CA68" i="6"/>
  <c r="CE68" i="6" s="1"/>
  <c r="CA64" i="6"/>
  <c r="CE64" i="6" s="1"/>
  <c r="CA60" i="6"/>
  <c r="CE60" i="6" s="1"/>
  <c r="CA56" i="6"/>
  <c r="CE56" i="6" s="1"/>
  <c r="CA78" i="6"/>
  <c r="CE78" i="6" s="1"/>
  <c r="CA55" i="6"/>
  <c r="CE55" i="6" s="1"/>
  <c r="CA48" i="6"/>
  <c r="CE48" i="6" s="1"/>
  <c r="CA44" i="6"/>
  <c r="CE44" i="6" s="1"/>
  <c r="CA40" i="6"/>
  <c r="CE40" i="6" s="1"/>
  <c r="CA45" i="6"/>
  <c r="CE45" i="6" s="1"/>
  <c r="CA41" i="6"/>
  <c r="CE41" i="6" s="1"/>
  <c r="CA53" i="6"/>
  <c r="CE53" i="6" s="1"/>
  <c r="CA49" i="6"/>
  <c r="CE49" i="6" s="1"/>
  <c r="CA52" i="6"/>
  <c r="CE52" i="6" s="1"/>
  <c r="CA54" i="6"/>
  <c r="CE54" i="6" s="1"/>
  <c r="CA51" i="6"/>
  <c r="CE51" i="6" s="1"/>
  <c r="CA46" i="6"/>
  <c r="CE46" i="6" s="1"/>
  <c r="CA42" i="6"/>
  <c r="CE42" i="6" s="1"/>
  <c r="CA38" i="6"/>
  <c r="CE38" i="6" s="1"/>
  <c r="CA59" i="6"/>
  <c r="CE59" i="6" s="1"/>
  <c r="CA47" i="6"/>
  <c r="CE47" i="6" s="1"/>
  <c r="CA43" i="6"/>
  <c r="CE43" i="6" s="1"/>
  <c r="CA39" i="6"/>
  <c r="CE39" i="6" s="1"/>
  <c r="CA50" i="6"/>
  <c r="CE50" i="6" s="1"/>
  <c r="CA37" i="6"/>
  <c r="CE37" i="6" s="1"/>
  <c r="BY22" i="6"/>
  <c r="CA22" i="6"/>
  <c r="BZ19" i="6"/>
  <c r="CE22" i="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<sst xmlns="http://schemas.openxmlformats.org/spreadsheetml/2006/main" count="1542" uniqueCount="515">
  <si>
    <t>[Begin Format Range]</t>
  </si>
  <si>
    <t>Default</t>
  </si>
  <si>
    <t>Leaf</t>
  </si>
  <si>
    <t>[End Format Range]</t>
  </si>
  <si>
    <t>Element Name</t>
  </si>
  <si>
    <t>{TM1SubsetToSet([SP_SKU].[SP_SKU], "All Level 0 wDesc")}</t>
  </si>
  <si>
    <t>{TM1SubsetToSet([SP_DCItem].[SP_DCItem], "All Level 0 wDesc")}</t>
  </si>
  <si>
    <t>{TM1SubsetToSet([SP_Manufacturer].[SP_Manufacturer], "All Level 0")}</t>
  </si>
  <si>
    <t>SP_Locations</t>
  </si>
  <si>
    <t>150001 - Dessert, GF Brownie 48CT</t>
  </si>
  <si>
    <t>182500 - Avocado Spread, 48ct.</t>
  </si>
  <si>
    <t>200720 - Bowl, Black 16oz Oval</t>
  </si>
  <si>
    <t>200721 - Lid, Clear Dome Lid for Oval Bowl</t>
  </si>
  <si>
    <t>Butterball</t>
  </si>
  <si>
    <t>AC LEGG</t>
  </si>
  <si>
    <t>OVERHILL FARMS</t>
  </si>
  <si>
    <t>Gardner Pies</t>
  </si>
  <si>
    <t>CASSANDRA'S GOURMET CLASSICS</t>
  </si>
  <si>
    <t>DIANNE'S FINE DESSERTS</t>
  </si>
  <si>
    <t>Woeber</t>
  </si>
  <si>
    <t>Engelman's</t>
  </si>
  <si>
    <t>Christies Cookies</t>
  </si>
  <si>
    <t>McCormick</t>
  </si>
  <si>
    <t>SENECA FOODS</t>
  </si>
  <si>
    <t>Sugar Foods</t>
  </si>
  <si>
    <t>HORMEL</t>
  </si>
  <si>
    <t>BUTTERFIELD FOODS</t>
  </si>
  <si>
    <t>Kapstone</t>
  </si>
  <si>
    <t>FORDION PACKAGING</t>
  </si>
  <si>
    <t>All Foils</t>
  </si>
  <si>
    <t>WNA</t>
  </si>
  <si>
    <t>Tyson</t>
  </si>
  <si>
    <t>D&amp;W FINE PACK</t>
  </si>
  <si>
    <t>Vie de France</t>
  </si>
  <si>
    <t>Griffith Foods</t>
  </si>
  <si>
    <t>Indiana Sugars</t>
  </si>
  <si>
    <t>Evergreen Manufacturing</t>
  </si>
  <si>
    <t>Demand</t>
  </si>
  <si>
    <t>Ending Balance</t>
  </si>
  <si>
    <t>DC Item Number</t>
  </si>
  <si>
    <t>HBH SKU</t>
  </si>
  <si>
    <t>Manufacturer</t>
  </si>
  <si>
    <t>Freshmark</t>
  </si>
  <si>
    <t>Sweet Street Desserts</t>
  </si>
  <si>
    <t>C.F. Sauer</t>
  </si>
  <si>
    <t>French's Foodservice</t>
  </si>
  <si>
    <t>Sabert</t>
  </si>
  <si>
    <t>Handy Wacks Corporation</t>
  </si>
  <si>
    <t>Love &amp; Quiches</t>
  </si>
  <si>
    <t>BBQ Select</t>
  </si>
  <si>
    <t>King's Hawaiian</t>
  </si>
  <si>
    <t>Land O Lakes</t>
  </si>
  <si>
    <t>Ocean Spray</t>
  </si>
  <si>
    <t>Southern Champion</t>
  </si>
  <si>
    <t>C.H. Gunther</t>
  </si>
  <si>
    <t>Stewart Sutherland</t>
  </si>
  <si>
    <t>Berry Plastics</t>
  </si>
  <si>
    <t>Primary/Secondary</t>
  </si>
  <si>
    <t>Current Pos</t>
  </si>
  <si>
    <t>Bake N Joy</t>
  </si>
  <si>
    <t>Grandma Hoerners</t>
  </si>
  <si>
    <t>Rotella's</t>
  </si>
  <si>
    <t>Bay Valley</t>
  </si>
  <si>
    <t>Flavorseal</t>
  </si>
  <si>
    <t>Total Pos</t>
  </si>
  <si>
    <t>PO Case Qty</t>
  </si>
  <si>
    <t>Adjustments</t>
  </si>
  <si>
    <t>Category</t>
  </si>
  <si>
    <t xml:space="preserve">Distribution Center: </t>
  </si>
  <si>
    <t xml:space="preserve">Year: </t>
  </si>
  <si>
    <t xml:space="preserve">Week: </t>
  </si>
  <si>
    <t>Demand Adjustments</t>
  </si>
  <si>
    <t>Ending B alance</t>
  </si>
  <si>
    <t>Prior Week 
Ending Balance</t>
  </si>
  <si>
    <t>Variance to Current Week</t>
  </si>
  <si>
    <t>Formula</t>
  </si>
  <si>
    <t>Late Pos</t>
  </si>
  <si>
    <t>Case Adjust</t>
  </si>
  <si>
    <t>Demand Adjust</t>
  </si>
  <si>
    <t>POs</t>
  </si>
  <si>
    <t>Demand_Adjust_Lock_Flag</t>
  </si>
  <si>
    <t>Total Demand</t>
  </si>
  <si>
    <t>Updated Demand</t>
  </si>
  <si>
    <t>SKU Description</t>
  </si>
  <si>
    <t>TM1-S1_DEV:}ElementAttributes_SP_SKU</t>
  </si>
  <si>
    <t>{TM1SubsetToSet([YEAR].[YEAR], "All Level 0")}</t>
  </si>
  <si>
    <t>{TM1SubsetToSet([SP_Week].[SP_Week], "All Level 0")}</t>
  </si>
  <si>
    <t>{TM1FILTERBYLEVEL(TM1SUBSETALL([SP_SKU]) , 0)}</t>
  </si>
  <si>
    <t>{TM1SubsetToSet([SP_DCItem].[SP_DCItem], "All Level 0")}</t>
  </si>
  <si>
    <t>{TM1SubsetToSet([SP_PO].[SP_PO], "All Level 0")}</t>
  </si>
  <si>
    <t>Year</t>
  </si>
  <si>
    <t>Week</t>
  </si>
  <si>
    <t>SKU</t>
  </si>
  <si>
    <t>DC Item#</t>
  </si>
  <si>
    <t>PO#</t>
  </si>
  <si>
    <t>PO_Case_Qty</t>
  </si>
  <si>
    <t>PO_ExpectedDate</t>
  </si>
  <si>
    <t>DOT or Direct</t>
  </si>
  <si>
    <t>HEINZ</t>
  </si>
  <si>
    <t>200977 - Foil Wrap 16x14 500CT</t>
  </si>
  <si>
    <t>Blount</t>
  </si>
  <si>
    <t>GREAT LAKES</t>
  </si>
  <si>
    <t>Stephen Gould</t>
  </si>
  <si>
    <t>Lock Flag</t>
  </si>
  <si>
    <t>1=Locked</t>
  </si>
  <si>
    <t>Selected on the Main Tab</t>
  </si>
  <si>
    <t>Do not change the sort order!</t>
  </si>
  <si>
    <t>20211</t>
  </si>
  <si>
    <t>20209</t>
  </si>
  <si>
    <t>20204</t>
  </si>
  <si>
    <t>20210</t>
  </si>
  <si>
    <t>20207</t>
  </si>
  <si>
    <t>22658</t>
  </si>
  <si>
    <t>20319</t>
  </si>
  <si>
    <t>60982</t>
  </si>
  <si>
    <t>60984</t>
  </si>
  <si>
    <t>20271</t>
  </si>
  <si>
    <t>27759</t>
  </si>
  <si>
    <t>20254</t>
  </si>
  <si>
    <t>44916</t>
  </si>
  <si>
    <t>95852</t>
  </si>
  <si>
    <t>91241</t>
  </si>
  <si>
    <t>91233</t>
  </si>
  <si>
    <t>20717</t>
  </si>
  <si>
    <t>26649</t>
  </si>
  <si>
    <t>26650</t>
  </si>
  <si>
    <t>20615</t>
  </si>
  <si>
    <t>20616</t>
  </si>
  <si>
    <t>20617</t>
  </si>
  <si>
    <t>20620</t>
  </si>
  <si>
    <t>44083</t>
  </si>
  <si>
    <t>84341</t>
  </si>
  <si>
    <t>84342</t>
  </si>
  <si>
    <t>84343</t>
  </si>
  <si>
    <t>84344</t>
  </si>
  <si>
    <t>20358</t>
  </si>
  <si>
    <t>20221</t>
  </si>
  <si>
    <t>20220</t>
  </si>
  <si>
    <t>20486</t>
  </si>
  <si>
    <t>20490</t>
  </si>
  <si>
    <t>20408</t>
  </si>
  <si>
    <t>20411</t>
  </si>
  <si>
    <t>20407</t>
  </si>
  <si>
    <t>20269</t>
  </si>
  <si>
    <t>20416</t>
  </si>
  <si>
    <t>20499</t>
  </si>
  <si>
    <t>34523</t>
  </si>
  <si>
    <t>51474</t>
  </si>
  <si>
    <t>68217</t>
  </si>
  <si>
    <t>20218</t>
  </si>
  <si>
    <t>64644</t>
  </si>
  <si>
    <t>76064</t>
  </si>
  <si>
    <t>Kraft</t>
  </si>
  <si>
    <t>FRITO LAY</t>
  </si>
  <si>
    <t>GREAT LAKES CHEESE</t>
  </si>
  <si>
    <t>HANDGARDS INC</t>
  </si>
  <si>
    <t>KENS FOODS INC</t>
  </si>
  <si>
    <t>200688 - Bread Dough Croissant Butter 144/2.4oz</t>
  </si>
  <si>
    <t>200995 - FOIL CARVER 20X24 300CT - Holiday AS</t>
  </si>
  <si>
    <t>201115 - INGREDIENT VINEGAR RED WINE 4/1GAL</t>
  </si>
  <si>
    <t>201116 - CHEESE MILD CHEDDAR SHREDDED 20/1LB</t>
  </si>
  <si>
    <t>201117 - CONDIMENT MAYO HD 4/1GAL</t>
  </si>
  <si>
    <t>201119 - INGREDIENT BALSAMIC VINAIGRETTE SIGN 4/1GAL</t>
  </si>
  <si>
    <t>201120 - PLATE FOAM WHT" 1000CT</t>
  </si>
  <si>
    <t>201121 - PLATE FOAM DINNER WHITE 9" 500CT</t>
  </si>
  <si>
    <t>201122 - PAPER NAPKIN 13"X13" 2PLY KRAFT 6000PK</t>
  </si>
  <si>
    <t>201123 - UTENSIL STRAWS CLEAR GIANT PAPER IND WRAP 7.75" 12</t>
  </si>
  <si>
    <t>201124 - PAPER DELI WAX 8X10.75 6000PK</t>
  </si>
  <si>
    <t>201125 - CONTAINER DELI ROUND PLSTC CLR W/LID 240/16OZ</t>
  </si>
  <si>
    <t>201126 - UTENSIL PLASTIC SPOON WHITE IND WRAP 1000CT</t>
  </si>
  <si>
    <t>201127 - UTENSIL PLASTIC KNIFE WHITE IND WRAP 1000CT</t>
  </si>
  <si>
    <t>201128 - UTENSIL PLASTIC FORK WHITE IND WRAP 1000CT</t>
  </si>
  <si>
    <t>201129 - DISPENSER PAPER TOWEL ROLL 1CT</t>
  </si>
  <si>
    <t>201130 - PAPER TOWEL ROLL KRAFT 6CT</t>
  </si>
  <si>
    <t>201131 - CONTAINER SOUP BLACK SQUAT 500/8OZ</t>
  </si>
  <si>
    <t>201132 - BAG TRASH XHVY BLK 60 GAL 38X58 100CT</t>
  </si>
  <si>
    <t>201133 - PAPER DELI PATTY 5.5X5.5 24000PK</t>
  </si>
  <si>
    <t>201134 - GLOVE SMALL VINYL PF 10/100PK</t>
  </si>
  <si>
    <t>201135 - GLOVE MEDIUM VINYL PF 10/100PK</t>
  </si>
  <si>
    <t>201136 - GLOVE LARGE VINYL PF 10/100PK</t>
  </si>
  <si>
    <t>201137 - GLOVE XLARGE VINYL PF 10/100PK</t>
  </si>
  <si>
    <t>201138 - CONTAINER SOUP LID CLEAR SQUAT 500-8OZ/12OZ</t>
  </si>
  <si>
    <t>201139 - CONTAINER SOUP BLACK SQUAT 500/12OZ</t>
  </si>
  <si>
    <t>201140 - PAPER BATH TISSUE 2PLY 96CT</t>
  </si>
  <si>
    <t>201141 - FOIL XTRA HEAVY DUTY 24X1000LF</t>
  </si>
  <si>
    <t>20225</t>
  </si>
  <si>
    <t>20219</t>
  </si>
  <si>
    <t>20222</t>
  </si>
  <si>
    <t>20236</t>
  </si>
  <si>
    <t>20235</t>
  </si>
  <si>
    <t>20237</t>
  </si>
  <si>
    <t>20341</t>
  </si>
  <si>
    <t>20342</t>
  </si>
  <si>
    <t>20340</t>
  </si>
  <si>
    <t>20223</t>
  </si>
  <si>
    <t>20224</t>
  </si>
  <si>
    <t>22888</t>
  </si>
  <si>
    <t>22889</t>
  </si>
  <si>
    <t>20489</t>
  </si>
  <si>
    <t>20480</t>
  </si>
  <si>
    <t>20481</t>
  </si>
  <si>
    <t>20482</t>
  </si>
  <si>
    <t>20487</t>
  </si>
  <si>
    <t>20483</t>
  </si>
  <si>
    <t>20488</t>
  </si>
  <si>
    <t>20491</t>
  </si>
  <si>
    <t>26656</t>
  </si>
  <si>
    <t>20247</t>
  </si>
  <si>
    <t>20246</t>
  </si>
  <si>
    <t>20318</t>
  </si>
  <si>
    <t>23520</t>
  </si>
  <si>
    <t>20311</t>
  </si>
  <si>
    <t>20512</t>
  </si>
  <si>
    <t>20514</t>
  </si>
  <si>
    <t>20515</t>
  </si>
  <si>
    <t>20516</t>
  </si>
  <si>
    <t>23522</t>
  </si>
  <si>
    <t>20309</t>
  </si>
  <si>
    <t>20313</t>
  </si>
  <si>
    <t>20335</t>
  </si>
  <si>
    <t>20410</t>
  </si>
  <si>
    <t>20417</t>
  </si>
  <si>
    <t>20405</t>
  </si>
  <si>
    <t>20413</t>
  </si>
  <si>
    <t>61178</t>
  </si>
  <si>
    <t>60976</t>
  </si>
  <si>
    <t>60983</t>
  </si>
  <si>
    <t>26659</t>
  </si>
  <si>
    <t>60981</t>
  </si>
  <si>
    <t>26670</t>
  </si>
  <si>
    <t>20248</t>
  </si>
  <si>
    <t>20262</t>
  </si>
  <si>
    <t>20250</t>
  </si>
  <si>
    <t>20251</t>
  </si>
  <si>
    <t>27750</t>
  </si>
  <si>
    <t>27751</t>
  </si>
  <si>
    <t>27752</t>
  </si>
  <si>
    <t>26657</t>
  </si>
  <si>
    <t>20415</t>
  </si>
  <si>
    <t>20714</t>
  </si>
  <si>
    <t>20419</t>
  </si>
  <si>
    <t>20418</t>
  </si>
  <si>
    <t>91239</t>
  </si>
  <si>
    <t>20303</t>
  </si>
  <si>
    <t>61213</t>
  </si>
  <si>
    <t>57124</t>
  </si>
  <si>
    <t>27760</t>
  </si>
  <si>
    <t>20713</t>
  </si>
  <si>
    <t>20711</t>
  </si>
  <si>
    <t>47802</t>
  </si>
  <si>
    <t>72008</t>
  </si>
  <si>
    <t>53749</t>
  </si>
  <si>
    <t>53543</t>
  </si>
  <si>
    <t>37346</t>
  </si>
  <si>
    <t>37356</t>
  </si>
  <si>
    <t>37321</t>
  </si>
  <si>
    <t>26658</t>
  </si>
  <si>
    <t>22644</t>
  </si>
  <si>
    <t>20371</t>
  </si>
  <si>
    <t>20385</t>
  </si>
  <si>
    <t>20388</t>
  </si>
  <si>
    <t>20386</t>
  </si>
  <si>
    <t>20389</t>
  </si>
  <si>
    <t>20352</t>
  </si>
  <si>
    <t>20362</t>
  </si>
  <si>
    <t>20348</t>
  </si>
  <si>
    <t>20347</t>
  </si>
  <si>
    <t>20360</t>
  </si>
  <si>
    <t>20363</t>
  </si>
  <si>
    <t>20361</t>
  </si>
  <si>
    <t>20350</t>
  </si>
  <si>
    <t>20384</t>
  </si>
  <si>
    <t>20387</t>
  </si>
  <si>
    <t>20391</t>
  </si>
  <si>
    <t>20394</t>
  </si>
  <si>
    <t>20402</t>
  </si>
  <si>
    <t>20364</t>
  </si>
  <si>
    <t>20370</t>
  </si>
  <si>
    <t>20372</t>
  </si>
  <si>
    <t>20374</t>
  </si>
  <si>
    <t>20390</t>
  </si>
  <si>
    <t>20359</t>
  </si>
  <si>
    <t>20357</t>
  </si>
  <si>
    <t>20356</t>
  </si>
  <si>
    <t>83402</t>
  </si>
  <si>
    <t>83401</t>
  </si>
  <si>
    <t>20392</t>
  </si>
  <si>
    <t>20398</t>
  </si>
  <si>
    <t>21503</t>
  </si>
  <si>
    <t>20509</t>
  </si>
  <si>
    <t>20523</t>
  </si>
  <si>
    <t>85409</t>
  </si>
  <si>
    <t>78034</t>
  </si>
  <si>
    <t>85408</t>
  </si>
  <si>
    <t>20283</t>
  </si>
  <si>
    <t>20281</t>
  </si>
  <si>
    <t>27758</t>
  </si>
  <si>
    <t>27761</t>
  </si>
  <si>
    <t>27762</t>
  </si>
  <si>
    <t>26655</t>
  </si>
  <si>
    <t>80394</t>
  </si>
  <si>
    <t>23578</t>
  </si>
  <si>
    <t>74964</t>
  </si>
  <si>
    <t>74965</t>
  </si>
  <si>
    <t>77135</t>
  </si>
  <si>
    <t>78743</t>
  </si>
  <si>
    <t>78916</t>
  </si>
  <si>
    <t>79784</t>
  </si>
  <si>
    <t>80171</t>
  </si>
  <si>
    <t>80243</t>
  </si>
  <si>
    <t>80254</t>
  </si>
  <si>
    <t>81006</t>
  </si>
  <si>
    <t>81007</t>
  </si>
  <si>
    <t>82158</t>
  </si>
  <si>
    <t>83473</t>
  </si>
  <si>
    <t>83888</t>
  </si>
  <si>
    <t>85159</t>
  </si>
  <si>
    <t>85160</t>
  </si>
  <si>
    <t>85421</t>
  </si>
  <si>
    <t>85444</t>
  </si>
  <si>
    <t>20365</t>
  </si>
  <si>
    <t>20320</t>
  </si>
  <si>
    <t>67546</t>
  </si>
  <si>
    <t>HANDGARDS</t>
  </si>
  <si>
    <t>Interplast</t>
  </si>
  <si>
    <t>Novoflex (Bagcraft)</t>
  </si>
  <si>
    <t>PACTIV LLC</t>
  </si>
  <si>
    <t>ESSITY</t>
  </si>
  <si>
    <t>RJ SCHINNER CO INC.</t>
  </si>
  <si>
    <t>R-3 INDIANAPOLIS</t>
  </si>
  <si>
    <t>HERITAGE BAG COMPANY</t>
  </si>
  <si>
    <t>NORPAK</t>
  </si>
  <si>
    <t>HANDI-FOIL OF AMERICA</t>
  </si>
  <si>
    <t>201111 - CHIPS KETTLE ZESTY JALAPENO 64/1.375OZ</t>
  </si>
  <si>
    <t>201112 - CHIPS KETTLE SEA SALT 64/1.375OZ</t>
  </si>
  <si>
    <t>201113 - CHIPS KETTLE MESQUITE BBQ 64/1.375OZ</t>
  </si>
  <si>
    <t>201114 - CHIPS KETTLE SW MAUI ONION 64/1.375OZ</t>
  </si>
  <si>
    <t>TM1-S1_DEV:SP_PO_Detail</t>
  </si>
  <si>
    <t>20245</t>
  </si>
  <si>
    <t>TTL Case Qty on Hand</t>
  </si>
  <si>
    <t>Case Qty on Hand</t>
  </si>
  <si>
    <t>Primary / Secondary</t>
  </si>
  <si>
    <t>FY 26</t>
  </si>
  <si>
    <t>Wk 26</t>
  </si>
  <si>
    <t>Wk 27</t>
  </si>
  <si>
    <t>221766</t>
  </si>
  <si>
    <t>221599</t>
  </si>
  <si>
    <t>221866</t>
  </si>
  <si>
    <t>221704</t>
  </si>
  <si>
    <t>221747</t>
  </si>
  <si>
    <t>221772</t>
  </si>
  <si>
    <t>221750</t>
  </si>
  <si>
    <t>221473</t>
  </si>
  <si>
    <t>221594</t>
  </si>
  <si>
    <t xml:space="preserve">12-Week Forecast </t>
  </si>
  <si>
    <t>Wk 28</t>
  </si>
  <si>
    <t>Wk 29</t>
  </si>
  <si>
    <t>100409 - HAM BI WHITE 19-21 3CT-FM</t>
  </si>
  <si>
    <t>100457 - HAM BI PURPLE 21-23 2CT-FM</t>
  </si>
  <si>
    <t>100460 - HAM BI WHITE 19-21 QTR 6CT-FM</t>
  </si>
  <si>
    <t>100504 - HAM BONELESS 6CT-FM</t>
  </si>
  <si>
    <t>110500 - TURKEY BREAST SLICED SMOKED 12CT</t>
  </si>
  <si>
    <t>110501 - TURKEY BREAST SLICED ROASTED 12CT</t>
  </si>
  <si>
    <t>120000 - PROTEIN ROAST PORK W BBQ SAUCE 6CT</t>
  </si>
  <si>
    <t>120113 - PROTEIN RIBS BABYBACK PORK W SAUCE 10CT</t>
  </si>
  <si>
    <t>120146 - PROTEIN ROAST BEEF W GRAVY 6CT</t>
  </si>
  <si>
    <t>120266 - SOUP MIX SPLIT PEA 30CT</t>
  </si>
  <si>
    <t>120267 - SOUP MIX WHITE BEAN 30CT</t>
  </si>
  <si>
    <t>120268 - SOUP MIX MIXED BEAN 30 CT</t>
  </si>
  <si>
    <t>120269 - PROTEIN BACON SWEET GLAZED 16CT</t>
  </si>
  <si>
    <t>120270 - PROTEIN BACON PEPPERED 16CT</t>
  </si>
  <si>
    <t>140253 - SIDES TUSCAN BROCCOLI 18CT</t>
  </si>
  <si>
    <t>140254 - SIDES CINNAMON APPLES 18CT</t>
  </si>
  <si>
    <t>140256 - SIDES GREEN BEAN CASSEROLE 18CT</t>
  </si>
  <si>
    <t>140258 - SIDES SWEET POTATO SOUFFLE 18CT</t>
  </si>
  <si>
    <t>140260 - SIDES POTATOES AU GRATIN 18CT</t>
  </si>
  <si>
    <t>140261 - SIDES LOADED MASHED POTATO 18CT</t>
  </si>
  <si>
    <t>140272 - SIDES BAKED BEANS 18CT</t>
  </si>
  <si>
    <t>150106 - PIE APPLE WALNUT 9" 8/42OZ</t>
  </si>
  <si>
    <t>150163 - PIE SOUTHERN PECAN 9" 12/32OZ</t>
  </si>
  <si>
    <t>150194 - CAKE CARROT 8" 6CT</t>
  </si>
  <si>
    <t>150195 - CAKE CHOCOLATE 8" 6CT</t>
  </si>
  <si>
    <t>150196 - CAKE COCONUT 8" 6CT</t>
  </si>
  <si>
    <t>150287 - CAKE RUM SAMPLER 4OZ 16CT</t>
  </si>
  <si>
    <t>150289 - DESSERT CHEESECAKE NY STYLE 6CT</t>
  </si>
  <si>
    <t>150290 - DESSERT CHEESECAKE VARIETY 6CT</t>
  </si>
  <si>
    <t>150297 - PIE PUMPKIN CINN PREBAKED 9" 12/32OZ</t>
  </si>
  <si>
    <t>150304 - CAKE CINN WALNUT COFFEE 28OZ 8CT</t>
  </si>
  <si>
    <t>150305 - CAKE BLUEBERRY COFF 28OZ 8CT</t>
  </si>
  <si>
    <t>150350 - CAKE RED VELVET 8" 6CT</t>
  </si>
  <si>
    <t>150352 - CAKE RUM CHOCOLATE 24OZ 8CT</t>
  </si>
  <si>
    <t>150355 - CAKE RUM VANILLA 24OZ 8CT</t>
  </si>
  <si>
    <t>160128 - CONDIMENT CHUTNEY CRANBERRY WALNUT 12CT</t>
  </si>
  <si>
    <t>160135 - CONDIMENT MUSTARD HONEY 12OZ BTL 12CT</t>
  </si>
  <si>
    <t>160136 - CONDIMENT MAYO HONEY MUSTARD 12OZ BTL 12CT</t>
  </si>
  <si>
    <t>160138 - CONDIMENT SAUCE HORSERADISH 12OZ BTL 12CT</t>
  </si>
  <si>
    <t>160145 - CONDIMENT MUSTARD CHAMPAGNE 12OZ BTL 12CT</t>
  </si>
  <si>
    <t>160165 - CONDIMENT SAUCE BBQ 12OZ BTL 12CT</t>
  </si>
  <si>
    <t>160204 - CONDIMENT MAYO SAVORY 12OZ BTL 12CT</t>
  </si>
  <si>
    <t>160275 - CONDIMENT MUSTARD HICKORY HONEY 12OZ BTL 12CT</t>
  </si>
  <si>
    <t>160293 - DRESSING RANCH POUCH 60/1.5OZ</t>
  </si>
  <si>
    <t>170104 - BREAD CIABATTA HOAGIE 6.5" 9CT</t>
  </si>
  <si>
    <t>170154 - BREAD MULTIGRAIN 11" 6CT</t>
  </si>
  <si>
    <t>170190 - BREAD ROLL ORIGINAL HAWAIIAN 12/12PK</t>
  </si>
  <si>
    <t>170192 - BREAD CROISSANT MED SLICED 72/2OZ</t>
  </si>
  <si>
    <t>170193 - BREAD ROLL ORIGINAL HAWAIIAN PRE-SLICED 10/24PK</t>
  </si>
  <si>
    <t>170194 - BREAD ROLL ORIGINAL HAWAIIAN 4/32PK</t>
  </si>
  <si>
    <t>170198 - BREAD KNOT ROLL 8/12PK</t>
  </si>
  <si>
    <t>170199 - BREAD ROLL DINNER WHEAT 24/6PK</t>
  </si>
  <si>
    <t>170200 - BREAD ROLL DINNER MINI EGG TWIST 24/6PK</t>
  </si>
  <si>
    <t>170201 - BREAD ROLL DINNER WHITE MTN TOP 12/12PK</t>
  </si>
  <si>
    <t>180115 - CHEESE SWISS SLICED .75OZ 6/24PK</t>
  </si>
  <si>
    <t>180168 - CONDIMENT MUSTARD HICKORY HONEY PKT 456CT</t>
  </si>
  <si>
    <t>180303 - CONDIMENT MUSTARD HICKORY HONEY 4/1GAL</t>
  </si>
  <si>
    <t>180903 - INGREDIENT DUKES RANCH BUTTERMILK 4/1GAL</t>
  </si>
  <si>
    <t>180904 - CONDIMENT SAUCE SWEET GLAZE 4/1GAL</t>
  </si>
  <si>
    <t>180905 - CONDIMENT SAUCE SWEET GLAZE PKT 500CT</t>
  </si>
  <si>
    <t>181049 - COOKIE OATMEAL RAISIN T&amp;S 72/2.4OZ</t>
  </si>
  <si>
    <t>181050 - COOKIE WHITE CHOC MAC NUT T&amp;S 72/2.4OZ</t>
  </si>
  <si>
    <t>181052 - COOKIE SNICKERDOODLE T&amp;S 72/2.4OZ</t>
  </si>
  <si>
    <t>181053 - COOKIE CHOCOLATE CHUNK T&amp;S 72/2.4OZ</t>
  </si>
  <si>
    <t>181346 - INGREDIENT BUTTER GARLIC HERB 12/6.5OZ</t>
  </si>
  <si>
    <t>182007 - SIDES DUKES COLESLAW 4/1GAL</t>
  </si>
  <si>
    <t>182010 - CONDIMENT MAYO DUKES IND 12G PKT 200CT</t>
  </si>
  <si>
    <t>182016 - INGREDIENT FRENCH FRIED ONION 6/24OZ</t>
  </si>
  <si>
    <t>182017 - INGREDIENT CRANBERRIES DRIED SWEETENED 2/48OZ</t>
  </si>
  <si>
    <t>182027 - INGREDIENT PICKLE SPICY CRINKLE SLC 1/2GAL</t>
  </si>
  <si>
    <t>182262 - COOKIE DOUGH CHOCOLATE CHIP 150/2.5OZ</t>
  </si>
  <si>
    <t>182263 - COOKIE DOUGH WHITE CHOC MAC 150/2.5OZ</t>
  </si>
  <si>
    <t>182371 - INGREDIENT DUKES HONEY MUSTARD 4/1GAL</t>
  </si>
  <si>
    <t>190102 - INGREDIENT SAVORY PIE FILLING 8/4LB</t>
  </si>
  <si>
    <t>200114 - TRAY ROUND BLACK 16" 25CT</t>
  </si>
  <si>
    <t>200115 - TRAY LID DOME ROUND CLEAR 16" 25CT</t>
  </si>
  <si>
    <t>200116 - TRAY ROUND BLACK 18" 25CT</t>
  </si>
  <si>
    <t>200117 - TRAY LID DOME ROUND CLEAR 18" 25CT</t>
  </si>
  <si>
    <t>200133 - FOIL HAM WRAP 24X24 300CT</t>
  </si>
  <si>
    <t>200162 - BAG HAM BONE 500CT</t>
  </si>
  <si>
    <t>200169 - FOIL HAM BNLS WHITE WRAP20X24 300CT</t>
  </si>
  <si>
    <t>200240 - BAG LARGE 21X10.5X30 300CT</t>
  </si>
  <si>
    <t>200241 - BAG MEDIUM 12X8X20 1000CT</t>
  </si>
  <si>
    <t>200242 - BAG SMALL 9X6X20 1000CT</t>
  </si>
  <si>
    <t>200446 - TRAY ROUND BLACK 12" 25CT</t>
  </si>
  <si>
    <t>200447 - TRAY LID DOME ROUND CLEAR 12" 25CT</t>
  </si>
  <si>
    <t>200448 - BOWL ROUND 80OZ BLACK 10" 25CT</t>
  </si>
  <si>
    <t>200451 - UTENSIL TONG PLASTIC BLACK 9" 48CT</t>
  </si>
  <si>
    <t>200572 - BAG BY THE SLICE 700CT</t>
  </si>
  <si>
    <t>200589 - PROTEIN CHICKEN WHT FRZN COOKED BNLS SKNL LOW SOD PULL 2/5LB</t>
  </si>
  <si>
    <t>200596 - TRAY LID RECTANGLE LARGE CLEAR 13X7.5 150/68OZ</t>
  </si>
  <si>
    <t>200597 - TRAY RECTANGLE LARGE BLACK 150/68OZ</t>
  </si>
  <si>
    <t>200663 - TRAY OVAL BLACK 8x11 125/4PK</t>
  </si>
  <si>
    <t>200667 - BAG SANDWICH SADDLE PK 6.5X7" 200CT</t>
  </si>
  <si>
    <t>200677 - FILM WRAP CUTTER BOX 12"X2000LF</t>
  </si>
  <si>
    <t>200693 - BOWL SQUARE 32OZ CLEAR W/LID 7.5" 300CT</t>
  </si>
  <si>
    <t>205001 - INGREDIENT HAM DRESSING SEASONING 50LB</t>
  </si>
  <si>
    <t>910355 - CONTAINER TURKEY TUB HINGED SQUARE 10X10 148CT</t>
  </si>
  <si>
    <t>910374 - PAPER REGISTER ROLL THRML 3.125" 50CT</t>
  </si>
  <si>
    <t>910395 - PROTEIN BACON PRECOOKED THICK 7" 2CT</t>
  </si>
  <si>
    <t>910458 - PAD SOAKER 6.25X7 1000CT</t>
  </si>
  <si>
    <t>160299 - DRESSING RANCH 12G PKT 200CT</t>
  </si>
  <si>
    <t>180269 - CHEESE MILD CHEDDAR .75OZ 6/24PK</t>
  </si>
  <si>
    <t>181419 - INGREDIENT POTATO DCD 102OZ 6CT</t>
  </si>
  <si>
    <t>182265 - COOKIE DOUGH OATMEAL RAISIN 150/2.5OZ</t>
  </si>
  <si>
    <t>200704 - PAPER WRAP SANDWICH LOGO 15X15 3000CT</t>
  </si>
  <si>
    <t>100407 - HAM BI BROWN 13-17 4CT-FM</t>
  </si>
  <si>
    <t>100408 - HAM BI RED 17-19 3CT-FM</t>
  </si>
  <si>
    <t>200450 - UTENSIL SPOON SERVING BLACK 9" 144CT</t>
  </si>
  <si>
    <t>20202</t>
  </si>
  <si>
    <t>222009</t>
  </si>
  <si>
    <t>221891</t>
  </si>
  <si>
    <t>221952</t>
  </si>
  <si>
    <t>221893</t>
  </si>
  <si>
    <t>221928</t>
  </si>
  <si>
    <t>221954</t>
  </si>
  <si>
    <t>221898</t>
  </si>
  <si>
    <t>222015</t>
  </si>
  <si>
    <t>221889</t>
  </si>
  <si>
    <t>110101 - TURKEY WHOLE SMOKED 4CT</t>
  </si>
  <si>
    <t>110102 - TURKEY WHOLE ROASTED 4CT</t>
  </si>
  <si>
    <t>110403 - TURKEY WHOLE CAJUN 4CT</t>
  </si>
  <si>
    <t>120101 - Beef Prime Rib 6lb 3CT</t>
  </si>
  <si>
    <t>120276 - SOUP BROCCOLI &amp; CHEDDAR 8CT</t>
  </si>
  <si>
    <t>120278 - SOUP CHICKEN NOODLE 8CT</t>
  </si>
  <si>
    <t>140255 - SIDES CORNBREAD DRESSING 18CT</t>
  </si>
  <si>
    <t>140262 - SIDES TURKEY GRAVY 18CT</t>
  </si>
  <si>
    <t>140273 - SIDES MACARONI &amp; CHEESE 18CT</t>
  </si>
  <si>
    <t>160294 - DRESSING BALSAMIC VINAIGRETTE PKT 60/1.5OZ</t>
  </si>
  <si>
    <t>160295 - DRESSING BLUE CHEESE PKT 60/1.5OZ</t>
  </si>
  <si>
    <t>160297 - DRESSING FRENCH CREAMY PKT 60/1.5OZ</t>
  </si>
  <si>
    <t>160298 - DRESSING ITALIAN GOLDEN PKT 60/1.5OZ</t>
  </si>
  <si>
    <t>160300 - DRESSING 1000 ISLAND PKT 60/1.5OZ</t>
  </si>
  <si>
    <t>160302 - CONDIMENT MUSTARD PACKETS FANCY 4.5G PKT 500CT</t>
  </si>
  <si>
    <t>170202 - BREAD WRAP GF 13.76OZ 12CT</t>
  </si>
  <si>
    <t>181171 - SOUP BAKED POTATO 8CT</t>
  </si>
  <si>
    <t>181381 - INGREDIENT SEASONING ROTISSERIE CHICKEN 6/24OZ</t>
  </si>
  <si>
    <t>182019 - INGREDIENT CROUTONS SWEET CORNBREAD 4/2.5LB</t>
  </si>
  <si>
    <t>200105 - BOX B2B HAM MULTI 20CT</t>
  </si>
  <si>
    <t>200170 - FOIL HAM PORTION WHTWRAP20X12 300CT</t>
  </si>
  <si>
    <t>200412 - BOX LUNCH LOGO PRINT 250CT</t>
  </si>
  <si>
    <t>200439 - FOIL XTRA HEAVY DUTY 24X500LF</t>
  </si>
  <si>
    <t>200449 - BOWL LID FLAT ROUND 80OZ CLEAR 10" 25CT</t>
  </si>
  <si>
    <t>200456 - BAG CLEAR POLY 15.5X24 500CT</t>
  </si>
  <si>
    <t>200479 - BOX B2B HAM HALF 50CT</t>
  </si>
  <si>
    <t>200480 - BOX B2B HAM WHOLE 50CT</t>
  </si>
  <si>
    <t>200481 - BOX B2B TURKEY 50CT</t>
  </si>
  <si>
    <t>200486 - BOWL ROUND 48OZ BLACK 9" 50CT</t>
  </si>
  <si>
    <t>200576 - CUP 20OZ LOGO 1000CT</t>
  </si>
  <si>
    <t>200577 - CUP LID 20OZ 1000CT</t>
  </si>
  <si>
    <t>200599 - BOWL LID DOME ROUND 48OZ CLEAR 9" 200CT</t>
  </si>
  <si>
    <t>200646 - GEL PAK AMBIENT 18/2LB</t>
  </si>
  <si>
    <t>200649 - BREAD BISCUIT CONESTOGA BTRMLK 1.8OZ 210CT</t>
  </si>
  <si>
    <t>200679 - BAG PAPER WHITE 12# 500CT</t>
  </si>
  <si>
    <t>200682 - FILM WRAP CUTTER BOX 24"X2000LF</t>
  </si>
  <si>
    <t>200689 - BREAD DOUGH BATARD FRENCH 19" 24CT</t>
  </si>
  <si>
    <t>200691 - BOWL SQUARE 24OZ CLEAR W/LID 7.5" 300CT</t>
  </si>
  <si>
    <t>205002 - INGREDIENT SUGAR GRANULATED CANE 50LB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</si>
</sst>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_);[Red]\(0\)"/>
  </numFmts>
  <fonts count="2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0.5"/>
      <color rgb="FF165D81"/>
      <name val="Calibri"/>
      <family val="2"/>
    </font>
    <font>
      <b/>
      <sz val="10.5"/>
      <color theme="1" tint="0.24994659260841701"/>
      <name val="Calibri"/>
      <family val="2"/>
    </font>
    <font>
      <b/>
      <sz val="10.5"/>
      <color theme="1" tint="0.34998626667073579"/>
      <name val="Calibri"/>
      <family val="2"/>
    </font>
    <font>
      <b/>
      <sz val="10.5"/>
      <color theme="4"/>
      <name val="Calibri"/>
      <family val="2"/>
    </font>
    <font>
      <b/>
      <sz val="10.5"/>
      <color theme="7"/>
      <name val="Calibri"/>
      <family val="2"/>
    </font>
    <font>
      <b/>
      <sz val="10.5"/>
      <color theme="5" tint="0.39994506668294322"/>
      <name val="Calibri"/>
      <family val="2"/>
    </font>
    <font>
      <b/>
      <sz val="10.5"/>
      <color rgb="FF336577"/>
      <name val="Calibri"/>
      <family val="2"/>
    </font>
    <font>
      <b/>
      <sz val="10.5"/>
      <color theme="6" tint="-0.24994659260841701"/>
      <name val="Calibri"/>
      <family val="2"/>
    </font>
    <font>
      <b/>
      <sz val="10.5"/>
      <color theme="3" tint="0.39994506668294322"/>
      <name val="Calibri"/>
      <family val="2"/>
    </font>
    <font>
      <b/>
      <sz val="11"/>
      <color theme="8"/>
      <name val="Aptos Narrow"/>
      <family val="2"/>
      <scheme val="minor"/>
    </font>
    <font>
      <b/>
      <sz val="10.5"/>
      <color rgb="FF0070C0"/>
      <name val="Calibri"/>
      <family val="2"/>
    </font>
    <font>
      <b/>
      <sz val="14"/>
      <color rgb="FF0070C0"/>
      <name val="Calibri"/>
      <family val="2"/>
    </font>
    <font>
      <b/>
      <sz val="14"/>
      <color indexed="30"/>
      <name val="Calibri"/>
      <family val="2"/>
    </font>
    <font>
      <i/>
      <sz val="11"/>
      <color rgb="FFFF0000"/>
      <name val="Aptos Narrow"/>
      <family val="2"/>
      <scheme val="minor"/>
    </font>
    <font>
      <sz val="10.5"/>
      <color theme="1" tint="0.24994659260841701"/>
      <name val="Calibri"/>
      <family val="2"/>
    </font>
    <font>
      <sz val="11"/>
      <color rgb="FF0070C0"/>
      <name val="Aptos Narrow"/>
      <family val="2"/>
      <scheme val="minor"/>
    </font>
    <font>
      <sz val="10.5"/>
      <color rgb="FF0070C0"/>
      <name val="Calibri"/>
      <family val="2"/>
    </font>
    <font>
      <sz val="9"/>
      <color rgb="FF0070C0"/>
      <name val="Aptos Narrow"/>
      <family val="2"/>
      <scheme val="minor"/>
    </font>
    <font>
      <sz val="10.5"/>
      <color rgb="FF165D81"/>
      <name val="Calibri"/>
      <family val="2"/>
    </font>
    <font>
      <sz val="11"/>
      <color theme="8"/>
      <name val="Aptos Narrow"/>
      <family val="2"/>
      <scheme val="minor"/>
    </font>
    <font>
      <b/>
      <i/>
      <sz val="14"/>
      <color rgb="FF0070C0"/>
      <name val="Aptos Narrow"/>
      <family val="2"/>
      <scheme val="minor"/>
    </font>
    <font>
      <b/>
      <sz val="12"/>
      <color rgb="FF0070C0"/>
      <name val="Calibri"/>
      <family val="2"/>
    </font>
    <font>
      <i/>
      <sz val="10.5"/>
      <color theme="1" tint="0.24994659260841701"/>
      <name val="Arial"/>
      <family val="2"/>
    </font>
    <font>
      <b/>
      <i/>
      <sz val="16"/>
      <color rgb="FF0070C0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BED7A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EFBE6"/>
        <bgColor indexed="64"/>
      </patternFill>
    </fill>
    <fill>
      <patternFill patternType="solid">
        <fgColor rgb="FFF4F4F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25">
    <border>
      <left/>
      <right/>
      <top/>
      <bottom/>
      <diagonal/>
    </border>
    <border>
      <left style="medium">
        <color theme="0" tint="-0.24994659260841701"/>
      </left>
      <right style="medium">
        <color theme="0" tint="-0.24994659260841701"/>
      </right>
      <top style="medium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medium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dotted">
        <color rgb="FF3BAB5A"/>
      </left>
      <right style="dotted">
        <color rgb="FF3BAB5A"/>
      </right>
      <top style="dotted">
        <color rgb="FF3BAB5A"/>
      </top>
      <bottom style="dotted">
        <color rgb="FF3BAB5A"/>
      </bottom>
      <diagonal/>
    </border>
    <border>
      <left style="dotted">
        <color rgb="FFA8A8A8"/>
      </left>
      <right style="dotted">
        <color rgb="FFA8A8A8"/>
      </right>
      <top style="dotted">
        <color rgb="FFA8A8A8"/>
      </top>
      <bottom style="dotted">
        <color rgb="FFA8A8A8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24994659260841701"/>
      </left>
      <right style="medium">
        <color theme="0" tint="-0.24994659260841701"/>
      </right>
      <top/>
      <bottom/>
      <diagonal/>
    </border>
    <border>
      <left/>
      <right/>
      <top/>
      <bottom style="medium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 tint="-0.24994659260841701"/>
      </left>
      <right/>
      <top/>
      <bottom style="medium">
        <color theme="0" tint="-0.24994659260841701"/>
      </bottom>
      <diagonal/>
    </border>
    <border>
      <left/>
      <right style="medium">
        <color theme="0" tint="-0.24994659260841701"/>
      </right>
      <top/>
      <bottom style="medium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theme="0" tint="-0.24994659260841701"/>
      </left>
      <right/>
      <top/>
      <bottom/>
      <diagonal/>
    </border>
    <border>
      <left style="medium">
        <color theme="0" tint="-0.24994659260841701"/>
      </left>
      <right style="medium">
        <color theme="0" tint="-0.24994659260841701"/>
      </right>
      <top/>
      <bottom/>
      <diagonal/>
    </border>
    <border>
      <left style="medium">
        <color theme="0" tint="-0.24994659260841701"/>
      </left>
      <right/>
      <top style="thin">
        <color indexed="64"/>
      </top>
      <bottom style="medium">
        <color theme="0" tint="-0.24994659260841701"/>
      </bottom>
      <diagonal/>
    </border>
    <border>
      <left/>
      <right style="medium">
        <color theme="0" tint="-0.24994659260841701"/>
      </right>
      <top style="thin">
        <color indexed="64"/>
      </top>
      <bottom style="medium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theme="0" tint="-0.24994659260841701"/>
      </bottom>
      <diagonal/>
    </border>
  </borders>
  <cellStyleXfs count="76">
    <xf numFmtId="0" fontId="0" fillId="0" borderId="0"/>
    <xf numFmtId="0" fontId="2" fillId="0" borderId="1" applyNumberFormat="0" applyFill="0" applyProtection="0">
      <alignment horizontal="center" vertical="center"/>
    </xf>
    <xf numFmtId="3" fontId="3" fillId="0" borderId="2" applyFont="0" applyFill="0" applyAlignment="0" applyProtection="0"/>
    <xf numFmtId="3" fontId="3" fillId="0" borderId="2" applyFont="0" applyFill="0" applyAlignment="0" applyProtection="0"/>
    <xf numFmtId="3" fontId="3" fillId="0" borderId="2" applyFont="0" applyFill="0" applyAlignment="0" applyProtection="0"/>
    <xf numFmtId="3" fontId="3" fillId="0" borderId="2" applyFont="0" applyFill="0" applyAlignment="0" applyProtection="0"/>
    <xf numFmtId="3" fontId="3" fillId="0" borderId="2" applyFont="0" applyFill="0" applyAlignment="0" applyProtection="0"/>
    <xf numFmtId="3" fontId="3" fillId="0" borderId="2" applyFont="0" applyFill="0" applyAlignment="0" applyProtection="0"/>
    <xf numFmtId="3" fontId="3" fillId="0" borderId="2" applyFont="0" applyFill="0" applyAlignment="0" applyProtection="0"/>
    <xf numFmtId="3" fontId="3" fillId="0" borderId="2" applyFont="0" applyFill="0" applyAlignment="0" applyProtection="0"/>
    <xf numFmtId="3" fontId="2" fillId="0" borderId="1" applyNumberFormat="0" applyFill="0" applyAlignment="0" applyProtection="0"/>
    <xf numFmtId="0" fontId="2" fillId="0" borderId="1" applyNumberFormat="0" applyFill="0" applyAlignment="0" applyProtection="0"/>
    <xf numFmtId="3" fontId="2" fillId="0" borderId="1" applyNumberFormat="0" applyFill="0" applyAlignment="0" applyProtection="0"/>
    <xf numFmtId="0" fontId="2" fillId="0" borderId="1" applyNumberFormat="0" applyFill="0" applyAlignment="0" applyProtection="0"/>
    <xf numFmtId="0" fontId="2" fillId="0" borderId="1" applyNumberFormat="0" applyFill="0" applyAlignment="0" applyProtection="0"/>
    <xf numFmtId="0" fontId="2" fillId="0" borderId="1" applyNumberFormat="0" applyFill="0" applyAlignment="0" applyProtection="0"/>
    <xf numFmtId="0" fontId="2" fillId="0" borderId="1" applyNumberFormat="0" applyFill="0" applyAlignment="0" applyProtection="0"/>
    <xf numFmtId="0" fontId="2" fillId="0" borderId="1" applyNumberFormat="0" applyFill="0" applyAlignment="0" applyProtection="0"/>
    <xf numFmtId="3" fontId="3" fillId="0" borderId="0" applyNumberFormat="0" applyBorder="0" applyAlignment="0" applyProtection="0"/>
    <xf numFmtId="3" fontId="3" fillId="0" borderId="0" applyNumberFormat="0" applyBorder="0" applyAlignment="0" applyProtection="0"/>
    <xf numFmtId="3" fontId="3" fillId="0" borderId="0" applyNumberFormat="0" applyBorder="0" applyAlignment="0" applyProtection="0"/>
    <xf numFmtId="3" fontId="3" fillId="0" borderId="0" applyNumberFormat="0" applyBorder="0" applyAlignment="0" applyProtection="0"/>
    <xf numFmtId="3" fontId="3" fillId="0" borderId="0" applyNumberFormat="0" applyBorder="0" applyAlignment="0" applyProtection="0"/>
    <xf numFmtId="3" fontId="3" fillId="0" borderId="2" applyNumberFormat="0" applyBorder="0" applyAlignment="0" applyProtection="0"/>
    <xf numFmtId="3" fontId="3" fillId="0" borderId="2" applyNumberFormat="0" applyBorder="0" applyAlignment="0" applyProtection="0"/>
    <xf numFmtId="3" fontId="3" fillId="0" borderId="2" applyNumberFormat="0" applyBorder="0" applyAlignment="0" applyProtection="0"/>
    <xf numFmtId="0" fontId="3" fillId="0" borderId="2" applyNumberFormat="0" applyFill="0" applyAlignment="0" applyProtection="0"/>
    <xf numFmtId="0" fontId="3" fillId="0" borderId="2" applyNumberFormat="0" applyFill="0" applyAlignment="0" applyProtection="0"/>
    <xf numFmtId="0" fontId="3" fillId="0" borderId="2">
      <alignment horizontal="right" vertical="center"/>
    </xf>
    <xf numFmtId="3" fontId="3" fillId="2" borderId="2">
      <alignment horizontal="center" vertical="center"/>
    </xf>
    <xf numFmtId="0" fontId="3" fillId="2" borderId="2">
      <alignment horizontal="right" vertical="center"/>
    </xf>
    <xf numFmtId="0" fontId="2" fillId="0" borderId="3">
      <alignment horizontal="left" vertical="center"/>
    </xf>
    <xf numFmtId="0" fontId="2" fillId="0" borderId="4">
      <alignment horizontal="center" vertical="center"/>
    </xf>
    <xf numFmtId="0" fontId="4" fillId="0" borderId="5">
      <alignment horizontal="center" vertical="center"/>
    </xf>
    <xf numFmtId="0" fontId="3" fillId="3" borderId="2"/>
    <xf numFmtId="3" fontId="2" fillId="0" borderId="1" applyFill="0" applyAlignment="0" applyProtection="0"/>
    <xf numFmtId="3" fontId="2" fillId="0" borderId="1" applyFill="0" applyAlignment="0" applyProtection="0"/>
    <xf numFmtId="3" fontId="2" fillId="0" borderId="1" applyFill="0" applyAlignment="0" applyProtection="0"/>
    <xf numFmtId="3" fontId="2" fillId="0" borderId="1" applyFill="0" applyAlignment="0" applyProtection="0"/>
    <xf numFmtId="0" fontId="2" fillId="0" borderId="1" applyFill="0" applyAlignment="0" applyProtection="0"/>
    <xf numFmtId="3" fontId="2" fillId="0" borderId="1" applyFill="0" applyAlignment="0" applyProtection="0"/>
    <xf numFmtId="0" fontId="2" fillId="0" borderId="4">
      <alignment horizontal="center" vertical="center"/>
    </xf>
    <xf numFmtId="0" fontId="2" fillId="0" borderId="4">
      <alignment horizontal="center" vertical="center"/>
    </xf>
    <xf numFmtId="3" fontId="3" fillId="0" borderId="2" applyFill="0" applyAlignment="0" applyProtection="0"/>
    <xf numFmtId="0" fontId="3" fillId="0" borderId="2" applyFill="0" applyAlignment="0" applyProtection="0"/>
    <xf numFmtId="3" fontId="2" fillId="4" borderId="6" applyNumberFormat="0" applyFont="0" applyAlignment="0" applyProtection="0"/>
    <xf numFmtId="0" fontId="1" fillId="5" borderId="7" applyNumberFormat="0" applyFont="0" applyAlignment="0" applyProtection="0"/>
    <xf numFmtId="0" fontId="2" fillId="0" borderId="1" applyFill="0" applyAlignment="0" applyProtection="0"/>
    <xf numFmtId="3" fontId="2" fillId="0" borderId="1" applyFill="0" applyAlignment="0" applyProtection="0"/>
    <xf numFmtId="0" fontId="2" fillId="0" borderId="1" applyFill="0" applyAlignment="0" applyProtection="0"/>
    <xf numFmtId="0" fontId="2" fillId="0" borderId="1" applyFill="0" applyAlignment="0" applyProtection="0"/>
    <xf numFmtId="0" fontId="2" fillId="0" borderId="1" applyFill="0" applyAlignment="0" applyProtection="0"/>
    <xf numFmtId="0" fontId="2" fillId="0" borderId="1" applyFill="0" applyAlignment="0" applyProtection="0"/>
    <xf numFmtId="0" fontId="2" fillId="0" borderId="3">
      <alignment horizontal="left" vertical="center"/>
    </xf>
    <xf numFmtId="3" fontId="2" fillId="0" borderId="1" applyFill="0" applyAlignment="0" applyProtection="0"/>
    <xf numFmtId="3" fontId="5" fillId="0" borderId="2"/>
    <xf numFmtId="3" fontId="6" fillId="0" borderId="2"/>
    <xf numFmtId="0" fontId="2" fillId="0" borderId="4">
      <alignment horizontal="left" vertical="top"/>
    </xf>
    <xf numFmtId="0" fontId="7" fillId="0" borderId="2"/>
    <xf numFmtId="0" fontId="2" fillId="0" borderId="4">
      <alignment horizontal="left" vertical="center"/>
    </xf>
    <xf numFmtId="0" fontId="3" fillId="2" borderId="8"/>
    <xf numFmtId="3" fontId="3" fillId="0" borderId="2">
      <alignment horizontal="right" vertical="center"/>
    </xf>
    <xf numFmtId="0" fontId="2" fillId="0" borderId="4">
      <alignment horizontal="right" vertical="center"/>
    </xf>
    <xf numFmtId="0" fontId="3" fillId="0" borderId="5">
      <alignment horizontal="center" vertical="center"/>
    </xf>
    <xf numFmtId="3" fontId="3" fillId="0" borderId="2"/>
    <xf numFmtId="3" fontId="3" fillId="0" borderId="2"/>
    <xf numFmtId="0" fontId="3" fillId="0" borderId="5">
      <alignment horizontal="center" vertical="center" wrapText="1"/>
    </xf>
    <xf numFmtId="0" fontId="8" fillId="0" borderId="5">
      <alignment horizontal="left" vertical="center" indent="1"/>
    </xf>
    <xf numFmtId="0" fontId="9" fillId="0" borderId="2"/>
    <xf numFmtId="0" fontId="2" fillId="0" borderId="3">
      <alignment horizontal="left" vertical="center"/>
    </xf>
    <xf numFmtId="3" fontId="3" fillId="0" borderId="2">
      <alignment horizontal="center" vertical="center"/>
    </xf>
    <xf numFmtId="0" fontId="2" fillId="0" borderId="4">
      <alignment horizontal="center" vertical="center"/>
    </xf>
    <xf numFmtId="0" fontId="2" fillId="0" borderId="4">
      <alignment horizontal="center" vertical="center"/>
    </xf>
    <xf numFmtId="0" fontId="2" fillId="0" borderId="3">
      <alignment horizontal="left" vertical="center"/>
    </xf>
    <xf numFmtId="0" fontId="2" fillId="0" borderId="3">
      <alignment horizontal="left" vertical="center"/>
    </xf>
    <xf numFmtId="0" fontId="10" fillId="0" borderId="2"/>
  </cellStyleXfs>
  <cellXfs count="184">
    <xf numFmtId="0" fontId="0" fillId="0" borderId="0" xfId="0"/>
    <xf numFmtId="0" fontId="0" fillId="0" borderId="0" xfId="0" quotePrefix="1"/>
    <xf numFmtId="0" fontId="3" fillId="0" borderId="0" xfId="19" applyNumberFormat="1"/>
    <xf numFmtId="0" fontId="2" fillId="0" borderId="1" xfId="11" applyNumberFormat="1"/>
    <xf numFmtId="3" fontId="3" fillId="0" borderId="2" xfId="3"/>
    <xf numFmtId="0" fontId="3" fillId="0" borderId="0" xfId="20" applyNumberFormat="1"/>
    <xf numFmtId="0" fontId="2" fillId="0" borderId="1" xfId="12" applyNumberFormat="1"/>
    <xf numFmtId="3" fontId="3" fillId="0" borderId="2" xfId="4"/>
    <xf numFmtId="0" fontId="3" fillId="0" borderId="0" xfId="21" applyNumberFormat="1"/>
    <xf numFmtId="0" fontId="2" fillId="0" borderId="1" xfId="13" applyNumberFormat="1"/>
    <xf numFmtId="3" fontId="3" fillId="0" borderId="2" xfId="5"/>
    <xf numFmtId="0" fontId="3" fillId="0" borderId="0" xfId="22" applyNumberFormat="1"/>
    <xf numFmtId="0" fontId="2" fillId="0" borderId="1" xfId="14" applyNumberFormat="1"/>
    <xf numFmtId="3" fontId="3" fillId="0" borderId="2" xfId="6"/>
    <xf numFmtId="0" fontId="3" fillId="0" borderId="0" xfId="23" applyNumberFormat="1" applyBorder="1"/>
    <xf numFmtId="0" fontId="2" fillId="0" borderId="1" xfId="15" applyNumberFormat="1"/>
    <xf numFmtId="3" fontId="3" fillId="0" borderId="2" xfId="7"/>
    <xf numFmtId="0" fontId="3" fillId="0" borderId="0" xfId="24" applyNumberFormat="1" applyBorder="1"/>
    <xf numFmtId="0" fontId="2" fillId="0" borderId="1" xfId="16" applyNumberFormat="1"/>
    <xf numFmtId="3" fontId="3" fillId="0" borderId="2" xfId="8"/>
    <xf numFmtId="0" fontId="3" fillId="0" borderId="0" xfId="18" applyNumberFormat="1"/>
    <xf numFmtId="0" fontId="2" fillId="0" borderId="1" xfId="10" applyNumberFormat="1"/>
    <xf numFmtId="3" fontId="3" fillId="0" borderId="2" xfId="2"/>
    <xf numFmtId="0" fontId="3" fillId="0" borderId="0" xfId="25" applyNumberFormat="1" applyBorder="1"/>
    <xf numFmtId="0" fontId="2" fillId="0" borderId="1" xfId="17" applyNumberFormat="1"/>
    <xf numFmtId="3" fontId="3" fillId="0" borderId="2" xfId="9"/>
    <xf numFmtId="0" fontId="3" fillId="0" borderId="2" xfId="27" quotePrefix="1"/>
    <xf numFmtId="0" fontId="3" fillId="0" borderId="2" xfId="26"/>
    <xf numFmtId="49" fontId="2" fillId="0" borderId="1" xfId="17" applyNumberFormat="1" applyAlignment="1"/>
    <xf numFmtId="0" fontId="0" fillId="0" borderId="0" xfId="0" applyAlignment="1">
      <alignment wrapText="1"/>
    </xf>
    <xf numFmtId="0" fontId="2" fillId="6" borderId="1" xfId="1" quotePrefix="1" applyFill="1" applyAlignment="1">
      <alignment horizontal="center" vertical="center" wrapText="1"/>
    </xf>
    <xf numFmtId="0" fontId="2" fillId="8" borderId="1" xfId="1" quotePrefix="1" applyFill="1" applyAlignment="1">
      <alignment horizontal="center" vertical="center" wrapText="1"/>
    </xf>
    <xf numFmtId="3" fontId="3" fillId="9" borderId="2" xfId="3" applyFill="1"/>
    <xf numFmtId="3" fontId="3" fillId="9" borderId="2" xfId="4" applyFill="1"/>
    <xf numFmtId="3" fontId="3" fillId="9" borderId="2" xfId="5" applyFill="1"/>
    <xf numFmtId="3" fontId="3" fillId="9" borderId="2" xfId="6" applyFill="1"/>
    <xf numFmtId="3" fontId="3" fillId="9" borderId="2" xfId="7" applyFill="1"/>
    <xf numFmtId="3" fontId="3" fillId="9" borderId="2" xfId="8" applyFill="1"/>
    <xf numFmtId="3" fontId="3" fillId="9" borderId="2" xfId="2" applyFill="1"/>
    <xf numFmtId="3" fontId="3" fillId="9" borderId="2" xfId="9" applyFill="1"/>
    <xf numFmtId="3" fontId="0" fillId="0" borderId="0" xfId="0" applyNumberFormat="1"/>
    <xf numFmtId="3" fontId="3" fillId="0" borderId="9" xfId="3" applyFill="1" applyBorder="1"/>
    <xf numFmtId="3" fontId="3" fillId="0" borderId="9" xfId="4" applyFill="1" applyBorder="1"/>
    <xf numFmtId="3" fontId="3" fillId="0" borderId="9" xfId="5" applyFill="1" applyBorder="1"/>
    <xf numFmtId="3" fontId="3" fillId="0" borderId="9" xfId="6" applyFill="1" applyBorder="1"/>
    <xf numFmtId="3" fontId="3" fillId="0" borderId="9" xfId="7" applyFill="1" applyBorder="1"/>
    <xf numFmtId="3" fontId="3" fillId="0" borderId="9" xfId="8" applyFill="1" applyBorder="1"/>
    <xf numFmtId="3" fontId="3" fillId="0" borderId="9" xfId="2" applyFill="1" applyBorder="1"/>
    <xf numFmtId="3" fontId="3" fillId="0" borderId="9" xfId="9" applyFill="1" applyBorder="1"/>
    <xf numFmtId="0" fontId="12" fillId="0" borderId="18" xfId="1" quotePrefix="1" applyFont="1" applyFill="1" applyBorder="1">
      <alignment horizontal="center" vertical="center"/>
    </xf>
    <xf numFmtId="0" fontId="2" fillId="0" borderId="19" xfId="1" quotePrefix="1" applyFill="1" applyBorder="1" applyAlignment="1">
      <alignment horizontal="center" vertical="center" wrapText="1"/>
    </xf>
    <xf numFmtId="0" fontId="3" fillId="0" borderId="17" xfId="27" quotePrefix="1" applyBorder="1" applyAlignment="1">
      <alignment horizontal="right"/>
    </xf>
    <xf numFmtId="0" fontId="3" fillId="0" borderId="17" xfId="27" applyFill="1" applyBorder="1" applyAlignment="1">
      <alignment horizontal="right"/>
    </xf>
    <xf numFmtId="0" fontId="3" fillId="0" borderId="17" xfId="27" quotePrefix="1" applyBorder="1" applyAlignment="1">
      <alignment horizontal="right" wrapText="1"/>
    </xf>
    <xf numFmtId="164" fontId="3" fillId="0" borderId="2" xfId="3" applyNumberFormat="1"/>
    <xf numFmtId="164" fontId="0" fillId="0" borderId="0" xfId="0" applyNumberFormat="1"/>
    <xf numFmtId="164" fontId="0" fillId="0" borderId="0" xfId="0" quotePrefix="1" applyNumberFormat="1"/>
    <xf numFmtId="164" fontId="2" fillId="8" borderId="1" xfId="1" quotePrefix="1" applyNumberFormat="1" applyFill="1" applyAlignment="1">
      <alignment horizontal="center" vertical="center" wrapText="1"/>
    </xf>
    <xf numFmtId="3" fontId="3" fillId="0" borderId="2" xfId="3" applyFill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4" fillId="0" borderId="0" xfId="0" applyFont="1" applyAlignment="1">
      <alignment vertical="center"/>
    </xf>
    <xf numFmtId="0" fontId="2" fillId="8" borderId="1" xfId="1" quotePrefix="1" applyFill="1">
      <alignment horizontal="center" vertical="center"/>
    </xf>
    <xf numFmtId="0" fontId="2" fillId="8" borderId="1" xfId="1" quotePrefix="1" applyFill="1" applyAlignment="1">
      <alignment horizontal="left" vertical="center"/>
    </xf>
    <xf numFmtId="3" fontId="3" fillId="8" borderId="2" xfId="3" applyFill="1"/>
    <xf numFmtId="0" fontId="15" fillId="0" borderId="0" xfId="0" applyFont="1"/>
    <xf numFmtId="0" fontId="17" fillId="10" borderId="0" xfId="0" applyFont="1" applyFill="1"/>
    <xf numFmtId="0" fontId="17" fillId="10" borderId="0" xfId="0" quotePrefix="1" applyFont="1" applyFill="1"/>
    <xf numFmtId="0" fontId="17" fillId="10" borderId="11" xfId="0" applyFont="1" applyFill="1" applyBorder="1" applyAlignment="1">
      <alignment horizontal="center"/>
    </xf>
    <xf numFmtId="164" fontId="17" fillId="10" borderId="11" xfId="0" applyNumberFormat="1" applyFont="1" applyFill="1" applyBorder="1" applyAlignment="1">
      <alignment horizontal="center"/>
    </xf>
    <xf numFmtId="0" fontId="17" fillId="10" borderId="17" xfId="0" applyFont="1" applyFill="1" applyBorder="1" applyAlignment="1">
      <alignment horizontal="center"/>
    </xf>
    <xf numFmtId="0" fontId="17" fillId="10" borderId="0" xfId="0" quotePrefix="1" applyFont="1" applyFill="1" applyAlignment="1">
      <alignment wrapText="1"/>
    </xf>
    <xf numFmtId="0" fontId="17" fillId="10" borderId="0" xfId="0" applyFont="1" applyFill="1" applyAlignment="1">
      <alignment wrapText="1"/>
    </xf>
    <xf numFmtId="0" fontId="17" fillId="10" borderId="11" xfId="0" applyFont="1" applyFill="1" applyBorder="1" applyAlignment="1">
      <alignment horizontal="center" wrapText="1"/>
    </xf>
    <xf numFmtId="164" fontId="17" fillId="10" borderId="11" xfId="0" applyNumberFormat="1" applyFont="1" applyFill="1" applyBorder="1" applyAlignment="1">
      <alignment horizontal="center" wrapText="1"/>
    </xf>
    <xf numFmtId="0" fontId="17" fillId="10" borderId="17" xfId="0" applyFont="1" applyFill="1" applyBorder="1" applyAlignment="1">
      <alignment horizontal="center" wrapText="1"/>
    </xf>
    <xf numFmtId="0" fontId="17" fillId="10" borderId="0" xfId="0" quotePrefix="1" applyFont="1" applyFill="1" applyAlignment="1">
      <alignment vertical="center" wrapText="1"/>
    </xf>
    <xf numFmtId="0" fontId="18" fillId="10" borderId="10" xfId="27" quotePrefix="1" applyFont="1" applyFill="1" applyBorder="1" applyAlignment="1">
      <alignment vertical="top"/>
    </xf>
    <xf numFmtId="0" fontId="18" fillId="10" borderId="10" xfId="26" applyFont="1" applyFill="1" applyBorder="1" applyAlignment="1">
      <alignment vertical="top"/>
    </xf>
    <xf numFmtId="0" fontId="17" fillId="10" borderId="0" xfId="0" applyFont="1" applyFill="1" applyAlignment="1">
      <alignment vertical="center" wrapText="1"/>
    </xf>
    <xf numFmtId="0" fontId="19" fillId="10" borderId="11" xfId="0" applyFont="1" applyFill="1" applyBorder="1" applyAlignment="1">
      <alignment horizontal="center" vertical="center" wrapText="1"/>
    </xf>
    <xf numFmtId="164" fontId="19" fillId="10" borderId="11" xfId="0" applyNumberFormat="1" applyFont="1" applyFill="1" applyBorder="1" applyAlignment="1">
      <alignment horizontal="center" vertical="center" wrapText="1"/>
    </xf>
    <xf numFmtId="0" fontId="17" fillId="10" borderId="0" xfId="0" applyFont="1" applyFill="1" applyAlignment="1">
      <alignment horizontal="center" vertical="center" wrapText="1"/>
    </xf>
    <xf numFmtId="0" fontId="19" fillId="10" borderId="11" xfId="0" quotePrefix="1" applyFont="1" applyFill="1" applyBorder="1" applyAlignment="1">
      <alignment horizontal="center" vertical="center" wrapText="1"/>
    </xf>
    <xf numFmtId="0" fontId="12" fillId="10" borderId="0" xfId="19" applyNumberFormat="1" applyFont="1" applyFill="1"/>
    <xf numFmtId="0" fontId="12" fillId="10" borderId="0" xfId="20" applyNumberFormat="1" applyFont="1" applyFill="1"/>
    <xf numFmtId="0" fontId="12" fillId="10" borderId="0" xfId="21" applyNumberFormat="1" applyFont="1" applyFill="1"/>
    <xf numFmtId="0" fontId="12" fillId="10" borderId="0" xfId="22" applyNumberFormat="1" applyFont="1" applyFill="1"/>
    <xf numFmtId="0" fontId="12" fillId="10" borderId="0" xfId="23" applyNumberFormat="1" applyFont="1" applyFill="1" applyBorder="1"/>
    <xf numFmtId="0" fontId="12" fillId="10" borderId="0" xfId="24" applyNumberFormat="1" applyFont="1" applyFill="1" applyBorder="1"/>
    <xf numFmtId="0" fontId="12" fillId="10" borderId="0" xfId="18" quotePrefix="1" applyNumberFormat="1" applyFont="1" applyFill="1" applyAlignment="1">
      <alignment horizontal="right"/>
    </xf>
    <xf numFmtId="0" fontId="12" fillId="10" borderId="0" xfId="25" quotePrefix="1" applyNumberFormat="1" applyFont="1" applyFill="1" applyBorder="1" applyAlignment="1">
      <alignment horizontal="right"/>
    </xf>
    <xf numFmtId="0" fontId="17" fillId="10" borderId="0" xfId="0" applyFont="1" applyFill="1" applyAlignment="1">
      <alignment vertical="top" wrapText="1"/>
    </xf>
    <xf numFmtId="0" fontId="3" fillId="0" borderId="0" xfId="19" applyNumberFormat="1" applyAlignment="1">
      <alignment horizontal="center"/>
    </xf>
    <xf numFmtId="0" fontId="3" fillId="0" borderId="0" xfId="20" applyNumberFormat="1" applyAlignment="1">
      <alignment horizontal="center"/>
    </xf>
    <xf numFmtId="0" fontId="3" fillId="0" borderId="0" xfId="21" applyNumberFormat="1" applyAlignment="1">
      <alignment horizontal="center"/>
    </xf>
    <xf numFmtId="0" fontId="3" fillId="0" borderId="0" xfId="22" applyNumberFormat="1" applyAlignment="1">
      <alignment horizontal="center"/>
    </xf>
    <xf numFmtId="0" fontId="3" fillId="0" borderId="0" xfId="23" applyNumberFormat="1" applyBorder="1" applyAlignment="1">
      <alignment horizontal="center"/>
    </xf>
    <xf numFmtId="0" fontId="3" fillId="0" borderId="0" xfId="24" applyNumberFormat="1" applyBorder="1" applyAlignment="1">
      <alignment horizontal="center"/>
    </xf>
    <xf numFmtId="0" fontId="3" fillId="0" borderId="0" xfId="18" quotePrefix="1" applyNumberFormat="1" applyAlignment="1">
      <alignment horizontal="center"/>
    </xf>
    <xf numFmtId="0" fontId="3" fillId="0" borderId="0" xfId="25" quotePrefix="1" applyNumberFormat="1" applyBorder="1" applyAlignment="1">
      <alignment horizontal="center"/>
    </xf>
    <xf numFmtId="0" fontId="20" fillId="0" borderId="1" xfId="11" applyNumberFormat="1" applyFont="1" applyAlignment="1">
      <alignment horizontal="center"/>
    </xf>
    <xf numFmtId="3" fontId="16" fillId="0" borderId="1" xfId="3" applyFont="1" applyBorder="1" applyAlignment="1">
      <alignment horizontal="center"/>
    </xf>
    <xf numFmtId="0" fontId="20" fillId="0" borderId="1" xfId="12" applyNumberFormat="1" applyFont="1" applyAlignment="1">
      <alignment horizontal="center"/>
    </xf>
    <xf numFmtId="3" fontId="16" fillId="0" borderId="1" xfId="4" applyFont="1" applyBorder="1" applyAlignment="1">
      <alignment horizontal="center"/>
    </xf>
    <xf numFmtId="0" fontId="20" fillId="0" borderId="1" xfId="13" applyNumberFormat="1" applyFont="1" applyAlignment="1">
      <alignment horizontal="center"/>
    </xf>
    <xf numFmtId="3" fontId="16" fillId="0" borderId="1" xfId="5" applyFont="1" applyBorder="1" applyAlignment="1">
      <alignment horizontal="center"/>
    </xf>
    <xf numFmtId="0" fontId="20" fillId="0" borderId="1" xfId="14" applyNumberFormat="1" applyFont="1" applyAlignment="1">
      <alignment horizontal="center"/>
    </xf>
    <xf numFmtId="3" fontId="16" fillId="0" borderId="1" xfId="6" applyFont="1" applyBorder="1" applyAlignment="1">
      <alignment horizontal="center"/>
    </xf>
    <xf numFmtId="0" fontId="20" fillId="0" borderId="1" xfId="15" applyNumberFormat="1" applyFont="1" applyAlignment="1">
      <alignment horizontal="center"/>
    </xf>
    <xf numFmtId="3" fontId="16" fillId="0" borderId="1" xfId="7" applyFont="1" applyBorder="1" applyAlignment="1">
      <alignment horizontal="center"/>
    </xf>
    <xf numFmtId="0" fontId="20" fillId="0" borderId="1" xfId="16" applyNumberFormat="1" applyFont="1" applyAlignment="1">
      <alignment horizontal="center"/>
    </xf>
    <xf numFmtId="3" fontId="16" fillId="0" borderId="1" xfId="8" applyFont="1" applyBorder="1" applyAlignment="1">
      <alignment horizontal="center"/>
    </xf>
    <xf numFmtId="0" fontId="20" fillId="0" borderId="1" xfId="10" applyNumberFormat="1" applyFont="1" applyAlignment="1">
      <alignment horizontal="center"/>
    </xf>
    <xf numFmtId="3" fontId="16" fillId="0" borderId="1" xfId="2" applyFont="1" applyBorder="1" applyAlignment="1">
      <alignment horizontal="center"/>
    </xf>
    <xf numFmtId="0" fontId="20" fillId="0" borderId="1" xfId="17" applyNumberFormat="1" applyFont="1" applyAlignment="1">
      <alignment horizontal="center"/>
    </xf>
    <xf numFmtId="3" fontId="16" fillId="0" borderId="1" xfId="9" applyFont="1" applyBorder="1" applyAlignment="1">
      <alignment horizontal="center"/>
    </xf>
    <xf numFmtId="49" fontId="20" fillId="0" borderId="1" xfId="17" applyNumberFormat="1" applyFont="1" applyAlignment="1">
      <alignment horizontal="center"/>
    </xf>
    <xf numFmtId="0" fontId="20" fillId="0" borderId="1" xfId="11" applyNumberFormat="1" applyFont="1"/>
    <xf numFmtId="0" fontId="20" fillId="0" borderId="1" xfId="12" applyNumberFormat="1" applyFont="1"/>
    <xf numFmtId="0" fontId="20" fillId="0" borderId="1" xfId="13" applyNumberFormat="1" applyFont="1"/>
    <xf numFmtId="0" fontId="20" fillId="0" borderId="1" xfId="14" applyNumberFormat="1" applyFont="1"/>
    <xf numFmtId="0" fontId="20" fillId="0" borderId="1" xfId="15" applyNumberFormat="1" applyFont="1"/>
    <xf numFmtId="0" fontId="20" fillId="0" borderId="1" xfId="16" applyNumberFormat="1" applyFont="1"/>
    <xf numFmtId="0" fontId="20" fillId="0" borderId="1" xfId="10" applyNumberFormat="1" applyFont="1"/>
    <xf numFmtId="0" fontId="20" fillId="0" borderId="1" xfId="17" applyNumberFormat="1" applyFont="1"/>
    <xf numFmtId="49" fontId="20" fillId="0" borderId="1" xfId="17" applyNumberFormat="1" applyFont="1" applyAlignment="1"/>
    <xf numFmtId="0" fontId="11" fillId="0" borderId="23" xfId="0" applyFont="1" applyBorder="1" applyAlignment="1">
      <alignment horizontal="center"/>
    </xf>
    <xf numFmtId="0" fontId="17" fillId="10" borderId="11" xfId="0" quotePrefix="1" applyFont="1" applyFill="1" applyBorder="1" applyAlignment="1">
      <alignment horizontal="left"/>
    </xf>
    <xf numFmtId="0" fontId="17" fillId="10" borderId="16" xfId="0" quotePrefix="1" applyFont="1" applyFill="1" applyBorder="1" applyAlignment="1">
      <alignment horizontal="left"/>
    </xf>
    <xf numFmtId="0" fontId="2" fillId="8" borderId="1" xfId="1" applyFill="1" applyAlignment="1">
      <alignment horizontal="center" vertical="center" wrapText="1"/>
    </xf>
    <xf numFmtId="0" fontId="17" fillId="7" borderId="1" xfId="0" applyFont="1" applyFill="1" applyBorder="1" applyAlignment="1">
      <alignment horizontal="center"/>
    </xf>
    <xf numFmtId="0" fontId="21" fillId="8" borderId="1" xfId="0" applyFont="1" applyFill="1" applyBorder="1" applyAlignment="1">
      <alignment horizontal="center"/>
    </xf>
    <xf numFmtId="3" fontId="3" fillId="0" borderId="2" xfId="3" applyAlignment="1">
      <alignment horizontal="center"/>
    </xf>
    <xf numFmtId="3" fontId="3" fillId="0" borderId="2" xfId="4" applyAlignment="1">
      <alignment horizontal="center"/>
    </xf>
    <xf numFmtId="3" fontId="3" fillId="0" borderId="2" xfId="5" applyAlignment="1">
      <alignment horizontal="center"/>
    </xf>
    <xf numFmtId="3" fontId="3" fillId="0" borderId="2" xfId="6" applyAlignment="1">
      <alignment horizontal="center"/>
    </xf>
    <xf numFmtId="3" fontId="3" fillId="0" borderId="2" xfId="7" applyAlignment="1">
      <alignment horizontal="center"/>
    </xf>
    <xf numFmtId="3" fontId="3" fillId="0" borderId="2" xfId="8" applyAlignment="1">
      <alignment horizontal="center"/>
    </xf>
    <xf numFmtId="3" fontId="3" fillId="0" borderId="2" xfId="2" applyAlignment="1">
      <alignment horizontal="center"/>
    </xf>
    <xf numFmtId="3" fontId="3" fillId="0" borderId="2" xfId="9" applyAlignment="1">
      <alignment horizontal="center"/>
    </xf>
    <xf numFmtId="0" fontId="0" fillId="10" borderId="11" xfId="0" applyFill="1" applyBorder="1"/>
    <xf numFmtId="0" fontId="0" fillId="10" borderId="11" xfId="0" quotePrefix="1" applyFill="1" applyBorder="1"/>
    <xf numFmtId="0" fontId="0" fillId="10" borderId="0" xfId="0" applyFill="1"/>
    <xf numFmtId="0" fontId="3" fillId="10" borderId="11" xfId="26" applyFill="1" applyBorder="1"/>
    <xf numFmtId="0" fontId="0" fillId="10" borderId="0" xfId="0" applyFill="1" applyAlignment="1">
      <alignment horizontal="left"/>
    </xf>
    <xf numFmtId="0" fontId="0" fillId="10" borderId="11" xfId="0" applyFill="1" applyBorder="1" applyAlignment="1">
      <alignment horizontal="center"/>
    </xf>
    <xf numFmtId="0" fontId="0" fillId="10" borderId="0" xfId="0" applyFill="1" applyAlignment="1">
      <alignment horizontal="center"/>
    </xf>
    <xf numFmtId="0" fontId="2" fillId="10" borderId="11" xfId="1" quotePrefix="1" applyFill="1" applyBorder="1">
      <alignment horizontal="center" vertical="center"/>
    </xf>
    <xf numFmtId="0" fontId="0" fillId="10" borderId="0" xfId="0" quotePrefix="1" applyFill="1"/>
    <xf numFmtId="0" fontId="3" fillId="10" borderId="0" xfId="19" applyNumberFormat="1" applyFill="1"/>
    <xf numFmtId="0" fontId="3" fillId="10" borderId="0" xfId="20" applyNumberFormat="1" applyFill="1"/>
    <xf numFmtId="0" fontId="3" fillId="10" borderId="0" xfId="21" applyNumberFormat="1" applyFill="1"/>
    <xf numFmtId="0" fontId="3" fillId="10" borderId="0" xfId="22" applyNumberFormat="1" applyFill="1"/>
    <xf numFmtId="0" fontId="3" fillId="10" borderId="0" xfId="23" applyNumberFormat="1" applyFill="1" applyBorder="1"/>
    <xf numFmtId="0" fontId="3" fillId="10" borderId="0" xfId="24" applyNumberFormat="1" applyFill="1" applyBorder="1"/>
    <xf numFmtId="0" fontId="3" fillId="10" borderId="0" xfId="18" quotePrefix="1" applyNumberFormat="1" applyFill="1"/>
    <xf numFmtId="0" fontId="3" fillId="10" borderId="0" xfId="25" quotePrefix="1" applyNumberFormat="1" applyFill="1" applyBorder="1"/>
    <xf numFmtId="0" fontId="22" fillId="0" borderId="0" xfId="0" applyFont="1"/>
    <xf numFmtId="0" fontId="23" fillId="10" borderId="0" xfId="26" applyFont="1" applyFill="1" applyBorder="1" applyAlignment="1">
      <alignment horizontal="center"/>
    </xf>
    <xf numFmtId="0" fontId="24" fillId="0" borderId="0" xfId="27" quotePrefix="1" applyFont="1" applyBorder="1" applyAlignment="1">
      <alignment horizontal="right"/>
    </xf>
    <xf numFmtId="0" fontId="25" fillId="0" borderId="0" xfId="0" applyFont="1" applyAlignment="1">
      <alignment horizontal="left"/>
    </xf>
    <xf numFmtId="0" fontId="16" fillId="0" borderId="22" xfId="27" quotePrefix="1" applyFont="1" applyBorder="1" applyAlignment="1">
      <alignment horizontal="right" wrapText="1"/>
    </xf>
    <xf numFmtId="0" fontId="17" fillId="10" borderId="14" xfId="0" applyFont="1" applyFill="1" applyBorder="1" applyAlignment="1">
      <alignment horizontal="center"/>
    </xf>
    <xf numFmtId="0" fontId="17" fillId="10" borderId="15" xfId="0" applyFont="1" applyFill="1" applyBorder="1" applyAlignment="1">
      <alignment horizontal="center"/>
    </xf>
    <xf numFmtId="0" fontId="17" fillId="10" borderId="16" xfId="0" applyFont="1" applyFill="1" applyBorder="1" applyAlignment="1">
      <alignment horizontal="center"/>
    </xf>
    <xf numFmtId="0" fontId="17" fillId="10" borderId="14" xfId="0" applyFont="1" applyFill="1" applyBorder="1" applyAlignment="1">
      <alignment horizontal="center" wrapText="1"/>
    </xf>
    <xf numFmtId="0" fontId="17" fillId="10" borderId="15" xfId="0" applyFont="1" applyFill="1" applyBorder="1" applyAlignment="1">
      <alignment horizontal="center" wrapText="1"/>
    </xf>
    <xf numFmtId="0" fontId="17" fillId="10" borderId="16" xfId="0" applyFont="1" applyFill="1" applyBorder="1" applyAlignment="1">
      <alignment horizontal="center" wrapText="1"/>
    </xf>
    <xf numFmtId="0" fontId="11" fillId="8" borderId="14" xfId="0" applyFont="1" applyFill="1" applyBorder="1" applyAlignment="1">
      <alignment horizontal="center"/>
    </xf>
    <xf numFmtId="0" fontId="11" fillId="8" borderId="15" xfId="0" applyFont="1" applyFill="1" applyBorder="1" applyAlignment="1">
      <alignment horizontal="center"/>
    </xf>
    <xf numFmtId="0" fontId="11" fillId="8" borderId="16" xfId="0" applyFont="1" applyFill="1" applyBorder="1" applyAlignment="1">
      <alignment horizontal="center"/>
    </xf>
    <xf numFmtId="0" fontId="17" fillId="10" borderId="11" xfId="0" applyFont="1" applyFill="1" applyBorder="1" applyAlignment="1">
      <alignment horizontal="center"/>
    </xf>
    <xf numFmtId="0" fontId="17" fillId="10" borderId="11" xfId="0" applyFont="1" applyFill="1" applyBorder="1" applyAlignment="1">
      <alignment horizontal="center" wrapText="1"/>
    </xf>
    <xf numFmtId="0" fontId="13" fillId="9" borderId="11" xfId="26" applyNumberFormat="1" applyFont="1" applyFill="1" applyBorder="1" applyAlignment="1">
      <alignment horizontal="center" vertical="center"/>
    </xf>
    <xf numFmtId="0" fontId="2" fillId="7" borderId="12" xfId="1" quotePrefix="1" applyFill="1" applyBorder="1">
      <alignment horizontal="center" vertical="center"/>
    </xf>
    <xf numFmtId="0" fontId="2" fillId="7" borderId="10" xfId="1" quotePrefix="1" applyFill="1" applyBorder="1">
      <alignment horizontal="center" vertical="center"/>
    </xf>
    <xf numFmtId="0" fontId="2" fillId="7" borderId="13" xfId="1" quotePrefix="1" applyFill="1" applyBorder="1">
      <alignment horizontal="center" vertical="center"/>
    </xf>
    <xf numFmtId="0" fontId="12" fillId="7" borderId="20" xfId="1" quotePrefix="1" applyFont="1" applyFill="1" applyBorder="1">
      <alignment horizontal="center" vertical="center"/>
    </xf>
    <xf numFmtId="0" fontId="12" fillId="7" borderId="21" xfId="1" quotePrefix="1" applyFont="1" applyFill="1" applyBorder="1">
      <alignment horizontal="center" vertical="center"/>
    </xf>
    <xf numFmtId="0" fontId="12" fillId="7" borderId="24" xfId="1" quotePrefix="1" applyFont="1" applyFill="1" applyBorder="1">
      <alignment horizontal="center" vertical="center"/>
    </xf>
    <xf numFmtId="0" fontId="13" fillId="10" borderId="14" xfId="26" applyNumberFormat="1" applyFont="1" applyFill="1" applyBorder="1" applyAlignment="1">
      <alignment horizontal="center" vertical="center"/>
    </xf>
    <xf numFmtId="0" fontId="13" fillId="10" borderId="15" xfId="26" applyNumberFormat="1" applyFont="1" applyFill="1" applyBorder="1" applyAlignment="1">
      <alignment horizontal="center" vertical="center"/>
    </xf>
    <xf numFmtId="0" fontId="13" fillId="10" borderId="16" xfId="26" applyNumberFormat="1" applyFont="1" applyFill="1" applyBorder="1" applyAlignment="1">
      <alignment horizontal="center" vertical="center"/>
    </xf>
  </cellXfs>
  <cellStyles count="76">
    <cellStyle name="AF Column - IBM Cognos" xfId="1" xr:uid="{63E84F89-B111-4116-B838-77D27265B931}"/>
    <cellStyle name="AF Data - IBM Cognos" xfId="2" xr:uid="{4D60951F-1DE8-4F0C-9E8B-24842A0B2A88}"/>
    <cellStyle name="AF Data 0 - IBM Cognos" xfId="3" xr:uid="{37F67044-677F-4091-8D49-F711FAC129EF}"/>
    <cellStyle name="AF Data 1 - IBM Cognos" xfId="4" xr:uid="{A623AA73-47ED-4511-BDFE-B5DFC7377894}"/>
    <cellStyle name="AF Data 2 - IBM Cognos" xfId="5" xr:uid="{9D4E40CA-2706-4424-82A6-6E8724D308BE}"/>
    <cellStyle name="AF Data 3 - IBM Cognos" xfId="6" xr:uid="{F30613EB-3040-4F2F-81C1-081D3B82F7E2}"/>
    <cellStyle name="AF Data 4 - IBM Cognos" xfId="7" xr:uid="{4815753D-8DE8-4E86-9809-093148497E87}"/>
    <cellStyle name="AF Data 5 - IBM Cognos" xfId="8" xr:uid="{1633A4EA-C41B-4D39-9C47-E5E1E8EA101B}"/>
    <cellStyle name="AF Data Leaf - IBM Cognos" xfId="9" xr:uid="{1035CE75-2E8E-4C68-A0C6-C1C3805426C5}"/>
    <cellStyle name="AF Header - IBM Cognos" xfId="10" xr:uid="{952A7ACD-03D9-43A5-A574-6587C9F6830A}"/>
    <cellStyle name="AF Header 0 - IBM Cognos" xfId="11" xr:uid="{2977EE00-9487-474F-B6BC-0DD9EEBA8D07}"/>
    <cellStyle name="AF Header 1 - IBM Cognos" xfId="12" xr:uid="{9FB3EBB0-AE7B-4877-999F-C860413A53FE}"/>
    <cellStyle name="AF Header 2 - IBM Cognos" xfId="13" xr:uid="{8D4756E1-2CAF-4B3B-B45E-76604A07A46A}"/>
    <cellStyle name="AF Header 3 - IBM Cognos" xfId="14" xr:uid="{E1B90691-CF81-4BBC-8AE5-6CB1F1C86FD6}"/>
    <cellStyle name="AF Header 4 - IBM Cognos" xfId="15" xr:uid="{E0537D6E-BDCE-429C-84A4-8980C7F1D95D}"/>
    <cellStyle name="AF Header 5 - IBM Cognos" xfId="16" xr:uid="{B0EB17F1-F326-4D8F-8C42-B59A25970E39}"/>
    <cellStyle name="AF Header Leaf - IBM Cognos" xfId="17" xr:uid="{CF612362-D6A1-4136-B9DB-E99689EB9958}"/>
    <cellStyle name="AF Row - IBM Cognos" xfId="18" xr:uid="{265E19FA-8740-4350-BF55-99B7FA4A080C}"/>
    <cellStyle name="AF Row 0 - IBM Cognos" xfId="19" xr:uid="{AD98D6E4-4BD9-43A6-8BB6-57B9194C01F9}"/>
    <cellStyle name="AF Row 1 - IBM Cognos" xfId="20" xr:uid="{FA629B0F-10EC-4599-AE8C-92A325C1C708}"/>
    <cellStyle name="AF Row 2 - IBM Cognos" xfId="21" xr:uid="{2459DE4B-1EB8-4ECC-A9AF-01802DC3BADA}"/>
    <cellStyle name="AF Row 3 - IBM Cognos" xfId="22" xr:uid="{13574AC9-B9A4-4FE0-9E8E-18ED5F660760}"/>
    <cellStyle name="AF Row 4 - IBM Cognos" xfId="23" xr:uid="{E4BDA1C6-24B1-47A6-B444-A025CF0803BF}"/>
    <cellStyle name="AF Row 5 - IBM Cognos" xfId="24" xr:uid="{15C3F512-EB1E-42B9-83DA-3A63B9933C8A}"/>
    <cellStyle name="AF Row Leaf - IBM Cognos" xfId="25" xr:uid="{55AB40BA-ADCF-4112-BFDC-DD0DE04CD275}"/>
    <cellStyle name="AF Subnm - IBM Cognos" xfId="26" xr:uid="{02733F64-03FA-4B71-A8E1-52023ED32BBE}"/>
    <cellStyle name="AF Title - IBM Cognos" xfId="27" xr:uid="{C6D77A0E-2B16-40A9-891C-A517FB535C5C}"/>
    <cellStyle name="Calculated Column - IBM Cognos" xfId="28" xr:uid="{89EC9B7E-8F9E-439B-A8C7-DF6FDFB77F25}"/>
    <cellStyle name="Calculated Column Name - IBM Cognos" xfId="29" xr:uid="{EC2FD009-B0E0-4F89-AFD3-C0475BFE18F3}"/>
    <cellStyle name="Calculated Row - IBM Cognos" xfId="30" xr:uid="{629FE99E-F366-4E9A-A844-1B831ED24857}"/>
    <cellStyle name="Calculated Row Name - IBM Cognos" xfId="31" xr:uid="{420DF989-2822-487E-93B3-69FB58CF29E9}"/>
    <cellStyle name="Column Name - IBM Cognos" xfId="32" xr:uid="{7E703DB0-8F6E-448F-B2A4-FF9D6563F6CD}"/>
    <cellStyle name="Column Template - IBM Cognos" xfId="33" xr:uid="{C8BB7BC9-1D6D-4814-B241-741126B4DAC6}"/>
    <cellStyle name="Differs From Base - IBM Cognos" xfId="34" xr:uid="{8EBFF533-DD1D-4C69-9F63-A2640FF9B050}"/>
    <cellStyle name="DQR Column 0 - IBM Cognos" xfId="35" xr:uid="{CAEAB953-7A08-44D2-9F19-116EEC625A6E}"/>
    <cellStyle name="DQR Column 1 - IBM Cognos" xfId="36" xr:uid="{2B1B037C-9916-48DB-84D0-CD36C560FC47}"/>
    <cellStyle name="DQR Column 2 - IBM Cognos" xfId="37" xr:uid="{678F6714-0A82-4EFA-AB6A-00469915AC02}"/>
    <cellStyle name="DQR Column 3 - IBM Cognos" xfId="38" xr:uid="{FDEF0D2A-B30B-4A50-B012-ED765598800E}"/>
    <cellStyle name="DQR Column 4 - IBM Cognos" xfId="39" xr:uid="{85F6C419-6D6E-4715-B66C-A41C002F9A20}"/>
    <cellStyle name="DQR Column 5 - IBM Cognos" xfId="40" xr:uid="{7D93EA90-9025-4E9C-89AA-69031246FAD8}"/>
    <cellStyle name="DQR Column Default - IBM Cognos" xfId="41" xr:uid="{6189CE0E-BED1-4488-9EA9-72B664E925F0}"/>
    <cellStyle name="DQR Column Leaf - IBM Cognos" xfId="42" xr:uid="{CC72279E-58FB-4922-9C65-16BF4C06580A}"/>
    <cellStyle name="DQR Data Default - IBM Cognos" xfId="43" xr:uid="{34DD6FCE-7A2C-49D5-B3A6-D40D4ED5EBC1}"/>
    <cellStyle name="DQR Default - IBM Cognos" xfId="44" xr:uid="{6B54D26B-3408-4BC8-A23A-B093D0299E56}"/>
    <cellStyle name="DQR Gutter Default - IBM Cognos" xfId="45" xr:uid="{DE549796-AF32-4C81-9BC7-60AADA9E430D}"/>
    <cellStyle name="DQR Gutter Default (OFF) - IBM Cognos" xfId="46" xr:uid="{F49AF0A7-AB15-4DBF-8343-988EC419BD0E}"/>
    <cellStyle name="DQR Row 0 - IBM Cognos" xfId="47" xr:uid="{92F1F16E-07B6-4BFC-BDBB-CDBF94CBA9C1}"/>
    <cellStyle name="DQR Row 1 - IBM Cognos" xfId="48" xr:uid="{E5FC6ACA-7A9F-40EF-BF70-48937C5F75B9}"/>
    <cellStyle name="DQR Row 2 - IBM Cognos" xfId="49" xr:uid="{91D3C3F5-9199-4EEB-846B-0BB747C2540F}"/>
    <cellStyle name="DQR Row 3 - IBM Cognos" xfId="50" xr:uid="{31849474-F709-429F-8EDB-D05E2831BC0D}"/>
    <cellStyle name="DQR Row 4 - IBM Cognos" xfId="51" xr:uid="{808C5252-DFA0-4CED-8280-A6CD1729DA15}"/>
    <cellStyle name="DQR Row 5 - IBM Cognos" xfId="52" xr:uid="{806BDF22-ADA4-4ADA-BD09-15CC6F1F5076}"/>
    <cellStyle name="DQR Row Default - IBM Cognos" xfId="53" xr:uid="{FFF4338D-F76F-46B6-B56C-1F7B91B4EDBF}"/>
    <cellStyle name="DQR Row Leaf - IBM Cognos" xfId="54" xr:uid="{18AA338C-518F-476A-8E69-C1010EF4FC2E}"/>
    <cellStyle name="Edit - IBM Cognos" xfId="55" xr:uid="{E3B9D94F-7F74-4B10-A20E-37E27D4E104D}"/>
    <cellStyle name="Formula - IBM Cognos" xfId="56" xr:uid="{5272DB5A-7D11-4C0B-8B06-51FBC25E74AE}"/>
    <cellStyle name="Group Name - IBM Cognos" xfId="57" xr:uid="{B529DBCC-D526-49B9-BC92-46CE2CF639E5}"/>
    <cellStyle name="Hold Values - IBM Cognos" xfId="58" xr:uid="{CE5A2B80-1CC8-4E78-B898-918C1D707EA8}"/>
    <cellStyle name="List Name - IBM Cognos" xfId="59" xr:uid="{34877D8F-00E2-4DEE-B3CA-59ACD7D4770E}"/>
    <cellStyle name="Locked - IBM Cognos" xfId="60" xr:uid="{8CC441B3-CC8A-499E-9218-A8705DA7816E}"/>
    <cellStyle name="Measure - IBM Cognos" xfId="61" xr:uid="{E9F39DA0-A567-4254-9D69-DEC7524B65F7}"/>
    <cellStyle name="Measure Header - IBM Cognos" xfId="62" xr:uid="{AD2F7977-DF2A-4D78-9E16-6EA61D53624C}"/>
    <cellStyle name="Measure Name - IBM Cognos" xfId="63" xr:uid="{B3FD0999-0013-4054-BD93-63789DA85275}"/>
    <cellStyle name="Measure Summary - IBM Cognos" xfId="64" xr:uid="{11C51B40-A034-4B6C-95A6-6042CF0B7828}"/>
    <cellStyle name="Measure Summary TM1 - IBM Cognos" xfId="65" xr:uid="{8282BD69-7868-4898-A118-A85E0DAB085A}"/>
    <cellStyle name="Measure Template - IBM Cognos" xfId="66" xr:uid="{0CD89C8B-FBBF-40B0-8686-8758A295E1D2}"/>
    <cellStyle name="More - IBM Cognos" xfId="67" xr:uid="{B421B5D6-0CE3-4B4B-A387-EC08ACE86F2A}"/>
    <cellStyle name="Normal" xfId="0" builtinId="0" customBuiltin="1"/>
    <cellStyle name="Pending Change - IBM Cognos" xfId="68" xr:uid="{10198204-B9F8-4243-96DF-4859F733B2C8}"/>
    <cellStyle name="Row Name - IBM Cognos" xfId="69" xr:uid="{7FF270BD-586D-48CE-B12E-6388C3C0971D}"/>
    <cellStyle name="Row Template - IBM Cognos" xfId="70" xr:uid="{DB689EC5-98F2-4FD7-AAA5-D88687B9FFF2}"/>
    <cellStyle name="Summary Column Name - IBM Cognos" xfId="71" xr:uid="{2136BE76-A497-4156-8D57-61520C11249D}"/>
    <cellStyle name="Summary Column Name TM1 - IBM Cognos" xfId="72" xr:uid="{8CE61017-5393-42AD-AEC3-58FB574BD6AC}"/>
    <cellStyle name="Summary Row Name - IBM Cognos" xfId="73" xr:uid="{549C04A1-C482-47F6-BDCD-4B7F697A1B0A}"/>
    <cellStyle name="Summary Row Name TM1 - IBM Cognos" xfId="74" xr:uid="{8CA978AC-723C-4D7E-AC36-2DCDA7EEE1F6}"/>
    <cellStyle name="Unsaved Change - IBM Cognos" xfId="75" xr:uid="{B91C74F1-F4E6-4FEE-916F-6B1A5FBA393C}"/>
  </cellStyles>
  <dxfs count="102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91</xdr:col>
      <xdr:colOff>115357</xdr:colOff>
      <xdr:row>0</xdr:row>
      <xdr:rowOff>100543</xdr:rowOff>
    </xdr:from>
    <xdr:to>
      <xdr:col>92</xdr:col>
      <xdr:colOff>501648</xdr:colOff>
      <xdr:row>16</xdr:row>
      <xdr:rowOff>33866</xdr:rowOff>
    </xdr:to>
    <xdr:sp macro="Sheet4.ExecuteAction_21c56d30_5fac_4474_a077_c50635e1216f" textlink="">
      <xdr:nvSpPr>
        <xdr:cNvPr id="3" name="TM1Button_21c56d30_5fac_4474_a077_c50635e1216f">
          <a:extLst>
            <a:ext uri="{FF2B5EF4-FFF2-40B4-BE49-F238E27FC236}">
              <a16:creationId xmlns:a16="http://schemas.microsoft.com/office/drawing/2014/main" id="{45D96614-8E9F-DF57-20C1-44971BB043B0}"/>
            </a:ext>
          </a:extLst>
        </xdr:cNvPr>
        <xdr:cNvSpPr txBox="1"/>
      </xdr:nvSpPr>
      <xdr:spPr>
        <a:xfrm>
          <a:off x="27547357" y="100543"/>
          <a:ext cx="1000125" cy="467783"/>
        </a:xfrm>
        <a:prstGeom prst="rect">
          <a:avLst/>
        </a:prstGeom>
        <a:solidFill>
          <a:srgbClr val="F0F0F0"/>
        </a:solidFill>
        <a:ln w="9525" cmpd="sng">
          <a:solidFill>
            <a:srgbClr val="BCBCBC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US" sz="1425" b="1" i="0" u="none" strike="noStrike">
              <a:solidFill>
                <a:srgbClr val="0000FF"/>
              </a:solidFill>
              <a:latin typeface="Arial" panose="020B0604020202020204" pitchFamily="34" charset="0"/>
            </a:rPr>
            <a:t>Refresh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161615</xdr:colOff>
      <xdr:row>18</xdr:row>
      <xdr:rowOff>46324</xdr:rowOff>
    </xdr:from>
    <xdr:to>
      <xdr:col>32</xdr:col>
      <xdr:colOff>476563</xdr:colOff>
      <xdr:row>19</xdr:row>
      <xdr:rowOff>229901</xdr:rowOff>
    </xdr:to>
    <xdr:sp macro="Sheet20.ExecuteAction_8cfd91eb_65b1_460a_a6b2_9918b7e72c5d" textlink="">
      <xdr:nvSpPr>
        <xdr:cNvPr id="2" name="TM1Button_8cfd91eb_65b1_460a_a6b2_9918b7e72c5d">
          <a:extLst>
            <a:ext uri="{FF2B5EF4-FFF2-40B4-BE49-F238E27FC236}">
              <a16:creationId xmlns:a16="http://schemas.microsoft.com/office/drawing/2014/main" id="{077B2AC2-7236-50B4-8164-5EBDE90E86C0}"/>
            </a:ext>
          </a:extLst>
        </xdr:cNvPr>
        <xdr:cNvSpPr txBox="1"/>
      </xdr:nvSpPr>
      <xdr:spPr>
        <a:xfrm>
          <a:off x="24069365" y="46324"/>
          <a:ext cx="924548" cy="374077"/>
        </a:xfrm>
        <a:prstGeom prst="rect">
          <a:avLst/>
        </a:prstGeom>
        <a:solidFill>
          <a:srgbClr val="F0F0F0"/>
        </a:solidFill>
        <a:ln w="9525" cmpd="sng">
          <a:solidFill>
            <a:srgbClr val="BCBCBC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>
          <a:spAutoFit/>
        </a:bodyPr>
        <a:lstStyle/>
        <a:p>
          <a:pPr algn="ctr"/>
          <a:r>
            <a:rPr lang="en-US" sz="1800" b="1" i="0" u="none" strike="noStrike">
              <a:solidFill>
                <a:srgbClr val="0000FF"/>
              </a:solidFill>
              <a:latin typeface="Aptos Narrow" panose="020B0004020202020204" pitchFamily="34" charset="0"/>
            </a:rPr>
            <a:t>Refresh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Roaming/Microsoft/Excel/Model_Dynamic%20Report%20-%20Mfgr%20Lvl%20(version%201).xlsb" TargetMode="External"/><Relationship Id="rId2" Type="http://schemas.openxmlformats.org/officeDocument/2006/relationships/externalLinkPath" Target="file:///C:\Users\miche\AppData\Roaming\Microsoft\Excel\Model_Dynamic%20Report%20-%20Mfgr%20Lvl%20(version%201).xlsb" TargetMode="External"/><Relationship Id="rId1" Type="http://schemas.openxmlformats.org/officeDocument/2006/relationships/externalLinkPath" Target="/Users/miche/AppData/Roaming/Microsoft/Excel/Model_Dynamic%20Report%20-%20Mfgr%20Lvl%20(version%201)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Cognos_Office_Connection_Cache"/>
      <sheetName val="Index"/>
      <sheetName val="PO Detail"/>
      <sheetName val="Brown Foodservice"/>
      <sheetName val="CASH-WA"/>
      <sheetName val="Cheney Punta Gorda"/>
      <sheetName val="Cheney Riviera"/>
      <sheetName val="Cheney Statesville"/>
      <sheetName val="Feesers"/>
      <sheetName val="I-Supply"/>
      <sheetName val="KUNA Foodservice"/>
      <sheetName val="McDonald"/>
      <sheetName val="Quirch Houston"/>
      <sheetName val="Quirch Vineland"/>
      <sheetName val="Quirch Winter Haven"/>
      <sheetName val="Springfield Grocer"/>
      <sheetName val="Tapia Fresno"/>
      <sheetName val="Tapia Las Vegas"/>
      <sheetName val="Tapia Maywood"/>
      <sheetName val="Tapia Phoenix"/>
    </sheetNames>
    <sheetDataSet>
      <sheetData sheetId="0"/>
      <sheetData sheetId="1">
        <row r="4">
          <cell r="C4" t="str">
            <v>FY 26</v>
          </cell>
        </row>
        <row r="7">
          <cell r="C7" t="str">
            <v>Wk 22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mailto:=@TM1RPTROW($B$2,%22TM1-S1_DEV:SP_SKU%22,,,%22SKU%20Description%22,FALSE,D$1)" TargetMode="External"/><Relationship Id="rId18" Type="http://schemas.openxmlformats.org/officeDocument/2006/relationships/hyperlink" Target="mailto:=@TM1RPTROW($B$2,%22TM1-S1_DEV:SP_SKU%22,,,%22SKU%20Description%22,FALSE,D$1)" TargetMode="External"/><Relationship Id="rId26" Type="http://schemas.openxmlformats.org/officeDocument/2006/relationships/hyperlink" Target="mailto:=@TM1RPTROW($B$2,%22TM1-S1_DEV:SP_SKU%22,,,%22SKU%20Description%22,FALSE,D$1)" TargetMode="External"/><Relationship Id="rId39" Type="http://schemas.openxmlformats.org/officeDocument/2006/relationships/hyperlink" Target="mailto:=@TM1RPTROW($B$2,%22TM1-S1_DEV:SP_SKU%22,,,%22SKU%20Description%22,FALSE,D$1)" TargetMode="External"/><Relationship Id="rId21" Type="http://schemas.openxmlformats.org/officeDocument/2006/relationships/hyperlink" Target="mailto:=@TM1RPTROW($B$2,%22TM1-S1_DEV:SP_SKU%22,,,%22SKU%20Description%22,FALSE,D$1)" TargetMode="External"/><Relationship Id="rId34" Type="http://schemas.openxmlformats.org/officeDocument/2006/relationships/hyperlink" Target="mailto:=@TM1RPTROW($B$2,%22TM1-S1_DEV:SP_SKU%22,,,%22SKU%20Description%22,FALSE,D$1)" TargetMode="External"/><Relationship Id="rId42" Type="http://schemas.openxmlformats.org/officeDocument/2006/relationships/hyperlink" Target="mailto:=@TM1RPTROW($B$2,%22TM1-S1_DEV:SP_SKU%22,,,%22SKU%20Description%22,FALSE,D$1)" TargetMode="External"/><Relationship Id="rId47" Type="http://schemas.openxmlformats.org/officeDocument/2006/relationships/hyperlink" Target="mailto:=@TM1RPTROW($B$2,%22TM1-S1_DEV:SP_SKU%22,,,%22SKU%20Description%22,FALSE,D$1)" TargetMode="External"/><Relationship Id="rId50" Type="http://schemas.openxmlformats.org/officeDocument/2006/relationships/drawing" Target="../drawings/drawing2.xml"/><Relationship Id="rId7" Type="http://schemas.openxmlformats.org/officeDocument/2006/relationships/hyperlink" Target="mailto:=@TM1RPTROW($B$2,%22TM1-S1_DEV:SP_SKU%22,,,%22SKU%20Description%22,FALSE,D$1)" TargetMode="External"/><Relationship Id="rId2" Type="http://schemas.openxmlformats.org/officeDocument/2006/relationships/hyperlink" Target="mailto:=@TM1RPTROW($B$2,%22TM1-S1_DEV:SP_SKU%22,,,%22SKU%20Description%22,FALSE,D$1)" TargetMode="External"/><Relationship Id="rId16" Type="http://schemas.openxmlformats.org/officeDocument/2006/relationships/hyperlink" Target="mailto:=@TM1RPTROW($B$2,%22TM1-S1_DEV:SP_SKU%22,,,%22SKU%20Description%22,FALSE,D$1)" TargetMode="External"/><Relationship Id="rId29" Type="http://schemas.openxmlformats.org/officeDocument/2006/relationships/hyperlink" Target="mailto:=@TM1RPTROW($B$2,%22TM1-S1_DEV:SP_SKU%22,,,%22SKU%20Description%22,FALSE,D$1)" TargetMode="External"/><Relationship Id="rId11" Type="http://schemas.openxmlformats.org/officeDocument/2006/relationships/hyperlink" Target="mailto:=@TM1RPTROW($B$2,%22TM1-S1_DEV:SP_SKU%22,,,%22SKU%20Description%22,FALSE,D$1)" TargetMode="External"/><Relationship Id="rId24" Type="http://schemas.openxmlformats.org/officeDocument/2006/relationships/hyperlink" Target="mailto:=@TM1RPTROW($B$2,%22TM1-S1_DEV:SP_SKU%22,,,%22SKU%20Description%22,FALSE,D$1)" TargetMode="External"/><Relationship Id="rId32" Type="http://schemas.openxmlformats.org/officeDocument/2006/relationships/hyperlink" Target="mailto:=@TM1RPTROW($B$2,%22TM1-S1_DEV:SP_SKU%22,,,%22SKU%20Description%22,FALSE,D$1)" TargetMode="External"/><Relationship Id="rId37" Type="http://schemas.openxmlformats.org/officeDocument/2006/relationships/hyperlink" Target="mailto:=@TM1RPTROW($B$2,%22TM1-S1_DEV:SP_SKU%22,,,%22SKU%20Description%22,FALSE,D$1)" TargetMode="External"/><Relationship Id="rId40" Type="http://schemas.openxmlformats.org/officeDocument/2006/relationships/hyperlink" Target="mailto:=@TM1RPTROW($B$2,%22TM1-S1_DEV:SP_SKU%22,,,%22SKU%20Description%22,FALSE,D$1)" TargetMode="External"/><Relationship Id="rId45" Type="http://schemas.openxmlformats.org/officeDocument/2006/relationships/hyperlink" Target="mailto:=@TM1RPTROW($B$2,%22TM1-S1_DEV:SP_SKU%22,,,%22SKU%20Description%22,FALSE,D$1)" TargetMode="External"/><Relationship Id="rId5" Type="http://schemas.openxmlformats.org/officeDocument/2006/relationships/hyperlink" Target="mailto:=@TM1RPTROW($B$2,%22TM1-S1_DEV:SP_SKU%22,,,%22SKU%20Description%22,FALSE,D$1)" TargetMode="External"/><Relationship Id="rId15" Type="http://schemas.openxmlformats.org/officeDocument/2006/relationships/hyperlink" Target="mailto:=@TM1RPTROW($B$2,%22TM1-S1_DEV:SP_SKU%22,,,%22SKU%20Description%22,FALSE,D$1)" TargetMode="External"/><Relationship Id="rId23" Type="http://schemas.openxmlformats.org/officeDocument/2006/relationships/hyperlink" Target="mailto:=@TM1RPTROW($B$2,%22TM1-S1_DEV:SP_SKU%22,,,%22SKU%20Description%22,FALSE,D$1)" TargetMode="External"/><Relationship Id="rId28" Type="http://schemas.openxmlformats.org/officeDocument/2006/relationships/hyperlink" Target="mailto:=@TM1RPTROW($B$2,%22TM1-S1_DEV:SP_SKU%22,,,%22SKU%20Description%22,FALSE,D$1)" TargetMode="External"/><Relationship Id="rId36" Type="http://schemas.openxmlformats.org/officeDocument/2006/relationships/hyperlink" Target="mailto:=@TM1RPTROW($B$2,%22TM1-S1_DEV:SP_SKU%22,,,%22SKU%20Description%22,FALSE,D$1)" TargetMode="External"/><Relationship Id="rId49" Type="http://schemas.openxmlformats.org/officeDocument/2006/relationships/customProperty" Target="../customProperty5.bin"/><Relationship Id="rId10" Type="http://schemas.openxmlformats.org/officeDocument/2006/relationships/hyperlink" Target="mailto:=@TM1RPTROW($B$2,%22TM1-S1_DEV:SP_SKU%22,,,%22SKU%20Description%22,FALSE,D$1)" TargetMode="External"/><Relationship Id="rId19" Type="http://schemas.openxmlformats.org/officeDocument/2006/relationships/hyperlink" Target="mailto:=@TM1RPTROW($B$2,%22TM1-S1_DEV:SP_SKU%22,,,%22SKU%20Description%22,FALSE,D$1)" TargetMode="External"/><Relationship Id="rId31" Type="http://schemas.openxmlformats.org/officeDocument/2006/relationships/hyperlink" Target="mailto:=@TM1RPTROW($B$2,%22TM1-S1_DEV:SP_SKU%22,,,%22SKU%20Description%22,FALSE,D$1)" TargetMode="External"/><Relationship Id="rId44" Type="http://schemas.openxmlformats.org/officeDocument/2006/relationships/hyperlink" Target="mailto:=@TM1RPTROW($B$2,%22TM1-S1_DEV:SP_SKU%22,,,%22SKU%20Description%22,FALSE,D$1)" TargetMode="External"/><Relationship Id="rId4" Type="http://schemas.openxmlformats.org/officeDocument/2006/relationships/hyperlink" Target="mailto:=@TM1RPTROW($B$2,%22TM1-S1_DEV:SP_SKU%22,,,%22SKU%20Description%22,FALSE,D$1)" TargetMode="External"/><Relationship Id="rId9" Type="http://schemas.openxmlformats.org/officeDocument/2006/relationships/hyperlink" Target="mailto:=@TM1RPTROW($B$2,%22TM1-S1_DEV:SP_SKU%22,,,%22SKU%20Description%22,FALSE,D$1)" TargetMode="External"/><Relationship Id="rId14" Type="http://schemas.openxmlformats.org/officeDocument/2006/relationships/hyperlink" Target="mailto:=@TM1RPTROW($B$2,%22TM1-S1_DEV:SP_SKU%22,,,%22SKU%20Description%22,FALSE,D$1)" TargetMode="External"/><Relationship Id="rId22" Type="http://schemas.openxmlformats.org/officeDocument/2006/relationships/hyperlink" Target="mailto:=@TM1RPTROW($B$2,%22TM1-S1_DEV:SP_SKU%22,,,%22SKU%20Description%22,FALSE,D$1)" TargetMode="External"/><Relationship Id="rId27" Type="http://schemas.openxmlformats.org/officeDocument/2006/relationships/hyperlink" Target="mailto:=@TM1RPTROW($B$2,%22TM1-S1_DEV:SP_SKU%22,,,%22SKU%20Description%22,FALSE,D$1)" TargetMode="External"/><Relationship Id="rId30" Type="http://schemas.openxmlformats.org/officeDocument/2006/relationships/hyperlink" Target="mailto:=@TM1RPTROW($B$2,%22TM1-S1_DEV:SP_SKU%22,,,%22SKU%20Description%22,FALSE,D$1)" TargetMode="External"/><Relationship Id="rId35" Type="http://schemas.openxmlformats.org/officeDocument/2006/relationships/hyperlink" Target="mailto:=@TM1RPTROW($B$2,%22TM1-S1_DEV:SP_SKU%22,,,%22SKU%20Description%22,FALSE,D$1)" TargetMode="External"/><Relationship Id="rId43" Type="http://schemas.openxmlformats.org/officeDocument/2006/relationships/hyperlink" Target="mailto:=@TM1RPTROW($B$2,%22TM1-S1_DEV:SP_SKU%22,,,%22SKU%20Description%22,FALSE,D$1)" TargetMode="External"/><Relationship Id="rId48" Type="http://schemas.openxmlformats.org/officeDocument/2006/relationships/hyperlink" Target="mailto:=@TM1RPTROW($B$2,%22TM1-S1_DEV:SP_SKU%22,,,%22SKU%20Description%22,FALSE,D$1)" TargetMode="External"/><Relationship Id="rId8" Type="http://schemas.openxmlformats.org/officeDocument/2006/relationships/hyperlink" Target="mailto:=@TM1RPTROW($B$2,%22TM1-S1_DEV:SP_SKU%22,,,%22SKU%20Description%22,FALSE,D$1)" TargetMode="External"/><Relationship Id="rId3" Type="http://schemas.openxmlformats.org/officeDocument/2006/relationships/hyperlink" Target="mailto:=@TM1RPTROW($B$2,%22TM1-S1_DEV:SP_SKU%22,,,%22SKU%20Description%22,FALSE,D$1)" TargetMode="External"/><Relationship Id="rId12" Type="http://schemas.openxmlformats.org/officeDocument/2006/relationships/hyperlink" Target="mailto:=@TM1RPTROW($B$2,%22TM1-S1_DEV:SP_SKU%22,,,%22SKU%20Description%22,FALSE,D$1)" TargetMode="External"/><Relationship Id="rId17" Type="http://schemas.openxmlformats.org/officeDocument/2006/relationships/hyperlink" Target="mailto:=@TM1RPTROW($B$2,%22TM1-S1_DEV:SP_SKU%22,,,%22SKU%20Description%22,FALSE,D$1)" TargetMode="External"/><Relationship Id="rId25" Type="http://schemas.openxmlformats.org/officeDocument/2006/relationships/hyperlink" Target="mailto:=@TM1RPTROW($B$2,%22TM1-S1_DEV:SP_SKU%22,,,%22SKU%20Description%22,FALSE,D$1)" TargetMode="External"/><Relationship Id="rId33" Type="http://schemas.openxmlformats.org/officeDocument/2006/relationships/hyperlink" Target="mailto:=@TM1RPTROW($B$2,%22TM1-S1_DEV:SP_SKU%22,,,%22SKU%20Description%22,FALSE,D$1)" TargetMode="External"/><Relationship Id="rId38" Type="http://schemas.openxmlformats.org/officeDocument/2006/relationships/hyperlink" Target="mailto:=@TM1RPTROW($B$2,%22TM1-S1_DEV:SP_SKU%22,,,%22SKU%20Description%22,FALSE,D$1)" TargetMode="External"/><Relationship Id="rId46" Type="http://schemas.openxmlformats.org/officeDocument/2006/relationships/hyperlink" Target="mailto:=@TM1RPTROW($B$2,%22TM1-S1_DEV:SP_SKU%22,,,%22SKU%20Description%22,FALSE,D$1)" TargetMode="External"/><Relationship Id="rId20" Type="http://schemas.openxmlformats.org/officeDocument/2006/relationships/hyperlink" Target="mailto:=@TM1RPTROW($B$2,%22TM1-S1_DEV:SP_SKU%22,,,%22SKU%20Description%22,FALSE,D$1)" TargetMode="External"/><Relationship Id="rId41" Type="http://schemas.openxmlformats.org/officeDocument/2006/relationships/hyperlink" Target="mailto:=@TM1RPTROW($B$2,%22TM1-S1_DEV:SP_SKU%22,,,%22SKU%20Description%22,FALSE,D$1)" TargetMode="External"/><Relationship Id="rId1" Type="http://schemas.openxmlformats.org/officeDocument/2006/relationships/hyperlink" Target="mailto:=@TM1RPTROW($B$2,%22TM1-S1_DEV:SP_SKU%22,,,%22SKU%20Description%22,FALSE,D$1)" TargetMode="External"/><Relationship Id="rId6" Type="http://schemas.openxmlformats.org/officeDocument/2006/relationships/hyperlink" Target="mailto:=@TM1RPTROW($B$2,%22TM1-S1_DEV:SP_SKU%22,,,%22SKU%20Description%22,FALSE,D$1)" TargetMode="Externa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mailto:=@TM1RPTROW($C$1,%22TM1-S1_DEV:SP_DCItem%22,,,%22MEMBER_NAME%22,FALSE,E$1)" TargetMode="External"/><Relationship Id="rId21" Type="http://schemas.openxmlformats.org/officeDocument/2006/relationships/hyperlink" Target="mailto:=@TM1RPTROW($C$1,%22TM1-S1_DEV:SP_DCItem%22,,,%22MEMBER_NAME%22,FALSE,E$1)" TargetMode="External"/><Relationship Id="rId42" Type="http://schemas.openxmlformats.org/officeDocument/2006/relationships/hyperlink" Target="mailto:=@TM1RPTROW($C$1,%22TM1-S1_DEV:SP_DCItem%22,,,%22MEMBER_NAME%22,FALSE,E$1)" TargetMode="External"/><Relationship Id="rId47" Type="http://schemas.openxmlformats.org/officeDocument/2006/relationships/hyperlink" Target="mailto:=@TM1RPTROW($C$1,%22TM1-S1_DEV:SP_DCItem%22,,,%22MEMBER_NAME%22,FALSE,E$1)" TargetMode="External"/><Relationship Id="rId63" Type="http://schemas.openxmlformats.org/officeDocument/2006/relationships/hyperlink" Target="mailto:=@TM1RPTROW($C$1,%22TM1-S1_DEV:SP_DCItem%22,,,%22MEMBER_NAME%22,FALSE,E$1)" TargetMode="External"/><Relationship Id="rId68" Type="http://schemas.openxmlformats.org/officeDocument/2006/relationships/hyperlink" Target="mailto:=@TM1RPTROW($C$1,%22TM1-S1_DEV:SP_DCItem%22,,,%22MEMBER_NAME%22,FALSE,E$1)" TargetMode="External"/><Relationship Id="rId84" Type="http://schemas.openxmlformats.org/officeDocument/2006/relationships/hyperlink" Target="mailto:=@TM1RPTROW($C$1,%22TM1-S1_DEV:SP_DCItem%22,,,%22MEMBER_NAME%22,FALSE,E$1)" TargetMode="External"/><Relationship Id="rId89" Type="http://schemas.openxmlformats.org/officeDocument/2006/relationships/hyperlink" Target="mailto:=@TM1RPTROW($C$1,%22TM1-S1_DEV:SP_DCItem%22,,,%22MEMBER_NAME%22,FALSE,E$1)" TargetMode="External"/><Relationship Id="rId112" Type="http://schemas.openxmlformats.org/officeDocument/2006/relationships/hyperlink" Target="mailto:=@TM1RPTROW($C$1,%22TM1-S1_DEV:SP_DCItem%22,,,%22MEMBER_NAME%22,FALSE,E$1)" TargetMode="External"/><Relationship Id="rId16" Type="http://schemas.openxmlformats.org/officeDocument/2006/relationships/hyperlink" Target="mailto:=@TM1RPTROW($C$1,%22TM1-S1_DEV:SP_DCItem%22,,,%22MEMBER_NAME%22,FALSE,E$1)" TargetMode="External"/><Relationship Id="rId107" Type="http://schemas.openxmlformats.org/officeDocument/2006/relationships/hyperlink" Target="mailto:=@TM1RPTROW($C$1,%22TM1-S1_DEV:SP_DCItem%22,,,%22MEMBER_NAME%22,FALSE,E$1)" TargetMode="External"/><Relationship Id="rId11" Type="http://schemas.openxmlformats.org/officeDocument/2006/relationships/hyperlink" Target="mailto:=@TM1RPTROW($C$1,%22TM1-S1_DEV:SP_DCItem%22,,,%22MEMBER_NAME%22,FALSE,E$1)" TargetMode="External"/><Relationship Id="rId32" Type="http://schemas.openxmlformats.org/officeDocument/2006/relationships/hyperlink" Target="mailto:=@TM1RPTROW($C$1,%22TM1-S1_DEV:SP_DCItem%22,,,%22MEMBER_NAME%22,FALSE,E$1)" TargetMode="External"/><Relationship Id="rId37" Type="http://schemas.openxmlformats.org/officeDocument/2006/relationships/hyperlink" Target="mailto:=@TM1RPTROW($C$1,%22TM1-S1_DEV:SP_DCItem%22,,,%22MEMBER_NAME%22,FALSE,E$1)" TargetMode="External"/><Relationship Id="rId53" Type="http://schemas.openxmlformats.org/officeDocument/2006/relationships/hyperlink" Target="mailto:=@TM1RPTROW($C$1,%22TM1-S1_DEV:SP_DCItem%22,,,%22MEMBER_NAME%22,FALSE,E$1)" TargetMode="External"/><Relationship Id="rId58" Type="http://schemas.openxmlformats.org/officeDocument/2006/relationships/hyperlink" Target="mailto:=@TM1RPTROW($C$1,%22TM1-S1_DEV:SP_DCItem%22,,,%22MEMBER_NAME%22,FALSE,E$1)" TargetMode="External"/><Relationship Id="rId74" Type="http://schemas.openxmlformats.org/officeDocument/2006/relationships/hyperlink" Target="mailto:=@TM1RPTROW($C$1,%22TM1-S1_DEV:SP_DCItem%22,,,%22MEMBER_NAME%22,FALSE,E$1)" TargetMode="External"/><Relationship Id="rId79" Type="http://schemas.openxmlformats.org/officeDocument/2006/relationships/hyperlink" Target="mailto:=@TM1RPTROW($C$1,%22TM1-S1_DEV:SP_DCItem%22,,,%22MEMBER_NAME%22,FALSE,E$1)" TargetMode="External"/><Relationship Id="rId102" Type="http://schemas.openxmlformats.org/officeDocument/2006/relationships/hyperlink" Target="mailto:=@TM1RPTROW($C$1,%22TM1-S1_DEV:SP_DCItem%22,,,%22MEMBER_NAME%22,FALSE,E$1)" TargetMode="External"/><Relationship Id="rId5" Type="http://schemas.openxmlformats.org/officeDocument/2006/relationships/hyperlink" Target="mailto:=@TM1RPTROW($C$1,%22TM1-S1_DEV:SP_DCItem%22,,,%22MEMBER_NAME%22,FALSE,E$1)" TargetMode="External"/><Relationship Id="rId90" Type="http://schemas.openxmlformats.org/officeDocument/2006/relationships/hyperlink" Target="mailto:=@TM1RPTROW($C$1,%22TM1-S1_DEV:SP_DCItem%22,,,%22MEMBER_NAME%22,FALSE,E$1)" TargetMode="External"/><Relationship Id="rId95" Type="http://schemas.openxmlformats.org/officeDocument/2006/relationships/hyperlink" Target="mailto:=@TM1RPTROW($C$1,%22TM1-S1_DEV:SP_DCItem%22,,,%22MEMBER_NAME%22,FALSE,E$1)" TargetMode="External"/><Relationship Id="rId22" Type="http://schemas.openxmlformats.org/officeDocument/2006/relationships/hyperlink" Target="mailto:=@TM1RPTROW($C$1,%22TM1-S1_DEV:SP_DCItem%22,,,%22MEMBER_NAME%22,FALSE,E$1)" TargetMode="External"/><Relationship Id="rId27" Type="http://schemas.openxmlformats.org/officeDocument/2006/relationships/hyperlink" Target="mailto:=@TM1RPTROW($C$1,%22TM1-S1_DEV:SP_DCItem%22,,,%22MEMBER_NAME%22,FALSE,E$1)" TargetMode="External"/><Relationship Id="rId43" Type="http://schemas.openxmlformats.org/officeDocument/2006/relationships/hyperlink" Target="mailto:=@TM1RPTROW($C$1,%22TM1-S1_DEV:SP_DCItem%22,,,%22MEMBER_NAME%22,FALSE,E$1)" TargetMode="External"/><Relationship Id="rId48" Type="http://schemas.openxmlformats.org/officeDocument/2006/relationships/hyperlink" Target="mailto:=@TM1RPTROW($C$1,%22TM1-S1_DEV:SP_DCItem%22,,,%22MEMBER_NAME%22,FALSE,E$1)" TargetMode="External"/><Relationship Id="rId64" Type="http://schemas.openxmlformats.org/officeDocument/2006/relationships/hyperlink" Target="mailto:=@TM1RPTROW($C$1,%22TM1-S1_DEV:SP_DCItem%22,,,%22MEMBER_NAME%22,FALSE,E$1)" TargetMode="External"/><Relationship Id="rId69" Type="http://schemas.openxmlformats.org/officeDocument/2006/relationships/hyperlink" Target="mailto:=@TM1RPTROW($C$1,%22TM1-S1_DEV:SP_DCItem%22,,,%22MEMBER_NAME%22,FALSE,E$1)" TargetMode="External"/><Relationship Id="rId113" Type="http://schemas.openxmlformats.org/officeDocument/2006/relationships/hyperlink" Target="mailto:=@TM1RPTROW($C$1,%22TM1-S1_DEV:SP_DCItem%22,,,%22MEMBER_NAME%22,FALSE,E$1)" TargetMode="External"/><Relationship Id="rId80" Type="http://schemas.openxmlformats.org/officeDocument/2006/relationships/hyperlink" Target="mailto:=@TM1RPTROW($C$1,%22TM1-S1_DEV:SP_DCItem%22,,,%22MEMBER_NAME%22,FALSE,E$1)" TargetMode="External"/><Relationship Id="rId85" Type="http://schemas.openxmlformats.org/officeDocument/2006/relationships/hyperlink" Target="mailto:=@TM1RPTROW($C$1,%22TM1-S1_DEV:SP_DCItem%22,,,%22MEMBER_NAME%22,FALSE,E$1)" TargetMode="External"/><Relationship Id="rId12" Type="http://schemas.openxmlformats.org/officeDocument/2006/relationships/hyperlink" Target="mailto:=@TM1RPTROW($C$1,%22TM1-S1_DEV:SP_DCItem%22,,,%22MEMBER_NAME%22,FALSE,E$1)" TargetMode="External"/><Relationship Id="rId17" Type="http://schemas.openxmlformats.org/officeDocument/2006/relationships/hyperlink" Target="mailto:=@TM1RPTROW($C$1,%22TM1-S1_DEV:SP_DCItem%22,,,%22MEMBER_NAME%22,FALSE,E$1)" TargetMode="External"/><Relationship Id="rId33" Type="http://schemas.openxmlformats.org/officeDocument/2006/relationships/hyperlink" Target="mailto:=@TM1RPTROW($C$1,%22TM1-S1_DEV:SP_DCItem%22,,,%22MEMBER_NAME%22,FALSE,E$1)" TargetMode="External"/><Relationship Id="rId38" Type="http://schemas.openxmlformats.org/officeDocument/2006/relationships/hyperlink" Target="mailto:=@TM1RPTROW($C$1,%22TM1-S1_DEV:SP_DCItem%22,,,%22MEMBER_NAME%22,FALSE,E$1)" TargetMode="External"/><Relationship Id="rId59" Type="http://schemas.openxmlformats.org/officeDocument/2006/relationships/hyperlink" Target="mailto:=@TM1RPTROW($C$1,%22TM1-S1_DEV:SP_DCItem%22,,,%22MEMBER_NAME%22,FALSE,E$1)" TargetMode="External"/><Relationship Id="rId103" Type="http://schemas.openxmlformats.org/officeDocument/2006/relationships/hyperlink" Target="mailto:=@TM1RPTROW($C$1,%22TM1-S1_DEV:SP_DCItem%22,,,%22MEMBER_NAME%22,FALSE,E$1)" TargetMode="External"/><Relationship Id="rId108" Type="http://schemas.openxmlformats.org/officeDocument/2006/relationships/hyperlink" Target="mailto:=@TM1RPTROW($C$1,%22TM1-S1_DEV:SP_DCItem%22,,,%22MEMBER_NAME%22,FALSE,E$1)" TargetMode="External"/><Relationship Id="rId54" Type="http://schemas.openxmlformats.org/officeDocument/2006/relationships/hyperlink" Target="mailto:=@TM1RPTROW($C$1,%22TM1-S1_DEV:SP_DCItem%22,,,%22MEMBER_NAME%22,FALSE,E$1)" TargetMode="External"/><Relationship Id="rId70" Type="http://schemas.openxmlformats.org/officeDocument/2006/relationships/hyperlink" Target="mailto:=@TM1RPTROW($C$1,%22TM1-S1_DEV:SP_DCItem%22,,,%22MEMBER_NAME%22,FALSE,E$1)" TargetMode="External"/><Relationship Id="rId75" Type="http://schemas.openxmlformats.org/officeDocument/2006/relationships/hyperlink" Target="mailto:=@TM1RPTROW($C$1,%22TM1-S1_DEV:SP_DCItem%22,,,%22MEMBER_NAME%22,FALSE,E$1)" TargetMode="External"/><Relationship Id="rId91" Type="http://schemas.openxmlformats.org/officeDocument/2006/relationships/hyperlink" Target="mailto:=@TM1RPTROW($C$1,%22TM1-S1_DEV:SP_DCItem%22,,,%22MEMBER_NAME%22,FALSE,E$1)" TargetMode="External"/><Relationship Id="rId96" Type="http://schemas.openxmlformats.org/officeDocument/2006/relationships/hyperlink" Target="mailto:=@TM1RPTROW($C$1,%22TM1-S1_DEV:SP_DCItem%22,,,%22MEMBER_NAME%22,FALSE,E$1)" TargetMode="External"/><Relationship Id="rId1" Type="http://schemas.openxmlformats.org/officeDocument/2006/relationships/hyperlink" Target="mailto:=@TM1RPTROW($C$1,%22TM1-S1_DEV:SP_DCItem%22,,,%22MEMBER_NAME%22,FALSE,E$1)" TargetMode="External"/><Relationship Id="rId6" Type="http://schemas.openxmlformats.org/officeDocument/2006/relationships/hyperlink" Target="mailto:=@TM1RPTROW($C$1,%22TM1-S1_DEV:SP_DCItem%22,,,%22MEMBER_NAME%22,FALSE,E$1)" TargetMode="External"/><Relationship Id="rId15" Type="http://schemas.openxmlformats.org/officeDocument/2006/relationships/hyperlink" Target="mailto:=@TM1RPTROW($C$1,%22TM1-S1_DEV:SP_DCItem%22,,,%22MEMBER_NAME%22,FALSE,E$1)" TargetMode="External"/><Relationship Id="rId23" Type="http://schemas.openxmlformats.org/officeDocument/2006/relationships/hyperlink" Target="mailto:=@TM1RPTROW($C$1,%22TM1-S1_DEV:SP_DCItem%22,,,%22MEMBER_NAME%22,FALSE,E$1)" TargetMode="External"/><Relationship Id="rId28" Type="http://schemas.openxmlformats.org/officeDocument/2006/relationships/hyperlink" Target="mailto:=@TM1RPTROW($C$1,%22TM1-S1_DEV:SP_DCItem%22,,,%22MEMBER_NAME%22,FALSE,E$1)" TargetMode="External"/><Relationship Id="rId36" Type="http://schemas.openxmlformats.org/officeDocument/2006/relationships/hyperlink" Target="mailto:=@TM1RPTROW($C$1,%22TM1-S1_DEV:SP_DCItem%22,,,%22MEMBER_NAME%22,FALSE,E$1)" TargetMode="External"/><Relationship Id="rId49" Type="http://schemas.openxmlformats.org/officeDocument/2006/relationships/hyperlink" Target="mailto:=@TM1RPTROW($C$1,%22TM1-S1_DEV:SP_DCItem%22,,,%22MEMBER_NAME%22,FALSE,E$1)" TargetMode="External"/><Relationship Id="rId57" Type="http://schemas.openxmlformats.org/officeDocument/2006/relationships/hyperlink" Target="mailto:=@TM1RPTROW($C$1,%22TM1-S1_DEV:SP_DCItem%22,,,%22MEMBER_NAME%22,FALSE,E$1)" TargetMode="External"/><Relationship Id="rId106" Type="http://schemas.openxmlformats.org/officeDocument/2006/relationships/hyperlink" Target="mailto:=@TM1RPTROW($C$1,%22TM1-S1_DEV:SP_DCItem%22,,,%22MEMBER_NAME%22,FALSE,E$1)" TargetMode="External"/><Relationship Id="rId114" Type="http://schemas.openxmlformats.org/officeDocument/2006/relationships/hyperlink" Target="mailto:=@TM1RPTROW($C$1,%22TM1-S1_DEV:SP_DCItem%22,,,%22MEMBER_NAME%22,FALSE,E$1)" TargetMode="External"/><Relationship Id="rId10" Type="http://schemas.openxmlformats.org/officeDocument/2006/relationships/hyperlink" Target="mailto:=@TM1RPTROW($C$1,%22TM1-S1_DEV:SP_DCItem%22,,,%22MEMBER_NAME%22,FALSE,E$1)" TargetMode="External"/><Relationship Id="rId31" Type="http://schemas.openxmlformats.org/officeDocument/2006/relationships/hyperlink" Target="mailto:=@TM1RPTROW($C$1,%22TM1-S1_DEV:SP_DCItem%22,,,%22MEMBER_NAME%22,FALSE,E$1)" TargetMode="External"/><Relationship Id="rId44" Type="http://schemas.openxmlformats.org/officeDocument/2006/relationships/hyperlink" Target="mailto:=@TM1RPTROW($C$1,%22TM1-S1_DEV:SP_DCItem%22,,,%22MEMBER_NAME%22,FALSE,E$1)" TargetMode="External"/><Relationship Id="rId52" Type="http://schemas.openxmlformats.org/officeDocument/2006/relationships/hyperlink" Target="mailto:=@TM1RPTROW($C$1,%22TM1-S1_DEV:SP_DCItem%22,,,%22MEMBER_NAME%22,FALSE,E$1)" TargetMode="External"/><Relationship Id="rId60" Type="http://schemas.openxmlformats.org/officeDocument/2006/relationships/hyperlink" Target="mailto:=@TM1RPTROW($C$1,%22TM1-S1_DEV:SP_DCItem%22,,,%22MEMBER_NAME%22,FALSE,E$1)" TargetMode="External"/><Relationship Id="rId65" Type="http://schemas.openxmlformats.org/officeDocument/2006/relationships/hyperlink" Target="mailto:=@TM1RPTROW($C$1,%22TM1-S1_DEV:SP_DCItem%22,,,%22MEMBER_NAME%22,FALSE,E$1)" TargetMode="External"/><Relationship Id="rId73" Type="http://schemas.openxmlformats.org/officeDocument/2006/relationships/hyperlink" Target="mailto:=@TM1RPTROW($C$1,%22TM1-S1_DEV:SP_DCItem%22,,,%22MEMBER_NAME%22,FALSE,E$1)" TargetMode="External"/><Relationship Id="rId78" Type="http://schemas.openxmlformats.org/officeDocument/2006/relationships/hyperlink" Target="mailto:=@TM1RPTROW($C$1,%22TM1-S1_DEV:SP_DCItem%22,,,%22MEMBER_NAME%22,FALSE,E$1)" TargetMode="External"/><Relationship Id="rId81" Type="http://schemas.openxmlformats.org/officeDocument/2006/relationships/hyperlink" Target="mailto:=@TM1RPTROW($C$1,%22TM1-S1_DEV:SP_DCItem%22,,,%22MEMBER_NAME%22,FALSE,E$1)" TargetMode="External"/><Relationship Id="rId86" Type="http://schemas.openxmlformats.org/officeDocument/2006/relationships/hyperlink" Target="mailto:=@TM1RPTROW($C$1,%22TM1-S1_DEV:SP_DCItem%22,,,%22MEMBER_NAME%22,FALSE,E$1)" TargetMode="External"/><Relationship Id="rId94" Type="http://schemas.openxmlformats.org/officeDocument/2006/relationships/hyperlink" Target="mailto:=@TM1RPTROW($C$1,%22TM1-S1_DEV:SP_DCItem%22,,,%22MEMBER_NAME%22,FALSE,E$1)" TargetMode="External"/><Relationship Id="rId99" Type="http://schemas.openxmlformats.org/officeDocument/2006/relationships/hyperlink" Target="mailto:=@TM1RPTROW($C$1,%22TM1-S1_DEV:SP_DCItem%22,,,%22MEMBER_NAME%22,FALSE,E$1)" TargetMode="External"/><Relationship Id="rId101" Type="http://schemas.openxmlformats.org/officeDocument/2006/relationships/hyperlink" Target="mailto:=@TM1RPTROW($C$1,%22TM1-S1_DEV:SP_DCItem%22,,,%22MEMBER_NAME%22,FALSE,E$1)" TargetMode="External"/><Relationship Id="rId4" Type="http://schemas.openxmlformats.org/officeDocument/2006/relationships/hyperlink" Target="mailto:=@TM1RPTROW($C$1,%22TM1-S1_DEV:SP_DCItem%22,,,%22MEMBER_NAME%22,FALSE,E$1)" TargetMode="External"/><Relationship Id="rId9" Type="http://schemas.openxmlformats.org/officeDocument/2006/relationships/hyperlink" Target="mailto:=@TM1RPTROW($C$1,%22TM1-S1_DEV:SP_DCItem%22,,,%22MEMBER_NAME%22,FALSE,E$1)" TargetMode="External"/><Relationship Id="rId13" Type="http://schemas.openxmlformats.org/officeDocument/2006/relationships/hyperlink" Target="mailto:=@TM1RPTROW($C$1,%22TM1-S1_DEV:SP_DCItem%22,,,%22MEMBER_NAME%22,FALSE,E$1)" TargetMode="External"/><Relationship Id="rId18" Type="http://schemas.openxmlformats.org/officeDocument/2006/relationships/hyperlink" Target="mailto:=@TM1RPTROW($C$1,%22TM1-S1_DEV:SP_DCItem%22,,,%22MEMBER_NAME%22,FALSE,E$1)" TargetMode="External"/><Relationship Id="rId39" Type="http://schemas.openxmlformats.org/officeDocument/2006/relationships/hyperlink" Target="mailto:=@TM1RPTROW($C$1,%22TM1-S1_DEV:SP_DCItem%22,,,%22MEMBER_NAME%22,FALSE,E$1)" TargetMode="External"/><Relationship Id="rId109" Type="http://schemas.openxmlformats.org/officeDocument/2006/relationships/hyperlink" Target="mailto:=@TM1RPTROW($C$1,%22TM1-S1_DEV:SP_DCItem%22,,,%22MEMBER_NAME%22,FALSE,E$1)" TargetMode="External"/><Relationship Id="rId34" Type="http://schemas.openxmlformats.org/officeDocument/2006/relationships/hyperlink" Target="mailto:=@TM1RPTROW($C$1,%22TM1-S1_DEV:SP_DCItem%22,,,%22MEMBER_NAME%22,FALSE,E$1)" TargetMode="External"/><Relationship Id="rId50" Type="http://schemas.openxmlformats.org/officeDocument/2006/relationships/hyperlink" Target="mailto:=@TM1RPTROW($C$1,%22TM1-S1_DEV:SP_DCItem%22,,,%22MEMBER_NAME%22,FALSE,E$1)" TargetMode="External"/><Relationship Id="rId55" Type="http://schemas.openxmlformats.org/officeDocument/2006/relationships/hyperlink" Target="mailto:=@TM1RPTROW($C$1,%22TM1-S1_DEV:SP_DCItem%22,,,%22MEMBER_NAME%22,FALSE,E$1)" TargetMode="External"/><Relationship Id="rId76" Type="http://schemas.openxmlformats.org/officeDocument/2006/relationships/hyperlink" Target="mailto:=@TM1RPTROW($C$1,%22TM1-S1_DEV:SP_DCItem%22,,,%22MEMBER_NAME%22,FALSE,E$1)" TargetMode="External"/><Relationship Id="rId97" Type="http://schemas.openxmlformats.org/officeDocument/2006/relationships/hyperlink" Target="mailto:=@TM1RPTROW($C$1,%22TM1-S1_DEV:SP_DCItem%22,,,%22MEMBER_NAME%22,FALSE,E$1)" TargetMode="External"/><Relationship Id="rId104" Type="http://schemas.openxmlformats.org/officeDocument/2006/relationships/hyperlink" Target="mailto:=@TM1RPTROW($C$1,%22TM1-S1_DEV:SP_DCItem%22,,,%22MEMBER_NAME%22,FALSE,E$1)" TargetMode="External"/><Relationship Id="rId7" Type="http://schemas.openxmlformats.org/officeDocument/2006/relationships/hyperlink" Target="mailto:=@TM1RPTROW($C$1,%22TM1-S1_DEV:SP_DCItem%22,,,%22MEMBER_NAME%22,FALSE,E$1)" TargetMode="External"/><Relationship Id="rId71" Type="http://schemas.openxmlformats.org/officeDocument/2006/relationships/hyperlink" Target="mailto:=@TM1RPTROW($C$1,%22TM1-S1_DEV:SP_DCItem%22,,,%22MEMBER_NAME%22,FALSE,E$1)" TargetMode="External"/><Relationship Id="rId92" Type="http://schemas.openxmlformats.org/officeDocument/2006/relationships/hyperlink" Target="mailto:=@TM1RPTROW($C$1,%22TM1-S1_DEV:SP_DCItem%22,,,%22MEMBER_NAME%22,FALSE,E$1)" TargetMode="External"/><Relationship Id="rId2" Type="http://schemas.openxmlformats.org/officeDocument/2006/relationships/hyperlink" Target="mailto:=@TM1RPTROW($C$1,%22TM1-S1_DEV:SP_DCItem%22,,,%22MEMBER_NAME%22,FALSE,E$1)" TargetMode="External"/><Relationship Id="rId29" Type="http://schemas.openxmlformats.org/officeDocument/2006/relationships/hyperlink" Target="mailto:=@TM1RPTROW($C$1,%22TM1-S1_DEV:SP_DCItem%22,,,%22MEMBER_NAME%22,FALSE,E$1)" TargetMode="External"/><Relationship Id="rId24" Type="http://schemas.openxmlformats.org/officeDocument/2006/relationships/hyperlink" Target="mailto:=@TM1RPTROW($C$1,%22TM1-S1_DEV:SP_DCItem%22,,,%22MEMBER_NAME%22,FALSE,E$1)" TargetMode="External"/><Relationship Id="rId40" Type="http://schemas.openxmlformats.org/officeDocument/2006/relationships/hyperlink" Target="mailto:=@TM1RPTROW($C$1,%22TM1-S1_DEV:SP_DCItem%22,,,%22MEMBER_NAME%22,FALSE,E$1)" TargetMode="External"/><Relationship Id="rId45" Type="http://schemas.openxmlformats.org/officeDocument/2006/relationships/hyperlink" Target="mailto:=@TM1RPTROW($C$1,%22TM1-S1_DEV:SP_DCItem%22,,,%22MEMBER_NAME%22,FALSE,E$1)" TargetMode="External"/><Relationship Id="rId66" Type="http://schemas.openxmlformats.org/officeDocument/2006/relationships/hyperlink" Target="mailto:=@TM1RPTROW($C$1,%22TM1-S1_DEV:SP_DCItem%22,,,%22MEMBER_NAME%22,FALSE,E$1)" TargetMode="External"/><Relationship Id="rId87" Type="http://schemas.openxmlformats.org/officeDocument/2006/relationships/hyperlink" Target="mailto:=@TM1RPTROW($C$1,%22TM1-S1_DEV:SP_DCItem%22,,,%22MEMBER_NAME%22,FALSE,E$1)" TargetMode="External"/><Relationship Id="rId110" Type="http://schemas.openxmlformats.org/officeDocument/2006/relationships/hyperlink" Target="mailto:=@TM1RPTROW($C$1,%22TM1-S1_DEV:SP_DCItem%22,,,%22MEMBER_NAME%22,FALSE,E$1)" TargetMode="External"/><Relationship Id="rId115" Type="http://schemas.openxmlformats.org/officeDocument/2006/relationships/hyperlink" Target="mailto:=@TM1RPTROW($C$1,%22TM1-S1_DEV:SP_DCItem%22,,,%22MEMBER_NAME%22,FALSE,E$1)" TargetMode="External"/><Relationship Id="rId61" Type="http://schemas.openxmlformats.org/officeDocument/2006/relationships/hyperlink" Target="mailto:=@TM1RPTROW($C$1,%22TM1-S1_DEV:SP_DCItem%22,,,%22MEMBER_NAME%22,FALSE,E$1)" TargetMode="External"/><Relationship Id="rId82" Type="http://schemas.openxmlformats.org/officeDocument/2006/relationships/hyperlink" Target="mailto:=@TM1RPTROW($C$1,%22TM1-S1_DEV:SP_DCItem%22,,,%22MEMBER_NAME%22,FALSE,E$1)" TargetMode="External"/><Relationship Id="rId19" Type="http://schemas.openxmlformats.org/officeDocument/2006/relationships/hyperlink" Target="mailto:=@TM1RPTROW($C$1,%22TM1-S1_DEV:SP_DCItem%22,,,%22MEMBER_NAME%22,FALSE,E$1)" TargetMode="External"/><Relationship Id="rId14" Type="http://schemas.openxmlformats.org/officeDocument/2006/relationships/hyperlink" Target="mailto:=@TM1RPTROW($C$1,%22TM1-S1_DEV:SP_DCItem%22,,,%22MEMBER_NAME%22,FALSE,E$1)" TargetMode="External"/><Relationship Id="rId30" Type="http://schemas.openxmlformats.org/officeDocument/2006/relationships/hyperlink" Target="mailto:=@TM1RPTROW($C$1,%22TM1-S1_DEV:SP_DCItem%22,,,%22MEMBER_NAME%22,FALSE,E$1)" TargetMode="External"/><Relationship Id="rId35" Type="http://schemas.openxmlformats.org/officeDocument/2006/relationships/hyperlink" Target="mailto:=@TM1RPTROW($C$1,%22TM1-S1_DEV:SP_DCItem%22,,,%22MEMBER_NAME%22,FALSE,E$1)" TargetMode="External"/><Relationship Id="rId56" Type="http://schemas.openxmlformats.org/officeDocument/2006/relationships/hyperlink" Target="mailto:=@TM1RPTROW($C$1,%22TM1-S1_DEV:SP_DCItem%22,,,%22MEMBER_NAME%22,FALSE,E$1)" TargetMode="External"/><Relationship Id="rId77" Type="http://schemas.openxmlformats.org/officeDocument/2006/relationships/hyperlink" Target="mailto:=@TM1RPTROW($C$1,%22TM1-S1_DEV:SP_DCItem%22,,,%22MEMBER_NAME%22,FALSE,E$1)" TargetMode="External"/><Relationship Id="rId100" Type="http://schemas.openxmlformats.org/officeDocument/2006/relationships/hyperlink" Target="mailto:=@TM1RPTROW($C$1,%22TM1-S1_DEV:SP_DCItem%22,,,%22MEMBER_NAME%22,FALSE,E$1)" TargetMode="External"/><Relationship Id="rId105" Type="http://schemas.openxmlformats.org/officeDocument/2006/relationships/hyperlink" Target="mailto:=@TM1RPTROW($C$1,%22TM1-S1_DEV:SP_DCItem%22,,,%22MEMBER_NAME%22,FALSE,E$1)" TargetMode="External"/><Relationship Id="rId8" Type="http://schemas.openxmlformats.org/officeDocument/2006/relationships/hyperlink" Target="mailto:=@TM1RPTROW($C$1,%22TM1-S1_DEV:SP_DCItem%22,,,%22MEMBER_NAME%22,FALSE,E$1)" TargetMode="External"/><Relationship Id="rId51" Type="http://schemas.openxmlformats.org/officeDocument/2006/relationships/hyperlink" Target="mailto:=@TM1RPTROW($C$1,%22TM1-S1_DEV:SP_DCItem%22,,,%22MEMBER_NAME%22,FALSE,E$1)" TargetMode="External"/><Relationship Id="rId72" Type="http://schemas.openxmlformats.org/officeDocument/2006/relationships/hyperlink" Target="mailto:=@TM1RPTROW($C$1,%22TM1-S1_DEV:SP_DCItem%22,,,%22MEMBER_NAME%22,FALSE,E$1)" TargetMode="External"/><Relationship Id="rId93" Type="http://schemas.openxmlformats.org/officeDocument/2006/relationships/hyperlink" Target="mailto:=@TM1RPTROW($C$1,%22TM1-S1_DEV:SP_DCItem%22,,,%22MEMBER_NAME%22,FALSE,E$1)" TargetMode="External"/><Relationship Id="rId98" Type="http://schemas.openxmlformats.org/officeDocument/2006/relationships/hyperlink" Target="mailto:=@TM1RPTROW($C$1,%22TM1-S1_DEV:SP_DCItem%22,,,%22MEMBER_NAME%22,FALSE,E$1)" TargetMode="External"/><Relationship Id="rId3" Type="http://schemas.openxmlformats.org/officeDocument/2006/relationships/hyperlink" Target="mailto:=@TM1RPTROW($C$1,%22TM1-S1_DEV:SP_DCItem%22,,,%22MEMBER_NAME%22,FALSE,E$1)" TargetMode="External"/><Relationship Id="rId25" Type="http://schemas.openxmlformats.org/officeDocument/2006/relationships/hyperlink" Target="mailto:=@TM1RPTROW($C$1,%22TM1-S1_DEV:SP_DCItem%22,,,%22MEMBER_NAME%22,FALSE,E$1)" TargetMode="External"/><Relationship Id="rId46" Type="http://schemas.openxmlformats.org/officeDocument/2006/relationships/hyperlink" Target="mailto:=@TM1RPTROW($C$1,%22TM1-S1_DEV:SP_DCItem%22,,,%22MEMBER_NAME%22,FALSE,E$1)" TargetMode="External"/><Relationship Id="rId67" Type="http://schemas.openxmlformats.org/officeDocument/2006/relationships/hyperlink" Target="mailto:=@TM1RPTROW($C$1,%22TM1-S1_DEV:SP_DCItem%22,,,%22MEMBER_NAME%22,FALSE,E$1)" TargetMode="External"/><Relationship Id="rId116" Type="http://schemas.openxmlformats.org/officeDocument/2006/relationships/hyperlink" Target="mailto:=@TM1RPTROW($C$1,%22TM1-S1_DEV:SP_DCItem%22,,,%22MEMBER_NAME%22,FALSE,E$1)" TargetMode="External"/><Relationship Id="rId20" Type="http://schemas.openxmlformats.org/officeDocument/2006/relationships/hyperlink" Target="mailto:=@TM1RPTROW($C$1,%22TM1-S1_DEV:SP_DCItem%22,,,%22MEMBER_NAME%22,FALSE,E$1)" TargetMode="External"/><Relationship Id="rId41" Type="http://schemas.openxmlformats.org/officeDocument/2006/relationships/hyperlink" Target="mailto:=@TM1RPTROW($C$1,%22TM1-S1_DEV:SP_DCItem%22,,,%22MEMBER_NAME%22,FALSE,E$1)" TargetMode="External"/><Relationship Id="rId62" Type="http://schemas.openxmlformats.org/officeDocument/2006/relationships/hyperlink" Target="mailto:=@TM1RPTROW($C$1,%22TM1-S1_DEV:SP_DCItem%22,,,%22MEMBER_NAME%22,FALSE,E$1)" TargetMode="External"/><Relationship Id="rId83" Type="http://schemas.openxmlformats.org/officeDocument/2006/relationships/hyperlink" Target="mailto:=@TM1RPTROW($C$1,%22TM1-S1_DEV:SP_DCItem%22,,,%22MEMBER_NAME%22,FALSE,E$1)" TargetMode="External"/><Relationship Id="rId88" Type="http://schemas.openxmlformats.org/officeDocument/2006/relationships/hyperlink" Target="mailto:=@TM1RPTROW($C$1,%22TM1-S1_DEV:SP_DCItem%22,,,%22MEMBER_NAME%22,FALSE,E$1)" TargetMode="External"/><Relationship Id="rId111" Type="http://schemas.openxmlformats.org/officeDocument/2006/relationships/hyperlink" Target="mailto:=@TM1RPTROW($C$1,%22TM1-S1_DEV:SP_DCItem%22,,,%22MEMBER_NAME%22,FALSE,E$1)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416D03-8B96-466E-8E33-EC9428D9F411}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  <customProperties>
    <customPr name="CafeStyleVersion" r:id="rId1"/>
    <customPr name="LastTupleSet_0" r:id="rId2"/>
    <customPr name="LastTupleSet_COR_Mappings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6FA86-5748-4582-8756-4D08935EF554}">
  <sheetPr codeName="Sheet4"/>
  <dimension ref="A1:CE206"/>
  <sheetViews>
    <sheetView showGridLines="0" tabSelected="1" zoomScale="90" zoomScaleNormal="90" workbookViewId="0">
      <pane xSplit="6" ySplit="21" topLeftCell="G22" activePane="bottomRight" state="frozen"/>
      <selection pane="topRight" activeCell="I1" sqref="I1"/>
      <selection pane="bottomLeft" activeCell="A22" sqref="A22"/>
      <selection pane="bottomRight" activeCell="B15" sqref="B15"/>
    </sheetView>
  </sheetViews>
  <sheetFormatPr defaultRowHeight="15" outlineLevelRow="1" outlineLevelCol="2" x14ac:dyDescent="0.25"/>
  <cols>
    <col min="1" max="1" width="25.7109375" style="66" hidden="1" customWidth="1" outlineLevel="1"/>
    <col min="2" max="2" width="14.140625" bestFit="1" customWidth="1" collapsed="1"/>
    <col min="3" max="3" width="13.28515625" customWidth="1"/>
    <col min="4" max="4" width="46.42578125" customWidth="1"/>
    <col min="5" max="5" width="10.42578125" customWidth="1"/>
    <col min="6" max="6" width="30.28515625" customWidth="1"/>
    <col min="7" max="7" width="10.85546875" customWidth="1"/>
    <col min="8" max="8" width="10.140625" style="55" customWidth="1"/>
    <col min="9" max="9" width="1.7109375" customWidth="1"/>
    <col min="10" max="10" width="8.85546875" customWidth="1" outlineLevel="1"/>
    <col min="11" max="11" width="9.5703125" customWidth="1" outlineLevel="1"/>
    <col min="12" max="14" width="8.85546875" customWidth="1" outlineLevel="1"/>
    <col min="15" max="15" width="8.5703125" hidden="1" customWidth="1" outlineLevel="2"/>
    <col min="16" max="16" width="10.5703125" customWidth="1" outlineLevel="1" collapsed="1"/>
    <col min="17" max="17" width="8.85546875" customWidth="1"/>
    <col min="18" max="18" width="9.42578125" hidden="1" customWidth="1" outlineLevel="1"/>
    <col min="19" max="20" width="8.85546875" hidden="1" customWidth="1" outlineLevel="1"/>
    <col min="21" max="21" width="8.5703125" hidden="1" customWidth="1" outlineLevel="2"/>
    <col min="22" max="22" width="10.7109375" hidden="1" customWidth="1" outlineLevel="1" collapsed="1"/>
    <col min="23" max="23" width="8.85546875" customWidth="1" collapsed="1"/>
    <col min="24" max="24" width="9.5703125" hidden="1" customWidth="1" outlineLevel="1"/>
    <col min="25" max="26" width="8.85546875" hidden="1" customWidth="1" outlineLevel="1"/>
    <col min="27" max="27" width="8.5703125" hidden="1" customWidth="1" outlineLevel="2"/>
    <col min="28" max="28" width="10.42578125" hidden="1" customWidth="1" outlineLevel="1" collapsed="1"/>
    <col min="29" max="29" width="8.85546875" customWidth="1" collapsed="1"/>
    <col min="30" max="30" width="9.5703125" hidden="1" customWidth="1" outlineLevel="1"/>
    <col min="31" max="32" width="8.85546875" hidden="1" customWidth="1" outlineLevel="1"/>
    <col min="33" max="33" width="8.5703125" hidden="1" customWidth="1" outlineLevel="2"/>
    <col min="34" max="34" width="9.7109375" hidden="1" customWidth="1" outlineLevel="1" collapsed="1"/>
    <col min="35" max="35" width="8.85546875" customWidth="1" collapsed="1"/>
    <col min="36" max="36" width="9.42578125" hidden="1" customWidth="1" outlineLevel="1"/>
    <col min="37" max="38" width="8.85546875" hidden="1" customWidth="1" outlineLevel="1"/>
    <col min="39" max="39" width="8.5703125" hidden="1" customWidth="1" outlineLevel="2"/>
    <col min="40" max="40" width="9.5703125" hidden="1" customWidth="1" outlineLevel="1" collapsed="1"/>
    <col min="41" max="41" width="8.85546875" customWidth="1" collapsed="1"/>
    <col min="42" max="44" width="8.85546875" hidden="1" customWidth="1" outlineLevel="1"/>
    <col min="45" max="45" width="8.5703125" hidden="1" customWidth="1" outlineLevel="2"/>
    <col min="46" max="46" width="8.85546875" hidden="1" customWidth="1" outlineLevel="1" collapsed="1"/>
    <col min="47" max="47" width="8.85546875" customWidth="1" collapsed="1"/>
    <col min="48" max="50" width="8.85546875" hidden="1" customWidth="1" outlineLevel="1"/>
    <col min="51" max="51" width="8.5703125" hidden="1" customWidth="1" outlineLevel="2"/>
    <col min="52" max="52" width="8.85546875" hidden="1" customWidth="1" outlineLevel="1" collapsed="1"/>
    <col min="53" max="53" width="8.85546875" customWidth="1" collapsed="1"/>
    <col min="54" max="56" width="8.85546875" hidden="1" customWidth="1" outlineLevel="1"/>
    <col min="57" max="57" width="8.5703125" hidden="1" customWidth="1" outlineLevel="2"/>
    <col min="58" max="58" width="8.85546875" hidden="1" customWidth="1" outlineLevel="1" collapsed="1"/>
    <col min="59" max="59" width="8.85546875" customWidth="1" collapsed="1"/>
    <col min="60" max="62" width="8.85546875" hidden="1" customWidth="1" outlineLevel="1"/>
    <col min="63" max="63" width="8.5703125" hidden="1" customWidth="1" outlineLevel="2"/>
    <col min="64" max="64" width="8.85546875" hidden="1" customWidth="1" outlineLevel="1" collapsed="1"/>
    <col min="65" max="65" width="8.85546875" customWidth="1" collapsed="1"/>
    <col min="66" max="68" width="8.85546875" hidden="1" customWidth="1" outlineLevel="1"/>
    <col min="69" max="69" width="8.5703125" hidden="1" customWidth="1" outlineLevel="2"/>
    <col min="70" max="70" width="8.85546875" hidden="1" customWidth="1" outlineLevel="1" collapsed="1"/>
    <col min="71" max="71" width="8.85546875" customWidth="1" collapsed="1"/>
    <col min="72" max="74" width="8.85546875" hidden="1" customWidth="1" outlineLevel="1"/>
    <col min="75" max="75" width="8.5703125" hidden="1" customWidth="1" outlineLevel="2"/>
    <col min="76" max="76" width="8.85546875" hidden="1" customWidth="1" outlineLevel="1" collapsed="1"/>
    <col min="77" max="77" width="8.85546875" customWidth="1" collapsed="1"/>
    <col min="78" max="80" width="8.85546875" hidden="1" customWidth="1" outlineLevel="1"/>
    <col min="81" max="81" width="8.5703125" hidden="1" customWidth="1" outlineLevel="2"/>
    <col min="82" max="82" width="8.85546875" hidden="1" customWidth="1" outlineLevel="1" collapsed="1"/>
    <col min="83" max="83" width="8.85546875" customWidth="1" collapsed="1"/>
  </cols>
  <sheetData>
    <row r="1" spans="1:83" s="66" customFormat="1" hidden="1" outlineLevel="1" x14ac:dyDescent="0.25">
      <c r="B1" s="67" t="s">
        <v>57</v>
      </c>
      <c r="C1" s="67" t="s">
        <v>67</v>
      </c>
      <c r="D1" s="67" t="s">
        <v>5</v>
      </c>
      <c r="E1" s="67" t="s">
        <v>6</v>
      </c>
      <c r="F1" s="67" t="s">
        <v>7</v>
      </c>
      <c r="G1" s="68" t="str">
        <f>IF(J$2="WK 1", "FY "&amp;RIGHT($J$1,2)-1,$J$1)</f>
        <v>FY 26</v>
      </c>
      <c r="H1" s="69"/>
      <c r="I1" s="70"/>
      <c r="J1" s="163" t="str">
        <f>$D$16</f>
        <v>FY 26</v>
      </c>
      <c r="K1" s="164"/>
      <c r="L1" s="164"/>
      <c r="M1" s="164"/>
      <c r="N1" s="164"/>
      <c r="O1" s="164"/>
      <c r="P1" s="164"/>
      <c r="Q1" s="165"/>
      <c r="R1" s="172" t="str">
        <f>IF(RIGHT(R$2,2)&lt;RIGHT(J$2,2),"FY "&amp;RIGHT(J$1,2)+1,J$1)</f>
        <v>FY 26</v>
      </c>
      <c r="S1" s="172"/>
      <c r="T1" s="172"/>
      <c r="U1" s="172"/>
      <c r="V1" s="172"/>
      <c r="W1" s="172"/>
      <c r="X1" s="172" t="str">
        <f>IF(RIGHT(X$2,2)&lt;RIGHT(R$2,2),"FY "&amp;RIGHT(R$1,2)+1,R$1)</f>
        <v>FY 26</v>
      </c>
      <c r="Y1" s="172"/>
      <c r="Z1" s="172"/>
      <c r="AA1" s="172"/>
      <c r="AB1" s="172"/>
      <c r="AC1" s="172"/>
      <c r="AD1" s="172" t="str">
        <f>IF(RIGHT(AD$2,2)&lt;RIGHT(X$2,2),"FY "&amp;RIGHT(X$1,2)+1,X$1)</f>
        <v>FY 26</v>
      </c>
      <c r="AE1" s="172"/>
      <c r="AF1" s="172"/>
      <c r="AG1" s="172"/>
      <c r="AH1" s="172"/>
      <c r="AI1" s="172"/>
      <c r="AJ1" s="172" t="str">
        <f>IF(RIGHT(AJ$2,2)&lt;RIGHT(AD$2,2),"FY "&amp;RIGHT(AD$1,2)+1,AD$1)</f>
        <v>FY 26</v>
      </c>
      <c r="AK1" s="172"/>
      <c r="AL1" s="172"/>
      <c r="AM1" s="172"/>
      <c r="AN1" s="172"/>
      <c r="AO1" s="172"/>
      <c r="AP1" s="172" t="str">
        <f>IF(RIGHT(AP$2,2)&lt;RIGHT(AJ$2,2),"FY "&amp;RIGHT(AJ$1,2)+1,AJ$1)</f>
        <v>FY 26</v>
      </c>
      <c r="AQ1" s="172"/>
      <c r="AR1" s="172"/>
      <c r="AS1" s="172"/>
      <c r="AT1" s="172"/>
      <c r="AU1" s="172"/>
      <c r="AV1" s="172" t="str">
        <f>IF(RIGHT(AV$2,2)&lt;RIGHT(AP$2,2),"FY "&amp;RIGHT(AP$1,2)+1,AP$1)</f>
        <v>FY 26</v>
      </c>
      <c r="AW1" s="172"/>
      <c r="AX1" s="172"/>
      <c r="AY1" s="172"/>
      <c r="AZ1" s="172"/>
      <c r="BA1" s="172"/>
      <c r="BB1" s="172" t="str">
        <f>IF(RIGHT(BB$2,2)&lt;RIGHT(AV$2,2),"FY "&amp;RIGHT(AV$1,2)+1,AV$1)</f>
        <v>FY 26</v>
      </c>
      <c r="BC1" s="172"/>
      <c r="BD1" s="172"/>
      <c r="BE1" s="172"/>
      <c r="BF1" s="172"/>
      <c r="BG1" s="172"/>
      <c r="BH1" s="172" t="str">
        <f>IF(RIGHT(BH$2,2)&lt;RIGHT(BB$2,2),"FY "&amp;RIGHT(BB$1,2)+1,BB$1)</f>
        <v>FY 26</v>
      </c>
      <c r="BI1" s="172"/>
      <c r="BJ1" s="172"/>
      <c r="BK1" s="172"/>
      <c r="BL1" s="172"/>
      <c r="BM1" s="172"/>
      <c r="BN1" s="172" t="str">
        <f>IF(RIGHT(BN$2,2)&lt;RIGHT(BH$2,2),"FY "&amp;RIGHT(BH$1,2)+1,BH$1)</f>
        <v>FY 26</v>
      </c>
      <c r="BO1" s="172"/>
      <c r="BP1" s="172"/>
      <c r="BQ1" s="172"/>
      <c r="BR1" s="172"/>
      <c r="BS1" s="172"/>
      <c r="BT1" s="172" t="str">
        <f>IF(RIGHT(BT$2,2)&lt;RIGHT(BN$2,2),"FY "&amp;RIGHT(BN$1,2)+1,BN$1)</f>
        <v>FY 26</v>
      </c>
      <c r="BU1" s="172"/>
      <c r="BV1" s="172"/>
      <c r="BW1" s="172"/>
      <c r="BX1" s="172"/>
      <c r="BY1" s="172"/>
      <c r="BZ1" s="172" t="str">
        <f>IF(RIGHT(BZ$2,2)&lt;RIGHT(BT$2,2),"FY "&amp;RIGHT(BT$1,2)+1,BT$1)</f>
        <v>FY 26</v>
      </c>
      <c r="CA1" s="172"/>
      <c r="CB1" s="172"/>
      <c r="CC1" s="172"/>
      <c r="CD1" s="172"/>
      <c r="CE1" s="172"/>
    </row>
    <row r="2" spans="1:83" s="72" customFormat="1" hidden="1" outlineLevel="1" x14ac:dyDescent="0.25">
      <c r="B2" s="71"/>
      <c r="C2" s="66" t="str">
        <f>_xll.TM1RPTVIEW("TM1-S1_DEV:SP_Inventory:33279711",1,_xll.TM1RPTTITLE("TM1-S1_DEV:YEAR",$D$16),_xll.TM1RPTTITLE("TM1-S1_DEV:SP_DistributionCenter",$D$18),_xll.TM1RPTTITLE("TM1-S1_DEV:SP_Locations",$D$3),TM1RPTFMTRNG33279711,TM1RPTFMTIDCOL33279711)</f>
        <v>TM1-S1_DEV:SP_Inventory:33279711</v>
      </c>
      <c r="D2" s="66"/>
      <c r="E2" s="66" t="s">
        <v>337</v>
      </c>
      <c r="G2" s="73" t="str">
        <f>IF(J$2="WK 1", "WK 52", "WK "&amp;TRIM(RIGHT(J$2,2))-1)</f>
        <v>WK 25</v>
      </c>
      <c r="H2" s="74"/>
      <c r="I2" s="75"/>
      <c r="J2" s="166" t="str">
        <f>$D$17</f>
        <v>Wk 26</v>
      </c>
      <c r="K2" s="167"/>
      <c r="L2" s="167"/>
      <c r="M2" s="167"/>
      <c r="N2" s="167"/>
      <c r="O2" s="167"/>
      <c r="P2" s="167"/>
      <c r="Q2" s="168"/>
      <c r="R2" s="173" t="str">
        <f>IF(J$2="WK 52", "WK 1", "WK "&amp;TRIM(RIGHT(J$2,2))+1)</f>
        <v>WK 27</v>
      </c>
      <c r="S2" s="173"/>
      <c r="T2" s="173"/>
      <c r="U2" s="173"/>
      <c r="V2" s="173"/>
      <c r="W2" s="173"/>
      <c r="X2" s="173" t="str">
        <f>IF(R$2="WK 52", "WK 1", "WK "&amp;TRIM(RIGHT(R$2,2))+1)</f>
        <v>WK 28</v>
      </c>
      <c r="Y2" s="173"/>
      <c r="Z2" s="173"/>
      <c r="AA2" s="173"/>
      <c r="AB2" s="173"/>
      <c r="AC2" s="173"/>
      <c r="AD2" s="173" t="str">
        <f>IF(X$2="WK 52", "WK 1", "WK "&amp;TRIM(RIGHT(X$2,2))+1)</f>
        <v>WK 29</v>
      </c>
      <c r="AE2" s="173"/>
      <c r="AF2" s="173"/>
      <c r="AG2" s="173"/>
      <c r="AH2" s="173"/>
      <c r="AI2" s="173"/>
      <c r="AJ2" s="173" t="str">
        <f>IF(AD$2="WK 52", "WK 1", "WK "&amp;TRIM(RIGHT(AD$2,2))+1)</f>
        <v>WK 30</v>
      </c>
      <c r="AK2" s="173"/>
      <c r="AL2" s="173"/>
      <c r="AM2" s="173"/>
      <c r="AN2" s="173"/>
      <c r="AO2" s="173"/>
      <c r="AP2" s="173" t="str">
        <f>IF(AJ$2="WK 52", "WK 1", "WK "&amp;TRIM(RIGHT(AJ$2,2))+1)</f>
        <v>WK 31</v>
      </c>
      <c r="AQ2" s="173"/>
      <c r="AR2" s="173"/>
      <c r="AS2" s="173"/>
      <c r="AT2" s="173"/>
      <c r="AU2" s="173"/>
      <c r="AV2" s="173" t="str">
        <f>IF(AP$2="WK 52", "WK 1", "WK "&amp;TRIM(RIGHT(AP$2,2))+1)</f>
        <v>WK 32</v>
      </c>
      <c r="AW2" s="173"/>
      <c r="AX2" s="173"/>
      <c r="AY2" s="173"/>
      <c r="AZ2" s="173"/>
      <c r="BA2" s="173"/>
      <c r="BB2" s="173" t="str">
        <f>IF(AV$2="WK 52", "WK 1", "WK "&amp;TRIM(RIGHT(AV$2,2))+1)</f>
        <v>WK 33</v>
      </c>
      <c r="BC2" s="173"/>
      <c r="BD2" s="173"/>
      <c r="BE2" s="173"/>
      <c r="BF2" s="173"/>
      <c r="BG2" s="173"/>
      <c r="BH2" s="173" t="str">
        <f>IF(BB$2="WK 52", "WK 1", "WK "&amp;TRIM(RIGHT(BB$2,2))+1)</f>
        <v>WK 34</v>
      </c>
      <c r="BI2" s="173"/>
      <c r="BJ2" s="173"/>
      <c r="BK2" s="173"/>
      <c r="BL2" s="173"/>
      <c r="BM2" s="173"/>
      <c r="BN2" s="173" t="str">
        <f>IF(BH$2="WK 52", "WK 1", "WK "&amp;TRIM(RIGHT(BH$2,2))+1)</f>
        <v>WK 35</v>
      </c>
      <c r="BO2" s="173"/>
      <c r="BP2" s="173"/>
      <c r="BQ2" s="173"/>
      <c r="BR2" s="173"/>
      <c r="BS2" s="173"/>
      <c r="BT2" s="173" t="str">
        <f>IF(BN$2="WK 52", "WK 1", "WK "&amp;TRIM(RIGHT(BN$2,2))+1)</f>
        <v>WK 36</v>
      </c>
      <c r="BU2" s="173"/>
      <c r="BV2" s="173"/>
      <c r="BW2" s="173"/>
      <c r="BX2" s="173"/>
      <c r="BY2" s="173"/>
      <c r="BZ2" s="173" t="str">
        <f>IF(BT$2="WK 52", "WK 1", "WK "&amp;TRIM(RIGHT(BT$2,2))+1)</f>
        <v>WK 37</v>
      </c>
      <c r="CA2" s="173"/>
      <c r="CB2" s="173"/>
      <c r="CC2" s="173"/>
      <c r="CD2" s="173"/>
      <c r="CE2" s="173"/>
    </row>
    <row r="3" spans="1:83" s="79" customFormat="1" ht="36.75" hidden="1" outlineLevel="1" thickBot="1" x14ac:dyDescent="0.3">
      <c r="A3" s="71" t="s">
        <v>0</v>
      </c>
      <c r="B3" s="76"/>
      <c r="C3" s="77" t="s">
        <v>8</v>
      </c>
      <c r="D3" s="78" t="str">
        <f>_xll.SUBNM("TM1-S1_DEV:SP_Locations",,"No Store")</f>
        <v>No Store</v>
      </c>
      <c r="F3" s="92" t="s">
        <v>64</v>
      </c>
      <c r="G3" s="80" t="s">
        <v>72</v>
      </c>
      <c r="H3" s="81" t="s">
        <v>75</v>
      </c>
      <c r="I3" s="82"/>
      <c r="J3" s="83" t="s">
        <v>339</v>
      </c>
      <c r="K3" s="83" t="s">
        <v>66</v>
      </c>
      <c r="L3" s="83" t="s">
        <v>76</v>
      </c>
      <c r="M3" s="83" t="s">
        <v>58</v>
      </c>
      <c r="N3" s="83" t="s">
        <v>81</v>
      </c>
      <c r="O3" s="83" t="s">
        <v>80</v>
      </c>
      <c r="P3" s="83" t="s">
        <v>71</v>
      </c>
      <c r="Q3" s="83" t="s">
        <v>38</v>
      </c>
      <c r="R3" s="83" t="s">
        <v>66</v>
      </c>
      <c r="S3" s="83" t="s">
        <v>65</v>
      </c>
      <c r="T3" s="83" t="s">
        <v>81</v>
      </c>
      <c r="U3" s="83" t="s">
        <v>80</v>
      </c>
      <c r="V3" s="83" t="s">
        <v>71</v>
      </c>
      <c r="W3" s="83" t="s">
        <v>38</v>
      </c>
      <c r="X3" s="83" t="s">
        <v>66</v>
      </c>
      <c r="Y3" s="83" t="s">
        <v>65</v>
      </c>
      <c r="Z3" s="83" t="s">
        <v>81</v>
      </c>
      <c r="AA3" s="83" t="s">
        <v>80</v>
      </c>
      <c r="AB3" s="83" t="s">
        <v>71</v>
      </c>
      <c r="AC3" s="83" t="s">
        <v>38</v>
      </c>
      <c r="AD3" s="83" t="s">
        <v>66</v>
      </c>
      <c r="AE3" s="83" t="s">
        <v>65</v>
      </c>
      <c r="AF3" s="83" t="s">
        <v>81</v>
      </c>
      <c r="AG3" s="83" t="s">
        <v>80</v>
      </c>
      <c r="AH3" s="83" t="s">
        <v>71</v>
      </c>
      <c r="AI3" s="83" t="s">
        <v>38</v>
      </c>
      <c r="AJ3" s="83" t="s">
        <v>66</v>
      </c>
      <c r="AK3" s="83" t="s">
        <v>65</v>
      </c>
      <c r="AL3" s="83" t="s">
        <v>81</v>
      </c>
      <c r="AM3" s="83" t="s">
        <v>80</v>
      </c>
      <c r="AN3" s="83" t="s">
        <v>71</v>
      </c>
      <c r="AO3" s="83" t="s">
        <v>38</v>
      </c>
      <c r="AP3" s="83" t="s">
        <v>66</v>
      </c>
      <c r="AQ3" s="83" t="s">
        <v>65</v>
      </c>
      <c r="AR3" s="83" t="s">
        <v>81</v>
      </c>
      <c r="AS3" s="83" t="s">
        <v>80</v>
      </c>
      <c r="AT3" s="83" t="s">
        <v>71</v>
      </c>
      <c r="AU3" s="83" t="s">
        <v>38</v>
      </c>
      <c r="AV3" s="83" t="s">
        <v>66</v>
      </c>
      <c r="AW3" s="83" t="s">
        <v>65</v>
      </c>
      <c r="AX3" s="83" t="s">
        <v>81</v>
      </c>
      <c r="AY3" s="83" t="s">
        <v>80</v>
      </c>
      <c r="AZ3" s="83" t="s">
        <v>71</v>
      </c>
      <c r="BA3" s="83" t="s">
        <v>38</v>
      </c>
      <c r="BB3" s="83" t="s">
        <v>66</v>
      </c>
      <c r="BC3" s="83" t="s">
        <v>65</v>
      </c>
      <c r="BD3" s="83" t="s">
        <v>81</v>
      </c>
      <c r="BE3" s="83" t="s">
        <v>80</v>
      </c>
      <c r="BF3" s="83" t="s">
        <v>71</v>
      </c>
      <c r="BG3" s="83" t="s">
        <v>38</v>
      </c>
      <c r="BH3" s="83" t="s">
        <v>66</v>
      </c>
      <c r="BI3" s="83" t="s">
        <v>65</v>
      </c>
      <c r="BJ3" s="83" t="s">
        <v>81</v>
      </c>
      <c r="BK3" s="83" t="s">
        <v>80</v>
      </c>
      <c r="BL3" s="83" t="s">
        <v>71</v>
      </c>
      <c r="BM3" s="83" t="s">
        <v>38</v>
      </c>
      <c r="BN3" s="83" t="s">
        <v>66</v>
      </c>
      <c r="BO3" s="83" t="s">
        <v>65</v>
      </c>
      <c r="BP3" s="83" t="s">
        <v>81</v>
      </c>
      <c r="BQ3" s="83" t="s">
        <v>80</v>
      </c>
      <c r="BR3" s="83" t="s">
        <v>71</v>
      </c>
      <c r="BS3" s="83" t="s">
        <v>38</v>
      </c>
      <c r="BT3" s="83" t="s">
        <v>66</v>
      </c>
      <c r="BU3" s="83" t="s">
        <v>65</v>
      </c>
      <c r="BV3" s="83" t="s">
        <v>81</v>
      </c>
      <c r="BW3" s="83" t="s">
        <v>80</v>
      </c>
      <c r="BX3" s="83" t="s">
        <v>71</v>
      </c>
      <c r="BY3" s="83" t="s">
        <v>38</v>
      </c>
      <c r="BZ3" s="83" t="s">
        <v>66</v>
      </c>
      <c r="CA3" s="83" t="s">
        <v>65</v>
      </c>
      <c r="CB3" s="83" t="s">
        <v>81</v>
      </c>
      <c r="CC3" s="83" t="s">
        <v>80</v>
      </c>
      <c r="CD3" s="83" t="s">
        <v>71</v>
      </c>
      <c r="CE3" s="83" t="s">
        <v>38</v>
      </c>
    </row>
    <row r="4" spans="1:83" s="2" customFormat="1" hidden="1" outlineLevel="1" thickBot="1" x14ac:dyDescent="0.3">
      <c r="A4" s="84">
        <v>0</v>
      </c>
      <c r="B4" s="3" t="s">
        <v>4</v>
      </c>
      <c r="C4" s="3" t="s">
        <v>4</v>
      </c>
      <c r="D4" s="3" t="s">
        <v>4</v>
      </c>
      <c r="E4" s="3" t="s">
        <v>4</v>
      </c>
      <c r="F4" s="3" t="s">
        <v>4</v>
      </c>
      <c r="G4" s="4">
        <v>123.456789</v>
      </c>
      <c r="H4" s="54">
        <v>123.456789</v>
      </c>
      <c r="I4" s="4"/>
      <c r="J4" s="4">
        <v>123.456789</v>
      </c>
      <c r="K4" s="32">
        <v>123.456789</v>
      </c>
      <c r="L4" s="4">
        <v>123.456789</v>
      </c>
      <c r="M4" s="4">
        <v>123.456789</v>
      </c>
      <c r="N4" s="4">
        <v>123.456789</v>
      </c>
      <c r="O4" s="64">
        <v>1</v>
      </c>
      <c r="P4" s="58">
        <v>123.456789</v>
      </c>
      <c r="Q4" s="41">
        <v>123.456789</v>
      </c>
      <c r="R4" s="32">
        <v>123.456789</v>
      </c>
      <c r="S4" s="4">
        <v>123.456789</v>
      </c>
      <c r="T4" s="4">
        <v>123.456789</v>
      </c>
      <c r="U4" s="64">
        <v>1</v>
      </c>
      <c r="V4" s="58">
        <v>123.456789</v>
      </c>
      <c r="W4" s="41">
        <v>123.456789</v>
      </c>
      <c r="X4" s="32">
        <v>123.456789</v>
      </c>
      <c r="Y4" s="4">
        <v>123.456789</v>
      </c>
      <c r="Z4" s="4">
        <v>123.456789</v>
      </c>
      <c r="AA4" s="64">
        <v>1</v>
      </c>
      <c r="AB4" s="58">
        <v>123.456789</v>
      </c>
      <c r="AC4" s="41">
        <v>123.456789</v>
      </c>
      <c r="AD4" s="32">
        <v>123.456789</v>
      </c>
      <c r="AE4" s="4">
        <v>123.456789</v>
      </c>
      <c r="AF4" s="4">
        <v>123.456789</v>
      </c>
      <c r="AG4" s="64">
        <v>1</v>
      </c>
      <c r="AH4" s="58">
        <v>123.456789</v>
      </c>
      <c r="AI4" s="41">
        <v>123.456789</v>
      </c>
      <c r="AJ4" s="32">
        <v>123.456789</v>
      </c>
      <c r="AK4" s="4">
        <v>123.456789</v>
      </c>
      <c r="AL4" s="4">
        <v>123.456789</v>
      </c>
      <c r="AM4" s="64">
        <v>1</v>
      </c>
      <c r="AN4" s="58">
        <v>123.456789</v>
      </c>
      <c r="AO4" s="41">
        <v>123.456789</v>
      </c>
      <c r="AP4" s="32">
        <v>123.456789</v>
      </c>
      <c r="AQ4" s="4">
        <v>123.456789</v>
      </c>
      <c r="AR4" s="4">
        <v>123.456789</v>
      </c>
      <c r="AS4" s="64">
        <v>1</v>
      </c>
      <c r="AT4" s="58">
        <v>123.456789</v>
      </c>
      <c r="AU4" s="41">
        <v>123.456789</v>
      </c>
      <c r="AV4" s="32">
        <v>123.456789</v>
      </c>
      <c r="AW4" s="4">
        <v>123.456789</v>
      </c>
      <c r="AX4" s="4">
        <v>123.456789</v>
      </c>
      <c r="AY4" s="64">
        <v>1</v>
      </c>
      <c r="AZ4" s="58">
        <v>123.456789</v>
      </c>
      <c r="BA4" s="41">
        <v>123.456789</v>
      </c>
      <c r="BB4" s="32">
        <v>123.456789</v>
      </c>
      <c r="BC4" s="4">
        <v>123.456789</v>
      </c>
      <c r="BD4" s="4">
        <v>123.456789</v>
      </c>
      <c r="BE4" s="64">
        <v>1</v>
      </c>
      <c r="BF4" s="58">
        <v>123.456789</v>
      </c>
      <c r="BG4" s="41">
        <v>123.456789</v>
      </c>
      <c r="BH4" s="32">
        <v>123.456789</v>
      </c>
      <c r="BI4" s="4">
        <v>123.456789</v>
      </c>
      <c r="BJ4" s="4">
        <v>123.456789</v>
      </c>
      <c r="BK4" s="64">
        <v>1</v>
      </c>
      <c r="BL4" s="58">
        <v>123.456789</v>
      </c>
      <c r="BM4" s="41">
        <v>123.456789</v>
      </c>
      <c r="BN4" s="32">
        <v>123.456789</v>
      </c>
      <c r="BO4" s="4">
        <v>123.456789</v>
      </c>
      <c r="BP4" s="4">
        <v>123.456789</v>
      </c>
      <c r="BQ4" s="64">
        <v>1</v>
      </c>
      <c r="BR4" s="58">
        <v>123.456789</v>
      </c>
      <c r="BS4" s="41">
        <v>123.456789</v>
      </c>
      <c r="BT4" s="32">
        <v>123.456789</v>
      </c>
      <c r="BU4" s="4">
        <v>123.456789</v>
      </c>
      <c r="BV4" s="4">
        <v>123.456789</v>
      </c>
      <c r="BW4" s="64">
        <v>1</v>
      </c>
      <c r="BX4" s="58">
        <v>123.456789</v>
      </c>
      <c r="BY4" s="41">
        <v>123.456789</v>
      </c>
      <c r="BZ4" s="32">
        <v>123.456789</v>
      </c>
      <c r="CA4" s="4">
        <v>123.456789</v>
      </c>
      <c r="CB4" s="4">
        <v>123.456789</v>
      </c>
      <c r="CC4" s="64">
        <v>1</v>
      </c>
      <c r="CD4" s="58">
        <v>123.456789</v>
      </c>
      <c r="CE4" s="41">
        <v>123.456789</v>
      </c>
    </row>
    <row r="5" spans="1:83" s="5" customFormat="1" hidden="1" outlineLevel="1" thickBot="1" x14ac:dyDescent="0.3">
      <c r="A5" s="85">
        <v>1</v>
      </c>
      <c r="B5" s="6" t="s">
        <v>4</v>
      </c>
      <c r="C5" s="6" t="s">
        <v>4</v>
      </c>
      <c r="D5" s="6" t="s">
        <v>4</v>
      </c>
      <c r="E5" s="6" t="s">
        <v>4</v>
      </c>
      <c r="F5" s="6" t="s">
        <v>4</v>
      </c>
      <c r="G5" s="4">
        <v>123.456789</v>
      </c>
      <c r="H5" s="54">
        <v>123.456789</v>
      </c>
      <c r="I5" s="4"/>
      <c r="J5" s="7">
        <v>123.456789</v>
      </c>
      <c r="K5" s="33">
        <v>123.456789</v>
      </c>
      <c r="L5" s="7">
        <v>123.456789</v>
      </c>
      <c r="M5" s="7">
        <v>123.456789</v>
      </c>
      <c r="N5" s="7">
        <v>123.456789</v>
      </c>
      <c r="O5" s="64">
        <v>0</v>
      </c>
      <c r="P5" s="58">
        <v>123.456789</v>
      </c>
      <c r="Q5" s="42">
        <v>-123.456789</v>
      </c>
      <c r="R5" s="33">
        <v>123.456789</v>
      </c>
      <c r="S5" s="7">
        <v>123.456789</v>
      </c>
      <c r="T5" s="7">
        <v>123.456789</v>
      </c>
      <c r="U5" s="64">
        <v>0</v>
      </c>
      <c r="V5" s="58">
        <v>123.456789</v>
      </c>
      <c r="W5" s="42">
        <v>-123.456789</v>
      </c>
      <c r="X5" s="33">
        <v>123.456789</v>
      </c>
      <c r="Y5" s="7">
        <v>123.456789</v>
      </c>
      <c r="Z5" s="7">
        <v>123.456789</v>
      </c>
      <c r="AA5" s="64">
        <v>0</v>
      </c>
      <c r="AB5" s="58">
        <v>123.456789</v>
      </c>
      <c r="AC5" s="42">
        <v>-123.456789</v>
      </c>
      <c r="AD5" s="33">
        <v>123.456789</v>
      </c>
      <c r="AE5" s="7">
        <v>123.456789</v>
      </c>
      <c r="AF5" s="7">
        <v>123.456789</v>
      </c>
      <c r="AG5" s="64">
        <v>0</v>
      </c>
      <c r="AH5" s="58">
        <v>123.456789</v>
      </c>
      <c r="AI5" s="42">
        <v>-123.456789</v>
      </c>
      <c r="AJ5" s="33">
        <v>123.456789</v>
      </c>
      <c r="AK5" s="7">
        <v>123.456789</v>
      </c>
      <c r="AL5" s="7">
        <v>123.456789</v>
      </c>
      <c r="AM5" s="64">
        <v>0</v>
      </c>
      <c r="AN5" s="58">
        <v>123.456789</v>
      </c>
      <c r="AO5" s="42">
        <v>-123.456789</v>
      </c>
      <c r="AP5" s="33">
        <v>123.456789</v>
      </c>
      <c r="AQ5" s="7">
        <v>123.456789</v>
      </c>
      <c r="AR5" s="7">
        <v>123.456789</v>
      </c>
      <c r="AS5" s="64">
        <v>0</v>
      </c>
      <c r="AT5" s="58">
        <v>123.456789</v>
      </c>
      <c r="AU5" s="42">
        <v>-123.456789</v>
      </c>
      <c r="AV5" s="33">
        <v>123.456789</v>
      </c>
      <c r="AW5" s="7">
        <v>123.456789</v>
      </c>
      <c r="AX5" s="7">
        <v>123.456789</v>
      </c>
      <c r="AY5" s="64">
        <v>0</v>
      </c>
      <c r="AZ5" s="58">
        <v>123.456789</v>
      </c>
      <c r="BA5" s="42">
        <v>-123.456789</v>
      </c>
      <c r="BB5" s="33">
        <v>123.456789</v>
      </c>
      <c r="BC5" s="7">
        <v>123.456789</v>
      </c>
      <c r="BD5" s="7">
        <v>123.456789</v>
      </c>
      <c r="BE5" s="64">
        <v>0</v>
      </c>
      <c r="BF5" s="58">
        <v>123.456789</v>
      </c>
      <c r="BG5" s="42">
        <v>-123.456789</v>
      </c>
      <c r="BH5" s="33">
        <v>123.456789</v>
      </c>
      <c r="BI5" s="7">
        <v>123.456789</v>
      </c>
      <c r="BJ5" s="7">
        <v>123.456789</v>
      </c>
      <c r="BK5" s="64">
        <v>0</v>
      </c>
      <c r="BL5" s="58">
        <v>123.456789</v>
      </c>
      <c r="BM5" s="42">
        <v>-123.456789</v>
      </c>
      <c r="BN5" s="33">
        <v>123.456789</v>
      </c>
      <c r="BO5" s="7">
        <v>123.456789</v>
      </c>
      <c r="BP5" s="7">
        <v>123.456789</v>
      </c>
      <c r="BQ5" s="64">
        <v>0</v>
      </c>
      <c r="BR5" s="58">
        <v>123.456789</v>
      </c>
      <c r="BS5" s="42">
        <v>-123.456789</v>
      </c>
      <c r="BT5" s="33">
        <v>123.456789</v>
      </c>
      <c r="BU5" s="7">
        <v>123.456789</v>
      </c>
      <c r="BV5" s="7">
        <v>123.456789</v>
      </c>
      <c r="BW5" s="64">
        <v>0</v>
      </c>
      <c r="BX5" s="58">
        <v>123.456789</v>
      </c>
      <c r="BY5" s="42">
        <v>-123.456789</v>
      </c>
      <c r="BZ5" s="33">
        <v>123.456789</v>
      </c>
      <c r="CA5" s="7">
        <v>123.456789</v>
      </c>
      <c r="CB5" s="7">
        <v>123.456789</v>
      </c>
      <c r="CC5" s="64">
        <v>0</v>
      </c>
      <c r="CD5" s="58">
        <v>123.456789</v>
      </c>
      <c r="CE5" s="42">
        <v>-123.456789</v>
      </c>
    </row>
    <row r="6" spans="1:83" s="8" customFormat="1" hidden="1" outlineLevel="1" thickBot="1" x14ac:dyDescent="0.3">
      <c r="A6" s="86">
        <v>2</v>
      </c>
      <c r="B6" s="9" t="s">
        <v>4</v>
      </c>
      <c r="C6" s="9" t="s">
        <v>4</v>
      </c>
      <c r="D6" s="9" t="s">
        <v>4</v>
      </c>
      <c r="E6" s="9" t="s">
        <v>4</v>
      </c>
      <c r="F6" s="9" t="s">
        <v>4</v>
      </c>
      <c r="G6" s="4">
        <v>123.456789</v>
      </c>
      <c r="H6" s="54">
        <v>123.456789</v>
      </c>
      <c r="I6" s="4"/>
      <c r="J6" s="10">
        <v>123.456789</v>
      </c>
      <c r="K6" s="34">
        <v>123.456789</v>
      </c>
      <c r="L6" s="10">
        <v>123.456789</v>
      </c>
      <c r="M6" s="10">
        <v>123.456789</v>
      </c>
      <c r="N6" s="10">
        <v>123.456789</v>
      </c>
      <c r="O6" s="64">
        <v>1</v>
      </c>
      <c r="P6" s="58">
        <v>123.456789</v>
      </c>
      <c r="Q6" s="43">
        <v>123.456789</v>
      </c>
      <c r="R6" s="34">
        <v>123.456789</v>
      </c>
      <c r="S6" s="10">
        <v>123.456789</v>
      </c>
      <c r="T6" s="10">
        <v>123.456789</v>
      </c>
      <c r="U6" s="64">
        <v>1</v>
      </c>
      <c r="V6" s="58">
        <v>123.456789</v>
      </c>
      <c r="W6" s="43">
        <v>123.456789</v>
      </c>
      <c r="X6" s="34">
        <v>123.456789</v>
      </c>
      <c r="Y6" s="10">
        <v>123.456789</v>
      </c>
      <c r="Z6" s="10">
        <v>123.456789</v>
      </c>
      <c r="AA6" s="64">
        <v>1</v>
      </c>
      <c r="AB6" s="58">
        <v>123.456789</v>
      </c>
      <c r="AC6" s="43">
        <v>123.456789</v>
      </c>
      <c r="AD6" s="34">
        <v>123.456789</v>
      </c>
      <c r="AE6" s="10">
        <v>123.456789</v>
      </c>
      <c r="AF6" s="10">
        <v>123.456789</v>
      </c>
      <c r="AG6" s="64">
        <v>1</v>
      </c>
      <c r="AH6" s="58">
        <v>123.456789</v>
      </c>
      <c r="AI6" s="43">
        <v>123.456789</v>
      </c>
      <c r="AJ6" s="34">
        <v>123.456789</v>
      </c>
      <c r="AK6" s="10">
        <v>123.456789</v>
      </c>
      <c r="AL6" s="10">
        <v>123.456789</v>
      </c>
      <c r="AM6" s="64">
        <v>1</v>
      </c>
      <c r="AN6" s="58">
        <v>123.456789</v>
      </c>
      <c r="AO6" s="43">
        <v>123.456789</v>
      </c>
      <c r="AP6" s="34">
        <v>123.456789</v>
      </c>
      <c r="AQ6" s="10">
        <v>123.456789</v>
      </c>
      <c r="AR6" s="10">
        <v>123.456789</v>
      </c>
      <c r="AS6" s="64">
        <v>1</v>
      </c>
      <c r="AT6" s="58">
        <v>123.456789</v>
      </c>
      <c r="AU6" s="43">
        <v>123.456789</v>
      </c>
      <c r="AV6" s="34">
        <v>123.456789</v>
      </c>
      <c r="AW6" s="10">
        <v>123.456789</v>
      </c>
      <c r="AX6" s="10">
        <v>123.456789</v>
      </c>
      <c r="AY6" s="64">
        <v>1</v>
      </c>
      <c r="AZ6" s="58">
        <v>123.456789</v>
      </c>
      <c r="BA6" s="43">
        <v>123.456789</v>
      </c>
      <c r="BB6" s="34">
        <v>123.456789</v>
      </c>
      <c r="BC6" s="10">
        <v>123.456789</v>
      </c>
      <c r="BD6" s="10">
        <v>123.456789</v>
      </c>
      <c r="BE6" s="64">
        <v>1</v>
      </c>
      <c r="BF6" s="58">
        <v>123.456789</v>
      </c>
      <c r="BG6" s="43">
        <v>123.456789</v>
      </c>
      <c r="BH6" s="34">
        <v>123.456789</v>
      </c>
      <c r="BI6" s="10">
        <v>123.456789</v>
      </c>
      <c r="BJ6" s="10">
        <v>123.456789</v>
      </c>
      <c r="BK6" s="64">
        <v>1</v>
      </c>
      <c r="BL6" s="58">
        <v>123.456789</v>
      </c>
      <c r="BM6" s="43">
        <v>123.456789</v>
      </c>
      <c r="BN6" s="34">
        <v>123.456789</v>
      </c>
      <c r="BO6" s="10">
        <v>123.456789</v>
      </c>
      <c r="BP6" s="10">
        <v>123.456789</v>
      </c>
      <c r="BQ6" s="64">
        <v>1</v>
      </c>
      <c r="BR6" s="58">
        <v>123.456789</v>
      </c>
      <c r="BS6" s="43">
        <v>123.456789</v>
      </c>
      <c r="BT6" s="34">
        <v>123.456789</v>
      </c>
      <c r="BU6" s="10">
        <v>123.456789</v>
      </c>
      <c r="BV6" s="10">
        <v>123.456789</v>
      </c>
      <c r="BW6" s="64">
        <v>1</v>
      </c>
      <c r="BX6" s="58">
        <v>123.456789</v>
      </c>
      <c r="BY6" s="43">
        <v>123.456789</v>
      </c>
      <c r="BZ6" s="34">
        <v>123.456789</v>
      </c>
      <c r="CA6" s="10">
        <v>123.456789</v>
      </c>
      <c r="CB6" s="10">
        <v>123.456789</v>
      </c>
      <c r="CC6" s="64">
        <v>1</v>
      </c>
      <c r="CD6" s="58">
        <v>123.456789</v>
      </c>
      <c r="CE6" s="43">
        <v>123.456789</v>
      </c>
    </row>
    <row r="7" spans="1:83" s="11" customFormat="1" hidden="1" outlineLevel="1" thickBot="1" x14ac:dyDescent="0.3">
      <c r="A7" s="87">
        <v>3</v>
      </c>
      <c r="B7" s="12" t="s">
        <v>4</v>
      </c>
      <c r="C7" s="12" t="s">
        <v>4</v>
      </c>
      <c r="D7" s="12" t="s">
        <v>4</v>
      </c>
      <c r="E7" s="12" t="s">
        <v>4</v>
      </c>
      <c r="F7" s="12" t="s">
        <v>4</v>
      </c>
      <c r="G7" s="4">
        <v>123.456789</v>
      </c>
      <c r="H7" s="54">
        <v>123.456789</v>
      </c>
      <c r="I7" s="4"/>
      <c r="J7" s="13">
        <v>123.456789</v>
      </c>
      <c r="K7" s="35">
        <v>123.456789</v>
      </c>
      <c r="L7" s="13">
        <v>123.456789</v>
      </c>
      <c r="M7" s="13">
        <v>123.456789</v>
      </c>
      <c r="N7" s="13">
        <v>123.456789</v>
      </c>
      <c r="O7" s="64">
        <v>0</v>
      </c>
      <c r="P7" s="58">
        <v>123.456789</v>
      </c>
      <c r="Q7" s="44">
        <v>123.456789</v>
      </c>
      <c r="R7" s="35">
        <v>123.456789</v>
      </c>
      <c r="S7" s="13">
        <v>123.456789</v>
      </c>
      <c r="T7" s="13">
        <v>123.456789</v>
      </c>
      <c r="U7" s="64">
        <v>0</v>
      </c>
      <c r="V7" s="58">
        <v>123.456789</v>
      </c>
      <c r="W7" s="44">
        <v>123.456789</v>
      </c>
      <c r="X7" s="35">
        <v>123.456789</v>
      </c>
      <c r="Y7" s="13">
        <v>123.456789</v>
      </c>
      <c r="Z7" s="13">
        <v>123.456789</v>
      </c>
      <c r="AA7" s="64">
        <v>0</v>
      </c>
      <c r="AB7" s="58">
        <v>123.456789</v>
      </c>
      <c r="AC7" s="44">
        <v>123.456789</v>
      </c>
      <c r="AD7" s="35">
        <v>123.456789</v>
      </c>
      <c r="AE7" s="13">
        <v>123.456789</v>
      </c>
      <c r="AF7" s="13">
        <v>123.456789</v>
      </c>
      <c r="AG7" s="64">
        <v>0</v>
      </c>
      <c r="AH7" s="58">
        <v>123.456789</v>
      </c>
      <c r="AI7" s="44">
        <v>123.456789</v>
      </c>
      <c r="AJ7" s="35">
        <v>123.456789</v>
      </c>
      <c r="AK7" s="13">
        <v>123.456789</v>
      </c>
      <c r="AL7" s="13">
        <v>123.456789</v>
      </c>
      <c r="AM7" s="64">
        <v>0</v>
      </c>
      <c r="AN7" s="58">
        <v>123.456789</v>
      </c>
      <c r="AO7" s="44">
        <v>123.456789</v>
      </c>
      <c r="AP7" s="35">
        <v>123.456789</v>
      </c>
      <c r="AQ7" s="13">
        <v>123.456789</v>
      </c>
      <c r="AR7" s="13">
        <v>123.456789</v>
      </c>
      <c r="AS7" s="64">
        <v>0</v>
      </c>
      <c r="AT7" s="58">
        <v>123.456789</v>
      </c>
      <c r="AU7" s="44">
        <v>123.456789</v>
      </c>
      <c r="AV7" s="35">
        <v>123.456789</v>
      </c>
      <c r="AW7" s="13">
        <v>123.456789</v>
      </c>
      <c r="AX7" s="13">
        <v>123.456789</v>
      </c>
      <c r="AY7" s="64">
        <v>0</v>
      </c>
      <c r="AZ7" s="58">
        <v>123.456789</v>
      </c>
      <c r="BA7" s="44">
        <v>123.456789</v>
      </c>
      <c r="BB7" s="35">
        <v>123.456789</v>
      </c>
      <c r="BC7" s="13">
        <v>123.456789</v>
      </c>
      <c r="BD7" s="13">
        <v>123.456789</v>
      </c>
      <c r="BE7" s="64">
        <v>0</v>
      </c>
      <c r="BF7" s="58">
        <v>123.456789</v>
      </c>
      <c r="BG7" s="44">
        <v>123.456789</v>
      </c>
      <c r="BH7" s="35">
        <v>123.456789</v>
      </c>
      <c r="BI7" s="13">
        <v>123.456789</v>
      </c>
      <c r="BJ7" s="13">
        <v>123.456789</v>
      </c>
      <c r="BK7" s="64">
        <v>0</v>
      </c>
      <c r="BL7" s="58">
        <v>123.456789</v>
      </c>
      <c r="BM7" s="44">
        <v>123.456789</v>
      </c>
      <c r="BN7" s="35">
        <v>123.456789</v>
      </c>
      <c r="BO7" s="13">
        <v>123.456789</v>
      </c>
      <c r="BP7" s="13">
        <v>123.456789</v>
      </c>
      <c r="BQ7" s="64">
        <v>0</v>
      </c>
      <c r="BR7" s="58">
        <v>123.456789</v>
      </c>
      <c r="BS7" s="44">
        <v>123.456789</v>
      </c>
      <c r="BT7" s="35">
        <v>123.456789</v>
      </c>
      <c r="BU7" s="13">
        <v>123.456789</v>
      </c>
      <c r="BV7" s="13">
        <v>123.456789</v>
      </c>
      <c r="BW7" s="64">
        <v>0</v>
      </c>
      <c r="BX7" s="58">
        <v>123.456789</v>
      </c>
      <c r="BY7" s="44">
        <v>123.456789</v>
      </c>
      <c r="BZ7" s="35">
        <v>123.456789</v>
      </c>
      <c r="CA7" s="13">
        <v>123.456789</v>
      </c>
      <c r="CB7" s="13">
        <v>123.456789</v>
      </c>
      <c r="CC7" s="64">
        <v>0</v>
      </c>
      <c r="CD7" s="58">
        <v>123.456789</v>
      </c>
      <c r="CE7" s="44">
        <v>123.456789</v>
      </c>
    </row>
    <row r="8" spans="1:83" s="14" customFormat="1" hidden="1" outlineLevel="1" thickBot="1" x14ac:dyDescent="0.3">
      <c r="A8" s="88">
        <v>4</v>
      </c>
      <c r="B8" s="15" t="s">
        <v>4</v>
      </c>
      <c r="C8" s="15" t="s">
        <v>4</v>
      </c>
      <c r="D8" s="15" t="s">
        <v>4</v>
      </c>
      <c r="E8" s="15" t="s">
        <v>4</v>
      </c>
      <c r="F8" s="15" t="s">
        <v>4</v>
      </c>
      <c r="G8" s="4">
        <v>123.456789</v>
      </c>
      <c r="H8" s="54">
        <v>123.456789</v>
      </c>
      <c r="I8" s="4"/>
      <c r="J8" s="16">
        <v>123.456789</v>
      </c>
      <c r="K8" s="36">
        <v>123.456789</v>
      </c>
      <c r="L8" s="16">
        <v>123.456789</v>
      </c>
      <c r="M8" s="16">
        <v>123.456789</v>
      </c>
      <c r="N8" s="16">
        <v>123.456789</v>
      </c>
      <c r="O8" s="64">
        <v>1</v>
      </c>
      <c r="P8" s="58">
        <v>123.456789</v>
      </c>
      <c r="Q8" s="45">
        <v>123.456789</v>
      </c>
      <c r="R8" s="36">
        <v>123.456789</v>
      </c>
      <c r="S8" s="16">
        <v>123.456789</v>
      </c>
      <c r="T8" s="16">
        <v>123.456789</v>
      </c>
      <c r="U8" s="64">
        <v>1</v>
      </c>
      <c r="V8" s="58">
        <v>123.456789</v>
      </c>
      <c r="W8" s="45">
        <v>123.456789</v>
      </c>
      <c r="X8" s="36">
        <v>123.456789</v>
      </c>
      <c r="Y8" s="16">
        <v>123.456789</v>
      </c>
      <c r="Z8" s="16">
        <v>123.456789</v>
      </c>
      <c r="AA8" s="64">
        <v>1</v>
      </c>
      <c r="AB8" s="58">
        <v>123.456789</v>
      </c>
      <c r="AC8" s="45">
        <v>123.456789</v>
      </c>
      <c r="AD8" s="36">
        <v>123.456789</v>
      </c>
      <c r="AE8" s="16">
        <v>123.456789</v>
      </c>
      <c r="AF8" s="16">
        <v>123.456789</v>
      </c>
      <c r="AG8" s="64">
        <v>1</v>
      </c>
      <c r="AH8" s="58">
        <v>123.456789</v>
      </c>
      <c r="AI8" s="45">
        <v>123.456789</v>
      </c>
      <c r="AJ8" s="36">
        <v>123.456789</v>
      </c>
      <c r="AK8" s="16">
        <v>123.456789</v>
      </c>
      <c r="AL8" s="16">
        <v>123.456789</v>
      </c>
      <c r="AM8" s="64">
        <v>1</v>
      </c>
      <c r="AN8" s="58">
        <v>123.456789</v>
      </c>
      <c r="AO8" s="45">
        <v>123.456789</v>
      </c>
      <c r="AP8" s="36">
        <v>123.456789</v>
      </c>
      <c r="AQ8" s="16">
        <v>123.456789</v>
      </c>
      <c r="AR8" s="16">
        <v>123.456789</v>
      </c>
      <c r="AS8" s="64">
        <v>1</v>
      </c>
      <c r="AT8" s="58">
        <v>123.456789</v>
      </c>
      <c r="AU8" s="45">
        <v>123.456789</v>
      </c>
      <c r="AV8" s="36">
        <v>123.456789</v>
      </c>
      <c r="AW8" s="16">
        <v>123.456789</v>
      </c>
      <c r="AX8" s="16">
        <v>123.456789</v>
      </c>
      <c r="AY8" s="64">
        <v>1</v>
      </c>
      <c r="AZ8" s="58">
        <v>123.456789</v>
      </c>
      <c r="BA8" s="45">
        <v>123.456789</v>
      </c>
      <c r="BB8" s="36">
        <v>123.456789</v>
      </c>
      <c r="BC8" s="16">
        <v>123.456789</v>
      </c>
      <c r="BD8" s="16">
        <v>123.456789</v>
      </c>
      <c r="BE8" s="64">
        <v>1</v>
      </c>
      <c r="BF8" s="58">
        <v>123.456789</v>
      </c>
      <c r="BG8" s="45">
        <v>123.456789</v>
      </c>
      <c r="BH8" s="36">
        <v>123.456789</v>
      </c>
      <c r="BI8" s="16">
        <v>123.456789</v>
      </c>
      <c r="BJ8" s="16">
        <v>123.456789</v>
      </c>
      <c r="BK8" s="64">
        <v>1</v>
      </c>
      <c r="BL8" s="58">
        <v>123.456789</v>
      </c>
      <c r="BM8" s="45">
        <v>123.456789</v>
      </c>
      <c r="BN8" s="36">
        <v>123.456789</v>
      </c>
      <c r="BO8" s="16">
        <v>123.456789</v>
      </c>
      <c r="BP8" s="16">
        <v>123.456789</v>
      </c>
      <c r="BQ8" s="64">
        <v>1</v>
      </c>
      <c r="BR8" s="58">
        <v>123.456789</v>
      </c>
      <c r="BS8" s="45">
        <v>123.456789</v>
      </c>
      <c r="BT8" s="36">
        <v>123.456789</v>
      </c>
      <c r="BU8" s="16">
        <v>123.456789</v>
      </c>
      <c r="BV8" s="16">
        <v>123.456789</v>
      </c>
      <c r="BW8" s="64">
        <v>1</v>
      </c>
      <c r="BX8" s="58">
        <v>123.456789</v>
      </c>
      <c r="BY8" s="45">
        <v>123.456789</v>
      </c>
      <c r="BZ8" s="36">
        <v>123.456789</v>
      </c>
      <c r="CA8" s="16">
        <v>123.456789</v>
      </c>
      <c r="CB8" s="16">
        <v>123.456789</v>
      </c>
      <c r="CC8" s="64">
        <v>1</v>
      </c>
      <c r="CD8" s="58">
        <v>123.456789</v>
      </c>
      <c r="CE8" s="45">
        <v>123.456789</v>
      </c>
    </row>
    <row r="9" spans="1:83" s="17" customFormat="1" hidden="1" outlineLevel="1" thickBot="1" x14ac:dyDescent="0.3">
      <c r="A9" s="89">
        <v>5</v>
      </c>
      <c r="B9" s="18" t="s">
        <v>4</v>
      </c>
      <c r="C9" s="18" t="s">
        <v>4</v>
      </c>
      <c r="D9" s="18" t="s">
        <v>4</v>
      </c>
      <c r="E9" s="18" t="s">
        <v>4</v>
      </c>
      <c r="F9" s="18" t="s">
        <v>4</v>
      </c>
      <c r="G9" s="4">
        <v>123.456789</v>
      </c>
      <c r="H9" s="54">
        <v>123.456789</v>
      </c>
      <c r="I9" s="4"/>
      <c r="J9" s="19">
        <v>123.456789</v>
      </c>
      <c r="K9" s="37">
        <v>123.456789</v>
      </c>
      <c r="L9" s="19">
        <v>123.456789</v>
      </c>
      <c r="M9" s="19">
        <v>123.456789</v>
      </c>
      <c r="N9" s="19">
        <v>123.456789</v>
      </c>
      <c r="O9" s="64">
        <v>0</v>
      </c>
      <c r="P9" s="58">
        <v>123.456789</v>
      </c>
      <c r="Q9" s="46">
        <v>123.456789</v>
      </c>
      <c r="R9" s="37">
        <v>123.456789</v>
      </c>
      <c r="S9" s="19">
        <v>123.456789</v>
      </c>
      <c r="T9" s="19">
        <v>123.456789</v>
      </c>
      <c r="U9" s="64">
        <v>0</v>
      </c>
      <c r="V9" s="58">
        <v>123.456789</v>
      </c>
      <c r="W9" s="46">
        <v>123.456789</v>
      </c>
      <c r="X9" s="37">
        <v>123.456789</v>
      </c>
      <c r="Y9" s="19">
        <v>123.456789</v>
      </c>
      <c r="Z9" s="19">
        <v>123.456789</v>
      </c>
      <c r="AA9" s="64">
        <v>0</v>
      </c>
      <c r="AB9" s="58">
        <v>123.456789</v>
      </c>
      <c r="AC9" s="46">
        <v>123.456789</v>
      </c>
      <c r="AD9" s="37">
        <v>123.456789</v>
      </c>
      <c r="AE9" s="19">
        <v>123.456789</v>
      </c>
      <c r="AF9" s="19">
        <v>123.456789</v>
      </c>
      <c r="AG9" s="64">
        <v>0</v>
      </c>
      <c r="AH9" s="58">
        <v>123.456789</v>
      </c>
      <c r="AI9" s="46">
        <v>123.456789</v>
      </c>
      <c r="AJ9" s="37">
        <v>123.456789</v>
      </c>
      <c r="AK9" s="19">
        <v>123.456789</v>
      </c>
      <c r="AL9" s="19">
        <v>123.456789</v>
      </c>
      <c r="AM9" s="64">
        <v>0</v>
      </c>
      <c r="AN9" s="58">
        <v>123.456789</v>
      </c>
      <c r="AO9" s="46">
        <v>123.456789</v>
      </c>
      <c r="AP9" s="37">
        <v>123.456789</v>
      </c>
      <c r="AQ9" s="19">
        <v>123.456789</v>
      </c>
      <c r="AR9" s="19">
        <v>123.456789</v>
      </c>
      <c r="AS9" s="64">
        <v>0</v>
      </c>
      <c r="AT9" s="58">
        <v>123.456789</v>
      </c>
      <c r="AU9" s="46">
        <v>123.456789</v>
      </c>
      <c r="AV9" s="37">
        <v>123.456789</v>
      </c>
      <c r="AW9" s="19">
        <v>123.456789</v>
      </c>
      <c r="AX9" s="19">
        <v>123.456789</v>
      </c>
      <c r="AY9" s="64">
        <v>0</v>
      </c>
      <c r="AZ9" s="58">
        <v>123.456789</v>
      </c>
      <c r="BA9" s="46">
        <v>123.456789</v>
      </c>
      <c r="BB9" s="37">
        <v>123.456789</v>
      </c>
      <c r="BC9" s="19">
        <v>123.456789</v>
      </c>
      <c r="BD9" s="19">
        <v>123.456789</v>
      </c>
      <c r="BE9" s="64">
        <v>0</v>
      </c>
      <c r="BF9" s="58">
        <v>123.456789</v>
      </c>
      <c r="BG9" s="46">
        <v>123.456789</v>
      </c>
      <c r="BH9" s="37">
        <v>123.456789</v>
      </c>
      <c r="BI9" s="19">
        <v>123.456789</v>
      </c>
      <c r="BJ9" s="19">
        <v>123.456789</v>
      </c>
      <c r="BK9" s="64">
        <v>0</v>
      </c>
      <c r="BL9" s="58">
        <v>123.456789</v>
      </c>
      <c r="BM9" s="46">
        <v>123.456789</v>
      </c>
      <c r="BN9" s="37">
        <v>123.456789</v>
      </c>
      <c r="BO9" s="19">
        <v>123.456789</v>
      </c>
      <c r="BP9" s="19">
        <v>123.456789</v>
      </c>
      <c r="BQ9" s="64">
        <v>0</v>
      </c>
      <c r="BR9" s="58">
        <v>123.456789</v>
      </c>
      <c r="BS9" s="46">
        <v>123.456789</v>
      </c>
      <c r="BT9" s="37">
        <v>123.456789</v>
      </c>
      <c r="BU9" s="19">
        <v>123.456789</v>
      </c>
      <c r="BV9" s="19">
        <v>123.456789</v>
      </c>
      <c r="BW9" s="64">
        <v>0</v>
      </c>
      <c r="BX9" s="58">
        <v>123.456789</v>
      </c>
      <c r="BY9" s="46">
        <v>123.456789</v>
      </c>
      <c r="BZ9" s="37">
        <v>123.456789</v>
      </c>
      <c r="CA9" s="19">
        <v>123.456789</v>
      </c>
      <c r="CB9" s="19">
        <v>123.456789</v>
      </c>
      <c r="CC9" s="64">
        <v>0</v>
      </c>
      <c r="CD9" s="58">
        <v>123.456789</v>
      </c>
      <c r="CE9" s="46">
        <v>123.456789</v>
      </c>
    </row>
    <row r="10" spans="1:83" s="20" customFormat="1" hidden="1" outlineLevel="1" thickBot="1" x14ac:dyDescent="0.3">
      <c r="A10" s="90" t="s">
        <v>1</v>
      </c>
      <c r="B10" s="21" t="s">
        <v>4</v>
      </c>
      <c r="C10" s="21" t="s">
        <v>4</v>
      </c>
      <c r="D10" s="21" t="s">
        <v>4</v>
      </c>
      <c r="E10" s="21" t="s">
        <v>4</v>
      </c>
      <c r="F10" s="21" t="s">
        <v>4</v>
      </c>
      <c r="G10" s="4">
        <v>123.456789</v>
      </c>
      <c r="H10" s="54">
        <v>123.456789</v>
      </c>
      <c r="I10" s="4"/>
      <c r="J10" s="22">
        <v>123.456789</v>
      </c>
      <c r="K10" s="38">
        <v>123.456789</v>
      </c>
      <c r="L10" s="22">
        <v>123.456789</v>
      </c>
      <c r="M10" s="22">
        <v>123.456789</v>
      </c>
      <c r="N10" s="22">
        <v>123.456789</v>
      </c>
      <c r="O10" s="64">
        <v>1</v>
      </c>
      <c r="P10" s="58">
        <v>123.456789</v>
      </c>
      <c r="Q10" s="47">
        <v>123.456789</v>
      </c>
      <c r="R10" s="38">
        <v>123.456789</v>
      </c>
      <c r="S10" s="22">
        <v>123.456789</v>
      </c>
      <c r="T10" s="22">
        <v>123.456789</v>
      </c>
      <c r="U10" s="64">
        <v>1</v>
      </c>
      <c r="V10" s="58">
        <v>123.456789</v>
      </c>
      <c r="W10" s="47">
        <v>123.456789</v>
      </c>
      <c r="X10" s="38">
        <v>123.456789</v>
      </c>
      <c r="Y10" s="22">
        <v>123.456789</v>
      </c>
      <c r="Z10" s="22">
        <v>123.456789</v>
      </c>
      <c r="AA10" s="64">
        <v>1</v>
      </c>
      <c r="AB10" s="58">
        <v>123.456789</v>
      </c>
      <c r="AC10" s="47">
        <v>123.456789</v>
      </c>
      <c r="AD10" s="38">
        <v>123.456789</v>
      </c>
      <c r="AE10" s="22">
        <v>123.456789</v>
      </c>
      <c r="AF10" s="22">
        <v>123.456789</v>
      </c>
      <c r="AG10" s="64">
        <v>1</v>
      </c>
      <c r="AH10" s="58">
        <v>123.456789</v>
      </c>
      <c r="AI10" s="47">
        <v>123.456789</v>
      </c>
      <c r="AJ10" s="38">
        <v>123.456789</v>
      </c>
      <c r="AK10" s="22">
        <v>123.456789</v>
      </c>
      <c r="AL10" s="22">
        <v>123.456789</v>
      </c>
      <c r="AM10" s="64">
        <v>1</v>
      </c>
      <c r="AN10" s="58">
        <v>123.456789</v>
      </c>
      <c r="AO10" s="47">
        <v>123.456789</v>
      </c>
      <c r="AP10" s="38">
        <v>123.456789</v>
      </c>
      <c r="AQ10" s="22">
        <v>123.456789</v>
      </c>
      <c r="AR10" s="22">
        <v>123.456789</v>
      </c>
      <c r="AS10" s="64">
        <v>1</v>
      </c>
      <c r="AT10" s="58">
        <v>123.456789</v>
      </c>
      <c r="AU10" s="47">
        <v>123.456789</v>
      </c>
      <c r="AV10" s="38">
        <v>123.456789</v>
      </c>
      <c r="AW10" s="22">
        <v>123.456789</v>
      </c>
      <c r="AX10" s="22">
        <v>123.456789</v>
      </c>
      <c r="AY10" s="64">
        <v>1</v>
      </c>
      <c r="AZ10" s="58">
        <v>123.456789</v>
      </c>
      <c r="BA10" s="47">
        <v>123.456789</v>
      </c>
      <c r="BB10" s="38">
        <v>123.456789</v>
      </c>
      <c r="BC10" s="22">
        <v>123.456789</v>
      </c>
      <c r="BD10" s="22">
        <v>123.456789</v>
      </c>
      <c r="BE10" s="64">
        <v>1</v>
      </c>
      <c r="BF10" s="58">
        <v>123.456789</v>
      </c>
      <c r="BG10" s="47">
        <v>123.456789</v>
      </c>
      <c r="BH10" s="38">
        <v>123.456789</v>
      </c>
      <c r="BI10" s="22">
        <v>123.456789</v>
      </c>
      <c r="BJ10" s="22">
        <v>123.456789</v>
      </c>
      <c r="BK10" s="64">
        <v>1</v>
      </c>
      <c r="BL10" s="58">
        <v>123.456789</v>
      </c>
      <c r="BM10" s="47">
        <v>123.456789</v>
      </c>
      <c r="BN10" s="38">
        <v>123.456789</v>
      </c>
      <c r="BO10" s="22">
        <v>123.456789</v>
      </c>
      <c r="BP10" s="22">
        <v>123.456789</v>
      </c>
      <c r="BQ10" s="64">
        <v>1</v>
      </c>
      <c r="BR10" s="58">
        <v>123.456789</v>
      </c>
      <c r="BS10" s="47">
        <v>123.456789</v>
      </c>
      <c r="BT10" s="38">
        <v>123.456789</v>
      </c>
      <c r="BU10" s="22">
        <v>123.456789</v>
      </c>
      <c r="BV10" s="22">
        <v>123.456789</v>
      </c>
      <c r="BW10" s="64">
        <v>1</v>
      </c>
      <c r="BX10" s="58">
        <v>123.456789</v>
      </c>
      <c r="BY10" s="47">
        <v>123.456789</v>
      </c>
      <c r="BZ10" s="38">
        <v>123.456789</v>
      </c>
      <c r="CA10" s="22">
        <v>123.456789</v>
      </c>
      <c r="CB10" s="22">
        <v>123.456789</v>
      </c>
      <c r="CC10" s="64">
        <v>1</v>
      </c>
      <c r="CD10" s="58">
        <v>123.456789</v>
      </c>
      <c r="CE10" s="47">
        <v>123.456789</v>
      </c>
    </row>
    <row r="11" spans="1:83" s="23" customFormat="1" hidden="1" outlineLevel="1" thickBot="1" x14ac:dyDescent="0.3">
      <c r="A11" s="91" t="s">
        <v>2</v>
      </c>
      <c r="B11" s="24" t="s">
        <v>4</v>
      </c>
      <c r="C11" s="24" t="s">
        <v>4</v>
      </c>
      <c r="D11" s="24" t="s">
        <v>4</v>
      </c>
      <c r="E11" s="24" t="s">
        <v>4</v>
      </c>
      <c r="F11" s="24" t="s">
        <v>4</v>
      </c>
      <c r="G11" s="4">
        <v>123.456789</v>
      </c>
      <c r="H11" s="54">
        <v>123.456789</v>
      </c>
      <c r="I11" s="4"/>
      <c r="J11" s="25">
        <v>123.456789</v>
      </c>
      <c r="K11" s="39">
        <v>123.456789</v>
      </c>
      <c r="L11" s="25">
        <v>123.456789</v>
      </c>
      <c r="M11" s="25">
        <v>123.456789</v>
      </c>
      <c r="N11" s="25">
        <v>123.456789</v>
      </c>
      <c r="O11" s="64">
        <v>0</v>
      </c>
      <c r="P11" s="58">
        <v>123.456789</v>
      </c>
      <c r="Q11" s="48">
        <v>123.456789</v>
      </c>
      <c r="R11" s="39">
        <v>123.456789</v>
      </c>
      <c r="S11" s="25">
        <v>123.456789</v>
      </c>
      <c r="T11" s="25">
        <v>123.456789</v>
      </c>
      <c r="U11" s="64">
        <v>0</v>
      </c>
      <c r="V11" s="58">
        <v>123.456789</v>
      </c>
      <c r="W11" s="48">
        <v>123.456789</v>
      </c>
      <c r="X11" s="39">
        <v>123.456789</v>
      </c>
      <c r="Y11" s="25">
        <v>123.456789</v>
      </c>
      <c r="Z11" s="25">
        <v>123.456789</v>
      </c>
      <c r="AA11" s="64">
        <v>0</v>
      </c>
      <c r="AB11" s="58">
        <v>123.456789</v>
      </c>
      <c r="AC11" s="48">
        <v>123.456789</v>
      </c>
      <c r="AD11" s="39">
        <v>123.456789</v>
      </c>
      <c r="AE11" s="25">
        <v>123.456789</v>
      </c>
      <c r="AF11" s="25">
        <v>123.456789</v>
      </c>
      <c r="AG11" s="64">
        <v>0</v>
      </c>
      <c r="AH11" s="58">
        <v>123.456789</v>
      </c>
      <c r="AI11" s="48">
        <v>123.456789</v>
      </c>
      <c r="AJ11" s="39">
        <v>123.456789</v>
      </c>
      <c r="AK11" s="25">
        <v>123.456789</v>
      </c>
      <c r="AL11" s="25">
        <v>123.456789</v>
      </c>
      <c r="AM11" s="64">
        <v>0</v>
      </c>
      <c r="AN11" s="58">
        <v>123.456789</v>
      </c>
      <c r="AO11" s="48">
        <v>123.456789</v>
      </c>
      <c r="AP11" s="39">
        <v>123.456789</v>
      </c>
      <c r="AQ11" s="25">
        <v>123.456789</v>
      </c>
      <c r="AR11" s="25">
        <v>123.456789</v>
      </c>
      <c r="AS11" s="64">
        <v>0</v>
      </c>
      <c r="AT11" s="58">
        <v>123.456789</v>
      </c>
      <c r="AU11" s="48">
        <v>123.456789</v>
      </c>
      <c r="AV11" s="39">
        <v>123.456789</v>
      </c>
      <c r="AW11" s="25">
        <v>123.456789</v>
      </c>
      <c r="AX11" s="25">
        <v>123.456789</v>
      </c>
      <c r="AY11" s="64">
        <v>0</v>
      </c>
      <c r="AZ11" s="58">
        <v>123.456789</v>
      </c>
      <c r="BA11" s="48">
        <v>123.456789</v>
      </c>
      <c r="BB11" s="39">
        <v>123.456789</v>
      </c>
      <c r="BC11" s="25">
        <v>123.456789</v>
      </c>
      <c r="BD11" s="25">
        <v>123.456789</v>
      </c>
      <c r="BE11" s="64">
        <v>0</v>
      </c>
      <c r="BF11" s="58">
        <v>123.456789</v>
      </c>
      <c r="BG11" s="48">
        <v>123.456789</v>
      </c>
      <c r="BH11" s="39">
        <v>123.456789</v>
      </c>
      <c r="BI11" s="25">
        <v>123.456789</v>
      </c>
      <c r="BJ11" s="25">
        <v>123.456789</v>
      </c>
      <c r="BK11" s="64">
        <v>0</v>
      </c>
      <c r="BL11" s="58">
        <v>123.456789</v>
      </c>
      <c r="BM11" s="48">
        <v>123.456789</v>
      </c>
      <c r="BN11" s="39">
        <v>123.456789</v>
      </c>
      <c r="BO11" s="25">
        <v>123.456789</v>
      </c>
      <c r="BP11" s="25">
        <v>123.456789</v>
      </c>
      <c r="BQ11" s="64">
        <v>0</v>
      </c>
      <c r="BR11" s="58">
        <v>123.456789</v>
      </c>
      <c r="BS11" s="48">
        <v>123.456789</v>
      </c>
      <c r="BT11" s="39">
        <v>123.456789</v>
      </c>
      <c r="BU11" s="25">
        <v>123.456789</v>
      </c>
      <c r="BV11" s="25">
        <v>123.456789</v>
      </c>
      <c r="BW11" s="64">
        <v>0</v>
      </c>
      <c r="BX11" s="58">
        <v>123.456789</v>
      </c>
      <c r="BY11" s="48">
        <v>123.456789</v>
      </c>
      <c r="BZ11" s="39">
        <v>123.456789</v>
      </c>
      <c r="CA11" s="25">
        <v>123.456789</v>
      </c>
      <c r="CB11" s="25">
        <v>123.456789</v>
      </c>
      <c r="CC11" s="64">
        <v>0</v>
      </c>
      <c r="CD11" s="58">
        <v>123.456789</v>
      </c>
      <c r="CE11" s="48">
        <v>123.456789</v>
      </c>
    </row>
    <row r="12" spans="1:83" hidden="1" outlineLevel="1" x14ac:dyDescent="0.25">
      <c r="A12" s="67" t="s">
        <v>3</v>
      </c>
      <c r="B12" s="1"/>
      <c r="C12" s="1"/>
    </row>
    <row r="13" spans="1:83" hidden="1" outlineLevel="1" x14ac:dyDescent="0.25">
      <c r="G13" s="1"/>
      <c r="H13" s="56"/>
      <c r="I13" s="1"/>
    </row>
    <row r="14" spans="1:83" hidden="1" outlineLevel="1" x14ac:dyDescent="0.25"/>
    <row r="15" spans="1:83" collapsed="1" x14ac:dyDescent="0.25"/>
    <row r="16" spans="1:83" ht="18.75" x14ac:dyDescent="0.25">
      <c r="C16" s="51" t="s">
        <v>69</v>
      </c>
      <c r="D16" s="174" t="str">
        <f>_xll.SUBNM("TM1-S1_DEV:YEAR","Default","FY 26","MEMBER_NAME")</f>
        <v>FY 26</v>
      </c>
      <c r="E16" s="174"/>
    </row>
    <row r="17" spans="1:83" ht="18.75" x14ac:dyDescent="0.25">
      <c r="C17" s="52" t="s">
        <v>70</v>
      </c>
      <c r="D17" s="174" t="str">
        <f>_xll.SUBNM("TM1-S1_DEV:SP_Week","All Level 0","Wk 26")</f>
        <v>Wk 26</v>
      </c>
      <c r="E17" s="174"/>
      <c r="M17" s="40"/>
    </row>
    <row r="18" spans="1:83" ht="28.5" x14ac:dyDescent="0.25">
      <c r="C18" s="53" t="s">
        <v>68</v>
      </c>
      <c r="D18" s="174" t="str">
        <f>_xll.SUBNM("TM1-S1_DEV:SP_DistributionCenter","All level 0 with TTL","Brown Foodservice","MEMBER_NAME")</f>
        <v>Brown Foodservice</v>
      </c>
      <c r="E18" s="174"/>
      <c r="L18" s="40"/>
      <c r="O18" t="s">
        <v>104</v>
      </c>
      <c r="U18" t="s">
        <v>104</v>
      </c>
      <c r="AA18" t="s">
        <v>104</v>
      </c>
      <c r="AG18" t="s">
        <v>104</v>
      </c>
      <c r="AM18" t="s">
        <v>104</v>
      </c>
      <c r="AS18" t="s">
        <v>104</v>
      </c>
      <c r="AY18" t="s">
        <v>104</v>
      </c>
      <c r="BE18" t="s">
        <v>104</v>
      </c>
      <c r="BK18" t="s">
        <v>104</v>
      </c>
      <c r="BQ18" t="s">
        <v>104</v>
      </c>
      <c r="BW18" t="s">
        <v>104</v>
      </c>
      <c r="CC18" t="s">
        <v>104</v>
      </c>
    </row>
    <row r="19" spans="1:83" x14ac:dyDescent="0.25">
      <c r="G19" s="169" t="str">
        <f>G1</f>
        <v>FY 26</v>
      </c>
      <c r="H19" s="171"/>
      <c r="I19" s="127"/>
      <c r="J19" s="169" t="str">
        <f>$J$1</f>
        <v>FY 26</v>
      </c>
      <c r="K19" s="170"/>
      <c r="L19" s="170"/>
      <c r="M19" s="170"/>
      <c r="N19" s="170"/>
      <c r="O19" s="170"/>
      <c r="P19" s="170"/>
      <c r="Q19" s="171"/>
      <c r="R19" s="169" t="str">
        <f>$R$1</f>
        <v>FY 26</v>
      </c>
      <c r="S19" s="170"/>
      <c r="T19" s="170"/>
      <c r="U19" s="170"/>
      <c r="V19" s="170"/>
      <c r="W19" s="170"/>
      <c r="X19" s="169" t="str">
        <f>X1</f>
        <v>FY 26</v>
      </c>
      <c r="Y19" s="170"/>
      <c r="Z19" s="170"/>
      <c r="AA19" s="170"/>
      <c r="AB19" s="170"/>
      <c r="AC19" s="170"/>
      <c r="AD19" s="169" t="str">
        <f>AD1</f>
        <v>FY 26</v>
      </c>
      <c r="AE19" s="170"/>
      <c r="AF19" s="170"/>
      <c r="AG19" s="170"/>
      <c r="AH19" s="170"/>
      <c r="AI19" s="170"/>
      <c r="AJ19" s="169" t="str">
        <f>AJ1</f>
        <v>FY 26</v>
      </c>
      <c r="AK19" s="170"/>
      <c r="AL19" s="170"/>
      <c r="AM19" s="170"/>
      <c r="AN19" s="170"/>
      <c r="AO19" s="170"/>
      <c r="AP19" s="169" t="str">
        <f>AP1</f>
        <v>FY 26</v>
      </c>
      <c r="AQ19" s="170"/>
      <c r="AR19" s="170"/>
      <c r="AS19" s="170"/>
      <c r="AT19" s="170"/>
      <c r="AU19" s="170"/>
      <c r="AV19" s="169" t="str">
        <f>AV1</f>
        <v>FY 26</v>
      </c>
      <c r="AW19" s="170"/>
      <c r="AX19" s="170"/>
      <c r="AY19" s="170"/>
      <c r="AZ19" s="170"/>
      <c r="BA19" s="170"/>
      <c r="BB19" s="169" t="str">
        <f>BB1</f>
        <v>FY 26</v>
      </c>
      <c r="BC19" s="170"/>
      <c r="BD19" s="170"/>
      <c r="BE19" s="170"/>
      <c r="BF19" s="170"/>
      <c r="BG19" s="170"/>
      <c r="BH19" s="169" t="str">
        <f>BH1</f>
        <v>FY 26</v>
      </c>
      <c r="BI19" s="170"/>
      <c r="BJ19" s="170"/>
      <c r="BK19" s="170"/>
      <c r="BL19" s="170"/>
      <c r="BM19" s="170"/>
      <c r="BN19" s="169" t="str">
        <f>BN1</f>
        <v>FY 26</v>
      </c>
      <c r="BO19" s="170"/>
      <c r="BP19" s="170"/>
      <c r="BQ19" s="170"/>
      <c r="BR19" s="170"/>
      <c r="BS19" s="170"/>
      <c r="BT19" s="169" t="str">
        <f>BT1</f>
        <v>FY 26</v>
      </c>
      <c r="BU19" s="170"/>
      <c r="BV19" s="170"/>
      <c r="BW19" s="170"/>
      <c r="BX19" s="170"/>
      <c r="BY19" s="170"/>
      <c r="BZ19" s="169" t="str">
        <f>BZ1</f>
        <v>FY 26</v>
      </c>
      <c r="CA19" s="170"/>
      <c r="CB19" s="170"/>
      <c r="CC19" s="170"/>
      <c r="CD19" s="170"/>
      <c r="CE19" s="171"/>
    </row>
    <row r="20" spans="1:83" ht="15.75" thickBot="1" x14ac:dyDescent="0.3">
      <c r="B20" s="65" t="s">
        <v>106</v>
      </c>
      <c r="G20" s="178" t="str">
        <f>G2</f>
        <v>WK 25</v>
      </c>
      <c r="H20" s="179"/>
      <c r="I20" s="49"/>
      <c r="J20" s="178" t="str">
        <f>$J$2</f>
        <v>Wk 26</v>
      </c>
      <c r="K20" s="180"/>
      <c r="L20" s="180"/>
      <c r="M20" s="180"/>
      <c r="N20" s="180"/>
      <c r="O20" s="180"/>
      <c r="P20" s="180"/>
      <c r="Q20" s="179"/>
      <c r="R20" s="175" t="str">
        <f>R$2</f>
        <v>WK 27</v>
      </c>
      <c r="S20" s="176"/>
      <c r="T20" s="176"/>
      <c r="U20" s="176"/>
      <c r="V20" s="176"/>
      <c r="W20" s="177"/>
      <c r="X20" s="175" t="str">
        <f>X$2</f>
        <v>WK 28</v>
      </c>
      <c r="Y20" s="176"/>
      <c r="Z20" s="176"/>
      <c r="AA20" s="176"/>
      <c r="AB20" s="176"/>
      <c r="AC20" s="177"/>
      <c r="AD20" s="175" t="str">
        <f>AD$2</f>
        <v>WK 29</v>
      </c>
      <c r="AE20" s="176"/>
      <c r="AF20" s="176"/>
      <c r="AG20" s="176"/>
      <c r="AH20" s="176"/>
      <c r="AI20" s="177"/>
      <c r="AJ20" s="175" t="str">
        <f>AJ$2</f>
        <v>WK 30</v>
      </c>
      <c r="AK20" s="176"/>
      <c r="AL20" s="176"/>
      <c r="AM20" s="176"/>
      <c r="AN20" s="176"/>
      <c r="AO20" s="177"/>
      <c r="AP20" s="175" t="str">
        <f>AP$2</f>
        <v>WK 31</v>
      </c>
      <c r="AQ20" s="176"/>
      <c r="AR20" s="176"/>
      <c r="AS20" s="176"/>
      <c r="AT20" s="176"/>
      <c r="AU20" s="177"/>
      <c r="AV20" s="175" t="str">
        <f>AV$2</f>
        <v>WK 32</v>
      </c>
      <c r="AW20" s="176"/>
      <c r="AX20" s="176"/>
      <c r="AY20" s="176"/>
      <c r="AZ20" s="176"/>
      <c r="BA20" s="177"/>
      <c r="BB20" s="175" t="str">
        <f>BB$2</f>
        <v>WK 33</v>
      </c>
      <c r="BC20" s="176"/>
      <c r="BD20" s="176"/>
      <c r="BE20" s="176"/>
      <c r="BF20" s="176"/>
      <c r="BG20" s="177"/>
      <c r="BH20" s="175" t="str">
        <f>BH$2</f>
        <v>WK 34</v>
      </c>
      <c r="BI20" s="176"/>
      <c r="BJ20" s="176"/>
      <c r="BK20" s="176"/>
      <c r="BL20" s="176"/>
      <c r="BM20" s="177"/>
      <c r="BN20" s="175" t="str">
        <f>BN$2</f>
        <v>WK 35</v>
      </c>
      <c r="BO20" s="176"/>
      <c r="BP20" s="176"/>
      <c r="BQ20" s="176"/>
      <c r="BR20" s="176"/>
      <c r="BS20" s="177"/>
      <c r="BT20" s="175" t="str">
        <f>BT$2</f>
        <v>WK 36</v>
      </c>
      <c r="BU20" s="176"/>
      <c r="BV20" s="176"/>
      <c r="BW20" s="176"/>
      <c r="BX20" s="176"/>
      <c r="BY20" s="177"/>
      <c r="BZ20" s="175" t="str">
        <f>BZ$2</f>
        <v>WK 37</v>
      </c>
      <c r="CA20" s="176"/>
      <c r="CB20" s="176"/>
      <c r="CC20" s="176"/>
      <c r="CD20" s="176"/>
      <c r="CE20" s="177"/>
    </row>
    <row r="21" spans="1:83" s="29" customFormat="1" ht="43.5" thickBot="1" x14ac:dyDescent="0.3">
      <c r="A21" s="72"/>
      <c r="B21" s="30" t="s">
        <v>341</v>
      </c>
      <c r="C21" s="30" t="s">
        <v>67</v>
      </c>
      <c r="D21" s="30" t="s">
        <v>40</v>
      </c>
      <c r="E21" s="30" t="s">
        <v>39</v>
      </c>
      <c r="F21" s="30" t="s">
        <v>41</v>
      </c>
      <c r="G21" s="31" t="s">
        <v>73</v>
      </c>
      <c r="H21" s="57" t="s">
        <v>74</v>
      </c>
      <c r="I21" s="50"/>
      <c r="J21" s="31" t="s">
        <v>340</v>
      </c>
      <c r="K21" s="31" t="s">
        <v>77</v>
      </c>
      <c r="L21" s="31" t="str">
        <f>L$3</f>
        <v>Late Pos</v>
      </c>
      <c r="M21" s="31" t="str">
        <f>M$3</f>
        <v>Current Pos</v>
      </c>
      <c r="N21" s="31" t="s">
        <v>82</v>
      </c>
      <c r="O21" s="31" t="s">
        <v>103</v>
      </c>
      <c r="P21" s="31" t="s">
        <v>78</v>
      </c>
      <c r="Q21" s="31" t="str">
        <f>Q$3</f>
        <v>Ending Balance</v>
      </c>
      <c r="R21" s="31" t="s">
        <v>77</v>
      </c>
      <c r="S21" s="31" t="s">
        <v>79</v>
      </c>
      <c r="T21" s="31" t="s">
        <v>82</v>
      </c>
      <c r="U21" s="31" t="s">
        <v>103</v>
      </c>
      <c r="V21" s="31" t="s">
        <v>78</v>
      </c>
      <c r="W21" s="31" t="str">
        <f>W$3</f>
        <v>Ending Balance</v>
      </c>
      <c r="X21" s="31" t="s">
        <v>77</v>
      </c>
      <c r="Y21" s="31" t="s">
        <v>79</v>
      </c>
      <c r="Z21" s="31" t="s">
        <v>82</v>
      </c>
      <c r="AA21" s="31" t="s">
        <v>103</v>
      </c>
      <c r="AB21" s="31" t="s">
        <v>78</v>
      </c>
      <c r="AC21" s="31" t="str">
        <f>AC$3</f>
        <v>Ending Balance</v>
      </c>
      <c r="AD21" s="31" t="s">
        <v>77</v>
      </c>
      <c r="AE21" s="31" t="s">
        <v>79</v>
      </c>
      <c r="AF21" s="31" t="s">
        <v>82</v>
      </c>
      <c r="AG21" s="31" t="s">
        <v>103</v>
      </c>
      <c r="AH21" s="31" t="s">
        <v>78</v>
      </c>
      <c r="AI21" s="31" t="str">
        <f>AI$3</f>
        <v>Ending Balance</v>
      </c>
      <c r="AJ21" s="31" t="s">
        <v>77</v>
      </c>
      <c r="AK21" s="31" t="s">
        <v>79</v>
      </c>
      <c r="AL21" s="31" t="s">
        <v>82</v>
      </c>
      <c r="AM21" s="31" t="s">
        <v>103</v>
      </c>
      <c r="AN21" s="31" t="s">
        <v>78</v>
      </c>
      <c r="AO21" s="31" t="str">
        <f>AO$3</f>
        <v>Ending Balance</v>
      </c>
      <c r="AP21" s="31" t="s">
        <v>77</v>
      </c>
      <c r="AQ21" s="31" t="s">
        <v>79</v>
      </c>
      <c r="AR21" s="31" t="s">
        <v>82</v>
      </c>
      <c r="AS21" s="31" t="s">
        <v>103</v>
      </c>
      <c r="AT21" s="31" t="s">
        <v>78</v>
      </c>
      <c r="AU21" s="31" t="str">
        <f>AU$3</f>
        <v>Ending Balance</v>
      </c>
      <c r="AV21" s="31" t="s">
        <v>77</v>
      </c>
      <c r="AW21" s="31" t="s">
        <v>79</v>
      </c>
      <c r="AX21" s="31" t="s">
        <v>82</v>
      </c>
      <c r="AY21" s="31" t="s">
        <v>103</v>
      </c>
      <c r="AZ21" s="31" t="s">
        <v>78</v>
      </c>
      <c r="BA21" s="31" t="str">
        <f>BA$3</f>
        <v>Ending Balance</v>
      </c>
      <c r="BB21" s="31" t="s">
        <v>77</v>
      </c>
      <c r="BC21" s="31" t="s">
        <v>79</v>
      </c>
      <c r="BD21" s="31" t="s">
        <v>82</v>
      </c>
      <c r="BE21" s="31" t="s">
        <v>103</v>
      </c>
      <c r="BF21" s="31" t="s">
        <v>78</v>
      </c>
      <c r="BG21" s="31" t="str">
        <f>BG$3</f>
        <v>Ending Balance</v>
      </c>
      <c r="BH21" s="31" t="s">
        <v>77</v>
      </c>
      <c r="BI21" s="31" t="s">
        <v>79</v>
      </c>
      <c r="BJ21" s="31" t="s">
        <v>82</v>
      </c>
      <c r="BK21" s="31" t="s">
        <v>103</v>
      </c>
      <c r="BL21" s="31" t="s">
        <v>78</v>
      </c>
      <c r="BM21" s="31" t="str">
        <f>BM$3</f>
        <v>Ending Balance</v>
      </c>
      <c r="BN21" s="31" t="s">
        <v>77</v>
      </c>
      <c r="BO21" s="31" t="s">
        <v>79</v>
      </c>
      <c r="BP21" s="31" t="s">
        <v>82</v>
      </c>
      <c r="BQ21" s="31" t="s">
        <v>103</v>
      </c>
      <c r="BR21" s="31" t="s">
        <v>78</v>
      </c>
      <c r="BS21" s="31" t="str">
        <f>BS$3</f>
        <v>Ending Balance</v>
      </c>
      <c r="BT21" s="31" t="s">
        <v>77</v>
      </c>
      <c r="BU21" s="31" t="s">
        <v>79</v>
      </c>
      <c r="BV21" s="31" t="s">
        <v>82</v>
      </c>
      <c r="BW21" s="31" t="s">
        <v>103</v>
      </c>
      <c r="BX21" s="31" t="s">
        <v>78</v>
      </c>
      <c r="BY21" s="31" t="str">
        <f>BY$3</f>
        <v>Ending Balance</v>
      </c>
      <c r="BZ21" s="31" t="s">
        <v>77</v>
      </c>
      <c r="CA21" s="31" t="s">
        <v>79</v>
      </c>
      <c r="CB21" s="31" t="s">
        <v>82</v>
      </c>
      <c r="CC21" s="31" t="s">
        <v>103</v>
      </c>
      <c r="CD21" s="31" t="s">
        <v>78</v>
      </c>
      <c r="CE21" s="31" t="str">
        <f>CE$3</f>
        <v>Ending Balance</v>
      </c>
    </row>
    <row r="22" spans="1:83" s="23" customFormat="1" outlineLevel="1" thickBot="1" x14ac:dyDescent="0.3">
      <c r="A22" s="91" t="str">
        <f>IF(_xll.TM1RPTELISCONSOLIDATED($F$22,$F22),IF(_xll.TM1RPTELLEV($F$22,$F22)&lt;=5,_xll.TM1RPTELLEV($F$22,$F22),"Default"),"Leaf")</f>
        <v>Leaf</v>
      </c>
      <c r="B22" s="24" t="str">
        <f>_xll.DBRW("TM1-S1_DEV:}ElementAttributes_SP_SKU",$D22,B$1)</f>
        <v>Primary</v>
      </c>
      <c r="C22" s="24" t="str">
        <f>_xll.DBRW("TM1-S1_DEV:}ElementAttributes_SP_SKU",$D22,C$1)</f>
        <v>PROTEIN</v>
      </c>
      <c r="D22" s="28" t="str">
        <f>_xll.TM1RPTROW($C$2,"TM1-S1_DEV:SP_SKU",,,"SKU Description",FALSE,D$1)</f>
        <v>100407 - HAM BI BROWN 13-17 4CT-FM</v>
      </c>
      <c r="E22" s="28" t="str">
        <f>_xll.TM1RPTROW($C$2,"TM1-S1_DEV:SP_DCItem",,,"Description",FALSE,E$1)</f>
        <v>20202</v>
      </c>
      <c r="F22" s="28" t="str">
        <f>_xll.TM1RPTROW($C$2,"TM1-S1_DEV:SP_Manufacturer",,,"MEMBER_NAME",FALSE,F$1)</f>
        <v>Freshmark</v>
      </c>
      <c r="G22" s="4">
        <f>_xll.DBRW($C$2,$G$19,G$20,$D$18,$D$3,$D22,$E22,$F22,G$3)</f>
        <v>571</v>
      </c>
      <c r="H22" s="54">
        <f t="shared" ref="H22" si="0">J22-G22</f>
        <v>-563</v>
      </c>
      <c r="I22" s="4"/>
      <c r="J22" s="25">
        <f>_xll.DBRW($C$2,$J$1,J$2,$D$18,$D$3,$D22,$E22,$F22,J$3)</f>
        <v>8</v>
      </c>
      <c r="K22" s="39">
        <f>_xll.DBRW($C$2,$J$1,J$2,$D$18,$D$3,$D22,$E22,$F22,K$3)</f>
        <v>0</v>
      </c>
      <c r="L22" s="25">
        <f>_xll.DBRW($C$2,$J$1,J$2,$D$18,$D$3,$D22,$E22,$F22,L$3)</f>
        <v>0</v>
      </c>
      <c r="M22" s="25">
        <f>_xll.DBRW($C$2,$J$1,J$2,$D$18,$D$3,$D22,$E22,$F22,M$3)</f>
        <v>0</v>
      </c>
      <c r="N22" s="25">
        <f>_xll.DBRW($C$2,$J$1,J$2,$D$18,$D$3,$D22,$E22,$F22,N$3)</f>
        <v>-10</v>
      </c>
      <c r="O22" s="64">
        <f>_xll.DBRW($C$2,$J$1,J$2,$D$18,$D$3,$D22,$E22,$F22,O$3)</f>
        <v>0</v>
      </c>
      <c r="P22" s="58">
        <f>_xll.DBRW($C$2,$J$1,J$2,$D$18,$D$3,$D22,$E22,$F22,P$3)</f>
        <v>-10</v>
      </c>
      <c r="Q22" s="48">
        <f>_xll.DBRW($C$2,$J$1,J$2,$D$18,$D$3,$D22,$E22,$F22,Q$3)</f>
        <v>18</v>
      </c>
      <c r="R22" s="39">
        <f>_xll.DBRW($C$2,$R$1,R$2,$D$18,$D$3,$D22,$E22,$F22,R$3)</f>
        <v>0</v>
      </c>
      <c r="S22" s="25" cm="1">
        <f t="array" ref="S22">_xll.DBRW($E$2,R$1,R$2,$D$18,$D$3,$D22,$E22,$F22,$F$3,S$3)</f>
        <v>5</v>
      </c>
      <c r="T22" s="25">
        <f>_xll.DBRW($C$2,$R$1,R$2,$D$18,$D$3,$D22,$E22,$F22,T$3)</f>
        <v>0</v>
      </c>
      <c r="U22" s="64">
        <f>_xll.DBRW($C$2,$R$1,R$2,$D$18,$D$3,$D22,$E22,$F22,U$3)</f>
        <v>0</v>
      </c>
      <c r="V22" s="58">
        <f>_xll.DBRW($C$2,$R$1,R$2,$D$18,$D$3,$D22,$E22,$F22,V$3)</f>
        <v>0</v>
      </c>
      <c r="W22" s="48">
        <f t="shared" ref="W22" si="1">Q22+R22+S22-T22+V22</f>
        <v>23</v>
      </c>
      <c r="X22" s="39">
        <f>_xll.DBRW($C$2,$X$1,X$2,$D$18,$D$3,$D22,$E22,$F22,X$3)</f>
        <v>0</v>
      </c>
      <c r="Y22" s="25" cm="1">
        <f t="array" ref="Y22">_xll.DBRW($E$2,X$1,X$2,$D$18,$D$3,$D22,$E22,$F22,$F$3,Y$3)</f>
        <v>0</v>
      </c>
      <c r="Z22" s="25">
        <f>_xll.DBRW($C$2,$X$1,X$2,$D$18,$D$3,$D22,$E22,$F22,Z$3)</f>
        <v>3</v>
      </c>
      <c r="AA22" s="64">
        <f>_xll.DBRW($C$2,$X$1,X$2,$D$18,$D$3,$D22,$E22,$F22,AA$3)</f>
        <v>1</v>
      </c>
      <c r="AB22" s="58">
        <f>_xll.DBRW($C$2,$X$1,X$2,$D$18,$D$3,$D22,$E22,$F22,AB$3)</f>
        <v>0</v>
      </c>
      <c r="AC22" s="48">
        <f t="shared" ref="AC22" si="2">W22+X22+Y22-Z22+AB22</f>
        <v>20</v>
      </c>
      <c r="AD22" s="39">
        <f>_xll.DBRW($C$2,$AD$1,AD$2,$D$18,$D$3,$D22,$E22,$F22,AD$3)</f>
        <v>0</v>
      </c>
      <c r="AE22" s="25" cm="1">
        <f t="array" ref="AE22">_xll.DBRW($E$2,AD$1,AD$2,$D$18,$D$3,$D22,$E22,$F22,$F$3,AE$3)</f>
        <v>0</v>
      </c>
      <c r="AF22" s="25">
        <f>_xll.DBRW($C$2,$AD$1,AD$2,$D$18,$D$3,$D22,$E22,$F22,AF$3)</f>
        <v>20</v>
      </c>
      <c r="AG22" s="64">
        <f>_xll.DBRW($C$2,$AD$1,AD$2,$D$18,$D$3,$D22,$E22,$F22,AG$3)</f>
        <v>1</v>
      </c>
      <c r="AH22" s="58">
        <f>_xll.DBRW($C$2,$AD$1,AD$2,$D$18,$D$3,$D22,$E22,$F22,AH$3)</f>
        <v>0</v>
      </c>
      <c r="AI22" s="48">
        <f t="shared" ref="AI22" si="3">AC22+AD22+AE22-AF22+AH22</f>
        <v>0</v>
      </c>
      <c r="AJ22" s="39">
        <f>_xll.DBRW($C$2,$AJ$1,AJ$2,$D$18,$D$3,$D22,$E22,$F22,AJ$3)</f>
        <v>0</v>
      </c>
      <c r="AK22" s="25" cm="1">
        <f t="array" ref="AK22">_xll.DBRW($E$2,AJ$1,AJ$2,$D$18,$D$3,$D22,$E22,$F22,$F$3,AK$3)</f>
        <v>0</v>
      </c>
      <c r="AL22" s="25">
        <f>_xll.DBRW($C$2,$AJ$1,AJ$2,$D$18,$D$3,$D22,$E22,$F22,AL$3)</f>
        <v>24</v>
      </c>
      <c r="AM22" s="64">
        <f>_xll.DBRW($C$2,$AJ$1,AJ$2,$D$18,$D$3,$D22,$E22,$F22,AM$3)</f>
        <v>1</v>
      </c>
      <c r="AN22" s="58">
        <f>_xll.DBRW($C$2,$AJ$1,AJ$2,$D$18,$D$3,$D22,$E22,$F22,AN$3)</f>
        <v>0</v>
      </c>
      <c r="AO22" s="48">
        <f t="shared" ref="AO22" si="4">AI22+AJ22+AK22-AL22+AN22</f>
        <v>-24</v>
      </c>
      <c r="AP22" s="39">
        <f>_xll.DBRW($C$2,$AP$1,AP$2,$D$18,$D$3,$D22,$E22,$F22,AP$3)</f>
        <v>0</v>
      </c>
      <c r="AQ22" s="25" cm="1">
        <f t="array" ref="AQ22">_xll.DBRW($E$2,AP$1,AP$2,$D$18,$D$3,$D22,$E22,$F22,$F$3,AQ$3)</f>
        <v>0</v>
      </c>
      <c r="AR22" s="25">
        <f>_xll.DBRW($C$2,$AP$1,AP$2,$D$18,$D$3,$D22,$E22,$F22,AR$3)</f>
        <v>6</v>
      </c>
      <c r="AS22" s="64">
        <f>_xll.DBRW($C$2,$AP$1,AP$2,$D$18,$D$3,$D22,$E22,$F22,AS$3)</f>
        <v>1</v>
      </c>
      <c r="AT22" s="58">
        <f>_xll.DBRW($C$2,$AP$1,AP$2,$D$18,$D$3,$D22,$E22,$F22,AT$3)</f>
        <v>0</v>
      </c>
      <c r="AU22" s="48">
        <f t="shared" ref="AU22" si="5">AO22+AP22+AQ22-AR22+AT22</f>
        <v>-30</v>
      </c>
      <c r="AV22" s="39">
        <f>_xll.DBRW($C$2,$AV$1,AV$2,$D$18,$D$3,$D22,$E22,$F22,AV$3)</f>
        <v>0</v>
      </c>
      <c r="AW22" s="25" cm="1">
        <f t="array" ref="AW22">_xll.DBRW($E$2,AV$1,AV$2,$D$18,$D$3,$D22,$E22,$F22,$F$3,AW$3)</f>
        <v>0</v>
      </c>
      <c r="AX22" s="25">
        <f>_xll.DBRW($C$2,$AV$1,AV$2,$D$18,$D$3,$D22,$E22,$F22,AX$3)</f>
        <v>14</v>
      </c>
      <c r="AY22" s="64">
        <f>_xll.DBRW($C$2,$AV$1,AV$2,$D$18,$D$3,$D22,$E22,$F22,AY$3)</f>
        <v>1</v>
      </c>
      <c r="AZ22" s="58">
        <f>_xll.DBRW($C$2,$AV$1,AV$2,$D$18,$D$3,$D22,$E22,$F22,AZ$3)</f>
        <v>0</v>
      </c>
      <c r="BA22" s="48">
        <f t="shared" ref="BA22" si="6">AU22+AV22+AW22-AX22+AZ22</f>
        <v>-44</v>
      </c>
      <c r="BB22" s="39">
        <f>_xll.DBRW($C$2,$BB$1,BB$2,$D$18,$D$3,$D22,$E22,$F22,BB$3)</f>
        <v>0</v>
      </c>
      <c r="BC22" s="25" cm="1">
        <f t="array" ref="BC22">_xll.DBRW($E$2,BB$1,BB$2,$D$18,$D$3,$D22,$E22,$F22,$F$3,BC$3)</f>
        <v>0</v>
      </c>
      <c r="BD22" s="25">
        <f>_xll.DBRW($C$2,$BB$1,BB$2,$D$18,$D$3,$D22,$E22,$F22,BD$3)</f>
        <v>17</v>
      </c>
      <c r="BE22" s="64">
        <f>_xll.DBRW($C$2,$BB$1,BB$2,$D$18,$D$3,$D22,$E22,$F22,BE$3)</f>
        <v>1</v>
      </c>
      <c r="BF22" s="58">
        <f>_xll.DBRW($C$2,$BB$1,BB$2,$D$18,$D$3,$D22,$E22,$F22,BF$3)</f>
        <v>0</v>
      </c>
      <c r="BG22" s="48">
        <f t="shared" ref="BG22" si="7">BA22+BB22+BC22-BD22+BF22</f>
        <v>-61</v>
      </c>
      <c r="BH22" s="39">
        <f>_xll.DBRW($C$2,$BH$1,BH$2,$D$18,$D$3,$D22,$E22,$F22,BH$3)</f>
        <v>0</v>
      </c>
      <c r="BI22" s="25" cm="1">
        <f t="array" ref="BI22">_xll.DBRW($E$2,BH$1,BH$2,$D$18,$D$3,$D22,$E22,$F22,$F$3,BI$3)</f>
        <v>0</v>
      </c>
      <c r="BJ22" s="25">
        <f>_xll.DBRW($C$2,$BH$1,BH$2,$D$18,$D$3,$D22,$E22,$F22,BJ$3)</f>
        <v>16</v>
      </c>
      <c r="BK22" s="64">
        <f>_xll.DBRW($C$2,$BH$1,BH$2,$D$18,$D$3,$D22,$E22,$F22,BK$3)</f>
        <v>1</v>
      </c>
      <c r="BL22" s="58">
        <f>_xll.DBRW($C$2,$BH$1,BH$2,$D$18,$D$3,$D22,$E22,$F22,BL$3)</f>
        <v>0</v>
      </c>
      <c r="BM22" s="48">
        <f t="shared" ref="BM22" si="8">BG22+BH22+BI22-BJ22+BL22</f>
        <v>-77</v>
      </c>
      <c r="BN22" s="39">
        <f>_xll.DBRW($C$2,$BN$1,BN$2,$D$18,$D$3,$D22,$E22,$F22,BN$3)</f>
        <v>0</v>
      </c>
      <c r="BO22" s="25" cm="1">
        <f t="array" ref="BO22">_xll.DBRW($E$2,BN$1,BN$2,$D$18,$D$3,$D22,$E22,$F22,$F$3,BO$3)</f>
        <v>0</v>
      </c>
      <c r="BP22" s="25">
        <f>_xll.DBRW($C$2,$BN$1,BN$2,$D$18,$D$3,$D22,$E22,$F22,BP$3)</f>
        <v>1</v>
      </c>
      <c r="BQ22" s="64">
        <f>_xll.DBRW($C$2,$BN$1,BN$2,$D$18,$D$3,$D22,$E22,$F22,BQ$3)</f>
        <v>1</v>
      </c>
      <c r="BR22" s="58">
        <f>_xll.DBRW($C$2,$BN$1,BN$2,$D$18,$D$3,$D22,$E22,$F22,BR$3)</f>
        <v>0</v>
      </c>
      <c r="BS22" s="48">
        <f t="shared" ref="BS22" si="9">BM22+BN22+BO22-BP22+BR22</f>
        <v>-78</v>
      </c>
      <c r="BT22" s="39">
        <f>_xll.DBRW($C$2,$BT$1,BT$2,$D$18,$D$3,$D22,$E22,$F22,BT$3)</f>
        <v>0</v>
      </c>
      <c r="BU22" s="25" cm="1">
        <f t="array" ref="BU22">_xll.DBRW($E$2,BT$1,BT$2,$D$18,$D$3,$D22,$E22,$F22,$F$3,BU$3)</f>
        <v>0</v>
      </c>
      <c r="BV22" s="25">
        <f>_xll.DBRW($C$2,$BT$1,BT$2,$D$18,$D$3,$D22,$E22,$F22,BV$3)</f>
        <v>13</v>
      </c>
      <c r="BW22" s="64">
        <f>_xll.DBRW($C$2,$BT$1,BT$2,$D$18,$D$3,$D22,$E22,$F22,BW$3)</f>
        <v>1</v>
      </c>
      <c r="BX22" s="58">
        <f>_xll.DBRW($C$2,$BT$1,BT$2,$D$18,$D$3,$D22,$E22,$F22,BX$3)</f>
        <v>0</v>
      </c>
      <c r="BY22" s="48">
        <f t="shared" ref="BY22" si="10">BS22+BT22+BU22-BV22+BX22</f>
        <v>-91</v>
      </c>
      <c r="BZ22" s="39">
        <f>_xll.DBRW($C$2,$BZ$1,BZ$2,$D$18,$D$3,$D22,$E22,$F22,BZ$3)</f>
        <v>0</v>
      </c>
      <c r="CA22" s="25" cm="1">
        <f t="array" ref="CA22">_xll.DBRW($E$2,BZ$1,BZ$2,$D$18,$D$3,$D22,$E22,$F22,$F$3,CA$3)</f>
        <v>0</v>
      </c>
      <c r="CB22" s="25">
        <f>_xll.DBRW($C$2,$BZ$1,BZ$2,$D$18,$D$3,$D22,$E22,$F22,CB$3)</f>
        <v>11</v>
      </c>
      <c r="CC22" s="64">
        <f>_xll.DBRW($C$2,$BZ$1,BZ$2,$D$18,$D$3,$D22,$E22,$F22,CC$3)</f>
        <v>1</v>
      </c>
      <c r="CD22" s="58">
        <f>_xll.DBRW($C$2,$BZ$1,BZ$2,$D$18,$D$3,$D22,$E22,$F22,CD$3)</f>
        <v>0</v>
      </c>
      <c r="CE22" s="48">
        <f t="shared" ref="CE22" si="11">BY22+BZ22+CA22-CB22+CD22</f>
        <v>-102</v>
      </c>
    </row>
    <row r="23" spans="1:83" s="23" customFormat="1" outlineLevel="1" thickBot="1" x14ac:dyDescent="0.3">
      <c r="A23" s="91" t="str">
        <f>IF(_xll.TM1RPTELISCONSOLIDATED($F$22,$F23),IF(_xll.TM1RPTELLEV($F$22,$F23)&lt;=5,_xll.TM1RPTELLEV($F$22,$F23),"Default"),"Leaf")</f>
        <v>Leaf</v>
      </c>
      <c r="B23" s="24" t="str">
        <f>_xll.DBRW("TM1-S1_DEV:}ElementAttributes_SP_SKU",$D23,B$1)</f>
        <v>Primary</v>
      </c>
      <c r="C23" s="24" t="str">
        <f>_xll.DBRW("TM1-S1_DEV:}ElementAttributes_SP_SKU",$D23,C$1)</f>
        <v>PROTEIN</v>
      </c>
      <c r="D23" s="28" t="s">
        <v>464</v>
      </c>
      <c r="E23" s="28" t="s">
        <v>107</v>
      </c>
      <c r="F23" s="28" t="s">
        <v>42</v>
      </c>
      <c r="G23" s="4">
        <f>_xll.DBRW($C$2,$G$19,G$20,$D$18,$D$3,$D23,$E23,$F23,G$3)</f>
        <v>730</v>
      </c>
      <c r="H23" s="54">
        <f t="shared" ref="H23:H36" si="12">J23-G23</f>
        <v>760</v>
      </c>
      <c r="I23" s="4"/>
      <c r="J23" s="25">
        <f>_xll.DBRW($C$2,$J$1,J$2,$D$18,$D$3,$D23,$E23,$F23,J$3)</f>
        <v>1490</v>
      </c>
      <c r="K23" s="39">
        <f>_xll.DBRW($C$2,$J$1,J$2,$D$18,$D$3,$D23,$E23,$F23,K$3)</f>
        <v>0</v>
      </c>
      <c r="L23" s="25">
        <f>_xll.DBRW($C$2,$J$1,J$2,$D$18,$D$3,$D23,$E23,$F23,L$3)</f>
        <v>0</v>
      </c>
      <c r="M23" s="25">
        <f>_xll.DBRW($C$2,$J$1,J$2,$D$18,$D$3,$D23,$E23,$F23,M$3)</f>
        <v>0</v>
      </c>
      <c r="N23" s="25">
        <f>_xll.DBRW($C$2,$J$1,J$2,$D$18,$D$3,$D23,$E23,$F23,N$3)</f>
        <v>1466</v>
      </c>
      <c r="O23" s="64">
        <f>_xll.DBRW($C$2,$J$1,J$2,$D$18,$D$3,$D23,$E23,$F23,O$3)</f>
        <v>1</v>
      </c>
      <c r="P23" s="58">
        <f>_xll.DBRW($C$2,$J$1,J$2,$D$18,$D$3,$D23,$E23,$F23,P$3)</f>
        <v>0</v>
      </c>
      <c r="Q23" s="48">
        <f>_xll.DBRW($C$2,$J$1,J$2,$D$18,$D$3,$D23,$E23,$F23,Q$3)</f>
        <v>24</v>
      </c>
      <c r="R23" s="39">
        <f>_xll.DBRW($C$2,$R$1,R$2,$D$18,$D$3,$D23,$E23,$F23,R$3)</f>
        <v>0</v>
      </c>
      <c r="S23" s="25" cm="1">
        <f t="array" ref="S23">_xll.DBRW($E$2,R$1,R$2,$D$18,$D$3,$D23,$E23,$F23,$F$3,S$3)</f>
        <v>8</v>
      </c>
      <c r="T23" s="25">
        <f>_xll.DBRW($C$2,$R$1,R$2,$D$18,$D$3,$D23,$E23,$F23,T$3)</f>
        <v>0</v>
      </c>
      <c r="U23" s="64">
        <f>_xll.DBRW($C$2,$R$1,R$2,$D$18,$D$3,$D23,$E23,$F23,U$3)</f>
        <v>0</v>
      </c>
      <c r="V23" s="58">
        <f>_xll.DBRW($C$2,$R$1,R$2,$D$18,$D$3,$D23,$E23,$F23,V$3)</f>
        <v>0</v>
      </c>
      <c r="W23" s="48">
        <f t="shared" ref="W23:W36" si="13">Q23+R23+S23-T23+V23</f>
        <v>32</v>
      </c>
      <c r="X23" s="39">
        <f>_xll.DBRW($C$2,$X$1,X$2,$D$18,$D$3,$D23,$E23,$F23,X$3)</f>
        <v>0</v>
      </c>
      <c r="Y23" s="25" cm="1">
        <f t="array" ref="Y23">_xll.DBRW($E$2,X$1,X$2,$D$18,$D$3,$D23,$E23,$F23,$F$3,Y$3)</f>
        <v>0</v>
      </c>
      <c r="Z23" s="25">
        <f>_xll.DBRW($C$2,$X$1,X$2,$D$18,$D$3,$D23,$E23,$F23,Z$3)</f>
        <v>5</v>
      </c>
      <c r="AA23" s="64">
        <f>_xll.DBRW($C$2,$X$1,X$2,$D$18,$D$3,$D23,$E23,$F23,AA$3)</f>
        <v>1</v>
      </c>
      <c r="AB23" s="58">
        <f>_xll.DBRW($C$2,$X$1,X$2,$D$18,$D$3,$D23,$E23,$F23,AB$3)</f>
        <v>0</v>
      </c>
      <c r="AC23" s="48">
        <f t="shared" ref="AC23:AC36" si="14">W23+X23+Y23-Z23+AB23</f>
        <v>27</v>
      </c>
      <c r="AD23" s="39">
        <f>_xll.DBRW($C$2,$AD$1,AD$2,$D$18,$D$3,$D23,$E23,$F23,AD$3)</f>
        <v>0</v>
      </c>
      <c r="AE23" s="25" cm="1">
        <f t="array" ref="AE23">_xll.DBRW($E$2,AD$1,AD$2,$D$18,$D$3,$D23,$E23,$F23,$F$3,AE$3)</f>
        <v>0</v>
      </c>
      <c r="AF23" s="25">
        <f>_xll.DBRW($C$2,$AD$1,AD$2,$D$18,$D$3,$D23,$E23,$F23,AF$3)</f>
        <v>31</v>
      </c>
      <c r="AG23" s="64">
        <f>_xll.DBRW($C$2,$AD$1,AD$2,$D$18,$D$3,$D23,$E23,$F23,AG$3)</f>
        <v>1</v>
      </c>
      <c r="AH23" s="58">
        <f>_xll.DBRW($C$2,$AD$1,AD$2,$D$18,$D$3,$D23,$E23,$F23,AH$3)</f>
        <v>0</v>
      </c>
      <c r="AI23" s="48">
        <f t="shared" ref="AI23:AI36" si="15">AC23+AD23+AE23-AF23+AH23</f>
        <v>-4</v>
      </c>
      <c r="AJ23" s="39">
        <f>_xll.DBRW($C$2,$AJ$1,AJ$2,$D$18,$D$3,$D23,$E23,$F23,AJ$3)</f>
        <v>0</v>
      </c>
      <c r="AK23" s="25" cm="1">
        <f t="array" ref="AK23">_xll.DBRW($E$2,AJ$1,AJ$2,$D$18,$D$3,$D23,$E23,$F23,$F$3,AK$3)</f>
        <v>0</v>
      </c>
      <c r="AL23" s="25">
        <f>_xll.DBRW($C$2,$AJ$1,AJ$2,$D$18,$D$3,$D23,$E23,$F23,AL$3)</f>
        <v>37</v>
      </c>
      <c r="AM23" s="64">
        <f>_xll.DBRW($C$2,$AJ$1,AJ$2,$D$18,$D$3,$D23,$E23,$F23,AM$3)</f>
        <v>1</v>
      </c>
      <c r="AN23" s="58">
        <f>_xll.DBRW($C$2,$AJ$1,AJ$2,$D$18,$D$3,$D23,$E23,$F23,AN$3)</f>
        <v>0</v>
      </c>
      <c r="AO23" s="48">
        <f t="shared" ref="AO23:AO36" si="16">AI23+AJ23+AK23-AL23+AN23</f>
        <v>-41</v>
      </c>
      <c r="AP23" s="39">
        <f>_xll.DBRW($C$2,$AP$1,AP$2,$D$18,$D$3,$D23,$E23,$F23,AP$3)</f>
        <v>0</v>
      </c>
      <c r="AQ23" s="25" cm="1">
        <f t="array" ref="AQ23">_xll.DBRW($E$2,AP$1,AP$2,$D$18,$D$3,$D23,$E23,$F23,$F$3,AQ$3)</f>
        <v>0</v>
      </c>
      <c r="AR23" s="25">
        <f>_xll.DBRW($C$2,$AP$1,AP$2,$D$18,$D$3,$D23,$E23,$F23,AR$3)</f>
        <v>9</v>
      </c>
      <c r="AS23" s="64">
        <f>_xll.DBRW($C$2,$AP$1,AP$2,$D$18,$D$3,$D23,$E23,$F23,AS$3)</f>
        <v>1</v>
      </c>
      <c r="AT23" s="58">
        <f>_xll.DBRW($C$2,$AP$1,AP$2,$D$18,$D$3,$D23,$E23,$F23,AT$3)</f>
        <v>0</v>
      </c>
      <c r="AU23" s="48">
        <f t="shared" ref="AU23:AU36" si="17">AO23+AP23+AQ23-AR23+AT23</f>
        <v>-50</v>
      </c>
      <c r="AV23" s="39">
        <f>_xll.DBRW($C$2,$AV$1,AV$2,$D$18,$D$3,$D23,$E23,$F23,AV$3)</f>
        <v>0</v>
      </c>
      <c r="AW23" s="25" cm="1">
        <f t="array" ref="AW23">_xll.DBRW($E$2,AV$1,AV$2,$D$18,$D$3,$D23,$E23,$F23,$F$3,AW$3)</f>
        <v>0</v>
      </c>
      <c r="AX23" s="25">
        <f>_xll.DBRW($C$2,$AV$1,AV$2,$D$18,$D$3,$D23,$E23,$F23,AX$3)</f>
        <v>16</v>
      </c>
      <c r="AY23" s="64">
        <f>_xll.DBRW($C$2,$AV$1,AV$2,$D$18,$D$3,$D23,$E23,$F23,AY$3)</f>
        <v>1</v>
      </c>
      <c r="AZ23" s="58">
        <f>_xll.DBRW($C$2,$AV$1,AV$2,$D$18,$D$3,$D23,$E23,$F23,AZ$3)</f>
        <v>0</v>
      </c>
      <c r="BA23" s="48">
        <f t="shared" ref="BA23:BA36" si="18">AU23+AV23+AW23-AX23+AZ23</f>
        <v>-66</v>
      </c>
      <c r="BB23" s="39">
        <f>_xll.DBRW($C$2,$BB$1,BB$2,$D$18,$D$3,$D23,$E23,$F23,BB$3)</f>
        <v>0</v>
      </c>
      <c r="BC23" s="25" cm="1">
        <f t="array" ref="BC23">_xll.DBRW($E$2,BB$1,BB$2,$D$18,$D$3,$D23,$E23,$F23,$F$3,BC$3)</f>
        <v>0</v>
      </c>
      <c r="BD23" s="25">
        <f>_xll.DBRW($C$2,$BB$1,BB$2,$D$18,$D$3,$D23,$E23,$F23,BD$3)</f>
        <v>24</v>
      </c>
      <c r="BE23" s="64">
        <f>_xll.DBRW($C$2,$BB$1,BB$2,$D$18,$D$3,$D23,$E23,$F23,BE$3)</f>
        <v>1</v>
      </c>
      <c r="BF23" s="58">
        <f>_xll.DBRW($C$2,$BB$1,BB$2,$D$18,$D$3,$D23,$E23,$F23,BF$3)</f>
        <v>0</v>
      </c>
      <c r="BG23" s="48">
        <f t="shared" ref="BG23:BG36" si="19">BA23+BB23+BC23-BD23+BF23</f>
        <v>-90</v>
      </c>
      <c r="BH23" s="39">
        <f>_xll.DBRW($C$2,$BH$1,BH$2,$D$18,$D$3,$D23,$E23,$F23,BH$3)</f>
        <v>0</v>
      </c>
      <c r="BI23" s="25" cm="1">
        <f t="array" ref="BI23">_xll.DBRW($E$2,BH$1,BH$2,$D$18,$D$3,$D23,$E23,$F23,$F$3,BI$3)</f>
        <v>0</v>
      </c>
      <c r="BJ23" s="25">
        <f>_xll.DBRW($C$2,$BH$1,BH$2,$D$18,$D$3,$D23,$E23,$F23,BJ$3)</f>
        <v>21</v>
      </c>
      <c r="BK23" s="64">
        <f>_xll.DBRW($C$2,$BH$1,BH$2,$D$18,$D$3,$D23,$E23,$F23,BK$3)</f>
        <v>1</v>
      </c>
      <c r="BL23" s="58">
        <f>_xll.DBRW($C$2,$BH$1,BH$2,$D$18,$D$3,$D23,$E23,$F23,BL$3)</f>
        <v>0</v>
      </c>
      <c r="BM23" s="48">
        <f t="shared" ref="BM23:BM36" si="20">BG23+BH23+BI23-BJ23+BL23</f>
        <v>-111</v>
      </c>
      <c r="BN23" s="39">
        <f>_xll.DBRW($C$2,$BN$1,BN$2,$D$18,$D$3,$D23,$E23,$F23,BN$3)</f>
        <v>0</v>
      </c>
      <c r="BO23" s="25" cm="1">
        <f t="array" ref="BO23">_xll.DBRW($E$2,BN$1,BN$2,$D$18,$D$3,$D23,$E23,$F23,$F$3,BO$3)</f>
        <v>0</v>
      </c>
      <c r="BP23" s="25">
        <f>_xll.DBRW($C$2,$BN$1,BN$2,$D$18,$D$3,$D23,$E23,$F23,BP$3)</f>
        <v>2</v>
      </c>
      <c r="BQ23" s="64">
        <f>_xll.DBRW($C$2,$BN$1,BN$2,$D$18,$D$3,$D23,$E23,$F23,BQ$3)</f>
        <v>1</v>
      </c>
      <c r="BR23" s="58">
        <f>_xll.DBRW($C$2,$BN$1,BN$2,$D$18,$D$3,$D23,$E23,$F23,BR$3)</f>
        <v>0</v>
      </c>
      <c r="BS23" s="48">
        <f t="shared" ref="BS23:BS36" si="21">BM23+BN23+BO23-BP23+BR23</f>
        <v>-113</v>
      </c>
      <c r="BT23" s="39">
        <f>_xll.DBRW($C$2,$BT$1,BT$2,$D$18,$D$3,$D23,$E23,$F23,BT$3)</f>
        <v>0</v>
      </c>
      <c r="BU23" s="25" cm="1">
        <f t="array" ref="BU23">_xll.DBRW($E$2,BT$1,BT$2,$D$18,$D$3,$D23,$E23,$F23,$F$3,BU$3)</f>
        <v>0</v>
      </c>
      <c r="BV23" s="25">
        <f>_xll.DBRW($C$2,$BT$1,BT$2,$D$18,$D$3,$D23,$E23,$F23,BV$3)</f>
        <v>17</v>
      </c>
      <c r="BW23" s="64">
        <f>_xll.DBRW($C$2,$BT$1,BT$2,$D$18,$D$3,$D23,$E23,$F23,BW$3)</f>
        <v>1</v>
      </c>
      <c r="BX23" s="58">
        <f>_xll.DBRW($C$2,$BT$1,BT$2,$D$18,$D$3,$D23,$E23,$F23,BX$3)</f>
        <v>0</v>
      </c>
      <c r="BY23" s="48">
        <f t="shared" ref="BY23:BY36" si="22">BS23+BT23+BU23-BV23+BX23</f>
        <v>-130</v>
      </c>
      <c r="BZ23" s="39">
        <f>_xll.DBRW($C$2,$BZ$1,BZ$2,$D$18,$D$3,$D23,$E23,$F23,BZ$3)</f>
        <v>0</v>
      </c>
      <c r="CA23" s="25" cm="1">
        <f t="array" ref="CA23">_xll.DBRW($E$2,BZ$1,BZ$2,$D$18,$D$3,$D23,$E23,$F23,$F$3,CA$3)</f>
        <v>0</v>
      </c>
      <c r="CB23" s="25">
        <f>_xll.DBRW($C$2,$BZ$1,BZ$2,$D$18,$D$3,$D23,$E23,$F23,CB$3)</f>
        <v>45</v>
      </c>
      <c r="CC23" s="64">
        <f>_xll.DBRW($C$2,$BZ$1,BZ$2,$D$18,$D$3,$D23,$E23,$F23,CC$3)</f>
        <v>1</v>
      </c>
      <c r="CD23" s="58">
        <f>_xll.DBRW($C$2,$BZ$1,BZ$2,$D$18,$D$3,$D23,$E23,$F23,CD$3)</f>
        <v>0</v>
      </c>
      <c r="CE23" s="48">
        <f t="shared" ref="CE23:CE36" si="23">BY23+BZ23+CA23-CB23+CD23</f>
        <v>-175</v>
      </c>
    </row>
    <row r="24" spans="1:83" s="23" customFormat="1" outlineLevel="1" thickBot="1" x14ac:dyDescent="0.3">
      <c r="A24" s="91" t="str">
        <f>IF(_xll.TM1RPTELISCONSOLIDATED($F$22,$F24),IF(_xll.TM1RPTELLEV($F$22,$F24)&lt;=5,_xll.TM1RPTELLEV($F$22,$F24),"Default"),"Leaf")</f>
        <v>Leaf</v>
      </c>
      <c r="B24" s="24" t="str">
        <f>_xll.DBRW("TM1-S1_DEV:}ElementAttributes_SP_SKU",$D24,B$1)</f>
        <v>Primary</v>
      </c>
      <c r="C24" s="24" t="str">
        <f>_xll.DBRW("TM1-S1_DEV:}ElementAttributes_SP_SKU",$D24,C$1)</f>
        <v>PROTEIN</v>
      </c>
      <c r="D24" s="28" t="s">
        <v>357</v>
      </c>
      <c r="E24" s="28" t="s">
        <v>108</v>
      </c>
      <c r="F24" s="28" t="s">
        <v>42</v>
      </c>
      <c r="G24" s="4">
        <f>_xll.DBRW($C$2,$G$19,G$20,$D$18,$D$3,$D24,$E24,$F24,G$3)</f>
        <v>957</v>
      </c>
      <c r="H24" s="54">
        <f t="shared" si="12"/>
        <v>-1</v>
      </c>
      <c r="I24" s="4"/>
      <c r="J24" s="25">
        <f>_xll.DBRW($C$2,$J$1,J$2,$D$18,$D$3,$D24,$E24,$F24,J$3)</f>
        <v>956</v>
      </c>
      <c r="K24" s="39">
        <f>_xll.DBRW($C$2,$J$1,J$2,$D$18,$D$3,$D24,$E24,$F24,K$3)</f>
        <v>0</v>
      </c>
      <c r="L24" s="25">
        <f>_xll.DBRW($C$2,$J$1,J$2,$D$18,$D$3,$D24,$E24,$F24,L$3)</f>
        <v>0</v>
      </c>
      <c r="M24" s="25">
        <f>_xll.DBRW($C$2,$J$1,J$2,$D$18,$D$3,$D24,$E24,$F24,M$3)</f>
        <v>0</v>
      </c>
      <c r="N24" s="25">
        <f>_xll.DBRW($C$2,$J$1,J$2,$D$18,$D$3,$D24,$E24,$F24,N$3)</f>
        <v>971</v>
      </c>
      <c r="O24" s="64">
        <f>_xll.DBRW($C$2,$J$1,J$2,$D$18,$D$3,$D24,$E24,$F24,O$3)</f>
        <v>1</v>
      </c>
      <c r="P24" s="58">
        <f>_xll.DBRW($C$2,$J$1,J$2,$D$18,$D$3,$D24,$E24,$F24,P$3)</f>
        <v>0</v>
      </c>
      <c r="Q24" s="48">
        <f>_xll.DBRW($C$2,$J$1,J$2,$D$18,$D$3,$D24,$E24,$F24,Q$3)</f>
        <v>-15</v>
      </c>
      <c r="R24" s="39">
        <f>_xll.DBRW($C$2,$R$1,R$2,$D$18,$D$3,$D24,$E24,$F24,R$3)</f>
        <v>0</v>
      </c>
      <c r="S24" s="25" cm="1">
        <f t="array" ref="S24">_xll.DBRW($E$2,R$1,R$2,$D$18,$D$3,$D24,$E24,$F24,$F$3,S$3)</f>
        <v>9</v>
      </c>
      <c r="T24" s="25">
        <f>_xll.DBRW($C$2,$R$1,R$2,$D$18,$D$3,$D24,$E24,$F24,T$3)</f>
        <v>0</v>
      </c>
      <c r="U24" s="64">
        <f>_xll.DBRW($C$2,$R$1,R$2,$D$18,$D$3,$D24,$E24,$F24,U$3)</f>
        <v>0</v>
      </c>
      <c r="V24" s="58">
        <f>_xll.DBRW($C$2,$R$1,R$2,$D$18,$D$3,$D24,$E24,$F24,V$3)</f>
        <v>0</v>
      </c>
      <c r="W24" s="48">
        <f t="shared" si="13"/>
        <v>-6</v>
      </c>
      <c r="X24" s="39">
        <f>_xll.DBRW($C$2,$X$1,X$2,$D$18,$D$3,$D24,$E24,$F24,X$3)</f>
        <v>0</v>
      </c>
      <c r="Y24" s="25" cm="1">
        <f t="array" ref="Y24">_xll.DBRW($E$2,X$1,X$2,$D$18,$D$3,$D24,$E24,$F24,$F$3,Y$3)</f>
        <v>0</v>
      </c>
      <c r="Z24" s="25">
        <f>_xll.DBRW($C$2,$X$1,X$2,$D$18,$D$3,$D24,$E24,$F24,Z$3)</f>
        <v>6</v>
      </c>
      <c r="AA24" s="64">
        <f>_xll.DBRW($C$2,$X$1,X$2,$D$18,$D$3,$D24,$E24,$F24,AA$3)</f>
        <v>1</v>
      </c>
      <c r="AB24" s="58">
        <f>_xll.DBRW($C$2,$X$1,X$2,$D$18,$D$3,$D24,$E24,$F24,AB$3)</f>
        <v>0</v>
      </c>
      <c r="AC24" s="48">
        <f t="shared" si="14"/>
        <v>-12</v>
      </c>
      <c r="AD24" s="39">
        <f>_xll.DBRW($C$2,$AD$1,AD$2,$D$18,$D$3,$D24,$E24,$F24,AD$3)</f>
        <v>0</v>
      </c>
      <c r="AE24" s="25" cm="1">
        <f t="array" ref="AE24">_xll.DBRW($E$2,AD$1,AD$2,$D$18,$D$3,$D24,$E24,$F24,$F$3,AE$3)</f>
        <v>0</v>
      </c>
      <c r="AF24" s="25">
        <f>_xll.DBRW($C$2,$AD$1,AD$2,$D$18,$D$3,$D24,$E24,$F24,AF$3)</f>
        <v>77</v>
      </c>
      <c r="AG24" s="64">
        <f>_xll.DBRW($C$2,$AD$1,AD$2,$D$18,$D$3,$D24,$E24,$F24,AG$3)</f>
        <v>1</v>
      </c>
      <c r="AH24" s="58">
        <f>_xll.DBRW($C$2,$AD$1,AD$2,$D$18,$D$3,$D24,$E24,$F24,AH$3)</f>
        <v>0</v>
      </c>
      <c r="AI24" s="48">
        <f t="shared" si="15"/>
        <v>-89</v>
      </c>
      <c r="AJ24" s="39">
        <f>_xll.DBRW($C$2,$AJ$1,AJ$2,$D$18,$D$3,$D24,$E24,$F24,AJ$3)</f>
        <v>0</v>
      </c>
      <c r="AK24" s="25" cm="1">
        <f t="array" ref="AK24">_xll.DBRW($E$2,AJ$1,AJ$2,$D$18,$D$3,$D24,$E24,$F24,$F$3,AK$3)</f>
        <v>0</v>
      </c>
      <c r="AL24" s="25">
        <f>_xll.DBRW($C$2,$AJ$1,AJ$2,$D$18,$D$3,$D24,$E24,$F24,AL$3)</f>
        <v>108</v>
      </c>
      <c r="AM24" s="64">
        <f>_xll.DBRW($C$2,$AJ$1,AJ$2,$D$18,$D$3,$D24,$E24,$F24,AM$3)</f>
        <v>1</v>
      </c>
      <c r="AN24" s="58">
        <f>_xll.DBRW($C$2,$AJ$1,AJ$2,$D$18,$D$3,$D24,$E24,$F24,AN$3)</f>
        <v>0</v>
      </c>
      <c r="AO24" s="48">
        <f t="shared" si="16"/>
        <v>-197</v>
      </c>
      <c r="AP24" s="39">
        <f>_xll.DBRW($C$2,$AP$1,AP$2,$D$18,$D$3,$D24,$E24,$F24,AP$3)</f>
        <v>0</v>
      </c>
      <c r="AQ24" s="25" cm="1">
        <f t="array" ref="AQ24">_xll.DBRW($E$2,AP$1,AP$2,$D$18,$D$3,$D24,$E24,$F24,$F$3,AQ$3)</f>
        <v>0</v>
      </c>
      <c r="AR24" s="25">
        <f>_xll.DBRW($C$2,$AP$1,AP$2,$D$18,$D$3,$D24,$E24,$F24,AR$3)</f>
        <v>24</v>
      </c>
      <c r="AS24" s="64">
        <f>_xll.DBRW($C$2,$AP$1,AP$2,$D$18,$D$3,$D24,$E24,$F24,AS$3)</f>
        <v>1</v>
      </c>
      <c r="AT24" s="58">
        <f>_xll.DBRW($C$2,$AP$1,AP$2,$D$18,$D$3,$D24,$E24,$F24,AT$3)</f>
        <v>0</v>
      </c>
      <c r="AU24" s="48">
        <f t="shared" si="17"/>
        <v>-221</v>
      </c>
      <c r="AV24" s="39">
        <f>_xll.DBRW($C$2,$AV$1,AV$2,$D$18,$D$3,$D24,$E24,$F24,AV$3)</f>
        <v>0</v>
      </c>
      <c r="AW24" s="25" cm="1">
        <f t="array" ref="AW24">_xll.DBRW($E$2,AV$1,AV$2,$D$18,$D$3,$D24,$E24,$F24,$F$3,AW$3)</f>
        <v>0</v>
      </c>
      <c r="AX24" s="25">
        <f>_xll.DBRW($C$2,$AV$1,AV$2,$D$18,$D$3,$D24,$E24,$F24,AX$3)</f>
        <v>12</v>
      </c>
      <c r="AY24" s="64">
        <f>_xll.DBRW($C$2,$AV$1,AV$2,$D$18,$D$3,$D24,$E24,$F24,AY$3)</f>
        <v>1</v>
      </c>
      <c r="AZ24" s="58">
        <f>_xll.DBRW($C$2,$AV$1,AV$2,$D$18,$D$3,$D24,$E24,$F24,AZ$3)</f>
        <v>0</v>
      </c>
      <c r="BA24" s="48">
        <f t="shared" si="18"/>
        <v>-233</v>
      </c>
      <c r="BB24" s="39">
        <f>_xll.DBRW($C$2,$BB$1,BB$2,$D$18,$D$3,$D24,$E24,$F24,BB$3)</f>
        <v>0</v>
      </c>
      <c r="BC24" s="25" cm="1">
        <f t="array" ref="BC24">_xll.DBRW($E$2,BB$1,BB$2,$D$18,$D$3,$D24,$E24,$F24,$F$3,BC$3)</f>
        <v>0</v>
      </c>
      <c r="BD24" s="25">
        <f>_xll.DBRW($C$2,$BB$1,BB$2,$D$18,$D$3,$D24,$E24,$F24,BD$3)</f>
        <v>122</v>
      </c>
      <c r="BE24" s="64">
        <f>_xll.DBRW($C$2,$BB$1,BB$2,$D$18,$D$3,$D24,$E24,$F24,BE$3)</f>
        <v>1</v>
      </c>
      <c r="BF24" s="58">
        <f>_xll.DBRW($C$2,$BB$1,BB$2,$D$18,$D$3,$D24,$E24,$F24,BF$3)</f>
        <v>0</v>
      </c>
      <c r="BG24" s="48">
        <f t="shared" si="19"/>
        <v>-355</v>
      </c>
      <c r="BH24" s="39">
        <f>_xll.DBRW($C$2,$BH$1,BH$2,$D$18,$D$3,$D24,$E24,$F24,BH$3)</f>
        <v>0</v>
      </c>
      <c r="BI24" s="25" cm="1">
        <f t="array" ref="BI24">_xll.DBRW($E$2,BH$1,BH$2,$D$18,$D$3,$D24,$E24,$F24,$F$3,BI$3)</f>
        <v>0</v>
      </c>
      <c r="BJ24" s="25">
        <f>_xll.DBRW($C$2,$BH$1,BH$2,$D$18,$D$3,$D24,$E24,$F24,BJ$3)</f>
        <v>53</v>
      </c>
      <c r="BK24" s="64">
        <f>_xll.DBRW($C$2,$BH$1,BH$2,$D$18,$D$3,$D24,$E24,$F24,BK$3)</f>
        <v>1</v>
      </c>
      <c r="BL24" s="58">
        <f>_xll.DBRW($C$2,$BH$1,BH$2,$D$18,$D$3,$D24,$E24,$F24,BL$3)</f>
        <v>0</v>
      </c>
      <c r="BM24" s="48">
        <f t="shared" si="20"/>
        <v>-408</v>
      </c>
      <c r="BN24" s="39">
        <f>_xll.DBRW($C$2,$BN$1,BN$2,$D$18,$D$3,$D24,$E24,$F24,BN$3)</f>
        <v>0</v>
      </c>
      <c r="BO24" s="25" cm="1">
        <f t="array" ref="BO24">_xll.DBRW($E$2,BN$1,BN$2,$D$18,$D$3,$D24,$E24,$F24,$F$3,BO$3)</f>
        <v>0</v>
      </c>
      <c r="BP24" s="25">
        <f>_xll.DBRW($C$2,$BN$1,BN$2,$D$18,$D$3,$D24,$E24,$F24,BP$3)</f>
        <v>10</v>
      </c>
      <c r="BQ24" s="64">
        <f>_xll.DBRW($C$2,$BN$1,BN$2,$D$18,$D$3,$D24,$E24,$F24,BQ$3)</f>
        <v>1</v>
      </c>
      <c r="BR24" s="58">
        <f>_xll.DBRW($C$2,$BN$1,BN$2,$D$18,$D$3,$D24,$E24,$F24,BR$3)</f>
        <v>0</v>
      </c>
      <c r="BS24" s="48">
        <f t="shared" si="21"/>
        <v>-418</v>
      </c>
      <c r="BT24" s="39">
        <f>_xll.DBRW($C$2,$BT$1,BT$2,$D$18,$D$3,$D24,$E24,$F24,BT$3)</f>
        <v>0</v>
      </c>
      <c r="BU24" s="25" cm="1">
        <f t="array" ref="BU24">_xll.DBRW($E$2,BT$1,BT$2,$D$18,$D$3,$D24,$E24,$F24,$F$3,BU$3)</f>
        <v>0</v>
      </c>
      <c r="BV24" s="25">
        <f>_xll.DBRW($C$2,$BT$1,BT$2,$D$18,$D$3,$D24,$E24,$F24,BV$3)</f>
        <v>12</v>
      </c>
      <c r="BW24" s="64">
        <f>_xll.DBRW($C$2,$BT$1,BT$2,$D$18,$D$3,$D24,$E24,$F24,BW$3)</f>
        <v>1</v>
      </c>
      <c r="BX24" s="58">
        <f>_xll.DBRW($C$2,$BT$1,BT$2,$D$18,$D$3,$D24,$E24,$F24,BX$3)</f>
        <v>0</v>
      </c>
      <c r="BY24" s="48">
        <f t="shared" si="22"/>
        <v>-430</v>
      </c>
      <c r="BZ24" s="39">
        <f>_xll.DBRW($C$2,$BZ$1,BZ$2,$D$18,$D$3,$D24,$E24,$F24,BZ$3)</f>
        <v>0</v>
      </c>
      <c r="CA24" s="25" cm="1">
        <f t="array" ref="CA24">_xll.DBRW($E$2,BZ$1,BZ$2,$D$18,$D$3,$D24,$E24,$F24,$F$3,CA$3)</f>
        <v>0</v>
      </c>
      <c r="CB24" s="25">
        <f>_xll.DBRW($C$2,$BZ$1,BZ$2,$D$18,$D$3,$D24,$E24,$F24,CB$3)</f>
        <v>46</v>
      </c>
      <c r="CC24" s="64">
        <f>_xll.DBRW($C$2,$BZ$1,BZ$2,$D$18,$D$3,$D24,$E24,$F24,CC$3)</f>
        <v>1</v>
      </c>
      <c r="CD24" s="58">
        <f>_xll.DBRW($C$2,$BZ$1,BZ$2,$D$18,$D$3,$D24,$E24,$F24,CD$3)</f>
        <v>0</v>
      </c>
      <c r="CE24" s="48">
        <f t="shared" si="23"/>
        <v>-476</v>
      </c>
    </row>
    <row r="25" spans="1:83" s="23" customFormat="1" outlineLevel="1" thickBot="1" x14ac:dyDescent="0.3">
      <c r="A25" s="91" t="str">
        <f>IF(_xll.TM1RPTELISCONSOLIDATED($F$22,$F25),IF(_xll.TM1RPTELLEV($F$22,$F25)&lt;=5,_xll.TM1RPTELLEV($F$22,$F25),"Default"),"Leaf")</f>
        <v>Leaf</v>
      </c>
      <c r="B25" s="24" t="str">
        <f>_xll.DBRW("TM1-S1_DEV:}ElementAttributes_SP_SKU",$D25,B$1)</f>
        <v>Primary</v>
      </c>
      <c r="C25" s="24" t="str">
        <f>_xll.DBRW("TM1-S1_DEV:}ElementAttributes_SP_SKU",$D25,C$1)</f>
        <v>HAM</v>
      </c>
      <c r="D25" s="28" t="s">
        <v>358</v>
      </c>
      <c r="E25" s="28" t="s">
        <v>109</v>
      </c>
      <c r="F25" s="28" t="s">
        <v>42</v>
      </c>
      <c r="G25" s="4">
        <f>_xll.DBRW($C$2,$G$19,G$20,$D$18,$D$3,$D25,$E25,$F25,G$3)</f>
        <v>127</v>
      </c>
      <c r="H25" s="54">
        <f t="shared" si="12"/>
        <v>0</v>
      </c>
      <c r="I25" s="4"/>
      <c r="J25" s="25">
        <f>_xll.DBRW($C$2,$J$1,J$2,$D$18,$D$3,$D25,$E25,$F25,J$3)</f>
        <v>127</v>
      </c>
      <c r="K25" s="39">
        <f>_xll.DBRW($C$2,$J$1,J$2,$D$18,$D$3,$D25,$E25,$F25,K$3)</f>
        <v>0</v>
      </c>
      <c r="L25" s="25">
        <f>_xll.DBRW($C$2,$J$1,J$2,$D$18,$D$3,$D25,$E25,$F25,L$3)</f>
        <v>0</v>
      </c>
      <c r="M25" s="25">
        <f>_xll.DBRW($C$2,$J$1,J$2,$D$18,$D$3,$D25,$E25,$F25,M$3)</f>
        <v>0</v>
      </c>
      <c r="N25" s="25">
        <f>_xll.DBRW($C$2,$J$1,J$2,$D$18,$D$3,$D25,$E25,$F25,N$3)</f>
        <v>127</v>
      </c>
      <c r="O25" s="64">
        <f>_xll.DBRW($C$2,$J$1,J$2,$D$18,$D$3,$D25,$E25,$F25,O$3)</f>
        <v>1</v>
      </c>
      <c r="P25" s="58">
        <f>_xll.DBRW($C$2,$J$1,J$2,$D$18,$D$3,$D25,$E25,$F25,P$3)</f>
        <v>0</v>
      </c>
      <c r="Q25" s="48">
        <f>_xll.DBRW($C$2,$J$1,J$2,$D$18,$D$3,$D25,$E25,$F25,Q$3)</f>
        <v>0</v>
      </c>
      <c r="R25" s="39">
        <f>_xll.DBRW($C$2,$R$1,R$2,$D$18,$D$3,$D25,$E25,$F25,R$3)</f>
        <v>0</v>
      </c>
      <c r="S25" s="25" cm="1">
        <f t="array" ref="S25">_xll.DBRW($E$2,R$1,R$2,$D$18,$D$3,$D25,$E25,$F25,$F$3,S$3)</f>
        <v>0</v>
      </c>
      <c r="T25" s="25">
        <f>_xll.DBRW($C$2,$R$1,R$2,$D$18,$D$3,$D25,$E25,$F25,T$3)</f>
        <v>0</v>
      </c>
      <c r="U25" s="64">
        <f>_xll.DBRW($C$2,$R$1,R$2,$D$18,$D$3,$D25,$E25,$F25,U$3)</f>
        <v>0</v>
      </c>
      <c r="V25" s="58">
        <f>_xll.DBRW($C$2,$R$1,R$2,$D$18,$D$3,$D25,$E25,$F25,V$3)</f>
        <v>0</v>
      </c>
      <c r="W25" s="48">
        <f t="shared" si="13"/>
        <v>0</v>
      </c>
      <c r="X25" s="39">
        <f>_xll.DBRW($C$2,$X$1,X$2,$D$18,$D$3,$D25,$E25,$F25,X$3)</f>
        <v>0</v>
      </c>
      <c r="Y25" s="25" cm="1">
        <f t="array" ref="Y25">_xll.DBRW($E$2,X$1,X$2,$D$18,$D$3,$D25,$E25,$F25,$F$3,Y$3)</f>
        <v>0</v>
      </c>
      <c r="Z25" s="25">
        <f>_xll.DBRW($C$2,$X$1,X$2,$D$18,$D$3,$D25,$E25,$F25,Z$3)</f>
        <v>0</v>
      </c>
      <c r="AA25" s="64">
        <f>_xll.DBRW($C$2,$X$1,X$2,$D$18,$D$3,$D25,$E25,$F25,AA$3)</f>
        <v>0</v>
      </c>
      <c r="AB25" s="58">
        <f>_xll.DBRW($C$2,$X$1,X$2,$D$18,$D$3,$D25,$E25,$F25,AB$3)</f>
        <v>0</v>
      </c>
      <c r="AC25" s="48">
        <f t="shared" si="14"/>
        <v>0</v>
      </c>
      <c r="AD25" s="39">
        <f>_xll.DBRW($C$2,$AD$1,AD$2,$D$18,$D$3,$D25,$E25,$F25,AD$3)</f>
        <v>0</v>
      </c>
      <c r="AE25" s="25" cm="1">
        <f t="array" ref="AE25">_xll.DBRW($E$2,AD$1,AD$2,$D$18,$D$3,$D25,$E25,$F25,$F$3,AE$3)</f>
        <v>0</v>
      </c>
      <c r="AF25" s="25">
        <f>_xll.DBRW($C$2,$AD$1,AD$2,$D$18,$D$3,$D25,$E25,$F25,AF$3)</f>
        <v>0</v>
      </c>
      <c r="AG25" s="64">
        <f>_xll.DBRW($C$2,$AD$1,AD$2,$D$18,$D$3,$D25,$E25,$F25,AG$3)</f>
        <v>0</v>
      </c>
      <c r="AH25" s="58">
        <f>_xll.DBRW($C$2,$AD$1,AD$2,$D$18,$D$3,$D25,$E25,$F25,AH$3)</f>
        <v>0</v>
      </c>
      <c r="AI25" s="48">
        <f t="shared" si="15"/>
        <v>0</v>
      </c>
      <c r="AJ25" s="39">
        <f>_xll.DBRW($C$2,$AJ$1,AJ$2,$D$18,$D$3,$D25,$E25,$F25,AJ$3)</f>
        <v>0</v>
      </c>
      <c r="AK25" s="25" cm="1">
        <f t="array" ref="AK25">_xll.DBRW($E$2,AJ$1,AJ$2,$D$18,$D$3,$D25,$E25,$F25,$F$3,AK$3)</f>
        <v>0</v>
      </c>
      <c r="AL25" s="25">
        <f>_xll.DBRW($C$2,$AJ$1,AJ$2,$D$18,$D$3,$D25,$E25,$F25,AL$3)</f>
        <v>0</v>
      </c>
      <c r="AM25" s="64">
        <f>_xll.DBRW($C$2,$AJ$1,AJ$2,$D$18,$D$3,$D25,$E25,$F25,AM$3)</f>
        <v>0</v>
      </c>
      <c r="AN25" s="58">
        <f>_xll.DBRW($C$2,$AJ$1,AJ$2,$D$18,$D$3,$D25,$E25,$F25,AN$3)</f>
        <v>0</v>
      </c>
      <c r="AO25" s="48">
        <f t="shared" si="16"/>
        <v>0</v>
      </c>
      <c r="AP25" s="39">
        <f>_xll.DBRW($C$2,$AP$1,AP$2,$D$18,$D$3,$D25,$E25,$F25,AP$3)</f>
        <v>0</v>
      </c>
      <c r="AQ25" s="25" cm="1">
        <f t="array" ref="AQ25">_xll.DBRW($E$2,AP$1,AP$2,$D$18,$D$3,$D25,$E25,$F25,$F$3,AQ$3)</f>
        <v>0</v>
      </c>
      <c r="AR25" s="25">
        <f>_xll.DBRW($C$2,$AP$1,AP$2,$D$18,$D$3,$D25,$E25,$F25,AR$3)</f>
        <v>0</v>
      </c>
      <c r="AS25" s="64">
        <f>_xll.DBRW($C$2,$AP$1,AP$2,$D$18,$D$3,$D25,$E25,$F25,AS$3)</f>
        <v>0</v>
      </c>
      <c r="AT25" s="58">
        <f>_xll.DBRW($C$2,$AP$1,AP$2,$D$18,$D$3,$D25,$E25,$F25,AT$3)</f>
        <v>0</v>
      </c>
      <c r="AU25" s="48">
        <f t="shared" si="17"/>
        <v>0</v>
      </c>
      <c r="AV25" s="39">
        <f>_xll.DBRW($C$2,$AV$1,AV$2,$D$18,$D$3,$D25,$E25,$F25,AV$3)</f>
        <v>0</v>
      </c>
      <c r="AW25" s="25" cm="1">
        <f t="array" ref="AW25">_xll.DBRW($E$2,AV$1,AV$2,$D$18,$D$3,$D25,$E25,$F25,$F$3,AW$3)</f>
        <v>0</v>
      </c>
      <c r="AX25" s="25">
        <f>_xll.DBRW($C$2,$AV$1,AV$2,$D$18,$D$3,$D25,$E25,$F25,AX$3)</f>
        <v>0</v>
      </c>
      <c r="AY25" s="64">
        <f>_xll.DBRW($C$2,$AV$1,AV$2,$D$18,$D$3,$D25,$E25,$F25,AY$3)</f>
        <v>0</v>
      </c>
      <c r="AZ25" s="58">
        <f>_xll.DBRW($C$2,$AV$1,AV$2,$D$18,$D$3,$D25,$E25,$F25,AZ$3)</f>
        <v>0</v>
      </c>
      <c r="BA25" s="48">
        <f t="shared" si="18"/>
        <v>0</v>
      </c>
      <c r="BB25" s="39">
        <f>_xll.DBRW($C$2,$BB$1,BB$2,$D$18,$D$3,$D25,$E25,$F25,BB$3)</f>
        <v>0</v>
      </c>
      <c r="BC25" s="25" cm="1">
        <f t="array" ref="BC25">_xll.DBRW($E$2,BB$1,BB$2,$D$18,$D$3,$D25,$E25,$F25,$F$3,BC$3)</f>
        <v>0</v>
      </c>
      <c r="BD25" s="25">
        <f>_xll.DBRW($C$2,$BB$1,BB$2,$D$18,$D$3,$D25,$E25,$F25,BD$3)</f>
        <v>0</v>
      </c>
      <c r="BE25" s="64">
        <f>_xll.DBRW($C$2,$BB$1,BB$2,$D$18,$D$3,$D25,$E25,$F25,BE$3)</f>
        <v>0</v>
      </c>
      <c r="BF25" s="58">
        <f>_xll.DBRW($C$2,$BB$1,BB$2,$D$18,$D$3,$D25,$E25,$F25,BF$3)</f>
        <v>0</v>
      </c>
      <c r="BG25" s="48">
        <f t="shared" si="19"/>
        <v>0</v>
      </c>
      <c r="BH25" s="39">
        <f>_xll.DBRW($C$2,$BH$1,BH$2,$D$18,$D$3,$D25,$E25,$F25,BH$3)</f>
        <v>0</v>
      </c>
      <c r="BI25" s="25" cm="1">
        <f t="array" ref="BI25">_xll.DBRW($E$2,BH$1,BH$2,$D$18,$D$3,$D25,$E25,$F25,$F$3,BI$3)</f>
        <v>0</v>
      </c>
      <c r="BJ25" s="25">
        <f>_xll.DBRW($C$2,$BH$1,BH$2,$D$18,$D$3,$D25,$E25,$F25,BJ$3)</f>
        <v>0</v>
      </c>
      <c r="BK25" s="64">
        <f>_xll.DBRW($C$2,$BH$1,BH$2,$D$18,$D$3,$D25,$E25,$F25,BK$3)</f>
        <v>0</v>
      </c>
      <c r="BL25" s="58">
        <f>_xll.DBRW($C$2,$BH$1,BH$2,$D$18,$D$3,$D25,$E25,$F25,BL$3)</f>
        <v>0</v>
      </c>
      <c r="BM25" s="48">
        <f t="shared" si="20"/>
        <v>0</v>
      </c>
      <c r="BN25" s="39">
        <f>_xll.DBRW($C$2,$BN$1,BN$2,$D$18,$D$3,$D25,$E25,$F25,BN$3)</f>
        <v>0</v>
      </c>
      <c r="BO25" s="25" cm="1">
        <f t="array" ref="BO25">_xll.DBRW($E$2,BN$1,BN$2,$D$18,$D$3,$D25,$E25,$F25,$F$3,BO$3)</f>
        <v>0</v>
      </c>
      <c r="BP25" s="25">
        <f>_xll.DBRW($C$2,$BN$1,BN$2,$D$18,$D$3,$D25,$E25,$F25,BP$3)</f>
        <v>0</v>
      </c>
      <c r="BQ25" s="64">
        <f>_xll.DBRW($C$2,$BN$1,BN$2,$D$18,$D$3,$D25,$E25,$F25,BQ$3)</f>
        <v>0</v>
      </c>
      <c r="BR25" s="58">
        <f>_xll.DBRW($C$2,$BN$1,BN$2,$D$18,$D$3,$D25,$E25,$F25,BR$3)</f>
        <v>0</v>
      </c>
      <c r="BS25" s="48">
        <f t="shared" si="21"/>
        <v>0</v>
      </c>
      <c r="BT25" s="39">
        <f>_xll.DBRW($C$2,$BT$1,BT$2,$D$18,$D$3,$D25,$E25,$F25,BT$3)</f>
        <v>0</v>
      </c>
      <c r="BU25" s="25" cm="1">
        <f t="array" ref="BU25">_xll.DBRW($E$2,BT$1,BT$2,$D$18,$D$3,$D25,$E25,$F25,$F$3,BU$3)</f>
        <v>0</v>
      </c>
      <c r="BV25" s="25">
        <f>_xll.DBRW($C$2,$BT$1,BT$2,$D$18,$D$3,$D25,$E25,$F25,BV$3)</f>
        <v>0</v>
      </c>
      <c r="BW25" s="64">
        <f>_xll.DBRW($C$2,$BT$1,BT$2,$D$18,$D$3,$D25,$E25,$F25,BW$3)</f>
        <v>0</v>
      </c>
      <c r="BX25" s="58">
        <f>_xll.DBRW($C$2,$BT$1,BT$2,$D$18,$D$3,$D25,$E25,$F25,BX$3)</f>
        <v>0</v>
      </c>
      <c r="BY25" s="48">
        <f t="shared" si="22"/>
        <v>0</v>
      </c>
      <c r="BZ25" s="39">
        <f>_xll.DBRW($C$2,$BZ$1,BZ$2,$D$18,$D$3,$D25,$E25,$F25,BZ$3)</f>
        <v>0</v>
      </c>
      <c r="CA25" s="25" cm="1">
        <f t="array" ref="CA25">_xll.DBRW($E$2,BZ$1,BZ$2,$D$18,$D$3,$D25,$E25,$F25,$F$3,CA$3)</f>
        <v>0</v>
      </c>
      <c r="CB25" s="25">
        <f>_xll.DBRW($C$2,$BZ$1,BZ$2,$D$18,$D$3,$D25,$E25,$F25,CB$3)</f>
        <v>0</v>
      </c>
      <c r="CC25" s="64">
        <f>_xll.DBRW($C$2,$BZ$1,BZ$2,$D$18,$D$3,$D25,$E25,$F25,CC$3)</f>
        <v>0</v>
      </c>
      <c r="CD25" s="58">
        <f>_xll.DBRW($C$2,$BZ$1,BZ$2,$D$18,$D$3,$D25,$E25,$F25,CD$3)</f>
        <v>0</v>
      </c>
      <c r="CE25" s="48">
        <f t="shared" si="23"/>
        <v>0</v>
      </c>
    </row>
    <row r="26" spans="1:83" s="23" customFormat="1" outlineLevel="1" thickBot="1" x14ac:dyDescent="0.3">
      <c r="A26" s="91" t="str">
        <f>IF(_xll.TM1RPTELISCONSOLIDATED($F$22,$F26),IF(_xll.TM1RPTELLEV($F$22,$F26)&lt;=5,_xll.TM1RPTELLEV($F$22,$F26),"Default"),"Leaf")</f>
        <v>Leaf</v>
      </c>
      <c r="B26" s="24" t="str">
        <f>_xll.DBRW("TM1-S1_DEV:}ElementAttributes_SP_SKU",$D26,B$1)</f>
        <v>Primary</v>
      </c>
      <c r="C26" s="24" t="str">
        <f>_xll.DBRW("TM1-S1_DEV:}ElementAttributes_SP_SKU",$D26,C$1)</f>
        <v>HAM</v>
      </c>
      <c r="D26" s="28" t="s">
        <v>359</v>
      </c>
      <c r="E26" s="28" t="s">
        <v>110</v>
      </c>
      <c r="F26" s="28" t="s">
        <v>42</v>
      </c>
      <c r="G26" s="4">
        <f>_xll.DBRW($C$2,$G$19,G$20,$D$18,$D$3,$D26,$E26,$F26,G$3)</f>
        <v>200</v>
      </c>
      <c r="H26" s="54">
        <f t="shared" si="12"/>
        <v>0</v>
      </c>
      <c r="I26" s="4"/>
      <c r="J26" s="25">
        <f>_xll.DBRW($C$2,$J$1,J$2,$D$18,$D$3,$D26,$E26,$F26,J$3)</f>
        <v>200</v>
      </c>
      <c r="K26" s="39">
        <f>_xll.DBRW($C$2,$J$1,J$2,$D$18,$D$3,$D26,$E26,$F26,K$3)</f>
        <v>0</v>
      </c>
      <c r="L26" s="25">
        <f>_xll.DBRW($C$2,$J$1,J$2,$D$18,$D$3,$D26,$E26,$F26,L$3)</f>
        <v>0</v>
      </c>
      <c r="M26" s="25">
        <f>_xll.DBRW($C$2,$J$1,J$2,$D$18,$D$3,$D26,$E26,$F26,M$3)</f>
        <v>0</v>
      </c>
      <c r="N26" s="25">
        <f>_xll.DBRW($C$2,$J$1,J$2,$D$18,$D$3,$D26,$E26,$F26,N$3)</f>
        <v>200</v>
      </c>
      <c r="O26" s="64">
        <f>_xll.DBRW($C$2,$J$1,J$2,$D$18,$D$3,$D26,$E26,$F26,O$3)</f>
        <v>1</v>
      </c>
      <c r="P26" s="58">
        <f>_xll.DBRW($C$2,$J$1,J$2,$D$18,$D$3,$D26,$E26,$F26,P$3)</f>
        <v>0</v>
      </c>
      <c r="Q26" s="48">
        <f>_xll.DBRW($C$2,$J$1,J$2,$D$18,$D$3,$D26,$E26,$F26,Q$3)</f>
        <v>0</v>
      </c>
      <c r="R26" s="39">
        <f>_xll.DBRW($C$2,$R$1,R$2,$D$18,$D$3,$D26,$E26,$F26,R$3)</f>
        <v>0</v>
      </c>
      <c r="S26" s="25" cm="1">
        <f t="array" ref="S26">_xll.DBRW($E$2,R$1,R$2,$D$18,$D$3,$D26,$E26,$F26,$F$3,S$3)</f>
        <v>0</v>
      </c>
      <c r="T26" s="25">
        <f>_xll.DBRW($C$2,$R$1,R$2,$D$18,$D$3,$D26,$E26,$F26,T$3)</f>
        <v>0</v>
      </c>
      <c r="U26" s="64">
        <f>_xll.DBRW($C$2,$R$1,R$2,$D$18,$D$3,$D26,$E26,$F26,U$3)</f>
        <v>0</v>
      </c>
      <c r="V26" s="58">
        <f>_xll.DBRW($C$2,$R$1,R$2,$D$18,$D$3,$D26,$E26,$F26,V$3)</f>
        <v>0</v>
      </c>
      <c r="W26" s="48">
        <f t="shared" si="13"/>
        <v>0</v>
      </c>
      <c r="X26" s="39">
        <f>_xll.DBRW($C$2,$X$1,X$2,$D$18,$D$3,$D26,$E26,$F26,X$3)</f>
        <v>0</v>
      </c>
      <c r="Y26" s="25" cm="1">
        <f t="array" ref="Y26">_xll.DBRW($E$2,X$1,X$2,$D$18,$D$3,$D26,$E26,$F26,$F$3,Y$3)</f>
        <v>0</v>
      </c>
      <c r="Z26" s="25">
        <f>_xll.DBRW($C$2,$X$1,X$2,$D$18,$D$3,$D26,$E26,$F26,Z$3)</f>
        <v>0</v>
      </c>
      <c r="AA26" s="64">
        <f>_xll.DBRW($C$2,$X$1,X$2,$D$18,$D$3,$D26,$E26,$F26,AA$3)</f>
        <v>0</v>
      </c>
      <c r="AB26" s="58">
        <f>_xll.DBRW($C$2,$X$1,X$2,$D$18,$D$3,$D26,$E26,$F26,AB$3)</f>
        <v>0</v>
      </c>
      <c r="AC26" s="48">
        <f t="shared" si="14"/>
        <v>0</v>
      </c>
      <c r="AD26" s="39">
        <f>_xll.DBRW($C$2,$AD$1,AD$2,$D$18,$D$3,$D26,$E26,$F26,AD$3)</f>
        <v>0</v>
      </c>
      <c r="AE26" s="25" cm="1">
        <f t="array" ref="AE26">_xll.DBRW($E$2,AD$1,AD$2,$D$18,$D$3,$D26,$E26,$F26,$F$3,AE$3)</f>
        <v>0</v>
      </c>
      <c r="AF26" s="25">
        <f>_xll.DBRW($C$2,$AD$1,AD$2,$D$18,$D$3,$D26,$E26,$F26,AF$3)</f>
        <v>1</v>
      </c>
      <c r="AG26" s="64">
        <f>_xll.DBRW($C$2,$AD$1,AD$2,$D$18,$D$3,$D26,$E26,$F26,AG$3)</f>
        <v>1</v>
      </c>
      <c r="AH26" s="58">
        <f>_xll.DBRW($C$2,$AD$1,AD$2,$D$18,$D$3,$D26,$E26,$F26,AH$3)</f>
        <v>0</v>
      </c>
      <c r="AI26" s="48">
        <f t="shared" si="15"/>
        <v>-1</v>
      </c>
      <c r="AJ26" s="39">
        <f>_xll.DBRW($C$2,$AJ$1,AJ$2,$D$18,$D$3,$D26,$E26,$F26,AJ$3)</f>
        <v>0</v>
      </c>
      <c r="AK26" s="25" cm="1">
        <f t="array" ref="AK26">_xll.DBRW($E$2,AJ$1,AJ$2,$D$18,$D$3,$D26,$E26,$F26,$F$3,AK$3)</f>
        <v>0</v>
      </c>
      <c r="AL26" s="25">
        <f>_xll.DBRW($C$2,$AJ$1,AJ$2,$D$18,$D$3,$D26,$E26,$F26,AL$3)</f>
        <v>2</v>
      </c>
      <c r="AM26" s="64">
        <f>_xll.DBRW($C$2,$AJ$1,AJ$2,$D$18,$D$3,$D26,$E26,$F26,AM$3)</f>
        <v>1</v>
      </c>
      <c r="AN26" s="58">
        <f>_xll.DBRW($C$2,$AJ$1,AJ$2,$D$18,$D$3,$D26,$E26,$F26,AN$3)</f>
        <v>0</v>
      </c>
      <c r="AO26" s="48">
        <f t="shared" si="16"/>
        <v>-3</v>
      </c>
      <c r="AP26" s="39">
        <f>_xll.DBRW($C$2,$AP$1,AP$2,$D$18,$D$3,$D26,$E26,$F26,AP$3)</f>
        <v>0</v>
      </c>
      <c r="AQ26" s="25" cm="1">
        <f t="array" ref="AQ26">_xll.DBRW($E$2,AP$1,AP$2,$D$18,$D$3,$D26,$E26,$F26,$F$3,AQ$3)</f>
        <v>0</v>
      </c>
      <c r="AR26" s="25">
        <f>_xll.DBRW($C$2,$AP$1,AP$2,$D$18,$D$3,$D26,$E26,$F26,AR$3)</f>
        <v>0</v>
      </c>
      <c r="AS26" s="64">
        <f>_xll.DBRW($C$2,$AP$1,AP$2,$D$18,$D$3,$D26,$E26,$F26,AS$3)</f>
        <v>0</v>
      </c>
      <c r="AT26" s="58">
        <f>_xll.DBRW($C$2,$AP$1,AP$2,$D$18,$D$3,$D26,$E26,$F26,AT$3)</f>
        <v>0</v>
      </c>
      <c r="AU26" s="48">
        <f t="shared" si="17"/>
        <v>-3</v>
      </c>
      <c r="AV26" s="39">
        <f>_xll.DBRW($C$2,$AV$1,AV$2,$D$18,$D$3,$D26,$E26,$F26,AV$3)</f>
        <v>0</v>
      </c>
      <c r="AW26" s="25" cm="1">
        <f t="array" ref="AW26">_xll.DBRW($E$2,AV$1,AV$2,$D$18,$D$3,$D26,$E26,$F26,$F$3,AW$3)</f>
        <v>0</v>
      </c>
      <c r="AX26" s="25">
        <f>_xll.DBRW($C$2,$AV$1,AV$2,$D$18,$D$3,$D26,$E26,$F26,AX$3)</f>
        <v>1</v>
      </c>
      <c r="AY26" s="64">
        <f>_xll.DBRW($C$2,$AV$1,AV$2,$D$18,$D$3,$D26,$E26,$F26,AY$3)</f>
        <v>1</v>
      </c>
      <c r="AZ26" s="58">
        <f>_xll.DBRW($C$2,$AV$1,AV$2,$D$18,$D$3,$D26,$E26,$F26,AZ$3)</f>
        <v>0</v>
      </c>
      <c r="BA26" s="48">
        <f t="shared" si="18"/>
        <v>-4</v>
      </c>
      <c r="BB26" s="39">
        <f>_xll.DBRW($C$2,$BB$1,BB$2,$D$18,$D$3,$D26,$E26,$F26,BB$3)</f>
        <v>0</v>
      </c>
      <c r="BC26" s="25" cm="1">
        <f t="array" ref="BC26">_xll.DBRW($E$2,BB$1,BB$2,$D$18,$D$3,$D26,$E26,$F26,$F$3,BC$3)</f>
        <v>0</v>
      </c>
      <c r="BD26" s="25">
        <f>_xll.DBRW($C$2,$BB$1,BB$2,$D$18,$D$3,$D26,$E26,$F26,BD$3)</f>
        <v>1</v>
      </c>
      <c r="BE26" s="64">
        <f>_xll.DBRW($C$2,$BB$1,BB$2,$D$18,$D$3,$D26,$E26,$F26,BE$3)</f>
        <v>1</v>
      </c>
      <c r="BF26" s="58">
        <f>_xll.DBRW($C$2,$BB$1,BB$2,$D$18,$D$3,$D26,$E26,$F26,BF$3)</f>
        <v>0</v>
      </c>
      <c r="BG26" s="48">
        <f t="shared" si="19"/>
        <v>-5</v>
      </c>
      <c r="BH26" s="39">
        <f>_xll.DBRW($C$2,$BH$1,BH$2,$D$18,$D$3,$D26,$E26,$F26,BH$3)</f>
        <v>0</v>
      </c>
      <c r="BI26" s="25" cm="1">
        <f t="array" ref="BI26">_xll.DBRW($E$2,BH$1,BH$2,$D$18,$D$3,$D26,$E26,$F26,$F$3,BI$3)</f>
        <v>0</v>
      </c>
      <c r="BJ26" s="25">
        <f>_xll.DBRW($C$2,$BH$1,BH$2,$D$18,$D$3,$D26,$E26,$F26,BJ$3)</f>
        <v>2</v>
      </c>
      <c r="BK26" s="64">
        <f>_xll.DBRW($C$2,$BH$1,BH$2,$D$18,$D$3,$D26,$E26,$F26,BK$3)</f>
        <v>1</v>
      </c>
      <c r="BL26" s="58">
        <f>_xll.DBRW($C$2,$BH$1,BH$2,$D$18,$D$3,$D26,$E26,$F26,BL$3)</f>
        <v>0</v>
      </c>
      <c r="BM26" s="48">
        <f t="shared" si="20"/>
        <v>-7</v>
      </c>
      <c r="BN26" s="39">
        <f>_xll.DBRW($C$2,$BN$1,BN$2,$D$18,$D$3,$D26,$E26,$F26,BN$3)</f>
        <v>0</v>
      </c>
      <c r="BO26" s="25" cm="1">
        <f t="array" ref="BO26">_xll.DBRW($E$2,BN$1,BN$2,$D$18,$D$3,$D26,$E26,$F26,$F$3,BO$3)</f>
        <v>0</v>
      </c>
      <c r="BP26" s="25">
        <f>_xll.DBRW($C$2,$BN$1,BN$2,$D$18,$D$3,$D26,$E26,$F26,BP$3)</f>
        <v>0</v>
      </c>
      <c r="BQ26" s="64">
        <f>_xll.DBRW($C$2,$BN$1,BN$2,$D$18,$D$3,$D26,$E26,$F26,BQ$3)</f>
        <v>0</v>
      </c>
      <c r="BR26" s="58">
        <f>_xll.DBRW($C$2,$BN$1,BN$2,$D$18,$D$3,$D26,$E26,$F26,BR$3)</f>
        <v>0</v>
      </c>
      <c r="BS26" s="48">
        <f t="shared" si="21"/>
        <v>-7</v>
      </c>
      <c r="BT26" s="39">
        <f>_xll.DBRW($C$2,$BT$1,BT$2,$D$18,$D$3,$D26,$E26,$F26,BT$3)</f>
        <v>0</v>
      </c>
      <c r="BU26" s="25" cm="1">
        <f t="array" ref="BU26">_xll.DBRW($E$2,BT$1,BT$2,$D$18,$D$3,$D26,$E26,$F26,$F$3,BU$3)</f>
        <v>0</v>
      </c>
      <c r="BV26" s="25">
        <f>_xll.DBRW($C$2,$BT$1,BT$2,$D$18,$D$3,$D26,$E26,$F26,BV$3)</f>
        <v>2</v>
      </c>
      <c r="BW26" s="64">
        <f>_xll.DBRW($C$2,$BT$1,BT$2,$D$18,$D$3,$D26,$E26,$F26,BW$3)</f>
        <v>1</v>
      </c>
      <c r="BX26" s="58">
        <f>_xll.DBRW($C$2,$BT$1,BT$2,$D$18,$D$3,$D26,$E26,$F26,BX$3)</f>
        <v>0</v>
      </c>
      <c r="BY26" s="48">
        <f t="shared" si="22"/>
        <v>-9</v>
      </c>
      <c r="BZ26" s="39">
        <f>_xll.DBRW($C$2,$BZ$1,BZ$2,$D$18,$D$3,$D26,$E26,$F26,BZ$3)</f>
        <v>0</v>
      </c>
      <c r="CA26" s="25" cm="1">
        <f t="array" ref="CA26">_xll.DBRW($E$2,BZ$1,BZ$2,$D$18,$D$3,$D26,$E26,$F26,$F$3,CA$3)</f>
        <v>0</v>
      </c>
      <c r="CB26" s="25">
        <f>_xll.DBRW($C$2,$BZ$1,BZ$2,$D$18,$D$3,$D26,$E26,$F26,CB$3)</f>
        <v>1</v>
      </c>
      <c r="CC26" s="64">
        <f>_xll.DBRW($C$2,$BZ$1,BZ$2,$D$18,$D$3,$D26,$E26,$F26,CC$3)</f>
        <v>1</v>
      </c>
      <c r="CD26" s="58">
        <f>_xll.DBRW($C$2,$BZ$1,BZ$2,$D$18,$D$3,$D26,$E26,$F26,CD$3)</f>
        <v>0</v>
      </c>
      <c r="CE26" s="48">
        <f t="shared" si="23"/>
        <v>-10</v>
      </c>
    </row>
    <row r="27" spans="1:83" s="23" customFormat="1" outlineLevel="1" thickBot="1" x14ac:dyDescent="0.3">
      <c r="A27" s="91" t="str">
        <f>IF(_xll.TM1RPTELISCONSOLIDATED($F$22,$F27),IF(_xll.TM1RPTELLEV($F$22,$F27)&lt;=5,_xll.TM1RPTELLEV($F$22,$F27),"Default"),"Leaf")</f>
        <v>Leaf</v>
      </c>
      <c r="B27" s="24" t="str">
        <f>_xll.DBRW("TM1-S1_DEV:}ElementAttributes_SP_SKU",$D27,B$1)</f>
        <v>Primary</v>
      </c>
      <c r="C27" s="24" t="str">
        <f>_xll.DBRW("TM1-S1_DEV:}ElementAttributes_SP_SKU",$D27,C$1)</f>
        <v>HAM</v>
      </c>
      <c r="D27" s="28" t="s">
        <v>360</v>
      </c>
      <c r="E27" s="28" t="s">
        <v>111</v>
      </c>
      <c r="F27" s="28" t="s">
        <v>42</v>
      </c>
      <c r="G27" s="4">
        <f>_xll.DBRW($C$2,$G$19,G$20,$D$18,$D$3,$D27,$E27,$F27,G$3)</f>
        <v>767</v>
      </c>
      <c r="H27" s="54">
        <f t="shared" si="12"/>
        <v>0</v>
      </c>
      <c r="I27" s="4"/>
      <c r="J27" s="25">
        <f>_xll.DBRW($C$2,$J$1,J$2,$D$18,$D$3,$D27,$E27,$F27,J$3)</f>
        <v>767</v>
      </c>
      <c r="K27" s="39">
        <f>_xll.DBRW($C$2,$J$1,J$2,$D$18,$D$3,$D27,$E27,$F27,K$3)</f>
        <v>0</v>
      </c>
      <c r="L27" s="25">
        <f>_xll.DBRW($C$2,$J$1,J$2,$D$18,$D$3,$D27,$E27,$F27,L$3)</f>
        <v>0</v>
      </c>
      <c r="M27" s="25">
        <f>_xll.DBRW($C$2,$J$1,J$2,$D$18,$D$3,$D27,$E27,$F27,M$3)</f>
        <v>0</v>
      </c>
      <c r="N27" s="25">
        <f>_xll.DBRW($C$2,$J$1,J$2,$D$18,$D$3,$D27,$E27,$F27,N$3)</f>
        <v>762</v>
      </c>
      <c r="O27" s="64">
        <f>_xll.DBRW($C$2,$J$1,J$2,$D$18,$D$3,$D27,$E27,$F27,O$3)</f>
        <v>1</v>
      </c>
      <c r="P27" s="58">
        <f>_xll.DBRW($C$2,$J$1,J$2,$D$18,$D$3,$D27,$E27,$F27,P$3)</f>
        <v>0</v>
      </c>
      <c r="Q27" s="48">
        <f>_xll.DBRW($C$2,$J$1,J$2,$D$18,$D$3,$D27,$E27,$F27,Q$3)</f>
        <v>5</v>
      </c>
      <c r="R27" s="39">
        <f>_xll.DBRW($C$2,$R$1,R$2,$D$18,$D$3,$D27,$E27,$F27,R$3)</f>
        <v>0</v>
      </c>
      <c r="S27" s="25" cm="1">
        <f t="array" ref="S27">_xll.DBRW($E$2,R$1,R$2,$D$18,$D$3,$D27,$E27,$F27,$F$3,S$3)</f>
        <v>16</v>
      </c>
      <c r="T27" s="25">
        <f>_xll.DBRW($C$2,$R$1,R$2,$D$18,$D$3,$D27,$E27,$F27,T$3)</f>
        <v>0</v>
      </c>
      <c r="U27" s="64">
        <f>_xll.DBRW($C$2,$R$1,R$2,$D$18,$D$3,$D27,$E27,$F27,U$3)</f>
        <v>0</v>
      </c>
      <c r="V27" s="58">
        <f>_xll.DBRW($C$2,$R$1,R$2,$D$18,$D$3,$D27,$E27,$F27,V$3)</f>
        <v>0</v>
      </c>
      <c r="W27" s="48">
        <f t="shared" si="13"/>
        <v>21</v>
      </c>
      <c r="X27" s="39">
        <f>_xll.DBRW($C$2,$X$1,X$2,$D$18,$D$3,$D27,$E27,$F27,X$3)</f>
        <v>0</v>
      </c>
      <c r="Y27" s="25" cm="1">
        <f t="array" ref="Y27">_xll.DBRW($E$2,X$1,X$2,$D$18,$D$3,$D27,$E27,$F27,$F$3,Y$3)</f>
        <v>0</v>
      </c>
      <c r="Z27" s="25">
        <f>_xll.DBRW($C$2,$X$1,X$2,$D$18,$D$3,$D27,$E27,$F27,Z$3)</f>
        <v>18</v>
      </c>
      <c r="AA27" s="64">
        <f>_xll.DBRW($C$2,$X$1,X$2,$D$18,$D$3,$D27,$E27,$F27,AA$3)</f>
        <v>1</v>
      </c>
      <c r="AB27" s="58">
        <f>_xll.DBRW($C$2,$X$1,X$2,$D$18,$D$3,$D27,$E27,$F27,AB$3)</f>
        <v>0</v>
      </c>
      <c r="AC27" s="48">
        <f t="shared" si="14"/>
        <v>3</v>
      </c>
      <c r="AD27" s="39">
        <f>_xll.DBRW($C$2,$AD$1,AD$2,$D$18,$D$3,$D27,$E27,$F27,AD$3)</f>
        <v>0</v>
      </c>
      <c r="AE27" s="25" cm="1">
        <f t="array" ref="AE27">_xll.DBRW($E$2,AD$1,AD$2,$D$18,$D$3,$D27,$E27,$F27,$F$3,AE$3)</f>
        <v>0</v>
      </c>
      <c r="AF27" s="25">
        <f>_xll.DBRW($C$2,$AD$1,AD$2,$D$18,$D$3,$D27,$E27,$F27,AF$3)</f>
        <v>17</v>
      </c>
      <c r="AG27" s="64">
        <f>_xll.DBRW($C$2,$AD$1,AD$2,$D$18,$D$3,$D27,$E27,$F27,AG$3)</f>
        <v>1</v>
      </c>
      <c r="AH27" s="58">
        <f>_xll.DBRW($C$2,$AD$1,AD$2,$D$18,$D$3,$D27,$E27,$F27,AH$3)</f>
        <v>0</v>
      </c>
      <c r="AI27" s="48">
        <f t="shared" si="15"/>
        <v>-14</v>
      </c>
      <c r="AJ27" s="39">
        <f>_xll.DBRW($C$2,$AJ$1,AJ$2,$D$18,$D$3,$D27,$E27,$F27,AJ$3)</f>
        <v>0</v>
      </c>
      <c r="AK27" s="25" cm="1">
        <f t="array" ref="AK27">_xll.DBRW($E$2,AJ$1,AJ$2,$D$18,$D$3,$D27,$E27,$F27,$F$3,AK$3)</f>
        <v>0</v>
      </c>
      <c r="AL27" s="25">
        <f>_xll.DBRW($C$2,$AJ$1,AJ$2,$D$18,$D$3,$D27,$E27,$F27,AL$3)</f>
        <v>38</v>
      </c>
      <c r="AM27" s="64">
        <f>_xll.DBRW($C$2,$AJ$1,AJ$2,$D$18,$D$3,$D27,$E27,$F27,AM$3)</f>
        <v>1</v>
      </c>
      <c r="AN27" s="58">
        <f>_xll.DBRW($C$2,$AJ$1,AJ$2,$D$18,$D$3,$D27,$E27,$F27,AN$3)</f>
        <v>0</v>
      </c>
      <c r="AO27" s="48">
        <f t="shared" si="16"/>
        <v>-52</v>
      </c>
      <c r="AP27" s="39">
        <f>_xll.DBRW($C$2,$AP$1,AP$2,$D$18,$D$3,$D27,$E27,$F27,AP$3)</f>
        <v>0</v>
      </c>
      <c r="AQ27" s="25" cm="1">
        <f t="array" ref="AQ27">_xll.DBRW($E$2,AP$1,AP$2,$D$18,$D$3,$D27,$E27,$F27,$F$3,AQ$3)</f>
        <v>0</v>
      </c>
      <c r="AR27" s="25">
        <f>_xll.DBRW($C$2,$AP$1,AP$2,$D$18,$D$3,$D27,$E27,$F27,AR$3)</f>
        <v>10</v>
      </c>
      <c r="AS27" s="64">
        <f>_xll.DBRW($C$2,$AP$1,AP$2,$D$18,$D$3,$D27,$E27,$F27,AS$3)</f>
        <v>1</v>
      </c>
      <c r="AT27" s="58">
        <f>_xll.DBRW($C$2,$AP$1,AP$2,$D$18,$D$3,$D27,$E27,$F27,AT$3)</f>
        <v>0</v>
      </c>
      <c r="AU27" s="48">
        <f t="shared" si="17"/>
        <v>-62</v>
      </c>
      <c r="AV27" s="39">
        <f>_xll.DBRW($C$2,$AV$1,AV$2,$D$18,$D$3,$D27,$E27,$F27,AV$3)</f>
        <v>0</v>
      </c>
      <c r="AW27" s="25" cm="1">
        <f t="array" ref="AW27">_xll.DBRW($E$2,AV$1,AV$2,$D$18,$D$3,$D27,$E27,$F27,$F$3,AW$3)</f>
        <v>0</v>
      </c>
      <c r="AX27" s="25">
        <f>_xll.DBRW($C$2,$AV$1,AV$2,$D$18,$D$3,$D27,$E27,$F27,AX$3)</f>
        <v>47</v>
      </c>
      <c r="AY27" s="64">
        <f>_xll.DBRW($C$2,$AV$1,AV$2,$D$18,$D$3,$D27,$E27,$F27,AY$3)</f>
        <v>1</v>
      </c>
      <c r="AZ27" s="58">
        <f>_xll.DBRW($C$2,$AV$1,AV$2,$D$18,$D$3,$D27,$E27,$F27,AZ$3)</f>
        <v>0</v>
      </c>
      <c r="BA27" s="48">
        <f t="shared" si="18"/>
        <v>-109</v>
      </c>
      <c r="BB27" s="39">
        <f>_xll.DBRW($C$2,$BB$1,BB$2,$D$18,$D$3,$D27,$E27,$F27,BB$3)</f>
        <v>0</v>
      </c>
      <c r="BC27" s="25" cm="1">
        <f t="array" ref="BC27">_xll.DBRW($E$2,BB$1,BB$2,$D$18,$D$3,$D27,$E27,$F27,$F$3,BC$3)</f>
        <v>0</v>
      </c>
      <c r="BD27" s="25">
        <f>_xll.DBRW($C$2,$BB$1,BB$2,$D$18,$D$3,$D27,$E27,$F27,BD$3)</f>
        <v>17</v>
      </c>
      <c r="BE27" s="64">
        <f>_xll.DBRW($C$2,$BB$1,BB$2,$D$18,$D$3,$D27,$E27,$F27,BE$3)</f>
        <v>1</v>
      </c>
      <c r="BF27" s="58">
        <f>_xll.DBRW($C$2,$BB$1,BB$2,$D$18,$D$3,$D27,$E27,$F27,BF$3)</f>
        <v>0</v>
      </c>
      <c r="BG27" s="48">
        <f t="shared" si="19"/>
        <v>-126</v>
      </c>
      <c r="BH27" s="39">
        <f>_xll.DBRW($C$2,$BH$1,BH$2,$D$18,$D$3,$D27,$E27,$F27,BH$3)</f>
        <v>0</v>
      </c>
      <c r="BI27" s="25" cm="1">
        <f t="array" ref="BI27">_xll.DBRW($E$2,BH$1,BH$2,$D$18,$D$3,$D27,$E27,$F27,$F$3,BI$3)</f>
        <v>0</v>
      </c>
      <c r="BJ27" s="25">
        <f>_xll.DBRW($C$2,$BH$1,BH$2,$D$18,$D$3,$D27,$E27,$F27,BJ$3)</f>
        <v>32</v>
      </c>
      <c r="BK27" s="64">
        <f>_xll.DBRW($C$2,$BH$1,BH$2,$D$18,$D$3,$D27,$E27,$F27,BK$3)</f>
        <v>1</v>
      </c>
      <c r="BL27" s="58">
        <f>_xll.DBRW($C$2,$BH$1,BH$2,$D$18,$D$3,$D27,$E27,$F27,BL$3)</f>
        <v>0</v>
      </c>
      <c r="BM27" s="48">
        <f t="shared" si="20"/>
        <v>-158</v>
      </c>
      <c r="BN27" s="39">
        <f>_xll.DBRW($C$2,$BN$1,BN$2,$D$18,$D$3,$D27,$E27,$F27,BN$3)</f>
        <v>0</v>
      </c>
      <c r="BO27" s="25" cm="1">
        <f t="array" ref="BO27">_xll.DBRW($E$2,BN$1,BN$2,$D$18,$D$3,$D27,$E27,$F27,$F$3,BO$3)</f>
        <v>0</v>
      </c>
      <c r="BP27" s="25">
        <f>_xll.DBRW($C$2,$BN$1,BN$2,$D$18,$D$3,$D27,$E27,$F27,BP$3)</f>
        <v>1</v>
      </c>
      <c r="BQ27" s="64">
        <f>_xll.DBRW($C$2,$BN$1,BN$2,$D$18,$D$3,$D27,$E27,$F27,BQ$3)</f>
        <v>1</v>
      </c>
      <c r="BR27" s="58">
        <f>_xll.DBRW($C$2,$BN$1,BN$2,$D$18,$D$3,$D27,$E27,$F27,BR$3)</f>
        <v>0</v>
      </c>
      <c r="BS27" s="48">
        <f t="shared" si="21"/>
        <v>-159</v>
      </c>
      <c r="BT27" s="39">
        <f>_xll.DBRW($C$2,$BT$1,BT$2,$D$18,$D$3,$D27,$E27,$F27,BT$3)</f>
        <v>0</v>
      </c>
      <c r="BU27" s="25" cm="1">
        <f t="array" ref="BU27">_xll.DBRW($E$2,BT$1,BT$2,$D$18,$D$3,$D27,$E27,$F27,$F$3,BU$3)</f>
        <v>0</v>
      </c>
      <c r="BV27" s="25">
        <f>_xll.DBRW($C$2,$BT$1,BT$2,$D$18,$D$3,$D27,$E27,$F27,BV$3)</f>
        <v>56</v>
      </c>
      <c r="BW27" s="64">
        <f>_xll.DBRW($C$2,$BT$1,BT$2,$D$18,$D$3,$D27,$E27,$F27,BW$3)</f>
        <v>1</v>
      </c>
      <c r="BX27" s="58">
        <f>_xll.DBRW($C$2,$BT$1,BT$2,$D$18,$D$3,$D27,$E27,$F27,BX$3)</f>
        <v>0</v>
      </c>
      <c r="BY27" s="48">
        <f t="shared" si="22"/>
        <v>-215</v>
      </c>
      <c r="BZ27" s="39">
        <f>_xll.DBRW($C$2,$BZ$1,BZ$2,$D$18,$D$3,$D27,$E27,$F27,BZ$3)</f>
        <v>0</v>
      </c>
      <c r="CA27" s="25" cm="1">
        <f t="array" ref="CA27">_xll.DBRW($E$2,BZ$1,BZ$2,$D$18,$D$3,$D27,$E27,$F27,$F$3,CA$3)</f>
        <v>0</v>
      </c>
      <c r="CB27" s="25">
        <f>_xll.DBRW($C$2,$BZ$1,BZ$2,$D$18,$D$3,$D27,$E27,$F27,CB$3)</f>
        <v>9</v>
      </c>
      <c r="CC27" s="64">
        <f>_xll.DBRW($C$2,$BZ$1,BZ$2,$D$18,$D$3,$D27,$E27,$F27,CC$3)</f>
        <v>1</v>
      </c>
      <c r="CD27" s="58">
        <f>_xll.DBRW($C$2,$BZ$1,BZ$2,$D$18,$D$3,$D27,$E27,$F27,CD$3)</f>
        <v>0</v>
      </c>
      <c r="CE27" s="48">
        <f t="shared" si="23"/>
        <v>-224</v>
      </c>
    </row>
    <row r="28" spans="1:83" s="23" customFormat="1" outlineLevel="1" thickBot="1" x14ac:dyDescent="0.3">
      <c r="A28" s="91" t="str">
        <f>IF(_xll.TM1RPTELISCONSOLIDATED($F$22,$F28),IF(_xll.TM1RPTELLEV($F$22,$F28)&lt;=5,_xll.TM1RPTELLEV($F$22,$F28),"Default"),"Leaf")</f>
        <v>Leaf</v>
      </c>
      <c r="B28" s="24" t="str">
        <f>_xll.DBRW("TM1-S1_DEV:}ElementAttributes_SP_SKU",$D28,B$1)</f>
        <v>Primary</v>
      </c>
      <c r="C28" s="24" t="str">
        <f>_xll.DBRW("TM1-S1_DEV:}ElementAttributes_SP_SKU",$D28,C$1)</f>
        <v>TURKEY</v>
      </c>
      <c r="D28" s="28" t="s">
        <v>476</v>
      </c>
      <c r="E28" s="28" t="s">
        <v>185</v>
      </c>
      <c r="F28" s="28" t="s">
        <v>13</v>
      </c>
      <c r="G28" s="4">
        <f>_xll.DBRW($C$2,$G$19,G$20,$D$18,$D$3,$D28,$E28,$F28,G$3)</f>
        <v>-10</v>
      </c>
      <c r="H28" s="54">
        <f t="shared" si="12"/>
        <v>10</v>
      </c>
      <c r="I28" s="4"/>
      <c r="J28" s="25">
        <f>_xll.DBRW($C$2,$J$1,J$2,$D$18,$D$3,$D28,$E28,$F28,J$3)</f>
        <v>0</v>
      </c>
      <c r="K28" s="39">
        <f>_xll.DBRW($C$2,$J$1,J$2,$D$18,$D$3,$D28,$E28,$F28,K$3)</f>
        <v>0</v>
      </c>
      <c r="L28" s="25">
        <f>_xll.DBRW($C$2,$J$1,J$2,$D$18,$D$3,$D28,$E28,$F28,L$3)</f>
        <v>0</v>
      </c>
      <c r="M28" s="25">
        <f>_xll.DBRW($C$2,$J$1,J$2,$D$18,$D$3,$D28,$E28,$F28,M$3)</f>
        <v>0</v>
      </c>
      <c r="N28" s="25">
        <f>_xll.DBRW($C$2,$J$1,J$2,$D$18,$D$3,$D28,$E28,$F28,N$3)</f>
        <v>0</v>
      </c>
      <c r="O28" s="64">
        <f>_xll.DBRW($C$2,$J$1,J$2,$D$18,$D$3,$D28,$E28,$F28,O$3)</f>
        <v>0</v>
      </c>
      <c r="P28" s="58">
        <f>_xll.DBRW($C$2,$J$1,J$2,$D$18,$D$3,$D28,$E28,$F28,P$3)</f>
        <v>0</v>
      </c>
      <c r="Q28" s="48">
        <f>_xll.DBRW($C$2,$J$1,J$2,$D$18,$D$3,$D28,$E28,$F28,Q$3)</f>
        <v>0</v>
      </c>
      <c r="R28" s="39">
        <f>_xll.DBRW($C$2,$R$1,R$2,$D$18,$D$3,$D28,$E28,$F28,R$3)</f>
        <v>0</v>
      </c>
      <c r="S28" s="25" cm="1">
        <f t="array" ref="S28">_xll.DBRW($E$2,R$1,R$2,$D$18,$D$3,$D28,$E28,$F28,$F$3,S$3)</f>
        <v>0</v>
      </c>
      <c r="T28" s="25">
        <f>_xll.DBRW($C$2,$R$1,R$2,$D$18,$D$3,$D28,$E28,$F28,T$3)</f>
        <v>0</v>
      </c>
      <c r="U28" s="64">
        <f>_xll.DBRW($C$2,$R$1,R$2,$D$18,$D$3,$D28,$E28,$F28,U$3)</f>
        <v>0</v>
      </c>
      <c r="V28" s="58">
        <f>_xll.DBRW($C$2,$R$1,R$2,$D$18,$D$3,$D28,$E28,$F28,V$3)</f>
        <v>0</v>
      </c>
      <c r="W28" s="48">
        <f t="shared" si="13"/>
        <v>0</v>
      </c>
      <c r="X28" s="39">
        <f>_xll.DBRW($C$2,$X$1,X$2,$D$18,$D$3,$D28,$E28,$F28,X$3)</f>
        <v>0</v>
      </c>
      <c r="Y28" s="25" cm="1">
        <f t="array" ref="Y28">_xll.DBRW($E$2,X$1,X$2,$D$18,$D$3,$D28,$E28,$F28,$F$3,Y$3)</f>
        <v>0</v>
      </c>
      <c r="Z28" s="25">
        <f>_xll.DBRW($C$2,$X$1,X$2,$D$18,$D$3,$D28,$E28,$F28,Z$3)</f>
        <v>1</v>
      </c>
      <c r="AA28" s="64">
        <f>_xll.DBRW($C$2,$X$1,X$2,$D$18,$D$3,$D28,$E28,$F28,AA$3)</f>
        <v>0</v>
      </c>
      <c r="AB28" s="58">
        <f>_xll.DBRW($C$2,$X$1,X$2,$D$18,$D$3,$D28,$E28,$F28,AB$3)</f>
        <v>0</v>
      </c>
      <c r="AC28" s="48">
        <f t="shared" si="14"/>
        <v>-1</v>
      </c>
      <c r="AD28" s="39">
        <f>_xll.DBRW($C$2,$AD$1,AD$2,$D$18,$D$3,$D28,$E28,$F28,AD$3)</f>
        <v>0</v>
      </c>
      <c r="AE28" s="25" cm="1">
        <f t="array" ref="AE28">_xll.DBRW($E$2,AD$1,AD$2,$D$18,$D$3,$D28,$E28,$F28,$F$3,AE$3)</f>
        <v>0</v>
      </c>
      <c r="AF28" s="25">
        <f>_xll.DBRW($C$2,$AD$1,AD$2,$D$18,$D$3,$D28,$E28,$F28,AF$3)</f>
        <v>1</v>
      </c>
      <c r="AG28" s="64">
        <f>_xll.DBRW($C$2,$AD$1,AD$2,$D$18,$D$3,$D28,$E28,$F28,AG$3)</f>
        <v>0</v>
      </c>
      <c r="AH28" s="58">
        <f>_xll.DBRW($C$2,$AD$1,AD$2,$D$18,$D$3,$D28,$E28,$F28,AH$3)</f>
        <v>0</v>
      </c>
      <c r="AI28" s="48">
        <f t="shared" si="15"/>
        <v>-2</v>
      </c>
      <c r="AJ28" s="39">
        <f>_xll.DBRW($C$2,$AJ$1,AJ$2,$D$18,$D$3,$D28,$E28,$F28,AJ$3)</f>
        <v>0</v>
      </c>
      <c r="AK28" s="25" cm="1">
        <f t="array" ref="AK28">_xll.DBRW($E$2,AJ$1,AJ$2,$D$18,$D$3,$D28,$E28,$F28,$F$3,AK$3)</f>
        <v>0</v>
      </c>
      <c r="AL28" s="25">
        <f>_xll.DBRW($C$2,$AJ$1,AJ$2,$D$18,$D$3,$D28,$E28,$F28,AL$3)</f>
        <v>1</v>
      </c>
      <c r="AM28" s="64">
        <f>_xll.DBRW($C$2,$AJ$1,AJ$2,$D$18,$D$3,$D28,$E28,$F28,AM$3)</f>
        <v>0</v>
      </c>
      <c r="AN28" s="58">
        <f>_xll.DBRW($C$2,$AJ$1,AJ$2,$D$18,$D$3,$D28,$E28,$F28,AN$3)</f>
        <v>0</v>
      </c>
      <c r="AO28" s="48">
        <f t="shared" si="16"/>
        <v>-3</v>
      </c>
      <c r="AP28" s="39">
        <f>_xll.DBRW($C$2,$AP$1,AP$2,$D$18,$D$3,$D28,$E28,$F28,AP$3)</f>
        <v>0</v>
      </c>
      <c r="AQ28" s="25" cm="1">
        <f t="array" ref="AQ28">_xll.DBRW($E$2,AP$1,AP$2,$D$18,$D$3,$D28,$E28,$F28,$F$3,AQ$3)</f>
        <v>0</v>
      </c>
      <c r="AR28" s="25">
        <f>_xll.DBRW($C$2,$AP$1,AP$2,$D$18,$D$3,$D28,$E28,$F28,AR$3)</f>
        <v>1</v>
      </c>
      <c r="AS28" s="64">
        <f>_xll.DBRW($C$2,$AP$1,AP$2,$D$18,$D$3,$D28,$E28,$F28,AS$3)</f>
        <v>0</v>
      </c>
      <c r="AT28" s="58">
        <f>_xll.DBRW($C$2,$AP$1,AP$2,$D$18,$D$3,$D28,$E28,$F28,AT$3)</f>
        <v>0</v>
      </c>
      <c r="AU28" s="48">
        <f t="shared" si="17"/>
        <v>-4</v>
      </c>
      <c r="AV28" s="39">
        <f>_xll.DBRW($C$2,$AV$1,AV$2,$D$18,$D$3,$D28,$E28,$F28,AV$3)</f>
        <v>0</v>
      </c>
      <c r="AW28" s="25" cm="1">
        <f t="array" ref="AW28">_xll.DBRW($E$2,AV$1,AV$2,$D$18,$D$3,$D28,$E28,$F28,$F$3,AW$3)</f>
        <v>0</v>
      </c>
      <c r="AX28" s="25">
        <f>_xll.DBRW($C$2,$AV$1,AV$2,$D$18,$D$3,$D28,$E28,$F28,AX$3)</f>
        <v>1</v>
      </c>
      <c r="AY28" s="64">
        <f>_xll.DBRW($C$2,$AV$1,AV$2,$D$18,$D$3,$D28,$E28,$F28,AY$3)</f>
        <v>0</v>
      </c>
      <c r="AZ28" s="58">
        <f>_xll.DBRW($C$2,$AV$1,AV$2,$D$18,$D$3,$D28,$E28,$F28,AZ$3)</f>
        <v>0</v>
      </c>
      <c r="BA28" s="48">
        <f t="shared" si="18"/>
        <v>-5</v>
      </c>
      <c r="BB28" s="39">
        <f>_xll.DBRW($C$2,$BB$1,BB$2,$D$18,$D$3,$D28,$E28,$F28,BB$3)</f>
        <v>0</v>
      </c>
      <c r="BC28" s="25" cm="1">
        <f t="array" ref="BC28">_xll.DBRW($E$2,BB$1,BB$2,$D$18,$D$3,$D28,$E28,$F28,$F$3,BC$3)</f>
        <v>0</v>
      </c>
      <c r="BD28" s="25">
        <f>_xll.DBRW($C$2,$BB$1,BB$2,$D$18,$D$3,$D28,$E28,$F28,BD$3)</f>
        <v>1</v>
      </c>
      <c r="BE28" s="64">
        <f>_xll.DBRW($C$2,$BB$1,BB$2,$D$18,$D$3,$D28,$E28,$F28,BE$3)</f>
        <v>0</v>
      </c>
      <c r="BF28" s="58">
        <f>_xll.DBRW($C$2,$BB$1,BB$2,$D$18,$D$3,$D28,$E28,$F28,BF$3)</f>
        <v>0</v>
      </c>
      <c r="BG28" s="48">
        <f t="shared" si="19"/>
        <v>-6</v>
      </c>
      <c r="BH28" s="39">
        <f>_xll.DBRW($C$2,$BH$1,BH$2,$D$18,$D$3,$D28,$E28,$F28,BH$3)</f>
        <v>0</v>
      </c>
      <c r="BI28" s="25" cm="1">
        <f t="array" ref="BI28">_xll.DBRW($E$2,BH$1,BH$2,$D$18,$D$3,$D28,$E28,$F28,$F$3,BI$3)</f>
        <v>0</v>
      </c>
      <c r="BJ28" s="25">
        <f>_xll.DBRW($C$2,$BH$1,BH$2,$D$18,$D$3,$D28,$E28,$F28,BJ$3)</f>
        <v>1</v>
      </c>
      <c r="BK28" s="64">
        <f>_xll.DBRW($C$2,$BH$1,BH$2,$D$18,$D$3,$D28,$E28,$F28,BK$3)</f>
        <v>0</v>
      </c>
      <c r="BL28" s="58">
        <f>_xll.DBRW($C$2,$BH$1,BH$2,$D$18,$D$3,$D28,$E28,$F28,BL$3)</f>
        <v>0</v>
      </c>
      <c r="BM28" s="48">
        <f t="shared" si="20"/>
        <v>-7</v>
      </c>
      <c r="BN28" s="39">
        <f>_xll.DBRW($C$2,$BN$1,BN$2,$D$18,$D$3,$D28,$E28,$F28,BN$3)</f>
        <v>0</v>
      </c>
      <c r="BO28" s="25" cm="1">
        <f t="array" ref="BO28">_xll.DBRW($E$2,BN$1,BN$2,$D$18,$D$3,$D28,$E28,$F28,$F$3,BO$3)</f>
        <v>0</v>
      </c>
      <c r="BP28" s="25">
        <f>_xll.DBRW($C$2,$BN$1,BN$2,$D$18,$D$3,$D28,$E28,$F28,BP$3)</f>
        <v>1</v>
      </c>
      <c r="BQ28" s="64">
        <f>_xll.DBRW($C$2,$BN$1,BN$2,$D$18,$D$3,$D28,$E28,$F28,BQ$3)</f>
        <v>0</v>
      </c>
      <c r="BR28" s="58">
        <f>_xll.DBRW($C$2,$BN$1,BN$2,$D$18,$D$3,$D28,$E28,$F28,BR$3)</f>
        <v>0</v>
      </c>
      <c r="BS28" s="48">
        <f t="shared" si="21"/>
        <v>-8</v>
      </c>
      <c r="BT28" s="39">
        <f>_xll.DBRW($C$2,$BT$1,BT$2,$D$18,$D$3,$D28,$E28,$F28,BT$3)</f>
        <v>0</v>
      </c>
      <c r="BU28" s="25" cm="1">
        <f t="array" ref="BU28">_xll.DBRW($E$2,BT$1,BT$2,$D$18,$D$3,$D28,$E28,$F28,$F$3,BU$3)</f>
        <v>0</v>
      </c>
      <c r="BV28" s="25">
        <f>_xll.DBRW($C$2,$BT$1,BT$2,$D$18,$D$3,$D28,$E28,$F28,BV$3)</f>
        <v>1</v>
      </c>
      <c r="BW28" s="64">
        <f>_xll.DBRW($C$2,$BT$1,BT$2,$D$18,$D$3,$D28,$E28,$F28,BW$3)</f>
        <v>0</v>
      </c>
      <c r="BX28" s="58">
        <f>_xll.DBRW($C$2,$BT$1,BT$2,$D$18,$D$3,$D28,$E28,$F28,BX$3)</f>
        <v>0</v>
      </c>
      <c r="BY28" s="48">
        <f t="shared" si="22"/>
        <v>-9</v>
      </c>
      <c r="BZ28" s="39">
        <f>_xll.DBRW($C$2,$BZ$1,BZ$2,$D$18,$D$3,$D28,$E28,$F28,BZ$3)</f>
        <v>0</v>
      </c>
      <c r="CA28" s="25" cm="1">
        <f t="array" ref="CA28">_xll.DBRW($E$2,BZ$1,BZ$2,$D$18,$D$3,$D28,$E28,$F28,$F$3,CA$3)</f>
        <v>0</v>
      </c>
      <c r="CB28" s="25">
        <f>_xll.DBRW($C$2,$BZ$1,BZ$2,$D$18,$D$3,$D28,$E28,$F28,CB$3)</f>
        <v>1</v>
      </c>
      <c r="CC28" s="64">
        <f>_xll.DBRW($C$2,$BZ$1,BZ$2,$D$18,$D$3,$D28,$E28,$F28,CC$3)</f>
        <v>0</v>
      </c>
      <c r="CD28" s="58">
        <f>_xll.DBRW($C$2,$BZ$1,BZ$2,$D$18,$D$3,$D28,$E28,$F28,CD$3)</f>
        <v>0</v>
      </c>
      <c r="CE28" s="48">
        <f t="shared" si="23"/>
        <v>-10</v>
      </c>
    </row>
    <row r="29" spans="1:83" s="23" customFormat="1" outlineLevel="1" thickBot="1" x14ac:dyDescent="0.3">
      <c r="A29" s="91" t="str">
        <f>IF(_xll.TM1RPTELISCONSOLIDATED($F$22,$F29),IF(_xll.TM1RPTELLEV($F$22,$F29)&lt;=5,_xll.TM1RPTELLEV($F$22,$F29),"Default"),"Leaf")</f>
        <v>Leaf</v>
      </c>
      <c r="B29" s="24" t="str">
        <f>_xll.DBRW("TM1-S1_DEV:}ElementAttributes_SP_SKU",$D29,B$1)</f>
        <v>Primary</v>
      </c>
      <c r="C29" s="24" t="str">
        <f>_xll.DBRW("TM1-S1_DEV:}ElementAttributes_SP_SKU",$D29,C$1)</f>
        <v>TURKEY</v>
      </c>
      <c r="D29" s="28" t="s">
        <v>477</v>
      </c>
      <c r="E29" s="28" t="s">
        <v>186</v>
      </c>
      <c r="F29" s="28" t="s">
        <v>13</v>
      </c>
      <c r="G29" s="4">
        <f>_xll.DBRW($C$2,$G$19,G$20,$D$18,$D$3,$D29,$E29,$F29,G$3)</f>
        <v>0</v>
      </c>
      <c r="H29" s="54">
        <f t="shared" si="12"/>
        <v>0</v>
      </c>
      <c r="I29" s="4"/>
      <c r="J29" s="25">
        <f>_xll.DBRW($C$2,$J$1,J$2,$D$18,$D$3,$D29,$E29,$F29,J$3)</f>
        <v>0</v>
      </c>
      <c r="K29" s="39">
        <f>_xll.DBRW($C$2,$J$1,J$2,$D$18,$D$3,$D29,$E29,$F29,K$3)</f>
        <v>0</v>
      </c>
      <c r="L29" s="25">
        <f>_xll.DBRW($C$2,$J$1,J$2,$D$18,$D$3,$D29,$E29,$F29,L$3)</f>
        <v>0</v>
      </c>
      <c r="M29" s="25">
        <f>_xll.DBRW($C$2,$J$1,J$2,$D$18,$D$3,$D29,$E29,$F29,M$3)</f>
        <v>0</v>
      </c>
      <c r="N29" s="25">
        <f>_xll.DBRW($C$2,$J$1,J$2,$D$18,$D$3,$D29,$E29,$F29,N$3)</f>
        <v>0</v>
      </c>
      <c r="O29" s="64">
        <f>_xll.DBRW($C$2,$J$1,J$2,$D$18,$D$3,$D29,$E29,$F29,O$3)</f>
        <v>0</v>
      </c>
      <c r="P29" s="58">
        <f>_xll.DBRW($C$2,$J$1,J$2,$D$18,$D$3,$D29,$E29,$F29,P$3)</f>
        <v>0</v>
      </c>
      <c r="Q29" s="48">
        <f>_xll.DBRW($C$2,$J$1,J$2,$D$18,$D$3,$D29,$E29,$F29,Q$3)</f>
        <v>0</v>
      </c>
      <c r="R29" s="39">
        <f>_xll.DBRW($C$2,$R$1,R$2,$D$18,$D$3,$D29,$E29,$F29,R$3)</f>
        <v>0</v>
      </c>
      <c r="S29" s="25" cm="1">
        <f t="array" ref="S29">_xll.DBRW($E$2,R$1,R$2,$D$18,$D$3,$D29,$E29,$F29,$F$3,S$3)</f>
        <v>0</v>
      </c>
      <c r="T29" s="25">
        <f>_xll.DBRW($C$2,$R$1,R$2,$D$18,$D$3,$D29,$E29,$F29,T$3)</f>
        <v>0</v>
      </c>
      <c r="U29" s="64">
        <f>_xll.DBRW($C$2,$R$1,R$2,$D$18,$D$3,$D29,$E29,$F29,U$3)</f>
        <v>0</v>
      </c>
      <c r="V29" s="58">
        <f>_xll.DBRW($C$2,$R$1,R$2,$D$18,$D$3,$D29,$E29,$F29,V$3)</f>
        <v>0</v>
      </c>
      <c r="W29" s="48">
        <f t="shared" si="13"/>
        <v>0</v>
      </c>
      <c r="X29" s="39">
        <f>_xll.DBRW($C$2,$X$1,X$2,$D$18,$D$3,$D29,$E29,$F29,X$3)</f>
        <v>0</v>
      </c>
      <c r="Y29" s="25" cm="1">
        <f t="array" ref="Y29">_xll.DBRW($E$2,X$1,X$2,$D$18,$D$3,$D29,$E29,$F29,$F$3,Y$3)</f>
        <v>0</v>
      </c>
      <c r="Z29" s="25">
        <f>_xll.DBRW($C$2,$X$1,X$2,$D$18,$D$3,$D29,$E29,$F29,Z$3)</f>
        <v>1</v>
      </c>
      <c r="AA29" s="64">
        <f>_xll.DBRW($C$2,$X$1,X$2,$D$18,$D$3,$D29,$E29,$F29,AA$3)</f>
        <v>0</v>
      </c>
      <c r="AB29" s="58">
        <f>_xll.DBRW($C$2,$X$1,X$2,$D$18,$D$3,$D29,$E29,$F29,AB$3)</f>
        <v>0</v>
      </c>
      <c r="AC29" s="48">
        <f t="shared" si="14"/>
        <v>-1</v>
      </c>
      <c r="AD29" s="39">
        <f>_xll.DBRW($C$2,$AD$1,AD$2,$D$18,$D$3,$D29,$E29,$F29,AD$3)</f>
        <v>0</v>
      </c>
      <c r="AE29" s="25" cm="1">
        <f t="array" ref="AE29">_xll.DBRW($E$2,AD$1,AD$2,$D$18,$D$3,$D29,$E29,$F29,$F$3,AE$3)</f>
        <v>0</v>
      </c>
      <c r="AF29" s="25">
        <f>_xll.DBRW($C$2,$AD$1,AD$2,$D$18,$D$3,$D29,$E29,$F29,AF$3)</f>
        <v>1</v>
      </c>
      <c r="AG29" s="64">
        <f>_xll.DBRW($C$2,$AD$1,AD$2,$D$18,$D$3,$D29,$E29,$F29,AG$3)</f>
        <v>0</v>
      </c>
      <c r="AH29" s="58">
        <f>_xll.DBRW($C$2,$AD$1,AD$2,$D$18,$D$3,$D29,$E29,$F29,AH$3)</f>
        <v>0</v>
      </c>
      <c r="AI29" s="48">
        <f t="shared" si="15"/>
        <v>-2</v>
      </c>
      <c r="AJ29" s="39">
        <f>_xll.DBRW($C$2,$AJ$1,AJ$2,$D$18,$D$3,$D29,$E29,$F29,AJ$3)</f>
        <v>0</v>
      </c>
      <c r="AK29" s="25" cm="1">
        <f t="array" ref="AK29">_xll.DBRW($E$2,AJ$1,AJ$2,$D$18,$D$3,$D29,$E29,$F29,$F$3,AK$3)</f>
        <v>0</v>
      </c>
      <c r="AL29" s="25">
        <f>_xll.DBRW($C$2,$AJ$1,AJ$2,$D$18,$D$3,$D29,$E29,$F29,AL$3)</f>
        <v>1</v>
      </c>
      <c r="AM29" s="64">
        <f>_xll.DBRW($C$2,$AJ$1,AJ$2,$D$18,$D$3,$D29,$E29,$F29,AM$3)</f>
        <v>0</v>
      </c>
      <c r="AN29" s="58">
        <f>_xll.DBRW($C$2,$AJ$1,AJ$2,$D$18,$D$3,$D29,$E29,$F29,AN$3)</f>
        <v>0</v>
      </c>
      <c r="AO29" s="48">
        <f t="shared" si="16"/>
        <v>-3</v>
      </c>
      <c r="AP29" s="39">
        <f>_xll.DBRW($C$2,$AP$1,AP$2,$D$18,$D$3,$D29,$E29,$F29,AP$3)</f>
        <v>0</v>
      </c>
      <c r="AQ29" s="25" cm="1">
        <f t="array" ref="AQ29">_xll.DBRW($E$2,AP$1,AP$2,$D$18,$D$3,$D29,$E29,$F29,$F$3,AQ$3)</f>
        <v>0</v>
      </c>
      <c r="AR29" s="25">
        <f>_xll.DBRW($C$2,$AP$1,AP$2,$D$18,$D$3,$D29,$E29,$F29,AR$3)</f>
        <v>1</v>
      </c>
      <c r="AS29" s="64">
        <f>_xll.DBRW($C$2,$AP$1,AP$2,$D$18,$D$3,$D29,$E29,$F29,AS$3)</f>
        <v>0</v>
      </c>
      <c r="AT29" s="58">
        <f>_xll.DBRW($C$2,$AP$1,AP$2,$D$18,$D$3,$D29,$E29,$F29,AT$3)</f>
        <v>0</v>
      </c>
      <c r="AU29" s="48">
        <f t="shared" si="17"/>
        <v>-4</v>
      </c>
      <c r="AV29" s="39">
        <f>_xll.DBRW($C$2,$AV$1,AV$2,$D$18,$D$3,$D29,$E29,$F29,AV$3)</f>
        <v>0</v>
      </c>
      <c r="AW29" s="25" cm="1">
        <f t="array" ref="AW29">_xll.DBRW($E$2,AV$1,AV$2,$D$18,$D$3,$D29,$E29,$F29,$F$3,AW$3)</f>
        <v>0</v>
      </c>
      <c r="AX29" s="25">
        <f>_xll.DBRW($C$2,$AV$1,AV$2,$D$18,$D$3,$D29,$E29,$F29,AX$3)</f>
        <v>1</v>
      </c>
      <c r="AY29" s="64">
        <f>_xll.DBRW($C$2,$AV$1,AV$2,$D$18,$D$3,$D29,$E29,$F29,AY$3)</f>
        <v>0</v>
      </c>
      <c r="AZ29" s="58">
        <f>_xll.DBRW($C$2,$AV$1,AV$2,$D$18,$D$3,$D29,$E29,$F29,AZ$3)</f>
        <v>0</v>
      </c>
      <c r="BA29" s="48">
        <f t="shared" si="18"/>
        <v>-5</v>
      </c>
      <c r="BB29" s="39">
        <f>_xll.DBRW($C$2,$BB$1,BB$2,$D$18,$D$3,$D29,$E29,$F29,BB$3)</f>
        <v>0</v>
      </c>
      <c r="BC29" s="25" cm="1">
        <f t="array" ref="BC29">_xll.DBRW($E$2,BB$1,BB$2,$D$18,$D$3,$D29,$E29,$F29,$F$3,BC$3)</f>
        <v>0</v>
      </c>
      <c r="BD29" s="25">
        <f>_xll.DBRW($C$2,$BB$1,BB$2,$D$18,$D$3,$D29,$E29,$F29,BD$3)</f>
        <v>1</v>
      </c>
      <c r="BE29" s="64">
        <f>_xll.DBRW($C$2,$BB$1,BB$2,$D$18,$D$3,$D29,$E29,$F29,BE$3)</f>
        <v>0</v>
      </c>
      <c r="BF29" s="58">
        <f>_xll.DBRW($C$2,$BB$1,BB$2,$D$18,$D$3,$D29,$E29,$F29,BF$3)</f>
        <v>0</v>
      </c>
      <c r="BG29" s="48">
        <f t="shared" si="19"/>
        <v>-6</v>
      </c>
      <c r="BH29" s="39">
        <f>_xll.DBRW($C$2,$BH$1,BH$2,$D$18,$D$3,$D29,$E29,$F29,BH$3)</f>
        <v>0</v>
      </c>
      <c r="BI29" s="25" cm="1">
        <f t="array" ref="BI29">_xll.DBRW($E$2,BH$1,BH$2,$D$18,$D$3,$D29,$E29,$F29,$F$3,BI$3)</f>
        <v>0</v>
      </c>
      <c r="BJ29" s="25">
        <f>_xll.DBRW($C$2,$BH$1,BH$2,$D$18,$D$3,$D29,$E29,$F29,BJ$3)</f>
        <v>1</v>
      </c>
      <c r="BK29" s="64">
        <f>_xll.DBRW($C$2,$BH$1,BH$2,$D$18,$D$3,$D29,$E29,$F29,BK$3)</f>
        <v>0</v>
      </c>
      <c r="BL29" s="58">
        <f>_xll.DBRW($C$2,$BH$1,BH$2,$D$18,$D$3,$D29,$E29,$F29,BL$3)</f>
        <v>0</v>
      </c>
      <c r="BM29" s="48">
        <f t="shared" si="20"/>
        <v>-7</v>
      </c>
      <c r="BN29" s="39">
        <f>_xll.DBRW($C$2,$BN$1,BN$2,$D$18,$D$3,$D29,$E29,$F29,BN$3)</f>
        <v>0</v>
      </c>
      <c r="BO29" s="25" cm="1">
        <f t="array" ref="BO29">_xll.DBRW($E$2,BN$1,BN$2,$D$18,$D$3,$D29,$E29,$F29,$F$3,BO$3)</f>
        <v>0</v>
      </c>
      <c r="BP29" s="25">
        <f>_xll.DBRW($C$2,$BN$1,BN$2,$D$18,$D$3,$D29,$E29,$F29,BP$3)</f>
        <v>1</v>
      </c>
      <c r="BQ29" s="64">
        <f>_xll.DBRW($C$2,$BN$1,BN$2,$D$18,$D$3,$D29,$E29,$F29,BQ$3)</f>
        <v>0</v>
      </c>
      <c r="BR29" s="58">
        <f>_xll.DBRW($C$2,$BN$1,BN$2,$D$18,$D$3,$D29,$E29,$F29,BR$3)</f>
        <v>0</v>
      </c>
      <c r="BS29" s="48">
        <f t="shared" si="21"/>
        <v>-8</v>
      </c>
      <c r="BT29" s="39">
        <f>_xll.DBRW($C$2,$BT$1,BT$2,$D$18,$D$3,$D29,$E29,$F29,BT$3)</f>
        <v>0</v>
      </c>
      <c r="BU29" s="25" cm="1">
        <f t="array" ref="BU29">_xll.DBRW($E$2,BT$1,BT$2,$D$18,$D$3,$D29,$E29,$F29,$F$3,BU$3)</f>
        <v>0</v>
      </c>
      <c r="BV29" s="25">
        <f>_xll.DBRW($C$2,$BT$1,BT$2,$D$18,$D$3,$D29,$E29,$F29,BV$3)</f>
        <v>1</v>
      </c>
      <c r="BW29" s="64">
        <f>_xll.DBRW($C$2,$BT$1,BT$2,$D$18,$D$3,$D29,$E29,$F29,BW$3)</f>
        <v>0</v>
      </c>
      <c r="BX29" s="58">
        <f>_xll.DBRW($C$2,$BT$1,BT$2,$D$18,$D$3,$D29,$E29,$F29,BX$3)</f>
        <v>0</v>
      </c>
      <c r="BY29" s="48">
        <f t="shared" si="22"/>
        <v>-9</v>
      </c>
      <c r="BZ29" s="39">
        <f>_xll.DBRW($C$2,$BZ$1,BZ$2,$D$18,$D$3,$D29,$E29,$F29,BZ$3)</f>
        <v>0</v>
      </c>
      <c r="CA29" s="25" cm="1">
        <f t="array" ref="CA29">_xll.DBRW($E$2,BZ$1,BZ$2,$D$18,$D$3,$D29,$E29,$F29,$F$3,CA$3)</f>
        <v>0</v>
      </c>
      <c r="CB29" s="25">
        <f>_xll.DBRW($C$2,$BZ$1,BZ$2,$D$18,$D$3,$D29,$E29,$F29,CB$3)</f>
        <v>1</v>
      </c>
      <c r="CC29" s="64">
        <f>_xll.DBRW($C$2,$BZ$1,BZ$2,$D$18,$D$3,$D29,$E29,$F29,CC$3)</f>
        <v>0</v>
      </c>
      <c r="CD29" s="58">
        <f>_xll.DBRW($C$2,$BZ$1,BZ$2,$D$18,$D$3,$D29,$E29,$F29,CD$3)</f>
        <v>0</v>
      </c>
      <c r="CE29" s="48">
        <f t="shared" si="23"/>
        <v>-10</v>
      </c>
    </row>
    <row r="30" spans="1:83" s="23" customFormat="1" outlineLevel="1" thickBot="1" x14ac:dyDescent="0.3">
      <c r="A30" s="91" t="str">
        <f>IF(_xll.TM1RPTELISCONSOLIDATED($F$22,$F30),IF(_xll.TM1RPTELLEV($F$22,$F30)&lt;=5,_xll.TM1RPTELLEV($F$22,$F30),"Default"),"Leaf")</f>
        <v>Leaf</v>
      </c>
      <c r="B30" s="24" t="str">
        <f>_xll.DBRW("TM1-S1_DEV:}ElementAttributes_SP_SKU",$D30,B$1)</f>
        <v>Primary</v>
      </c>
      <c r="C30" s="24" t="str">
        <f>_xll.DBRW("TM1-S1_DEV:}ElementAttributes_SP_SKU",$D30,C$1)</f>
        <v>TURKEY</v>
      </c>
      <c r="D30" s="28" t="s">
        <v>478</v>
      </c>
      <c r="E30" s="28" t="s">
        <v>187</v>
      </c>
      <c r="F30" s="28" t="s">
        <v>13</v>
      </c>
      <c r="G30" s="4">
        <f>_xll.DBRW($C$2,$G$19,G$20,$D$18,$D$3,$D30,$E30,$F30,G$3)</f>
        <v>0</v>
      </c>
      <c r="H30" s="54">
        <f t="shared" si="12"/>
        <v>0</v>
      </c>
      <c r="I30" s="4"/>
      <c r="J30" s="25">
        <f>_xll.DBRW($C$2,$J$1,J$2,$D$18,$D$3,$D30,$E30,$F30,J$3)</f>
        <v>0</v>
      </c>
      <c r="K30" s="39">
        <f>_xll.DBRW($C$2,$J$1,J$2,$D$18,$D$3,$D30,$E30,$F30,K$3)</f>
        <v>0</v>
      </c>
      <c r="L30" s="25">
        <f>_xll.DBRW($C$2,$J$1,J$2,$D$18,$D$3,$D30,$E30,$F30,L$3)</f>
        <v>0</v>
      </c>
      <c r="M30" s="25">
        <f>_xll.DBRW($C$2,$J$1,J$2,$D$18,$D$3,$D30,$E30,$F30,M$3)</f>
        <v>0</v>
      </c>
      <c r="N30" s="25">
        <f>_xll.DBRW($C$2,$J$1,J$2,$D$18,$D$3,$D30,$E30,$F30,N$3)</f>
        <v>0</v>
      </c>
      <c r="O30" s="64">
        <f>_xll.DBRW($C$2,$J$1,J$2,$D$18,$D$3,$D30,$E30,$F30,O$3)</f>
        <v>0</v>
      </c>
      <c r="P30" s="58">
        <f>_xll.DBRW($C$2,$J$1,J$2,$D$18,$D$3,$D30,$E30,$F30,P$3)</f>
        <v>0</v>
      </c>
      <c r="Q30" s="48">
        <f>_xll.DBRW($C$2,$J$1,J$2,$D$18,$D$3,$D30,$E30,$F30,Q$3)</f>
        <v>0</v>
      </c>
      <c r="R30" s="39">
        <f>_xll.DBRW($C$2,$R$1,R$2,$D$18,$D$3,$D30,$E30,$F30,R$3)</f>
        <v>0</v>
      </c>
      <c r="S30" s="25" cm="1">
        <f t="array" ref="S30">_xll.DBRW($E$2,R$1,R$2,$D$18,$D$3,$D30,$E30,$F30,$F$3,S$3)</f>
        <v>0</v>
      </c>
      <c r="T30" s="25">
        <f>_xll.DBRW($C$2,$R$1,R$2,$D$18,$D$3,$D30,$E30,$F30,T$3)</f>
        <v>0</v>
      </c>
      <c r="U30" s="64">
        <f>_xll.DBRW($C$2,$R$1,R$2,$D$18,$D$3,$D30,$E30,$F30,U$3)</f>
        <v>0</v>
      </c>
      <c r="V30" s="58">
        <f>_xll.DBRW($C$2,$R$1,R$2,$D$18,$D$3,$D30,$E30,$F30,V$3)</f>
        <v>0</v>
      </c>
      <c r="W30" s="48">
        <f t="shared" si="13"/>
        <v>0</v>
      </c>
      <c r="X30" s="39">
        <f>_xll.DBRW($C$2,$X$1,X$2,$D$18,$D$3,$D30,$E30,$F30,X$3)</f>
        <v>0</v>
      </c>
      <c r="Y30" s="25" cm="1">
        <f t="array" ref="Y30">_xll.DBRW($E$2,X$1,X$2,$D$18,$D$3,$D30,$E30,$F30,$F$3,Y$3)</f>
        <v>0</v>
      </c>
      <c r="Z30" s="25">
        <f>_xll.DBRW($C$2,$X$1,X$2,$D$18,$D$3,$D30,$E30,$F30,Z$3)</f>
        <v>1</v>
      </c>
      <c r="AA30" s="64">
        <f>_xll.DBRW($C$2,$X$1,X$2,$D$18,$D$3,$D30,$E30,$F30,AA$3)</f>
        <v>0</v>
      </c>
      <c r="AB30" s="58">
        <f>_xll.DBRW($C$2,$X$1,X$2,$D$18,$D$3,$D30,$E30,$F30,AB$3)</f>
        <v>0</v>
      </c>
      <c r="AC30" s="48">
        <f t="shared" si="14"/>
        <v>-1</v>
      </c>
      <c r="AD30" s="39">
        <f>_xll.DBRW($C$2,$AD$1,AD$2,$D$18,$D$3,$D30,$E30,$F30,AD$3)</f>
        <v>0</v>
      </c>
      <c r="AE30" s="25" cm="1">
        <f t="array" ref="AE30">_xll.DBRW($E$2,AD$1,AD$2,$D$18,$D$3,$D30,$E30,$F30,$F$3,AE$3)</f>
        <v>0</v>
      </c>
      <c r="AF30" s="25">
        <f>_xll.DBRW($C$2,$AD$1,AD$2,$D$18,$D$3,$D30,$E30,$F30,AF$3)</f>
        <v>1</v>
      </c>
      <c r="AG30" s="64">
        <f>_xll.DBRW($C$2,$AD$1,AD$2,$D$18,$D$3,$D30,$E30,$F30,AG$3)</f>
        <v>0</v>
      </c>
      <c r="AH30" s="58">
        <f>_xll.DBRW($C$2,$AD$1,AD$2,$D$18,$D$3,$D30,$E30,$F30,AH$3)</f>
        <v>0</v>
      </c>
      <c r="AI30" s="48">
        <f t="shared" si="15"/>
        <v>-2</v>
      </c>
      <c r="AJ30" s="39">
        <f>_xll.DBRW($C$2,$AJ$1,AJ$2,$D$18,$D$3,$D30,$E30,$F30,AJ$3)</f>
        <v>0</v>
      </c>
      <c r="AK30" s="25" cm="1">
        <f t="array" ref="AK30">_xll.DBRW($E$2,AJ$1,AJ$2,$D$18,$D$3,$D30,$E30,$F30,$F$3,AK$3)</f>
        <v>0</v>
      </c>
      <c r="AL30" s="25">
        <f>_xll.DBRW($C$2,$AJ$1,AJ$2,$D$18,$D$3,$D30,$E30,$F30,AL$3)</f>
        <v>1</v>
      </c>
      <c r="AM30" s="64">
        <f>_xll.DBRW($C$2,$AJ$1,AJ$2,$D$18,$D$3,$D30,$E30,$F30,AM$3)</f>
        <v>0</v>
      </c>
      <c r="AN30" s="58">
        <f>_xll.DBRW($C$2,$AJ$1,AJ$2,$D$18,$D$3,$D30,$E30,$F30,AN$3)</f>
        <v>0</v>
      </c>
      <c r="AO30" s="48">
        <f t="shared" si="16"/>
        <v>-3</v>
      </c>
      <c r="AP30" s="39">
        <f>_xll.DBRW($C$2,$AP$1,AP$2,$D$18,$D$3,$D30,$E30,$F30,AP$3)</f>
        <v>0</v>
      </c>
      <c r="AQ30" s="25" cm="1">
        <f t="array" ref="AQ30">_xll.DBRW($E$2,AP$1,AP$2,$D$18,$D$3,$D30,$E30,$F30,$F$3,AQ$3)</f>
        <v>0</v>
      </c>
      <c r="AR30" s="25">
        <f>_xll.DBRW($C$2,$AP$1,AP$2,$D$18,$D$3,$D30,$E30,$F30,AR$3)</f>
        <v>1</v>
      </c>
      <c r="AS30" s="64">
        <f>_xll.DBRW($C$2,$AP$1,AP$2,$D$18,$D$3,$D30,$E30,$F30,AS$3)</f>
        <v>0</v>
      </c>
      <c r="AT30" s="58">
        <f>_xll.DBRW($C$2,$AP$1,AP$2,$D$18,$D$3,$D30,$E30,$F30,AT$3)</f>
        <v>0</v>
      </c>
      <c r="AU30" s="48">
        <f t="shared" si="17"/>
        <v>-4</v>
      </c>
      <c r="AV30" s="39">
        <f>_xll.DBRW($C$2,$AV$1,AV$2,$D$18,$D$3,$D30,$E30,$F30,AV$3)</f>
        <v>0</v>
      </c>
      <c r="AW30" s="25" cm="1">
        <f t="array" ref="AW30">_xll.DBRW($E$2,AV$1,AV$2,$D$18,$D$3,$D30,$E30,$F30,$F$3,AW$3)</f>
        <v>0</v>
      </c>
      <c r="AX30" s="25">
        <f>_xll.DBRW($C$2,$AV$1,AV$2,$D$18,$D$3,$D30,$E30,$F30,AX$3)</f>
        <v>1</v>
      </c>
      <c r="AY30" s="64">
        <f>_xll.DBRW($C$2,$AV$1,AV$2,$D$18,$D$3,$D30,$E30,$F30,AY$3)</f>
        <v>0</v>
      </c>
      <c r="AZ30" s="58">
        <f>_xll.DBRW($C$2,$AV$1,AV$2,$D$18,$D$3,$D30,$E30,$F30,AZ$3)</f>
        <v>0</v>
      </c>
      <c r="BA30" s="48">
        <f t="shared" si="18"/>
        <v>-5</v>
      </c>
      <c r="BB30" s="39">
        <f>_xll.DBRW($C$2,$BB$1,BB$2,$D$18,$D$3,$D30,$E30,$F30,BB$3)</f>
        <v>0</v>
      </c>
      <c r="BC30" s="25" cm="1">
        <f t="array" ref="BC30">_xll.DBRW($E$2,BB$1,BB$2,$D$18,$D$3,$D30,$E30,$F30,$F$3,BC$3)</f>
        <v>0</v>
      </c>
      <c r="BD30" s="25">
        <f>_xll.DBRW($C$2,$BB$1,BB$2,$D$18,$D$3,$D30,$E30,$F30,BD$3)</f>
        <v>1</v>
      </c>
      <c r="BE30" s="64">
        <f>_xll.DBRW($C$2,$BB$1,BB$2,$D$18,$D$3,$D30,$E30,$F30,BE$3)</f>
        <v>0</v>
      </c>
      <c r="BF30" s="58">
        <f>_xll.DBRW($C$2,$BB$1,BB$2,$D$18,$D$3,$D30,$E30,$F30,BF$3)</f>
        <v>0</v>
      </c>
      <c r="BG30" s="48">
        <f t="shared" si="19"/>
        <v>-6</v>
      </c>
      <c r="BH30" s="39">
        <f>_xll.DBRW($C$2,$BH$1,BH$2,$D$18,$D$3,$D30,$E30,$F30,BH$3)</f>
        <v>0</v>
      </c>
      <c r="BI30" s="25" cm="1">
        <f t="array" ref="BI30">_xll.DBRW($E$2,BH$1,BH$2,$D$18,$D$3,$D30,$E30,$F30,$F$3,BI$3)</f>
        <v>0</v>
      </c>
      <c r="BJ30" s="25">
        <f>_xll.DBRW($C$2,$BH$1,BH$2,$D$18,$D$3,$D30,$E30,$F30,BJ$3)</f>
        <v>1</v>
      </c>
      <c r="BK30" s="64">
        <f>_xll.DBRW($C$2,$BH$1,BH$2,$D$18,$D$3,$D30,$E30,$F30,BK$3)</f>
        <v>0</v>
      </c>
      <c r="BL30" s="58">
        <f>_xll.DBRW($C$2,$BH$1,BH$2,$D$18,$D$3,$D30,$E30,$F30,BL$3)</f>
        <v>0</v>
      </c>
      <c r="BM30" s="48">
        <f t="shared" si="20"/>
        <v>-7</v>
      </c>
      <c r="BN30" s="39">
        <f>_xll.DBRW($C$2,$BN$1,BN$2,$D$18,$D$3,$D30,$E30,$F30,BN$3)</f>
        <v>0</v>
      </c>
      <c r="BO30" s="25" cm="1">
        <f t="array" ref="BO30">_xll.DBRW($E$2,BN$1,BN$2,$D$18,$D$3,$D30,$E30,$F30,$F$3,BO$3)</f>
        <v>0</v>
      </c>
      <c r="BP30" s="25">
        <f>_xll.DBRW($C$2,$BN$1,BN$2,$D$18,$D$3,$D30,$E30,$F30,BP$3)</f>
        <v>1</v>
      </c>
      <c r="BQ30" s="64">
        <f>_xll.DBRW($C$2,$BN$1,BN$2,$D$18,$D$3,$D30,$E30,$F30,BQ$3)</f>
        <v>0</v>
      </c>
      <c r="BR30" s="58">
        <f>_xll.DBRW($C$2,$BN$1,BN$2,$D$18,$D$3,$D30,$E30,$F30,BR$3)</f>
        <v>0</v>
      </c>
      <c r="BS30" s="48">
        <f t="shared" si="21"/>
        <v>-8</v>
      </c>
      <c r="BT30" s="39">
        <f>_xll.DBRW($C$2,$BT$1,BT$2,$D$18,$D$3,$D30,$E30,$F30,BT$3)</f>
        <v>0</v>
      </c>
      <c r="BU30" s="25" cm="1">
        <f t="array" ref="BU30">_xll.DBRW($E$2,BT$1,BT$2,$D$18,$D$3,$D30,$E30,$F30,$F$3,BU$3)</f>
        <v>0</v>
      </c>
      <c r="BV30" s="25">
        <f>_xll.DBRW($C$2,$BT$1,BT$2,$D$18,$D$3,$D30,$E30,$F30,BV$3)</f>
        <v>1</v>
      </c>
      <c r="BW30" s="64">
        <f>_xll.DBRW($C$2,$BT$1,BT$2,$D$18,$D$3,$D30,$E30,$F30,BW$3)</f>
        <v>0</v>
      </c>
      <c r="BX30" s="58">
        <f>_xll.DBRW($C$2,$BT$1,BT$2,$D$18,$D$3,$D30,$E30,$F30,BX$3)</f>
        <v>0</v>
      </c>
      <c r="BY30" s="48">
        <f t="shared" si="22"/>
        <v>-9</v>
      </c>
      <c r="BZ30" s="39">
        <f>_xll.DBRW($C$2,$BZ$1,BZ$2,$D$18,$D$3,$D30,$E30,$F30,BZ$3)</f>
        <v>0</v>
      </c>
      <c r="CA30" s="25" cm="1">
        <f t="array" ref="CA30">_xll.DBRW($E$2,BZ$1,BZ$2,$D$18,$D$3,$D30,$E30,$F30,$F$3,CA$3)</f>
        <v>0</v>
      </c>
      <c r="CB30" s="25">
        <f>_xll.DBRW($C$2,$BZ$1,BZ$2,$D$18,$D$3,$D30,$E30,$F30,CB$3)</f>
        <v>1</v>
      </c>
      <c r="CC30" s="64">
        <f>_xll.DBRW($C$2,$BZ$1,BZ$2,$D$18,$D$3,$D30,$E30,$F30,CC$3)</f>
        <v>0</v>
      </c>
      <c r="CD30" s="58">
        <f>_xll.DBRW($C$2,$BZ$1,BZ$2,$D$18,$D$3,$D30,$E30,$F30,CD$3)</f>
        <v>0</v>
      </c>
      <c r="CE30" s="48">
        <f t="shared" si="23"/>
        <v>-10</v>
      </c>
    </row>
    <row r="31" spans="1:83" s="23" customFormat="1" outlineLevel="1" thickBot="1" x14ac:dyDescent="0.3">
      <c r="A31" s="91" t="str">
        <f>IF(_xll.TM1RPTELISCONSOLIDATED($F$22,$F31),IF(_xll.TM1RPTELLEV($F$22,$F31)&lt;=5,_xll.TM1RPTELLEV($F$22,$F31),"Default"),"Leaf")</f>
        <v>Leaf</v>
      </c>
      <c r="B31" s="24" t="str">
        <f>_xll.DBRW("TM1-S1_DEV:}ElementAttributes_SP_SKU",$D31,B$1)</f>
        <v>Primary</v>
      </c>
      <c r="C31" s="24" t="str">
        <f>_xll.DBRW("TM1-S1_DEV:}ElementAttributes_SP_SKU",$D31,C$1)</f>
        <v>TURKEY</v>
      </c>
      <c r="D31" s="28" t="s">
        <v>361</v>
      </c>
      <c r="E31" s="28" t="s">
        <v>136</v>
      </c>
      <c r="F31" s="28" t="s">
        <v>13</v>
      </c>
      <c r="G31" s="4">
        <f>_xll.DBRW($C$2,$G$19,G$20,$D$18,$D$3,$D31,$E31,$F31,G$3)</f>
        <v>386</v>
      </c>
      <c r="H31" s="54">
        <f t="shared" si="12"/>
        <v>-79</v>
      </c>
      <c r="I31" s="4"/>
      <c r="J31" s="25">
        <f>_xll.DBRW($C$2,$J$1,J$2,$D$18,$D$3,$D31,$E31,$F31,J$3)</f>
        <v>307</v>
      </c>
      <c r="K31" s="39">
        <f>_xll.DBRW($C$2,$J$1,J$2,$D$18,$D$3,$D31,$E31,$F31,K$3)</f>
        <v>0</v>
      </c>
      <c r="L31" s="25">
        <f>_xll.DBRW($C$2,$J$1,J$2,$D$18,$D$3,$D31,$E31,$F31,L$3)</f>
        <v>0</v>
      </c>
      <c r="M31" s="25">
        <f>_xll.DBRW($C$2,$J$1,J$2,$D$18,$D$3,$D31,$E31,$F31,M$3)</f>
        <v>0</v>
      </c>
      <c r="N31" s="25">
        <f>_xll.DBRW($C$2,$J$1,J$2,$D$18,$D$3,$D31,$E31,$F31,N$3)</f>
        <v>339</v>
      </c>
      <c r="O31" s="64">
        <f>_xll.DBRW($C$2,$J$1,J$2,$D$18,$D$3,$D31,$E31,$F31,O$3)</f>
        <v>1</v>
      </c>
      <c r="P31" s="58">
        <f>_xll.DBRW($C$2,$J$1,J$2,$D$18,$D$3,$D31,$E31,$F31,P$3)</f>
        <v>0</v>
      </c>
      <c r="Q31" s="48">
        <f>_xll.DBRW($C$2,$J$1,J$2,$D$18,$D$3,$D31,$E31,$F31,Q$3)</f>
        <v>-32</v>
      </c>
      <c r="R31" s="39">
        <f>_xll.DBRW($C$2,$R$1,R$2,$D$18,$D$3,$D31,$E31,$F31,R$3)</f>
        <v>0</v>
      </c>
      <c r="S31" s="25" cm="1">
        <f t="array" ref="S31">_xll.DBRW($E$2,R$1,R$2,$D$18,$D$3,$D31,$E31,$F31,$F$3,S$3)</f>
        <v>0</v>
      </c>
      <c r="T31" s="25">
        <f>_xll.DBRW($C$2,$R$1,R$2,$D$18,$D$3,$D31,$E31,$F31,T$3)</f>
        <v>0</v>
      </c>
      <c r="U31" s="64">
        <f>_xll.DBRW($C$2,$R$1,R$2,$D$18,$D$3,$D31,$E31,$F31,U$3)</f>
        <v>0</v>
      </c>
      <c r="V31" s="58">
        <f>_xll.DBRW($C$2,$R$1,R$2,$D$18,$D$3,$D31,$E31,$F31,V$3)</f>
        <v>0</v>
      </c>
      <c r="W31" s="48">
        <f t="shared" si="13"/>
        <v>-32</v>
      </c>
      <c r="X31" s="39">
        <f>_xll.DBRW($C$2,$X$1,X$2,$D$18,$D$3,$D31,$E31,$F31,X$3)</f>
        <v>0</v>
      </c>
      <c r="Y31" s="25" cm="1">
        <f t="array" ref="Y31">_xll.DBRW($E$2,X$1,X$2,$D$18,$D$3,$D31,$E31,$F31,$F$3,Y$3)</f>
        <v>0</v>
      </c>
      <c r="Z31" s="25">
        <f>_xll.DBRW($C$2,$X$1,X$2,$D$18,$D$3,$D31,$E31,$F31,Z$3)</f>
        <v>39</v>
      </c>
      <c r="AA31" s="64">
        <f>_xll.DBRW($C$2,$X$1,X$2,$D$18,$D$3,$D31,$E31,$F31,AA$3)</f>
        <v>0</v>
      </c>
      <c r="AB31" s="58">
        <f>_xll.DBRW($C$2,$X$1,X$2,$D$18,$D$3,$D31,$E31,$F31,AB$3)</f>
        <v>0</v>
      </c>
      <c r="AC31" s="48">
        <f t="shared" si="14"/>
        <v>-71</v>
      </c>
      <c r="AD31" s="39">
        <f>_xll.DBRW($C$2,$AD$1,AD$2,$D$18,$D$3,$D31,$E31,$F31,AD$3)</f>
        <v>0</v>
      </c>
      <c r="AE31" s="25" cm="1">
        <f t="array" ref="AE31">_xll.DBRW($E$2,AD$1,AD$2,$D$18,$D$3,$D31,$E31,$F31,$F$3,AE$3)</f>
        <v>0</v>
      </c>
      <c r="AF31" s="25">
        <f>_xll.DBRW($C$2,$AD$1,AD$2,$D$18,$D$3,$D31,$E31,$F31,AF$3)</f>
        <v>39</v>
      </c>
      <c r="AG31" s="64">
        <f>_xll.DBRW($C$2,$AD$1,AD$2,$D$18,$D$3,$D31,$E31,$F31,AG$3)</f>
        <v>0</v>
      </c>
      <c r="AH31" s="58">
        <f>_xll.DBRW($C$2,$AD$1,AD$2,$D$18,$D$3,$D31,$E31,$F31,AH$3)</f>
        <v>0</v>
      </c>
      <c r="AI31" s="48">
        <f t="shared" si="15"/>
        <v>-110</v>
      </c>
      <c r="AJ31" s="39">
        <f>_xll.DBRW($C$2,$AJ$1,AJ$2,$D$18,$D$3,$D31,$E31,$F31,AJ$3)</f>
        <v>0</v>
      </c>
      <c r="AK31" s="25" cm="1">
        <f t="array" ref="AK31">_xll.DBRW($E$2,AJ$1,AJ$2,$D$18,$D$3,$D31,$E31,$F31,$F$3,AK$3)</f>
        <v>0</v>
      </c>
      <c r="AL31" s="25">
        <f>_xll.DBRW($C$2,$AJ$1,AJ$2,$D$18,$D$3,$D31,$E31,$F31,AL$3)</f>
        <v>39</v>
      </c>
      <c r="AM31" s="64">
        <f>_xll.DBRW($C$2,$AJ$1,AJ$2,$D$18,$D$3,$D31,$E31,$F31,AM$3)</f>
        <v>0</v>
      </c>
      <c r="AN31" s="58">
        <f>_xll.DBRW($C$2,$AJ$1,AJ$2,$D$18,$D$3,$D31,$E31,$F31,AN$3)</f>
        <v>0</v>
      </c>
      <c r="AO31" s="48">
        <f t="shared" si="16"/>
        <v>-149</v>
      </c>
      <c r="AP31" s="39">
        <f>_xll.DBRW($C$2,$AP$1,AP$2,$D$18,$D$3,$D31,$E31,$F31,AP$3)</f>
        <v>0</v>
      </c>
      <c r="AQ31" s="25" cm="1">
        <f t="array" ref="AQ31">_xll.DBRW($E$2,AP$1,AP$2,$D$18,$D$3,$D31,$E31,$F31,$F$3,AQ$3)</f>
        <v>0</v>
      </c>
      <c r="AR31" s="25">
        <f>_xll.DBRW($C$2,$AP$1,AP$2,$D$18,$D$3,$D31,$E31,$F31,AR$3)</f>
        <v>39</v>
      </c>
      <c r="AS31" s="64">
        <f>_xll.DBRW($C$2,$AP$1,AP$2,$D$18,$D$3,$D31,$E31,$F31,AS$3)</f>
        <v>0</v>
      </c>
      <c r="AT31" s="58">
        <f>_xll.DBRW($C$2,$AP$1,AP$2,$D$18,$D$3,$D31,$E31,$F31,AT$3)</f>
        <v>0</v>
      </c>
      <c r="AU31" s="48">
        <f t="shared" si="17"/>
        <v>-188</v>
      </c>
      <c r="AV31" s="39">
        <f>_xll.DBRW($C$2,$AV$1,AV$2,$D$18,$D$3,$D31,$E31,$F31,AV$3)</f>
        <v>0</v>
      </c>
      <c r="AW31" s="25" cm="1">
        <f t="array" ref="AW31">_xll.DBRW($E$2,AV$1,AV$2,$D$18,$D$3,$D31,$E31,$F31,$F$3,AW$3)</f>
        <v>0</v>
      </c>
      <c r="AX31" s="25">
        <f>_xll.DBRW($C$2,$AV$1,AV$2,$D$18,$D$3,$D31,$E31,$F31,AX$3)</f>
        <v>43</v>
      </c>
      <c r="AY31" s="64">
        <f>_xll.DBRW($C$2,$AV$1,AV$2,$D$18,$D$3,$D31,$E31,$F31,AY$3)</f>
        <v>1</v>
      </c>
      <c r="AZ31" s="58">
        <f>_xll.DBRW($C$2,$AV$1,AV$2,$D$18,$D$3,$D31,$E31,$F31,AZ$3)</f>
        <v>0</v>
      </c>
      <c r="BA31" s="48">
        <f t="shared" si="18"/>
        <v>-231</v>
      </c>
      <c r="BB31" s="39">
        <f>_xll.DBRW($C$2,$BB$1,BB$2,$D$18,$D$3,$D31,$E31,$F31,BB$3)</f>
        <v>0</v>
      </c>
      <c r="BC31" s="25" cm="1">
        <f t="array" ref="BC31">_xll.DBRW($E$2,BB$1,BB$2,$D$18,$D$3,$D31,$E31,$F31,$F$3,BC$3)</f>
        <v>0</v>
      </c>
      <c r="BD31" s="25">
        <f>_xll.DBRW($C$2,$BB$1,BB$2,$D$18,$D$3,$D31,$E31,$F31,BD$3)</f>
        <v>39</v>
      </c>
      <c r="BE31" s="64">
        <f>_xll.DBRW($C$2,$BB$1,BB$2,$D$18,$D$3,$D31,$E31,$F31,BE$3)</f>
        <v>0</v>
      </c>
      <c r="BF31" s="58">
        <f>_xll.DBRW($C$2,$BB$1,BB$2,$D$18,$D$3,$D31,$E31,$F31,BF$3)</f>
        <v>0</v>
      </c>
      <c r="BG31" s="48">
        <f t="shared" si="19"/>
        <v>-270</v>
      </c>
      <c r="BH31" s="39">
        <f>_xll.DBRW($C$2,$BH$1,BH$2,$D$18,$D$3,$D31,$E31,$F31,BH$3)</f>
        <v>0</v>
      </c>
      <c r="BI31" s="25" cm="1">
        <f t="array" ref="BI31">_xll.DBRW($E$2,BH$1,BH$2,$D$18,$D$3,$D31,$E31,$F31,$F$3,BI$3)</f>
        <v>0</v>
      </c>
      <c r="BJ31" s="25">
        <f>_xll.DBRW($C$2,$BH$1,BH$2,$D$18,$D$3,$D31,$E31,$F31,BJ$3)</f>
        <v>39</v>
      </c>
      <c r="BK31" s="64">
        <f>_xll.DBRW($C$2,$BH$1,BH$2,$D$18,$D$3,$D31,$E31,$F31,BK$3)</f>
        <v>0</v>
      </c>
      <c r="BL31" s="58">
        <f>_xll.DBRW($C$2,$BH$1,BH$2,$D$18,$D$3,$D31,$E31,$F31,BL$3)</f>
        <v>0</v>
      </c>
      <c r="BM31" s="48">
        <f t="shared" si="20"/>
        <v>-309</v>
      </c>
      <c r="BN31" s="39">
        <f>_xll.DBRW($C$2,$BN$1,BN$2,$D$18,$D$3,$D31,$E31,$F31,BN$3)</f>
        <v>0</v>
      </c>
      <c r="BO31" s="25" cm="1">
        <f t="array" ref="BO31">_xll.DBRW($E$2,BN$1,BN$2,$D$18,$D$3,$D31,$E31,$F31,$F$3,BO$3)</f>
        <v>0</v>
      </c>
      <c r="BP31" s="25">
        <f>_xll.DBRW($C$2,$BN$1,BN$2,$D$18,$D$3,$D31,$E31,$F31,BP$3)</f>
        <v>39</v>
      </c>
      <c r="BQ31" s="64">
        <f>_xll.DBRW($C$2,$BN$1,BN$2,$D$18,$D$3,$D31,$E31,$F31,BQ$3)</f>
        <v>0</v>
      </c>
      <c r="BR31" s="58">
        <f>_xll.DBRW($C$2,$BN$1,BN$2,$D$18,$D$3,$D31,$E31,$F31,BR$3)</f>
        <v>0</v>
      </c>
      <c r="BS31" s="48">
        <f t="shared" si="21"/>
        <v>-348</v>
      </c>
      <c r="BT31" s="39">
        <f>_xll.DBRW($C$2,$BT$1,BT$2,$D$18,$D$3,$D31,$E31,$F31,BT$3)</f>
        <v>0</v>
      </c>
      <c r="BU31" s="25" cm="1">
        <f t="array" ref="BU31">_xll.DBRW($E$2,BT$1,BT$2,$D$18,$D$3,$D31,$E31,$F31,$F$3,BU$3)</f>
        <v>0</v>
      </c>
      <c r="BV31" s="25">
        <f>_xll.DBRW($C$2,$BT$1,BT$2,$D$18,$D$3,$D31,$E31,$F31,BV$3)</f>
        <v>39</v>
      </c>
      <c r="BW31" s="64">
        <f>_xll.DBRW($C$2,$BT$1,BT$2,$D$18,$D$3,$D31,$E31,$F31,BW$3)</f>
        <v>0</v>
      </c>
      <c r="BX31" s="58">
        <f>_xll.DBRW($C$2,$BT$1,BT$2,$D$18,$D$3,$D31,$E31,$F31,BX$3)</f>
        <v>0</v>
      </c>
      <c r="BY31" s="48">
        <f t="shared" si="22"/>
        <v>-387</v>
      </c>
      <c r="BZ31" s="39">
        <f>_xll.DBRW($C$2,$BZ$1,BZ$2,$D$18,$D$3,$D31,$E31,$F31,BZ$3)</f>
        <v>0</v>
      </c>
      <c r="CA31" s="25" cm="1">
        <f t="array" ref="CA31">_xll.DBRW($E$2,BZ$1,BZ$2,$D$18,$D$3,$D31,$E31,$F31,$F$3,CA$3)</f>
        <v>0</v>
      </c>
      <c r="CB31" s="25">
        <f>_xll.DBRW($C$2,$BZ$1,BZ$2,$D$18,$D$3,$D31,$E31,$F31,CB$3)</f>
        <v>39</v>
      </c>
      <c r="CC31" s="64">
        <f>_xll.DBRW($C$2,$BZ$1,BZ$2,$D$18,$D$3,$D31,$E31,$F31,CC$3)</f>
        <v>0</v>
      </c>
      <c r="CD31" s="58">
        <f>_xll.DBRW($C$2,$BZ$1,BZ$2,$D$18,$D$3,$D31,$E31,$F31,CD$3)</f>
        <v>0</v>
      </c>
      <c r="CE31" s="48">
        <f t="shared" si="23"/>
        <v>-426</v>
      </c>
    </row>
    <row r="32" spans="1:83" s="23" customFormat="1" outlineLevel="1" thickBot="1" x14ac:dyDescent="0.3">
      <c r="A32" s="91" t="str">
        <f>IF(_xll.TM1RPTELISCONSOLIDATED($F$22,$F32),IF(_xll.TM1RPTELLEV($F$22,$F32)&lt;=5,_xll.TM1RPTELLEV($F$22,$F32),"Default"),"Leaf")</f>
        <v>Leaf</v>
      </c>
      <c r="B32" s="24" t="str">
        <f>_xll.DBRW("TM1-S1_DEV:}ElementAttributes_SP_SKU",$D32,B$1)</f>
        <v>Primary</v>
      </c>
      <c r="C32" s="24" t="str">
        <f>_xll.DBRW("TM1-S1_DEV:}ElementAttributes_SP_SKU",$D32,C$1)</f>
        <v>TURKEY</v>
      </c>
      <c r="D32" s="28" t="s">
        <v>362</v>
      </c>
      <c r="E32" s="28" t="s">
        <v>137</v>
      </c>
      <c r="F32" s="28" t="s">
        <v>13</v>
      </c>
      <c r="G32" s="4">
        <f>_xll.DBRW($C$2,$G$19,G$20,$D$18,$D$3,$D32,$E32,$F32,G$3)</f>
        <v>343</v>
      </c>
      <c r="H32" s="54">
        <f t="shared" si="12"/>
        <v>-81</v>
      </c>
      <c r="I32" s="4"/>
      <c r="J32" s="25">
        <f>_xll.DBRW($C$2,$J$1,J$2,$D$18,$D$3,$D32,$E32,$F32,J$3)</f>
        <v>262</v>
      </c>
      <c r="K32" s="39">
        <f>_xll.DBRW($C$2,$J$1,J$2,$D$18,$D$3,$D32,$E32,$F32,K$3)</f>
        <v>0</v>
      </c>
      <c r="L32" s="25">
        <f>_xll.DBRW($C$2,$J$1,J$2,$D$18,$D$3,$D32,$E32,$F32,L$3)</f>
        <v>0</v>
      </c>
      <c r="M32" s="25">
        <f>_xll.DBRW($C$2,$J$1,J$2,$D$18,$D$3,$D32,$E32,$F32,M$3)</f>
        <v>0</v>
      </c>
      <c r="N32" s="25">
        <f>_xll.DBRW($C$2,$J$1,J$2,$D$18,$D$3,$D32,$E32,$F32,N$3)</f>
        <v>288</v>
      </c>
      <c r="O32" s="64">
        <f>_xll.DBRW($C$2,$J$1,J$2,$D$18,$D$3,$D32,$E32,$F32,O$3)</f>
        <v>1</v>
      </c>
      <c r="P32" s="58">
        <f>_xll.DBRW($C$2,$J$1,J$2,$D$18,$D$3,$D32,$E32,$F32,P$3)</f>
        <v>0</v>
      </c>
      <c r="Q32" s="48">
        <f>_xll.DBRW($C$2,$J$1,J$2,$D$18,$D$3,$D32,$E32,$F32,Q$3)</f>
        <v>-26</v>
      </c>
      <c r="R32" s="39">
        <f>_xll.DBRW($C$2,$R$1,R$2,$D$18,$D$3,$D32,$E32,$F32,R$3)</f>
        <v>0</v>
      </c>
      <c r="S32" s="25" cm="1">
        <f t="array" ref="S32">_xll.DBRW($E$2,R$1,R$2,$D$18,$D$3,$D32,$E32,$F32,$F$3,S$3)</f>
        <v>0</v>
      </c>
      <c r="T32" s="25">
        <f>_xll.DBRW($C$2,$R$1,R$2,$D$18,$D$3,$D32,$E32,$F32,T$3)</f>
        <v>0</v>
      </c>
      <c r="U32" s="64">
        <f>_xll.DBRW($C$2,$R$1,R$2,$D$18,$D$3,$D32,$E32,$F32,U$3)</f>
        <v>0</v>
      </c>
      <c r="V32" s="58">
        <f>_xll.DBRW($C$2,$R$1,R$2,$D$18,$D$3,$D32,$E32,$F32,V$3)</f>
        <v>0</v>
      </c>
      <c r="W32" s="48">
        <f t="shared" si="13"/>
        <v>-26</v>
      </c>
      <c r="X32" s="39">
        <f>_xll.DBRW($C$2,$X$1,X$2,$D$18,$D$3,$D32,$E32,$F32,X$3)</f>
        <v>0</v>
      </c>
      <c r="Y32" s="25" cm="1">
        <f t="array" ref="Y32">_xll.DBRW($E$2,X$1,X$2,$D$18,$D$3,$D32,$E32,$F32,$F$3,Y$3)</f>
        <v>0</v>
      </c>
      <c r="Z32" s="25">
        <f>_xll.DBRW($C$2,$X$1,X$2,$D$18,$D$3,$D32,$E32,$F32,Z$3)</f>
        <v>27</v>
      </c>
      <c r="AA32" s="64">
        <f>_xll.DBRW($C$2,$X$1,X$2,$D$18,$D$3,$D32,$E32,$F32,AA$3)</f>
        <v>0</v>
      </c>
      <c r="AB32" s="58">
        <f>_xll.DBRW($C$2,$X$1,X$2,$D$18,$D$3,$D32,$E32,$F32,AB$3)</f>
        <v>0</v>
      </c>
      <c r="AC32" s="48">
        <f t="shared" si="14"/>
        <v>-53</v>
      </c>
      <c r="AD32" s="39">
        <f>_xll.DBRW($C$2,$AD$1,AD$2,$D$18,$D$3,$D32,$E32,$F32,AD$3)</f>
        <v>0</v>
      </c>
      <c r="AE32" s="25" cm="1">
        <f t="array" ref="AE32">_xll.DBRW($E$2,AD$1,AD$2,$D$18,$D$3,$D32,$E32,$F32,$F$3,AE$3)</f>
        <v>0</v>
      </c>
      <c r="AF32" s="25">
        <f>_xll.DBRW($C$2,$AD$1,AD$2,$D$18,$D$3,$D32,$E32,$F32,AF$3)</f>
        <v>27</v>
      </c>
      <c r="AG32" s="64">
        <f>_xll.DBRW($C$2,$AD$1,AD$2,$D$18,$D$3,$D32,$E32,$F32,AG$3)</f>
        <v>0</v>
      </c>
      <c r="AH32" s="58">
        <f>_xll.DBRW($C$2,$AD$1,AD$2,$D$18,$D$3,$D32,$E32,$F32,AH$3)</f>
        <v>0</v>
      </c>
      <c r="AI32" s="48">
        <f t="shared" si="15"/>
        <v>-80</v>
      </c>
      <c r="AJ32" s="39">
        <f>_xll.DBRW($C$2,$AJ$1,AJ$2,$D$18,$D$3,$D32,$E32,$F32,AJ$3)</f>
        <v>0</v>
      </c>
      <c r="AK32" s="25" cm="1">
        <f t="array" ref="AK32">_xll.DBRW($E$2,AJ$1,AJ$2,$D$18,$D$3,$D32,$E32,$F32,$F$3,AK$3)</f>
        <v>0</v>
      </c>
      <c r="AL32" s="25">
        <f>_xll.DBRW($C$2,$AJ$1,AJ$2,$D$18,$D$3,$D32,$E32,$F32,AL$3)</f>
        <v>27</v>
      </c>
      <c r="AM32" s="64">
        <f>_xll.DBRW($C$2,$AJ$1,AJ$2,$D$18,$D$3,$D32,$E32,$F32,AM$3)</f>
        <v>0</v>
      </c>
      <c r="AN32" s="58">
        <f>_xll.DBRW($C$2,$AJ$1,AJ$2,$D$18,$D$3,$D32,$E32,$F32,AN$3)</f>
        <v>0</v>
      </c>
      <c r="AO32" s="48">
        <f t="shared" si="16"/>
        <v>-107</v>
      </c>
      <c r="AP32" s="39">
        <f>_xll.DBRW($C$2,$AP$1,AP$2,$D$18,$D$3,$D32,$E32,$F32,AP$3)</f>
        <v>0</v>
      </c>
      <c r="AQ32" s="25" cm="1">
        <f t="array" ref="AQ32">_xll.DBRW($E$2,AP$1,AP$2,$D$18,$D$3,$D32,$E32,$F32,$F$3,AQ$3)</f>
        <v>0</v>
      </c>
      <c r="AR32" s="25">
        <f>_xll.DBRW($C$2,$AP$1,AP$2,$D$18,$D$3,$D32,$E32,$F32,AR$3)</f>
        <v>27</v>
      </c>
      <c r="AS32" s="64">
        <f>_xll.DBRW($C$2,$AP$1,AP$2,$D$18,$D$3,$D32,$E32,$F32,AS$3)</f>
        <v>0</v>
      </c>
      <c r="AT32" s="58">
        <f>_xll.DBRW($C$2,$AP$1,AP$2,$D$18,$D$3,$D32,$E32,$F32,AT$3)</f>
        <v>0</v>
      </c>
      <c r="AU32" s="48">
        <f t="shared" si="17"/>
        <v>-134</v>
      </c>
      <c r="AV32" s="39">
        <f>_xll.DBRW($C$2,$AV$1,AV$2,$D$18,$D$3,$D32,$E32,$F32,AV$3)</f>
        <v>0</v>
      </c>
      <c r="AW32" s="25" cm="1">
        <f t="array" ref="AW32">_xll.DBRW($E$2,AV$1,AV$2,$D$18,$D$3,$D32,$E32,$F32,$F$3,AW$3)</f>
        <v>0</v>
      </c>
      <c r="AX32" s="25">
        <f>_xll.DBRW($C$2,$AV$1,AV$2,$D$18,$D$3,$D32,$E32,$F32,AX$3)</f>
        <v>27</v>
      </c>
      <c r="AY32" s="64">
        <f>_xll.DBRW($C$2,$AV$1,AV$2,$D$18,$D$3,$D32,$E32,$F32,AY$3)</f>
        <v>0</v>
      </c>
      <c r="AZ32" s="58">
        <f>_xll.DBRW($C$2,$AV$1,AV$2,$D$18,$D$3,$D32,$E32,$F32,AZ$3)</f>
        <v>0</v>
      </c>
      <c r="BA32" s="48">
        <f t="shared" si="18"/>
        <v>-161</v>
      </c>
      <c r="BB32" s="39">
        <f>_xll.DBRW($C$2,$BB$1,BB$2,$D$18,$D$3,$D32,$E32,$F32,BB$3)</f>
        <v>0</v>
      </c>
      <c r="BC32" s="25" cm="1">
        <f t="array" ref="BC32">_xll.DBRW($E$2,BB$1,BB$2,$D$18,$D$3,$D32,$E32,$F32,$F$3,BC$3)</f>
        <v>0</v>
      </c>
      <c r="BD32" s="25">
        <f>_xll.DBRW($C$2,$BB$1,BB$2,$D$18,$D$3,$D32,$E32,$F32,BD$3)</f>
        <v>27</v>
      </c>
      <c r="BE32" s="64">
        <f>_xll.DBRW($C$2,$BB$1,BB$2,$D$18,$D$3,$D32,$E32,$F32,BE$3)</f>
        <v>0</v>
      </c>
      <c r="BF32" s="58">
        <f>_xll.DBRW($C$2,$BB$1,BB$2,$D$18,$D$3,$D32,$E32,$F32,BF$3)</f>
        <v>0</v>
      </c>
      <c r="BG32" s="48">
        <f t="shared" si="19"/>
        <v>-188</v>
      </c>
      <c r="BH32" s="39">
        <f>_xll.DBRW($C$2,$BH$1,BH$2,$D$18,$D$3,$D32,$E32,$F32,BH$3)</f>
        <v>0</v>
      </c>
      <c r="BI32" s="25" cm="1">
        <f t="array" ref="BI32">_xll.DBRW($E$2,BH$1,BH$2,$D$18,$D$3,$D32,$E32,$F32,$F$3,BI$3)</f>
        <v>0</v>
      </c>
      <c r="BJ32" s="25">
        <f>_xll.DBRW($C$2,$BH$1,BH$2,$D$18,$D$3,$D32,$E32,$F32,BJ$3)</f>
        <v>27</v>
      </c>
      <c r="BK32" s="64">
        <f>_xll.DBRW($C$2,$BH$1,BH$2,$D$18,$D$3,$D32,$E32,$F32,BK$3)</f>
        <v>0</v>
      </c>
      <c r="BL32" s="58">
        <f>_xll.DBRW($C$2,$BH$1,BH$2,$D$18,$D$3,$D32,$E32,$F32,BL$3)</f>
        <v>0</v>
      </c>
      <c r="BM32" s="48">
        <f t="shared" si="20"/>
        <v>-215</v>
      </c>
      <c r="BN32" s="39">
        <f>_xll.DBRW($C$2,$BN$1,BN$2,$D$18,$D$3,$D32,$E32,$F32,BN$3)</f>
        <v>0</v>
      </c>
      <c r="BO32" s="25" cm="1">
        <f t="array" ref="BO32">_xll.DBRW($E$2,BN$1,BN$2,$D$18,$D$3,$D32,$E32,$F32,$F$3,BO$3)</f>
        <v>0</v>
      </c>
      <c r="BP32" s="25">
        <f>_xll.DBRW($C$2,$BN$1,BN$2,$D$18,$D$3,$D32,$E32,$F32,BP$3)</f>
        <v>27</v>
      </c>
      <c r="BQ32" s="64">
        <f>_xll.DBRW($C$2,$BN$1,BN$2,$D$18,$D$3,$D32,$E32,$F32,BQ$3)</f>
        <v>0</v>
      </c>
      <c r="BR32" s="58">
        <f>_xll.DBRW($C$2,$BN$1,BN$2,$D$18,$D$3,$D32,$E32,$F32,BR$3)</f>
        <v>0</v>
      </c>
      <c r="BS32" s="48">
        <f t="shared" si="21"/>
        <v>-242</v>
      </c>
      <c r="BT32" s="39">
        <f>_xll.DBRW($C$2,$BT$1,BT$2,$D$18,$D$3,$D32,$E32,$F32,BT$3)</f>
        <v>0</v>
      </c>
      <c r="BU32" s="25" cm="1">
        <f t="array" ref="BU32">_xll.DBRW($E$2,BT$1,BT$2,$D$18,$D$3,$D32,$E32,$F32,$F$3,BU$3)</f>
        <v>0</v>
      </c>
      <c r="BV32" s="25">
        <f>_xll.DBRW($C$2,$BT$1,BT$2,$D$18,$D$3,$D32,$E32,$F32,BV$3)</f>
        <v>27</v>
      </c>
      <c r="BW32" s="64">
        <f>_xll.DBRW($C$2,$BT$1,BT$2,$D$18,$D$3,$D32,$E32,$F32,BW$3)</f>
        <v>0</v>
      </c>
      <c r="BX32" s="58">
        <f>_xll.DBRW($C$2,$BT$1,BT$2,$D$18,$D$3,$D32,$E32,$F32,BX$3)</f>
        <v>0</v>
      </c>
      <c r="BY32" s="48">
        <f t="shared" si="22"/>
        <v>-269</v>
      </c>
      <c r="BZ32" s="39">
        <f>_xll.DBRW($C$2,$BZ$1,BZ$2,$D$18,$D$3,$D32,$E32,$F32,BZ$3)</f>
        <v>0</v>
      </c>
      <c r="CA32" s="25" cm="1">
        <f t="array" ref="CA32">_xll.DBRW($E$2,BZ$1,BZ$2,$D$18,$D$3,$D32,$E32,$F32,$F$3,CA$3)</f>
        <v>0</v>
      </c>
      <c r="CB32" s="25">
        <f>_xll.DBRW($C$2,$BZ$1,BZ$2,$D$18,$D$3,$D32,$E32,$F32,CB$3)</f>
        <v>27</v>
      </c>
      <c r="CC32" s="64">
        <f>_xll.DBRW($C$2,$BZ$1,BZ$2,$D$18,$D$3,$D32,$E32,$F32,CC$3)</f>
        <v>0</v>
      </c>
      <c r="CD32" s="58">
        <f>_xll.DBRW($C$2,$BZ$1,BZ$2,$D$18,$D$3,$D32,$E32,$F32,CD$3)</f>
        <v>0</v>
      </c>
      <c r="CE32" s="48">
        <f t="shared" si="23"/>
        <v>-296</v>
      </c>
    </row>
    <row r="33" spans="1:83" s="23" customFormat="1" outlineLevel="1" thickBot="1" x14ac:dyDescent="0.3">
      <c r="A33" s="91" t="str">
        <f>IF(_xll.TM1RPTELISCONSOLIDATED($F$22,$F33),IF(_xll.TM1RPTELLEV($F$22,$F33)&lt;=5,_xll.TM1RPTELLEV($F$22,$F33),"Default"),"Leaf")</f>
        <v>Leaf</v>
      </c>
      <c r="B33" s="24" t="str">
        <f>_xll.DBRW("TM1-S1_DEV:}ElementAttributes_SP_SKU",$D33,B$1)</f>
        <v>Primary</v>
      </c>
      <c r="C33" s="24" t="str">
        <f>_xll.DBRW("TM1-S1_DEV:}ElementAttributes_SP_SKU",$D33,C$1)</f>
        <v>PROTEIN</v>
      </c>
      <c r="D33" s="28" t="s">
        <v>363</v>
      </c>
      <c r="E33" s="28" t="s">
        <v>188</v>
      </c>
      <c r="F33" s="28" t="s">
        <v>49</v>
      </c>
      <c r="G33" s="4">
        <f>_xll.DBRW($C$2,$G$19,G$20,$D$18,$D$3,$D33,$E33,$F33,G$3)</f>
        <v>2</v>
      </c>
      <c r="H33" s="54">
        <f t="shared" si="12"/>
        <v>4</v>
      </c>
      <c r="I33" s="4"/>
      <c r="J33" s="25">
        <f>_xll.DBRW($C$2,$J$1,J$2,$D$18,$D$3,$D33,$E33,$F33,J$3)</f>
        <v>6</v>
      </c>
      <c r="K33" s="39">
        <f>_xll.DBRW($C$2,$J$1,J$2,$D$18,$D$3,$D33,$E33,$F33,K$3)</f>
        <v>0</v>
      </c>
      <c r="L33" s="25">
        <f>_xll.DBRW($C$2,$J$1,J$2,$D$18,$D$3,$D33,$E33,$F33,L$3)</f>
        <v>0</v>
      </c>
      <c r="M33" s="25">
        <f>_xll.DBRW($C$2,$J$1,J$2,$D$18,$D$3,$D33,$E33,$F33,M$3)</f>
        <v>0</v>
      </c>
      <c r="N33" s="25">
        <f>_xll.DBRW($C$2,$J$1,J$2,$D$18,$D$3,$D33,$E33,$F33,N$3)</f>
        <v>5</v>
      </c>
      <c r="O33" s="64">
        <f>_xll.DBRW($C$2,$J$1,J$2,$D$18,$D$3,$D33,$E33,$F33,O$3)</f>
        <v>1</v>
      </c>
      <c r="P33" s="58">
        <f>_xll.DBRW($C$2,$J$1,J$2,$D$18,$D$3,$D33,$E33,$F33,P$3)</f>
        <v>0</v>
      </c>
      <c r="Q33" s="48">
        <f>_xll.DBRW($C$2,$J$1,J$2,$D$18,$D$3,$D33,$E33,$F33,Q$3)</f>
        <v>1</v>
      </c>
      <c r="R33" s="39">
        <f>_xll.DBRW($C$2,$R$1,R$2,$D$18,$D$3,$D33,$E33,$F33,R$3)</f>
        <v>0</v>
      </c>
      <c r="S33" s="25" cm="1">
        <f t="array" ref="S33">_xll.DBRW($E$2,R$1,R$2,$D$18,$D$3,$D33,$E33,$F33,$F$3,S$3)</f>
        <v>0</v>
      </c>
      <c r="T33" s="25">
        <f>_xll.DBRW($C$2,$R$1,R$2,$D$18,$D$3,$D33,$E33,$F33,T$3)</f>
        <v>0</v>
      </c>
      <c r="U33" s="64">
        <f>_xll.DBRW($C$2,$R$1,R$2,$D$18,$D$3,$D33,$E33,$F33,U$3)</f>
        <v>0</v>
      </c>
      <c r="V33" s="58">
        <f>_xll.DBRW($C$2,$R$1,R$2,$D$18,$D$3,$D33,$E33,$F33,V$3)</f>
        <v>0</v>
      </c>
      <c r="W33" s="48">
        <f t="shared" si="13"/>
        <v>1</v>
      </c>
      <c r="X33" s="39">
        <f>_xll.DBRW($C$2,$X$1,X$2,$D$18,$D$3,$D33,$E33,$F33,X$3)</f>
        <v>0</v>
      </c>
      <c r="Y33" s="25" cm="1">
        <f t="array" ref="Y33">_xll.DBRW($E$2,X$1,X$2,$D$18,$D$3,$D33,$E33,$F33,$F$3,Y$3)</f>
        <v>0</v>
      </c>
      <c r="Z33" s="25">
        <f>_xll.DBRW($C$2,$X$1,X$2,$D$18,$D$3,$D33,$E33,$F33,Z$3)</f>
        <v>5</v>
      </c>
      <c r="AA33" s="64">
        <f>_xll.DBRW($C$2,$X$1,X$2,$D$18,$D$3,$D33,$E33,$F33,AA$3)</f>
        <v>0</v>
      </c>
      <c r="AB33" s="58">
        <f>_xll.DBRW($C$2,$X$1,X$2,$D$18,$D$3,$D33,$E33,$F33,AB$3)</f>
        <v>0</v>
      </c>
      <c r="AC33" s="48">
        <f t="shared" si="14"/>
        <v>-4</v>
      </c>
      <c r="AD33" s="39">
        <f>_xll.DBRW($C$2,$AD$1,AD$2,$D$18,$D$3,$D33,$E33,$F33,AD$3)</f>
        <v>0</v>
      </c>
      <c r="AE33" s="25" cm="1">
        <f t="array" ref="AE33">_xll.DBRW($E$2,AD$1,AD$2,$D$18,$D$3,$D33,$E33,$F33,$F$3,AE$3)</f>
        <v>0</v>
      </c>
      <c r="AF33" s="25">
        <f>_xll.DBRW($C$2,$AD$1,AD$2,$D$18,$D$3,$D33,$E33,$F33,AF$3)</f>
        <v>5</v>
      </c>
      <c r="AG33" s="64">
        <f>_xll.DBRW($C$2,$AD$1,AD$2,$D$18,$D$3,$D33,$E33,$F33,AG$3)</f>
        <v>0</v>
      </c>
      <c r="AH33" s="58">
        <f>_xll.DBRW($C$2,$AD$1,AD$2,$D$18,$D$3,$D33,$E33,$F33,AH$3)</f>
        <v>0</v>
      </c>
      <c r="AI33" s="48">
        <f t="shared" si="15"/>
        <v>-9</v>
      </c>
      <c r="AJ33" s="39">
        <f>_xll.DBRW($C$2,$AJ$1,AJ$2,$D$18,$D$3,$D33,$E33,$F33,AJ$3)</f>
        <v>0</v>
      </c>
      <c r="AK33" s="25" cm="1">
        <f t="array" ref="AK33">_xll.DBRW($E$2,AJ$1,AJ$2,$D$18,$D$3,$D33,$E33,$F33,$F$3,AK$3)</f>
        <v>0</v>
      </c>
      <c r="AL33" s="25">
        <f>_xll.DBRW($C$2,$AJ$1,AJ$2,$D$18,$D$3,$D33,$E33,$F33,AL$3)</f>
        <v>5</v>
      </c>
      <c r="AM33" s="64">
        <f>_xll.DBRW($C$2,$AJ$1,AJ$2,$D$18,$D$3,$D33,$E33,$F33,AM$3)</f>
        <v>0</v>
      </c>
      <c r="AN33" s="58">
        <f>_xll.DBRW($C$2,$AJ$1,AJ$2,$D$18,$D$3,$D33,$E33,$F33,AN$3)</f>
        <v>0</v>
      </c>
      <c r="AO33" s="48">
        <f t="shared" si="16"/>
        <v>-14</v>
      </c>
      <c r="AP33" s="39">
        <f>_xll.DBRW($C$2,$AP$1,AP$2,$D$18,$D$3,$D33,$E33,$F33,AP$3)</f>
        <v>0</v>
      </c>
      <c r="AQ33" s="25" cm="1">
        <f t="array" ref="AQ33">_xll.DBRW($E$2,AP$1,AP$2,$D$18,$D$3,$D33,$E33,$F33,$F$3,AQ$3)</f>
        <v>0</v>
      </c>
      <c r="AR33" s="25">
        <f>_xll.DBRW($C$2,$AP$1,AP$2,$D$18,$D$3,$D33,$E33,$F33,AR$3)</f>
        <v>5</v>
      </c>
      <c r="AS33" s="64">
        <f>_xll.DBRW($C$2,$AP$1,AP$2,$D$18,$D$3,$D33,$E33,$F33,AS$3)</f>
        <v>0</v>
      </c>
      <c r="AT33" s="58">
        <f>_xll.DBRW($C$2,$AP$1,AP$2,$D$18,$D$3,$D33,$E33,$F33,AT$3)</f>
        <v>0</v>
      </c>
      <c r="AU33" s="48">
        <f t="shared" si="17"/>
        <v>-19</v>
      </c>
      <c r="AV33" s="39">
        <f>_xll.DBRW($C$2,$AV$1,AV$2,$D$18,$D$3,$D33,$E33,$F33,AV$3)</f>
        <v>0</v>
      </c>
      <c r="AW33" s="25" cm="1">
        <f t="array" ref="AW33">_xll.DBRW($E$2,AV$1,AV$2,$D$18,$D$3,$D33,$E33,$F33,$F$3,AW$3)</f>
        <v>0</v>
      </c>
      <c r="AX33" s="25">
        <f>_xll.DBRW($C$2,$AV$1,AV$2,$D$18,$D$3,$D33,$E33,$F33,AX$3)</f>
        <v>5</v>
      </c>
      <c r="AY33" s="64">
        <f>_xll.DBRW($C$2,$AV$1,AV$2,$D$18,$D$3,$D33,$E33,$F33,AY$3)</f>
        <v>0</v>
      </c>
      <c r="AZ33" s="58">
        <f>_xll.DBRW($C$2,$AV$1,AV$2,$D$18,$D$3,$D33,$E33,$F33,AZ$3)</f>
        <v>0</v>
      </c>
      <c r="BA33" s="48">
        <f t="shared" si="18"/>
        <v>-24</v>
      </c>
      <c r="BB33" s="39">
        <f>_xll.DBRW($C$2,$BB$1,BB$2,$D$18,$D$3,$D33,$E33,$F33,BB$3)</f>
        <v>0</v>
      </c>
      <c r="BC33" s="25" cm="1">
        <f t="array" ref="BC33">_xll.DBRW($E$2,BB$1,BB$2,$D$18,$D$3,$D33,$E33,$F33,$F$3,BC$3)</f>
        <v>0</v>
      </c>
      <c r="BD33" s="25">
        <f>_xll.DBRW($C$2,$BB$1,BB$2,$D$18,$D$3,$D33,$E33,$F33,BD$3)</f>
        <v>5</v>
      </c>
      <c r="BE33" s="64">
        <f>_xll.DBRW($C$2,$BB$1,BB$2,$D$18,$D$3,$D33,$E33,$F33,BE$3)</f>
        <v>0</v>
      </c>
      <c r="BF33" s="58">
        <f>_xll.DBRW($C$2,$BB$1,BB$2,$D$18,$D$3,$D33,$E33,$F33,BF$3)</f>
        <v>0</v>
      </c>
      <c r="BG33" s="48">
        <f t="shared" si="19"/>
        <v>-29</v>
      </c>
      <c r="BH33" s="39">
        <f>_xll.DBRW($C$2,$BH$1,BH$2,$D$18,$D$3,$D33,$E33,$F33,BH$3)</f>
        <v>0</v>
      </c>
      <c r="BI33" s="25" cm="1">
        <f t="array" ref="BI33">_xll.DBRW($E$2,BH$1,BH$2,$D$18,$D$3,$D33,$E33,$F33,$F$3,BI$3)</f>
        <v>0</v>
      </c>
      <c r="BJ33" s="25">
        <f>_xll.DBRW($C$2,$BH$1,BH$2,$D$18,$D$3,$D33,$E33,$F33,BJ$3)</f>
        <v>5</v>
      </c>
      <c r="BK33" s="64">
        <f>_xll.DBRW($C$2,$BH$1,BH$2,$D$18,$D$3,$D33,$E33,$F33,BK$3)</f>
        <v>0</v>
      </c>
      <c r="BL33" s="58">
        <f>_xll.DBRW($C$2,$BH$1,BH$2,$D$18,$D$3,$D33,$E33,$F33,BL$3)</f>
        <v>0</v>
      </c>
      <c r="BM33" s="48">
        <f t="shared" si="20"/>
        <v>-34</v>
      </c>
      <c r="BN33" s="39">
        <f>_xll.DBRW($C$2,$BN$1,BN$2,$D$18,$D$3,$D33,$E33,$F33,BN$3)</f>
        <v>0</v>
      </c>
      <c r="BO33" s="25" cm="1">
        <f t="array" ref="BO33">_xll.DBRW($E$2,BN$1,BN$2,$D$18,$D$3,$D33,$E33,$F33,$F$3,BO$3)</f>
        <v>0</v>
      </c>
      <c r="BP33" s="25">
        <f>_xll.DBRW($C$2,$BN$1,BN$2,$D$18,$D$3,$D33,$E33,$F33,BP$3)</f>
        <v>5</v>
      </c>
      <c r="BQ33" s="64">
        <f>_xll.DBRW($C$2,$BN$1,BN$2,$D$18,$D$3,$D33,$E33,$F33,BQ$3)</f>
        <v>0</v>
      </c>
      <c r="BR33" s="58">
        <f>_xll.DBRW($C$2,$BN$1,BN$2,$D$18,$D$3,$D33,$E33,$F33,BR$3)</f>
        <v>0</v>
      </c>
      <c r="BS33" s="48">
        <f t="shared" si="21"/>
        <v>-39</v>
      </c>
      <c r="BT33" s="39">
        <f>_xll.DBRW($C$2,$BT$1,BT$2,$D$18,$D$3,$D33,$E33,$F33,BT$3)</f>
        <v>0</v>
      </c>
      <c r="BU33" s="25" cm="1">
        <f t="array" ref="BU33">_xll.DBRW($E$2,BT$1,BT$2,$D$18,$D$3,$D33,$E33,$F33,$F$3,BU$3)</f>
        <v>0</v>
      </c>
      <c r="BV33" s="25">
        <f>_xll.DBRW($C$2,$BT$1,BT$2,$D$18,$D$3,$D33,$E33,$F33,BV$3)</f>
        <v>5</v>
      </c>
      <c r="BW33" s="64">
        <f>_xll.DBRW($C$2,$BT$1,BT$2,$D$18,$D$3,$D33,$E33,$F33,BW$3)</f>
        <v>0</v>
      </c>
      <c r="BX33" s="58">
        <f>_xll.DBRW($C$2,$BT$1,BT$2,$D$18,$D$3,$D33,$E33,$F33,BX$3)</f>
        <v>0</v>
      </c>
      <c r="BY33" s="48">
        <f t="shared" si="22"/>
        <v>-44</v>
      </c>
      <c r="BZ33" s="39">
        <f>_xll.DBRW($C$2,$BZ$1,BZ$2,$D$18,$D$3,$D33,$E33,$F33,BZ$3)</f>
        <v>0</v>
      </c>
      <c r="CA33" s="25" cm="1">
        <f t="array" ref="CA33">_xll.DBRW($E$2,BZ$1,BZ$2,$D$18,$D$3,$D33,$E33,$F33,$F$3,CA$3)</f>
        <v>0</v>
      </c>
      <c r="CB33" s="25">
        <f>_xll.DBRW($C$2,$BZ$1,BZ$2,$D$18,$D$3,$D33,$E33,$F33,CB$3)</f>
        <v>5</v>
      </c>
      <c r="CC33" s="64">
        <f>_xll.DBRW($C$2,$BZ$1,BZ$2,$D$18,$D$3,$D33,$E33,$F33,CC$3)</f>
        <v>0</v>
      </c>
      <c r="CD33" s="58">
        <f>_xll.DBRW($C$2,$BZ$1,BZ$2,$D$18,$D$3,$D33,$E33,$F33,CD$3)</f>
        <v>0</v>
      </c>
      <c r="CE33" s="48">
        <f t="shared" si="23"/>
        <v>-49</v>
      </c>
    </row>
    <row r="34" spans="1:83" s="23" customFormat="1" outlineLevel="1" thickBot="1" x14ac:dyDescent="0.3">
      <c r="A34" s="91" t="str">
        <f>IF(_xll.TM1RPTELISCONSOLIDATED($F$22,$F34),IF(_xll.TM1RPTELLEV($F$22,$F34)&lt;=5,_xll.TM1RPTELLEV($F$22,$F34),"Default"),"Leaf")</f>
        <v>Leaf</v>
      </c>
      <c r="B34" s="24" t="str">
        <f>_xll.DBRW("TM1-S1_DEV:}ElementAttributes_SP_SKU",$D34,B$1)</f>
        <v>Primary</v>
      </c>
      <c r="C34" s="24" t="str">
        <f>_xll.DBRW("TM1-S1_DEV:}ElementAttributes_SP_SKU",$D34,C$1)</f>
        <v>PROTEIN</v>
      </c>
      <c r="D34" s="28" t="s">
        <v>479</v>
      </c>
      <c r="E34" s="28" t="s">
        <v>112</v>
      </c>
      <c r="F34" s="28" t="s">
        <v>31</v>
      </c>
      <c r="G34" s="4">
        <f>_xll.DBRW($C$2,$G$19,G$20,$D$18,$D$3,$D34,$E34,$F34,G$3)</f>
        <v>172</v>
      </c>
      <c r="H34" s="54">
        <f t="shared" si="12"/>
        <v>-168</v>
      </c>
      <c r="I34" s="4"/>
      <c r="J34" s="25">
        <f>_xll.DBRW($C$2,$J$1,J$2,$D$18,$D$3,$D34,$E34,$F34,J$3)</f>
        <v>4</v>
      </c>
      <c r="K34" s="39">
        <f>_xll.DBRW($C$2,$J$1,J$2,$D$18,$D$3,$D34,$E34,$F34,K$3)</f>
        <v>0</v>
      </c>
      <c r="L34" s="25">
        <f>_xll.DBRW($C$2,$J$1,J$2,$D$18,$D$3,$D34,$E34,$F34,L$3)</f>
        <v>0</v>
      </c>
      <c r="M34" s="25">
        <f>_xll.DBRW($C$2,$J$1,J$2,$D$18,$D$3,$D34,$E34,$F34,M$3)</f>
        <v>0</v>
      </c>
      <c r="N34" s="25">
        <f>_xll.DBRW($C$2,$J$1,J$2,$D$18,$D$3,$D34,$E34,$F34,N$3)</f>
        <v>0</v>
      </c>
      <c r="O34" s="64">
        <f>_xll.DBRW($C$2,$J$1,J$2,$D$18,$D$3,$D34,$E34,$F34,O$3)</f>
        <v>0</v>
      </c>
      <c r="P34" s="58">
        <f>_xll.DBRW($C$2,$J$1,J$2,$D$18,$D$3,$D34,$E34,$F34,P$3)</f>
        <v>0</v>
      </c>
      <c r="Q34" s="48">
        <f>_xll.DBRW($C$2,$J$1,J$2,$D$18,$D$3,$D34,$E34,$F34,Q$3)</f>
        <v>4</v>
      </c>
      <c r="R34" s="39">
        <f>_xll.DBRW($C$2,$R$1,R$2,$D$18,$D$3,$D34,$E34,$F34,R$3)</f>
        <v>0</v>
      </c>
      <c r="S34" s="25" cm="1">
        <f t="array" ref="S34">_xll.DBRW($E$2,R$1,R$2,$D$18,$D$3,$D34,$E34,$F34,$F$3,S$3)</f>
        <v>0</v>
      </c>
      <c r="T34" s="25">
        <f>_xll.DBRW($C$2,$R$1,R$2,$D$18,$D$3,$D34,$E34,$F34,T$3)</f>
        <v>0</v>
      </c>
      <c r="U34" s="64">
        <f>_xll.DBRW($C$2,$R$1,R$2,$D$18,$D$3,$D34,$E34,$F34,U$3)</f>
        <v>0</v>
      </c>
      <c r="V34" s="58">
        <f>_xll.DBRW($C$2,$R$1,R$2,$D$18,$D$3,$D34,$E34,$F34,V$3)</f>
        <v>0</v>
      </c>
      <c r="W34" s="48">
        <f t="shared" si="13"/>
        <v>4</v>
      </c>
      <c r="X34" s="39">
        <f>_xll.DBRW($C$2,$X$1,X$2,$D$18,$D$3,$D34,$E34,$F34,X$3)</f>
        <v>0</v>
      </c>
      <c r="Y34" s="25" cm="1">
        <f t="array" ref="Y34">_xll.DBRW($E$2,X$1,X$2,$D$18,$D$3,$D34,$E34,$F34,$F$3,Y$3)</f>
        <v>0</v>
      </c>
      <c r="Z34" s="25">
        <f>_xll.DBRW($C$2,$X$1,X$2,$D$18,$D$3,$D34,$E34,$F34,Z$3)</f>
        <v>0</v>
      </c>
      <c r="AA34" s="64">
        <f>_xll.DBRW($C$2,$X$1,X$2,$D$18,$D$3,$D34,$E34,$F34,AA$3)</f>
        <v>0</v>
      </c>
      <c r="AB34" s="58">
        <f>_xll.DBRW($C$2,$X$1,X$2,$D$18,$D$3,$D34,$E34,$F34,AB$3)</f>
        <v>0</v>
      </c>
      <c r="AC34" s="48">
        <f t="shared" si="14"/>
        <v>4</v>
      </c>
      <c r="AD34" s="39">
        <f>_xll.DBRW($C$2,$AD$1,AD$2,$D$18,$D$3,$D34,$E34,$F34,AD$3)</f>
        <v>0</v>
      </c>
      <c r="AE34" s="25" cm="1">
        <f t="array" ref="AE34">_xll.DBRW($E$2,AD$1,AD$2,$D$18,$D$3,$D34,$E34,$F34,$F$3,AE$3)</f>
        <v>0</v>
      </c>
      <c r="AF34" s="25">
        <f>_xll.DBRW($C$2,$AD$1,AD$2,$D$18,$D$3,$D34,$E34,$F34,AF$3)</f>
        <v>0</v>
      </c>
      <c r="AG34" s="64">
        <f>_xll.DBRW($C$2,$AD$1,AD$2,$D$18,$D$3,$D34,$E34,$F34,AG$3)</f>
        <v>0</v>
      </c>
      <c r="AH34" s="58">
        <f>_xll.DBRW($C$2,$AD$1,AD$2,$D$18,$D$3,$D34,$E34,$F34,AH$3)</f>
        <v>0</v>
      </c>
      <c r="AI34" s="48">
        <f t="shared" si="15"/>
        <v>4</v>
      </c>
      <c r="AJ34" s="39">
        <f>_xll.DBRW($C$2,$AJ$1,AJ$2,$D$18,$D$3,$D34,$E34,$F34,AJ$3)</f>
        <v>0</v>
      </c>
      <c r="AK34" s="25" cm="1">
        <f t="array" ref="AK34">_xll.DBRW($E$2,AJ$1,AJ$2,$D$18,$D$3,$D34,$E34,$F34,$F$3,AK$3)</f>
        <v>0</v>
      </c>
      <c r="AL34" s="25">
        <f>_xll.DBRW($C$2,$AJ$1,AJ$2,$D$18,$D$3,$D34,$E34,$F34,AL$3)</f>
        <v>0</v>
      </c>
      <c r="AM34" s="64">
        <f>_xll.DBRW($C$2,$AJ$1,AJ$2,$D$18,$D$3,$D34,$E34,$F34,AM$3)</f>
        <v>0</v>
      </c>
      <c r="AN34" s="58">
        <f>_xll.DBRW($C$2,$AJ$1,AJ$2,$D$18,$D$3,$D34,$E34,$F34,AN$3)</f>
        <v>0</v>
      </c>
      <c r="AO34" s="48">
        <f t="shared" si="16"/>
        <v>4</v>
      </c>
      <c r="AP34" s="39">
        <f>_xll.DBRW($C$2,$AP$1,AP$2,$D$18,$D$3,$D34,$E34,$F34,AP$3)</f>
        <v>0</v>
      </c>
      <c r="AQ34" s="25" cm="1">
        <f t="array" ref="AQ34">_xll.DBRW($E$2,AP$1,AP$2,$D$18,$D$3,$D34,$E34,$F34,$F$3,AQ$3)</f>
        <v>0</v>
      </c>
      <c r="AR34" s="25">
        <f>_xll.DBRW($C$2,$AP$1,AP$2,$D$18,$D$3,$D34,$E34,$F34,AR$3)</f>
        <v>0</v>
      </c>
      <c r="AS34" s="64">
        <f>_xll.DBRW($C$2,$AP$1,AP$2,$D$18,$D$3,$D34,$E34,$F34,AS$3)</f>
        <v>0</v>
      </c>
      <c r="AT34" s="58">
        <f>_xll.DBRW($C$2,$AP$1,AP$2,$D$18,$D$3,$D34,$E34,$F34,AT$3)</f>
        <v>0</v>
      </c>
      <c r="AU34" s="48">
        <f t="shared" si="17"/>
        <v>4</v>
      </c>
      <c r="AV34" s="39">
        <f>_xll.DBRW($C$2,$AV$1,AV$2,$D$18,$D$3,$D34,$E34,$F34,AV$3)</f>
        <v>0</v>
      </c>
      <c r="AW34" s="25" cm="1">
        <f t="array" ref="AW34">_xll.DBRW($E$2,AV$1,AV$2,$D$18,$D$3,$D34,$E34,$F34,$F$3,AW$3)</f>
        <v>0</v>
      </c>
      <c r="AX34" s="25">
        <f>_xll.DBRW($C$2,$AV$1,AV$2,$D$18,$D$3,$D34,$E34,$F34,AX$3)</f>
        <v>0</v>
      </c>
      <c r="AY34" s="64">
        <f>_xll.DBRW($C$2,$AV$1,AV$2,$D$18,$D$3,$D34,$E34,$F34,AY$3)</f>
        <v>0</v>
      </c>
      <c r="AZ34" s="58">
        <f>_xll.DBRW($C$2,$AV$1,AV$2,$D$18,$D$3,$D34,$E34,$F34,AZ$3)</f>
        <v>0</v>
      </c>
      <c r="BA34" s="48">
        <f t="shared" si="18"/>
        <v>4</v>
      </c>
      <c r="BB34" s="39">
        <f>_xll.DBRW($C$2,$BB$1,BB$2,$D$18,$D$3,$D34,$E34,$F34,BB$3)</f>
        <v>0</v>
      </c>
      <c r="BC34" s="25" cm="1">
        <f t="array" ref="BC34">_xll.DBRW($E$2,BB$1,BB$2,$D$18,$D$3,$D34,$E34,$F34,$F$3,BC$3)</f>
        <v>0</v>
      </c>
      <c r="BD34" s="25">
        <f>_xll.DBRW($C$2,$BB$1,BB$2,$D$18,$D$3,$D34,$E34,$F34,BD$3)</f>
        <v>0</v>
      </c>
      <c r="BE34" s="64">
        <f>_xll.DBRW($C$2,$BB$1,BB$2,$D$18,$D$3,$D34,$E34,$F34,BE$3)</f>
        <v>0</v>
      </c>
      <c r="BF34" s="58">
        <f>_xll.DBRW($C$2,$BB$1,BB$2,$D$18,$D$3,$D34,$E34,$F34,BF$3)</f>
        <v>0</v>
      </c>
      <c r="BG34" s="48">
        <f t="shared" si="19"/>
        <v>4</v>
      </c>
      <c r="BH34" s="39">
        <f>_xll.DBRW($C$2,$BH$1,BH$2,$D$18,$D$3,$D34,$E34,$F34,BH$3)</f>
        <v>0</v>
      </c>
      <c r="BI34" s="25" cm="1">
        <f t="array" ref="BI34">_xll.DBRW($E$2,BH$1,BH$2,$D$18,$D$3,$D34,$E34,$F34,$F$3,BI$3)</f>
        <v>0</v>
      </c>
      <c r="BJ34" s="25">
        <f>_xll.DBRW($C$2,$BH$1,BH$2,$D$18,$D$3,$D34,$E34,$F34,BJ$3)</f>
        <v>0</v>
      </c>
      <c r="BK34" s="64">
        <f>_xll.DBRW($C$2,$BH$1,BH$2,$D$18,$D$3,$D34,$E34,$F34,BK$3)</f>
        <v>0</v>
      </c>
      <c r="BL34" s="58">
        <f>_xll.DBRW($C$2,$BH$1,BH$2,$D$18,$D$3,$D34,$E34,$F34,BL$3)</f>
        <v>0</v>
      </c>
      <c r="BM34" s="48">
        <f t="shared" si="20"/>
        <v>4</v>
      </c>
      <c r="BN34" s="39">
        <f>_xll.DBRW($C$2,$BN$1,BN$2,$D$18,$D$3,$D34,$E34,$F34,BN$3)</f>
        <v>0</v>
      </c>
      <c r="BO34" s="25" cm="1">
        <f t="array" ref="BO34">_xll.DBRW($E$2,BN$1,BN$2,$D$18,$D$3,$D34,$E34,$F34,$F$3,BO$3)</f>
        <v>0</v>
      </c>
      <c r="BP34" s="25">
        <f>_xll.DBRW($C$2,$BN$1,BN$2,$D$18,$D$3,$D34,$E34,$F34,BP$3)</f>
        <v>0</v>
      </c>
      <c r="BQ34" s="64">
        <f>_xll.DBRW($C$2,$BN$1,BN$2,$D$18,$D$3,$D34,$E34,$F34,BQ$3)</f>
        <v>0</v>
      </c>
      <c r="BR34" s="58">
        <f>_xll.DBRW($C$2,$BN$1,BN$2,$D$18,$D$3,$D34,$E34,$F34,BR$3)</f>
        <v>0</v>
      </c>
      <c r="BS34" s="48">
        <f t="shared" si="21"/>
        <v>4</v>
      </c>
      <c r="BT34" s="39">
        <f>_xll.DBRW($C$2,$BT$1,BT$2,$D$18,$D$3,$D34,$E34,$F34,BT$3)</f>
        <v>0</v>
      </c>
      <c r="BU34" s="25" cm="1">
        <f t="array" ref="BU34">_xll.DBRW($E$2,BT$1,BT$2,$D$18,$D$3,$D34,$E34,$F34,$F$3,BU$3)</f>
        <v>0</v>
      </c>
      <c r="BV34" s="25">
        <f>_xll.DBRW($C$2,$BT$1,BT$2,$D$18,$D$3,$D34,$E34,$F34,BV$3)</f>
        <v>0</v>
      </c>
      <c r="BW34" s="64">
        <f>_xll.DBRW($C$2,$BT$1,BT$2,$D$18,$D$3,$D34,$E34,$F34,BW$3)</f>
        <v>0</v>
      </c>
      <c r="BX34" s="58">
        <f>_xll.DBRW($C$2,$BT$1,BT$2,$D$18,$D$3,$D34,$E34,$F34,BX$3)</f>
        <v>0</v>
      </c>
      <c r="BY34" s="48">
        <f t="shared" si="22"/>
        <v>4</v>
      </c>
      <c r="BZ34" s="39">
        <f>_xll.DBRW($C$2,$BZ$1,BZ$2,$D$18,$D$3,$D34,$E34,$F34,BZ$3)</f>
        <v>0</v>
      </c>
      <c r="CA34" s="25" cm="1">
        <f t="array" ref="CA34">_xll.DBRW($E$2,BZ$1,BZ$2,$D$18,$D$3,$D34,$E34,$F34,$F$3,CA$3)</f>
        <v>0</v>
      </c>
      <c r="CB34" s="25">
        <f>_xll.DBRW($C$2,$BZ$1,BZ$2,$D$18,$D$3,$D34,$E34,$F34,CB$3)</f>
        <v>0</v>
      </c>
      <c r="CC34" s="64">
        <f>_xll.DBRW($C$2,$BZ$1,BZ$2,$D$18,$D$3,$D34,$E34,$F34,CC$3)</f>
        <v>0</v>
      </c>
      <c r="CD34" s="58">
        <f>_xll.DBRW($C$2,$BZ$1,BZ$2,$D$18,$D$3,$D34,$E34,$F34,CD$3)</f>
        <v>0</v>
      </c>
      <c r="CE34" s="48">
        <f t="shared" si="23"/>
        <v>4</v>
      </c>
    </row>
    <row r="35" spans="1:83" s="23" customFormat="1" outlineLevel="1" thickBot="1" x14ac:dyDescent="0.3">
      <c r="A35" s="91" t="str">
        <f>IF(_xll.TM1RPTELISCONSOLIDATED($F$22,$F35),IF(_xll.TM1RPTELLEV($F$22,$F35)&lt;=5,_xll.TM1RPTELLEV($F$22,$F35),"Default"),"Leaf")</f>
        <v>Leaf</v>
      </c>
      <c r="B35" s="24" t="str">
        <f>_xll.DBRW("TM1-S1_DEV:}ElementAttributes_SP_SKU",$D35,B$1)</f>
        <v>Primary</v>
      </c>
      <c r="C35" s="24" t="str">
        <f>_xll.DBRW("TM1-S1_DEV:}ElementAttributes_SP_SKU",$D35,C$1)</f>
        <v>PROTEIN</v>
      </c>
      <c r="D35" s="28" t="s">
        <v>364</v>
      </c>
      <c r="E35" s="28" t="s">
        <v>189</v>
      </c>
      <c r="F35" s="28" t="s">
        <v>49</v>
      </c>
      <c r="G35" s="4">
        <f>_xll.DBRW($C$2,$G$19,G$20,$D$18,$D$3,$D35,$E35,$F35,G$3)</f>
        <v>17</v>
      </c>
      <c r="H35" s="54">
        <f t="shared" si="12"/>
        <v>9</v>
      </c>
      <c r="I35" s="4"/>
      <c r="J35" s="25">
        <f>_xll.DBRW($C$2,$J$1,J$2,$D$18,$D$3,$D35,$E35,$F35,J$3)</f>
        <v>26</v>
      </c>
      <c r="K35" s="39">
        <f>_xll.DBRW($C$2,$J$1,J$2,$D$18,$D$3,$D35,$E35,$F35,K$3)</f>
        <v>0</v>
      </c>
      <c r="L35" s="25">
        <f>_xll.DBRW($C$2,$J$1,J$2,$D$18,$D$3,$D35,$E35,$F35,L$3)</f>
        <v>0</v>
      </c>
      <c r="M35" s="25">
        <f>_xll.DBRW($C$2,$J$1,J$2,$D$18,$D$3,$D35,$E35,$F35,M$3)</f>
        <v>0</v>
      </c>
      <c r="N35" s="25">
        <f>_xll.DBRW($C$2,$J$1,J$2,$D$18,$D$3,$D35,$E35,$F35,N$3)</f>
        <v>14</v>
      </c>
      <c r="O35" s="64">
        <f>_xll.DBRW($C$2,$J$1,J$2,$D$18,$D$3,$D35,$E35,$F35,O$3)</f>
        <v>1</v>
      </c>
      <c r="P35" s="58">
        <f>_xll.DBRW($C$2,$J$1,J$2,$D$18,$D$3,$D35,$E35,$F35,P$3)</f>
        <v>0</v>
      </c>
      <c r="Q35" s="48">
        <f>_xll.DBRW($C$2,$J$1,J$2,$D$18,$D$3,$D35,$E35,$F35,Q$3)</f>
        <v>12</v>
      </c>
      <c r="R35" s="39">
        <f>_xll.DBRW($C$2,$R$1,R$2,$D$18,$D$3,$D35,$E35,$F35,R$3)</f>
        <v>0</v>
      </c>
      <c r="S35" s="25" cm="1">
        <f t="array" ref="S35">_xll.DBRW($E$2,R$1,R$2,$D$18,$D$3,$D35,$E35,$F35,$F$3,S$3)</f>
        <v>0</v>
      </c>
      <c r="T35" s="25">
        <f>_xll.DBRW($C$2,$R$1,R$2,$D$18,$D$3,$D35,$E35,$F35,T$3)</f>
        <v>0</v>
      </c>
      <c r="U35" s="64">
        <f>_xll.DBRW($C$2,$R$1,R$2,$D$18,$D$3,$D35,$E35,$F35,U$3)</f>
        <v>0</v>
      </c>
      <c r="V35" s="58">
        <f>_xll.DBRW($C$2,$R$1,R$2,$D$18,$D$3,$D35,$E35,$F35,V$3)</f>
        <v>0</v>
      </c>
      <c r="W35" s="48">
        <f t="shared" si="13"/>
        <v>12</v>
      </c>
      <c r="X35" s="39">
        <f>_xll.DBRW($C$2,$X$1,X$2,$D$18,$D$3,$D35,$E35,$F35,X$3)</f>
        <v>0</v>
      </c>
      <c r="Y35" s="25" cm="1">
        <f t="array" ref="Y35">_xll.DBRW($E$2,X$1,X$2,$D$18,$D$3,$D35,$E35,$F35,$F$3,Y$3)</f>
        <v>0</v>
      </c>
      <c r="Z35" s="25">
        <f>_xll.DBRW($C$2,$X$1,X$2,$D$18,$D$3,$D35,$E35,$F35,Z$3)</f>
        <v>5</v>
      </c>
      <c r="AA35" s="64">
        <f>_xll.DBRW($C$2,$X$1,X$2,$D$18,$D$3,$D35,$E35,$F35,AA$3)</f>
        <v>0</v>
      </c>
      <c r="AB35" s="58">
        <f>_xll.DBRW($C$2,$X$1,X$2,$D$18,$D$3,$D35,$E35,$F35,AB$3)</f>
        <v>0</v>
      </c>
      <c r="AC35" s="48">
        <f t="shared" si="14"/>
        <v>7</v>
      </c>
      <c r="AD35" s="39">
        <f>_xll.DBRW($C$2,$AD$1,AD$2,$D$18,$D$3,$D35,$E35,$F35,AD$3)</f>
        <v>0</v>
      </c>
      <c r="AE35" s="25" cm="1">
        <f t="array" ref="AE35">_xll.DBRW($E$2,AD$1,AD$2,$D$18,$D$3,$D35,$E35,$F35,$F$3,AE$3)</f>
        <v>0</v>
      </c>
      <c r="AF35" s="25">
        <f>_xll.DBRW($C$2,$AD$1,AD$2,$D$18,$D$3,$D35,$E35,$F35,AF$3)</f>
        <v>5</v>
      </c>
      <c r="AG35" s="64">
        <f>_xll.DBRW($C$2,$AD$1,AD$2,$D$18,$D$3,$D35,$E35,$F35,AG$3)</f>
        <v>0</v>
      </c>
      <c r="AH35" s="58">
        <f>_xll.DBRW($C$2,$AD$1,AD$2,$D$18,$D$3,$D35,$E35,$F35,AH$3)</f>
        <v>0</v>
      </c>
      <c r="AI35" s="48">
        <f t="shared" si="15"/>
        <v>2</v>
      </c>
      <c r="AJ35" s="39">
        <f>_xll.DBRW($C$2,$AJ$1,AJ$2,$D$18,$D$3,$D35,$E35,$F35,AJ$3)</f>
        <v>0</v>
      </c>
      <c r="AK35" s="25" cm="1">
        <f t="array" ref="AK35">_xll.DBRW($E$2,AJ$1,AJ$2,$D$18,$D$3,$D35,$E35,$F35,$F$3,AK$3)</f>
        <v>0</v>
      </c>
      <c r="AL35" s="25">
        <f>_xll.DBRW($C$2,$AJ$1,AJ$2,$D$18,$D$3,$D35,$E35,$F35,AL$3)</f>
        <v>5</v>
      </c>
      <c r="AM35" s="64">
        <f>_xll.DBRW($C$2,$AJ$1,AJ$2,$D$18,$D$3,$D35,$E35,$F35,AM$3)</f>
        <v>0</v>
      </c>
      <c r="AN35" s="58">
        <f>_xll.DBRW($C$2,$AJ$1,AJ$2,$D$18,$D$3,$D35,$E35,$F35,AN$3)</f>
        <v>0</v>
      </c>
      <c r="AO35" s="48">
        <f t="shared" si="16"/>
        <v>-3</v>
      </c>
      <c r="AP35" s="39">
        <f>_xll.DBRW($C$2,$AP$1,AP$2,$D$18,$D$3,$D35,$E35,$F35,AP$3)</f>
        <v>0</v>
      </c>
      <c r="AQ35" s="25" cm="1">
        <f t="array" ref="AQ35">_xll.DBRW($E$2,AP$1,AP$2,$D$18,$D$3,$D35,$E35,$F35,$F$3,AQ$3)</f>
        <v>0</v>
      </c>
      <c r="AR35" s="25">
        <f>_xll.DBRW($C$2,$AP$1,AP$2,$D$18,$D$3,$D35,$E35,$F35,AR$3)</f>
        <v>5</v>
      </c>
      <c r="AS35" s="64">
        <f>_xll.DBRW($C$2,$AP$1,AP$2,$D$18,$D$3,$D35,$E35,$F35,AS$3)</f>
        <v>0</v>
      </c>
      <c r="AT35" s="58">
        <f>_xll.DBRW($C$2,$AP$1,AP$2,$D$18,$D$3,$D35,$E35,$F35,AT$3)</f>
        <v>0</v>
      </c>
      <c r="AU35" s="48">
        <f t="shared" si="17"/>
        <v>-8</v>
      </c>
      <c r="AV35" s="39">
        <f>_xll.DBRW($C$2,$AV$1,AV$2,$D$18,$D$3,$D35,$E35,$F35,AV$3)</f>
        <v>0</v>
      </c>
      <c r="AW35" s="25" cm="1">
        <f t="array" ref="AW35">_xll.DBRW($E$2,AV$1,AV$2,$D$18,$D$3,$D35,$E35,$F35,$F$3,AW$3)</f>
        <v>0</v>
      </c>
      <c r="AX35" s="25">
        <f>_xll.DBRW($C$2,$AV$1,AV$2,$D$18,$D$3,$D35,$E35,$F35,AX$3)</f>
        <v>5</v>
      </c>
      <c r="AY35" s="64">
        <f>_xll.DBRW($C$2,$AV$1,AV$2,$D$18,$D$3,$D35,$E35,$F35,AY$3)</f>
        <v>0</v>
      </c>
      <c r="AZ35" s="58">
        <f>_xll.DBRW($C$2,$AV$1,AV$2,$D$18,$D$3,$D35,$E35,$F35,AZ$3)</f>
        <v>0</v>
      </c>
      <c r="BA35" s="48">
        <f t="shared" si="18"/>
        <v>-13</v>
      </c>
      <c r="BB35" s="39">
        <f>_xll.DBRW($C$2,$BB$1,BB$2,$D$18,$D$3,$D35,$E35,$F35,BB$3)</f>
        <v>0</v>
      </c>
      <c r="BC35" s="25" cm="1">
        <f t="array" ref="BC35">_xll.DBRW($E$2,BB$1,BB$2,$D$18,$D$3,$D35,$E35,$F35,$F$3,BC$3)</f>
        <v>0</v>
      </c>
      <c r="BD35" s="25">
        <f>_xll.DBRW($C$2,$BB$1,BB$2,$D$18,$D$3,$D35,$E35,$F35,BD$3)</f>
        <v>5</v>
      </c>
      <c r="BE35" s="64">
        <f>_xll.DBRW($C$2,$BB$1,BB$2,$D$18,$D$3,$D35,$E35,$F35,BE$3)</f>
        <v>0</v>
      </c>
      <c r="BF35" s="58">
        <f>_xll.DBRW($C$2,$BB$1,BB$2,$D$18,$D$3,$D35,$E35,$F35,BF$3)</f>
        <v>0</v>
      </c>
      <c r="BG35" s="48">
        <f t="shared" si="19"/>
        <v>-18</v>
      </c>
      <c r="BH35" s="39">
        <f>_xll.DBRW($C$2,$BH$1,BH$2,$D$18,$D$3,$D35,$E35,$F35,BH$3)</f>
        <v>0</v>
      </c>
      <c r="BI35" s="25" cm="1">
        <f t="array" ref="BI35">_xll.DBRW($E$2,BH$1,BH$2,$D$18,$D$3,$D35,$E35,$F35,$F$3,BI$3)</f>
        <v>0</v>
      </c>
      <c r="BJ35" s="25">
        <f>_xll.DBRW($C$2,$BH$1,BH$2,$D$18,$D$3,$D35,$E35,$F35,BJ$3)</f>
        <v>5</v>
      </c>
      <c r="BK35" s="64">
        <f>_xll.DBRW($C$2,$BH$1,BH$2,$D$18,$D$3,$D35,$E35,$F35,BK$3)</f>
        <v>0</v>
      </c>
      <c r="BL35" s="58">
        <f>_xll.DBRW($C$2,$BH$1,BH$2,$D$18,$D$3,$D35,$E35,$F35,BL$3)</f>
        <v>0</v>
      </c>
      <c r="BM35" s="48">
        <f t="shared" si="20"/>
        <v>-23</v>
      </c>
      <c r="BN35" s="39">
        <f>_xll.DBRW($C$2,$BN$1,BN$2,$D$18,$D$3,$D35,$E35,$F35,BN$3)</f>
        <v>0</v>
      </c>
      <c r="BO35" s="25" cm="1">
        <f t="array" ref="BO35">_xll.DBRW($E$2,BN$1,BN$2,$D$18,$D$3,$D35,$E35,$F35,$F$3,BO$3)</f>
        <v>0</v>
      </c>
      <c r="BP35" s="25">
        <f>_xll.DBRW($C$2,$BN$1,BN$2,$D$18,$D$3,$D35,$E35,$F35,BP$3)</f>
        <v>5</v>
      </c>
      <c r="BQ35" s="64">
        <f>_xll.DBRW($C$2,$BN$1,BN$2,$D$18,$D$3,$D35,$E35,$F35,BQ$3)</f>
        <v>0</v>
      </c>
      <c r="BR35" s="58">
        <f>_xll.DBRW($C$2,$BN$1,BN$2,$D$18,$D$3,$D35,$E35,$F35,BR$3)</f>
        <v>0</v>
      </c>
      <c r="BS35" s="48">
        <f t="shared" si="21"/>
        <v>-28</v>
      </c>
      <c r="BT35" s="39">
        <f>_xll.DBRW($C$2,$BT$1,BT$2,$D$18,$D$3,$D35,$E35,$F35,BT$3)</f>
        <v>0</v>
      </c>
      <c r="BU35" s="25" cm="1">
        <f t="array" ref="BU35">_xll.DBRW($E$2,BT$1,BT$2,$D$18,$D$3,$D35,$E35,$F35,$F$3,BU$3)</f>
        <v>0</v>
      </c>
      <c r="BV35" s="25">
        <f>_xll.DBRW($C$2,$BT$1,BT$2,$D$18,$D$3,$D35,$E35,$F35,BV$3)</f>
        <v>5</v>
      </c>
      <c r="BW35" s="64">
        <f>_xll.DBRW($C$2,$BT$1,BT$2,$D$18,$D$3,$D35,$E35,$F35,BW$3)</f>
        <v>0</v>
      </c>
      <c r="BX35" s="58">
        <f>_xll.DBRW($C$2,$BT$1,BT$2,$D$18,$D$3,$D35,$E35,$F35,BX$3)</f>
        <v>0</v>
      </c>
      <c r="BY35" s="48">
        <f t="shared" si="22"/>
        <v>-33</v>
      </c>
      <c r="BZ35" s="39">
        <f>_xll.DBRW($C$2,$BZ$1,BZ$2,$D$18,$D$3,$D35,$E35,$F35,BZ$3)</f>
        <v>0</v>
      </c>
      <c r="CA35" s="25" cm="1">
        <f t="array" ref="CA35">_xll.DBRW($E$2,BZ$1,BZ$2,$D$18,$D$3,$D35,$E35,$F35,$F$3,CA$3)</f>
        <v>0</v>
      </c>
      <c r="CB35" s="25">
        <f>_xll.DBRW($C$2,$BZ$1,BZ$2,$D$18,$D$3,$D35,$E35,$F35,CB$3)</f>
        <v>5</v>
      </c>
      <c r="CC35" s="64">
        <f>_xll.DBRW($C$2,$BZ$1,BZ$2,$D$18,$D$3,$D35,$E35,$F35,CC$3)</f>
        <v>0</v>
      </c>
      <c r="CD35" s="58">
        <f>_xll.DBRW($C$2,$BZ$1,BZ$2,$D$18,$D$3,$D35,$E35,$F35,CD$3)</f>
        <v>0</v>
      </c>
      <c r="CE35" s="48">
        <f t="shared" si="23"/>
        <v>-38</v>
      </c>
    </row>
    <row r="36" spans="1:83" s="23" customFormat="1" outlineLevel="1" thickBot="1" x14ac:dyDescent="0.3">
      <c r="A36" s="91" t="str">
        <f>IF(_xll.TM1RPTELISCONSOLIDATED($F$22,$F36),IF(_xll.TM1RPTELLEV($F$22,$F36)&lt;=5,_xll.TM1RPTELLEV($F$22,$F36),"Default"),"Leaf")</f>
        <v>Leaf</v>
      </c>
      <c r="B36" s="24" t="str">
        <f>_xll.DBRW("TM1-S1_DEV:}ElementAttributes_SP_SKU",$D36,B$1)</f>
        <v>Primary</v>
      </c>
      <c r="C36" s="24" t="str">
        <f>_xll.DBRW("TM1-S1_DEV:}ElementAttributes_SP_SKU",$D36,C$1)</f>
        <v>PROTEIN</v>
      </c>
      <c r="D36" s="28" t="s">
        <v>365</v>
      </c>
      <c r="E36" s="28" t="s">
        <v>190</v>
      </c>
      <c r="F36" s="28" t="s">
        <v>49</v>
      </c>
      <c r="G36" s="4">
        <f>_xll.DBRW($C$2,$G$19,G$20,$D$18,$D$3,$D36,$E36,$F36,G$3)</f>
        <v>12</v>
      </c>
      <c r="H36" s="54">
        <f t="shared" si="12"/>
        <v>-2</v>
      </c>
      <c r="I36" s="4"/>
      <c r="J36" s="25">
        <f>_xll.DBRW($C$2,$J$1,J$2,$D$18,$D$3,$D36,$E36,$F36,J$3)</f>
        <v>10</v>
      </c>
      <c r="K36" s="39">
        <f>_xll.DBRW($C$2,$J$1,J$2,$D$18,$D$3,$D36,$E36,$F36,K$3)</f>
        <v>0</v>
      </c>
      <c r="L36" s="25">
        <f>_xll.DBRW($C$2,$J$1,J$2,$D$18,$D$3,$D36,$E36,$F36,L$3)</f>
        <v>0</v>
      </c>
      <c r="M36" s="25">
        <f>_xll.DBRW($C$2,$J$1,J$2,$D$18,$D$3,$D36,$E36,$F36,M$3)</f>
        <v>0</v>
      </c>
      <c r="N36" s="25">
        <f>_xll.DBRW($C$2,$J$1,J$2,$D$18,$D$3,$D36,$E36,$F36,N$3)</f>
        <v>4</v>
      </c>
      <c r="O36" s="64">
        <f>_xll.DBRW($C$2,$J$1,J$2,$D$18,$D$3,$D36,$E36,$F36,O$3)</f>
        <v>1</v>
      </c>
      <c r="P36" s="58">
        <f>_xll.DBRW($C$2,$J$1,J$2,$D$18,$D$3,$D36,$E36,$F36,P$3)</f>
        <v>0</v>
      </c>
      <c r="Q36" s="48">
        <f>_xll.DBRW($C$2,$J$1,J$2,$D$18,$D$3,$D36,$E36,$F36,Q$3)</f>
        <v>6</v>
      </c>
      <c r="R36" s="39">
        <f>_xll.DBRW($C$2,$R$1,R$2,$D$18,$D$3,$D36,$E36,$F36,R$3)</f>
        <v>0</v>
      </c>
      <c r="S36" s="25" cm="1">
        <f t="array" ref="S36">_xll.DBRW($E$2,R$1,R$2,$D$18,$D$3,$D36,$E36,$F36,$F$3,S$3)</f>
        <v>0</v>
      </c>
      <c r="T36" s="25">
        <f>_xll.DBRW($C$2,$R$1,R$2,$D$18,$D$3,$D36,$E36,$F36,T$3)</f>
        <v>0</v>
      </c>
      <c r="U36" s="64">
        <f>_xll.DBRW($C$2,$R$1,R$2,$D$18,$D$3,$D36,$E36,$F36,U$3)</f>
        <v>0</v>
      </c>
      <c r="V36" s="58">
        <f>_xll.DBRW($C$2,$R$1,R$2,$D$18,$D$3,$D36,$E36,$F36,V$3)</f>
        <v>0</v>
      </c>
      <c r="W36" s="48">
        <f t="shared" si="13"/>
        <v>6</v>
      </c>
      <c r="X36" s="39">
        <f>_xll.DBRW($C$2,$X$1,X$2,$D$18,$D$3,$D36,$E36,$F36,X$3)</f>
        <v>0</v>
      </c>
      <c r="Y36" s="25" cm="1">
        <f t="array" ref="Y36">_xll.DBRW($E$2,X$1,X$2,$D$18,$D$3,$D36,$E36,$F36,$F$3,Y$3)</f>
        <v>0</v>
      </c>
      <c r="Z36" s="25">
        <f>_xll.DBRW($C$2,$X$1,X$2,$D$18,$D$3,$D36,$E36,$F36,Z$3)</f>
        <v>2</v>
      </c>
      <c r="AA36" s="64">
        <f>_xll.DBRW($C$2,$X$1,X$2,$D$18,$D$3,$D36,$E36,$F36,AA$3)</f>
        <v>0</v>
      </c>
      <c r="AB36" s="58">
        <f>_xll.DBRW($C$2,$X$1,X$2,$D$18,$D$3,$D36,$E36,$F36,AB$3)</f>
        <v>0</v>
      </c>
      <c r="AC36" s="48">
        <f t="shared" si="14"/>
        <v>4</v>
      </c>
      <c r="AD36" s="39">
        <f>_xll.DBRW($C$2,$AD$1,AD$2,$D$18,$D$3,$D36,$E36,$F36,AD$3)</f>
        <v>0</v>
      </c>
      <c r="AE36" s="25" cm="1">
        <f t="array" ref="AE36">_xll.DBRW($E$2,AD$1,AD$2,$D$18,$D$3,$D36,$E36,$F36,$F$3,AE$3)</f>
        <v>0</v>
      </c>
      <c r="AF36" s="25">
        <f>_xll.DBRW($C$2,$AD$1,AD$2,$D$18,$D$3,$D36,$E36,$F36,AF$3)</f>
        <v>2</v>
      </c>
      <c r="AG36" s="64">
        <f>_xll.DBRW($C$2,$AD$1,AD$2,$D$18,$D$3,$D36,$E36,$F36,AG$3)</f>
        <v>0</v>
      </c>
      <c r="AH36" s="58">
        <f>_xll.DBRW($C$2,$AD$1,AD$2,$D$18,$D$3,$D36,$E36,$F36,AH$3)</f>
        <v>0</v>
      </c>
      <c r="AI36" s="48">
        <f t="shared" si="15"/>
        <v>2</v>
      </c>
      <c r="AJ36" s="39">
        <f>_xll.DBRW($C$2,$AJ$1,AJ$2,$D$18,$D$3,$D36,$E36,$F36,AJ$3)</f>
        <v>0</v>
      </c>
      <c r="AK36" s="25" cm="1">
        <f t="array" ref="AK36">_xll.DBRW($E$2,AJ$1,AJ$2,$D$18,$D$3,$D36,$E36,$F36,$F$3,AK$3)</f>
        <v>0</v>
      </c>
      <c r="AL36" s="25">
        <f>_xll.DBRW($C$2,$AJ$1,AJ$2,$D$18,$D$3,$D36,$E36,$F36,AL$3)</f>
        <v>2</v>
      </c>
      <c r="AM36" s="64">
        <f>_xll.DBRW($C$2,$AJ$1,AJ$2,$D$18,$D$3,$D36,$E36,$F36,AM$3)</f>
        <v>0</v>
      </c>
      <c r="AN36" s="58">
        <f>_xll.DBRW($C$2,$AJ$1,AJ$2,$D$18,$D$3,$D36,$E36,$F36,AN$3)</f>
        <v>0</v>
      </c>
      <c r="AO36" s="48">
        <f t="shared" si="16"/>
        <v>0</v>
      </c>
      <c r="AP36" s="39">
        <f>_xll.DBRW($C$2,$AP$1,AP$2,$D$18,$D$3,$D36,$E36,$F36,AP$3)</f>
        <v>0</v>
      </c>
      <c r="AQ36" s="25" cm="1">
        <f t="array" ref="AQ36">_xll.DBRW($E$2,AP$1,AP$2,$D$18,$D$3,$D36,$E36,$F36,$F$3,AQ$3)</f>
        <v>0</v>
      </c>
      <c r="AR36" s="25">
        <f>_xll.DBRW($C$2,$AP$1,AP$2,$D$18,$D$3,$D36,$E36,$F36,AR$3)</f>
        <v>2</v>
      </c>
      <c r="AS36" s="64">
        <f>_xll.DBRW($C$2,$AP$1,AP$2,$D$18,$D$3,$D36,$E36,$F36,AS$3)</f>
        <v>0</v>
      </c>
      <c r="AT36" s="58">
        <f>_xll.DBRW($C$2,$AP$1,AP$2,$D$18,$D$3,$D36,$E36,$F36,AT$3)</f>
        <v>0</v>
      </c>
      <c r="AU36" s="48">
        <f t="shared" si="17"/>
        <v>-2</v>
      </c>
      <c r="AV36" s="39">
        <f>_xll.DBRW($C$2,$AV$1,AV$2,$D$18,$D$3,$D36,$E36,$F36,AV$3)</f>
        <v>0</v>
      </c>
      <c r="AW36" s="25" cm="1">
        <f t="array" ref="AW36">_xll.DBRW($E$2,AV$1,AV$2,$D$18,$D$3,$D36,$E36,$F36,$F$3,AW$3)</f>
        <v>0</v>
      </c>
      <c r="AX36" s="25">
        <f>_xll.DBRW($C$2,$AV$1,AV$2,$D$18,$D$3,$D36,$E36,$F36,AX$3)</f>
        <v>2</v>
      </c>
      <c r="AY36" s="64">
        <f>_xll.DBRW($C$2,$AV$1,AV$2,$D$18,$D$3,$D36,$E36,$F36,AY$3)</f>
        <v>0</v>
      </c>
      <c r="AZ36" s="58">
        <f>_xll.DBRW($C$2,$AV$1,AV$2,$D$18,$D$3,$D36,$E36,$F36,AZ$3)</f>
        <v>0</v>
      </c>
      <c r="BA36" s="48">
        <f t="shared" si="18"/>
        <v>-4</v>
      </c>
      <c r="BB36" s="39">
        <f>_xll.DBRW($C$2,$BB$1,BB$2,$D$18,$D$3,$D36,$E36,$F36,BB$3)</f>
        <v>0</v>
      </c>
      <c r="BC36" s="25" cm="1">
        <f t="array" ref="BC36">_xll.DBRW($E$2,BB$1,BB$2,$D$18,$D$3,$D36,$E36,$F36,$F$3,BC$3)</f>
        <v>0</v>
      </c>
      <c r="BD36" s="25">
        <f>_xll.DBRW($C$2,$BB$1,BB$2,$D$18,$D$3,$D36,$E36,$F36,BD$3)</f>
        <v>2</v>
      </c>
      <c r="BE36" s="64">
        <f>_xll.DBRW($C$2,$BB$1,BB$2,$D$18,$D$3,$D36,$E36,$F36,BE$3)</f>
        <v>0</v>
      </c>
      <c r="BF36" s="58">
        <f>_xll.DBRW($C$2,$BB$1,BB$2,$D$18,$D$3,$D36,$E36,$F36,BF$3)</f>
        <v>0</v>
      </c>
      <c r="BG36" s="48">
        <f t="shared" si="19"/>
        <v>-6</v>
      </c>
      <c r="BH36" s="39">
        <f>_xll.DBRW($C$2,$BH$1,BH$2,$D$18,$D$3,$D36,$E36,$F36,BH$3)</f>
        <v>0</v>
      </c>
      <c r="BI36" s="25" cm="1">
        <f t="array" ref="BI36">_xll.DBRW($E$2,BH$1,BH$2,$D$18,$D$3,$D36,$E36,$F36,$F$3,BI$3)</f>
        <v>0</v>
      </c>
      <c r="BJ36" s="25">
        <f>_xll.DBRW($C$2,$BH$1,BH$2,$D$18,$D$3,$D36,$E36,$F36,BJ$3)</f>
        <v>2</v>
      </c>
      <c r="BK36" s="64">
        <f>_xll.DBRW($C$2,$BH$1,BH$2,$D$18,$D$3,$D36,$E36,$F36,BK$3)</f>
        <v>0</v>
      </c>
      <c r="BL36" s="58">
        <f>_xll.DBRW($C$2,$BH$1,BH$2,$D$18,$D$3,$D36,$E36,$F36,BL$3)</f>
        <v>0</v>
      </c>
      <c r="BM36" s="48">
        <f t="shared" si="20"/>
        <v>-8</v>
      </c>
      <c r="BN36" s="39">
        <f>_xll.DBRW($C$2,$BN$1,BN$2,$D$18,$D$3,$D36,$E36,$F36,BN$3)</f>
        <v>0</v>
      </c>
      <c r="BO36" s="25" cm="1">
        <f t="array" ref="BO36">_xll.DBRW($E$2,BN$1,BN$2,$D$18,$D$3,$D36,$E36,$F36,$F$3,BO$3)</f>
        <v>0</v>
      </c>
      <c r="BP36" s="25">
        <f>_xll.DBRW($C$2,$BN$1,BN$2,$D$18,$D$3,$D36,$E36,$F36,BP$3)</f>
        <v>2</v>
      </c>
      <c r="BQ36" s="64">
        <f>_xll.DBRW($C$2,$BN$1,BN$2,$D$18,$D$3,$D36,$E36,$F36,BQ$3)</f>
        <v>0</v>
      </c>
      <c r="BR36" s="58">
        <f>_xll.DBRW($C$2,$BN$1,BN$2,$D$18,$D$3,$D36,$E36,$F36,BR$3)</f>
        <v>0</v>
      </c>
      <c r="BS36" s="48">
        <f t="shared" si="21"/>
        <v>-10</v>
      </c>
      <c r="BT36" s="39">
        <f>_xll.DBRW($C$2,$BT$1,BT$2,$D$18,$D$3,$D36,$E36,$F36,BT$3)</f>
        <v>0</v>
      </c>
      <c r="BU36" s="25" cm="1">
        <f t="array" ref="BU36">_xll.DBRW($E$2,BT$1,BT$2,$D$18,$D$3,$D36,$E36,$F36,$F$3,BU$3)</f>
        <v>0</v>
      </c>
      <c r="BV36" s="25">
        <f>_xll.DBRW($C$2,$BT$1,BT$2,$D$18,$D$3,$D36,$E36,$F36,BV$3)</f>
        <v>2</v>
      </c>
      <c r="BW36" s="64">
        <f>_xll.DBRW($C$2,$BT$1,BT$2,$D$18,$D$3,$D36,$E36,$F36,BW$3)</f>
        <v>0</v>
      </c>
      <c r="BX36" s="58">
        <f>_xll.DBRW($C$2,$BT$1,BT$2,$D$18,$D$3,$D36,$E36,$F36,BX$3)</f>
        <v>0</v>
      </c>
      <c r="BY36" s="48">
        <f t="shared" si="22"/>
        <v>-12</v>
      </c>
      <c r="BZ36" s="39">
        <f>_xll.DBRW($C$2,$BZ$1,BZ$2,$D$18,$D$3,$D36,$E36,$F36,BZ$3)</f>
        <v>0</v>
      </c>
      <c r="CA36" s="25" cm="1">
        <f t="array" ref="CA36">_xll.DBRW($E$2,BZ$1,BZ$2,$D$18,$D$3,$D36,$E36,$F36,$F$3,CA$3)</f>
        <v>0</v>
      </c>
      <c r="CB36" s="25">
        <f>_xll.DBRW($C$2,$BZ$1,BZ$2,$D$18,$D$3,$D36,$E36,$F36,CB$3)</f>
        <v>2</v>
      </c>
      <c r="CC36" s="64">
        <f>_xll.DBRW($C$2,$BZ$1,BZ$2,$D$18,$D$3,$D36,$E36,$F36,CC$3)</f>
        <v>0</v>
      </c>
      <c r="CD36" s="58">
        <f>_xll.DBRW($C$2,$BZ$1,BZ$2,$D$18,$D$3,$D36,$E36,$F36,CD$3)</f>
        <v>0</v>
      </c>
      <c r="CE36" s="48">
        <f t="shared" si="23"/>
        <v>-14</v>
      </c>
    </row>
    <row r="37" spans="1:83" s="23" customFormat="1" outlineLevel="1" thickBot="1" x14ac:dyDescent="0.3">
      <c r="A37" s="91" t="str">
        <f>IF(_xll.TM1RPTELISCONSOLIDATED($F$22,$F37),IF(_xll.TM1RPTELLEV($F$22,$F37)&lt;=5,_xll.TM1RPTELLEV($F$22,$F37),"Default"),"Leaf")</f>
        <v>Leaf</v>
      </c>
      <c r="B37" s="24" t="str">
        <f>_xll.DBRW("TM1-S1_DEV:}ElementAttributes_SP_SKU",$D37,B$1)</f>
        <v>Primary</v>
      </c>
      <c r="C37" s="24" t="str">
        <f>_xll.DBRW("TM1-S1_DEV:}ElementAttributes_SP_SKU",$D37,C$1)</f>
        <v>SOUP</v>
      </c>
      <c r="D37" s="28" t="s">
        <v>366</v>
      </c>
      <c r="E37" s="28" t="s">
        <v>191</v>
      </c>
      <c r="F37" s="28" t="s">
        <v>14</v>
      </c>
      <c r="G37" s="4">
        <f>_xll.DBRW($C$2,$G$19,G$20,$D$18,$D$3,$D37,$E37,$F37,G$3)</f>
        <v>4</v>
      </c>
      <c r="H37" s="54">
        <f t="shared" ref="H37:H86" si="24">J37-G37</f>
        <v>4</v>
      </c>
      <c r="I37" s="4"/>
      <c r="J37" s="25">
        <f>_xll.DBRW($C$2,$J$1,J$2,$D$18,$D$3,$D37,$E37,$F37,J$3)</f>
        <v>8</v>
      </c>
      <c r="K37" s="39">
        <f>_xll.DBRW($C$2,$J$1,J$2,$D$18,$D$3,$D37,$E37,$F37,K$3)</f>
        <v>0</v>
      </c>
      <c r="L37" s="25">
        <f>_xll.DBRW($C$2,$J$1,J$2,$D$18,$D$3,$D37,$E37,$F37,L$3)</f>
        <v>0</v>
      </c>
      <c r="M37" s="25">
        <f>_xll.DBRW($C$2,$J$1,J$2,$D$18,$D$3,$D37,$E37,$F37,M$3)</f>
        <v>0</v>
      </c>
      <c r="N37" s="25">
        <f>_xll.DBRW($C$2,$J$1,J$2,$D$18,$D$3,$D37,$E37,$F37,N$3)</f>
        <v>5</v>
      </c>
      <c r="O37" s="64">
        <f>_xll.DBRW($C$2,$J$1,J$2,$D$18,$D$3,$D37,$E37,$F37,O$3)</f>
        <v>1</v>
      </c>
      <c r="P37" s="58">
        <f>_xll.DBRW($C$2,$J$1,J$2,$D$18,$D$3,$D37,$E37,$F37,P$3)</f>
        <v>0</v>
      </c>
      <c r="Q37" s="48">
        <f>_xll.DBRW($C$2,$J$1,J$2,$D$18,$D$3,$D37,$E37,$F37,Q$3)</f>
        <v>3</v>
      </c>
      <c r="R37" s="39">
        <f>_xll.DBRW($C$2,$R$1,R$2,$D$18,$D$3,$D37,$E37,$F37,R$3)</f>
        <v>0</v>
      </c>
      <c r="S37" s="25" cm="1">
        <f t="array" ref="S37">_xll.DBRW($E$2,R$1,R$2,$D$18,$D$3,$D37,$E37,$F37,$F$3,S$3)</f>
        <v>0</v>
      </c>
      <c r="T37" s="25">
        <f>_xll.DBRW($C$2,$R$1,R$2,$D$18,$D$3,$D37,$E37,$F37,T$3)</f>
        <v>0</v>
      </c>
      <c r="U37" s="64">
        <f>_xll.DBRW($C$2,$R$1,R$2,$D$18,$D$3,$D37,$E37,$F37,U$3)</f>
        <v>0</v>
      </c>
      <c r="V37" s="58">
        <f>_xll.DBRW($C$2,$R$1,R$2,$D$18,$D$3,$D37,$E37,$F37,V$3)</f>
        <v>0</v>
      </c>
      <c r="W37" s="48">
        <f t="shared" ref="W37:W86" si="25">Q37+R37+S37-T37+V37</f>
        <v>3</v>
      </c>
      <c r="X37" s="39">
        <f>_xll.DBRW($C$2,$X$1,X$2,$D$18,$D$3,$D37,$E37,$F37,X$3)</f>
        <v>0</v>
      </c>
      <c r="Y37" s="25" cm="1">
        <f t="array" ref="Y37">_xll.DBRW($E$2,X$1,X$2,$D$18,$D$3,$D37,$E37,$F37,$F$3,Y$3)</f>
        <v>0</v>
      </c>
      <c r="Z37" s="25">
        <f>_xll.DBRW($C$2,$X$1,X$2,$D$18,$D$3,$D37,$E37,$F37,Z$3)</f>
        <v>1</v>
      </c>
      <c r="AA37" s="64">
        <f>_xll.DBRW($C$2,$X$1,X$2,$D$18,$D$3,$D37,$E37,$F37,AA$3)</f>
        <v>0</v>
      </c>
      <c r="AB37" s="58">
        <f>_xll.DBRW($C$2,$X$1,X$2,$D$18,$D$3,$D37,$E37,$F37,AB$3)</f>
        <v>0</v>
      </c>
      <c r="AC37" s="48">
        <f t="shared" ref="AC37:AC86" si="26">W37+X37+Y37-Z37+AB37</f>
        <v>2</v>
      </c>
      <c r="AD37" s="39">
        <f>_xll.DBRW($C$2,$AD$1,AD$2,$D$18,$D$3,$D37,$E37,$F37,AD$3)</f>
        <v>0</v>
      </c>
      <c r="AE37" s="25" cm="1">
        <f t="array" ref="AE37">_xll.DBRW($E$2,AD$1,AD$2,$D$18,$D$3,$D37,$E37,$F37,$F$3,AE$3)</f>
        <v>0</v>
      </c>
      <c r="AF37" s="25">
        <f>_xll.DBRW($C$2,$AD$1,AD$2,$D$18,$D$3,$D37,$E37,$F37,AF$3)</f>
        <v>1</v>
      </c>
      <c r="AG37" s="64">
        <f>_xll.DBRW($C$2,$AD$1,AD$2,$D$18,$D$3,$D37,$E37,$F37,AG$3)</f>
        <v>0</v>
      </c>
      <c r="AH37" s="58">
        <f>_xll.DBRW($C$2,$AD$1,AD$2,$D$18,$D$3,$D37,$E37,$F37,AH$3)</f>
        <v>0</v>
      </c>
      <c r="AI37" s="48">
        <f t="shared" ref="AI37:AI86" si="27">AC37+AD37+AE37-AF37+AH37</f>
        <v>1</v>
      </c>
      <c r="AJ37" s="39">
        <f>_xll.DBRW($C$2,$AJ$1,AJ$2,$D$18,$D$3,$D37,$E37,$F37,AJ$3)</f>
        <v>0</v>
      </c>
      <c r="AK37" s="25" cm="1">
        <f t="array" ref="AK37">_xll.DBRW($E$2,AJ$1,AJ$2,$D$18,$D$3,$D37,$E37,$F37,$F$3,AK$3)</f>
        <v>0</v>
      </c>
      <c r="AL37" s="25">
        <f>_xll.DBRW($C$2,$AJ$1,AJ$2,$D$18,$D$3,$D37,$E37,$F37,AL$3)</f>
        <v>1</v>
      </c>
      <c r="AM37" s="64">
        <f>_xll.DBRW($C$2,$AJ$1,AJ$2,$D$18,$D$3,$D37,$E37,$F37,AM$3)</f>
        <v>0</v>
      </c>
      <c r="AN37" s="58">
        <f>_xll.DBRW($C$2,$AJ$1,AJ$2,$D$18,$D$3,$D37,$E37,$F37,AN$3)</f>
        <v>0</v>
      </c>
      <c r="AO37" s="48">
        <f t="shared" ref="AO37:AO86" si="28">AI37+AJ37+AK37-AL37+AN37</f>
        <v>0</v>
      </c>
      <c r="AP37" s="39">
        <f>_xll.DBRW($C$2,$AP$1,AP$2,$D$18,$D$3,$D37,$E37,$F37,AP$3)</f>
        <v>0</v>
      </c>
      <c r="AQ37" s="25" cm="1">
        <f t="array" ref="AQ37">_xll.DBRW($E$2,AP$1,AP$2,$D$18,$D$3,$D37,$E37,$F37,$F$3,AQ$3)</f>
        <v>0</v>
      </c>
      <c r="AR37" s="25">
        <f>_xll.DBRW($C$2,$AP$1,AP$2,$D$18,$D$3,$D37,$E37,$F37,AR$3)</f>
        <v>1</v>
      </c>
      <c r="AS37" s="64">
        <f>_xll.DBRW($C$2,$AP$1,AP$2,$D$18,$D$3,$D37,$E37,$F37,AS$3)</f>
        <v>0</v>
      </c>
      <c r="AT37" s="58">
        <f>_xll.DBRW($C$2,$AP$1,AP$2,$D$18,$D$3,$D37,$E37,$F37,AT$3)</f>
        <v>0</v>
      </c>
      <c r="AU37" s="48">
        <f t="shared" ref="AU37:AU86" si="29">AO37+AP37+AQ37-AR37+AT37</f>
        <v>-1</v>
      </c>
      <c r="AV37" s="39">
        <f>_xll.DBRW($C$2,$AV$1,AV$2,$D$18,$D$3,$D37,$E37,$F37,AV$3)</f>
        <v>0</v>
      </c>
      <c r="AW37" s="25" cm="1">
        <f t="array" ref="AW37">_xll.DBRW($E$2,AV$1,AV$2,$D$18,$D$3,$D37,$E37,$F37,$F$3,AW$3)</f>
        <v>0</v>
      </c>
      <c r="AX37" s="25">
        <f>_xll.DBRW($C$2,$AV$1,AV$2,$D$18,$D$3,$D37,$E37,$F37,AX$3)</f>
        <v>1</v>
      </c>
      <c r="AY37" s="64">
        <f>_xll.DBRW($C$2,$AV$1,AV$2,$D$18,$D$3,$D37,$E37,$F37,AY$3)</f>
        <v>0</v>
      </c>
      <c r="AZ37" s="58">
        <f>_xll.DBRW($C$2,$AV$1,AV$2,$D$18,$D$3,$D37,$E37,$F37,AZ$3)</f>
        <v>0</v>
      </c>
      <c r="BA37" s="48">
        <f t="shared" ref="BA37:BA86" si="30">AU37+AV37+AW37-AX37+AZ37</f>
        <v>-2</v>
      </c>
      <c r="BB37" s="39">
        <f>_xll.DBRW($C$2,$BB$1,BB$2,$D$18,$D$3,$D37,$E37,$F37,BB$3)</f>
        <v>0</v>
      </c>
      <c r="BC37" s="25" cm="1">
        <f t="array" ref="BC37">_xll.DBRW($E$2,BB$1,BB$2,$D$18,$D$3,$D37,$E37,$F37,$F$3,BC$3)</f>
        <v>0</v>
      </c>
      <c r="BD37" s="25">
        <f>_xll.DBRW($C$2,$BB$1,BB$2,$D$18,$D$3,$D37,$E37,$F37,BD$3)</f>
        <v>1</v>
      </c>
      <c r="BE37" s="64">
        <f>_xll.DBRW($C$2,$BB$1,BB$2,$D$18,$D$3,$D37,$E37,$F37,BE$3)</f>
        <v>0</v>
      </c>
      <c r="BF37" s="58">
        <f>_xll.DBRW($C$2,$BB$1,BB$2,$D$18,$D$3,$D37,$E37,$F37,BF$3)</f>
        <v>0</v>
      </c>
      <c r="BG37" s="48">
        <f t="shared" ref="BG37:BG86" si="31">BA37+BB37+BC37-BD37+BF37</f>
        <v>-3</v>
      </c>
      <c r="BH37" s="39">
        <f>_xll.DBRW($C$2,$BH$1,BH$2,$D$18,$D$3,$D37,$E37,$F37,BH$3)</f>
        <v>0</v>
      </c>
      <c r="BI37" s="25" cm="1">
        <f t="array" ref="BI37">_xll.DBRW($E$2,BH$1,BH$2,$D$18,$D$3,$D37,$E37,$F37,$F$3,BI$3)</f>
        <v>0</v>
      </c>
      <c r="BJ37" s="25">
        <f>_xll.DBRW($C$2,$BH$1,BH$2,$D$18,$D$3,$D37,$E37,$F37,BJ$3)</f>
        <v>1</v>
      </c>
      <c r="BK37" s="64">
        <f>_xll.DBRW($C$2,$BH$1,BH$2,$D$18,$D$3,$D37,$E37,$F37,BK$3)</f>
        <v>0</v>
      </c>
      <c r="BL37" s="58">
        <f>_xll.DBRW($C$2,$BH$1,BH$2,$D$18,$D$3,$D37,$E37,$F37,BL$3)</f>
        <v>0</v>
      </c>
      <c r="BM37" s="48">
        <f t="shared" ref="BM37:BM86" si="32">BG37+BH37+BI37-BJ37+BL37</f>
        <v>-4</v>
      </c>
      <c r="BN37" s="39">
        <f>_xll.DBRW($C$2,$BN$1,BN$2,$D$18,$D$3,$D37,$E37,$F37,BN$3)</f>
        <v>0</v>
      </c>
      <c r="BO37" s="25" cm="1">
        <f t="array" ref="BO37">_xll.DBRW($E$2,BN$1,BN$2,$D$18,$D$3,$D37,$E37,$F37,$F$3,BO$3)</f>
        <v>0</v>
      </c>
      <c r="BP37" s="25">
        <f>_xll.DBRW($C$2,$BN$1,BN$2,$D$18,$D$3,$D37,$E37,$F37,BP$3)</f>
        <v>1</v>
      </c>
      <c r="BQ37" s="64">
        <f>_xll.DBRW($C$2,$BN$1,BN$2,$D$18,$D$3,$D37,$E37,$F37,BQ$3)</f>
        <v>0</v>
      </c>
      <c r="BR37" s="58">
        <f>_xll.DBRW($C$2,$BN$1,BN$2,$D$18,$D$3,$D37,$E37,$F37,BR$3)</f>
        <v>0</v>
      </c>
      <c r="BS37" s="48">
        <f t="shared" ref="BS37:BS86" si="33">BM37+BN37+BO37-BP37+BR37</f>
        <v>-5</v>
      </c>
      <c r="BT37" s="39">
        <f>_xll.DBRW($C$2,$BT$1,BT$2,$D$18,$D$3,$D37,$E37,$F37,BT$3)</f>
        <v>0</v>
      </c>
      <c r="BU37" s="25" cm="1">
        <f t="array" ref="BU37">_xll.DBRW($E$2,BT$1,BT$2,$D$18,$D$3,$D37,$E37,$F37,$F$3,BU$3)</f>
        <v>0</v>
      </c>
      <c r="BV37" s="25">
        <f>_xll.DBRW($C$2,$BT$1,BT$2,$D$18,$D$3,$D37,$E37,$F37,BV$3)</f>
        <v>1</v>
      </c>
      <c r="BW37" s="64">
        <f>_xll.DBRW($C$2,$BT$1,BT$2,$D$18,$D$3,$D37,$E37,$F37,BW$3)</f>
        <v>0</v>
      </c>
      <c r="BX37" s="58">
        <f>_xll.DBRW($C$2,$BT$1,BT$2,$D$18,$D$3,$D37,$E37,$F37,BX$3)</f>
        <v>0</v>
      </c>
      <c r="BY37" s="48">
        <f t="shared" ref="BY37:BY86" si="34">BS37+BT37+BU37-BV37+BX37</f>
        <v>-6</v>
      </c>
      <c r="BZ37" s="39">
        <f>_xll.DBRW($C$2,$BZ$1,BZ$2,$D$18,$D$3,$D37,$E37,$F37,BZ$3)</f>
        <v>0</v>
      </c>
      <c r="CA37" s="25" cm="1">
        <f t="array" ref="CA37">_xll.DBRW($E$2,BZ$1,BZ$2,$D$18,$D$3,$D37,$E37,$F37,$F$3,CA$3)</f>
        <v>0</v>
      </c>
      <c r="CB37" s="25">
        <f>_xll.DBRW($C$2,$BZ$1,BZ$2,$D$18,$D$3,$D37,$E37,$F37,CB$3)</f>
        <v>1</v>
      </c>
      <c r="CC37" s="64">
        <f>_xll.DBRW($C$2,$BZ$1,BZ$2,$D$18,$D$3,$D37,$E37,$F37,CC$3)</f>
        <v>0</v>
      </c>
      <c r="CD37" s="58">
        <f>_xll.DBRW($C$2,$BZ$1,BZ$2,$D$18,$D$3,$D37,$E37,$F37,CD$3)</f>
        <v>0</v>
      </c>
      <c r="CE37" s="48">
        <f t="shared" ref="CE37:CE86" si="35">BY37+BZ37+CA37-CB37+CD37</f>
        <v>-7</v>
      </c>
    </row>
    <row r="38" spans="1:83" s="23" customFormat="1" outlineLevel="1" thickBot="1" x14ac:dyDescent="0.3">
      <c r="A38" s="91" t="str">
        <f>IF(_xll.TM1RPTELISCONSOLIDATED($F$22,$F38),IF(_xll.TM1RPTELLEV($F$22,$F38)&lt;=5,_xll.TM1RPTELLEV($F$22,$F38),"Default"),"Leaf")</f>
        <v>Leaf</v>
      </c>
      <c r="B38" s="24" t="str">
        <f>_xll.DBRW("TM1-S1_DEV:}ElementAttributes_SP_SKU",$D38,B$1)</f>
        <v>Primary</v>
      </c>
      <c r="C38" s="24" t="str">
        <f>_xll.DBRW("TM1-S1_DEV:}ElementAttributes_SP_SKU",$D38,C$1)</f>
        <v>SOUP</v>
      </c>
      <c r="D38" s="28" t="s">
        <v>367</v>
      </c>
      <c r="E38" s="28" t="s">
        <v>192</v>
      </c>
      <c r="F38" s="28" t="s">
        <v>14</v>
      </c>
      <c r="G38" s="4">
        <f>_xll.DBRW($C$2,$G$19,G$20,$D$18,$D$3,$D38,$E38,$F38,G$3)</f>
        <v>7</v>
      </c>
      <c r="H38" s="54">
        <f t="shared" si="24"/>
        <v>6</v>
      </c>
      <c r="I38" s="4"/>
      <c r="J38" s="25">
        <f>_xll.DBRW($C$2,$J$1,J$2,$D$18,$D$3,$D38,$E38,$F38,J$3)</f>
        <v>13</v>
      </c>
      <c r="K38" s="39">
        <f>_xll.DBRW($C$2,$J$1,J$2,$D$18,$D$3,$D38,$E38,$F38,K$3)</f>
        <v>0</v>
      </c>
      <c r="L38" s="25">
        <f>_xll.DBRW($C$2,$J$1,J$2,$D$18,$D$3,$D38,$E38,$F38,L$3)</f>
        <v>0</v>
      </c>
      <c r="M38" s="25">
        <f>_xll.DBRW($C$2,$J$1,J$2,$D$18,$D$3,$D38,$E38,$F38,M$3)</f>
        <v>0</v>
      </c>
      <c r="N38" s="25">
        <f>_xll.DBRW($C$2,$J$1,J$2,$D$18,$D$3,$D38,$E38,$F38,N$3)</f>
        <v>9</v>
      </c>
      <c r="O38" s="64">
        <f>_xll.DBRW($C$2,$J$1,J$2,$D$18,$D$3,$D38,$E38,$F38,O$3)</f>
        <v>1</v>
      </c>
      <c r="P38" s="58">
        <f>_xll.DBRW($C$2,$J$1,J$2,$D$18,$D$3,$D38,$E38,$F38,P$3)</f>
        <v>0</v>
      </c>
      <c r="Q38" s="48">
        <f>_xll.DBRW($C$2,$J$1,J$2,$D$18,$D$3,$D38,$E38,$F38,Q$3)</f>
        <v>4</v>
      </c>
      <c r="R38" s="39">
        <f>_xll.DBRW($C$2,$R$1,R$2,$D$18,$D$3,$D38,$E38,$F38,R$3)</f>
        <v>0</v>
      </c>
      <c r="S38" s="25" cm="1">
        <f t="array" ref="S38">_xll.DBRW($E$2,R$1,R$2,$D$18,$D$3,$D38,$E38,$F38,$F$3,S$3)</f>
        <v>0</v>
      </c>
      <c r="T38" s="25">
        <f>_xll.DBRW($C$2,$R$1,R$2,$D$18,$D$3,$D38,$E38,$F38,T$3)</f>
        <v>0</v>
      </c>
      <c r="U38" s="64">
        <f>_xll.DBRW($C$2,$R$1,R$2,$D$18,$D$3,$D38,$E38,$F38,U$3)</f>
        <v>0</v>
      </c>
      <c r="V38" s="58">
        <f>_xll.DBRW($C$2,$R$1,R$2,$D$18,$D$3,$D38,$E38,$F38,V$3)</f>
        <v>0</v>
      </c>
      <c r="W38" s="48">
        <f t="shared" si="25"/>
        <v>4</v>
      </c>
      <c r="X38" s="39">
        <f>_xll.DBRW($C$2,$X$1,X$2,$D$18,$D$3,$D38,$E38,$F38,X$3)</f>
        <v>0</v>
      </c>
      <c r="Y38" s="25" cm="1">
        <f t="array" ref="Y38">_xll.DBRW($E$2,X$1,X$2,$D$18,$D$3,$D38,$E38,$F38,$F$3,Y$3)</f>
        <v>0</v>
      </c>
      <c r="Z38" s="25">
        <f>_xll.DBRW($C$2,$X$1,X$2,$D$18,$D$3,$D38,$E38,$F38,Z$3)</f>
        <v>1</v>
      </c>
      <c r="AA38" s="64">
        <f>_xll.DBRW($C$2,$X$1,X$2,$D$18,$D$3,$D38,$E38,$F38,AA$3)</f>
        <v>0</v>
      </c>
      <c r="AB38" s="58">
        <f>_xll.DBRW($C$2,$X$1,X$2,$D$18,$D$3,$D38,$E38,$F38,AB$3)</f>
        <v>0</v>
      </c>
      <c r="AC38" s="48">
        <f t="shared" si="26"/>
        <v>3</v>
      </c>
      <c r="AD38" s="39">
        <f>_xll.DBRW($C$2,$AD$1,AD$2,$D$18,$D$3,$D38,$E38,$F38,AD$3)</f>
        <v>0</v>
      </c>
      <c r="AE38" s="25" cm="1">
        <f t="array" ref="AE38">_xll.DBRW($E$2,AD$1,AD$2,$D$18,$D$3,$D38,$E38,$F38,$F$3,AE$3)</f>
        <v>0</v>
      </c>
      <c r="AF38" s="25">
        <f>_xll.DBRW($C$2,$AD$1,AD$2,$D$18,$D$3,$D38,$E38,$F38,AF$3)</f>
        <v>1</v>
      </c>
      <c r="AG38" s="64">
        <f>_xll.DBRW($C$2,$AD$1,AD$2,$D$18,$D$3,$D38,$E38,$F38,AG$3)</f>
        <v>0</v>
      </c>
      <c r="AH38" s="58">
        <f>_xll.DBRW($C$2,$AD$1,AD$2,$D$18,$D$3,$D38,$E38,$F38,AH$3)</f>
        <v>0</v>
      </c>
      <c r="AI38" s="48">
        <f t="shared" si="27"/>
        <v>2</v>
      </c>
      <c r="AJ38" s="39">
        <f>_xll.DBRW($C$2,$AJ$1,AJ$2,$D$18,$D$3,$D38,$E38,$F38,AJ$3)</f>
        <v>0</v>
      </c>
      <c r="AK38" s="25" cm="1">
        <f t="array" ref="AK38">_xll.DBRW($E$2,AJ$1,AJ$2,$D$18,$D$3,$D38,$E38,$F38,$F$3,AK$3)</f>
        <v>0</v>
      </c>
      <c r="AL38" s="25">
        <f>_xll.DBRW($C$2,$AJ$1,AJ$2,$D$18,$D$3,$D38,$E38,$F38,AL$3)</f>
        <v>1</v>
      </c>
      <c r="AM38" s="64">
        <f>_xll.DBRW($C$2,$AJ$1,AJ$2,$D$18,$D$3,$D38,$E38,$F38,AM$3)</f>
        <v>0</v>
      </c>
      <c r="AN38" s="58">
        <f>_xll.DBRW($C$2,$AJ$1,AJ$2,$D$18,$D$3,$D38,$E38,$F38,AN$3)</f>
        <v>0</v>
      </c>
      <c r="AO38" s="48">
        <f t="shared" si="28"/>
        <v>1</v>
      </c>
      <c r="AP38" s="39">
        <f>_xll.DBRW($C$2,$AP$1,AP$2,$D$18,$D$3,$D38,$E38,$F38,AP$3)</f>
        <v>0</v>
      </c>
      <c r="AQ38" s="25" cm="1">
        <f t="array" ref="AQ38">_xll.DBRW($E$2,AP$1,AP$2,$D$18,$D$3,$D38,$E38,$F38,$F$3,AQ$3)</f>
        <v>0</v>
      </c>
      <c r="AR38" s="25">
        <f>_xll.DBRW($C$2,$AP$1,AP$2,$D$18,$D$3,$D38,$E38,$F38,AR$3)</f>
        <v>1</v>
      </c>
      <c r="AS38" s="64">
        <f>_xll.DBRW($C$2,$AP$1,AP$2,$D$18,$D$3,$D38,$E38,$F38,AS$3)</f>
        <v>0</v>
      </c>
      <c r="AT38" s="58">
        <f>_xll.DBRW($C$2,$AP$1,AP$2,$D$18,$D$3,$D38,$E38,$F38,AT$3)</f>
        <v>0</v>
      </c>
      <c r="AU38" s="48">
        <f t="shared" si="29"/>
        <v>0</v>
      </c>
      <c r="AV38" s="39">
        <f>_xll.DBRW($C$2,$AV$1,AV$2,$D$18,$D$3,$D38,$E38,$F38,AV$3)</f>
        <v>0</v>
      </c>
      <c r="AW38" s="25" cm="1">
        <f t="array" ref="AW38">_xll.DBRW($E$2,AV$1,AV$2,$D$18,$D$3,$D38,$E38,$F38,$F$3,AW$3)</f>
        <v>0</v>
      </c>
      <c r="AX38" s="25">
        <f>_xll.DBRW($C$2,$AV$1,AV$2,$D$18,$D$3,$D38,$E38,$F38,AX$3)</f>
        <v>1</v>
      </c>
      <c r="AY38" s="64">
        <f>_xll.DBRW($C$2,$AV$1,AV$2,$D$18,$D$3,$D38,$E38,$F38,AY$3)</f>
        <v>0</v>
      </c>
      <c r="AZ38" s="58">
        <f>_xll.DBRW($C$2,$AV$1,AV$2,$D$18,$D$3,$D38,$E38,$F38,AZ$3)</f>
        <v>0</v>
      </c>
      <c r="BA38" s="48">
        <f t="shared" si="30"/>
        <v>-1</v>
      </c>
      <c r="BB38" s="39">
        <f>_xll.DBRW($C$2,$BB$1,BB$2,$D$18,$D$3,$D38,$E38,$F38,BB$3)</f>
        <v>0</v>
      </c>
      <c r="BC38" s="25" cm="1">
        <f t="array" ref="BC38">_xll.DBRW($E$2,BB$1,BB$2,$D$18,$D$3,$D38,$E38,$F38,$F$3,BC$3)</f>
        <v>0</v>
      </c>
      <c r="BD38" s="25">
        <f>_xll.DBRW($C$2,$BB$1,BB$2,$D$18,$D$3,$D38,$E38,$F38,BD$3)</f>
        <v>1</v>
      </c>
      <c r="BE38" s="64">
        <f>_xll.DBRW($C$2,$BB$1,BB$2,$D$18,$D$3,$D38,$E38,$F38,BE$3)</f>
        <v>0</v>
      </c>
      <c r="BF38" s="58">
        <f>_xll.DBRW($C$2,$BB$1,BB$2,$D$18,$D$3,$D38,$E38,$F38,BF$3)</f>
        <v>0</v>
      </c>
      <c r="BG38" s="48">
        <f t="shared" si="31"/>
        <v>-2</v>
      </c>
      <c r="BH38" s="39">
        <f>_xll.DBRW($C$2,$BH$1,BH$2,$D$18,$D$3,$D38,$E38,$F38,BH$3)</f>
        <v>0</v>
      </c>
      <c r="BI38" s="25" cm="1">
        <f t="array" ref="BI38">_xll.DBRW($E$2,BH$1,BH$2,$D$18,$D$3,$D38,$E38,$F38,$F$3,BI$3)</f>
        <v>0</v>
      </c>
      <c r="BJ38" s="25">
        <f>_xll.DBRW($C$2,$BH$1,BH$2,$D$18,$D$3,$D38,$E38,$F38,BJ$3)</f>
        <v>1</v>
      </c>
      <c r="BK38" s="64">
        <f>_xll.DBRW($C$2,$BH$1,BH$2,$D$18,$D$3,$D38,$E38,$F38,BK$3)</f>
        <v>0</v>
      </c>
      <c r="BL38" s="58">
        <f>_xll.DBRW($C$2,$BH$1,BH$2,$D$18,$D$3,$D38,$E38,$F38,BL$3)</f>
        <v>0</v>
      </c>
      <c r="BM38" s="48">
        <f t="shared" si="32"/>
        <v>-3</v>
      </c>
      <c r="BN38" s="39">
        <f>_xll.DBRW($C$2,$BN$1,BN$2,$D$18,$D$3,$D38,$E38,$F38,BN$3)</f>
        <v>0</v>
      </c>
      <c r="BO38" s="25" cm="1">
        <f t="array" ref="BO38">_xll.DBRW($E$2,BN$1,BN$2,$D$18,$D$3,$D38,$E38,$F38,$F$3,BO$3)</f>
        <v>0</v>
      </c>
      <c r="BP38" s="25">
        <f>_xll.DBRW($C$2,$BN$1,BN$2,$D$18,$D$3,$D38,$E38,$F38,BP$3)</f>
        <v>1</v>
      </c>
      <c r="BQ38" s="64">
        <f>_xll.DBRW($C$2,$BN$1,BN$2,$D$18,$D$3,$D38,$E38,$F38,BQ$3)</f>
        <v>0</v>
      </c>
      <c r="BR38" s="58">
        <f>_xll.DBRW($C$2,$BN$1,BN$2,$D$18,$D$3,$D38,$E38,$F38,BR$3)</f>
        <v>0</v>
      </c>
      <c r="BS38" s="48">
        <f t="shared" si="33"/>
        <v>-4</v>
      </c>
      <c r="BT38" s="39">
        <f>_xll.DBRW($C$2,$BT$1,BT$2,$D$18,$D$3,$D38,$E38,$F38,BT$3)</f>
        <v>0</v>
      </c>
      <c r="BU38" s="25" cm="1">
        <f t="array" ref="BU38">_xll.DBRW($E$2,BT$1,BT$2,$D$18,$D$3,$D38,$E38,$F38,$F$3,BU$3)</f>
        <v>0</v>
      </c>
      <c r="BV38" s="25">
        <f>_xll.DBRW($C$2,$BT$1,BT$2,$D$18,$D$3,$D38,$E38,$F38,BV$3)</f>
        <v>1</v>
      </c>
      <c r="BW38" s="64">
        <f>_xll.DBRW($C$2,$BT$1,BT$2,$D$18,$D$3,$D38,$E38,$F38,BW$3)</f>
        <v>0</v>
      </c>
      <c r="BX38" s="58">
        <f>_xll.DBRW($C$2,$BT$1,BT$2,$D$18,$D$3,$D38,$E38,$F38,BX$3)</f>
        <v>0</v>
      </c>
      <c r="BY38" s="48">
        <f t="shared" si="34"/>
        <v>-5</v>
      </c>
      <c r="BZ38" s="39">
        <f>_xll.DBRW($C$2,$BZ$1,BZ$2,$D$18,$D$3,$D38,$E38,$F38,BZ$3)</f>
        <v>0</v>
      </c>
      <c r="CA38" s="25" cm="1">
        <f t="array" ref="CA38">_xll.DBRW($E$2,BZ$1,BZ$2,$D$18,$D$3,$D38,$E38,$F38,$F$3,CA$3)</f>
        <v>0</v>
      </c>
      <c r="CB38" s="25">
        <f>_xll.DBRW($C$2,$BZ$1,BZ$2,$D$18,$D$3,$D38,$E38,$F38,CB$3)</f>
        <v>1</v>
      </c>
      <c r="CC38" s="64">
        <f>_xll.DBRW($C$2,$BZ$1,BZ$2,$D$18,$D$3,$D38,$E38,$F38,CC$3)</f>
        <v>0</v>
      </c>
      <c r="CD38" s="58">
        <f>_xll.DBRW($C$2,$BZ$1,BZ$2,$D$18,$D$3,$D38,$E38,$F38,CD$3)</f>
        <v>0</v>
      </c>
      <c r="CE38" s="48">
        <f t="shared" si="35"/>
        <v>-6</v>
      </c>
    </row>
    <row r="39" spans="1:83" s="23" customFormat="1" outlineLevel="1" thickBot="1" x14ac:dyDescent="0.3">
      <c r="A39" s="91" t="str">
        <f>IF(_xll.TM1RPTELISCONSOLIDATED($F$22,$F39),IF(_xll.TM1RPTELLEV($F$22,$F39)&lt;=5,_xll.TM1RPTELLEV($F$22,$F39),"Default"),"Leaf")</f>
        <v>Leaf</v>
      </c>
      <c r="B39" s="24" t="str">
        <f>_xll.DBRW("TM1-S1_DEV:}ElementAttributes_SP_SKU",$D39,B$1)</f>
        <v>Primary</v>
      </c>
      <c r="C39" s="24" t="str">
        <f>_xll.DBRW("TM1-S1_DEV:}ElementAttributes_SP_SKU",$D39,C$1)</f>
        <v>SOUP</v>
      </c>
      <c r="D39" s="28" t="s">
        <v>368</v>
      </c>
      <c r="E39" s="28" t="s">
        <v>193</v>
      </c>
      <c r="F39" s="28" t="s">
        <v>14</v>
      </c>
      <c r="G39" s="4">
        <f>_xll.DBRW($C$2,$G$19,G$20,$D$18,$D$3,$D39,$E39,$F39,G$3)</f>
        <v>3</v>
      </c>
      <c r="H39" s="54">
        <f t="shared" si="24"/>
        <v>8</v>
      </c>
      <c r="I39" s="4"/>
      <c r="J39" s="25">
        <f>_xll.DBRW($C$2,$J$1,J$2,$D$18,$D$3,$D39,$E39,$F39,J$3)</f>
        <v>11</v>
      </c>
      <c r="K39" s="39">
        <f>_xll.DBRW($C$2,$J$1,J$2,$D$18,$D$3,$D39,$E39,$F39,K$3)</f>
        <v>0</v>
      </c>
      <c r="L39" s="25">
        <f>_xll.DBRW($C$2,$J$1,J$2,$D$18,$D$3,$D39,$E39,$F39,L$3)</f>
        <v>0</v>
      </c>
      <c r="M39" s="25">
        <f>_xll.DBRW($C$2,$J$1,J$2,$D$18,$D$3,$D39,$E39,$F39,M$3)</f>
        <v>0</v>
      </c>
      <c r="N39" s="25">
        <f>_xll.DBRW($C$2,$J$1,J$2,$D$18,$D$3,$D39,$E39,$F39,N$3)</f>
        <v>8</v>
      </c>
      <c r="O39" s="64">
        <f>_xll.DBRW($C$2,$J$1,J$2,$D$18,$D$3,$D39,$E39,$F39,O$3)</f>
        <v>1</v>
      </c>
      <c r="P39" s="58">
        <f>_xll.DBRW($C$2,$J$1,J$2,$D$18,$D$3,$D39,$E39,$F39,P$3)</f>
        <v>0</v>
      </c>
      <c r="Q39" s="48">
        <f>_xll.DBRW($C$2,$J$1,J$2,$D$18,$D$3,$D39,$E39,$F39,Q$3)</f>
        <v>3</v>
      </c>
      <c r="R39" s="39">
        <f>_xll.DBRW($C$2,$R$1,R$2,$D$18,$D$3,$D39,$E39,$F39,R$3)</f>
        <v>0</v>
      </c>
      <c r="S39" s="25" cm="1">
        <f t="array" ref="S39">_xll.DBRW($E$2,R$1,R$2,$D$18,$D$3,$D39,$E39,$F39,$F$3,S$3)</f>
        <v>0</v>
      </c>
      <c r="T39" s="25">
        <f>_xll.DBRW($C$2,$R$1,R$2,$D$18,$D$3,$D39,$E39,$F39,T$3)</f>
        <v>0</v>
      </c>
      <c r="U39" s="64">
        <f>_xll.DBRW($C$2,$R$1,R$2,$D$18,$D$3,$D39,$E39,$F39,U$3)</f>
        <v>0</v>
      </c>
      <c r="V39" s="58">
        <f>_xll.DBRW($C$2,$R$1,R$2,$D$18,$D$3,$D39,$E39,$F39,V$3)</f>
        <v>0</v>
      </c>
      <c r="W39" s="48">
        <f t="shared" si="25"/>
        <v>3</v>
      </c>
      <c r="X39" s="39">
        <f>_xll.DBRW($C$2,$X$1,X$2,$D$18,$D$3,$D39,$E39,$F39,X$3)</f>
        <v>0</v>
      </c>
      <c r="Y39" s="25" cm="1">
        <f t="array" ref="Y39">_xll.DBRW($E$2,X$1,X$2,$D$18,$D$3,$D39,$E39,$F39,$F$3,Y$3)</f>
        <v>0</v>
      </c>
      <c r="Z39" s="25">
        <f>_xll.DBRW($C$2,$X$1,X$2,$D$18,$D$3,$D39,$E39,$F39,Z$3)</f>
        <v>1</v>
      </c>
      <c r="AA39" s="64">
        <f>_xll.DBRW($C$2,$X$1,X$2,$D$18,$D$3,$D39,$E39,$F39,AA$3)</f>
        <v>0</v>
      </c>
      <c r="AB39" s="58">
        <f>_xll.DBRW($C$2,$X$1,X$2,$D$18,$D$3,$D39,$E39,$F39,AB$3)</f>
        <v>0</v>
      </c>
      <c r="AC39" s="48">
        <f t="shared" si="26"/>
        <v>2</v>
      </c>
      <c r="AD39" s="39">
        <f>_xll.DBRW($C$2,$AD$1,AD$2,$D$18,$D$3,$D39,$E39,$F39,AD$3)</f>
        <v>0</v>
      </c>
      <c r="AE39" s="25" cm="1">
        <f t="array" ref="AE39">_xll.DBRW($E$2,AD$1,AD$2,$D$18,$D$3,$D39,$E39,$F39,$F$3,AE$3)</f>
        <v>0</v>
      </c>
      <c r="AF39" s="25">
        <f>_xll.DBRW($C$2,$AD$1,AD$2,$D$18,$D$3,$D39,$E39,$F39,AF$3)</f>
        <v>1</v>
      </c>
      <c r="AG39" s="64">
        <f>_xll.DBRW($C$2,$AD$1,AD$2,$D$18,$D$3,$D39,$E39,$F39,AG$3)</f>
        <v>0</v>
      </c>
      <c r="AH39" s="58">
        <f>_xll.DBRW($C$2,$AD$1,AD$2,$D$18,$D$3,$D39,$E39,$F39,AH$3)</f>
        <v>0</v>
      </c>
      <c r="AI39" s="48">
        <f t="shared" si="27"/>
        <v>1</v>
      </c>
      <c r="AJ39" s="39">
        <f>_xll.DBRW($C$2,$AJ$1,AJ$2,$D$18,$D$3,$D39,$E39,$F39,AJ$3)</f>
        <v>0</v>
      </c>
      <c r="AK39" s="25" cm="1">
        <f t="array" ref="AK39">_xll.DBRW($E$2,AJ$1,AJ$2,$D$18,$D$3,$D39,$E39,$F39,$F$3,AK$3)</f>
        <v>0</v>
      </c>
      <c r="AL39" s="25">
        <f>_xll.DBRW($C$2,$AJ$1,AJ$2,$D$18,$D$3,$D39,$E39,$F39,AL$3)</f>
        <v>1</v>
      </c>
      <c r="AM39" s="64">
        <f>_xll.DBRW($C$2,$AJ$1,AJ$2,$D$18,$D$3,$D39,$E39,$F39,AM$3)</f>
        <v>0</v>
      </c>
      <c r="AN39" s="58">
        <f>_xll.DBRW($C$2,$AJ$1,AJ$2,$D$18,$D$3,$D39,$E39,$F39,AN$3)</f>
        <v>0</v>
      </c>
      <c r="AO39" s="48">
        <f t="shared" si="28"/>
        <v>0</v>
      </c>
      <c r="AP39" s="39">
        <f>_xll.DBRW($C$2,$AP$1,AP$2,$D$18,$D$3,$D39,$E39,$F39,AP$3)</f>
        <v>0</v>
      </c>
      <c r="AQ39" s="25" cm="1">
        <f t="array" ref="AQ39">_xll.DBRW($E$2,AP$1,AP$2,$D$18,$D$3,$D39,$E39,$F39,$F$3,AQ$3)</f>
        <v>0</v>
      </c>
      <c r="AR39" s="25">
        <f>_xll.DBRW($C$2,$AP$1,AP$2,$D$18,$D$3,$D39,$E39,$F39,AR$3)</f>
        <v>1</v>
      </c>
      <c r="AS39" s="64">
        <f>_xll.DBRW($C$2,$AP$1,AP$2,$D$18,$D$3,$D39,$E39,$F39,AS$3)</f>
        <v>0</v>
      </c>
      <c r="AT39" s="58">
        <f>_xll.DBRW($C$2,$AP$1,AP$2,$D$18,$D$3,$D39,$E39,$F39,AT$3)</f>
        <v>0</v>
      </c>
      <c r="AU39" s="48">
        <f t="shared" si="29"/>
        <v>-1</v>
      </c>
      <c r="AV39" s="39">
        <f>_xll.DBRW($C$2,$AV$1,AV$2,$D$18,$D$3,$D39,$E39,$F39,AV$3)</f>
        <v>0</v>
      </c>
      <c r="AW39" s="25" cm="1">
        <f t="array" ref="AW39">_xll.DBRW($E$2,AV$1,AV$2,$D$18,$D$3,$D39,$E39,$F39,$F$3,AW$3)</f>
        <v>0</v>
      </c>
      <c r="AX39" s="25">
        <f>_xll.DBRW($C$2,$AV$1,AV$2,$D$18,$D$3,$D39,$E39,$F39,AX$3)</f>
        <v>1</v>
      </c>
      <c r="AY39" s="64">
        <f>_xll.DBRW($C$2,$AV$1,AV$2,$D$18,$D$3,$D39,$E39,$F39,AY$3)</f>
        <v>0</v>
      </c>
      <c r="AZ39" s="58">
        <f>_xll.DBRW($C$2,$AV$1,AV$2,$D$18,$D$3,$D39,$E39,$F39,AZ$3)</f>
        <v>0</v>
      </c>
      <c r="BA39" s="48">
        <f t="shared" si="30"/>
        <v>-2</v>
      </c>
      <c r="BB39" s="39">
        <f>_xll.DBRW($C$2,$BB$1,BB$2,$D$18,$D$3,$D39,$E39,$F39,BB$3)</f>
        <v>0</v>
      </c>
      <c r="BC39" s="25" cm="1">
        <f t="array" ref="BC39">_xll.DBRW($E$2,BB$1,BB$2,$D$18,$D$3,$D39,$E39,$F39,$F$3,BC$3)</f>
        <v>0</v>
      </c>
      <c r="BD39" s="25">
        <f>_xll.DBRW($C$2,$BB$1,BB$2,$D$18,$D$3,$D39,$E39,$F39,BD$3)</f>
        <v>1</v>
      </c>
      <c r="BE39" s="64">
        <f>_xll.DBRW($C$2,$BB$1,BB$2,$D$18,$D$3,$D39,$E39,$F39,BE$3)</f>
        <v>0</v>
      </c>
      <c r="BF39" s="58">
        <f>_xll.DBRW($C$2,$BB$1,BB$2,$D$18,$D$3,$D39,$E39,$F39,BF$3)</f>
        <v>0</v>
      </c>
      <c r="BG39" s="48">
        <f t="shared" si="31"/>
        <v>-3</v>
      </c>
      <c r="BH39" s="39">
        <f>_xll.DBRW($C$2,$BH$1,BH$2,$D$18,$D$3,$D39,$E39,$F39,BH$3)</f>
        <v>0</v>
      </c>
      <c r="BI39" s="25" cm="1">
        <f t="array" ref="BI39">_xll.DBRW($E$2,BH$1,BH$2,$D$18,$D$3,$D39,$E39,$F39,$F$3,BI$3)</f>
        <v>0</v>
      </c>
      <c r="BJ39" s="25">
        <f>_xll.DBRW($C$2,$BH$1,BH$2,$D$18,$D$3,$D39,$E39,$F39,BJ$3)</f>
        <v>1</v>
      </c>
      <c r="BK39" s="64">
        <f>_xll.DBRW($C$2,$BH$1,BH$2,$D$18,$D$3,$D39,$E39,$F39,BK$3)</f>
        <v>0</v>
      </c>
      <c r="BL39" s="58">
        <f>_xll.DBRW($C$2,$BH$1,BH$2,$D$18,$D$3,$D39,$E39,$F39,BL$3)</f>
        <v>0</v>
      </c>
      <c r="BM39" s="48">
        <f t="shared" si="32"/>
        <v>-4</v>
      </c>
      <c r="BN39" s="39">
        <f>_xll.DBRW($C$2,$BN$1,BN$2,$D$18,$D$3,$D39,$E39,$F39,BN$3)</f>
        <v>0</v>
      </c>
      <c r="BO39" s="25" cm="1">
        <f t="array" ref="BO39">_xll.DBRW($E$2,BN$1,BN$2,$D$18,$D$3,$D39,$E39,$F39,$F$3,BO$3)</f>
        <v>0</v>
      </c>
      <c r="BP39" s="25">
        <f>_xll.DBRW($C$2,$BN$1,BN$2,$D$18,$D$3,$D39,$E39,$F39,BP$3)</f>
        <v>1</v>
      </c>
      <c r="BQ39" s="64">
        <f>_xll.DBRW($C$2,$BN$1,BN$2,$D$18,$D$3,$D39,$E39,$F39,BQ$3)</f>
        <v>0</v>
      </c>
      <c r="BR39" s="58">
        <f>_xll.DBRW($C$2,$BN$1,BN$2,$D$18,$D$3,$D39,$E39,$F39,BR$3)</f>
        <v>0</v>
      </c>
      <c r="BS39" s="48">
        <f t="shared" si="33"/>
        <v>-5</v>
      </c>
      <c r="BT39" s="39">
        <f>_xll.DBRW($C$2,$BT$1,BT$2,$D$18,$D$3,$D39,$E39,$F39,BT$3)</f>
        <v>0</v>
      </c>
      <c r="BU39" s="25" cm="1">
        <f t="array" ref="BU39">_xll.DBRW($E$2,BT$1,BT$2,$D$18,$D$3,$D39,$E39,$F39,$F$3,BU$3)</f>
        <v>0</v>
      </c>
      <c r="BV39" s="25">
        <f>_xll.DBRW($C$2,$BT$1,BT$2,$D$18,$D$3,$D39,$E39,$F39,BV$3)</f>
        <v>1</v>
      </c>
      <c r="BW39" s="64">
        <f>_xll.DBRW($C$2,$BT$1,BT$2,$D$18,$D$3,$D39,$E39,$F39,BW$3)</f>
        <v>0</v>
      </c>
      <c r="BX39" s="58">
        <f>_xll.DBRW($C$2,$BT$1,BT$2,$D$18,$D$3,$D39,$E39,$F39,BX$3)</f>
        <v>0</v>
      </c>
      <c r="BY39" s="48">
        <f t="shared" si="34"/>
        <v>-6</v>
      </c>
      <c r="BZ39" s="39">
        <f>_xll.DBRW($C$2,$BZ$1,BZ$2,$D$18,$D$3,$D39,$E39,$F39,BZ$3)</f>
        <v>0</v>
      </c>
      <c r="CA39" s="25" cm="1">
        <f t="array" ref="CA39">_xll.DBRW($E$2,BZ$1,BZ$2,$D$18,$D$3,$D39,$E39,$F39,$F$3,CA$3)</f>
        <v>0</v>
      </c>
      <c r="CB39" s="25">
        <f>_xll.DBRW($C$2,$BZ$1,BZ$2,$D$18,$D$3,$D39,$E39,$F39,CB$3)</f>
        <v>1</v>
      </c>
      <c r="CC39" s="64">
        <f>_xll.DBRW($C$2,$BZ$1,BZ$2,$D$18,$D$3,$D39,$E39,$F39,CC$3)</f>
        <v>0</v>
      </c>
      <c r="CD39" s="58">
        <f>_xll.DBRW($C$2,$BZ$1,BZ$2,$D$18,$D$3,$D39,$E39,$F39,CD$3)</f>
        <v>0</v>
      </c>
      <c r="CE39" s="48">
        <f t="shared" si="35"/>
        <v>-7</v>
      </c>
    </row>
    <row r="40" spans="1:83" s="23" customFormat="1" outlineLevel="1" thickBot="1" x14ac:dyDescent="0.3">
      <c r="A40" s="91" t="str">
        <f>IF(_xll.TM1RPTELISCONSOLIDATED($F$22,$F40),IF(_xll.TM1RPTELLEV($F$22,$F40)&lt;=5,_xll.TM1RPTELLEV($F$22,$F40),"Default"),"Leaf")</f>
        <v>Leaf</v>
      </c>
      <c r="B40" s="24" t="str">
        <f>_xll.DBRW("TM1-S1_DEV:}ElementAttributes_SP_SKU",$D40,B$1)</f>
        <v>Primary</v>
      </c>
      <c r="C40" s="24" t="str">
        <f>_xll.DBRW("TM1-S1_DEV:}ElementAttributes_SP_SKU",$D40,C$1)</f>
        <v>PROTEIN</v>
      </c>
      <c r="D40" s="28" t="s">
        <v>369</v>
      </c>
      <c r="E40" s="28" t="s">
        <v>194</v>
      </c>
      <c r="F40" s="28" t="s">
        <v>42</v>
      </c>
      <c r="G40" s="4">
        <f>_xll.DBRW($C$2,$G$19,G$20,$D$18,$D$3,$D40,$E40,$F40,G$3)</f>
        <v>16</v>
      </c>
      <c r="H40" s="54">
        <f t="shared" si="24"/>
        <v>-1</v>
      </c>
      <c r="I40" s="4"/>
      <c r="J40" s="25">
        <f>_xll.DBRW($C$2,$J$1,J$2,$D$18,$D$3,$D40,$E40,$F40,J$3)</f>
        <v>15</v>
      </c>
      <c r="K40" s="39">
        <f>_xll.DBRW($C$2,$J$1,J$2,$D$18,$D$3,$D40,$E40,$F40,K$3)</f>
        <v>0</v>
      </c>
      <c r="L40" s="25">
        <f>_xll.DBRW($C$2,$J$1,J$2,$D$18,$D$3,$D40,$E40,$F40,L$3)</f>
        <v>0</v>
      </c>
      <c r="M40" s="25">
        <f>_xll.DBRW($C$2,$J$1,J$2,$D$18,$D$3,$D40,$E40,$F40,M$3)</f>
        <v>0</v>
      </c>
      <c r="N40" s="25">
        <f>_xll.DBRW($C$2,$J$1,J$2,$D$18,$D$3,$D40,$E40,$F40,N$3)</f>
        <v>5</v>
      </c>
      <c r="O40" s="64">
        <f>_xll.DBRW($C$2,$J$1,J$2,$D$18,$D$3,$D40,$E40,$F40,O$3)</f>
        <v>1</v>
      </c>
      <c r="P40" s="58">
        <f>_xll.DBRW($C$2,$J$1,J$2,$D$18,$D$3,$D40,$E40,$F40,P$3)</f>
        <v>0</v>
      </c>
      <c r="Q40" s="48">
        <f>_xll.DBRW($C$2,$J$1,J$2,$D$18,$D$3,$D40,$E40,$F40,Q$3)</f>
        <v>10</v>
      </c>
      <c r="R40" s="39">
        <f>_xll.DBRW($C$2,$R$1,R$2,$D$18,$D$3,$D40,$E40,$F40,R$3)</f>
        <v>0</v>
      </c>
      <c r="S40" s="25" cm="1">
        <f t="array" ref="S40">_xll.DBRW($E$2,R$1,R$2,$D$18,$D$3,$D40,$E40,$F40,$F$3,S$3)</f>
        <v>0</v>
      </c>
      <c r="T40" s="25">
        <f>_xll.DBRW($C$2,$R$1,R$2,$D$18,$D$3,$D40,$E40,$F40,T$3)</f>
        <v>0</v>
      </c>
      <c r="U40" s="64">
        <f>_xll.DBRW($C$2,$R$1,R$2,$D$18,$D$3,$D40,$E40,$F40,U$3)</f>
        <v>0</v>
      </c>
      <c r="V40" s="58">
        <f>_xll.DBRW($C$2,$R$1,R$2,$D$18,$D$3,$D40,$E40,$F40,V$3)</f>
        <v>0</v>
      </c>
      <c r="W40" s="48">
        <f t="shared" si="25"/>
        <v>10</v>
      </c>
      <c r="X40" s="39">
        <f>_xll.DBRW($C$2,$X$1,X$2,$D$18,$D$3,$D40,$E40,$F40,X$3)</f>
        <v>0</v>
      </c>
      <c r="Y40" s="25" cm="1">
        <f t="array" ref="Y40">_xll.DBRW($E$2,X$1,X$2,$D$18,$D$3,$D40,$E40,$F40,$F$3,Y$3)</f>
        <v>0</v>
      </c>
      <c r="Z40" s="25">
        <f>_xll.DBRW($C$2,$X$1,X$2,$D$18,$D$3,$D40,$E40,$F40,Z$3)</f>
        <v>2</v>
      </c>
      <c r="AA40" s="64">
        <f>_xll.DBRW($C$2,$X$1,X$2,$D$18,$D$3,$D40,$E40,$F40,AA$3)</f>
        <v>0</v>
      </c>
      <c r="AB40" s="58">
        <f>_xll.DBRW($C$2,$X$1,X$2,$D$18,$D$3,$D40,$E40,$F40,AB$3)</f>
        <v>0</v>
      </c>
      <c r="AC40" s="48">
        <f t="shared" si="26"/>
        <v>8</v>
      </c>
      <c r="AD40" s="39">
        <f>_xll.DBRW($C$2,$AD$1,AD$2,$D$18,$D$3,$D40,$E40,$F40,AD$3)</f>
        <v>0</v>
      </c>
      <c r="AE40" s="25" cm="1">
        <f t="array" ref="AE40">_xll.DBRW($E$2,AD$1,AD$2,$D$18,$D$3,$D40,$E40,$F40,$F$3,AE$3)</f>
        <v>0</v>
      </c>
      <c r="AF40" s="25">
        <f>_xll.DBRW($C$2,$AD$1,AD$2,$D$18,$D$3,$D40,$E40,$F40,AF$3)</f>
        <v>2</v>
      </c>
      <c r="AG40" s="64">
        <f>_xll.DBRW($C$2,$AD$1,AD$2,$D$18,$D$3,$D40,$E40,$F40,AG$3)</f>
        <v>0</v>
      </c>
      <c r="AH40" s="58">
        <f>_xll.DBRW($C$2,$AD$1,AD$2,$D$18,$D$3,$D40,$E40,$F40,AH$3)</f>
        <v>0</v>
      </c>
      <c r="AI40" s="48">
        <f t="shared" si="27"/>
        <v>6</v>
      </c>
      <c r="AJ40" s="39">
        <f>_xll.DBRW($C$2,$AJ$1,AJ$2,$D$18,$D$3,$D40,$E40,$F40,AJ$3)</f>
        <v>0</v>
      </c>
      <c r="AK40" s="25" cm="1">
        <f t="array" ref="AK40">_xll.DBRW($E$2,AJ$1,AJ$2,$D$18,$D$3,$D40,$E40,$F40,$F$3,AK$3)</f>
        <v>0</v>
      </c>
      <c r="AL40" s="25">
        <f>_xll.DBRW($C$2,$AJ$1,AJ$2,$D$18,$D$3,$D40,$E40,$F40,AL$3)</f>
        <v>2</v>
      </c>
      <c r="AM40" s="64">
        <f>_xll.DBRW($C$2,$AJ$1,AJ$2,$D$18,$D$3,$D40,$E40,$F40,AM$3)</f>
        <v>0</v>
      </c>
      <c r="AN40" s="58">
        <f>_xll.DBRW($C$2,$AJ$1,AJ$2,$D$18,$D$3,$D40,$E40,$F40,AN$3)</f>
        <v>0</v>
      </c>
      <c r="AO40" s="48">
        <f t="shared" si="28"/>
        <v>4</v>
      </c>
      <c r="AP40" s="39">
        <f>_xll.DBRW($C$2,$AP$1,AP$2,$D$18,$D$3,$D40,$E40,$F40,AP$3)</f>
        <v>0</v>
      </c>
      <c r="AQ40" s="25" cm="1">
        <f t="array" ref="AQ40">_xll.DBRW($E$2,AP$1,AP$2,$D$18,$D$3,$D40,$E40,$F40,$F$3,AQ$3)</f>
        <v>0</v>
      </c>
      <c r="AR40" s="25">
        <f>_xll.DBRW($C$2,$AP$1,AP$2,$D$18,$D$3,$D40,$E40,$F40,AR$3)</f>
        <v>2</v>
      </c>
      <c r="AS40" s="64">
        <f>_xll.DBRW($C$2,$AP$1,AP$2,$D$18,$D$3,$D40,$E40,$F40,AS$3)</f>
        <v>0</v>
      </c>
      <c r="AT40" s="58">
        <f>_xll.DBRW($C$2,$AP$1,AP$2,$D$18,$D$3,$D40,$E40,$F40,AT$3)</f>
        <v>0</v>
      </c>
      <c r="AU40" s="48">
        <f t="shared" si="29"/>
        <v>2</v>
      </c>
      <c r="AV40" s="39">
        <f>_xll.DBRW($C$2,$AV$1,AV$2,$D$18,$D$3,$D40,$E40,$F40,AV$3)</f>
        <v>0</v>
      </c>
      <c r="AW40" s="25" cm="1">
        <f t="array" ref="AW40">_xll.DBRW($E$2,AV$1,AV$2,$D$18,$D$3,$D40,$E40,$F40,$F$3,AW$3)</f>
        <v>0</v>
      </c>
      <c r="AX40" s="25">
        <f>_xll.DBRW($C$2,$AV$1,AV$2,$D$18,$D$3,$D40,$E40,$F40,AX$3)</f>
        <v>2</v>
      </c>
      <c r="AY40" s="64">
        <f>_xll.DBRW($C$2,$AV$1,AV$2,$D$18,$D$3,$D40,$E40,$F40,AY$3)</f>
        <v>0</v>
      </c>
      <c r="AZ40" s="58">
        <f>_xll.DBRW($C$2,$AV$1,AV$2,$D$18,$D$3,$D40,$E40,$F40,AZ$3)</f>
        <v>0</v>
      </c>
      <c r="BA40" s="48">
        <f t="shared" si="30"/>
        <v>0</v>
      </c>
      <c r="BB40" s="39">
        <f>_xll.DBRW($C$2,$BB$1,BB$2,$D$18,$D$3,$D40,$E40,$F40,BB$3)</f>
        <v>0</v>
      </c>
      <c r="BC40" s="25" cm="1">
        <f t="array" ref="BC40">_xll.DBRW($E$2,BB$1,BB$2,$D$18,$D$3,$D40,$E40,$F40,$F$3,BC$3)</f>
        <v>0</v>
      </c>
      <c r="BD40" s="25">
        <f>_xll.DBRW($C$2,$BB$1,BB$2,$D$18,$D$3,$D40,$E40,$F40,BD$3)</f>
        <v>2</v>
      </c>
      <c r="BE40" s="64">
        <f>_xll.DBRW($C$2,$BB$1,BB$2,$D$18,$D$3,$D40,$E40,$F40,BE$3)</f>
        <v>0</v>
      </c>
      <c r="BF40" s="58">
        <f>_xll.DBRW($C$2,$BB$1,BB$2,$D$18,$D$3,$D40,$E40,$F40,BF$3)</f>
        <v>0</v>
      </c>
      <c r="BG40" s="48">
        <f t="shared" si="31"/>
        <v>-2</v>
      </c>
      <c r="BH40" s="39">
        <f>_xll.DBRW($C$2,$BH$1,BH$2,$D$18,$D$3,$D40,$E40,$F40,BH$3)</f>
        <v>0</v>
      </c>
      <c r="BI40" s="25" cm="1">
        <f t="array" ref="BI40">_xll.DBRW($E$2,BH$1,BH$2,$D$18,$D$3,$D40,$E40,$F40,$F$3,BI$3)</f>
        <v>0</v>
      </c>
      <c r="BJ40" s="25">
        <f>_xll.DBRW($C$2,$BH$1,BH$2,$D$18,$D$3,$D40,$E40,$F40,BJ$3)</f>
        <v>2</v>
      </c>
      <c r="BK40" s="64">
        <f>_xll.DBRW($C$2,$BH$1,BH$2,$D$18,$D$3,$D40,$E40,$F40,BK$3)</f>
        <v>0</v>
      </c>
      <c r="BL40" s="58">
        <f>_xll.DBRW($C$2,$BH$1,BH$2,$D$18,$D$3,$D40,$E40,$F40,BL$3)</f>
        <v>0</v>
      </c>
      <c r="BM40" s="48">
        <f t="shared" si="32"/>
        <v>-4</v>
      </c>
      <c r="BN40" s="39">
        <f>_xll.DBRW($C$2,$BN$1,BN$2,$D$18,$D$3,$D40,$E40,$F40,BN$3)</f>
        <v>0</v>
      </c>
      <c r="BO40" s="25" cm="1">
        <f t="array" ref="BO40">_xll.DBRW($E$2,BN$1,BN$2,$D$18,$D$3,$D40,$E40,$F40,$F$3,BO$3)</f>
        <v>0</v>
      </c>
      <c r="BP40" s="25">
        <f>_xll.DBRW($C$2,$BN$1,BN$2,$D$18,$D$3,$D40,$E40,$F40,BP$3)</f>
        <v>2</v>
      </c>
      <c r="BQ40" s="64">
        <f>_xll.DBRW($C$2,$BN$1,BN$2,$D$18,$D$3,$D40,$E40,$F40,BQ$3)</f>
        <v>0</v>
      </c>
      <c r="BR40" s="58">
        <f>_xll.DBRW($C$2,$BN$1,BN$2,$D$18,$D$3,$D40,$E40,$F40,BR$3)</f>
        <v>0</v>
      </c>
      <c r="BS40" s="48">
        <f t="shared" si="33"/>
        <v>-6</v>
      </c>
      <c r="BT40" s="39">
        <f>_xll.DBRW($C$2,$BT$1,BT$2,$D$18,$D$3,$D40,$E40,$F40,BT$3)</f>
        <v>0</v>
      </c>
      <c r="BU40" s="25" cm="1">
        <f t="array" ref="BU40">_xll.DBRW($E$2,BT$1,BT$2,$D$18,$D$3,$D40,$E40,$F40,$F$3,BU$3)</f>
        <v>0</v>
      </c>
      <c r="BV40" s="25">
        <f>_xll.DBRW($C$2,$BT$1,BT$2,$D$18,$D$3,$D40,$E40,$F40,BV$3)</f>
        <v>2</v>
      </c>
      <c r="BW40" s="64">
        <f>_xll.DBRW($C$2,$BT$1,BT$2,$D$18,$D$3,$D40,$E40,$F40,BW$3)</f>
        <v>0</v>
      </c>
      <c r="BX40" s="58">
        <f>_xll.DBRW($C$2,$BT$1,BT$2,$D$18,$D$3,$D40,$E40,$F40,BX$3)</f>
        <v>0</v>
      </c>
      <c r="BY40" s="48">
        <f t="shared" si="34"/>
        <v>-8</v>
      </c>
      <c r="BZ40" s="39">
        <f>_xll.DBRW($C$2,$BZ$1,BZ$2,$D$18,$D$3,$D40,$E40,$F40,BZ$3)</f>
        <v>0</v>
      </c>
      <c r="CA40" s="25" cm="1">
        <f t="array" ref="CA40">_xll.DBRW($E$2,BZ$1,BZ$2,$D$18,$D$3,$D40,$E40,$F40,$F$3,CA$3)</f>
        <v>0</v>
      </c>
      <c r="CB40" s="25">
        <f>_xll.DBRW($C$2,$BZ$1,BZ$2,$D$18,$D$3,$D40,$E40,$F40,CB$3)</f>
        <v>2</v>
      </c>
      <c r="CC40" s="64">
        <f>_xll.DBRW($C$2,$BZ$1,BZ$2,$D$18,$D$3,$D40,$E40,$F40,CC$3)</f>
        <v>0</v>
      </c>
      <c r="CD40" s="58">
        <f>_xll.DBRW($C$2,$BZ$1,BZ$2,$D$18,$D$3,$D40,$E40,$F40,CD$3)</f>
        <v>0</v>
      </c>
      <c r="CE40" s="48">
        <f t="shared" si="35"/>
        <v>-10</v>
      </c>
    </row>
    <row r="41" spans="1:83" s="23" customFormat="1" outlineLevel="1" thickBot="1" x14ac:dyDescent="0.3">
      <c r="A41" s="91" t="str">
        <f>IF(_xll.TM1RPTELISCONSOLIDATED($F$22,$F41),IF(_xll.TM1RPTELLEV($F$22,$F41)&lt;=5,_xll.TM1RPTELLEV($F$22,$F41),"Default"),"Leaf")</f>
        <v>Leaf</v>
      </c>
      <c r="B41" s="24" t="str">
        <f>_xll.DBRW("TM1-S1_DEV:}ElementAttributes_SP_SKU",$D41,B$1)</f>
        <v>Primary</v>
      </c>
      <c r="C41" s="24" t="str">
        <f>_xll.DBRW("TM1-S1_DEV:}ElementAttributes_SP_SKU",$D41,C$1)</f>
        <v>PROTEIN</v>
      </c>
      <c r="D41" s="28" t="s">
        <v>370</v>
      </c>
      <c r="E41" s="28" t="s">
        <v>195</v>
      </c>
      <c r="F41" s="28" t="s">
        <v>42</v>
      </c>
      <c r="G41" s="4">
        <f>_xll.DBRW($C$2,$G$19,G$20,$D$18,$D$3,$D41,$E41,$F41,G$3)</f>
        <v>12</v>
      </c>
      <c r="H41" s="54">
        <f t="shared" si="24"/>
        <v>-11</v>
      </c>
      <c r="I41" s="4"/>
      <c r="J41" s="25">
        <f>_xll.DBRW($C$2,$J$1,J$2,$D$18,$D$3,$D41,$E41,$F41,J$3)</f>
        <v>1</v>
      </c>
      <c r="K41" s="39">
        <f>_xll.DBRW($C$2,$J$1,J$2,$D$18,$D$3,$D41,$E41,$F41,K$3)</f>
        <v>0</v>
      </c>
      <c r="L41" s="25">
        <f>_xll.DBRW($C$2,$J$1,J$2,$D$18,$D$3,$D41,$E41,$F41,L$3)</f>
        <v>0</v>
      </c>
      <c r="M41" s="25">
        <f>_xll.DBRW($C$2,$J$1,J$2,$D$18,$D$3,$D41,$E41,$F41,M$3)</f>
        <v>4</v>
      </c>
      <c r="N41" s="25">
        <f>_xll.DBRW($C$2,$J$1,J$2,$D$18,$D$3,$D41,$E41,$F41,N$3)</f>
        <v>4</v>
      </c>
      <c r="O41" s="64">
        <f>_xll.DBRW($C$2,$J$1,J$2,$D$18,$D$3,$D41,$E41,$F41,O$3)</f>
        <v>1</v>
      </c>
      <c r="P41" s="58">
        <f>_xll.DBRW($C$2,$J$1,J$2,$D$18,$D$3,$D41,$E41,$F41,P$3)</f>
        <v>0</v>
      </c>
      <c r="Q41" s="48">
        <f>_xll.DBRW($C$2,$J$1,J$2,$D$18,$D$3,$D41,$E41,$F41,Q$3)</f>
        <v>1</v>
      </c>
      <c r="R41" s="39">
        <f>_xll.DBRW($C$2,$R$1,R$2,$D$18,$D$3,$D41,$E41,$F41,R$3)</f>
        <v>0</v>
      </c>
      <c r="S41" s="25" cm="1">
        <f t="array" ref="S41">_xll.DBRW($E$2,R$1,R$2,$D$18,$D$3,$D41,$E41,$F41,$F$3,S$3)</f>
        <v>0</v>
      </c>
      <c r="T41" s="25">
        <f>_xll.DBRW($C$2,$R$1,R$2,$D$18,$D$3,$D41,$E41,$F41,T$3)</f>
        <v>0</v>
      </c>
      <c r="U41" s="64">
        <f>_xll.DBRW($C$2,$R$1,R$2,$D$18,$D$3,$D41,$E41,$F41,U$3)</f>
        <v>0</v>
      </c>
      <c r="V41" s="58">
        <f>_xll.DBRW($C$2,$R$1,R$2,$D$18,$D$3,$D41,$E41,$F41,V$3)</f>
        <v>0</v>
      </c>
      <c r="W41" s="48">
        <f t="shared" si="25"/>
        <v>1</v>
      </c>
      <c r="X41" s="39">
        <f>_xll.DBRW($C$2,$X$1,X$2,$D$18,$D$3,$D41,$E41,$F41,X$3)</f>
        <v>0</v>
      </c>
      <c r="Y41" s="25" cm="1">
        <f t="array" ref="Y41">_xll.DBRW($E$2,X$1,X$2,$D$18,$D$3,$D41,$E41,$F41,$F$3,Y$3)</f>
        <v>0</v>
      </c>
      <c r="Z41" s="25">
        <f>_xll.DBRW($C$2,$X$1,X$2,$D$18,$D$3,$D41,$E41,$F41,Z$3)</f>
        <v>1</v>
      </c>
      <c r="AA41" s="64">
        <f>_xll.DBRW($C$2,$X$1,X$2,$D$18,$D$3,$D41,$E41,$F41,AA$3)</f>
        <v>0</v>
      </c>
      <c r="AB41" s="58">
        <f>_xll.DBRW($C$2,$X$1,X$2,$D$18,$D$3,$D41,$E41,$F41,AB$3)</f>
        <v>0</v>
      </c>
      <c r="AC41" s="48">
        <f t="shared" si="26"/>
        <v>0</v>
      </c>
      <c r="AD41" s="39">
        <f>_xll.DBRW($C$2,$AD$1,AD$2,$D$18,$D$3,$D41,$E41,$F41,AD$3)</f>
        <v>0</v>
      </c>
      <c r="AE41" s="25" cm="1">
        <f t="array" ref="AE41">_xll.DBRW($E$2,AD$1,AD$2,$D$18,$D$3,$D41,$E41,$F41,$F$3,AE$3)</f>
        <v>0</v>
      </c>
      <c r="AF41" s="25">
        <f>_xll.DBRW($C$2,$AD$1,AD$2,$D$18,$D$3,$D41,$E41,$F41,AF$3)</f>
        <v>1</v>
      </c>
      <c r="AG41" s="64">
        <f>_xll.DBRW($C$2,$AD$1,AD$2,$D$18,$D$3,$D41,$E41,$F41,AG$3)</f>
        <v>0</v>
      </c>
      <c r="AH41" s="58">
        <f>_xll.DBRW($C$2,$AD$1,AD$2,$D$18,$D$3,$D41,$E41,$F41,AH$3)</f>
        <v>0</v>
      </c>
      <c r="AI41" s="48">
        <f t="shared" si="27"/>
        <v>-1</v>
      </c>
      <c r="AJ41" s="39">
        <f>_xll.DBRW($C$2,$AJ$1,AJ$2,$D$18,$D$3,$D41,$E41,$F41,AJ$3)</f>
        <v>0</v>
      </c>
      <c r="AK41" s="25" cm="1">
        <f t="array" ref="AK41">_xll.DBRW($E$2,AJ$1,AJ$2,$D$18,$D$3,$D41,$E41,$F41,$F$3,AK$3)</f>
        <v>0</v>
      </c>
      <c r="AL41" s="25">
        <f>_xll.DBRW($C$2,$AJ$1,AJ$2,$D$18,$D$3,$D41,$E41,$F41,AL$3)</f>
        <v>1</v>
      </c>
      <c r="AM41" s="64">
        <f>_xll.DBRW($C$2,$AJ$1,AJ$2,$D$18,$D$3,$D41,$E41,$F41,AM$3)</f>
        <v>0</v>
      </c>
      <c r="AN41" s="58">
        <f>_xll.DBRW($C$2,$AJ$1,AJ$2,$D$18,$D$3,$D41,$E41,$F41,AN$3)</f>
        <v>0</v>
      </c>
      <c r="AO41" s="48">
        <f t="shared" si="28"/>
        <v>-2</v>
      </c>
      <c r="AP41" s="39">
        <f>_xll.DBRW($C$2,$AP$1,AP$2,$D$18,$D$3,$D41,$E41,$F41,AP$3)</f>
        <v>0</v>
      </c>
      <c r="AQ41" s="25" cm="1">
        <f t="array" ref="AQ41">_xll.DBRW($E$2,AP$1,AP$2,$D$18,$D$3,$D41,$E41,$F41,$F$3,AQ$3)</f>
        <v>0</v>
      </c>
      <c r="AR41" s="25">
        <f>_xll.DBRW($C$2,$AP$1,AP$2,$D$18,$D$3,$D41,$E41,$F41,AR$3)</f>
        <v>1</v>
      </c>
      <c r="AS41" s="64">
        <f>_xll.DBRW($C$2,$AP$1,AP$2,$D$18,$D$3,$D41,$E41,$F41,AS$3)</f>
        <v>0</v>
      </c>
      <c r="AT41" s="58">
        <f>_xll.DBRW($C$2,$AP$1,AP$2,$D$18,$D$3,$D41,$E41,$F41,AT$3)</f>
        <v>0</v>
      </c>
      <c r="AU41" s="48">
        <f t="shared" si="29"/>
        <v>-3</v>
      </c>
      <c r="AV41" s="39">
        <f>_xll.DBRW($C$2,$AV$1,AV$2,$D$18,$D$3,$D41,$E41,$F41,AV$3)</f>
        <v>0</v>
      </c>
      <c r="AW41" s="25" cm="1">
        <f t="array" ref="AW41">_xll.DBRW($E$2,AV$1,AV$2,$D$18,$D$3,$D41,$E41,$F41,$F$3,AW$3)</f>
        <v>0</v>
      </c>
      <c r="AX41" s="25">
        <f>_xll.DBRW($C$2,$AV$1,AV$2,$D$18,$D$3,$D41,$E41,$F41,AX$3)</f>
        <v>1</v>
      </c>
      <c r="AY41" s="64">
        <f>_xll.DBRW($C$2,$AV$1,AV$2,$D$18,$D$3,$D41,$E41,$F41,AY$3)</f>
        <v>0</v>
      </c>
      <c r="AZ41" s="58">
        <f>_xll.DBRW($C$2,$AV$1,AV$2,$D$18,$D$3,$D41,$E41,$F41,AZ$3)</f>
        <v>0</v>
      </c>
      <c r="BA41" s="48">
        <f t="shared" si="30"/>
        <v>-4</v>
      </c>
      <c r="BB41" s="39">
        <f>_xll.DBRW($C$2,$BB$1,BB$2,$D$18,$D$3,$D41,$E41,$F41,BB$3)</f>
        <v>0</v>
      </c>
      <c r="BC41" s="25" cm="1">
        <f t="array" ref="BC41">_xll.DBRW($E$2,BB$1,BB$2,$D$18,$D$3,$D41,$E41,$F41,$F$3,BC$3)</f>
        <v>0</v>
      </c>
      <c r="BD41" s="25">
        <f>_xll.DBRW($C$2,$BB$1,BB$2,$D$18,$D$3,$D41,$E41,$F41,BD$3)</f>
        <v>1</v>
      </c>
      <c r="BE41" s="64">
        <f>_xll.DBRW($C$2,$BB$1,BB$2,$D$18,$D$3,$D41,$E41,$F41,BE$3)</f>
        <v>0</v>
      </c>
      <c r="BF41" s="58">
        <f>_xll.DBRW($C$2,$BB$1,BB$2,$D$18,$D$3,$D41,$E41,$F41,BF$3)</f>
        <v>0</v>
      </c>
      <c r="BG41" s="48">
        <f t="shared" si="31"/>
        <v>-5</v>
      </c>
      <c r="BH41" s="39">
        <f>_xll.DBRW($C$2,$BH$1,BH$2,$D$18,$D$3,$D41,$E41,$F41,BH$3)</f>
        <v>0</v>
      </c>
      <c r="BI41" s="25" cm="1">
        <f t="array" ref="BI41">_xll.DBRW($E$2,BH$1,BH$2,$D$18,$D$3,$D41,$E41,$F41,$F$3,BI$3)</f>
        <v>0</v>
      </c>
      <c r="BJ41" s="25">
        <f>_xll.DBRW($C$2,$BH$1,BH$2,$D$18,$D$3,$D41,$E41,$F41,BJ$3)</f>
        <v>1</v>
      </c>
      <c r="BK41" s="64">
        <f>_xll.DBRW($C$2,$BH$1,BH$2,$D$18,$D$3,$D41,$E41,$F41,BK$3)</f>
        <v>0</v>
      </c>
      <c r="BL41" s="58">
        <f>_xll.DBRW($C$2,$BH$1,BH$2,$D$18,$D$3,$D41,$E41,$F41,BL$3)</f>
        <v>0</v>
      </c>
      <c r="BM41" s="48">
        <f t="shared" si="32"/>
        <v>-6</v>
      </c>
      <c r="BN41" s="39">
        <f>_xll.DBRW($C$2,$BN$1,BN$2,$D$18,$D$3,$D41,$E41,$F41,BN$3)</f>
        <v>0</v>
      </c>
      <c r="BO41" s="25" cm="1">
        <f t="array" ref="BO41">_xll.DBRW($E$2,BN$1,BN$2,$D$18,$D$3,$D41,$E41,$F41,$F$3,BO$3)</f>
        <v>0</v>
      </c>
      <c r="BP41" s="25">
        <f>_xll.DBRW($C$2,$BN$1,BN$2,$D$18,$D$3,$D41,$E41,$F41,BP$3)</f>
        <v>1</v>
      </c>
      <c r="BQ41" s="64">
        <f>_xll.DBRW($C$2,$BN$1,BN$2,$D$18,$D$3,$D41,$E41,$F41,BQ$3)</f>
        <v>0</v>
      </c>
      <c r="BR41" s="58">
        <f>_xll.DBRW($C$2,$BN$1,BN$2,$D$18,$D$3,$D41,$E41,$F41,BR$3)</f>
        <v>0</v>
      </c>
      <c r="BS41" s="48">
        <f t="shared" si="33"/>
        <v>-7</v>
      </c>
      <c r="BT41" s="39">
        <f>_xll.DBRW($C$2,$BT$1,BT$2,$D$18,$D$3,$D41,$E41,$F41,BT$3)</f>
        <v>0</v>
      </c>
      <c r="BU41" s="25" cm="1">
        <f t="array" ref="BU41">_xll.DBRW($E$2,BT$1,BT$2,$D$18,$D$3,$D41,$E41,$F41,$F$3,BU$3)</f>
        <v>0</v>
      </c>
      <c r="BV41" s="25">
        <f>_xll.DBRW($C$2,$BT$1,BT$2,$D$18,$D$3,$D41,$E41,$F41,BV$3)</f>
        <v>1</v>
      </c>
      <c r="BW41" s="64">
        <f>_xll.DBRW($C$2,$BT$1,BT$2,$D$18,$D$3,$D41,$E41,$F41,BW$3)</f>
        <v>0</v>
      </c>
      <c r="BX41" s="58">
        <f>_xll.DBRW($C$2,$BT$1,BT$2,$D$18,$D$3,$D41,$E41,$F41,BX$3)</f>
        <v>0</v>
      </c>
      <c r="BY41" s="48">
        <f t="shared" si="34"/>
        <v>-8</v>
      </c>
      <c r="BZ41" s="39">
        <f>_xll.DBRW($C$2,$BZ$1,BZ$2,$D$18,$D$3,$D41,$E41,$F41,BZ$3)</f>
        <v>0</v>
      </c>
      <c r="CA41" s="25" cm="1">
        <f t="array" ref="CA41">_xll.DBRW($E$2,BZ$1,BZ$2,$D$18,$D$3,$D41,$E41,$F41,$F$3,CA$3)</f>
        <v>0</v>
      </c>
      <c r="CB41" s="25">
        <f>_xll.DBRW($C$2,$BZ$1,BZ$2,$D$18,$D$3,$D41,$E41,$F41,CB$3)</f>
        <v>1</v>
      </c>
      <c r="CC41" s="64">
        <f>_xll.DBRW($C$2,$BZ$1,BZ$2,$D$18,$D$3,$D41,$E41,$F41,CC$3)</f>
        <v>0</v>
      </c>
      <c r="CD41" s="58">
        <f>_xll.DBRW($C$2,$BZ$1,BZ$2,$D$18,$D$3,$D41,$E41,$F41,CD$3)</f>
        <v>0</v>
      </c>
      <c r="CE41" s="48">
        <f t="shared" si="35"/>
        <v>-9</v>
      </c>
    </row>
    <row r="42" spans="1:83" s="23" customFormat="1" outlineLevel="1" thickBot="1" x14ac:dyDescent="0.3">
      <c r="A42" s="91" t="str">
        <f>IF(_xll.TM1RPTELISCONSOLIDATED($F$22,$F42),IF(_xll.TM1RPTELLEV($F$22,$F42)&lt;=5,_xll.TM1RPTELLEV($F$22,$F42),"Default"),"Leaf")</f>
        <v>Leaf</v>
      </c>
      <c r="B42" s="24" t="str">
        <f>_xll.DBRW("TM1-S1_DEV:}ElementAttributes_SP_SKU",$D42,B$1)</f>
        <v>Primary</v>
      </c>
      <c r="C42" s="24" t="str">
        <f>_xll.DBRW("TM1-S1_DEV:}ElementAttributes_SP_SKU",$D42,C$1)</f>
        <v>SOUP</v>
      </c>
      <c r="D42" s="28" t="s">
        <v>480</v>
      </c>
      <c r="E42" s="28" t="s">
        <v>196</v>
      </c>
      <c r="F42" s="28" t="s">
        <v>100</v>
      </c>
      <c r="G42" s="4">
        <f>_xll.DBRW($C$2,$G$19,G$20,$D$18,$D$3,$D42,$E42,$F42,G$3)</f>
        <v>4</v>
      </c>
      <c r="H42" s="54">
        <f t="shared" si="24"/>
        <v>0</v>
      </c>
      <c r="I42" s="4"/>
      <c r="J42" s="25">
        <f>_xll.DBRW($C$2,$J$1,J$2,$D$18,$D$3,$D42,$E42,$F42,J$3)</f>
        <v>4</v>
      </c>
      <c r="K42" s="39">
        <f>_xll.DBRW($C$2,$J$1,J$2,$D$18,$D$3,$D42,$E42,$F42,K$3)</f>
        <v>0</v>
      </c>
      <c r="L42" s="25">
        <f>_xll.DBRW($C$2,$J$1,J$2,$D$18,$D$3,$D42,$E42,$F42,L$3)</f>
        <v>0</v>
      </c>
      <c r="M42" s="25">
        <f>_xll.DBRW($C$2,$J$1,J$2,$D$18,$D$3,$D42,$E42,$F42,M$3)</f>
        <v>0</v>
      </c>
      <c r="N42" s="25">
        <f>_xll.DBRW($C$2,$J$1,J$2,$D$18,$D$3,$D42,$E42,$F42,N$3)</f>
        <v>0</v>
      </c>
      <c r="O42" s="64">
        <f>_xll.DBRW($C$2,$J$1,J$2,$D$18,$D$3,$D42,$E42,$F42,O$3)</f>
        <v>0</v>
      </c>
      <c r="P42" s="58">
        <f>_xll.DBRW($C$2,$J$1,J$2,$D$18,$D$3,$D42,$E42,$F42,P$3)</f>
        <v>0</v>
      </c>
      <c r="Q42" s="48">
        <f>_xll.DBRW($C$2,$J$1,J$2,$D$18,$D$3,$D42,$E42,$F42,Q$3)</f>
        <v>4</v>
      </c>
      <c r="R42" s="39">
        <f>_xll.DBRW($C$2,$R$1,R$2,$D$18,$D$3,$D42,$E42,$F42,R$3)</f>
        <v>0</v>
      </c>
      <c r="S42" s="25" cm="1">
        <f t="array" ref="S42">_xll.DBRW($E$2,R$1,R$2,$D$18,$D$3,$D42,$E42,$F42,$F$3,S$3)</f>
        <v>0</v>
      </c>
      <c r="T42" s="25">
        <f>_xll.DBRW($C$2,$R$1,R$2,$D$18,$D$3,$D42,$E42,$F42,T$3)</f>
        <v>0</v>
      </c>
      <c r="U42" s="64">
        <f>_xll.DBRW($C$2,$R$1,R$2,$D$18,$D$3,$D42,$E42,$F42,U$3)</f>
        <v>0</v>
      </c>
      <c r="V42" s="58">
        <f>_xll.DBRW($C$2,$R$1,R$2,$D$18,$D$3,$D42,$E42,$F42,V$3)</f>
        <v>0</v>
      </c>
      <c r="W42" s="48">
        <f t="shared" si="25"/>
        <v>4</v>
      </c>
      <c r="X42" s="39">
        <f>_xll.DBRW($C$2,$X$1,X$2,$D$18,$D$3,$D42,$E42,$F42,X$3)</f>
        <v>0</v>
      </c>
      <c r="Y42" s="25" cm="1">
        <f t="array" ref="Y42">_xll.DBRW($E$2,X$1,X$2,$D$18,$D$3,$D42,$E42,$F42,$F$3,Y$3)</f>
        <v>0</v>
      </c>
      <c r="Z42" s="25">
        <f>_xll.DBRW($C$2,$X$1,X$2,$D$18,$D$3,$D42,$E42,$F42,Z$3)</f>
        <v>1</v>
      </c>
      <c r="AA42" s="64">
        <f>_xll.DBRW($C$2,$X$1,X$2,$D$18,$D$3,$D42,$E42,$F42,AA$3)</f>
        <v>0</v>
      </c>
      <c r="AB42" s="58">
        <f>_xll.DBRW($C$2,$X$1,X$2,$D$18,$D$3,$D42,$E42,$F42,AB$3)</f>
        <v>0</v>
      </c>
      <c r="AC42" s="48">
        <f t="shared" si="26"/>
        <v>3</v>
      </c>
      <c r="AD42" s="39">
        <f>_xll.DBRW($C$2,$AD$1,AD$2,$D$18,$D$3,$D42,$E42,$F42,AD$3)</f>
        <v>0</v>
      </c>
      <c r="AE42" s="25" cm="1">
        <f t="array" ref="AE42">_xll.DBRW($E$2,AD$1,AD$2,$D$18,$D$3,$D42,$E42,$F42,$F$3,AE$3)</f>
        <v>0</v>
      </c>
      <c r="AF42" s="25">
        <f>_xll.DBRW($C$2,$AD$1,AD$2,$D$18,$D$3,$D42,$E42,$F42,AF$3)</f>
        <v>1</v>
      </c>
      <c r="AG42" s="64">
        <f>_xll.DBRW($C$2,$AD$1,AD$2,$D$18,$D$3,$D42,$E42,$F42,AG$3)</f>
        <v>1</v>
      </c>
      <c r="AH42" s="58">
        <f>_xll.DBRW($C$2,$AD$1,AD$2,$D$18,$D$3,$D42,$E42,$F42,AH$3)</f>
        <v>0</v>
      </c>
      <c r="AI42" s="48">
        <f t="shared" si="27"/>
        <v>2</v>
      </c>
      <c r="AJ42" s="39">
        <f>_xll.DBRW($C$2,$AJ$1,AJ$2,$D$18,$D$3,$D42,$E42,$F42,AJ$3)</f>
        <v>0</v>
      </c>
      <c r="AK42" s="25" cm="1">
        <f t="array" ref="AK42">_xll.DBRW($E$2,AJ$1,AJ$2,$D$18,$D$3,$D42,$E42,$F42,$F$3,AK$3)</f>
        <v>0</v>
      </c>
      <c r="AL42" s="25">
        <f>_xll.DBRW($C$2,$AJ$1,AJ$2,$D$18,$D$3,$D42,$E42,$F42,AL$3)</f>
        <v>1</v>
      </c>
      <c r="AM42" s="64">
        <f>_xll.DBRW($C$2,$AJ$1,AJ$2,$D$18,$D$3,$D42,$E42,$F42,AM$3)</f>
        <v>0</v>
      </c>
      <c r="AN42" s="58">
        <f>_xll.DBRW($C$2,$AJ$1,AJ$2,$D$18,$D$3,$D42,$E42,$F42,AN$3)</f>
        <v>0</v>
      </c>
      <c r="AO42" s="48">
        <f t="shared" si="28"/>
        <v>1</v>
      </c>
      <c r="AP42" s="39">
        <f>_xll.DBRW($C$2,$AP$1,AP$2,$D$18,$D$3,$D42,$E42,$F42,AP$3)</f>
        <v>0</v>
      </c>
      <c r="AQ42" s="25" cm="1">
        <f t="array" ref="AQ42">_xll.DBRW($E$2,AP$1,AP$2,$D$18,$D$3,$D42,$E42,$F42,$F$3,AQ$3)</f>
        <v>0</v>
      </c>
      <c r="AR42" s="25">
        <f>_xll.DBRW($C$2,$AP$1,AP$2,$D$18,$D$3,$D42,$E42,$F42,AR$3)</f>
        <v>1</v>
      </c>
      <c r="AS42" s="64">
        <f>_xll.DBRW($C$2,$AP$1,AP$2,$D$18,$D$3,$D42,$E42,$F42,AS$3)</f>
        <v>0</v>
      </c>
      <c r="AT42" s="58">
        <f>_xll.DBRW($C$2,$AP$1,AP$2,$D$18,$D$3,$D42,$E42,$F42,AT$3)</f>
        <v>0</v>
      </c>
      <c r="AU42" s="48">
        <f t="shared" si="29"/>
        <v>0</v>
      </c>
      <c r="AV42" s="39">
        <f>_xll.DBRW($C$2,$AV$1,AV$2,$D$18,$D$3,$D42,$E42,$F42,AV$3)</f>
        <v>0</v>
      </c>
      <c r="AW42" s="25" cm="1">
        <f t="array" ref="AW42">_xll.DBRW($E$2,AV$1,AV$2,$D$18,$D$3,$D42,$E42,$F42,$F$3,AW$3)</f>
        <v>0</v>
      </c>
      <c r="AX42" s="25">
        <f>_xll.DBRW($C$2,$AV$1,AV$2,$D$18,$D$3,$D42,$E42,$F42,AX$3)</f>
        <v>1</v>
      </c>
      <c r="AY42" s="64">
        <f>_xll.DBRW($C$2,$AV$1,AV$2,$D$18,$D$3,$D42,$E42,$F42,AY$3)</f>
        <v>0</v>
      </c>
      <c r="AZ42" s="58">
        <f>_xll.DBRW($C$2,$AV$1,AV$2,$D$18,$D$3,$D42,$E42,$F42,AZ$3)</f>
        <v>0</v>
      </c>
      <c r="BA42" s="48">
        <f t="shared" si="30"/>
        <v>-1</v>
      </c>
      <c r="BB42" s="39">
        <f>_xll.DBRW($C$2,$BB$1,BB$2,$D$18,$D$3,$D42,$E42,$F42,BB$3)</f>
        <v>0</v>
      </c>
      <c r="BC42" s="25" cm="1">
        <f t="array" ref="BC42">_xll.DBRW($E$2,BB$1,BB$2,$D$18,$D$3,$D42,$E42,$F42,$F$3,BC$3)</f>
        <v>0</v>
      </c>
      <c r="BD42" s="25">
        <f>_xll.DBRW($C$2,$BB$1,BB$2,$D$18,$D$3,$D42,$E42,$F42,BD$3)</f>
        <v>1</v>
      </c>
      <c r="BE42" s="64">
        <f>_xll.DBRW($C$2,$BB$1,BB$2,$D$18,$D$3,$D42,$E42,$F42,BE$3)</f>
        <v>0</v>
      </c>
      <c r="BF42" s="58">
        <f>_xll.DBRW($C$2,$BB$1,BB$2,$D$18,$D$3,$D42,$E42,$F42,BF$3)</f>
        <v>0</v>
      </c>
      <c r="BG42" s="48">
        <f t="shared" si="31"/>
        <v>-2</v>
      </c>
      <c r="BH42" s="39">
        <f>_xll.DBRW($C$2,$BH$1,BH$2,$D$18,$D$3,$D42,$E42,$F42,BH$3)</f>
        <v>0</v>
      </c>
      <c r="BI42" s="25" cm="1">
        <f t="array" ref="BI42">_xll.DBRW($E$2,BH$1,BH$2,$D$18,$D$3,$D42,$E42,$F42,$F$3,BI$3)</f>
        <v>0</v>
      </c>
      <c r="BJ42" s="25">
        <f>_xll.DBRW($C$2,$BH$1,BH$2,$D$18,$D$3,$D42,$E42,$F42,BJ$3)</f>
        <v>1</v>
      </c>
      <c r="BK42" s="64">
        <f>_xll.DBRW($C$2,$BH$1,BH$2,$D$18,$D$3,$D42,$E42,$F42,BK$3)</f>
        <v>0</v>
      </c>
      <c r="BL42" s="58">
        <f>_xll.DBRW($C$2,$BH$1,BH$2,$D$18,$D$3,$D42,$E42,$F42,BL$3)</f>
        <v>0</v>
      </c>
      <c r="BM42" s="48">
        <f t="shared" si="32"/>
        <v>-3</v>
      </c>
      <c r="BN42" s="39">
        <f>_xll.DBRW($C$2,$BN$1,BN$2,$D$18,$D$3,$D42,$E42,$F42,BN$3)</f>
        <v>0</v>
      </c>
      <c r="BO42" s="25" cm="1">
        <f t="array" ref="BO42">_xll.DBRW($E$2,BN$1,BN$2,$D$18,$D$3,$D42,$E42,$F42,$F$3,BO$3)</f>
        <v>0</v>
      </c>
      <c r="BP42" s="25">
        <f>_xll.DBRW($C$2,$BN$1,BN$2,$D$18,$D$3,$D42,$E42,$F42,BP$3)</f>
        <v>1</v>
      </c>
      <c r="BQ42" s="64">
        <f>_xll.DBRW($C$2,$BN$1,BN$2,$D$18,$D$3,$D42,$E42,$F42,BQ$3)</f>
        <v>0</v>
      </c>
      <c r="BR42" s="58">
        <f>_xll.DBRW($C$2,$BN$1,BN$2,$D$18,$D$3,$D42,$E42,$F42,BR$3)</f>
        <v>0</v>
      </c>
      <c r="BS42" s="48">
        <f t="shared" si="33"/>
        <v>-4</v>
      </c>
      <c r="BT42" s="39">
        <f>_xll.DBRW($C$2,$BT$1,BT$2,$D$18,$D$3,$D42,$E42,$F42,BT$3)</f>
        <v>0</v>
      </c>
      <c r="BU42" s="25" cm="1">
        <f t="array" ref="BU42">_xll.DBRW($E$2,BT$1,BT$2,$D$18,$D$3,$D42,$E42,$F42,$F$3,BU$3)</f>
        <v>0</v>
      </c>
      <c r="BV42" s="25">
        <f>_xll.DBRW($C$2,$BT$1,BT$2,$D$18,$D$3,$D42,$E42,$F42,BV$3)</f>
        <v>1</v>
      </c>
      <c r="BW42" s="64">
        <f>_xll.DBRW($C$2,$BT$1,BT$2,$D$18,$D$3,$D42,$E42,$F42,BW$3)</f>
        <v>0</v>
      </c>
      <c r="BX42" s="58">
        <f>_xll.DBRW($C$2,$BT$1,BT$2,$D$18,$D$3,$D42,$E42,$F42,BX$3)</f>
        <v>0</v>
      </c>
      <c r="BY42" s="48">
        <f t="shared" si="34"/>
        <v>-5</v>
      </c>
      <c r="BZ42" s="39">
        <f>_xll.DBRW($C$2,$BZ$1,BZ$2,$D$18,$D$3,$D42,$E42,$F42,BZ$3)</f>
        <v>0</v>
      </c>
      <c r="CA42" s="25" cm="1">
        <f t="array" ref="CA42">_xll.DBRW($E$2,BZ$1,BZ$2,$D$18,$D$3,$D42,$E42,$F42,$F$3,CA$3)</f>
        <v>0</v>
      </c>
      <c r="CB42" s="25">
        <f>_xll.DBRW($C$2,$BZ$1,BZ$2,$D$18,$D$3,$D42,$E42,$F42,CB$3)</f>
        <v>1</v>
      </c>
      <c r="CC42" s="64">
        <f>_xll.DBRW($C$2,$BZ$1,BZ$2,$D$18,$D$3,$D42,$E42,$F42,CC$3)</f>
        <v>0</v>
      </c>
      <c r="CD42" s="58">
        <f>_xll.DBRW($C$2,$BZ$1,BZ$2,$D$18,$D$3,$D42,$E42,$F42,CD$3)</f>
        <v>0</v>
      </c>
      <c r="CE42" s="48">
        <f t="shared" si="35"/>
        <v>-6</v>
      </c>
    </row>
    <row r="43" spans="1:83" s="23" customFormat="1" outlineLevel="1" thickBot="1" x14ac:dyDescent="0.3">
      <c r="A43" s="91" t="str">
        <f>IF(_xll.TM1RPTELISCONSOLIDATED($F$22,$F43),IF(_xll.TM1RPTELLEV($F$22,$F43)&lt;=5,_xll.TM1RPTELLEV($F$22,$F43),"Default"),"Leaf")</f>
        <v>Leaf</v>
      </c>
      <c r="B43" s="24" t="str">
        <f>_xll.DBRW("TM1-S1_DEV:}ElementAttributes_SP_SKU",$D43,B$1)</f>
        <v>Primary</v>
      </c>
      <c r="C43" s="24" t="str">
        <f>_xll.DBRW("TM1-S1_DEV:}ElementAttributes_SP_SKU",$D43,C$1)</f>
        <v>SOUP</v>
      </c>
      <c r="D43" s="28" t="s">
        <v>481</v>
      </c>
      <c r="E43" s="28" t="s">
        <v>197</v>
      </c>
      <c r="F43" s="28" t="s">
        <v>100</v>
      </c>
      <c r="G43" s="4">
        <f>_xll.DBRW($C$2,$G$19,G$20,$D$18,$D$3,$D43,$E43,$F43,G$3)</f>
        <v>4</v>
      </c>
      <c r="H43" s="54">
        <f t="shared" si="24"/>
        <v>0</v>
      </c>
      <c r="I43" s="4"/>
      <c r="J43" s="25">
        <f>_xll.DBRW($C$2,$J$1,J$2,$D$18,$D$3,$D43,$E43,$F43,J$3)</f>
        <v>4</v>
      </c>
      <c r="K43" s="39">
        <f>_xll.DBRW($C$2,$J$1,J$2,$D$18,$D$3,$D43,$E43,$F43,K$3)</f>
        <v>0</v>
      </c>
      <c r="L43" s="25">
        <f>_xll.DBRW($C$2,$J$1,J$2,$D$18,$D$3,$D43,$E43,$F43,L$3)</f>
        <v>0</v>
      </c>
      <c r="M43" s="25">
        <f>_xll.DBRW($C$2,$J$1,J$2,$D$18,$D$3,$D43,$E43,$F43,M$3)</f>
        <v>0</v>
      </c>
      <c r="N43" s="25">
        <f>_xll.DBRW($C$2,$J$1,J$2,$D$18,$D$3,$D43,$E43,$F43,N$3)</f>
        <v>0</v>
      </c>
      <c r="O43" s="64">
        <f>_xll.DBRW($C$2,$J$1,J$2,$D$18,$D$3,$D43,$E43,$F43,O$3)</f>
        <v>0</v>
      </c>
      <c r="P43" s="58">
        <f>_xll.DBRW($C$2,$J$1,J$2,$D$18,$D$3,$D43,$E43,$F43,P$3)</f>
        <v>0</v>
      </c>
      <c r="Q43" s="48">
        <f>_xll.DBRW($C$2,$J$1,J$2,$D$18,$D$3,$D43,$E43,$F43,Q$3)</f>
        <v>4</v>
      </c>
      <c r="R43" s="39">
        <f>_xll.DBRW($C$2,$R$1,R$2,$D$18,$D$3,$D43,$E43,$F43,R$3)</f>
        <v>0</v>
      </c>
      <c r="S43" s="25" cm="1">
        <f t="array" ref="S43">_xll.DBRW($E$2,R$1,R$2,$D$18,$D$3,$D43,$E43,$F43,$F$3,S$3)</f>
        <v>0</v>
      </c>
      <c r="T43" s="25">
        <f>_xll.DBRW($C$2,$R$1,R$2,$D$18,$D$3,$D43,$E43,$F43,T$3)</f>
        <v>0</v>
      </c>
      <c r="U43" s="64">
        <f>_xll.DBRW($C$2,$R$1,R$2,$D$18,$D$3,$D43,$E43,$F43,U$3)</f>
        <v>0</v>
      </c>
      <c r="V43" s="58">
        <f>_xll.DBRW($C$2,$R$1,R$2,$D$18,$D$3,$D43,$E43,$F43,V$3)</f>
        <v>0</v>
      </c>
      <c r="W43" s="48">
        <f t="shared" si="25"/>
        <v>4</v>
      </c>
      <c r="X43" s="39">
        <f>_xll.DBRW($C$2,$X$1,X$2,$D$18,$D$3,$D43,$E43,$F43,X$3)</f>
        <v>0</v>
      </c>
      <c r="Y43" s="25" cm="1">
        <f t="array" ref="Y43">_xll.DBRW($E$2,X$1,X$2,$D$18,$D$3,$D43,$E43,$F43,$F$3,Y$3)</f>
        <v>0</v>
      </c>
      <c r="Z43" s="25">
        <f>_xll.DBRW($C$2,$X$1,X$2,$D$18,$D$3,$D43,$E43,$F43,Z$3)</f>
        <v>1</v>
      </c>
      <c r="AA43" s="64">
        <f>_xll.DBRW($C$2,$X$1,X$2,$D$18,$D$3,$D43,$E43,$F43,AA$3)</f>
        <v>0</v>
      </c>
      <c r="AB43" s="58">
        <f>_xll.DBRW($C$2,$X$1,X$2,$D$18,$D$3,$D43,$E43,$F43,AB$3)</f>
        <v>0</v>
      </c>
      <c r="AC43" s="48">
        <f t="shared" si="26"/>
        <v>3</v>
      </c>
      <c r="AD43" s="39">
        <f>_xll.DBRW($C$2,$AD$1,AD$2,$D$18,$D$3,$D43,$E43,$F43,AD$3)</f>
        <v>0</v>
      </c>
      <c r="AE43" s="25" cm="1">
        <f t="array" ref="AE43">_xll.DBRW($E$2,AD$1,AD$2,$D$18,$D$3,$D43,$E43,$F43,$F$3,AE$3)</f>
        <v>0</v>
      </c>
      <c r="AF43" s="25">
        <f>_xll.DBRW($C$2,$AD$1,AD$2,$D$18,$D$3,$D43,$E43,$F43,AF$3)</f>
        <v>1</v>
      </c>
      <c r="AG43" s="64">
        <f>_xll.DBRW($C$2,$AD$1,AD$2,$D$18,$D$3,$D43,$E43,$F43,AG$3)</f>
        <v>1</v>
      </c>
      <c r="AH43" s="58">
        <f>_xll.DBRW($C$2,$AD$1,AD$2,$D$18,$D$3,$D43,$E43,$F43,AH$3)</f>
        <v>0</v>
      </c>
      <c r="AI43" s="48">
        <f t="shared" si="27"/>
        <v>2</v>
      </c>
      <c r="AJ43" s="39">
        <f>_xll.DBRW($C$2,$AJ$1,AJ$2,$D$18,$D$3,$D43,$E43,$F43,AJ$3)</f>
        <v>0</v>
      </c>
      <c r="AK43" s="25" cm="1">
        <f t="array" ref="AK43">_xll.DBRW($E$2,AJ$1,AJ$2,$D$18,$D$3,$D43,$E43,$F43,$F$3,AK$3)</f>
        <v>0</v>
      </c>
      <c r="AL43" s="25">
        <f>_xll.DBRW($C$2,$AJ$1,AJ$2,$D$18,$D$3,$D43,$E43,$F43,AL$3)</f>
        <v>1</v>
      </c>
      <c r="AM43" s="64">
        <f>_xll.DBRW($C$2,$AJ$1,AJ$2,$D$18,$D$3,$D43,$E43,$F43,AM$3)</f>
        <v>0</v>
      </c>
      <c r="AN43" s="58">
        <f>_xll.DBRW($C$2,$AJ$1,AJ$2,$D$18,$D$3,$D43,$E43,$F43,AN$3)</f>
        <v>0</v>
      </c>
      <c r="AO43" s="48">
        <f t="shared" si="28"/>
        <v>1</v>
      </c>
      <c r="AP43" s="39">
        <f>_xll.DBRW($C$2,$AP$1,AP$2,$D$18,$D$3,$D43,$E43,$F43,AP$3)</f>
        <v>0</v>
      </c>
      <c r="AQ43" s="25" cm="1">
        <f t="array" ref="AQ43">_xll.DBRW($E$2,AP$1,AP$2,$D$18,$D$3,$D43,$E43,$F43,$F$3,AQ$3)</f>
        <v>0</v>
      </c>
      <c r="AR43" s="25">
        <f>_xll.DBRW($C$2,$AP$1,AP$2,$D$18,$D$3,$D43,$E43,$F43,AR$3)</f>
        <v>1</v>
      </c>
      <c r="AS43" s="64">
        <f>_xll.DBRW($C$2,$AP$1,AP$2,$D$18,$D$3,$D43,$E43,$F43,AS$3)</f>
        <v>0</v>
      </c>
      <c r="AT43" s="58">
        <f>_xll.DBRW($C$2,$AP$1,AP$2,$D$18,$D$3,$D43,$E43,$F43,AT$3)</f>
        <v>0</v>
      </c>
      <c r="AU43" s="48">
        <f t="shared" si="29"/>
        <v>0</v>
      </c>
      <c r="AV43" s="39">
        <f>_xll.DBRW($C$2,$AV$1,AV$2,$D$18,$D$3,$D43,$E43,$F43,AV$3)</f>
        <v>0</v>
      </c>
      <c r="AW43" s="25" cm="1">
        <f t="array" ref="AW43">_xll.DBRW($E$2,AV$1,AV$2,$D$18,$D$3,$D43,$E43,$F43,$F$3,AW$3)</f>
        <v>0</v>
      </c>
      <c r="AX43" s="25">
        <f>_xll.DBRW($C$2,$AV$1,AV$2,$D$18,$D$3,$D43,$E43,$F43,AX$3)</f>
        <v>1</v>
      </c>
      <c r="AY43" s="64">
        <f>_xll.DBRW($C$2,$AV$1,AV$2,$D$18,$D$3,$D43,$E43,$F43,AY$3)</f>
        <v>0</v>
      </c>
      <c r="AZ43" s="58">
        <f>_xll.DBRW($C$2,$AV$1,AV$2,$D$18,$D$3,$D43,$E43,$F43,AZ$3)</f>
        <v>0</v>
      </c>
      <c r="BA43" s="48">
        <f t="shared" si="30"/>
        <v>-1</v>
      </c>
      <c r="BB43" s="39">
        <f>_xll.DBRW($C$2,$BB$1,BB$2,$D$18,$D$3,$D43,$E43,$F43,BB$3)</f>
        <v>0</v>
      </c>
      <c r="BC43" s="25" cm="1">
        <f t="array" ref="BC43">_xll.DBRW($E$2,BB$1,BB$2,$D$18,$D$3,$D43,$E43,$F43,$F$3,BC$3)</f>
        <v>0</v>
      </c>
      <c r="BD43" s="25">
        <f>_xll.DBRW($C$2,$BB$1,BB$2,$D$18,$D$3,$D43,$E43,$F43,BD$3)</f>
        <v>1</v>
      </c>
      <c r="BE43" s="64">
        <f>_xll.DBRW($C$2,$BB$1,BB$2,$D$18,$D$3,$D43,$E43,$F43,BE$3)</f>
        <v>0</v>
      </c>
      <c r="BF43" s="58">
        <f>_xll.DBRW($C$2,$BB$1,BB$2,$D$18,$D$3,$D43,$E43,$F43,BF$3)</f>
        <v>0</v>
      </c>
      <c r="BG43" s="48">
        <f t="shared" si="31"/>
        <v>-2</v>
      </c>
      <c r="BH43" s="39">
        <f>_xll.DBRW($C$2,$BH$1,BH$2,$D$18,$D$3,$D43,$E43,$F43,BH$3)</f>
        <v>0</v>
      </c>
      <c r="BI43" s="25" cm="1">
        <f t="array" ref="BI43">_xll.DBRW($E$2,BH$1,BH$2,$D$18,$D$3,$D43,$E43,$F43,$F$3,BI$3)</f>
        <v>0</v>
      </c>
      <c r="BJ43" s="25">
        <f>_xll.DBRW($C$2,$BH$1,BH$2,$D$18,$D$3,$D43,$E43,$F43,BJ$3)</f>
        <v>1</v>
      </c>
      <c r="BK43" s="64">
        <f>_xll.DBRW($C$2,$BH$1,BH$2,$D$18,$D$3,$D43,$E43,$F43,BK$3)</f>
        <v>0</v>
      </c>
      <c r="BL43" s="58">
        <f>_xll.DBRW($C$2,$BH$1,BH$2,$D$18,$D$3,$D43,$E43,$F43,BL$3)</f>
        <v>0</v>
      </c>
      <c r="BM43" s="48">
        <f t="shared" si="32"/>
        <v>-3</v>
      </c>
      <c r="BN43" s="39">
        <f>_xll.DBRW($C$2,$BN$1,BN$2,$D$18,$D$3,$D43,$E43,$F43,BN$3)</f>
        <v>0</v>
      </c>
      <c r="BO43" s="25" cm="1">
        <f t="array" ref="BO43">_xll.DBRW($E$2,BN$1,BN$2,$D$18,$D$3,$D43,$E43,$F43,$F$3,BO$3)</f>
        <v>0</v>
      </c>
      <c r="BP43" s="25">
        <f>_xll.DBRW($C$2,$BN$1,BN$2,$D$18,$D$3,$D43,$E43,$F43,BP$3)</f>
        <v>1</v>
      </c>
      <c r="BQ43" s="64">
        <f>_xll.DBRW($C$2,$BN$1,BN$2,$D$18,$D$3,$D43,$E43,$F43,BQ$3)</f>
        <v>0</v>
      </c>
      <c r="BR43" s="58">
        <f>_xll.DBRW($C$2,$BN$1,BN$2,$D$18,$D$3,$D43,$E43,$F43,BR$3)</f>
        <v>0</v>
      </c>
      <c r="BS43" s="48">
        <f t="shared" si="33"/>
        <v>-4</v>
      </c>
      <c r="BT43" s="39">
        <f>_xll.DBRW($C$2,$BT$1,BT$2,$D$18,$D$3,$D43,$E43,$F43,BT$3)</f>
        <v>0</v>
      </c>
      <c r="BU43" s="25" cm="1">
        <f t="array" ref="BU43">_xll.DBRW($E$2,BT$1,BT$2,$D$18,$D$3,$D43,$E43,$F43,$F$3,BU$3)</f>
        <v>0</v>
      </c>
      <c r="BV43" s="25">
        <f>_xll.DBRW($C$2,$BT$1,BT$2,$D$18,$D$3,$D43,$E43,$F43,BV$3)</f>
        <v>1</v>
      </c>
      <c r="BW43" s="64">
        <f>_xll.DBRW($C$2,$BT$1,BT$2,$D$18,$D$3,$D43,$E43,$F43,BW$3)</f>
        <v>0</v>
      </c>
      <c r="BX43" s="58">
        <f>_xll.DBRW($C$2,$BT$1,BT$2,$D$18,$D$3,$D43,$E43,$F43,BX$3)</f>
        <v>0</v>
      </c>
      <c r="BY43" s="48">
        <f t="shared" si="34"/>
        <v>-5</v>
      </c>
      <c r="BZ43" s="39">
        <f>_xll.DBRW($C$2,$BZ$1,BZ$2,$D$18,$D$3,$D43,$E43,$F43,BZ$3)</f>
        <v>0</v>
      </c>
      <c r="CA43" s="25" cm="1">
        <f t="array" ref="CA43">_xll.DBRW($E$2,BZ$1,BZ$2,$D$18,$D$3,$D43,$E43,$F43,$F$3,CA$3)</f>
        <v>0</v>
      </c>
      <c r="CB43" s="25">
        <f>_xll.DBRW($C$2,$BZ$1,BZ$2,$D$18,$D$3,$D43,$E43,$F43,CB$3)</f>
        <v>1</v>
      </c>
      <c r="CC43" s="64">
        <f>_xll.DBRW($C$2,$BZ$1,BZ$2,$D$18,$D$3,$D43,$E43,$F43,CC$3)</f>
        <v>0</v>
      </c>
      <c r="CD43" s="58">
        <f>_xll.DBRW($C$2,$BZ$1,BZ$2,$D$18,$D$3,$D43,$E43,$F43,CD$3)</f>
        <v>0</v>
      </c>
      <c r="CE43" s="48">
        <f t="shared" si="35"/>
        <v>-6</v>
      </c>
    </row>
    <row r="44" spans="1:83" s="23" customFormat="1" outlineLevel="1" thickBot="1" x14ac:dyDescent="0.3">
      <c r="A44" s="91" t="str">
        <f>IF(_xll.TM1RPTELISCONSOLIDATED($F$22,$F44),IF(_xll.TM1RPTELLEV($F$22,$F44)&lt;=5,_xll.TM1RPTELLEV($F$22,$F44),"Default"),"Leaf")</f>
        <v>Leaf</v>
      </c>
      <c r="B44" s="24" t="str">
        <f>_xll.DBRW("TM1-S1_DEV:}ElementAttributes_SP_SKU",$D44,B$1)</f>
        <v>Primary</v>
      </c>
      <c r="C44" s="24" t="str">
        <f>_xll.DBRW("TM1-S1_DEV:}ElementAttributes_SP_SKU",$D44,C$1)</f>
        <v>SIDES</v>
      </c>
      <c r="D44" s="28" t="s">
        <v>371</v>
      </c>
      <c r="E44" s="28" t="s">
        <v>198</v>
      </c>
      <c r="F44" s="28" t="s">
        <v>15</v>
      </c>
      <c r="G44" s="4">
        <f>_xll.DBRW($C$2,$G$19,G$20,$D$18,$D$3,$D44,$E44,$F44,G$3)</f>
        <v>55</v>
      </c>
      <c r="H44" s="54">
        <f t="shared" si="24"/>
        <v>0</v>
      </c>
      <c r="I44" s="4"/>
      <c r="J44" s="25">
        <f>_xll.DBRW($C$2,$J$1,J$2,$D$18,$D$3,$D44,$E44,$F44,J$3)</f>
        <v>55</v>
      </c>
      <c r="K44" s="39">
        <f>_xll.DBRW($C$2,$J$1,J$2,$D$18,$D$3,$D44,$E44,$F44,K$3)</f>
        <v>0</v>
      </c>
      <c r="L44" s="25">
        <f>_xll.DBRW($C$2,$J$1,J$2,$D$18,$D$3,$D44,$E44,$F44,L$3)</f>
        <v>0</v>
      </c>
      <c r="M44" s="25">
        <f>_xll.DBRW($C$2,$J$1,J$2,$D$18,$D$3,$D44,$E44,$F44,M$3)</f>
        <v>0</v>
      </c>
      <c r="N44" s="25">
        <f>_xll.DBRW($C$2,$J$1,J$2,$D$18,$D$3,$D44,$E44,$F44,N$3)</f>
        <v>34</v>
      </c>
      <c r="O44" s="64">
        <f>_xll.DBRW($C$2,$J$1,J$2,$D$18,$D$3,$D44,$E44,$F44,O$3)</f>
        <v>1</v>
      </c>
      <c r="P44" s="58">
        <f>_xll.DBRW($C$2,$J$1,J$2,$D$18,$D$3,$D44,$E44,$F44,P$3)</f>
        <v>0</v>
      </c>
      <c r="Q44" s="48">
        <f>_xll.DBRW($C$2,$J$1,J$2,$D$18,$D$3,$D44,$E44,$F44,Q$3)</f>
        <v>21</v>
      </c>
      <c r="R44" s="39">
        <f>_xll.DBRW($C$2,$R$1,R$2,$D$18,$D$3,$D44,$E44,$F44,R$3)</f>
        <v>0</v>
      </c>
      <c r="S44" s="25" cm="1">
        <f t="array" ref="S44">_xll.DBRW($E$2,R$1,R$2,$D$18,$D$3,$D44,$E44,$F44,$F$3,S$3)</f>
        <v>0</v>
      </c>
      <c r="T44" s="25">
        <f>_xll.DBRW($C$2,$R$1,R$2,$D$18,$D$3,$D44,$E44,$F44,T$3)</f>
        <v>0</v>
      </c>
      <c r="U44" s="64">
        <f>_xll.DBRW($C$2,$R$1,R$2,$D$18,$D$3,$D44,$E44,$F44,U$3)</f>
        <v>0</v>
      </c>
      <c r="V44" s="58">
        <f>_xll.DBRW($C$2,$R$1,R$2,$D$18,$D$3,$D44,$E44,$F44,V$3)</f>
        <v>0</v>
      </c>
      <c r="W44" s="48">
        <f t="shared" si="25"/>
        <v>21</v>
      </c>
      <c r="X44" s="39">
        <f>_xll.DBRW($C$2,$X$1,X$2,$D$18,$D$3,$D44,$E44,$F44,X$3)</f>
        <v>0</v>
      </c>
      <c r="Y44" s="25" cm="1">
        <f t="array" ref="Y44">_xll.DBRW($E$2,X$1,X$2,$D$18,$D$3,$D44,$E44,$F44,$F$3,Y$3)</f>
        <v>0</v>
      </c>
      <c r="Z44" s="25">
        <f>_xll.DBRW($C$2,$X$1,X$2,$D$18,$D$3,$D44,$E44,$F44,Z$3)</f>
        <v>2</v>
      </c>
      <c r="AA44" s="64">
        <f>_xll.DBRW($C$2,$X$1,X$2,$D$18,$D$3,$D44,$E44,$F44,AA$3)</f>
        <v>0</v>
      </c>
      <c r="AB44" s="58">
        <f>_xll.DBRW($C$2,$X$1,X$2,$D$18,$D$3,$D44,$E44,$F44,AB$3)</f>
        <v>0</v>
      </c>
      <c r="AC44" s="48">
        <f t="shared" si="26"/>
        <v>19</v>
      </c>
      <c r="AD44" s="39">
        <f>_xll.DBRW($C$2,$AD$1,AD$2,$D$18,$D$3,$D44,$E44,$F44,AD$3)</f>
        <v>0</v>
      </c>
      <c r="AE44" s="25" cm="1">
        <f t="array" ref="AE44">_xll.DBRW($E$2,AD$1,AD$2,$D$18,$D$3,$D44,$E44,$F44,$F$3,AE$3)</f>
        <v>0</v>
      </c>
      <c r="AF44" s="25">
        <f>_xll.DBRW($C$2,$AD$1,AD$2,$D$18,$D$3,$D44,$E44,$F44,AF$3)</f>
        <v>2</v>
      </c>
      <c r="AG44" s="64">
        <f>_xll.DBRW($C$2,$AD$1,AD$2,$D$18,$D$3,$D44,$E44,$F44,AG$3)</f>
        <v>0</v>
      </c>
      <c r="AH44" s="58">
        <f>_xll.DBRW($C$2,$AD$1,AD$2,$D$18,$D$3,$D44,$E44,$F44,AH$3)</f>
        <v>0</v>
      </c>
      <c r="AI44" s="48">
        <f t="shared" si="27"/>
        <v>17</v>
      </c>
      <c r="AJ44" s="39">
        <f>_xll.DBRW($C$2,$AJ$1,AJ$2,$D$18,$D$3,$D44,$E44,$F44,AJ$3)</f>
        <v>0</v>
      </c>
      <c r="AK44" s="25" cm="1">
        <f t="array" ref="AK44">_xll.DBRW($E$2,AJ$1,AJ$2,$D$18,$D$3,$D44,$E44,$F44,$F$3,AK$3)</f>
        <v>0</v>
      </c>
      <c r="AL44" s="25">
        <f>_xll.DBRW($C$2,$AJ$1,AJ$2,$D$18,$D$3,$D44,$E44,$F44,AL$3)</f>
        <v>2</v>
      </c>
      <c r="AM44" s="64">
        <f>_xll.DBRW($C$2,$AJ$1,AJ$2,$D$18,$D$3,$D44,$E44,$F44,AM$3)</f>
        <v>0</v>
      </c>
      <c r="AN44" s="58">
        <f>_xll.DBRW($C$2,$AJ$1,AJ$2,$D$18,$D$3,$D44,$E44,$F44,AN$3)</f>
        <v>0</v>
      </c>
      <c r="AO44" s="48">
        <f t="shared" si="28"/>
        <v>15</v>
      </c>
      <c r="AP44" s="39">
        <f>_xll.DBRW($C$2,$AP$1,AP$2,$D$18,$D$3,$D44,$E44,$F44,AP$3)</f>
        <v>0</v>
      </c>
      <c r="AQ44" s="25" cm="1">
        <f t="array" ref="AQ44">_xll.DBRW($E$2,AP$1,AP$2,$D$18,$D$3,$D44,$E44,$F44,$F$3,AQ$3)</f>
        <v>0</v>
      </c>
      <c r="AR44" s="25">
        <f>_xll.DBRW($C$2,$AP$1,AP$2,$D$18,$D$3,$D44,$E44,$F44,AR$3)</f>
        <v>2</v>
      </c>
      <c r="AS44" s="64">
        <f>_xll.DBRW($C$2,$AP$1,AP$2,$D$18,$D$3,$D44,$E44,$F44,AS$3)</f>
        <v>0</v>
      </c>
      <c r="AT44" s="58">
        <f>_xll.DBRW($C$2,$AP$1,AP$2,$D$18,$D$3,$D44,$E44,$F44,AT$3)</f>
        <v>0</v>
      </c>
      <c r="AU44" s="48">
        <f t="shared" si="29"/>
        <v>13</v>
      </c>
      <c r="AV44" s="39">
        <f>_xll.DBRW($C$2,$AV$1,AV$2,$D$18,$D$3,$D44,$E44,$F44,AV$3)</f>
        <v>0</v>
      </c>
      <c r="AW44" s="25" cm="1">
        <f t="array" ref="AW44">_xll.DBRW($E$2,AV$1,AV$2,$D$18,$D$3,$D44,$E44,$F44,$F$3,AW$3)</f>
        <v>0</v>
      </c>
      <c r="AX44" s="25">
        <f>_xll.DBRW($C$2,$AV$1,AV$2,$D$18,$D$3,$D44,$E44,$F44,AX$3)</f>
        <v>2</v>
      </c>
      <c r="AY44" s="64">
        <f>_xll.DBRW($C$2,$AV$1,AV$2,$D$18,$D$3,$D44,$E44,$F44,AY$3)</f>
        <v>0</v>
      </c>
      <c r="AZ44" s="58">
        <f>_xll.DBRW($C$2,$AV$1,AV$2,$D$18,$D$3,$D44,$E44,$F44,AZ$3)</f>
        <v>0</v>
      </c>
      <c r="BA44" s="48">
        <f t="shared" si="30"/>
        <v>11</v>
      </c>
      <c r="BB44" s="39">
        <f>_xll.DBRW($C$2,$BB$1,BB$2,$D$18,$D$3,$D44,$E44,$F44,BB$3)</f>
        <v>0</v>
      </c>
      <c r="BC44" s="25" cm="1">
        <f t="array" ref="BC44">_xll.DBRW($E$2,BB$1,BB$2,$D$18,$D$3,$D44,$E44,$F44,$F$3,BC$3)</f>
        <v>0</v>
      </c>
      <c r="BD44" s="25">
        <f>_xll.DBRW($C$2,$BB$1,BB$2,$D$18,$D$3,$D44,$E44,$F44,BD$3)</f>
        <v>2</v>
      </c>
      <c r="BE44" s="64">
        <f>_xll.DBRW($C$2,$BB$1,BB$2,$D$18,$D$3,$D44,$E44,$F44,BE$3)</f>
        <v>0</v>
      </c>
      <c r="BF44" s="58">
        <f>_xll.DBRW($C$2,$BB$1,BB$2,$D$18,$D$3,$D44,$E44,$F44,BF$3)</f>
        <v>0</v>
      </c>
      <c r="BG44" s="48">
        <f t="shared" si="31"/>
        <v>9</v>
      </c>
      <c r="BH44" s="39">
        <f>_xll.DBRW($C$2,$BH$1,BH$2,$D$18,$D$3,$D44,$E44,$F44,BH$3)</f>
        <v>0</v>
      </c>
      <c r="BI44" s="25" cm="1">
        <f t="array" ref="BI44">_xll.DBRW($E$2,BH$1,BH$2,$D$18,$D$3,$D44,$E44,$F44,$F$3,BI$3)</f>
        <v>0</v>
      </c>
      <c r="BJ44" s="25">
        <f>_xll.DBRW($C$2,$BH$1,BH$2,$D$18,$D$3,$D44,$E44,$F44,BJ$3)</f>
        <v>2</v>
      </c>
      <c r="BK44" s="64">
        <f>_xll.DBRW($C$2,$BH$1,BH$2,$D$18,$D$3,$D44,$E44,$F44,BK$3)</f>
        <v>0</v>
      </c>
      <c r="BL44" s="58">
        <f>_xll.DBRW($C$2,$BH$1,BH$2,$D$18,$D$3,$D44,$E44,$F44,BL$3)</f>
        <v>0</v>
      </c>
      <c r="BM44" s="48">
        <f t="shared" si="32"/>
        <v>7</v>
      </c>
      <c r="BN44" s="39">
        <f>_xll.DBRW($C$2,$BN$1,BN$2,$D$18,$D$3,$D44,$E44,$F44,BN$3)</f>
        <v>0</v>
      </c>
      <c r="BO44" s="25" cm="1">
        <f t="array" ref="BO44">_xll.DBRW($E$2,BN$1,BN$2,$D$18,$D$3,$D44,$E44,$F44,$F$3,BO$3)</f>
        <v>0</v>
      </c>
      <c r="BP44" s="25">
        <f>_xll.DBRW($C$2,$BN$1,BN$2,$D$18,$D$3,$D44,$E44,$F44,BP$3)</f>
        <v>2</v>
      </c>
      <c r="BQ44" s="64">
        <f>_xll.DBRW($C$2,$BN$1,BN$2,$D$18,$D$3,$D44,$E44,$F44,BQ$3)</f>
        <v>0</v>
      </c>
      <c r="BR44" s="58">
        <f>_xll.DBRW($C$2,$BN$1,BN$2,$D$18,$D$3,$D44,$E44,$F44,BR$3)</f>
        <v>0</v>
      </c>
      <c r="BS44" s="48">
        <f t="shared" si="33"/>
        <v>5</v>
      </c>
      <c r="BT44" s="39">
        <f>_xll.DBRW($C$2,$BT$1,BT$2,$D$18,$D$3,$D44,$E44,$F44,BT$3)</f>
        <v>0</v>
      </c>
      <c r="BU44" s="25" cm="1">
        <f t="array" ref="BU44">_xll.DBRW($E$2,BT$1,BT$2,$D$18,$D$3,$D44,$E44,$F44,$F$3,BU$3)</f>
        <v>0</v>
      </c>
      <c r="BV44" s="25">
        <f>_xll.DBRW($C$2,$BT$1,BT$2,$D$18,$D$3,$D44,$E44,$F44,BV$3)</f>
        <v>2</v>
      </c>
      <c r="BW44" s="64">
        <f>_xll.DBRW($C$2,$BT$1,BT$2,$D$18,$D$3,$D44,$E44,$F44,BW$3)</f>
        <v>0</v>
      </c>
      <c r="BX44" s="58">
        <f>_xll.DBRW($C$2,$BT$1,BT$2,$D$18,$D$3,$D44,$E44,$F44,BX$3)</f>
        <v>0</v>
      </c>
      <c r="BY44" s="48">
        <f t="shared" si="34"/>
        <v>3</v>
      </c>
      <c r="BZ44" s="39">
        <f>_xll.DBRW($C$2,$BZ$1,BZ$2,$D$18,$D$3,$D44,$E44,$F44,BZ$3)</f>
        <v>0</v>
      </c>
      <c r="CA44" s="25" cm="1">
        <f t="array" ref="CA44">_xll.DBRW($E$2,BZ$1,BZ$2,$D$18,$D$3,$D44,$E44,$F44,$F$3,CA$3)</f>
        <v>0</v>
      </c>
      <c r="CB44" s="25">
        <f>_xll.DBRW($C$2,$BZ$1,BZ$2,$D$18,$D$3,$D44,$E44,$F44,CB$3)</f>
        <v>2</v>
      </c>
      <c r="CC44" s="64">
        <f>_xll.DBRW($C$2,$BZ$1,BZ$2,$D$18,$D$3,$D44,$E44,$F44,CC$3)</f>
        <v>0</v>
      </c>
      <c r="CD44" s="58">
        <f>_xll.DBRW($C$2,$BZ$1,BZ$2,$D$18,$D$3,$D44,$E44,$F44,CD$3)</f>
        <v>0</v>
      </c>
      <c r="CE44" s="48">
        <f t="shared" si="35"/>
        <v>1</v>
      </c>
    </row>
    <row r="45" spans="1:83" s="23" customFormat="1" outlineLevel="1" thickBot="1" x14ac:dyDescent="0.3">
      <c r="A45" s="91" t="str">
        <f>IF(_xll.TM1RPTELISCONSOLIDATED($F$22,$F45),IF(_xll.TM1RPTELLEV($F$22,$F45)&lt;=5,_xll.TM1RPTELLEV($F$22,$F45),"Default"),"Leaf")</f>
        <v>Leaf</v>
      </c>
      <c r="B45" s="24" t="str">
        <f>_xll.DBRW("TM1-S1_DEV:}ElementAttributes_SP_SKU",$D45,B$1)</f>
        <v>Primary</v>
      </c>
      <c r="C45" s="24" t="str">
        <f>_xll.DBRW("TM1-S1_DEV:}ElementAttributes_SP_SKU",$D45,C$1)</f>
        <v>SIDES</v>
      </c>
      <c r="D45" s="28" t="s">
        <v>372</v>
      </c>
      <c r="E45" s="28" t="s">
        <v>199</v>
      </c>
      <c r="F45" s="28" t="s">
        <v>15</v>
      </c>
      <c r="G45" s="4">
        <f>_xll.DBRW($C$2,$G$19,G$20,$D$18,$D$3,$D45,$E45,$F45,G$3)</f>
        <v>60</v>
      </c>
      <c r="H45" s="54">
        <f t="shared" si="24"/>
        <v>-2</v>
      </c>
      <c r="I45" s="4"/>
      <c r="J45" s="25">
        <f>_xll.DBRW($C$2,$J$1,J$2,$D$18,$D$3,$D45,$E45,$F45,J$3)</f>
        <v>58</v>
      </c>
      <c r="K45" s="39">
        <f>_xll.DBRW($C$2,$J$1,J$2,$D$18,$D$3,$D45,$E45,$F45,K$3)</f>
        <v>0</v>
      </c>
      <c r="L45" s="25">
        <f>_xll.DBRW($C$2,$J$1,J$2,$D$18,$D$3,$D45,$E45,$F45,L$3)</f>
        <v>0</v>
      </c>
      <c r="M45" s="25">
        <f>_xll.DBRW($C$2,$J$1,J$2,$D$18,$D$3,$D45,$E45,$F45,M$3)</f>
        <v>0</v>
      </c>
      <c r="N45" s="25">
        <f>_xll.DBRW($C$2,$J$1,J$2,$D$18,$D$3,$D45,$E45,$F45,N$3)</f>
        <v>48</v>
      </c>
      <c r="O45" s="64">
        <f>_xll.DBRW($C$2,$J$1,J$2,$D$18,$D$3,$D45,$E45,$F45,O$3)</f>
        <v>1</v>
      </c>
      <c r="P45" s="58">
        <f>_xll.DBRW($C$2,$J$1,J$2,$D$18,$D$3,$D45,$E45,$F45,P$3)</f>
        <v>0</v>
      </c>
      <c r="Q45" s="48">
        <f>_xll.DBRW($C$2,$J$1,J$2,$D$18,$D$3,$D45,$E45,$F45,Q$3)</f>
        <v>10</v>
      </c>
      <c r="R45" s="39">
        <f>_xll.DBRW($C$2,$R$1,R$2,$D$18,$D$3,$D45,$E45,$F45,R$3)</f>
        <v>0</v>
      </c>
      <c r="S45" s="25" cm="1">
        <f t="array" ref="S45">_xll.DBRW($E$2,R$1,R$2,$D$18,$D$3,$D45,$E45,$F45,$F$3,S$3)</f>
        <v>0</v>
      </c>
      <c r="T45" s="25">
        <f>_xll.DBRW($C$2,$R$1,R$2,$D$18,$D$3,$D45,$E45,$F45,T$3)</f>
        <v>0</v>
      </c>
      <c r="U45" s="64">
        <f>_xll.DBRW($C$2,$R$1,R$2,$D$18,$D$3,$D45,$E45,$F45,U$3)</f>
        <v>0</v>
      </c>
      <c r="V45" s="58">
        <f>_xll.DBRW($C$2,$R$1,R$2,$D$18,$D$3,$D45,$E45,$F45,V$3)</f>
        <v>0</v>
      </c>
      <c r="W45" s="48">
        <f t="shared" si="25"/>
        <v>10</v>
      </c>
      <c r="X45" s="39">
        <f>_xll.DBRW($C$2,$X$1,X$2,$D$18,$D$3,$D45,$E45,$F45,X$3)</f>
        <v>0</v>
      </c>
      <c r="Y45" s="25" cm="1">
        <f t="array" ref="Y45">_xll.DBRW($E$2,X$1,X$2,$D$18,$D$3,$D45,$E45,$F45,$F$3,Y$3)</f>
        <v>0</v>
      </c>
      <c r="Z45" s="25">
        <f>_xll.DBRW($C$2,$X$1,X$2,$D$18,$D$3,$D45,$E45,$F45,Z$3)</f>
        <v>1</v>
      </c>
      <c r="AA45" s="64">
        <f>_xll.DBRW($C$2,$X$1,X$2,$D$18,$D$3,$D45,$E45,$F45,AA$3)</f>
        <v>0</v>
      </c>
      <c r="AB45" s="58">
        <f>_xll.DBRW($C$2,$X$1,X$2,$D$18,$D$3,$D45,$E45,$F45,AB$3)</f>
        <v>0</v>
      </c>
      <c r="AC45" s="48">
        <f t="shared" si="26"/>
        <v>9</v>
      </c>
      <c r="AD45" s="39">
        <f>_xll.DBRW($C$2,$AD$1,AD$2,$D$18,$D$3,$D45,$E45,$F45,AD$3)</f>
        <v>0</v>
      </c>
      <c r="AE45" s="25" cm="1">
        <f t="array" ref="AE45">_xll.DBRW($E$2,AD$1,AD$2,$D$18,$D$3,$D45,$E45,$F45,$F$3,AE$3)</f>
        <v>0</v>
      </c>
      <c r="AF45" s="25">
        <f>_xll.DBRW($C$2,$AD$1,AD$2,$D$18,$D$3,$D45,$E45,$F45,AF$3)</f>
        <v>1</v>
      </c>
      <c r="AG45" s="64">
        <f>_xll.DBRW($C$2,$AD$1,AD$2,$D$18,$D$3,$D45,$E45,$F45,AG$3)</f>
        <v>0</v>
      </c>
      <c r="AH45" s="58">
        <f>_xll.DBRW($C$2,$AD$1,AD$2,$D$18,$D$3,$D45,$E45,$F45,AH$3)</f>
        <v>0</v>
      </c>
      <c r="AI45" s="48">
        <f t="shared" si="27"/>
        <v>8</v>
      </c>
      <c r="AJ45" s="39">
        <f>_xll.DBRW($C$2,$AJ$1,AJ$2,$D$18,$D$3,$D45,$E45,$F45,AJ$3)</f>
        <v>0</v>
      </c>
      <c r="AK45" s="25" cm="1">
        <f t="array" ref="AK45">_xll.DBRW($E$2,AJ$1,AJ$2,$D$18,$D$3,$D45,$E45,$F45,$F$3,AK$3)</f>
        <v>0</v>
      </c>
      <c r="AL45" s="25">
        <f>_xll.DBRW($C$2,$AJ$1,AJ$2,$D$18,$D$3,$D45,$E45,$F45,AL$3)</f>
        <v>1</v>
      </c>
      <c r="AM45" s="64">
        <f>_xll.DBRW($C$2,$AJ$1,AJ$2,$D$18,$D$3,$D45,$E45,$F45,AM$3)</f>
        <v>0</v>
      </c>
      <c r="AN45" s="58">
        <f>_xll.DBRW($C$2,$AJ$1,AJ$2,$D$18,$D$3,$D45,$E45,$F45,AN$3)</f>
        <v>0</v>
      </c>
      <c r="AO45" s="48">
        <f t="shared" si="28"/>
        <v>7</v>
      </c>
      <c r="AP45" s="39">
        <f>_xll.DBRW($C$2,$AP$1,AP$2,$D$18,$D$3,$D45,$E45,$F45,AP$3)</f>
        <v>0</v>
      </c>
      <c r="AQ45" s="25" cm="1">
        <f t="array" ref="AQ45">_xll.DBRW($E$2,AP$1,AP$2,$D$18,$D$3,$D45,$E45,$F45,$F$3,AQ$3)</f>
        <v>0</v>
      </c>
      <c r="AR45" s="25">
        <f>_xll.DBRW($C$2,$AP$1,AP$2,$D$18,$D$3,$D45,$E45,$F45,AR$3)</f>
        <v>1</v>
      </c>
      <c r="AS45" s="64">
        <f>_xll.DBRW($C$2,$AP$1,AP$2,$D$18,$D$3,$D45,$E45,$F45,AS$3)</f>
        <v>0</v>
      </c>
      <c r="AT45" s="58">
        <f>_xll.DBRW($C$2,$AP$1,AP$2,$D$18,$D$3,$D45,$E45,$F45,AT$3)</f>
        <v>0</v>
      </c>
      <c r="AU45" s="48">
        <f t="shared" si="29"/>
        <v>6</v>
      </c>
      <c r="AV45" s="39">
        <f>_xll.DBRW($C$2,$AV$1,AV$2,$D$18,$D$3,$D45,$E45,$F45,AV$3)</f>
        <v>0</v>
      </c>
      <c r="AW45" s="25" cm="1">
        <f t="array" ref="AW45">_xll.DBRW($E$2,AV$1,AV$2,$D$18,$D$3,$D45,$E45,$F45,$F$3,AW$3)</f>
        <v>0</v>
      </c>
      <c r="AX45" s="25">
        <f>_xll.DBRW($C$2,$AV$1,AV$2,$D$18,$D$3,$D45,$E45,$F45,AX$3)</f>
        <v>1</v>
      </c>
      <c r="AY45" s="64">
        <f>_xll.DBRW($C$2,$AV$1,AV$2,$D$18,$D$3,$D45,$E45,$F45,AY$3)</f>
        <v>0</v>
      </c>
      <c r="AZ45" s="58">
        <f>_xll.DBRW($C$2,$AV$1,AV$2,$D$18,$D$3,$D45,$E45,$F45,AZ$3)</f>
        <v>0</v>
      </c>
      <c r="BA45" s="48">
        <f t="shared" si="30"/>
        <v>5</v>
      </c>
      <c r="BB45" s="39">
        <f>_xll.DBRW($C$2,$BB$1,BB$2,$D$18,$D$3,$D45,$E45,$F45,BB$3)</f>
        <v>0</v>
      </c>
      <c r="BC45" s="25" cm="1">
        <f t="array" ref="BC45">_xll.DBRW($E$2,BB$1,BB$2,$D$18,$D$3,$D45,$E45,$F45,$F$3,BC$3)</f>
        <v>0</v>
      </c>
      <c r="BD45" s="25">
        <f>_xll.DBRW($C$2,$BB$1,BB$2,$D$18,$D$3,$D45,$E45,$F45,BD$3)</f>
        <v>1</v>
      </c>
      <c r="BE45" s="64">
        <f>_xll.DBRW($C$2,$BB$1,BB$2,$D$18,$D$3,$D45,$E45,$F45,BE$3)</f>
        <v>0</v>
      </c>
      <c r="BF45" s="58">
        <f>_xll.DBRW($C$2,$BB$1,BB$2,$D$18,$D$3,$D45,$E45,$F45,BF$3)</f>
        <v>0</v>
      </c>
      <c r="BG45" s="48">
        <f t="shared" si="31"/>
        <v>4</v>
      </c>
      <c r="BH45" s="39">
        <f>_xll.DBRW($C$2,$BH$1,BH$2,$D$18,$D$3,$D45,$E45,$F45,BH$3)</f>
        <v>0</v>
      </c>
      <c r="BI45" s="25" cm="1">
        <f t="array" ref="BI45">_xll.DBRW($E$2,BH$1,BH$2,$D$18,$D$3,$D45,$E45,$F45,$F$3,BI$3)</f>
        <v>0</v>
      </c>
      <c r="BJ45" s="25">
        <f>_xll.DBRW($C$2,$BH$1,BH$2,$D$18,$D$3,$D45,$E45,$F45,BJ$3)</f>
        <v>1</v>
      </c>
      <c r="BK45" s="64">
        <f>_xll.DBRW($C$2,$BH$1,BH$2,$D$18,$D$3,$D45,$E45,$F45,BK$3)</f>
        <v>0</v>
      </c>
      <c r="BL45" s="58">
        <f>_xll.DBRW($C$2,$BH$1,BH$2,$D$18,$D$3,$D45,$E45,$F45,BL$3)</f>
        <v>0</v>
      </c>
      <c r="BM45" s="48">
        <f t="shared" si="32"/>
        <v>3</v>
      </c>
      <c r="BN45" s="39">
        <f>_xll.DBRW($C$2,$BN$1,BN$2,$D$18,$D$3,$D45,$E45,$F45,BN$3)</f>
        <v>0</v>
      </c>
      <c r="BO45" s="25" cm="1">
        <f t="array" ref="BO45">_xll.DBRW($E$2,BN$1,BN$2,$D$18,$D$3,$D45,$E45,$F45,$F$3,BO$3)</f>
        <v>0</v>
      </c>
      <c r="BP45" s="25">
        <f>_xll.DBRW($C$2,$BN$1,BN$2,$D$18,$D$3,$D45,$E45,$F45,BP$3)</f>
        <v>1</v>
      </c>
      <c r="BQ45" s="64">
        <f>_xll.DBRW($C$2,$BN$1,BN$2,$D$18,$D$3,$D45,$E45,$F45,BQ$3)</f>
        <v>0</v>
      </c>
      <c r="BR45" s="58">
        <f>_xll.DBRW($C$2,$BN$1,BN$2,$D$18,$D$3,$D45,$E45,$F45,BR$3)</f>
        <v>0</v>
      </c>
      <c r="BS45" s="48">
        <f t="shared" si="33"/>
        <v>2</v>
      </c>
      <c r="BT45" s="39">
        <f>_xll.DBRW($C$2,$BT$1,BT$2,$D$18,$D$3,$D45,$E45,$F45,BT$3)</f>
        <v>0</v>
      </c>
      <c r="BU45" s="25" cm="1">
        <f t="array" ref="BU45">_xll.DBRW($E$2,BT$1,BT$2,$D$18,$D$3,$D45,$E45,$F45,$F$3,BU$3)</f>
        <v>0</v>
      </c>
      <c r="BV45" s="25">
        <f>_xll.DBRW($C$2,$BT$1,BT$2,$D$18,$D$3,$D45,$E45,$F45,BV$3)</f>
        <v>1</v>
      </c>
      <c r="BW45" s="64">
        <f>_xll.DBRW($C$2,$BT$1,BT$2,$D$18,$D$3,$D45,$E45,$F45,BW$3)</f>
        <v>0</v>
      </c>
      <c r="BX45" s="58">
        <f>_xll.DBRW($C$2,$BT$1,BT$2,$D$18,$D$3,$D45,$E45,$F45,BX$3)</f>
        <v>0</v>
      </c>
      <c r="BY45" s="48">
        <f t="shared" si="34"/>
        <v>1</v>
      </c>
      <c r="BZ45" s="39">
        <f>_xll.DBRW($C$2,$BZ$1,BZ$2,$D$18,$D$3,$D45,$E45,$F45,BZ$3)</f>
        <v>0</v>
      </c>
      <c r="CA45" s="25" cm="1">
        <f t="array" ref="CA45">_xll.DBRW($E$2,BZ$1,BZ$2,$D$18,$D$3,$D45,$E45,$F45,$F$3,CA$3)</f>
        <v>0</v>
      </c>
      <c r="CB45" s="25">
        <f>_xll.DBRW($C$2,$BZ$1,BZ$2,$D$18,$D$3,$D45,$E45,$F45,CB$3)</f>
        <v>1</v>
      </c>
      <c r="CC45" s="64">
        <f>_xll.DBRW($C$2,$BZ$1,BZ$2,$D$18,$D$3,$D45,$E45,$F45,CC$3)</f>
        <v>0</v>
      </c>
      <c r="CD45" s="58">
        <f>_xll.DBRW($C$2,$BZ$1,BZ$2,$D$18,$D$3,$D45,$E45,$F45,CD$3)</f>
        <v>0</v>
      </c>
      <c r="CE45" s="48">
        <f t="shared" si="35"/>
        <v>0</v>
      </c>
    </row>
    <row r="46" spans="1:83" s="23" customFormat="1" outlineLevel="1" thickBot="1" x14ac:dyDescent="0.3">
      <c r="A46" s="91" t="str">
        <f>IF(_xll.TM1RPTELISCONSOLIDATED($F$22,$F46),IF(_xll.TM1RPTELLEV($F$22,$F46)&lt;=5,_xll.TM1RPTELLEV($F$22,$F46),"Default"),"Leaf")</f>
        <v>Leaf</v>
      </c>
      <c r="B46" s="24" t="str">
        <f>_xll.DBRW("TM1-S1_DEV:}ElementAttributes_SP_SKU",$D46,B$1)</f>
        <v>Primary</v>
      </c>
      <c r="C46" s="24" t="str">
        <f>_xll.DBRW("TM1-S1_DEV:}ElementAttributes_SP_SKU",$D46,C$1)</f>
        <v>SIDES</v>
      </c>
      <c r="D46" s="28" t="s">
        <v>482</v>
      </c>
      <c r="E46" s="28" t="s">
        <v>200</v>
      </c>
      <c r="F46" s="28" t="s">
        <v>15</v>
      </c>
      <c r="G46" s="4">
        <f>_xll.DBRW($C$2,$G$19,G$20,$D$18,$D$3,$D46,$E46,$F46,G$3)</f>
        <v>68</v>
      </c>
      <c r="H46" s="54">
        <f t="shared" si="24"/>
        <v>-32</v>
      </c>
      <c r="I46" s="4"/>
      <c r="J46" s="25">
        <f>_xll.DBRW($C$2,$J$1,J$2,$D$18,$D$3,$D46,$E46,$F46,J$3)</f>
        <v>36</v>
      </c>
      <c r="K46" s="39">
        <f>_xll.DBRW($C$2,$J$1,J$2,$D$18,$D$3,$D46,$E46,$F46,K$3)</f>
        <v>0</v>
      </c>
      <c r="L46" s="25">
        <f>_xll.DBRW($C$2,$J$1,J$2,$D$18,$D$3,$D46,$E46,$F46,L$3)</f>
        <v>0</v>
      </c>
      <c r="M46" s="25">
        <f>_xll.DBRW($C$2,$J$1,J$2,$D$18,$D$3,$D46,$E46,$F46,M$3)</f>
        <v>0</v>
      </c>
      <c r="N46" s="25">
        <f>_xll.DBRW($C$2,$J$1,J$2,$D$18,$D$3,$D46,$E46,$F46,N$3)</f>
        <v>0</v>
      </c>
      <c r="O46" s="64">
        <f>_xll.DBRW($C$2,$J$1,J$2,$D$18,$D$3,$D46,$E46,$F46,O$3)</f>
        <v>0</v>
      </c>
      <c r="P46" s="58">
        <f>_xll.DBRW($C$2,$J$1,J$2,$D$18,$D$3,$D46,$E46,$F46,P$3)</f>
        <v>0</v>
      </c>
      <c r="Q46" s="48">
        <f>_xll.DBRW($C$2,$J$1,J$2,$D$18,$D$3,$D46,$E46,$F46,Q$3)</f>
        <v>36</v>
      </c>
      <c r="R46" s="39">
        <f>_xll.DBRW($C$2,$R$1,R$2,$D$18,$D$3,$D46,$E46,$F46,R$3)</f>
        <v>0</v>
      </c>
      <c r="S46" s="25" cm="1">
        <f t="array" ref="S46">_xll.DBRW($E$2,R$1,R$2,$D$18,$D$3,$D46,$E46,$F46,$F$3,S$3)</f>
        <v>0</v>
      </c>
      <c r="T46" s="25">
        <f>_xll.DBRW($C$2,$R$1,R$2,$D$18,$D$3,$D46,$E46,$F46,T$3)</f>
        <v>0</v>
      </c>
      <c r="U46" s="64">
        <f>_xll.DBRW($C$2,$R$1,R$2,$D$18,$D$3,$D46,$E46,$F46,U$3)</f>
        <v>0</v>
      </c>
      <c r="V46" s="58">
        <f>_xll.DBRW($C$2,$R$1,R$2,$D$18,$D$3,$D46,$E46,$F46,V$3)</f>
        <v>0</v>
      </c>
      <c r="W46" s="48">
        <f t="shared" si="25"/>
        <v>36</v>
      </c>
      <c r="X46" s="39">
        <f>_xll.DBRW($C$2,$X$1,X$2,$D$18,$D$3,$D46,$E46,$F46,X$3)</f>
        <v>0</v>
      </c>
      <c r="Y46" s="25" cm="1">
        <f t="array" ref="Y46">_xll.DBRW($E$2,X$1,X$2,$D$18,$D$3,$D46,$E46,$F46,$F$3,Y$3)</f>
        <v>0</v>
      </c>
      <c r="Z46" s="25">
        <f>_xll.DBRW($C$2,$X$1,X$2,$D$18,$D$3,$D46,$E46,$F46,Z$3)</f>
        <v>0</v>
      </c>
      <c r="AA46" s="64">
        <f>_xll.DBRW($C$2,$X$1,X$2,$D$18,$D$3,$D46,$E46,$F46,AA$3)</f>
        <v>0</v>
      </c>
      <c r="AB46" s="58">
        <f>_xll.DBRW($C$2,$X$1,X$2,$D$18,$D$3,$D46,$E46,$F46,AB$3)</f>
        <v>0</v>
      </c>
      <c r="AC46" s="48">
        <f t="shared" si="26"/>
        <v>36</v>
      </c>
      <c r="AD46" s="39">
        <f>_xll.DBRW($C$2,$AD$1,AD$2,$D$18,$D$3,$D46,$E46,$F46,AD$3)</f>
        <v>0</v>
      </c>
      <c r="AE46" s="25" cm="1">
        <f t="array" ref="AE46">_xll.DBRW($E$2,AD$1,AD$2,$D$18,$D$3,$D46,$E46,$F46,$F$3,AE$3)</f>
        <v>0</v>
      </c>
      <c r="AF46" s="25">
        <f>_xll.DBRW($C$2,$AD$1,AD$2,$D$18,$D$3,$D46,$E46,$F46,AF$3)</f>
        <v>0</v>
      </c>
      <c r="AG46" s="64">
        <f>_xll.DBRW($C$2,$AD$1,AD$2,$D$18,$D$3,$D46,$E46,$F46,AG$3)</f>
        <v>0</v>
      </c>
      <c r="AH46" s="58">
        <f>_xll.DBRW($C$2,$AD$1,AD$2,$D$18,$D$3,$D46,$E46,$F46,AH$3)</f>
        <v>0</v>
      </c>
      <c r="AI46" s="48">
        <f t="shared" si="27"/>
        <v>36</v>
      </c>
      <c r="AJ46" s="39">
        <f>_xll.DBRW($C$2,$AJ$1,AJ$2,$D$18,$D$3,$D46,$E46,$F46,AJ$3)</f>
        <v>0</v>
      </c>
      <c r="AK46" s="25" cm="1">
        <f t="array" ref="AK46">_xll.DBRW($E$2,AJ$1,AJ$2,$D$18,$D$3,$D46,$E46,$F46,$F$3,AK$3)</f>
        <v>0</v>
      </c>
      <c r="AL46" s="25">
        <f>_xll.DBRW($C$2,$AJ$1,AJ$2,$D$18,$D$3,$D46,$E46,$F46,AL$3)</f>
        <v>0</v>
      </c>
      <c r="AM46" s="64">
        <f>_xll.DBRW($C$2,$AJ$1,AJ$2,$D$18,$D$3,$D46,$E46,$F46,AM$3)</f>
        <v>0</v>
      </c>
      <c r="AN46" s="58">
        <f>_xll.DBRW($C$2,$AJ$1,AJ$2,$D$18,$D$3,$D46,$E46,$F46,AN$3)</f>
        <v>0</v>
      </c>
      <c r="AO46" s="48">
        <f t="shared" si="28"/>
        <v>36</v>
      </c>
      <c r="AP46" s="39">
        <f>_xll.DBRW($C$2,$AP$1,AP$2,$D$18,$D$3,$D46,$E46,$F46,AP$3)</f>
        <v>0</v>
      </c>
      <c r="AQ46" s="25" cm="1">
        <f t="array" ref="AQ46">_xll.DBRW($E$2,AP$1,AP$2,$D$18,$D$3,$D46,$E46,$F46,$F$3,AQ$3)</f>
        <v>0</v>
      </c>
      <c r="AR46" s="25">
        <f>_xll.DBRW($C$2,$AP$1,AP$2,$D$18,$D$3,$D46,$E46,$F46,AR$3)</f>
        <v>0</v>
      </c>
      <c r="AS46" s="64">
        <f>_xll.DBRW($C$2,$AP$1,AP$2,$D$18,$D$3,$D46,$E46,$F46,AS$3)</f>
        <v>0</v>
      </c>
      <c r="AT46" s="58">
        <f>_xll.DBRW($C$2,$AP$1,AP$2,$D$18,$D$3,$D46,$E46,$F46,AT$3)</f>
        <v>0</v>
      </c>
      <c r="AU46" s="48">
        <f t="shared" si="29"/>
        <v>36</v>
      </c>
      <c r="AV46" s="39">
        <f>_xll.DBRW($C$2,$AV$1,AV$2,$D$18,$D$3,$D46,$E46,$F46,AV$3)</f>
        <v>0</v>
      </c>
      <c r="AW46" s="25" cm="1">
        <f t="array" ref="AW46">_xll.DBRW($E$2,AV$1,AV$2,$D$18,$D$3,$D46,$E46,$F46,$F$3,AW$3)</f>
        <v>0</v>
      </c>
      <c r="AX46" s="25">
        <f>_xll.DBRW($C$2,$AV$1,AV$2,$D$18,$D$3,$D46,$E46,$F46,AX$3)</f>
        <v>0</v>
      </c>
      <c r="AY46" s="64">
        <f>_xll.DBRW($C$2,$AV$1,AV$2,$D$18,$D$3,$D46,$E46,$F46,AY$3)</f>
        <v>0</v>
      </c>
      <c r="AZ46" s="58">
        <f>_xll.DBRW($C$2,$AV$1,AV$2,$D$18,$D$3,$D46,$E46,$F46,AZ$3)</f>
        <v>0</v>
      </c>
      <c r="BA46" s="48">
        <f t="shared" si="30"/>
        <v>36</v>
      </c>
      <c r="BB46" s="39">
        <f>_xll.DBRW($C$2,$BB$1,BB$2,$D$18,$D$3,$D46,$E46,$F46,BB$3)</f>
        <v>0</v>
      </c>
      <c r="BC46" s="25" cm="1">
        <f t="array" ref="BC46">_xll.DBRW($E$2,BB$1,BB$2,$D$18,$D$3,$D46,$E46,$F46,$F$3,BC$3)</f>
        <v>0</v>
      </c>
      <c r="BD46" s="25">
        <f>_xll.DBRW($C$2,$BB$1,BB$2,$D$18,$D$3,$D46,$E46,$F46,BD$3)</f>
        <v>0</v>
      </c>
      <c r="BE46" s="64">
        <f>_xll.DBRW($C$2,$BB$1,BB$2,$D$18,$D$3,$D46,$E46,$F46,BE$3)</f>
        <v>0</v>
      </c>
      <c r="BF46" s="58">
        <f>_xll.DBRW($C$2,$BB$1,BB$2,$D$18,$D$3,$D46,$E46,$F46,BF$3)</f>
        <v>0</v>
      </c>
      <c r="BG46" s="48">
        <f t="shared" si="31"/>
        <v>36</v>
      </c>
      <c r="BH46" s="39">
        <f>_xll.DBRW($C$2,$BH$1,BH$2,$D$18,$D$3,$D46,$E46,$F46,BH$3)</f>
        <v>0</v>
      </c>
      <c r="BI46" s="25" cm="1">
        <f t="array" ref="BI46">_xll.DBRW($E$2,BH$1,BH$2,$D$18,$D$3,$D46,$E46,$F46,$F$3,BI$3)</f>
        <v>0</v>
      </c>
      <c r="BJ46" s="25">
        <f>_xll.DBRW($C$2,$BH$1,BH$2,$D$18,$D$3,$D46,$E46,$F46,BJ$3)</f>
        <v>0</v>
      </c>
      <c r="BK46" s="64">
        <f>_xll.DBRW($C$2,$BH$1,BH$2,$D$18,$D$3,$D46,$E46,$F46,BK$3)</f>
        <v>0</v>
      </c>
      <c r="BL46" s="58">
        <f>_xll.DBRW($C$2,$BH$1,BH$2,$D$18,$D$3,$D46,$E46,$F46,BL$3)</f>
        <v>0</v>
      </c>
      <c r="BM46" s="48">
        <f t="shared" si="32"/>
        <v>36</v>
      </c>
      <c r="BN46" s="39">
        <f>_xll.DBRW($C$2,$BN$1,BN$2,$D$18,$D$3,$D46,$E46,$F46,BN$3)</f>
        <v>0</v>
      </c>
      <c r="BO46" s="25" cm="1">
        <f t="array" ref="BO46">_xll.DBRW($E$2,BN$1,BN$2,$D$18,$D$3,$D46,$E46,$F46,$F$3,BO$3)</f>
        <v>0</v>
      </c>
      <c r="BP46" s="25">
        <f>_xll.DBRW($C$2,$BN$1,BN$2,$D$18,$D$3,$D46,$E46,$F46,BP$3)</f>
        <v>0</v>
      </c>
      <c r="BQ46" s="64">
        <f>_xll.DBRW($C$2,$BN$1,BN$2,$D$18,$D$3,$D46,$E46,$F46,BQ$3)</f>
        <v>0</v>
      </c>
      <c r="BR46" s="58">
        <f>_xll.DBRW($C$2,$BN$1,BN$2,$D$18,$D$3,$D46,$E46,$F46,BR$3)</f>
        <v>0</v>
      </c>
      <c r="BS46" s="48">
        <f t="shared" si="33"/>
        <v>36</v>
      </c>
      <c r="BT46" s="39">
        <f>_xll.DBRW($C$2,$BT$1,BT$2,$D$18,$D$3,$D46,$E46,$F46,BT$3)</f>
        <v>0</v>
      </c>
      <c r="BU46" s="25" cm="1">
        <f t="array" ref="BU46">_xll.DBRW($E$2,BT$1,BT$2,$D$18,$D$3,$D46,$E46,$F46,$F$3,BU$3)</f>
        <v>0</v>
      </c>
      <c r="BV46" s="25">
        <f>_xll.DBRW($C$2,$BT$1,BT$2,$D$18,$D$3,$D46,$E46,$F46,BV$3)</f>
        <v>0</v>
      </c>
      <c r="BW46" s="64">
        <f>_xll.DBRW($C$2,$BT$1,BT$2,$D$18,$D$3,$D46,$E46,$F46,BW$3)</f>
        <v>0</v>
      </c>
      <c r="BX46" s="58">
        <f>_xll.DBRW($C$2,$BT$1,BT$2,$D$18,$D$3,$D46,$E46,$F46,BX$3)</f>
        <v>0</v>
      </c>
      <c r="BY46" s="48">
        <f t="shared" si="34"/>
        <v>36</v>
      </c>
      <c r="BZ46" s="39">
        <f>_xll.DBRW($C$2,$BZ$1,BZ$2,$D$18,$D$3,$D46,$E46,$F46,BZ$3)</f>
        <v>0</v>
      </c>
      <c r="CA46" s="25" cm="1">
        <f t="array" ref="CA46">_xll.DBRW($E$2,BZ$1,BZ$2,$D$18,$D$3,$D46,$E46,$F46,$F$3,CA$3)</f>
        <v>0</v>
      </c>
      <c r="CB46" s="25">
        <f>_xll.DBRW($C$2,$BZ$1,BZ$2,$D$18,$D$3,$D46,$E46,$F46,CB$3)</f>
        <v>0</v>
      </c>
      <c r="CC46" s="64">
        <f>_xll.DBRW($C$2,$BZ$1,BZ$2,$D$18,$D$3,$D46,$E46,$F46,CC$3)</f>
        <v>0</v>
      </c>
      <c r="CD46" s="58">
        <f>_xll.DBRW($C$2,$BZ$1,BZ$2,$D$18,$D$3,$D46,$E46,$F46,CD$3)</f>
        <v>0</v>
      </c>
      <c r="CE46" s="48">
        <f t="shared" si="35"/>
        <v>36</v>
      </c>
    </row>
    <row r="47" spans="1:83" s="23" customFormat="1" outlineLevel="1" thickBot="1" x14ac:dyDescent="0.3">
      <c r="A47" s="91" t="str">
        <f>IF(_xll.TM1RPTELISCONSOLIDATED($F$22,$F47),IF(_xll.TM1RPTELLEV($F$22,$F47)&lt;=5,_xll.TM1RPTELLEV($F$22,$F47),"Default"),"Leaf")</f>
        <v>Leaf</v>
      </c>
      <c r="B47" s="24" t="str">
        <f>_xll.DBRW("TM1-S1_DEV:}ElementAttributes_SP_SKU",$D47,B$1)</f>
        <v>Primary</v>
      </c>
      <c r="C47" s="24" t="str">
        <f>_xll.DBRW("TM1-S1_DEV:}ElementAttributes_SP_SKU",$D47,C$1)</f>
        <v>SIDES</v>
      </c>
      <c r="D47" s="28" t="s">
        <v>373</v>
      </c>
      <c r="E47" s="28" t="s">
        <v>201</v>
      </c>
      <c r="F47" s="28" t="s">
        <v>15</v>
      </c>
      <c r="G47" s="4">
        <f>_xll.DBRW($C$2,$G$19,G$20,$D$18,$D$3,$D47,$E47,$F47,G$3)</f>
        <v>79</v>
      </c>
      <c r="H47" s="54">
        <f t="shared" si="24"/>
        <v>0</v>
      </c>
      <c r="I47" s="4"/>
      <c r="J47" s="25">
        <f>_xll.DBRW($C$2,$J$1,J$2,$D$18,$D$3,$D47,$E47,$F47,J$3)</f>
        <v>79</v>
      </c>
      <c r="K47" s="39">
        <f>_xll.DBRW($C$2,$J$1,J$2,$D$18,$D$3,$D47,$E47,$F47,K$3)</f>
        <v>0</v>
      </c>
      <c r="L47" s="25">
        <f>_xll.DBRW($C$2,$J$1,J$2,$D$18,$D$3,$D47,$E47,$F47,L$3)</f>
        <v>0</v>
      </c>
      <c r="M47" s="25">
        <f>_xll.DBRW($C$2,$J$1,J$2,$D$18,$D$3,$D47,$E47,$F47,M$3)</f>
        <v>0</v>
      </c>
      <c r="N47" s="25">
        <f>_xll.DBRW($C$2,$J$1,J$2,$D$18,$D$3,$D47,$E47,$F47,N$3)</f>
        <v>47</v>
      </c>
      <c r="O47" s="64">
        <f>_xll.DBRW($C$2,$J$1,J$2,$D$18,$D$3,$D47,$E47,$F47,O$3)</f>
        <v>1</v>
      </c>
      <c r="P47" s="58">
        <f>_xll.DBRW($C$2,$J$1,J$2,$D$18,$D$3,$D47,$E47,$F47,P$3)</f>
        <v>0</v>
      </c>
      <c r="Q47" s="48">
        <f>_xll.DBRW($C$2,$J$1,J$2,$D$18,$D$3,$D47,$E47,$F47,Q$3)</f>
        <v>32</v>
      </c>
      <c r="R47" s="39">
        <f>_xll.DBRW($C$2,$R$1,R$2,$D$18,$D$3,$D47,$E47,$F47,R$3)</f>
        <v>0</v>
      </c>
      <c r="S47" s="25" cm="1">
        <f t="array" ref="S47">_xll.DBRW($E$2,R$1,R$2,$D$18,$D$3,$D47,$E47,$F47,$F$3,S$3)</f>
        <v>0</v>
      </c>
      <c r="T47" s="25">
        <f>_xll.DBRW($C$2,$R$1,R$2,$D$18,$D$3,$D47,$E47,$F47,T$3)</f>
        <v>0</v>
      </c>
      <c r="U47" s="64">
        <f>_xll.DBRW($C$2,$R$1,R$2,$D$18,$D$3,$D47,$E47,$F47,U$3)</f>
        <v>0</v>
      </c>
      <c r="V47" s="58">
        <f>_xll.DBRW($C$2,$R$1,R$2,$D$18,$D$3,$D47,$E47,$F47,V$3)</f>
        <v>0</v>
      </c>
      <c r="W47" s="48">
        <f t="shared" si="25"/>
        <v>32</v>
      </c>
      <c r="X47" s="39">
        <f>_xll.DBRW($C$2,$X$1,X$2,$D$18,$D$3,$D47,$E47,$F47,X$3)</f>
        <v>0</v>
      </c>
      <c r="Y47" s="25" cm="1">
        <f t="array" ref="Y47">_xll.DBRW($E$2,X$1,X$2,$D$18,$D$3,$D47,$E47,$F47,$F$3,Y$3)</f>
        <v>0</v>
      </c>
      <c r="Z47" s="25">
        <f>_xll.DBRW($C$2,$X$1,X$2,$D$18,$D$3,$D47,$E47,$F47,Z$3)</f>
        <v>1</v>
      </c>
      <c r="AA47" s="64">
        <f>_xll.DBRW($C$2,$X$1,X$2,$D$18,$D$3,$D47,$E47,$F47,AA$3)</f>
        <v>0</v>
      </c>
      <c r="AB47" s="58">
        <f>_xll.DBRW($C$2,$X$1,X$2,$D$18,$D$3,$D47,$E47,$F47,AB$3)</f>
        <v>0</v>
      </c>
      <c r="AC47" s="48">
        <f t="shared" si="26"/>
        <v>31</v>
      </c>
      <c r="AD47" s="39">
        <f>_xll.DBRW($C$2,$AD$1,AD$2,$D$18,$D$3,$D47,$E47,$F47,AD$3)</f>
        <v>0</v>
      </c>
      <c r="AE47" s="25" cm="1">
        <f t="array" ref="AE47">_xll.DBRW($E$2,AD$1,AD$2,$D$18,$D$3,$D47,$E47,$F47,$F$3,AE$3)</f>
        <v>0</v>
      </c>
      <c r="AF47" s="25">
        <f>_xll.DBRW($C$2,$AD$1,AD$2,$D$18,$D$3,$D47,$E47,$F47,AF$3)</f>
        <v>1</v>
      </c>
      <c r="AG47" s="64">
        <f>_xll.DBRW($C$2,$AD$1,AD$2,$D$18,$D$3,$D47,$E47,$F47,AG$3)</f>
        <v>0</v>
      </c>
      <c r="AH47" s="58">
        <f>_xll.DBRW($C$2,$AD$1,AD$2,$D$18,$D$3,$D47,$E47,$F47,AH$3)</f>
        <v>0</v>
      </c>
      <c r="AI47" s="48">
        <f t="shared" si="27"/>
        <v>30</v>
      </c>
      <c r="AJ47" s="39">
        <f>_xll.DBRW($C$2,$AJ$1,AJ$2,$D$18,$D$3,$D47,$E47,$F47,AJ$3)</f>
        <v>0</v>
      </c>
      <c r="AK47" s="25" cm="1">
        <f t="array" ref="AK47">_xll.DBRW($E$2,AJ$1,AJ$2,$D$18,$D$3,$D47,$E47,$F47,$F$3,AK$3)</f>
        <v>0</v>
      </c>
      <c r="AL47" s="25">
        <f>_xll.DBRW($C$2,$AJ$1,AJ$2,$D$18,$D$3,$D47,$E47,$F47,AL$3)</f>
        <v>1</v>
      </c>
      <c r="AM47" s="64">
        <f>_xll.DBRW($C$2,$AJ$1,AJ$2,$D$18,$D$3,$D47,$E47,$F47,AM$3)</f>
        <v>0</v>
      </c>
      <c r="AN47" s="58">
        <f>_xll.DBRW($C$2,$AJ$1,AJ$2,$D$18,$D$3,$D47,$E47,$F47,AN$3)</f>
        <v>0</v>
      </c>
      <c r="AO47" s="48">
        <f t="shared" si="28"/>
        <v>29</v>
      </c>
      <c r="AP47" s="39">
        <f>_xll.DBRW($C$2,$AP$1,AP$2,$D$18,$D$3,$D47,$E47,$F47,AP$3)</f>
        <v>0</v>
      </c>
      <c r="AQ47" s="25" cm="1">
        <f t="array" ref="AQ47">_xll.DBRW($E$2,AP$1,AP$2,$D$18,$D$3,$D47,$E47,$F47,$F$3,AQ$3)</f>
        <v>0</v>
      </c>
      <c r="AR47" s="25">
        <f>_xll.DBRW($C$2,$AP$1,AP$2,$D$18,$D$3,$D47,$E47,$F47,AR$3)</f>
        <v>1</v>
      </c>
      <c r="AS47" s="64">
        <f>_xll.DBRW($C$2,$AP$1,AP$2,$D$18,$D$3,$D47,$E47,$F47,AS$3)</f>
        <v>0</v>
      </c>
      <c r="AT47" s="58">
        <f>_xll.DBRW($C$2,$AP$1,AP$2,$D$18,$D$3,$D47,$E47,$F47,AT$3)</f>
        <v>0</v>
      </c>
      <c r="AU47" s="48">
        <f t="shared" si="29"/>
        <v>28</v>
      </c>
      <c r="AV47" s="39">
        <f>_xll.DBRW($C$2,$AV$1,AV$2,$D$18,$D$3,$D47,$E47,$F47,AV$3)</f>
        <v>0</v>
      </c>
      <c r="AW47" s="25" cm="1">
        <f t="array" ref="AW47">_xll.DBRW($E$2,AV$1,AV$2,$D$18,$D$3,$D47,$E47,$F47,$F$3,AW$3)</f>
        <v>0</v>
      </c>
      <c r="AX47" s="25">
        <f>_xll.DBRW($C$2,$AV$1,AV$2,$D$18,$D$3,$D47,$E47,$F47,AX$3)</f>
        <v>1</v>
      </c>
      <c r="AY47" s="64">
        <f>_xll.DBRW($C$2,$AV$1,AV$2,$D$18,$D$3,$D47,$E47,$F47,AY$3)</f>
        <v>0</v>
      </c>
      <c r="AZ47" s="58">
        <f>_xll.DBRW($C$2,$AV$1,AV$2,$D$18,$D$3,$D47,$E47,$F47,AZ$3)</f>
        <v>0</v>
      </c>
      <c r="BA47" s="48">
        <f t="shared" si="30"/>
        <v>27</v>
      </c>
      <c r="BB47" s="39">
        <f>_xll.DBRW($C$2,$BB$1,BB$2,$D$18,$D$3,$D47,$E47,$F47,BB$3)</f>
        <v>0</v>
      </c>
      <c r="BC47" s="25" cm="1">
        <f t="array" ref="BC47">_xll.DBRW($E$2,BB$1,BB$2,$D$18,$D$3,$D47,$E47,$F47,$F$3,BC$3)</f>
        <v>0</v>
      </c>
      <c r="BD47" s="25">
        <f>_xll.DBRW($C$2,$BB$1,BB$2,$D$18,$D$3,$D47,$E47,$F47,BD$3)</f>
        <v>1</v>
      </c>
      <c r="BE47" s="64">
        <f>_xll.DBRW($C$2,$BB$1,BB$2,$D$18,$D$3,$D47,$E47,$F47,BE$3)</f>
        <v>0</v>
      </c>
      <c r="BF47" s="58">
        <f>_xll.DBRW($C$2,$BB$1,BB$2,$D$18,$D$3,$D47,$E47,$F47,BF$3)</f>
        <v>0</v>
      </c>
      <c r="BG47" s="48">
        <f t="shared" si="31"/>
        <v>26</v>
      </c>
      <c r="BH47" s="39">
        <f>_xll.DBRW($C$2,$BH$1,BH$2,$D$18,$D$3,$D47,$E47,$F47,BH$3)</f>
        <v>0</v>
      </c>
      <c r="BI47" s="25" cm="1">
        <f t="array" ref="BI47">_xll.DBRW($E$2,BH$1,BH$2,$D$18,$D$3,$D47,$E47,$F47,$F$3,BI$3)</f>
        <v>0</v>
      </c>
      <c r="BJ47" s="25">
        <f>_xll.DBRW($C$2,$BH$1,BH$2,$D$18,$D$3,$D47,$E47,$F47,BJ$3)</f>
        <v>1</v>
      </c>
      <c r="BK47" s="64">
        <f>_xll.DBRW($C$2,$BH$1,BH$2,$D$18,$D$3,$D47,$E47,$F47,BK$3)</f>
        <v>0</v>
      </c>
      <c r="BL47" s="58">
        <f>_xll.DBRW($C$2,$BH$1,BH$2,$D$18,$D$3,$D47,$E47,$F47,BL$3)</f>
        <v>0</v>
      </c>
      <c r="BM47" s="48">
        <f t="shared" si="32"/>
        <v>25</v>
      </c>
      <c r="BN47" s="39">
        <f>_xll.DBRW($C$2,$BN$1,BN$2,$D$18,$D$3,$D47,$E47,$F47,BN$3)</f>
        <v>0</v>
      </c>
      <c r="BO47" s="25" cm="1">
        <f t="array" ref="BO47">_xll.DBRW($E$2,BN$1,BN$2,$D$18,$D$3,$D47,$E47,$F47,$F$3,BO$3)</f>
        <v>0</v>
      </c>
      <c r="BP47" s="25">
        <f>_xll.DBRW($C$2,$BN$1,BN$2,$D$18,$D$3,$D47,$E47,$F47,BP$3)</f>
        <v>1</v>
      </c>
      <c r="BQ47" s="64">
        <f>_xll.DBRW($C$2,$BN$1,BN$2,$D$18,$D$3,$D47,$E47,$F47,BQ$3)</f>
        <v>0</v>
      </c>
      <c r="BR47" s="58">
        <f>_xll.DBRW($C$2,$BN$1,BN$2,$D$18,$D$3,$D47,$E47,$F47,BR$3)</f>
        <v>0</v>
      </c>
      <c r="BS47" s="48">
        <f t="shared" si="33"/>
        <v>24</v>
      </c>
      <c r="BT47" s="39">
        <f>_xll.DBRW($C$2,$BT$1,BT$2,$D$18,$D$3,$D47,$E47,$F47,BT$3)</f>
        <v>0</v>
      </c>
      <c r="BU47" s="25" cm="1">
        <f t="array" ref="BU47">_xll.DBRW($E$2,BT$1,BT$2,$D$18,$D$3,$D47,$E47,$F47,$F$3,BU$3)</f>
        <v>0</v>
      </c>
      <c r="BV47" s="25">
        <f>_xll.DBRW($C$2,$BT$1,BT$2,$D$18,$D$3,$D47,$E47,$F47,BV$3)</f>
        <v>1</v>
      </c>
      <c r="BW47" s="64">
        <f>_xll.DBRW($C$2,$BT$1,BT$2,$D$18,$D$3,$D47,$E47,$F47,BW$3)</f>
        <v>0</v>
      </c>
      <c r="BX47" s="58">
        <f>_xll.DBRW($C$2,$BT$1,BT$2,$D$18,$D$3,$D47,$E47,$F47,BX$3)</f>
        <v>0</v>
      </c>
      <c r="BY47" s="48">
        <f t="shared" si="34"/>
        <v>23</v>
      </c>
      <c r="BZ47" s="39">
        <f>_xll.DBRW($C$2,$BZ$1,BZ$2,$D$18,$D$3,$D47,$E47,$F47,BZ$3)</f>
        <v>0</v>
      </c>
      <c r="CA47" s="25" cm="1">
        <f t="array" ref="CA47">_xll.DBRW($E$2,BZ$1,BZ$2,$D$18,$D$3,$D47,$E47,$F47,$F$3,CA$3)</f>
        <v>0</v>
      </c>
      <c r="CB47" s="25">
        <f>_xll.DBRW($C$2,$BZ$1,BZ$2,$D$18,$D$3,$D47,$E47,$F47,CB$3)</f>
        <v>1</v>
      </c>
      <c r="CC47" s="64">
        <f>_xll.DBRW($C$2,$BZ$1,BZ$2,$D$18,$D$3,$D47,$E47,$F47,CC$3)</f>
        <v>0</v>
      </c>
      <c r="CD47" s="58">
        <f>_xll.DBRW($C$2,$BZ$1,BZ$2,$D$18,$D$3,$D47,$E47,$F47,CD$3)</f>
        <v>0</v>
      </c>
      <c r="CE47" s="48">
        <f t="shared" si="35"/>
        <v>22</v>
      </c>
    </row>
    <row r="48" spans="1:83" s="23" customFormat="1" outlineLevel="1" thickBot="1" x14ac:dyDescent="0.3">
      <c r="A48" s="91" t="str">
        <f>IF(_xll.TM1RPTELISCONSOLIDATED($F$22,$F48),IF(_xll.TM1RPTELLEV($F$22,$F48)&lt;=5,_xll.TM1RPTELLEV($F$22,$F48),"Default"),"Leaf")</f>
        <v>Leaf</v>
      </c>
      <c r="B48" s="24" t="str">
        <f>_xll.DBRW("TM1-S1_DEV:}ElementAttributes_SP_SKU",$D48,B$1)</f>
        <v>Primary</v>
      </c>
      <c r="C48" s="24" t="str">
        <f>_xll.DBRW("TM1-S1_DEV:}ElementAttributes_SP_SKU",$D48,C$1)</f>
        <v>SIDES</v>
      </c>
      <c r="D48" s="28" t="s">
        <v>374</v>
      </c>
      <c r="E48" s="28" t="s">
        <v>202</v>
      </c>
      <c r="F48" s="28" t="s">
        <v>15</v>
      </c>
      <c r="G48" s="4">
        <f>_xll.DBRW($C$2,$G$19,G$20,$D$18,$D$3,$D48,$E48,$F48,G$3)</f>
        <v>106</v>
      </c>
      <c r="H48" s="54">
        <f t="shared" si="24"/>
        <v>-2</v>
      </c>
      <c r="I48" s="4"/>
      <c r="J48" s="25">
        <f>_xll.DBRW($C$2,$J$1,J$2,$D$18,$D$3,$D48,$E48,$F48,J$3)</f>
        <v>104</v>
      </c>
      <c r="K48" s="39">
        <f>_xll.DBRW($C$2,$J$1,J$2,$D$18,$D$3,$D48,$E48,$F48,K$3)</f>
        <v>0</v>
      </c>
      <c r="L48" s="25">
        <f>_xll.DBRW($C$2,$J$1,J$2,$D$18,$D$3,$D48,$E48,$F48,L$3)</f>
        <v>0</v>
      </c>
      <c r="M48" s="25">
        <f>_xll.DBRW($C$2,$J$1,J$2,$D$18,$D$3,$D48,$E48,$F48,M$3)</f>
        <v>0</v>
      </c>
      <c r="N48" s="25">
        <f>_xll.DBRW($C$2,$J$1,J$2,$D$18,$D$3,$D48,$E48,$F48,N$3)</f>
        <v>73</v>
      </c>
      <c r="O48" s="64">
        <f>_xll.DBRW($C$2,$J$1,J$2,$D$18,$D$3,$D48,$E48,$F48,O$3)</f>
        <v>1</v>
      </c>
      <c r="P48" s="58">
        <f>_xll.DBRW($C$2,$J$1,J$2,$D$18,$D$3,$D48,$E48,$F48,P$3)</f>
        <v>0</v>
      </c>
      <c r="Q48" s="48">
        <f>_xll.DBRW($C$2,$J$1,J$2,$D$18,$D$3,$D48,$E48,$F48,Q$3)</f>
        <v>31</v>
      </c>
      <c r="R48" s="39">
        <f>_xll.DBRW($C$2,$R$1,R$2,$D$18,$D$3,$D48,$E48,$F48,R$3)</f>
        <v>0</v>
      </c>
      <c r="S48" s="25" cm="1">
        <f t="array" ref="S48">_xll.DBRW($E$2,R$1,R$2,$D$18,$D$3,$D48,$E48,$F48,$F$3,S$3)</f>
        <v>0</v>
      </c>
      <c r="T48" s="25">
        <f>_xll.DBRW($C$2,$R$1,R$2,$D$18,$D$3,$D48,$E48,$F48,T$3)</f>
        <v>0</v>
      </c>
      <c r="U48" s="64">
        <f>_xll.DBRW($C$2,$R$1,R$2,$D$18,$D$3,$D48,$E48,$F48,U$3)</f>
        <v>0</v>
      </c>
      <c r="V48" s="58">
        <f>_xll.DBRW($C$2,$R$1,R$2,$D$18,$D$3,$D48,$E48,$F48,V$3)</f>
        <v>0</v>
      </c>
      <c r="W48" s="48">
        <f t="shared" si="25"/>
        <v>31</v>
      </c>
      <c r="X48" s="39">
        <f>_xll.DBRW($C$2,$X$1,X$2,$D$18,$D$3,$D48,$E48,$F48,X$3)</f>
        <v>0</v>
      </c>
      <c r="Y48" s="25" cm="1">
        <f t="array" ref="Y48">_xll.DBRW($E$2,X$1,X$2,$D$18,$D$3,$D48,$E48,$F48,$F$3,Y$3)</f>
        <v>0</v>
      </c>
      <c r="Z48" s="25">
        <f>_xll.DBRW($C$2,$X$1,X$2,$D$18,$D$3,$D48,$E48,$F48,Z$3)</f>
        <v>1</v>
      </c>
      <c r="AA48" s="64">
        <f>_xll.DBRW($C$2,$X$1,X$2,$D$18,$D$3,$D48,$E48,$F48,AA$3)</f>
        <v>0</v>
      </c>
      <c r="AB48" s="58">
        <f>_xll.DBRW($C$2,$X$1,X$2,$D$18,$D$3,$D48,$E48,$F48,AB$3)</f>
        <v>0</v>
      </c>
      <c r="AC48" s="48">
        <f t="shared" si="26"/>
        <v>30</v>
      </c>
      <c r="AD48" s="39">
        <f>_xll.DBRW($C$2,$AD$1,AD$2,$D$18,$D$3,$D48,$E48,$F48,AD$3)</f>
        <v>0</v>
      </c>
      <c r="AE48" s="25" cm="1">
        <f t="array" ref="AE48">_xll.DBRW($E$2,AD$1,AD$2,$D$18,$D$3,$D48,$E48,$F48,$F$3,AE$3)</f>
        <v>0</v>
      </c>
      <c r="AF48" s="25">
        <f>_xll.DBRW($C$2,$AD$1,AD$2,$D$18,$D$3,$D48,$E48,$F48,AF$3)</f>
        <v>1</v>
      </c>
      <c r="AG48" s="64">
        <f>_xll.DBRW($C$2,$AD$1,AD$2,$D$18,$D$3,$D48,$E48,$F48,AG$3)</f>
        <v>0</v>
      </c>
      <c r="AH48" s="58">
        <f>_xll.DBRW($C$2,$AD$1,AD$2,$D$18,$D$3,$D48,$E48,$F48,AH$3)</f>
        <v>0</v>
      </c>
      <c r="AI48" s="48">
        <f t="shared" si="27"/>
        <v>29</v>
      </c>
      <c r="AJ48" s="39">
        <f>_xll.DBRW($C$2,$AJ$1,AJ$2,$D$18,$D$3,$D48,$E48,$F48,AJ$3)</f>
        <v>0</v>
      </c>
      <c r="AK48" s="25" cm="1">
        <f t="array" ref="AK48">_xll.DBRW($E$2,AJ$1,AJ$2,$D$18,$D$3,$D48,$E48,$F48,$F$3,AK$3)</f>
        <v>0</v>
      </c>
      <c r="AL48" s="25">
        <f>_xll.DBRW($C$2,$AJ$1,AJ$2,$D$18,$D$3,$D48,$E48,$F48,AL$3)</f>
        <v>1</v>
      </c>
      <c r="AM48" s="64">
        <f>_xll.DBRW($C$2,$AJ$1,AJ$2,$D$18,$D$3,$D48,$E48,$F48,AM$3)</f>
        <v>0</v>
      </c>
      <c r="AN48" s="58">
        <f>_xll.DBRW($C$2,$AJ$1,AJ$2,$D$18,$D$3,$D48,$E48,$F48,AN$3)</f>
        <v>0</v>
      </c>
      <c r="AO48" s="48">
        <f t="shared" si="28"/>
        <v>28</v>
      </c>
      <c r="AP48" s="39">
        <f>_xll.DBRW($C$2,$AP$1,AP$2,$D$18,$D$3,$D48,$E48,$F48,AP$3)</f>
        <v>0</v>
      </c>
      <c r="AQ48" s="25" cm="1">
        <f t="array" ref="AQ48">_xll.DBRW($E$2,AP$1,AP$2,$D$18,$D$3,$D48,$E48,$F48,$F$3,AQ$3)</f>
        <v>0</v>
      </c>
      <c r="AR48" s="25">
        <f>_xll.DBRW($C$2,$AP$1,AP$2,$D$18,$D$3,$D48,$E48,$F48,AR$3)</f>
        <v>1</v>
      </c>
      <c r="AS48" s="64">
        <f>_xll.DBRW($C$2,$AP$1,AP$2,$D$18,$D$3,$D48,$E48,$F48,AS$3)</f>
        <v>0</v>
      </c>
      <c r="AT48" s="58">
        <f>_xll.DBRW($C$2,$AP$1,AP$2,$D$18,$D$3,$D48,$E48,$F48,AT$3)</f>
        <v>0</v>
      </c>
      <c r="AU48" s="48">
        <f t="shared" si="29"/>
        <v>27</v>
      </c>
      <c r="AV48" s="39">
        <f>_xll.DBRW($C$2,$AV$1,AV$2,$D$18,$D$3,$D48,$E48,$F48,AV$3)</f>
        <v>0</v>
      </c>
      <c r="AW48" s="25" cm="1">
        <f t="array" ref="AW48">_xll.DBRW($E$2,AV$1,AV$2,$D$18,$D$3,$D48,$E48,$F48,$F$3,AW$3)</f>
        <v>0</v>
      </c>
      <c r="AX48" s="25">
        <f>_xll.DBRW($C$2,$AV$1,AV$2,$D$18,$D$3,$D48,$E48,$F48,AX$3)</f>
        <v>1</v>
      </c>
      <c r="AY48" s="64">
        <f>_xll.DBRW($C$2,$AV$1,AV$2,$D$18,$D$3,$D48,$E48,$F48,AY$3)</f>
        <v>0</v>
      </c>
      <c r="AZ48" s="58">
        <f>_xll.DBRW($C$2,$AV$1,AV$2,$D$18,$D$3,$D48,$E48,$F48,AZ$3)</f>
        <v>0</v>
      </c>
      <c r="BA48" s="48">
        <f t="shared" si="30"/>
        <v>26</v>
      </c>
      <c r="BB48" s="39">
        <f>_xll.DBRW($C$2,$BB$1,BB$2,$D$18,$D$3,$D48,$E48,$F48,BB$3)</f>
        <v>0</v>
      </c>
      <c r="BC48" s="25" cm="1">
        <f t="array" ref="BC48">_xll.DBRW($E$2,BB$1,BB$2,$D$18,$D$3,$D48,$E48,$F48,$F$3,BC$3)</f>
        <v>0</v>
      </c>
      <c r="BD48" s="25">
        <f>_xll.DBRW($C$2,$BB$1,BB$2,$D$18,$D$3,$D48,$E48,$F48,BD$3)</f>
        <v>1</v>
      </c>
      <c r="BE48" s="64">
        <f>_xll.DBRW($C$2,$BB$1,BB$2,$D$18,$D$3,$D48,$E48,$F48,BE$3)</f>
        <v>0</v>
      </c>
      <c r="BF48" s="58">
        <f>_xll.DBRW($C$2,$BB$1,BB$2,$D$18,$D$3,$D48,$E48,$F48,BF$3)</f>
        <v>0</v>
      </c>
      <c r="BG48" s="48">
        <f t="shared" si="31"/>
        <v>25</v>
      </c>
      <c r="BH48" s="39">
        <f>_xll.DBRW($C$2,$BH$1,BH$2,$D$18,$D$3,$D48,$E48,$F48,BH$3)</f>
        <v>0</v>
      </c>
      <c r="BI48" s="25" cm="1">
        <f t="array" ref="BI48">_xll.DBRW($E$2,BH$1,BH$2,$D$18,$D$3,$D48,$E48,$F48,$F$3,BI$3)</f>
        <v>0</v>
      </c>
      <c r="BJ48" s="25">
        <f>_xll.DBRW($C$2,$BH$1,BH$2,$D$18,$D$3,$D48,$E48,$F48,BJ$3)</f>
        <v>1</v>
      </c>
      <c r="BK48" s="64">
        <f>_xll.DBRW($C$2,$BH$1,BH$2,$D$18,$D$3,$D48,$E48,$F48,BK$3)</f>
        <v>0</v>
      </c>
      <c r="BL48" s="58">
        <f>_xll.DBRW($C$2,$BH$1,BH$2,$D$18,$D$3,$D48,$E48,$F48,BL$3)</f>
        <v>0</v>
      </c>
      <c r="BM48" s="48">
        <f t="shared" si="32"/>
        <v>24</v>
      </c>
      <c r="BN48" s="39">
        <f>_xll.DBRW($C$2,$BN$1,BN$2,$D$18,$D$3,$D48,$E48,$F48,BN$3)</f>
        <v>0</v>
      </c>
      <c r="BO48" s="25" cm="1">
        <f t="array" ref="BO48">_xll.DBRW($E$2,BN$1,BN$2,$D$18,$D$3,$D48,$E48,$F48,$F$3,BO$3)</f>
        <v>0</v>
      </c>
      <c r="BP48" s="25">
        <f>_xll.DBRW($C$2,$BN$1,BN$2,$D$18,$D$3,$D48,$E48,$F48,BP$3)</f>
        <v>1</v>
      </c>
      <c r="BQ48" s="64">
        <f>_xll.DBRW($C$2,$BN$1,BN$2,$D$18,$D$3,$D48,$E48,$F48,BQ$3)</f>
        <v>0</v>
      </c>
      <c r="BR48" s="58">
        <f>_xll.DBRW($C$2,$BN$1,BN$2,$D$18,$D$3,$D48,$E48,$F48,BR$3)</f>
        <v>0</v>
      </c>
      <c r="BS48" s="48">
        <f t="shared" si="33"/>
        <v>23</v>
      </c>
      <c r="BT48" s="39">
        <f>_xll.DBRW($C$2,$BT$1,BT$2,$D$18,$D$3,$D48,$E48,$F48,BT$3)</f>
        <v>0</v>
      </c>
      <c r="BU48" s="25" cm="1">
        <f t="array" ref="BU48">_xll.DBRW($E$2,BT$1,BT$2,$D$18,$D$3,$D48,$E48,$F48,$F$3,BU$3)</f>
        <v>0</v>
      </c>
      <c r="BV48" s="25">
        <f>_xll.DBRW($C$2,$BT$1,BT$2,$D$18,$D$3,$D48,$E48,$F48,BV$3)</f>
        <v>1</v>
      </c>
      <c r="BW48" s="64">
        <f>_xll.DBRW($C$2,$BT$1,BT$2,$D$18,$D$3,$D48,$E48,$F48,BW$3)</f>
        <v>0</v>
      </c>
      <c r="BX48" s="58">
        <f>_xll.DBRW($C$2,$BT$1,BT$2,$D$18,$D$3,$D48,$E48,$F48,BX$3)</f>
        <v>0</v>
      </c>
      <c r="BY48" s="48">
        <f t="shared" si="34"/>
        <v>22</v>
      </c>
      <c r="BZ48" s="39">
        <f>_xll.DBRW($C$2,$BZ$1,BZ$2,$D$18,$D$3,$D48,$E48,$F48,BZ$3)</f>
        <v>0</v>
      </c>
      <c r="CA48" s="25" cm="1">
        <f t="array" ref="CA48">_xll.DBRW($E$2,BZ$1,BZ$2,$D$18,$D$3,$D48,$E48,$F48,$F$3,CA$3)</f>
        <v>0</v>
      </c>
      <c r="CB48" s="25">
        <f>_xll.DBRW($C$2,$BZ$1,BZ$2,$D$18,$D$3,$D48,$E48,$F48,CB$3)</f>
        <v>1</v>
      </c>
      <c r="CC48" s="64">
        <f>_xll.DBRW($C$2,$BZ$1,BZ$2,$D$18,$D$3,$D48,$E48,$F48,CC$3)</f>
        <v>0</v>
      </c>
      <c r="CD48" s="58">
        <f>_xll.DBRW($C$2,$BZ$1,BZ$2,$D$18,$D$3,$D48,$E48,$F48,CD$3)</f>
        <v>0</v>
      </c>
      <c r="CE48" s="48">
        <f t="shared" si="35"/>
        <v>21</v>
      </c>
    </row>
    <row r="49" spans="1:83" s="23" customFormat="1" outlineLevel="1" thickBot="1" x14ac:dyDescent="0.3">
      <c r="A49" s="91" t="str">
        <f>IF(_xll.TM1RPTELISCONSOLIDATED($F$22,$F49),IF(_xll.TM1RPTELLEV($F$22,$F49)&lt;=5,_xll.TM1RPTELLEV($F$22,$F49),"Default"),"Leaf")</f>
        <v>Leaf</v>
      </c>
      <c r="B49" s="24" t="str">
        <f>_xll.DBRW("TM1-S1_DEV:}ElementAttributes_SP_SKU",$D49,B$1)</f>
        <v>Primary</v>
      </c>
      <c r="C49" s="24" t="str">
        <f>_xll.DBRW("TM1-S1_DEV:}ElementAttributes_SP_SKU",$D49,C$1)</f>
        <v>SIDES</v>
      </c>
      <c r="D49" s="28" t="s">
        <v>375</v>
      </c>
      <c r="E49" s="28" t="s">
        <v>138</v>
      </c>
      <c r="F49" s="28" t="s">
        <v>15</v>
      </c>
      <c r="G49" s="4">
        <f>_xll.DBRW($C$2,$G$19,G$20,$D$18,$D$3,$D49,$E49,$F49,G$3)</f>
        <v>100</v>
      </c>
      <c r="H49" s="54">
        <f t="shared" si="24"/>
        <v>0</v>
      </c>
      <c r="I49" s="4"/>
      <c r="J49" s="25">
        <f>_xll.DBRW($C$2,$J$1,J$2,$D$18,$D$3,$D49,$E49,$F49,J$3)</f>
        <v>100</v>
      </c>
      <c r="K49" s="39">
        <f>_xll.DBRW($C$2,$J$1,J$2,$D$18,$D$3,$D49,$E49,$F49,K$3)</f>
        <v>0</v>
      </c>
      <c r="L49" s="25">
        <f>_xll.DBRW($C$2,$J$1,J$2,$D$18,$D$3,$D49,$E49,$F49,L$3)</f>
        <v>0</v>
      </c>
      <c r="M49" s="25">
        <f>_xll.DBRW($C$2,$J$1,J$2,$D$18,$D$3,$D49,$E49,$F49,M$3)</f>
        <v>0</v>
      </c>
      <c r="N49" s="25">
        <f>_xll.DBRW($C$2,$J$1,J$2,$D$18,$D$3,$D49,$E49,$F49,N$3)</f>
        <v>85</v>
      </c>
      <c r="O49" s="64">
        <f>_xll.DBRW($C$2,$J$1,J$2,$D$18,$D$3,$D49,$E49,$F49,O$3)</f>
        <v>1</v>
      </c>
      <c r="P49" s="58">
        <f>_xll.DBRW($C$2,$J$1,J$2,$D$18,$D$3,$D49,$E49,$F49,P$3)</f>
        <v>0</v>
      </c>
      <c r="Q49" s="48">
        <f>_xll.DBRW($C$2,$J$1,J$2,$D$18,$D$3,$D49,$E49,$F49,Q$3)</f>
        <v>15</v>
      </c>
      <c r="R49" s="39">
        <f>_xll.DBRW($C$2,$R$1,R$2,$D$18,$D$3,$D49,$E49,$F49,R$3)</f>
        <v>0</v>
      </c>
      <c r="S49" s="25" cm="1">
        <f t="array" ref="S49">_xll.DBRW($E$2,R$1,R$2,$D$18,$D$3,$D49,$E49,$F49,$F$3,S$3)</f>
        <v>0</v>
      </c>
      <c r="T49" s="25">
        <f>_xll.DBRW($C$2,$R$1,R$2,$D$18,$D$3,$D49,$E49,$F49,T$3)</f>
        <v>0</v>
      </c>
      <c r="U49" s="64">
        <f>_xll.DBRW($C$2,$R$1,R$2,$D$18,$D$3,$D49,$E49,$F49,U$3)</f>
        <v>0</v>
      </c>
      <c r="V49" s="58">
        <f>_xll.DBRW($C$2,$R$1,R$2,$D$18,$D$3,$D49,$E49,$F49,V$3)</f>
        <v>0</v>
      </c>
      <c r="W49" s="48">
        <f t="shared" si="25"/>
        <v>15</v>
      </c>
      <c r="X49" s="39">
        <f>_xll.DBRW($C$2,$X$1,X$2,$D$18,$D$3,$D49,$E49,$F49,X$3)</f>
        <v>0</v>
      </c>
      <c r="Y49" s="25" cm="1">
        <f t="array" ref="Y49">_xll.DBRW($E$2,X$1,X$2,$D$18,$D$3,$D49,$E49,$F49,$F$3,Y$3)</f>
        <v>0</v>
      </c>
      <c r="Z49" s="25">
        <f>_xll.DBRW($C$2,$X$1,X$2,$D$18,$D$3,$D49,$E49,$F49,Z$3)</f>
        <v>2</v>
      </c>
      <c r="AA49" s="64">
        <f>_xll.DBRW($C$2,$X$1,X$2,$D$18,$D$3,$D49,$E49,$F49,AA$3)</f>
        <v>0</v>
      </c>
      <c r="AB49" s="58">
        <f>_xll.DBRW($C$2,$X$1,X$2,$D$18,$D$3,$D49,$E49,$F49,AB$3)</f>
        <v>0</v>
      </c>
      <c r="AC49" s="48">
        <f t="shared" si="26"/>
        <v>13</v>
      </c>
      <c r="AD49" s="39">
        <f>_xll.DBRW($C$2,$AD$1,AD$2,$D$18,$D$3,$D49,$E49,$F49,AD$3)</f>
        <v>0</v>
      </c>
      <c r="AE49" s="25" cm="1">
        <f t="array" ref="AE49">_xll.DBRW($E$2,AD$1,AD$2,$D$18,$D$3,$D49,$E49,$F49,$F$3,AE$3)</f>
        <v>0</v>
      </c>
      <c r="AF49" s="25">
        <f>_xll.DBRW($C$2,$AD$1,AD$2,$D$18,$D$3,$D49,$E49,$F49,AF$3)</f>
        <v>2</v>
      </c>
      <c r="AG49" s="64">
        <f>_xll.DBRW($C$2,$AD$1,AD$2,$D$18,$D$3,$D49,$E49,$F49,AG$3)</f>
        <v>0</v>
      </c>
      <c r="AH49" s="58">
        <f>_xll.DBRW($C$2,$AD$1,AD$2,$D$18,$D$3,$D49,$E49,$F49,AH$3)</f>
        <v>0</v>
      </c>
      <c r="AI49" s="48">
        <f t="shared" si="27"/>
        <v>11</v>
      </c>
      <c r="AJ49" s="39">
        <f>_xll.DBRW($C$2,$AJ$1,AJ$2,$D$18,$D$3,$D49,$E49,$F49,AJ$3)</f>
        <v>0</v>
      </c>
      <c r="AK49" s="25" cm="1">
        <f t="array" ref="AK49">_xll.DBRW($E$2,AJ$1,AJ$2,$D$18,$D$3,$D49,$E49,$F49,$F$3,AK$3)</f>
        <v>0</v>
      </c>
      <c r="AL49" s="25">
        <f>_xll.DBRW($C$2,$AJ$1,AJ$2,$D$18,$D$3,$D49,$E49,$F49,AL$3)</f>
        <v>2</v>
      </c>
      <c r="AM49" s="64">
        <f>_xll.DBRW($C$2,$AJ$1,AJ$2,$D$18,$D$3,$D49,$E49,$F49,AM$3)</f>
        <v>0</v>
      </c>
      <c r="AN49" s="58">
        <f>_xll.DBRW($C$2,$AJ$1,AJ$2,$D$18,$D$3,$D49,$E49,$F49,AN$3)</f>
        <v>0</v>
      </c>
      <c r="AO49" s="48">
        <f t="shared" si="28"/>
        <v>9</v>
      </c>
      <c r="AP49" s="39">
        <f>_xll.DBRW($C$2,$AP$1,AP$2,$D$18,$D$3,$D49,$E49,$F49,AP$3)</f>
        <v>0</v>
      </c>
      <c r="AQ49" s="25" cm="1">
        <f t="array" ref="AQ49">_xll.DBRW($E$2,AP$1,AP$2,$D$18,$D$3,$D49,$E49,$F49,$F$3,AQ$3)</f>
        <v>0</v>
      </c>
      <c r="AR49" s="25">
        <f>_xll.DBRW($C$2,$AP$1,AP$2,$D$18,$D$3,$D49,$E49,$F49,AR$3)</f>
        <v>2</v>
      </c>
      <c r="AS49" s="64">
        <f>_xll.DBRW($C$2,$AP$1,AP$2,$D$18,$D$3,$D49,$E49,$F49,AS$3)</f>
        <v>0</v>
      </c>
      <c r="AT49" s="58">
        <f>_xll.DBRW($C$2,$AP$1,AP$2,$D$18,$D$3,$D49,$E49,$F49,AT$3)</f>
        <v>0</v>
      </c>
      <c r="AU49" s="48">
        <f t="shared" si="29"/>
        <v>7</v>
      </c>
      <c r="AV49" s="39">
        <f>_xll.DBRW($C$2,$AV$1,AV$2,$D$18,$D$3,$D49,$E49,$F49,AV$3)</f>
        <v>0</v>
      </c>
      <c r="AW49" s="25" cm="1">
        <f t="array" ref="AW49">_xll.DBRW($E$2,AV$1,AV$2,$D$18,$D$3,$D49,$E49,$F49,$F$3,AW$3)</f>
        <v>0</v>
      </c>
      <c r="AX49" s="25">
        <f>_xll.DBRW($C$2,$AV$1,AV$2,$D$18,$D$3,$D49,$E49,$F49,AX$3)</f>
        <v>2</v>
      </c>
      <c r="AY49" s="64">
        <f>_xll.DBRW($C$2,$AV$1,AV$2,$D$18,$D$3,$D49,$E49,$F49,AY$3)</f>
        <v>0</v>
      </c>
      <c r="AZ49" s="58">
        <f>_xll.DBRW($C$2,$AV$1,AV$2,$D$18,$D$3,$D49,$E49,$F49,AZ$3)</f>
        <v>0</v>
      </c>
      <c r="BA49" s="48">
        <f t="shared" si="30"/>
        <v>5</v>
      </c>
      <c r="BB49" s="39">
        <f>_xll.DBRW($C$2,$BB$1,BB$2,$D$18,$D$3,$D49,$E49,$F49,BB$3)</f>
        <v>0</v>
      </c>
      <c r="BC49" s="25" cm="1">
        <f t="array" ref="BC49">_xll.DBRW($E$2,BB$1,BB$2,$D$18,$D$3,$D49,$E49,$F49,$F$3,BC$3)</f>
        <v>0</v>
      </c>
      <c r="BD49" s="25">
        <f>_xll.DBRW($C$2,$BB$1,BB$2,$D$18,$D$3,$D49,$E49,$F49,BD$3)</f>
        <v>2</v>
      </c>
      <c r="BE49" s="64">
        <f>_xll.DBRW($C$2,$BB$1,BB$2,$D$18,$D$3,$D49,$E49,$F49,BE$3)</f>
        <v>0</v>
      </c>
      <c r="BF49" s="58">
        <f>_xll.DBRW($C$2,$BB$1,BB$2,$D$18,$D$3,$D49,$E49,$F49,BF$3)</f>
        <v>0</v>
      </c>
      <c r="BG49" s="48">
        <f t="shared" si="31"/>
        <v>3</v>
      </c>
      <c r="BH49" s="39">
        <f>_xll.DBRW($C$2,$BH$1,BH$2,$D$18,$D$3,$D49,$E49,$F49,BH$3)</f>
        <v>0</v>
      </c>
      <c r="BI49" s="25" cm="1">
        <f t="array" ref="BI49">_xll.DBRW($E$2,BH$1,BH$2,$D$18,$D$3,$D49,$E49,$F49,$F$3,BI$3)</f>
        <v>0</v>
      </c>
      <c r="BJ49" s="25">
        <f>_xll.DBRW($C$2,$BH$1,BH$2,$D$18,$D$3,$D49,$E49,$F49,BJ$3)</f>
        <v>2</v>
      </c>
      <c r="BK49" s="64">
        <f>_xll.DBRW($C$2,$BH$1,BH$2,$D$18,$D$3,$D49,$E49,$F49,BK$3)</f>
        <v>0</v>
      </c>
      <c r="BL49" s="58">
        <f>_xll.DBRW($C$2,$BH$1,BH$2,$D$18,$D$3,$D49,$E49,$F49,BL$3)</f>
        <v>0</v>
      </c>
      <c r="BM49" s="48">
        <f t="shared" si="32"/>
        <v>1</v>
      </c>
      <c r="BN49" s="39">
        <f>_xll.DBRW($C$2,$BN$1,BN$2,$D$18,$D$3,$D49,$E49,$F49,BN$3)</f>
        <v>0</v>
      </c>
      <c r="BO49" s="25" cm="1">
        <f t="array" ref="BO49">_xll.DBRW($E$2,BN$1,BN$2,$D$18,$D$3,$D49,$E49,$F49,$F$3,BO$3)</f>
        <v>0</v>
      </c>
      <c r="BP49" s="25">
        <f>_xll.DBRW($C$2,$BN$1,BN$2,$D$18,$D$3,$D49,$E49,$F49,BP$3)</f>
        <v>2</v>
      </c>
      <c r="BQ49" s="64">
        <f>_xll.DBRW($C$2,$BN$1,BN$2,$D$18,$D$3,$D49,$E49,$F49,BQ$3)</f>
        <v>0</v>
      </c>
      <c r="BR49" s="58">
        <f>_xll.DBRW($C$2,$BN$1,BN$2,$D$18,$D$3,$D49,$E49,$F49,BR$3)</f>
        <v>0</v>
      </c>
      <c r="BS49" s="48">
        <f t="shared" si="33"/>
        <v>-1</v>
      </c>
      <c r="BT49" s="39">
        <f>_xll.DBRW($C$2,$BT$1,BT$2,$D$18,$D$3,$D49,$E49,$F49,BT$3)</f>
        <v>0</v>
      </c>
      <c r="BU49" s="25" cm="1">
        <f t="array" ref="BU49">_xll.DBRW($E$2,BT$1,BT$2,$D$18,$D$3,$D49,$E49,$F49,$F$3,BU$3)</f>
        <v>0</v>
      </c>
      <c r="BV49" s="25">
        <f>_xll.DBRW($C$2,$BT$1,BT$2,$D$18,$D$3,$D49,$E49,$F49,BV$3)</f>
        <v>2</v>
      </c>
      <c r="BW49" s="64">
        <f>_xll.DBRW($C$2,$BT$1,BT$2,$D$18,$D$3,$D49,$E49,$F49,BW$3)</f>
        <v>0</v>
      </c>
      <c r="BX49" s="58">
        <f>_xll.DBRW($C$2,$BT$1,BT$2,$D$18,$D$3,$D49,$E49,$F49,BX$3)</f>
        <v>0</v>
      </c>
      <c r="BY49" s="48">
        <f t="shared" si="34"/>
        <v>-3</v>
      </c>
      <c r="BZ49" s="39">
        <f>_xll.DBRW($C$2,$BZ$1,BZ$2,$D$18,$D$3,$D49,$E49,$F49,BZ$3)</f>
        <v>0</v>
      </c>
      <c r="CA49" s="25" cm="1">
        <f t="array" ref="CA49">_xll.DBRW($E$2,BZ$1,BZ$2,$D$18,$D$3,$D49,$E49,$F49,$F$3,CA$3)</f>
        <v>0</v>
      </c>
      <c r="CB49" s="25">
        <f>_xll.DBRW($C$2,$BZ$1,BZ$2,$D$18,$D$3,$D49,$E49,$F49,CB$3)</f>
        <v>2</v>
      </c>
      <c r="CC49" s="64">
        <f>_xll.DBRW($C$2,$BZ$1,BZ$2,$D$18,$D$3,$D49,$E49,$F49,CC$3)</f>
        <v>0</v>
      </c>
      <c r="CD49" s="58">
        <f>_xll.DBRW($C$2,$BZ$1,BZ$2,$D$18,$D$3,$D49,$E49,$F49,CD$3)</f>
        <v>0</v>
      </c>
      <c r="CE49" s="48">
        <f t="shared" si="35"/>
        <v>-5</v>
      </c>
    </row>
    <row r="50" spans="1:83" s="23" customFormat="1" outlineLevel="1" thickBot="1" x14ac:dyDescent="0.3">
      <c r="A50" s="91" t="str">
        <f>IF(_xll.TM1RPTELISCONSOLIDATED($F$22,$F50),IF(_xll.TM1RPTELLEV($F$22,$F50)&lt;=5,_xll.TM1RPTELLEV($F$22,$F50),"Default"),"Leaf")</f>
        <v>Leaf</v>
      </c>
      <c r="B50" s="24" t="str">
        <f>_xll.DBRW("TM1-S1_DEV:}ElementAttributes_SP_SKU",$D50,B$1)</f>
        <v>Primary</v>
      </c>
      <c r="C50" s="24" t="str">
        <f>_xll.DBRW("TM1-S1_DEV:}ElementAttributes_SP_SKU",$D50,C$1)</f>
        <v>SIDES</v>
      </c>
      <c r="D50" s="28" t="s">
        <v>376</v>
      </c>
      <c r="E50" s="28" t="s">
        <v>203</v>
      </c>
      <c r="F50" s="28" t="s">
        <v>15</v>
      </c>
      <c r="G50" s="4">
        <f>_xll.DBRW($C$2,$G$19,G$20,$D$18,$D$3,$D50,$E50,$F50,G$3)</f>
        <v>97</v>
      </c>
      <c r="H50" s="54">
        <f t="shared" si="24"/>
        <v>-1</v>
      </c>
      <c r="I50" s="4"/>
      <c r="J50" s="25">
        <f>_xll.DBRW($C$2,$J$1,J$2,$D$18,$D$3,$D50,$E50,$F50,J$3)</f>
        <v>96</v>
      </c>
      <c r="K50" s="39">
        <f>_xll.DBRW($C$2,$J$1,J$2,$D$18,$D$3,$D50,$E50,$F50,K$3)</f>
        <v>0</v>
      </c>
      <c r="L50" s="25">
        <f>_xll.DBRW($C$2,$J$1,J$2,$D$18,$D$3,$D50,$E50,$F50,L$3)</f>
        <v>0</v>
      </c>
      <c r="M50" s="25">
        <f>_xll.DBRW($C$2,$J$1,J$2,$D$18,$D$3,$D50,$E50,$F50,M$3)</f>
        <v>0</v>
      </c>
      <c r="N50" s="25">
        <f>_xll.DBRW($C$2,$J$1,J$2,$D$18,$D$3,$D50,$E50,$F50,N$3)</f>
        <v>25</v>
      </c>
      <c r="O50" s="64">
        <f>_xll.DBRW($C$2,$J$1,J$2,$D$18,$D$3,$D50,$E50,$F50,O$3)</f>
        <v>1</v>
      </c>
      <c r="P50" s="58">
        <f>_xll.DBRW($C$2,$J$1,J$2,$D$18,$D$3,$D50,$E50,$F50,P$3)</f>
        <v>0</v>
      </c>
      <c r="Q50" s="48">
        <f>_xll.DBRW($C$2,$J$1,J$2,$D$18,$D$3,$D50,$E50,$F50,Q$3)</f>
        <v>71</v>
      </c>
      <c r="R50" s="39">
        <f>_xll.DBRW($C$2,$R$1,R$2,$D$18,$D$3,$D50,$E50,$F50,R$3)</f>
        <v>0</v>
      </c>
      <c r="S50" s="25" cm="1">
        <f t="array" ref="S50">_xll.DBRW($E$2,R$1,R$2,$D$18,$D$3,$D50,$E50,$F50,$F$3,S$3)</f>
        <v>0</v>
      </c>
      <c r="T50" s="25">
        <f>_xll.DBRW($C$2,$R$1,R$2,$D$18,$D$3,$D50,$E50,$F50,T$3)</f>
        <v>0</v>
      </c>
      <c r="U50" s="64">
        <f>_xll.DBRW($C$2,$R$1,R$2,$D$18,$D$3,$D50,$E50,$F50,U$3)</f>
        <v>0</v>
      </c>
      <c r="V50" s="58">
        <f>_xll.DBRW($C$2,$R$1,R$2,$D$18,$D$3,$D50,$E50,$F50,V$3)</f>
        <v>0</v>
      </c>
      <c r="W50" s="48">
        <f t="shared" si="25"/>
        <v>71</v>
      </c>
      <c r="X50" s="39">
        <f>_xll.DBRW($C$2,$X$1,X$2,$D$18,$D$3,$D50,$E50,$F50,X$3)</f>
        <v>0</v>
      </c>
      <c r="Y50" s="25" cm="1">
        <f t="array" ref="Y50">_xll.DBRW($E$2,X$1,X$2,$D$18,$D$3,$D50,$E50,$F50,$F$3,Y$3)</f>
        <v>0</v>
      </c>
      <c r="Z50" s="25">
        <f>_xll.DBRW($C$2,$X$1,X$2,$D$18,$D$3,$D50,$E50,$F50,Z$3)</f>
        <v>1</v>
      </c>
      <c r="AA50" s="64">
        <f>_xll.DBRW($C$2,$X$1,X$2,$D$18,$D$3,$D50,$E50,$F50,AA$3)</f>
        <v>0</v>
      </c>
      <c r="AB50" s="58">
        <f>_xll.DBRW($C$2,$X$1,X$2,$D$18,$D$3,$D50,$E50,$F50,AB$3)</f>
        <v>0</v>
      </c>
      <c r="AC50" s="48">
        <f t="shared" si="26"/>
        <v>70</v>
      </c>
      <c r="AD50" s="39">
        <f>_xll.DBRW($C$2,$AD$1,AD$2,$D$18,$D$3,$D50,$E50,$F50,AD$3)</f>
        <v>0</v>
      </c>
      <c r="AE50" s="25" cm="1">
        <f t="array" ref="AE50">_xll.DBRW($E$2,AD$1,AD$2,$D$18,$D$3,$D50,$E50,$F50,$F$3,AE$3)</f>
        <v>0</v>
      </c>
      <c r="AF50" s="25">
        <f>_xll.DBRW($C$2,$AD$1,AD$2,$D$18,$D$3,$D50,$E50,$F50,AF$3)</f>
        <v>1</v>
      </c>
      <c r="AG50" s="64">
        <f>_xll.DBRW($C$2,$AD$1,AD$2,$D$18,$D$3,$D50,$E50,$F50,AG$3)</f>
        <v>0</v>
      </c>
      <c r="AH50" s="58">
        <f>_xll.DBRW($C$2,$AD$1,AD$2,$D$18,$D$3,$D50,$E50,$F50,AH$3)</f>
        <v>0</v>
      </c>
      <c r="AI50" s="48">
        <f t="shared" si="27"/>
        <v>69</v>
      </c>
      <c r="AJ50" s="39">
        <f>_xll.DBRW($C$2,$AJ$1,AJ$2,$D$18,$D$3,$D50,$E50,$F50,AJ$3)</f>
        <v>0</v>
      </c>
      <c r="AK50" s="25" cm="1">
        <f t="array" ref="AK50">_xll.DBRW($E$2,AJ$1,AJ$2,$D$18,$D$3,$D50,$E50,$F50,$F$3,AK$3)</f>
        <v>0</v>
      </c>
      <c r="AL50" s="25">
        <f>_xll.DBRW($C$2,$AJ$1,AJ$2,$D$18,$D$3,$D50,$E50,$F50,AL$3)</f>
        <v>1</v>
      </c>
      <c r="AM50" s="64">
        <f>_xll.DBRW($C$2,$AJ$1,AJ$2,$D$18,$D$3,$D50,$E50,$F50,AM$3)</f>
        <v>0</v>
      </c>
      <c r="AN50" s="58">
        <f>_xll.DBRW($C$2,$AJ$1,AJ$2,$D$18,$D$3,$D50,$E50,$F50,AN$3)</f>
        <v>0</v>
      </c>
      <c r="AO50" s="48">
        <f t="shared" si="28"/>
        <v>68</v>
      </c>
      <c r="AP50" s="39">
        <f>_xll.DBRW($C$2,$AP$1,AP$2,$D$18,$D$3,$D50,$E50,$F50,AP$3)</f>
        <v>0</v>
      </c>
      <c r="AQ50" s="25" cm="1">
        <f t="array" ref="AQ50">_xll.DBRW($E$2,AP$1,AP$2,$D$18,$D$3,$D50,$E50,$F50,$F$3,AQ$3)</f>
        <v>0</v>
      </c>
      <c r="AR50" s="25">
        <f>_xll.DBRW($C$2,$AP$1,AP$2,$D$18,$D$3,$D50,$E50,$F50,AR$3)</f>
        <v>1</v>
      </c>
      <c r="AS50" s="64">
        <f>_xll.DBRW($C$2,$AP$1,AP$2,$D$18,$D$3,$D50,$E50,$F50,AS$3)</f>
        <v>0</v>
      </c>
      <c r="AT50" s="58">
        <f>_xll.DBRW($C$2,$AP$1,AP$2,$D$18,$D$3,$D50,$E50,$F50,AT$3)</f>
        <v>0</v>
      </c>
      <c r="AU50" s="48">
        <f t="shared" si="29"/>
        <v>67</v>
      </c>
      <c r="AV50" s="39">
        <f>_xll.DBRW($C$2,$AV$1,AV$2,$D$18,$D$3,$D50,$E50,$F50,AV$3)</f>
        <v>0</v>
      </c>
      <c r="AW50" s="25" cm="1">
        <f t="array" ref="AW50">_xll.DBRW($E$2,AV$1,AV$2,$D$18,$D$3,$D50,$E50,$F50,$F$3,AW$3)</f>
        <v>0</v>
      </c>
      <c r="AX50" s="25">
        <f>_xll.DBRW($C$2,$AV$1,AV$2,$D$18,$D$3,$D50,$E50,$F50,AX$3)</f>
        <v>1</v>
      </c>
      <c r="AY50" s="64">
        <f>_xll.DBRW($C$2,$AV$1,AV$2,$D$18,$D$3,$D50,$E50,$F50,AY$3)</f>
        <v>0</v>
      </c>
      <c r="AZ50" s="58">
        <f>_xll.DBRW($C$2,$AV$1,AV$2,$D$18,$D$3,$D50,$E50,$F50,AZ$3)</f>
        <v>0</v>
      </c>
      <c r="BA50" s="48">
        <f t="shared" si="30"/>
        <v>66</v>
      </c>
      <c r="BB50" s="39">
        <f>_xll.DBRW($C$2,$BB$1,BB$2,$D$18,$D$3,$D50,$E50,$F50,BB$3)</f>
        <v>0</v>
      </c>
      <c r="BC50" s="25" cm="1">
        <f t="array" ref="BC50">_xll.DBRW($E$2,BB$1,BB$2,$D$18,$D$3,$D50,$E50,$F50,$F$3,BC$3)</f>
        <v>0</v>
      </c>
      <c r="BD50" s="25">
        <f>_xll.DBRW($C$2,$BB$1,BB$2,$D$18,$D$3,$D50,$E50,$F50,BD$3)</f>
        <v>1</v>
      </c>
      <c r="BE50" s="64">
        <f>_xll.DBRW($C$2,$BB$1,BB$2,$D$18,$D$3,$D50,$E50,$F50,BE$3)</f>
        <v>0</v>
      </c>
      <c r="BF50" s="58">
        <f>_xll.DBRW($C$2,$BB$1,BB$2,$D$18,$D$3,$D50,$E50,$F50,BF$3)</f>
        <v>0</v>
      </c>
      <c r="BG50" s="48">
        <f t="shared" si="31"/>
        <v>65</v>
      </c>
      <c r="BH50" s="39">
        <f>_xll.DBRW($C$2,$BH$1,BH$2,$D$18,$D$3,$D50,$E50,$F50,BH$3)</f>
        <v>0</v>
      </c>
      <c r="BI50" s="25" cm="1">
        <f t="array" ref="BI50">_xll.DBRW($E$2,BH$1,BH$2,$D$18,$D$3,$D50,$E50,$F50,$F$3,BI$3)</f>
        <v>0</v>
      </c>
      <c r="BJ50" s="25">
        <f>_xll.DBRW($C$2,$BH$1,BH$2,$D$18,$D$3,$D50,$E50,$F50,BJ$3)</f>
        <v>1</v>
      </c>
      <c r="BK50" s="64">
        <f>_xll.DBRW($C$2,$BH$1,BH$2,$D$18,$D$3,$D50,$E50,$F50,BK$3)</f>
        <v>0</v>
      </c>
      <c r="BL50" s="58">
        <f>_xll.DBRW($C$2,$BH$1,BH$2,$D$18,$D$3,$D50,$E50,$F50,BL$3)</f>
        <v>0</v>
      </c>
      <c r="BM50" s="48">
        <f t="shared" si="32"/>
        <v>64</v>
      </c>
      <c r="BN50" s="39">
        <f>_xll.DBRW($C$2,$BN$1,BN$2,$D$18,$D$3,$D50,$E50,$F50,BN$3)</f>
        <v>0</v>
      </c>
      <c r="BO50" s="25" cm="1">
        <f t="array" ref="BO50">_xll.DBRW($E$2,BN$1,BN$2,$D$18,$D$3,$D50,$E50,$F50,$F$3,BO$3)</f>
        <v>0</v>
      </c>
      <c r="BP50" s="25">
        <f>_xll.DBRW($C$2,$BN$1,BN$2,$D$18,$D$3,$D50,$E50,$F50,BP$3)</f>
        <v>1</v>
      </c>
      <c r="BQ50" s="64">
        <f>_xll.DBRW($C$2,$BN$1,BN$2,$D$18,$D$3,$D50,$E50,$F50,BQ$3)</f>
        <v>0</v>
      </c>
      <c r="BR50" s="58">
        <f>_xll.DBRW($C$2,$BN$1,BN$2,$D$18,$D$3,$D50,$E50,$F50,BR$3)</f>
        <v>0</v>
      </c>
      <c r="BS50" s="48">
        <f t="shared" si="33"/>
        <v>63</v>
      </c>
      <c r="BT50" s="39">
        <f>_xll.DBRW($C$2,$BT$1,BT$2,$D$18,$D$3,$D50,$E50,$F50,BT$3)</f>
        <v>0</v>
      </c>
      <c r="BU50" s="25" cm="1">
        <f t="array" ref="BU50">_xll.DBRW($E$2,BT$1,BT$2,$D$18,$D$3,$D50,$E50,$F50,$F$3,BU$3)</f>
        <v>0</v>
      </c>
      <c r="BV50" s="25">
        <f>_xll.DBRW($C$2,$BT$1,BT$2,$D$18,$D$3,$D50,$E50,$F50,BV$3)</f>
        <v>1</v>
      </c>
      <c r="BW50" s="64">
        <f>_xll.DBRW($C$2,$BT$1,BT$2,$D$18,$D$3,$D50,$E50,$F50,BW$3)</f>
        <v>0</v>
      </c>
      <c r="BX50" s="58">
        <f>_xll.DBRW($C$2,$BT$1,BT$2,$D$18,$D$3,$D50,$E50,$F50,BX$3)</f>
        <v>0</v>
      </c>
      <c r="BY50" s="48">
        <f t="shared" si="34"/>
        <v>62</v>
      </c>
      <c r="BZ50" s="39">
        <f>_xll.DBRW($C$2,$BZ$1,BZ$2,$D$18,$D$3,$D50,$E50,$F50,BZ$3)</f>
        <v>0</v>
      </c>
      <c r="CA50" s="25" cm="1">
        <f t="array" ref="CA50">_xll.DBRW($E$2,BZ$1,BZ$2,$D$18,$D$3,$D50,$E50,$F50,$F$3,CA$3)</f>
        <v>0</v>
      </c>
      <c r="CB50" s="25">
        <f>_xll.DBRW($C$2,$BZ$1,BZ$2,$D$18,$D$3,$D50,$E50,$F50,CB$3)</f>
        <v>1</v>
      </c>
      <c r="CC50" s="64">
        <f>_xll.DBRW($C$2,$BZ$1,BZ$2,$D$18,$D$3,$D50,$E50,$F50,CC$3)</f>
        <v>0</v>
      </c>
      <c r="CD50" s="58">
        <f>_xll.DBRW($C$2,$BZ$1,BZ$2,$D$18,$D$3,$D50,$E50,$F50,CD$3)</f>
        <v>0</v>
      </c>
      <c r="CE50" s="48">
        <f t="shared" si="35"/>
        <v>61</v>
      </c>
    </row>
    <row r="51" spans="1:83" s="23" customFormat="1" outlineLevel="1" thickBot="1" x14ac:dyDescent="0.3">
      <c r="A51" s="91" t="str">
        <f>IF(_xll.TM1RPTELISCONSOLIDATED($F$22,$F51),IF(_xll.TM1RPTELLEV($F$22,$F51)&lt;=5,_xll.TM1RPTELLEV($F$22,$F51),"Default"),"Leaf")</f>
        <v>Leaf</v>
      </c>
      <c r="B51" s="24" t="str">
        <f>_xll.DBRW("TM1-S1_DEV:}ElementAttributes_SP_SKU",$D51,B$1)</f>
        <v>Primary</v>
      </c>
      <c r="C51" s="24" t="str">
        <f>_xll.DBRW("TM1-S1_DEV:}ElementAttributes_SP_SKU",$D51,C$1)</f>
        <v>SIDES</v>
      </c>
      <c r="D51" s="28" t="s">
        <v>483</v>
      </c>
      <c r="E51" s="28" t="s">
        <v>204</v>
      </c>
      <c r="F51" s="28" t="s">
        <v>15</v>
      </c>
      <c r="G51" s="4">
        <f>_xll.DBRW($C$2,$G$19,G$20,$D$18,$D$3,$D51,$E51,$F51,G$3)</f>
        <v>44</v>
      </c>
      <c r="H51" s="54">
        <f t="shared" si="24"/>
        <v>-17</v>
      </c>
      <c r="I51" s="4"/>
      <c r="J51" s="25">
        <f>_xll.DBRW($C$2,$J$1,J$2,$D$18,$D$3,$D51,$E51,$F51,J$3)</f>
        <v>27</v>
      </c>
      <c r="K51" s="39">
        <f>_xll.DBRW($C$2,$J$1,J$2,$D$18,$D$3,$D51,$E51,$F51,K$3)</f>
        <v>0</v>
      </c>
      <c r="L51" s="25">
        <f>_xll.DBRW($C$2,$J$1,J$2,$D$18,$D$3,$D51,$E51,$F51,L$3)</f>
        <v>0</v>
      </c>
      <c r="M51" s="25">
        <f>_xll.DBRW($C$2,$J$1,J$2,$D$18,$D$3,$D51,$E51,$F51,M$3)</f>
        <v>0</v>
      </c>
      <c r="N51" s="25">
        <f>_xll.DBRW($C$2,$J$1,J$2,$D$18,$D$3,$D51,$E51,$F51,N$3)</f>
        <v>0</v>
      </c>
      <c r="O51" s="64">
        <f>_xll.DBRW($C$2,$J$1,J$2,$D$18,$D$3,$D51,$E51,$F51,O$3)</f>
        <v>0</v>
      </c>
      <c r="P51" s="58">
        <f>_xll.DBRW($C$2,$J$1,J$2,$D$18,$D$3,$D51,$E51,$F51,P$3)</f>
        <v>0</v>
      </c>
      <c r="Q51" s="48">
        <f>_xll.DBRW($C$2,$J$1,J$2,$D$18,$D$3,$D51,$E51,$F51,Q$3)</f>
        <v>27</v>
      </c>
      <c r="R51" s="39">
        <f>_xll.DBRW($C$2,$R$1,R$2,$D$18,$D$3,$D51,$E51,$F51,R$3)</f>
        <v>0</v>
      </c>
      <c r="S51" s="25" cm="1">
        <f t="array" ref="S51">_xll.DBRW($E$2,R$1,R$2,$D$18,$D$3,$D51,$E51,$F51,$F$3,S$3)</f>
        <v>0</v>
      </c>
      <c r="T51" s="25">
        <f>_xll.DBRW($C$2,$R$1,R$2,$D$18,$D$3,$D51,$E51,$F51,T$3)</f>
        <v>0</v>
      </c>
      <c r="U51" s="64">
        <f>_xll.DBRW($C$2,$R$1,R$2,$D$18,$D$3,$D51,$E51,$F51,U$3)</f>
        <v>0</v>
      </c>
      <c r="V51" s="58">
        <f>_xll.DBRW($C$2,$R$1,R$2,$D$18,$D$3,$D51,$E51,$F51,V$3)</f>
        <v>0</v>
      </c>
      <c r="W51" s="48">
        <f t="shared" si="25"/>
        <v>27</v>
      </c>
      <c r="X51" s="39">
        <f>_xll.DBRW($C$2,$X$1,X$2,$D$18,$D$3,$D51,$E51,$F51,X$3)</f>
        <v>0</v>
      </c>
      <c r="Y51" s="25" cm="1">
        <f t="array" ref="Y51">_xll.DBRW($E$2,X$1,X$2,$D$18,$D$3,$D51,$E51,$F51,$F$3,Y$3)</f>
        <v>0</v>
      </c>
      <c r="Z51" s="25">
        <f>_xll.DBRW($C$2,$X$1,X$2,$D$18,$D$3,$D51,$E51,$F51,Z$3)</f>
        <v>0</v>
      </c>
      <c r="AA51" s="64">
        <f>_xll.DBRW($C$2,$X$1,X$2,$D$18,$D$3,$D51,$E51,$F51,AA$3)</f>
        <v>0</v>
      </c>
      <c r="AB51" s="58">
        <f>_xll.DBRW($C$2,$X$1,X$2,$D$18,$D$3,$D51,$E51,$F51,AB$3)</f>
        <v>0</v>
      </c>
      <c r="AC51" s="48">
        <f t="shared" si="26"/>
        <v>27</v>
      </c>
      <c r="AD51" s="39">
        <f>_xll.DBRW($C$2,$AD$1,AD$2,$D$18,$D$3,$D51,$E51,$F51,AD$3)</f>
        <v>0</v>
      </c>
      <c r="AE51" s="25" cm="1">
        <f t="array" ref="AE51">_xll.DBRW($E$2,AD$1,AD$2,$D$18,$D$3,$D51,$E51,$F51,$F$3,AE$3)</f>
        <v>0</v>
      </c>
      <c r="AF51" s="25">
        <f>_xll.DBRW($C$2,$AD$1,AD$2,$D$18,$D$3,$D51,$E51,$F51,AF$3)</f>
        <v>0</v>
      </c>
      <c r="AG51" s="64">
        <f>_xll.DBRW($C$2,$AD$1,AD$2,$D$18,$D$3,$D51,$E51,$F51,AG$3)</f>
        <v>0</v>
      </c>
      <c r="AH51" s="58">
        <f>_xll.DBRW($C$2,$AD$1,AD$2,$D$18,$D$3,$D51,$E51,$F51,AH$3)</f>
        <v>0</v>
      </c>
      <c r="AI51" s="48">
        <f t="shared" si="27"/>
        <v>27</v>
      </c>
      <c r="AJ51" s="39">
        <f>_xll.DBRW($C$2,$AJ$1,AJ$2,$D$18,$D$3,$D51,$E51,$F51,AJ$3)</f>
        <v>0</v>
      </c>
      <c r="AK51" s="25" cm="1">
        <f t="array" ref="AK51">_xll.DBRW($E$2,AJ$1,AJ$2,$D$18,$D$3,$D51,$E51,$F51,$F$3,AK$3)</f>
        <v>0</v>
      </c>
      <c r="AL51" s="25">
        <f>_xll.DBRW($C$2,$AJ$1,AJ$2,$D$18,$D$3,$D51,$E51,$F51,AL$3)</f>
        <v>0</v>
      </c>
      <c r="AM51" s="64">
        <f>_xll.DBRW($C$2,$AJ$1,AJ$2,$D$18,$D$3,$D51,$E51,$F51,AM$3)</f>
        <v>0</v>
      </c>
      <c r="AN51" s="58">
        <f>_xll.DBRW($C$2,$AJ$1,AJ$2,$D$18,$D$3,$D51,$E51,$F51,AN$3)</f>
        <v>0</v>
      </c>
      <c r="AO51" s="48">
        <f t="shared" si="28"/>
        <v>27</v>
      </c>
      <c r="AP51" s="39">
        <f>_xll.DBRW($C$2,$AP$1,AP$2,$D$18,$D$3,$D51,$E51,$F51,AP$3)</f>
        <v>0</v>
      </c>
      <c r="AQ51" s="25" cm="1">
        <f t="array" ref="AQ51">_xll.DBRW($E$2,AP$1,AP$2,$D$18,$D$3,$D51,$E51,$F51,$F$3,AQ$3)</f>
        <v>0</v>
      </c>
      <c r="AR51" s="25">
        <f>_xll.DBRW($C$2,$AP$1,AP$2,$D$18,$D$3,$D51,$E51,$F51,AR$3)</f>
        <v>0</v>
      </c>
      <c r="AS51" s="64">
        <f>_xll.DBRW($C$2,$AP$1,AP$2,$D$18,$D$3,$D51,$E51,$F51,AS$3)</f>
        <v>0</v>
      </c>
      <c r="AT51" s="58">
        <f>_xll.DBRW($C$2,$AP$1,AP$2,$D$18,$D$3,$D51,$E51,$F51,AT$3)</f>
        <v>0</v>
      </c>
      <c r="AU51" s="48">
        <f t="shared" si="29"/>
        <v>27</v>
      </c>
      <c r="AV51" s="39">
        <f>_xll.DBRW($C$2,$AV$1,AV$2,$D$18,$D$3,$D51,$E51,$F51,AV$3)</f>
        <v>0</v>
      </c>
      <c r="AW51" s="25" cm="1">
        <f t="array" ref="AW51">_xll.DBRW($E$2,AV$1,AV$2,$D$18,$D$3,$D51,$E51,$F51,$F$3,AW$3)</f>
        <v>0</v>
      </c>
      <c r="AX51" s="25">
        <f>_xll.DBRW($C$2,$AV$1,AV$2,$D$18,$D$3,$D51,$E51,$F51,AX$3)</f>
        <v>0</v>
      </c>
      <c r="AY51" s="64">
        <f>_xll.DBRW($C$2,$AV$1,AV$2,$D$18,$D$3,$D51,$E51,$F51,AY$3)</f>
        <v>0</v>
      </c>
      <c r="AZ51" s="58">
        <f>_xll.DBRW($C$2,$AV$1,AV$2,$D$18,$D$3,$D51,$E51,$F51,AZ$3)</f>
        <v>0</v>
      </c>
      <c r="BA51" s="48">
        <f t="shared" si="30"/>
        <v>27</v>
      </c>
      <c r="BB51" s="39">
        <f>_xll.DBRW($C$2,$BB$1,BB$2,$D$18,$D$3,$D51,$E51,$F51,BB$3)</f>
        <v>0</v>
      </c>
      <c r="BC51" s="25" cm="1">
        <f t="array" ref="BC51">_xll.DBRW($E$2,BB$1,BB$2,$D$18,$D$3,$D51,$E51,$F51,$F$3,BC$3)</f>
        <v>0</v>
      </c>
      <c r="BD51" s="25">
        <f>_xll.DBRW($C$2,$BB$1,BB$2,$D$18,$D$3,$D51,$E51,$F51,BD$3)</f>
        <v>0</v>
      </c>
      <c r="BE51" s="64">
        <f>_xll.DBRW($C$2,$BB$1,BB$2,$D$18,$D$3,$D51,$E51,$F51,BE$3)</f>
        <v>0</v>
      </c>
      <c r="BF51" s="58">
        <f>_xll.DBRW($C$2,$BB$1,BB$2,$D$18,$D$3,$D51,$E51,$F51,BF$3)</f>
        <v>0</v>
      </c>
      <c r="BG51" s="48">
        <f t="shared" si="31"/>
        <v>27</v>
      </c>
      <c r="BH51" s="39">
        <f>_xll.DBRW($C$2,$BH$1,BH$2,$D$18,$D$3,$D51,$E51,$F51,BH$3)</f>
        <v>0</v>
      </c>
      <c r="BI51" s="25" cm="1">
        <f t="array" ref="BI51">_xll.DBRW($E$2,BH$1,BH$2,$D$18,$D$3,$D51,$E51,$F51,$F$3,BI$3)</f>
        <v>0</v>
      </c>
      <c r="BJ51" s="25">
        <f>_xll.DBRW($C$2,$BH$1,BH$2,$D$18,$D$3,$D51,$E51,$F51,BJ$3)</f>
        <v>0</v>
      </c>
      <c r="BK51" s="64">
        <f>_xll.DBRW($C$2,$BH$1,BH$2,$D$18,$D$3,$D51,$E51,$F51,BK$3)</f>
        <v>0</v>
      </c>
      <c r="BL51" s="58">
        <f>_xll.DBRW($C$2,$BH$1,BH$2,$D$18,$D$3,$D51,$E51,$F51,BL$3)</f>
        <v>0</v>
      </c>
      <c r="BM51" s="48">
        <f t="shared" si="32"/>
        <v>27</v>
      </c>
      <c r="BN51" s="39">
        <f>_xll.DBRW($C$2,$BN$1,BN$2,$D$18,$D$3,$D51,$E51,$F51,BN$3)</f>
        <v>0</v>
      </c>
      <c r="BO51" s="25" cm="1">
        <f t="array" ref="BO51">_xll.DBRW($E$2,BN$1,BN$2,$D$18,$D$3,$D51,$E51,$F51,$F$3,BO$3)</f>
        <v>0</v>
      </c>
      <c r="BP51" s="25">
        <f>_xll.DBRW($C$2,$BN$1,BN$2,$D$18,$D$3,$D51,$E51,$F51,BP$3)</f>
        <v>0</v>
      </c>
      <c r="BQ51" s="64">
        <f>_xll.DBRW($C$2,$BN$1,BN$2,$D$18,$D$3,$D51,$E51,$F51,BQ$3)</f>
        <v>0</v>
      </c>
      <c r="BR51" s="58">
        <f>_xll.DBRW($C$2,$BN$1,BN$2,$D$18,$D$3,$D51,$E51,$F51,BR$3)</f>
        <v>0</v>
      </c>
      <c r="BS51" s="48">
        <f t="shared" si="33"/>
        <v>27</v>
      </c>
      <c r="BT51" s="39">
        <f>_xll.DBRW($C$2,$BT$1,BT$2,$D$18,$D$3,$D51,$E51,$F51,BT$3)</f>
        <v>0</v>
      </c>
      <c r="BU51" s="25" cm="1">
        <f t="array" ref="BU51">_xll.DBRW($E$2,BT$1,BT$2,$D$18,$D$3,$D51,$E51,$F51,$F$3,BU$3)</f>
        <v>0</v>
      </c>
      <c r="BV51" s="25">
        <f>_xll.DBRW($C$2,$BT$1,BT$2,$D$18,$D$3,$D51,$E51,$F51,BV$3)</f>
        <v>0</v>
      </c>
      <c r="BW51" s="64">
        <f>_xll.DBRW($C$2,$BT$1,BT$2,$D$18,$D$3,$D51,$E51,$F51,BW$3)</f>
        <v>0</v>
      </c>
      <c r="BX51" s="58">
        <f>_xll.DBRW($C$2,$BT$1,BT$2,$D$18,$D$3,$D51,$E51,$F51,BX$3)</f>
        <v>0</v>
      </c>
      <c r="BY51" s="48">
        <f t="shared" si="34"/>
        <v>27</v>
      </c>
      <c r="BZ51" s="39">
        <f>_xll.DBRW($C$2,$BZ$1,BZ$2,$D$18,$D$3,$D51,$E51,$F51,BZ$3)</f>
        <v>0</v>
      </c>
      <c r="CA51" s="25" cm="1">
        <f t="array" ref="CA51">_xll.DBRW($E$2,BZ$1,BZ$2,$D$18,$D$3,$D51,$E51,$F51,$F$3,CA$3)</f>
        <v>0</v>
      </c>
      <c r="CB51" s="25">
        <f>_xll.DBRW($C$2,$BZ$1,BZ$2,$D$18,$D$3,$D51,$E51,$F51,CB$3)</f>
        <v>0</v>
      </c>
      <c r="CC51" s="64">
        <f>_xll.DBRW($C$2,$BZ$1,BZ$2,$D$18,$D$3,$D51,$E51,$F51,CC$3)</f>
        <v>0</v>
      </c>
      <c r="CD51" s="58">
        <f>_xll.DBRW($C$2,$BZ$1,BZ$2,$D$18,$D$3,$D51,$E51,$F51,CD$3)</f>
        <v>0</v>
      </c>
      <c r="CE51" s="48">
        <f t="shared" si="35"/>
        <v>27</v>
      </c>
    </row>
    <row r="52" spans="1:83" s="23" customFormat="1" outlineLevel="1" thickBot="1" x14ac:dyDescent="0.3">
      <c r="A52" s="91" t="str">
        <f>IF(_xll.TM1RPTELISCONSOLIDATED($F$22,$F52),IF(_xll.TM1RPTELLEV($F$22,$F52)&lt;=5,_xll.TM1RPTELLEV($F$22,$F52),"Default"),"Leaf")</f>
        <v>Leaf</v>
      </c>
      <c r="B52" s="24" t="str">
        <f>_xll.DBRW("TM1-S1_DEV:}ElementAttributes_SP_SKU",$D52,B$1)</f>
        <v>Primary</v>
      </c>
      <c r="C52" s="24" t="str">
        <f>_xll.DBRW("TM1-S1_DEV:}ElementAttributes_SP_SKU",$D52,C$1)</f>
        <v>SIDES</v>
      </c>
      <c r="D52" s="28" t="s">
        <v>377</v>
      </c>
      <c r="E52" s="28" t="s">
        <v>205</v>
      </c>
      <c r="F52" s="28" t="s">
        <v>15</v>
      </c>
      <c r="G52" s="4">
        <f>_xll.DBRW($C$2,$G$19,G$20,$D$18,$D$3,$D52,$E52,$F52,G$3)</f>
        <v>54</v>
      </c>
      <c r="H52" s="54">
        <f t="shared" si="24"/>
        <v>-1</v>
      </c>
      <c r="I52" s="4"/>
      <c r="J52" s="25">
        <f>_xll.DBRW($C$2,$J$1,J$2,$D$18,$D$3,$D52,$E52,$F52,J$3)</f>
        <v>53</v>
      </c>
      <c r="K52" s="39">
        <f>_xll.DBRW($C$2,$J$1,J$2,$D$18,$D$3,$D52,$E52,$F52,K$3)</f>
        <v>0</v>
      </c>
      <c r="L52" s="25">
        <f>_xll.DBRW($C$2,$J$1,J$2,$D$18,$D$3,$D52,$E52,$F52,L$3)</f>
        <v>0</v>
      </c>
      <c r="M52" s="25">
        <f>_xll.DBRW($C$2,$J$1,J$2,$D$18,$D$3,$D52,$E52,$F52,M$3)</f>
        <v>0</v>
      </c>
      <c r="N52" s="25">
        <f>_xll.DBRW($C$2,$J$1,J$2,$D$18,$D$3,$D52,$E52,$F52,N$3)</f>
        <v>22</v>
      </c>
      <c r="O52" s="64">
        <f>_xll.DBRW($C$2,$J$1,J$2,$D$18,$D$3,$D52,$E52,$F52,O$3)</f>
        <v>1</v>
      </c>
      <c r="P52" s="58">
        <f>_xll.DBRW($C$2,$J$1,J$2,$D$18,$D$3,$D52,$E52,$F52,P$3)</f>
        <v>0</v>
      </c>
      <c r="Q52" s="48">
        <f>_xll.DBRW($C$2,$J$1,J$2,$D$18,$D$3,$D52,$E52,$F52,Q$3)</f>
        <v>31</v>
      </c>
      <c r="R52" s="39">
        <f>_xll.DBRW($C$2,$R$1,R$2,$D$18,$D$3,$D52,$E52,$F52,R$3)</f>
        <v>0</v>
      </c>
      <c r="S52" s="25" cm="1">
        <f t="array" ref="S52">_xll.DBRW($E$2,R$1,R$2,$D$18,$D$3,$D52,$E52,$F52,$F$3,S$3)</f>
        <v>0</v>
      </c>
      <c r="T52" s="25">
        <f>_xll.DBRW($C$2,$R$1,R$2,$D$18,$D$3,$D52,$E52,$F52,T$3)</f>
        <v>0</v>
      </c>
      <c r="U52" s="64">
        <f>_xll.DBRW($C$2,$R$1,R$2,$D$18,$D$3,$D52,$E52,$F52,U$3)</f>
        <v>0</v>
      </c>
      <c r="V52" s="58">
        <f>_xll.DBRW($C$2,$R$1,R$2,$D$18,$D$3,$D52,$E52,$F52,V$3)</f>
        <v>0</v>
      </c>
      <c r="W52" s="48">
        <f t="shared" si="25"/>
        <v>31</v>
      </c>
      <c r="X52" s="39">
        <f>_xll.DBRW($C$2,$X$1,X$2,$D$18,$D$3,$D52,$E52,$F52,X$3)</f>
        <v>0</v>
      </c>
      <c r="Y52" s="25" cm="1">
        <f t="array" ref="Y52">_xll.DBRW($E$2,X$1,X$2,$D$18,$D$3,$D52,$E52,$F52,$F$3,Y$3)</f>
        <v>0</v>
      </c>
      <c r="Z52" s="25">
        <f>_xll.DBRW($C$2,$X$1,X$2,$D$18,$D$3,$D52,$E52,$F52,Z$3)</f>
        <v>1</v>
      </c>
      <c r="AA52" s="64">
        <f>_xll.DBRW($C$2,$X$1,X$2,$D$18,$D$3,$D52,$E52,$F52,AA$3)</f>
        <v>0</v>
      </c>
      <c r="AB52" s="58">
        <f>_xll.DBRW($C$2,$X$1,X$2,$D$18,$D$3,$D52,$E52,$F52,AB$3)</f>
        <v>0</v>
      </c>
      <c r="AC52" s="48">
        <f t="shared" si="26"/>
        <v>30</v>
      </c>
      <c r="AD52" s="39">
        <f>_xll.DBRW($C$2,$AD$1,AD$2,$D$18,$D$3,$D52,$E52,$F52,AD$3)</f>
        <v>0</v>
      </c>
      <c r="AE52" s="25" cm="1">
        <f t="array" ref="AE52">_xll.DBRW($E$2,AD$1,AD$2,$D$18,$D$3,$D52,$E52,$F52,$F$3,AE$3)</f>
        <v>0</v>
      </c>
      <c r="AF52" s="25">
        <f>_xll.DBRW($C$2,$AD$1,AD$2,$D$18,$D$3,$D52,$E52,$F52,AF$3)</f>
        <v>1</v>
      </c>
      <c r="AG52" s="64">
        <f>_xll.DBRW($C$2,$AD$1,AD$2,$D$18,$D$3,$D52,$E52,$F52,AG$3)</f>
        <v>0</v>
      </c>
      <c r="AH52" s="58">
        <f>_xll.DBRW($C$2,$AD$1,AD$2,$D$18,$D$3,$D52,$E52,$F52,AH$3)</f>
        <v>0</v>
      </c>
      <c r="AI52" s="48">
        <f t="shared" si="27"/>
        <v>29</v>
      </c>
      <c r="AJ52" s="39">
        <f>_xll.DBRW($C$2,$AJ$1,AJ$2,$D$18,$D$3,$D52,$E52,$F52,AJ$3)</f>
        <v>0</v>
      </c>
      <c r="AK52" s="25" cm="1">
        <f t="array" ref="AK52">_xll.DBRW($E$2,AJ$1,AJ$2,$D$18,$D$3,$D52,$E52,$F52,$F$3,AK$3)</f>
        <v>0</v>
      </c>
      <c r="AL52" s="25">
        <f>_xll.DBRW($C$2,$AJ$1,AJ$2,$D$18,$D$3,$D52,$E52,$F52,AL$3)</f>
        <v>1</v>
      </c>
      <c r="AM52" s="64">
        <f>_xll.DBRW($C$2,$AJ$1,AJ$2,$D$18,$D$3,$D52,$E52,$F52,AM$3)</f>
        <v>0</v>
      </c>
      <c r="AN52" s="58">
        <f>_xll.DBRW($C$2,$AJ$1,AJ$2,$D$18,$D$3,$D52,$E52,$F52,AN$3)</f>
        <v>0</v>
      </c>
      <c r="AO52" s="48">
        <f t="shared" si="28"/>
        <v>28</v>
      </c>
      <c r="AP52" s="39">
        <f>_xll.DBRW($C$2,$AP$1,AP$2,$D$18,$D$3,$D52,$E52,$F52,AP$3)</f>
        <v>0</v>
      </c>
      <c r="AQ52" s="25" cm="1">
        <f t="array" ref="AQ52">_xll.DBRW($E$2,AP$1,AP$2,$D$18,$D$3,$D52,$E52,$F52,$F$3,AQ$3)</f>
        <v>0</v>
      </c>
      <c r="AR52" s="25">
        <f>_xll.DBRW($C$2,$AP$1,AP$2,$D$18,$D$3,$D52,$E52,$F52,AR$3)</f>
        <v>1</v>
      </c>
      <c r="AS52" s="64">
        <f>_xll.DBRW($C$2,$AP$1,AP$2,$D$18,$D$3,$D52,$E52,$F52,AS$3)</f>
        <v>0</v>
      </c>
      <c r="AT52" s="58">
        <f>_xll.DBRW($C$2,$AP$1,AP$2,$D$18,$D$3,$D52,$E52,$F52,AT$3)</f>
        <v>0</v>
      </c>
      <c r="AU52" s="48">
        <f t="shared" si="29"/>
        <v>27</v>
      </c>
      <c r="AV52" s="39">
        <f>_xll.DBRW($C$2,$AV$1,AV$2,$D$18,$D$3,$D52,$E52,$F52,AV$3)</f>
        <v>0</v>
      </c>
      <c r="AW52" s="25" cm="1">
        <f t="array" ref="AW52">_xll.DBRW($E$2,AV$1,AV$2,$D$18,$D$3,$D52,$E52,$F52,$F$3,AW$3)</f>
        <v>0</v>
      </c>
      <c r="AX52" s="25">
        <f>_xll.DBRW($C$2,$AV$1,AV$2,$D$18,$D$3,$D52,$E52,$F52,AX$3)</f>
        <v>1</v>
      </c>
      <c r="AY52" s="64">
        <f>_xll.DBRW($C$2,$AV$1,AV$2,$D$18,$D$3,$D52,$E52,$F52,AY$3)</f>
        <v>0</v>
      </c>
      <c r="AZ52" s="58">
        <f>_xll.DBRW($C$2,$AV$1,AV$2,$D$18,$D$3,$D52,$E52,$F52,AZ$3)</f>
        <v>0</v>
      </c>
      <c r="BA52" s="48">
        <f t="shared" si="30"/>
        <v>26</v>
      </c>
      <c r="BB52" s="39">
        <f>_xll.DBRW($C$2,$BB$1,BB$2,$D$18,$D$3,$D52,$E52,$F52,BB$3)</f>
        <v>0</v>
      </c>
      <c r="BC52" s="25" cm="1">
        <f t="array" ref="BC52">_xll.DBRW($E$2,BB$1,BB$2,$D$18,$D$3,$D52,$E52,$F52,$F$3,BC$3)</f>
        <v>0</v>
      </c>
      <c r="BD52" s="25">
        <f>_xll.DBRW($C$2,$BB$1,BB$2,$D$18,$D$3,$D52,$E52,$F52,BD$3)</f>
        <v>1</v>
      </c>
      <c r="BE52" s="64">
        <f>_xll.DBRW($C$2,$BB$1,BB$2,$D$18,$D$3,$D52,$E52,$F52,BE$3)</f>
        <v>0</v>
      </c>
      <c r="BF52" s="58">
        <f>_xll.DBRW($C$2,$BB$1,BB$2,$D$18,$D$3,$D52,$E52,$F52,BF$3)</f>
        <v>0</v>
      </c>
      <c r="BG52" s="48">
        <f t="shared" si="31"/>
        <v>25</v>
      </c>
      <c r="BH52" s="39">
        <f>_xll.DBRW($C$2,$BH$1,BH$2,$D$18,$D$3,$D52,$E52,$F52,BH$3)</f>
        <v>0</v>
      </c>
      <c r="BI52" s="25" cm="1">
        <f t="array" ref="BI52">_xll.DBRW($E$2,BH$1,BH$2,$D$18,$D$3,$D52,$E52,$F52,$F$3,BI$3)</f>
        <v>0</v>
      </c>
      <c r="BJ52" s="25">
        <f>_xll.DBRW($C$2,$BH$1,BH$2,$D$18,$D$3,$D52,$E52,$F52,BJ$3)</f>
        <v>1</v>
      </c>
      <c r="BK52" s="64">
        <f>_xll.DBRW($C$2,$BH$1,BH$2,$D$18,$D$3,$D52,$E52,$F52,BK$3)</f>
        <v>0</v>
      </c>
      <c r="BL52" s="58">
        <f>_xll.DBRW($C$2,$BH$1,BH$2,$D$18,$D$3,$D52,$E52,$F52,BL$3)</f>
        <v>0</v>
      </c>
      <c r="BM52" s="48">
        <f t="shared" si="32"/>
        <v>24</v>
      </c>
      <c r="BN52" s="39">
        <f>_xll.DBRW($C$2,$BN$1,BN$2,$D$18,$D$3,$D52,$E52,$F52,BN$3)</f>
        <v>0</v>
      </c>
      <c r="BO52" s="25" cm="1">
        <f t="array" ref="BO52">_xll.DBRW($E$2,BN$1,BN$2,$D$18,$D$3,$D52,$E52,$F52,$F$3,BO$3)</f>
        <v>0</v>
      </c>
      <c r="BP52" s="25">
        <f>_xll.DBRW($C$2,$BN$1,BN$2,$D$18,$D$3,$D52,$E52,$F52,BP$3)</f>
        <v>1</v>
      </c>
      <c r="BQ52" s="64">
        <f>_xll.DBRW($C$2,$BN$1,BN$2,$D$18,$D$3,$D52,$E52,$F52,BQ$3)</f>
        <v>0</v>
      </c>
      <c r="BR52" s="58">
        <f>_xll.DBRW($C$2,$BN$1,BN$2,$D$18,$D$3,$D52,$E52,$F52,BR$3)</f>
        <v>0</v>
      </c>
      <c r="BS52" s="48">
        <f t="shared" si="33"/>
        <v>23</v>
      </c>
      <c r="BT52" s="39">
        <f>_xll.DBRW($C$2,$BT$1,BT$2,$D$18,$D$3,$D52,$E52,$F52,BT$3)</f>
        <v>0</v>
      </c>
      <c r="BU52" s="25" cm="1">
        <f t="array" ref="BU52">_xll.DBRW($E$2,BT$1,BT$2,$D$18,$D$3,$D52,$E52,$F52,$F$3,BU$3)</f>
        <v>0</v>
      </c>
      <c r="BV52" s="25">
        <f>_xll.DBRW($C$2,$BT$1,BT$2,$D$18,$D$3,$D52,$E52,$F52,BV$3)</f>
        <v>1</v>
      </c>
      <c r="BW52" s="64">
        <f>_xll.DBRW($C$2,$BT$1,BT$2,$D$18,$D$3,$D52,$E52,$F52,BW$3)</f>
        <v>0</v>
      </c>
      <c r="BX52" s="58">
        <f>_xll.DBRW($C$2,$BT$1,BT$2,$D$18,$D$3,$D52,$E52,$F52,BX$3)</f>
        <v>0</v>
      </c>
      <c r="BY52" s="48">
        <f t="shared" si="34"/>
        <v>22</v>
      </c>
      <c r="BZ52" s="39">
        <f>_xll.DBRW($C$2,$BZ$1,BZ$2,$D$18,$D$3,$D52,$E52,$F52,BZ$3)</f>
        <v>0</v>
      </c>
      <c r="CA52" s="25" cm="1">
        <f t="array" ref="CA52">_xll.DBRW($E$2,BZ$1,BZ$2,$D$18,$D$3,$D52,$E52,$F52,$F$3,CA$3)</f>
        <v>0</v>
      </c>
      <c r="CB52" s="25">
        <f>_xll.DBRW($C$2,$BZ$1,BZ$2,$D$18,$D$3,$D52,$E52,$F52,CB$3)</f>
        <v>1</v>
      </c>
      <c r="CC52" s="64">
        <f>_xll.DBRW($C$2,$BZ$1,BZ$2,$D$18,$D$3,$D52,$E52,$F52,CC$3)</f>
        <v>0</v>
      </c>
      <c r="CD52" s="58">
        <f>_xll.DBRW($C$2,$BZ$1,BZ$2,$D$18,$D$3,$D52,$E52,$F52,CD$3)</f>
        <v>0</v>
      </c>
      <c r="CE52" s="48">
        <f t="shared" si="35"/>
        <v>21</v>
      </c>
    </row>
    <row r="53" spans="1:83" s="23" customFormat="1" outlineLevel="1" thickBot="1" x14ac:dyDescent="0.3">
      <c r="A53" s="91" t="str">
        <f>IF(_xll.TM1RPTELISCONSOLIDATED($F$22,$F53),IF(_xll.TM1RPTELLEV($F$22,$F53)&lt;=5,_xll.TM1RPTELLEV($F$22,$F53),"Default"),"Leaf")</f>
        <v>Leaf</v>
      </c>
      <c r="B53" s="24" t="str">
        <f>_xll.DBRW("TM1-S1_DEV:}ElementAttributes_SP_SKU",$D53,B$1)</f>
        <v>Primary</v>
      </c>
      <c r="C53" s="24" t="str">
        <f>_xll.DBRW("TM1-S1_DEV:}ElementAttributes_SP_SKU",$D53,C$1)</f>
        <v>SIDES</v>
      </c>
      <c r="D53" s="28" t="s">
        <v>484</v>
      </c>
      <c r="E53" s="28" t="s">
        <v>139</v>
      </c>
      <c r="F53" s="28" t="s">
        <v>15</v>
      </c>
      <c r="G53" s="4">
        <f>_xll.DBRW($C$2,$G$19,G$20,$D$18,$D$3,$D53,$E53,$F53,G$3)</f>
        <v>230</v>
      </c>
      <c r="H53" s="54">
        <f t="shared" si="24"/>
        <v>-109</v>
      </c>
      <c r="I53" s="4"/>
      <c r="J53" s="25">
        <f>_xll.DBRW($C$2,$J$1,J$2,$D$18,$D$3,$D53,$E53,$F53,J$3)</f>
        <v>121</v>
      </c>
      <c r="K53" s="39">
        <f>_xll.DBRW($C$2,$J$1,J$2,$D$18,$D$3,$D53,$E53,$F53,K$3)</f>
        <v>0</v>
      </c>
      <c r="L53" s="25">
        <f>_xll.DBRW($C$2,$J$1,J$2,$D$18,$D$3,$D53,$E53,$F53,L$3)</f>
        <v>0</v>
      </c>
      <c r="M53" s="25">
        <f>_xll.DBRW($C$2,$J$1,J$2,$D$18,$D$3,$D53,$E53,$F53,M$3)</f>
        <v>0</v>
      </c>
      <c r="N53" s="25">
        <f>_xll.DBRW($C$2,$J$1,J$2,$D$18,$D$3,$D53,$E53,$F53,N$3)</f>
        <v>0</v>
      </c>
      <c r="O53" s="64">
        <f>_xll.DBRW($C$2,$J$1,J$2,$D$18,$D$3,$D53,$E53,$F53,O$3)</f>
        <v>0</v>
      </c>
      <c r="P53" s="58">
        <f>_xll.DBRW($C$2,$J$1,J$2,$D$18,$D$3,$D53,$E53,$F53,P$3)</f>
        <v>0</v>
      </c>
      <c r="Q53" s="48">
        <f>_xll.DBRW($C$2,$J$1,J$2,$D$18,$D$3,$D53,$E53,$F53,Q$3)</f>
        <v>121</v>
      </c>
      <c r="R53" s="39">
        <f>_xll.DBRW($C$2,$R$1,R$2,$D$18,$D$3,$D53,$E53,$F53,R$3)</f>
        <v>0</v>
      </c>
      <c r="S53" s="25" cm="1">
        <f t="array" ref="S53">_xll.DBRW($E$2,R$1,R$2,$D$18,$D$3,$D53,$E53,$F53,$F$3,S$3)</f>
        <v>0</v>
      </c>
      <c r="T53" s="25">
        <f>_xll.DBRW($C$2,$R$1,R$2,$D$18,$D$3,$D53,$E53,$F53,T$3)</f>
        <v>0</v>
      </c>
      <c r="U53" s="64">
        <f>_xll.DBRW($C$2,$R$1,R$2,$D$18,$D$3,$D53,$E53,$F53,U$3)</f>
        <v>0</v>
      </c>
      <c r="V53" s="58">
        <f>_xll.DBRW($C$2,$R$1,R$2,$D$18,$D$3,$D53,$E53,$F53,V$3)</f>
        <v>0</v>
      </c>
      <c r="W53" s="48">
        <f t="shared" si="25"/>
        <v>121</v>
      </c>
      <c r="X53" s="39">
        <f>_xll.DBRW($C$2,$X$1,X$2,$D$18,$D$3,$D53,$E53,$F53,X$3)</f>
        <v>0</v>
      </c>
      <c r="Y53" s="25" cm="1">
        <f t="array" ref="Y53">_xll.DBRW($E$2,X$1,X$2,$D$18,$D$3,$D53,$E53,$F53,$F$3,Y$3)</f>
        <v>0</v>
      </c>
      <c r="Z53" s="25">
        <f>_xll.DBRW($C$2,$X$1,X$2,$D$18,$D$3,$D53,$E53,$F53,Z$3)</f>
        <v>0</v>
      </c>
      <c r="AA53" s="64">
        <f>_xll.DBRW($C$2,$X$1,X$2,$D$18,$D$3,$D53,$E53,$F53,AA$3)</f>
        <v>0</v>
      </c>
      <c r="AB53" s="58">
        <f>_xll.DBRW($C$2,$X$1,X$2,$D$18,$D$3,$D53,$E53,$F53,AB$3)</f>
        <v>0</v>
      </c>
      <c r="AC53" s="48">
        <f t="shared" si="26"/>
        <v>121</v>
      </c>
      <c r="AD53" s="39">
        <f>_xll.DBRW($C$2,$AD$1,AD$2,$D$18,$D$3,$D53,$E53,$F53,AD$3)</f>
        <v>0</v>
      </c>
      <c r="AE53" s="25" cm="1">
        <f t="array" ref="AE53">_xll.DBRW($E$2,AD$1,AD$2,$D$18,$D$3,$D53,$E53,$F53,$F$3,AE$3)</f>
        <v>0</v>
      </c>
      <c r="AF53" s="25">
        <f>_xll.DBRW($C$2,$AD$1,AD$2,$D$18,$D$3,$D53,$E53,$F53,AF$3)</f>
        <v>0</v>
      </c>
      <c r="AG53" s="64">
        <f>_xll.DBRW($C$2,$AD$1,AD$2,$D$18,$D$3,$D53,$E53,$F53,AG$3)</f>
        <v>0</v>
      </c>
      <c r="AH53" s="58">
        <f>_xll.DBRW($C$2,$AD$1,AD$2,$D$18,$D$3,$D53,$E53,$F53,AH$3)</f>
        <v>0</v>
      </c>
      <c r="AI53" s="48">
        <f t="shared" si="27"/>
        <v>121</v>
      </c>
      <c r="AJ53" s="39">
        <f>_xll.DBRW($C$2,$AJ$1,AJ$2,$D$18,$D$3,$D53,$E53,$F53,AJ$3)</f>
        <v>0</v>
      </c>
      <c r="AK53" s="25" cm="1">
        <f t="array" ref="AK53">_xll.DBRW($E$2,AJ$1,AJ$2,$D$18,$D$3,$D53,$E53,$F53,$F$3,AK$3)</f>
        <v>0</v>
      </c>
      <c r="AL53" s="25">
        <f>_xll.DBRW($C$2,$AJ$1,AJ$2,$D$18,$D$3,$D53,$E53,$F53,AL$3)</f>
        <v>0</v>
      </c>
      <c r="AM53" s="64">
        <f>_xll.DBRW($C$2,$AJ$1,AJ$2,$D$18,$D$3,$D53,$E53,$F53,AM$3)</f>
        <v>0</v>
      </c>
      <c r="AN53" s="58">
        <f>_xll.DBRW($C$2,$AJ$1,AJ$2,$D$18,$D$3,$D53,$E53,$F53,AN$3)</f>
        <v>0</v>
      </c>
      <c r="AO53" s="48">
        <f t="shared" si="28"/>
        <v>121</v>
      </c>
      <c r="AP53" s="39">
        <f>_xll.DBRW($C$2,$AP$1,AP$2,$D$18,$D$3,$D53,$E53,$F53,AP$3)</f>
        <v>0</v>
      </c>
      <c r="AQ53" s="25" cm="1">
        <f t="array" ref="AQ53">_xll.DBRW($E$2,AP$1,AP$2,$D$18,$D$3,$D53,$E53,$F53,$F$3,AQ$3)</f>
        <v>0</v>
      </c>
      <c r="AR53" s="25">
        <f>_xll.DBRW($C$2,$AP$1,AP$2,$D$18,$D$3,$D53,$E53,$F53,AR$3)</f>
        <v>0</v>
      </c>
      <c r="AS53" s="64">
        <f>_xll.DBRW($C$2,$AP$1,AP$2,$D$18,$D$3,$D53,$E53,$F53,AS$3)</f>
        <v>0</v>
      </c>
      <c r="AT53" s="58">
        <f>_xll.DBRW($C$2,$AP$1,AP$2,$D$18,$D$3,$D53,$E53,$F53,AT$3)</f>
        <v>0</v>
      </c>
      <c r="AU53" s="48">
        <f t="shared" si="29"/>
        <v>121</v>
      </c>
      <c r="AV53" s="39">
        <f>_xll.DBRW($C$2,$AV$1,AV$2,$D$18,$D$3,$D53,$E53,$F53,AV$3)</f>
        <v>0</v>
      </c>
      <c r="AW53" s="25" cm="1">
        <f t="array" ref="AW53">_xll.DBRW($E$2,AV$1,AV$2,$D$18,$D$3,$D53,$E53,$F53,$F$3,AW$3)</f>
        <v>0</v>
      </c>
      <c r="AX53" s="25">
        <f>_xll.DBRW($C$2,$AV$1,AV$2,$D$18,$D$3,$D53,$E53,$F53,AX$3)</f>
        <v>0</v>
      </c>
      <c r="AY53" s="64">
        <f>_xll.DBRW($C$2,$AV$1,AV$2,$D$18,$D$3,$D53,$E53,$F53,AY$3)</f>
        <v>0</v>
      </c>
      <c r="AZ53" s="58">
        <f>_xll.DBRW($C$2,$AV$1,AV$2,$D$18,$D$3,$D53,$E53,$F53,AZ$3)</f>
        <v>0</v>
      </c>
      <c r="BA53" s="48">
        <f t="shared" si="30"/>
        <v>121</v>
      </c>
      <c r="BB53" s="39">
        <f>_xll.DBRW($C$2,$BB$1,BB$2,$D$18,$D$3,$D53,$E53,$F53,BB$3)</f>
        <v>0</v>
      </c>
      <c r="BC53" s="25" cm="1">
        <f t="array" ref="BC53">_xll.DBRW($E$2,BB$1,BB$2,$D$18,$D$3,$D53,$E53,$F53,$F$3,BC$3)</f>
        <v>0</v>
      </c>
      <c r="BD53" s="25">
        <f>_xll.DBRW($C$2,$BB$1,BB$2,$D$18,$D$3,$D53,$E53,$F53,BD$3)</f>
        <v>0</v>
      </c>
      <c r="BE53" s="64">
        <f>_xll.DBRW($C$2,$BB$1,BB$2,$D$18,$D$3,$D53,$E53,$F53,BE$3)</f>
        <v>0</v>
      </c>
      <c r="BF53" s="58">
        <f>_xll.DBRW($C$2,$BB$1,BB$2,$D$18,$D$3,$D53,$E53,$F53,BF$3)</f>
        <v>0</v>
      </c>
      <c r="BG53" s="48">
        <f t="shared" si="31"/>
        <v>121</v>
      </c>
      <c r="BH53" s="39">
        <f>_xll.DBRW($C$2,$BH$1,BH$2,$D$18,$D$3,$D53,$E53,$F53,BH$3)</f>
        <v>0</v>
      </c>
      <c r="BI53" s="25" cm="1">
        <f t="array" ref="BI53">_xll.DBRW($E$2,BH$1,BH$2,$D$18,$D$3,$D53,$E53,$F53,$F$3,BI$3)</f>
        <v>0</v>
      </c>
      <c r="BJ53" s="25">
        <f>_xll.DBRW($C$2,$BH$1,BH$2,$D$18,$D$3,$D53,$E53,$F53,BJ$3)</f>
        <v>0</v>
      </c>
      <c r="BK53" s="64">
        <f>_xll.DBRW($C$2,$BH$1,BH$2,$D$18,$D$3,$D53,$E53,$F53,BK$3)</f>
        <v>0</v>
      </c>
      <c r="BL53" s="58">
        <f>_xll.DBRW($C$2,$BH$1,BH$2,$D$18,$D$3,$D53,$E53,$F53,BL$3)</f>
        <v>0</v>
      </c>
      <c r="BM53" s="48">
        <f t="shared" si="32"/>
        <v>121</v>
      </c>
      <c r="BN53" s="39">
        <f>_xll.DBRW($C$2,$BN$1,BN$2,$D$18,$D$3,$D53,$E53,$F53,BN$3)</f>
        <v>0</v>
      </c>
      <c r="BO53" s="25" cm="1">
        <f t="array" ref="BO53">_xll.DBRW($E$2,BN$1,BN$2,$D$18,$D$3,$D53,$E53,$F53,$F$3,BO$3)</f>
        <v>0</v>
      </c>
      <c r="BP53" s="25">
        <f>_xll.DBRW($C$2,$BN$1,BN$2,$D$18,$D$3,$D53,$E53,$F53,BP$3)</f>
        <v>0</v>
      </c>
      <c r="BQ53" s="64">
        <f>_xll.DBRW($C$2,$BN$1,BN$2,$D$18,$D$3,$D53,$E53,$F53,BQ$3)</f>
        <v>0</v>
      </c>
      <c r="BR53" s="58">
        <f>_xll.DBRW($C$2,$BN$1,BN$2,$D$18,$D$3,$D53,$E53,$F53,BR$3)</f>
        <v>0</v>
      </c>
      <c r="BS53" s="48">
        <f t="shared" si="33"/>
        <v>121</v>
      </c>
      <c r="BT53" s="39">
        <f>_xll.DBRW($C$2,$BT$1,BT$2,$D$18,$D$3,$D53,$E53,$F53,BT$3)</f>
        <v>0</v>
      </c>
      <c r="BU53" s="25" cm="1">
        <f t="array" ref="BU53">_xll.DBRW($E$2,BT$1,BT$2,$D$18,$D$3,$D53,$E53,$F53,$F$3,BU$3)</f>
        <v>0</v>
      </c>
      <c r="BV53" s="25">
        <f>_xll.DBRW($C$2,$BT$1,BT$2,$D$18,$D$3,$D53,$E53,$F53,BV$3)</f>
        <v>0</v>
      </c>
      <c r="BW53" s="64">
        <f>_xll.DBRW($C$2,$BT$1,BT$2,$D$18,$D$3,$D53,$E53,$F53,BW$3)</f>
        <v>0</v>
      </c>
      <c r="BX53" s="58">
        <f>_xll.DBRW($C$2,$BT$1,BT$2,$D$18,$D$3,$D53,$E53,$F53,BX$3)</f>
        <v>0</v>
      </c>
      <c r="BY53" s="48">
        <f t="shared" si="34"/>
        <v>121</v>
      </c>
      <c r="BZ53" s="39">
        <f>_xll.DBRW($C$2,$BZ$1,BZ$2,$D$18,$D$3,$D53,$E53,$F53,BZ$3)</f>
        <v>0</v>
      </c>
      <c r="CA53" s="25" cm="1">
        <f t="array" ref="CA53">_xll.DBRW($E$2,BZ$1,BZ$2,$D$18,$D$3,$D53,$E53,$F53,$F$3,CA$3)</f>
        <v>0</v>
      </c>
      <c r="CB53" s="25">
        <f>_xll.DBRW($C$2,$BZ$1,BZ$2,$D$18,$D$3,$D53,$E53,$F53,CB$3)</f>
        <v>0</v>
      </c>
      <c r="CC53" s="64">
        <f>_xll.DBRW($C$2,$BZ$1,BZ$2,$D$18,$D$3,$D53,$E53,$F53,CC$3)</f>
        <v>0</v>
      </c>
      <c r="CD53" s="58">
        <f>_xll.DBRW($C$2,$BZ$1,BZ$2,$D$18,$D$3,$D53,$E53,$F53,CD$3)</f>
        <v>0</v>
      </c>
      <c r="CE53" s="48">
        <f t="shared" si="35"/>
        <v>121</v>
      </c>
    </row>
    <row r="54" spans="1:83" s="23" customFormat="1" outlineLevel="1" thickBot="1" x14ac:dyDescent="0.3">
      <c r="A54" s="91" t="str">
        <f>IF(_xll.TM1RPTELISCONSOLIDATED($F$22,$F54),IF(_xll.TM1RPTELLEV($F$22,$F54)&lt;=5,_xll.TM1RPTELLEV($F$22,$F54),"Default"),"Leaf")</f>
        <v>Leaf</v>
      </c>
      <c r="B54" s="24" t="str">
        <f>_xll.DBRW("TM1-S1_DEV:}ElementAttributes_SP_SKU",$D54,B$1)</f>
        <v>Primary</v>
      </c>
      <c r="C54" s="24" t="str">
        <f>_xll.DBRW("TM1-S1_DEV:}ElementAttributes_SP_SKU",$D54,C$1)</f>
        <v>DESSERT</v>
      </c>
      <c r="D54" s="28" t="s">
        <v>9</v>
      </c>
      <c r="E54" s="28" t="s">
        <v>206</v>
      </c>
      <c r="F54" s="28" t="s">
        <v>43</v>
      </c>
      <c r="G54" s="4">
        <f>_xll.DBRW($C$2,$G$19,G$20,$D$18,$D$3,$D54,$E54,$F54,G$3)</f>
        <v>13</v>
      </c>
      <c r="H54" s="54">
        <f t="shared" si="24"/>
        <v>0</v>
      </c>
      <c r="I54" s="4"/>
      <c r="J54" s="25">
        <f>_xll.DBRW($C$2,$J$1,J$2,$D$18,$D$3,$D54,$E54,$F54,J$3)</f>
        <v>13</v>
      </c>
      <c r="K54" s="39">
        <f>_xll.DBRW($C$2,$J$1,J$2,$D$18,$D$3,$D54,$E54,$F54,K$3)</f>
        <v>0</v>
      </c>
      <c r="L54" s="25">
        <f>_xll.DBRW($C$2,$J$1,J$2,$D$18,$D$3,$D54,$E54,$F54,L$3)</f>
        <v>0</v>
      </c>
      <c r="M54" s="25">
        <f>_xll.DBRW($C$2,$J$1,J$2,$D$18,$D$3,$D54,$E54,$F54,M$3)</f>
        <v>0</v>
      </c>
      <c r="N54" s="25">
        <f>_xll.DBRW($C$2,$J$1,J$2,$D$18,$D$3,$D54,$E54,$F54,N$3)</f>
        <v>6</v>
      </c>
      <c r="O54" s="64">
        <f>_xll.DBRW($C$2,$J$1,J$2,$D$18,$D$3,$D54,$E54,$F54,O$3)</f>
        <v>1</v>
      </c>
      <c r="P54" s="58">
        <f>_xll.DBRW($C$2,$J$1,J$2,$D$18,$D$3,$D54,$E54,$F54,P$3)</f>
        <v>0</v>
      </c>
      <c r="Q54" s="48">
        <f>_xll.DBRW($C$2,$J$1,J$2,$D$18,$D$3,$D54,$E54,$F54,Q$3)</f>
        <v>7</v>
      </c>
      <c r="R54" s="39">
        <f>_xll.DBRW($C$2,$R$1,R$2,$D$18,$D$3,$D54,$E54,$F54,R$3)</f>
        <v>0</v>
      </c>
      <c r="S54" s="25" cm="1">
        <f t="array" ref="S54">_xll.DBRW($E$2,R$1,R$2,$D$18,$D$3,$D54,$E54,$F54,$F$3,S$3)</f>
        <v>0</v>
      </c>
      <c r="T54" s="25">
        <f>_xll.DBRW($C$2,$R$1,R$2,$D$18,$D$3,$D54,$E54,$F54,T$3)</f>
        <v>0</v>
      </c>
      <c r="U54" s="64">
        <f>_xll.DBRW($C$2,$R$1,R$2,$D$18,$D$3,$D54,$E54,$F54,U$3)</f>
        <v>0</v>
      </c>
      <c r="V54" s="58">
        <f>_xll.DBRW($C$2,$R$1,R$2,$D$18,$D$3,$D54,$E54,$F54,V$3)</f>
        <v>0</v>
      </c>
      <c r="W54" s="48">
        <f t="shared" si="25"/>
        <v>7</v>
      </c>
      <c r="X54" s="39">
        <f>_xll.DBRW($C$2,$X$1,X$2,$D$18,$D$3,$D54,$E54,$F54,X$3)</f>
        <v>0</v>
      </c>
      <c r="Y54" s="25" cm="1">
        <f t="array" ref="Y54">_xll.DBRW($E$2,X$1,X$2,$D$18,$D$3,$D54,$E54,$F54,$F$3,Y$3)</f>
        <v>0</v>
      </c>
      <c r="Z54" s="25">
        <f>_xll.DBRW($C$2,$X$1,X$2,$D$18,$D$3,$D54,$E54,$F54,Z$3)</f>
        <v>2</v>
      </c>
      <c r="AA54" s="64">
        <f>_xll.DBRW($C$2,$X$1,X$2,$D$18,$D$3,$D54,$E54,$F54,AA$3)</f>
        <v>0</v>
      </c>
      <c r="AB54" s="58">
        <f>_xll.DBRW($C$2,$X$1,X$2,$D$18,$D$3,$D54,$E54,$F54,AB$3)</f>
        <v>0</v>
      </c>
      <c r="AC54" s="48">
        <f t="shared" si="26"/>
        <v>5</v>
      </c>
      <c r="AD54" s="39">
        <f>_xll.DBRW($C$2,$AD$1,AD$2,$D$18,$D$3,$D54,$E54,$F54,AD$3)</f>
        <v>0</v>
      </c>
      <c r="AE54" s="25" cm="1">
        <f t="array" ref="AE54">_xll.DBRW($E$2,AD$1,AD$2,$D$18,$D$3,$D54,$E54,$F54,$F$3,AE$3)</f>
        <v>0</v>
      </c>
      <c r="AF54" s="25">
        <f>_xll.DBRW($C$2,$AD$1,AD$2,$D$18,$D$3,$D54,$E54,$F54,AF$3)</f>
        <v>2</v>
      </c>
      <c r="AG54" s="64">
        <f>_xll.DBRW($C$2,$AD$1,AD$2,$D$18,$D$3,$D54,$E54,$F54,AG$3)</f>
        <v>0</v>
      </c>
      <c r="AH54" s="58">
        <f>_xll.DBRW($C$2,$AD$1,AD$2,$D$18,$D$3,$D54,$E54,$F54,AH$3)</f>
        <v>0</v>
      </c>
      <c r="AI54" s="48">
        <f t="shared" si="27"/>
        <v>3</v>
      </c>
      <c r="AJ54" s="39">
        <f>_xll.DBRW($C$2,$AJ$1,AJ$2,$D$18,$D$3,$D54,$E54,$F54,AJ$3)</f>
        <v>0</v>
      </c>
      <c r="AK54" s="25" cm="1">
        <f t="array" ref="AK54">_xll.DBRW($E$2,AJ$1,AJ$2,$D$18,$D$3,$D54,$E54,$F54,$F$3,AK$3)</f>
        <v>0</v>
      </c>
      <c r="AL54" s="25">
        <f>_xll.DBRW($C$2,$AJ$1,AJ$2,$D$18,$D$3,$D54,$E54,$F54,AL$3)</f>
        <v>2</v>
      </c>
      <c r="AM54" s="64">
        <f>_xll.DBRW($C$2,$AJ$1,AJ$2,$D$18,$D$3,$D54,$E54,$F54,AM$3)</f>
        <v>0</v>
      </c>
      <c r="AN54" s="58">
        <f>_xll.DBRW($C$2,$AJ$1,AJ$2,$D$18,$D$3,$D54,$E54,$F54,AN$3)</f>
        <v>0</v>
      </c>
      <c r="AO54" s="48">
        <f t="shared" si="28"/>
        <v>1</v>
      </c>
      <c r="AP54" s="39">
        <f>_xll.DBRW($C$2,$AP$1,AP$2,$D$18,$D$3,$D54,$E54,$F54,AP$3)</f>
        <v>0</v>
      </c>
      <c r="AQ54" s="25" cm="1">
        <f t="array" ref="AQ54">_xll.DBRW($E$2,AP$1,AP$2,$D$18,$D$3,$D54,$E54,$F54,$F$3,AQ$3)</f>
        <v>0</v>
      </c>
      <c r="AR54" s="25">
        <f>_xll.DBRW($C$2,$AP$1,AP$2,$D$18,$D$3,$D54,$E54,$F54,AR$3)</f>
        <v>2</v>
      </c>
      <c r="AS54" s="64">
        <f>_xll.DBRW($C$2,$AP$1,AP$2,$D$18,$D$3,$D54,$E54,$F54,AS$3)</f>
        <v>0</v>
      </c>
      <c r="AT54" s="58">
        <f>_xll.DBRW($C$2,$AP$1,AP$2,$D$18,$D$3,$D54,$E54,$F54,AT$3)</f>
        <v>0</v>
      </c>
      <c r="AU54" s="48">
        <f t="shared" si="29"/>
        <v>-1</v>
      </c>
      <c r="AV54" s="39">
        <f>_xll.DBRW($C$2,$AV$1,AV$2,$D$18,$D$3,$D54,$E54,$F54,AV$3)</f>
        <v>0</v>
      </c>
      <c r="AW54" s="25" cm="1">
        <f t="array" ref="AW54">_xll.DBRW($E$2,AV$1,AV$2,$D$18,$D$3,$D54,$E54,$F54,$F$3,AW$3)</f>
        <v>0</v>
      </c>
      <c r="AX54" s="25">
        <f>_xll.DBRW($C$2,$AV$1,AV$2,$D$18,$D$3,$D54,$E54,$F54,AX$3)</f>
        <v>2</v>
      </c>
      <c r="AY54" s="64">
        <f>_xll.DBRW($C$2,$AV$1,AV$2,$D$18,$D$3,$D54,$E54,$F54,AY$3)</f>
        <v>0</v>
      </c>
      <c r="AZ54" s="58">
        <f>_xll.DBRW($C$2,$AV$1,AV$2,$D$18,$D$3,$D54,$E54,$F54,AZ$3)</f>
        <v>0</v>
      </c>
      <c r="BA54" s="48">
        <f t="shared" si="30"/>
        <v>-3</v>
      </c>
      <c r="BB54" s="39">
        <f>_xll.DBRW($C$2,$BB$1,BB$2,$D$18,$D$3,$D54,$E54,$F54,BB$3)</f>
        <v>0</v>
      </c>
      <c r="BC54" s="25" cm="1">
        <f t="array" ref="BC54">_xll.DBRW($E$2,BB$1,BB$2,$D$18,$D$3,$D54,$E54,$F54,$F$3,BC$3)</f>
        <v>0</v>
      </c>
      <c r="BD54" s="25">
        <f>_xll.DBRW($C$2,$BB$1,BB$2,$D$18,$D$3,$D54,$E54,$F54,BD$3)</f>
        <v>2</v>
      </c>
      <c r="BE54" s="64">
        <f>_xll.DBRW($C$2,$BB$1,BB$2,$D$18,$D$3,$D54,$E54,$F54,BE$3)</f>
        <v>0</v>
      </c>
      <c r="BF54" s="58">
        <f>_xll.DBRW($C$2,$BB$1,BB$2,$D$18,$D$3,$D54,$E54,$F54,BF$3)</f>
        <v>0</v>
      </c>
      <c r="BG54" s="48">
        <f t="shared" si="31"/>
        <v>-5</v>
      </c>
      <c r="BH54" s="39">
        <f>_xll.DBRW($C$2,$BH$1,BH$2,$D$18,$D$3,$D54,$E54,$F54,BH$3)</f>
        <v>0</v>
      </c>
      <c r="BI54" s="25" cm="1">
        <f t="array" ref="BI54">_xll.DBRW($E$2,BH$1,BH$2,$D$18,$D$3,$D54,$E54,$F54,$F$3,BI$3)</f>
        <v>0</v>
      </c>
      <c r="BJ54" s="25">
        <f>_xll.DBRW($C$2,$BH$1,BH$2,$D$18,$D$3,$D54,$E54,$F54,BJ$3)</f>
        <v>2</v>
      </c>
      <c r="BK54" s="64">
        <f>_xll.DBRW($C$2,$BH$1,BH$2,$D$18,$D$3,$D54,$E54,$F54,BK$3)</f>
        <v>0</v>
      </c>
      <c r="BL54" s="58">
        <f>_xll.DBRW($C$2,$BH$1,BH$2,$D$18,$D$3,$D54,$E54,$F54,BL$3)</f>
        <v>0</v>
      </c>
      <c r="BM54" s="48">
        <f t="shared" si="32"/>
        <v>-7</v>
      </c>
      <c r="BN54" s="39">
        <f>_xll.DBRW($C$2,$BN$1,BN$2,$D$18,$D$3,$D54,$E54,$F54,BN$3)</f>
        <v>0</v>
      </c>
      <c r="BO54" s="25" cm="1">
        <f t="array" ref="BO54">_xll.DBRW($E$2,BN$1,BN$2,$D$18,$D$3,$D54,$E54,$F54,$F$3,BO$3)</f>
        <v>0</v>
      </c>
      <c r="BP54" s="25">
        <f>_xll.DBRW($C$2,$BN$1,BN$2,$D$18,$D$3,$D54,$E54,$F54,BP$3)</f>
        <v>2</v>
      </c>
      <c r="BQ54" s="64">
        <f>_xll.DBRW($C$2,$BN$1,BN$2,$D$18,$D$3,$D54,$E54,$F54,BQ$3)</f>
        <v>0</v>
      </c>
      <c r="BR54" s="58">
        <f>_xll.DBRW($C$2,$BN$1,BN$2,$D$18,$D$3,$D54,$E54,$F54,BR$3)</f>
        <v>0</v>
      </c>
      <c r="BS54" s="48">
        <f t="shared" si="33"/>
        <v>-9</v>
      </c>
      <c r="BT54" s="39">
        <f>_xll.DBRW($C$2,$BT$1,BT$2,$D$18,$D$3,$D54,$E54,$F54,BT$3)</f>
        <v>0</v>
      </c>
      <c r="BU54" s="25" cm="1">
        <f t="array" ref="BU54">_xll.DBRW($E$2,BT$1,BT$2,$D$18,$D$3,$D54,$E54,$F54,$F$3,BU$3)</f>
        <v>0</v>
      </c>
      <c r="BV54" s="25">
        <f>_xll.DBRW($C$2,$BT$1,BT$2,$D$18,$D$3,$D54,$E54,$F54,BV$3)</f>
        <v>2</v>
      </c>
      <c r="BW54" s="64">
        <f>_xll.DBRW($C$2,$BT$1,BT$2,$D$18,$D$3,$D54,$E54,$F54,BW$3)</f>
        <v>0</v>
      </c>
      <c r="BX54" s="58">
        <f>_xll.DBRW($C$2,$BT$1,BT$2,$D$18,$D$3,$D54,$E54,$F54,BX$3)</f>
        <v>0</v>
      </c>
      <c r="BY54" s="48">
        <f t="shared" si="34"/>
        <v>-11</v>
      </c>
      <c r="BZ54" s="39">
        <f>_xll.DBRW($C$2,$BZ$1,BZ$2,$D$18,$D$3,$D54,$E54,$F54,BZ$3)</f>
        <v>0</v>
      </c>
      <c r="CA54" s="25" cm="1">
        <f t="array" ref="CA54">_xll.DBRW($E$2,BZ$1,BZ$2,$D$18,$D$3,$D54,$E54,$F54,$F$3,CA$3)</f>
        <v>0</v>
      </c>
      <c r="CB54" s="25">
        <f>_xll.DBRW($C$2,$BZ$1,BZ$2,$D$18,$D$3,$D54,$E54,$F54,CB$3)</f>
        <v>2</v>
      </c>
      <c r="CC54" s="64">
        <f>_xll.DBRW($C$2,$BZ$1,BZ$2,$D$18,$D$3,$D54,$E54,$F54,CC$3)</f>
        <v>0</v>
      </c>
      <c r="CD54" s="58">
        <f>_xll.DBRW($C$2,$BZ$1,BZ$2,$D$18,$D$3,$D54,$E54,$F54,CD$3)</f>
        <v>0</v>
      </c>
      <c r="CE54" s="48">
        <f t="shared" si="35"/>
        <v>-13</v>
      </c>
    </row>
    <row r="55" spans="1:83" s="23" customFormat="1" outlineLevel="1" thickBot="1" x14ac:dyDescent="0.3">
      <c r="A55" s="91" t="str">
        <f>IF(_xll.TM1RPTELISCONSOLIDATED($F$22,$F55),IF(_xll.TM1RPTELLEV($F$22,$F55)&lt;=5,_xll.TM1RPTELLEV($F$22,$F55),"Default"),"Leaf")</f>
        <v>Leaf</v>
      </c>
      <c r="B55" s="24" t="str">
        <f>_xll.DBRW("TM1-S1_DEV:}ElementAttributes_SP_SKU",$D55,B$1)</f>
        <v>Primary</v>
      </c>
      <c r="C55" s="24" t="str">
        <f>_xll.DBRW("TM1-S1_DEV:}ElementAttributes_SP_SKU",$D55,C$1)</f>
        <v>PIE</v>
      </c>
      <c r="D55" s="28" t="s">
        <v>378</v>
      </c>
      <c r="E55" s="28" t="s">
        <v>207</v>
      </c>
      <c r="F55" s="28" t="s">
        <v>16</v>
      </c>
      <c r="G55" s="4">
        <f>_xll.DBRW($C$2,$G$19,G$20,$D$18,$D$3,$D55,$E55,$F55,G$3)</f>
        <v>25</v>
      </c>
      <c r="H55" s="54">
        <f t="shared" si="24"/>
        <v>1</v>
      </c>
      <c r="I55" s="4"/>
      <c r="J55" s="25">
        <f>_xll.DBRW($C$2,$J$1,J$2,$D$18,$D$3,$D55,$E55,$F55,J$3)</f>
        <v>26</v>
      </c>
      <c r="K55" s="39">
        <f>_xll.DBRW($C$2,$J$1,J$2,$D$18,$D$3,$D55,$E55,$F55,K$3)</f>
        <v>0</v>
      </c>
      <c r="L55" s="25">
        <f>_xll.DBRW($C$2,$J$1,J$2,$D$18,$D$3,$D55,$E55,$F55,L$3)</f>
        <v>0</v>
      </c>
      <c r="M55" s="25">
        <f>_xll.DBRW($C$2,$J$1,J$2,$D$18,$D$3,$D55,$E55,$F55,M$3)</f>
        <v>0</v>
      </c>
      <c r="N55" s="25">
        <f>_xll.DBRW($C$2,$J$1,J$2,$D$18,$D$3,$D55,$E55,$F55,N$3)</f>
        <v>13</v>
      </c>
      <c r="O55" s="64">
        <f>_xll.DBRW($C$2,$J$1,J$2,$D$18,$D$3,$D55,$E55,$F55,O$3)</f>
        <v>1</v>
      </c>
      <c r="P55" s="58">
        <f>_xll.DBRW($C$2,$J$1,J$2,$D$18,$D$3,$D55,$E55,$F55,P$3)</f>
        <v>0</v>
      </c>
      <c r="Q55" s="48">
        <f>_xll.DBRW($C$2,$J$1,J$2,$D$18,$D$3,$D55,$E55,$F55,Q$3)</f>
        <v>13</v>
      </c>
      <c r="R55" s="39">
        <f>_xll.DBRW($C$2,$R$1,R$2,$D$18,$D$3,$D55,$E55,$F55,R$3)</f>
        <v>0</v>
      </c>
      <c r="S55" s="25" cm="1">
        <f t="array" ref="S55">_xll.DBRW($E$2,R$1,R$2,$D$18,$D$3,$D55,$E55,$F55,$F$3,S$3)</f>
        <v>0</v>
      </c>
      <c r="T55" s="25">
        <f>_xll.DBRW($C$2,$R$1,R$2,$D$18,$D$3,$D55,$E55,$F55,T$3)</f>
        <v>0</v>
      </c>
      <c r="U55" s="64">
        <f>_xll.DBRW($C$2,$R$1,R$2,$D$18,$D$3,$D55,$E55,$F55,U$3)</f>
        <v>0</v>
      </c>
      <c r="V55" s="58">
        <f>_xll.DBRW($C$2,$R$1,R$2,$D$18,$D$3,$D55,$E55,$F55,V$3)</f>
        <v>0</v>
      </c>
      <c r="W55" s="48">
        <f t="shared" si="25"/>
        <v>13</v>
      </c>
      <c r="X55" s="39">
        <f>_xll.DBRW($C$2,$X$1,X$2,$D$18,$D$3,$D55,$E55,$F55,X$3)</f>
        <v>0</v>
      </c>
      <c r="Y55" s="25" cm="1">
        <f t="array" ref="Y55">_xll.DBRW($E$2,X$1,X$2,$D$18,$D$3,$D55,$E55,$F55,$F$3,Y$3)</f>
        <v>0</v>
      </c>
      <c r="Z55" s="25">
        <f>_xll.DBRW($C$2,$X$1,X$2,$D$18,$D$3,$D55,$E55,$F55,Z$3)</f>
        <v>1</v>
      </c>
      <c r="AA55" s="64">
        <f>_xll.DBRW($C$2,$X$1,X$2,$D$18,$D$3,$D55,$E55,$F55,AA$3)</f>
        <v>0</v>
      </c>
      <c r="AB55" s="58">
        <f>_xll.DBRW($C$2,$X$1,X$2,$D$18,$D$3,$D55,$E55,$F55,AB$3)</f>
        <v>0</v>
      </c>
      <c r="AC55" s="48">
        <f t="shared" si="26"/>
        <v>12</v>
      </c>
      <c r="AD55" s="39">
        <f>_xll.DBRW($C$2,$AD$1,AD$2,$D$18,$D$3,$D55,$E55,$F55,AD$3)</f>
        <v>0</v>
      </c>
      <c r="AE55" s="25" cm="1">
        <f t="array" ref="AE55">_xll.DBRW($E$2,AD$1,AD$2,$D$18,$D$3,$D55,$E55,$F55,$F$3,AE$3)</f>
        <v>0</v>
      </c>
      <c r="AF55" s="25">
        <f>_xll.DBRW($C$2,$AD$1,AD$2,$D$18,$D$3,$D55,$E55,$F55,AF$3)</f>
        <v>1</v>
      </c>
      <c r="AG55" s="64">
        <f>_xll.DBRW($C$2,$AD$1,AD$2,$D$18,$D$3,$D55,$E55,$F55,AG$3)</f>
        <v>0</v>
      </c>
      <c r="AH55" s="58">
        <f>_xll.DBRW($C$2,$AD$1,AD$2,$D$18,$D$3,$D55,$E55,$F55,AH$3)</f>
        <v>0</v>
      </c>
      <c r="AI55" s="48">
        <f t="shared" si="27"/>
        <v>11</v>
      </c>
      <c r="AJ55" s="39">
        <f>_xll.DBRW($C$2,$AJ$1,AJ$2,$D$18,$D$3,$D55,$E55,$F55,AJ$3)</f>
        <v>0</v>
      </c>
      <c r="AK55" s="25" cm="1">
        <f t="array" ref="AK55">_xll.DBRW($E$2,AJ$1,AJ$2,$D$18,$D$3,$D55,$E55,$F55,$F$3,AK$3)</f>
        <v>0</v>
      </c>
      <c r="AL55" s="25">
        <f>_xll.DBRW($C$2,$AJ$1,AJ$2,$D$18,$D$3,$D55,$E55,$F55,AL$3)</f>
        <v>1</v>
      </c>
      <c r="AM55" s="64">
        <f>_xll.DBRW($C$2,$AJ$1,AJ$2,$D$18,$D$3,$D55,$E55,$F55,AM$3)</f>
        <v>0</v>
      </c>
      <c r="AN55" s="58">
        <f>_xll.DBRW($C$2,$AJ$1,AJ$2,$D$18,$D$3,$D55,$E55,$F55,AN$3)</f>
        <v>0</v>
      </c>
      <c r="AO55" s="48">
        <f t="shared" si="28"/>
        <v>10</v>
      </c>
      <c r="AP55" s="39">
        <f>_xll.DBRW($C$2,$AP$1,AP$2,$D$18,$D$3,$D55,$E55,$F55,AP$3)</f>
        <v>0</v>
      </c>
      <c r="AQ55" s="25" cm="1">
        <f t="array" ref="AQ55">_xll.DBRW($E$2,AP$1,AP$2,$D$18,$D$3,$D55,$E55,$F55,$F$3,AQ$3)</f>
        <v>0</v>
      </c>
      <c r="AR55" s="25">
        <f>_xll.DBRW($C$2,$AP$1,AP$2,$D$18,$D$3,$D55,$E55,$F55,AR$3)</f>
        <v>1</v>
      </c>
      <c r="AS55" s="64">
        <f>_xll.DBRW($C$2,$AP$1,AP$2,$D$18,$D$3,$D55,$E55,$F55,AS$3)</f>
        <v>0</v>
      </c>
      <c r="AT55" s="58">
        <f>_xll.DBRW($C$2,$AP$1,AP$2,$D$18,$D$3,$D55,$E55,$F55,AT$3)</f>
        <v>0</v>
      </c>
      <c r="AU55" s="48">
        <f t="shared" si="29"/>
        <v>9</v>
      </c>
      <c r="AV55" s="39">
        <f>_xll.DBRW($C$2,$AV$1,AV$2,$D$18,$D$3,$D55,$E55,$F55,AV$3)</f>
        <v>0</v>
      </c>
      <c r="AW55" s="25" cm="1">
        <f t="array" ref="AW55">_xll.DBRW($E$2,AV$1,AV$2,$D$18,$D$3,$D55,$E55,$F55,$F$3,AW$3)</f>
        <v>0</v>
      </c>
      <c r="AX55" s="25">
        <f>_xll.DBRW($C$2,$AV$1,AV$2,$D$18,$D$3,$D55,$E55,$F55,AX$3)</f>
        <v>1</v>
      </c>
      <c r="AY55" s="64">
        <f>_xll.DBRW($C$2,$AV$1,AV$2,$D$18,$D$3,$D55,$E55,$F55,AY$3)</f>
        <v>0</v>
      </c>
      <c r="AZ55" s="58">
        <f>_xll.DBRW($C$2,$AV$1,AV$2,$D$18,$D$3,$D55,$E55,$F55,AZ$3)</f>
        <v>0</v>
      </c>
      <c r="BA55" s="48">
        <f t="shared" si="30"/>
        <v>8</v>
      </c>
      <c r="BB55" s="39">
        <f>_xll.DBRW($C$2,$BB$1,BB$2,$D$18,$D$3,$D55,$E55,$F55,BB$3)</f>
        <v>0</v>
      </c>
      <c r="BC55" s="25" cm="1">
        <f t="array" ref="BC55">_xll.DBRW($E$2,BB$1,BB$2,$D$18,$D$3,$D55,$E55,$F55,$F$3,BC$3)</f>
        <v>0</v>
      </c>
      <c r="BD55" s="25">
        <f>_xll.DBRW($C$2,$BB$1,BB$2,$D$18,$D$3,$D55,$E55,$F55,BD$3)</f>
        <v>1</v>
      </c>
      <c r="BE55" s="64">
        <f>_xll.DBRW($C$2,$BB$1,BB$2,$D$18,$D$3,$D55,$E55,$F55,BE$3)</f>
        <v>0</v>
      </c>
      <c r="BF55" s="58">
        <f>_xll.DBRW($C$2,$BB$1,BB$2,$D$18,$D$3,$D55,$E55,$F55,BF$3)</f>
        <v>0</v>
      </c>
      <c r="BG55" s="48">
        <f t="shared" si="31"/>
        <v>7</v>
      </c>
      <c r="BH55" s="39">
        <f>_xll.DBRW($C$2,$BH$1,BH$2,$D$18,$D$3,$D55,$E55,$F55,BH$3)</f>
        <v>0</v>
      </c>
      <c r="BI55" s="25" cm="1">
        <f t="array" ref="BI55">_xll.DBRW($E$2,BH$1,BH$2,$D$18,$D$3,$D55,$E55,$F55,$F$3,BI$3)</f>
        <v>0</v>
      </c>
      <c r="BJ55" s="25">
        <f>_xll.DBRW($C$2,$BH$1,BH$2,$D$18,$D$3,$D55,$E55,$F55,BJ$3)</f>
        <v>1</v>
      </c>
      <c r="BK55" s="64">
        <f>_xll.DBRW($C$2,$BH$1,BH$2,$D$18,$D$3,$D55,$E55,$F55,BK$3)</f>
        <v>0</v>
      </c>
      <c r="BL55" s="58">
        <f>_xll.DBRW($C$2,$BH$1,BH$2,$D$18,$D$3,$D55,$E55,$F55,BL$3)</f>
        <v>0</v>
      </c>
      <c r="BM55" s="48">
        <f t="shared" si="32"/>
        <v>6</v>
      </c>
      <c r="BN55" s="39">
        <f>_xll.DBRW($C$2,$BN$1,BN$2,$D$18,$D$3,$D55,$E55,$F55,BN$3)</f>
        <v>0</v>
      </c>
      <c r="BO55" s="25" cm="1">
        <f t="array" ref="BO55">_xll.DBRW($E$2,BN$1,BN$2,$D$18,$D$3,$D55,$E55,$F55,$F$3,BO$3)</f>
        <v>0</v>
      </c>
      <c r="BP55" s="25">
        <f>_xll.DBRW($C$2,$BN$1,BN$2,$D$18,$D$3,$D55,$E55,$F55,BP$3)</f>
        <v>1</v>
      </c>
      <c r="BQ55" s="64">
        <f>_xll.DBRW($C$2,$BN$1,BN$2,$D$18,$D$3,$D55,$E55,$F55,BQ$3)</f>
        <v>0</v>
      </c>
      <c r="BR55" s="58">
        <f>_xll.DBRW($C$2,$BN$1,BN$2,$D$18,$D$3,$D55,$E55,$F55,BR$3)</f>
        <v>0</v>
      </c>
      <c r="BS55" s="48">
        <f t="shared" si="33"/>
        <v>5</v>
      </c>
      <c r="BT55" s="39">
        <f>_xll.DBRW($C$2,$BT$1,BT$2,$D$18,$D$3,$D55,$E55,$F55,BT$3)</f>
        <v>0</v>
      </c>
      <c r="BU55" s="25" cm="1">
        <f t="array" ref="BU55">_xll.DBRW($E$2,BT$1,BT$2,$D$18,$D$3,$D55,$E55,$F55,$F$3,BU$3)</f>
        <v>0</v>
      </c>
      <c r="BV55" s="25">
        <f>_xll.DBRW($C$2,$BT$1,BT$2,$D$18,$D$3,$D55,$E55,$F55,BV$3)</f>
        <v>1</v>
      </c>
      <c r="BW55" s="64">
        <f>_xll.DBRW($C$2,$BT$1,BT$2,$D$18,$D$3,$D55,$E55,$F55,BW$3)</f>
        <v>0</v>
      </c>
      <c r="BX55" s="58">
        <f>_xll.DBRW($C$2,$BT$1,BT$2,$D$18,$D$3,$D55,$E55,$F55,BX$3)</f>
        <v>0</v>
      </c>
      <c r="BY55" s="48">
        <f t="shared" si="34"/>
        <v>4</v>
      </c>
      <c r="BZ55" s="39">
        <f>_xll.DBRW($C$2,$BZ$1,BZ$2,$D$18,$D$3,$D55,$E55,$F55,BZ$3)</f>
        <v>0</v>
      </c>
      <c r="CA55" s="25" cm="1">
        <f t="array" ref="CA55">_xll.DBRW($E$2,BZ$1,BZ$2,$D$18,$D$3,$D55,$E55,$F55,$F$3,CA$3)</f>
        <v>0</v>
      </c>
      <c r="CB55" s="25">
        <f>_xll.DBRW($C$2,$BZ$1,BZ$2,$D$18,$D$3,$D55,$E55,$F55,CB$3)</f>
        <v>1</v>
      </c>
      <c r="CC55" s="64">
        <f>_xll.DBRW($C$2,$BZ$1,BZ$2,$D$18,$D$3,$D55,$E55,$F55,CC$3)</f>
        <v>0</v>
      </c>
      <c r="CD55" s="58">
        <f>_xll.DBRW($C$2,$BZ$1,BZ$2,$D$18,$D$3,$D55,$E55,$F55,CD$3)</f>
        <v>0</v>
      </c>
      <c r="CE55" s="48">
        <f t="shared" si="35"/>
        <v>3</v>
      </c>
    </row>
    <row r="56" spans="1:83" s="23" customFormat="1" outlineLevel="1" thickBot="1" x14ac:dyDescent="0.3">
      <c r="A56" s="91" t="str">
        <f>IF(_xll.TM1RPTELISCONSOLIDATED($F$22,$F56),IF(_xll.TM1RPTELLEV($F$22,$F56)&lt;=5,_xll.TM1RPTELLEV($F$22,$F56),"Default"),"Leaf")</f>
        <v>Leaf</v>
      </c>
      <c r="B56" s="24" t="str">
        <f>_xll.DBRW("TM1-S1_DEV:}ElementAttributes_SP_SKU",$D56,B$1)</f>
        <v>Primary</v>
      </c>
      <c r="C56" s="24" t="str">
        <f>_xll.DBRW("TM1-S1_DEV:}ElementAttributes_SP_SKU",$D56,C$1)</f>
        <v>PIE</v>
      </c>
      <c r="D56" s="28" t="s">
        <v>379</v>
      </c>
      <c r="E56" s="28" t="s">
        <v>208</v>
      </c>
      <c r="F56" s="28" t="s">
        <v>16</v>
      </c>
      <c r="G56" s="4">
        <f>_xll.DBRW($C$2,$G$19,G$20,$D$18,$D$3,$D56,$E56,$F56,G$3)</f>
        <v>34</v>
      </c>
      <c r="H56" s="54">
        <f t="shared" si="24"/>
        <v>3</v>
      </c>
      <c r="I56" s="4"/>
      <c r="J56" s="25">
        <f>_xll.DBRW($C$2,$J$1,J$2,$D$18,$D$3,$D56,$E56,$F56,J$3)</f>
        <v>37</v>
      </c>
      <c r="K56" s="39">
        <f>_xll.DBRW($C$2,$J$1,J$2,$D$18,$D$3,$D56,$E56,$F56,K$3)</f>
        <v>0</v>
      </c>
      <c r="L56" s="25">
        <f>_xll.DBRW($C$2,$J$1,J$2,$D$18,$D$3,$D56,$E56,$F56,L$3)</f>
        <v>0</v>
      </c>
      <c r="M56" s="25">
        <f>_xll.DBRW($C$2,$J$1,J$2,$D$18,$D$3,$D56,$E56,$F56,M$3)</f>
        <v>0</v>
      </c>
      <c r="N56" s="25">
        <f>_xll.DBRW($C$2,$J$1,J$2,$D$18,$D$3,$D56,$E56,$F56,N$3)</f>
        <v>9</v>
      </c>
      <c r="O56" s="64">
        <f>_xll.DBRW($C$2,$J$1,J$2,$D$18,$D$3,$D56,$E56,$F56,O$3)</f>
        <v>1</v>
      </c>
      <c r="P56" s="58">
        <f>_xll.DBRW($C$2,$J$1,J$2,$D$18,$D$3,$D56,$E56,$F56,P$3)</f>
        <v>0</v>
      </c>
      <c r="Q56" s="48">
        <f>_xll.DBRW($C$2,$J$1,J$2,$D$18,$D$3,$D56,$E56,$F56,Q$3)</f>
        <v>28</v>
      </c>
      <c r="R56" s="39">
        <f>_xll.DBRW($C$2,$R$1,R$2,$D$18,$D$3,$D56,$E56,$F56,R$3)</f>
        <v>0</v>
      </c>
      <c r="S56" s="25" cm="1">
        <f t="array" ref="S56">_xll.DBRW($E$2,R$1,R$2,$D$18,$D$3,$D56,$E56,$F56,$F$3,S$3)</f>
        <v>0</v>
      </c>
      <c r="T56" s="25">
        <f>_xll.DBRW($C$2,$R$1,R$2,$D$18,$D$3,$D56,$E56,$F56,T$3)</f>
        <v>0</v>
      </c>
      <c r="U56" s="64">
        <f>_xll.DBRW($C$2,$R$1,R$2,$D$18,$D$3,$D56,$E56,$F56,U$3)</f>
        <v>0</v>
      </c>
      <c r="V56" s="58">
        <f>_xll.DBRW($C$2,$R$1,R$2,$D$18,$D$3,$D56,$E56,$F56,V$3)</f>
        <v>0</v>
      </c>
      <c r="W56" s="48">
        <f t="shared" si="25"/>
        <v>28</v>
      </c>
      <c r="X56" s="39">
        <f>_xll.DBRW($C$2,$X$1,X$2,$D$18,$D$3,$D56,$E56,$F56,X$3)</f>
        <v>0</v>
      </c>
      <c r="Y56" s="25" cm="1">
        <f t="array" ref="Y56">_xll.DBRW($E$2,X$1,X$2,$D$18,$D$3,$D56,$E56,$F56,$F$3,Y$3)</f>
        <v>0</v>
      </c>
      <c r="Z56" s="25">
        <f>_xll.DBRW($C$2,$X$1,X$2,$D$18,$D$3,$D56,$E56,$F56,Z$3)</f>
        <v>1</v>
      </c>
      <c r="AA56" s="64">
        <f>_xll.DBRW($C$2,$X$1,X$2,$D$18,$D$3,$D56,$E56,$F56,AA$3)</f>
        <v>0</v>
      </c>
      <c r="AB56" s="58">
        <f>_xll.DBRW($C$2,$X$1,X$2,$D$18,$D$3,$D56,$E56,$F56,AB$3)</f>
        <v>0</v>
      </c>
      <c r="AC56" s="48">
        <f t="shared" si="26"/>
        <v>27</v>
      </c>
      <c r="AD56" s="39">
        <f>_xll.DBRW($C$2,$AD$1,AD$2,$D$18,$D$3,$D56,$E56,$F56,AD$3)</f>
        <v>0</v>
      </c>
      <c r="AE56" s="25" cm="1">
        <f t="array" ref="AE56">_xll.DBRW($E$2,AD$1,AD$2,$D$18,$D$3,$D56,$E56,$F56,$F$3,AE$3)</f>
        <v>0</v>
      </c>
      <c r="AF56" s="25">
        <f>_xll.DBRW($C$2,$AD$1,AD$2,$D$18,$D$3,$D56,$E56,$F56,AF$3)</f>
        <v>1</v>
      </c>
      <c r="AG56" s="64">
        <f>_xll.DBRW($C$2,$AD$1,AD$2,$D$18,$D$3,$D56,$E56,$F56,AG$3)</f>
        <v>0</v>
      </c>
      <c r="AH56" s="58">
        <f>_xll.DBRW($C$2,$AD$1,AD$2,$D$18,$D$3,$D56,$E56,$F56,AH$3)</f>
        <v>0</v>
      </c>
      <c r="AI56" s="48">
        <f t="shared" si="27"/>
        <v>26</v>
      </c>
      <c r="AJ56" s="39">
        <f>_xll.DBRW($C$2,$AJ$1,AJ$2,$D$18,$D$3,$D56,$E56,$F56,AJ$3)</f>
        <v>0</v>
      </c>
      <c r="AK56" s="25" cm="1">
        <f t="array" ref="AK56">_xll.DBRW($E$2,AJ$1,AJ$2,$D$18,$D$3,$D56,$E56,$F56,$F$3,AK$3)</f>
        <v>0</v>
      </c>
      <c r="AL56" s="25">
        <f>_xll.DBRW($C$2,$AJ$1,AJ$2,$D$18,$D$3,$D56,$E56,$F56,AL$3)</f>
        <v>1</v>
      </c>
      <c r="AM56" s="64">
        <f>_xll.DBRW($C$2,$AJ$1,AJ$2,$D$18,$D$3,$D56,$E56,$F56,AM$3)</f>
        <v>0</v>
      </c>
      <c r="AN56" s="58">
        <f>_xll.DBRW($C$2,$AJ$1,AJ$2,$D$18,$D$3,$D56,$E56,$F56,AN$3)</f>
        <v>0</v>
      </c>
      <c r="AO56" s="48">
        <f t="shared" si="28"/>
        <v>25</v>
      </c>
      <c r="AP56" s="39">
        <f>_xll.DBRW($C$2,$AP$1,AP$2,$D$18,$D$3,$D56,$E56,$F56,AP$3)</f>
        <v>0</v>
      </c>
      <c r="AQ56" s="25" cm="1">
        <f t="array" ref="AQ56">_xll.DBRW($E$2,AP$1,AP$2,$D$18,$D$3,$D56,$E56,$F56,$F$3,AQ$3)</f>
        <v>0</v>
      </c>
      <c r="AR56" s="25">
        <f>_xll.DBRW($C$2,$AP$1,AP$2,$D$18,$D$3,$D56,$E56,$F56,AR$3)</f>
        <v>1</v>
      </c>
      <c r="AS56" s="64">
        <f>_xll.DBRW($C$2,$AP$1,AP$2,$D$18,$D$3,$D56,$E56,$F56,AS$3)</f>
        <v>0</v>
      </c>
      <c r="AT56" s="58">
        <f>_xll.DBRW($C$2,$AP$1,AP$2,$D$18,$D$3,$D56,$E56,$F56,AT$3)</f>
        <v>0</v>
      </c>
      <c r="AU56" s="48">
        <f t="shared" si="29"/>
        <v>24</v>
      </c>
      <c r="AV56" s="39">
        <f>_xll.DBRW($C$2,$AV$1,AV$2,$D$18,$D$3,$D56,$E56,$F56,AV$3)</f>
        <v>0</v>
      </c>
      <c r="AW56" s="25" cm="1">
        <f t="array" ref="AW56">_xll.DBRW($E$2,AV$1,AV$2,$D$18,$D$3,$D56,$E56,$F56,$F$3,AW$3)</f>
        <v>0</v>
      </c>
      <c r="AX56" s="25">
        <f>_xll.DBRW($C$2,$AV$1,AV$2,$D$18,$D$3,$D56,$E56,$F56,AX$3)</f>
        <v>1</v>
      </c>
      <c r="AY56" s="64">
        <f>_xll.DBRW($C$2,$AV$1,AV$2,$D$18,$D$3,$D56,$E56,$F56,AY$3)</f>
        <v>0</v>
      </c>
      <c r="AZ56" s="58">
        <f>_xll.DBRW($C$2,$AV$1,AV$2,$D$18,$D$3,$D56,$E56,$F56,AZ$3)</f>
        <v>0</v>
      </c>
      <c r="BA56" s="48">
        <f t="shared" si="30"/>
        <v>23</v>
      </c>
      <c r="BB56" s="39">
        <f>_xll.DBRW($C$2,$BB$1,BB$2,$D$18,$D$3,$D56,$E56,$F56,BB$3)</f>
        <v>0</v>
      </c>
      <c r="BC56" s="25" cm="1">
        <f t="array" ref="BC56">_xll.DBRW($E$2,BB$1,BB$2,$D$18,$D$3,$D56,$E56,$F56,$F$3,BC$3)</f>
        <v>0</v>
      </c>
      <c r="BD56" s="25">
        <f>_xll.DBRW($C$2,$BB$1,BB$2,$D$18,$D$3,$D56,$E56,$F56,BD$3)</f>
        <v>1</v>
      </c>
      <c r="BE56" s="64">
        <f>_xll.DBRW($C$2,$BB$1,BB$2,$D$18,$D$3,$D56,$E56,$F56,BE$3)</f>
        <v>0</v>
      </c>
      <c r="BF56" s="58">
        <f>_xll.DBRW($C$2,$BB$1,BB$2,$D$18,$D$3,$D56,$E56,$F56,BF$3)</f>
        <v>0</v>
      </c>
      <c r="BG56" s="48">
        <f t="shared" si="31"/>
        <v>22</v>
      </c>
      <c r="BH56" s="39">
        <f>_xll.DBRW($C$2,$BH$1,BH$2,$D$18,$D$3,$D56,$E56,$F56,BH$3)</f>
        <v>0</v>
      </c>
      <c r="BI56" s="25" cm="1">
        <f t="array" ref="BI56">_xll.DBRW($E$2,BH$1,BH$2,$D$18,$D$3,$D56,$E56,$F56,$F$3,BI$3)</f>
        <v>0</v>
      </c>
      <c r="BJ56" s="25">
        <f>_xll.DBRW($C$2,$BH$1,BH$2,$D$18,$D$3,$D56,$E56,$F56,BJ$3)</f>
        <v>1</v>
      </c>
      <c r="BK56" s="64">
        <f>_xll.DBRW($C$2,$BH$1,BH$2,$D$18,$D$3,$D56,$E56,$F56,BK$3)</f>
        <v>0</v>
      </c>
      <c r="BL56" s="58">
        <f>_xll.DBRW($C$2,$BH$1,BH$2,$D$18,$D$3,$D56,$E56,$F56,BL$3)</f>
        <v>0</v>
      </c>
      <c r="BM56" s="48">
        <f t="shared" si="32"/>
        <v>21</v>
      </c>
      <c r="BN56" s="39">
        <f>_xll.DBRW($C$2,$BN$1,BN$2,$D$18,$D$3,$D56,$E56,$F56,BN$3)</f>
        <v>0</v>
      </c>
      <c r="BO56" s="25" cm="1">
        <f t="array" ref="BO56">_xll.DBRW($E$2,BN$1,BN$2,$D$18,$D$3,$D56,$E56,$F56,$F$3,BO$3)</f>
        <v>0</v>
      </c>
      <c r="BP56" s="25">
        <f>_xll.DBRW($C$2,$BN$1,BN$2,$D$18,$D$3,$D56,$E56,$F56,BP$3)</f>
        <v>1</v>
      </c>
      <c r="BQ56" s="64">
        <f>_xll.DBRW($C$2,$BN$1,BN$2,$D$18,$D$3,$D56,$E56,$F56,BQ$3)</f>
        <v>0</v>
      </c>
      <c r="BR56" s="58">
        <f>_xll.DBRW($C$2,$BN$1,BN$2,$D$18,$D$3,$D56,$E56,$F56,BR$3)</f>
        <v>0</v>
      </c>
      <c r="BS56" s="48">
        <f t="shared" si="33"/>
        <v>20</v>
      </c>
      <c r="BT56" s="39">
        <f>_xll.DBRW($C$2,$BT$1,BT$2,$D$18,$D$3,$D56,$E56,$F56,BT$3)</f>
        <v>0</v>
      </c>
      <c r="BU56" s="25" cm="1">
        <f t="array" ref="BU56">_xll.DBRW($E$2,BT$1,BT$2,$D$18,$D$3,$D56,$E56,$F56,$F$3,BU$3)</f>
        <v>0</v>
      </c>
      <c r="BV56" s="25">
        <f>_xll.DBRW($C$2,$BT$1,BT$2,$D$18,$D$3,$D56,$E56,$F56,BV$3)</f>
        <v>1</v>
      </c>
      <c r="BW56" s="64">
        <f>_xll.DBRW($C$2,$BT$1,BT$2,$D$18,$D$3,$D56,$E56,$F56,BW$3)</f>
        <v>0</v>
      </c>
      <c r="BX56" s="58">
        <f>_xll.DBRW($C$2,$BT$1,BT$2,$D$18,$D$3,$D56,$E56,$F56,BX$3)</f>
        <v>0</v>
      </c>
      <c r="BY56" s="48">
        <f t="shared" si="34"/>
        <v>19</v>
      </c>
      <c r="BZ56" s="39">
        <f>_xll.DBRW($C$2,$BZ$1,BZ$2,$D$18,$D$3,$D56,$E56,$F56,BZ$3)</f>
        <v>0</v>
      </c>
      <c r="CA56" s="25" cm="1">
        <f t="array" ref="CA56">_xll.DBRW($E$2,BZ$1,BZ$2,$D$18,$D$3,$D56,$E56,$F56,$F$3,CA$3)</f>
        <v>0</v>
      </c>
      <c r="CB56" s="25">
        <f>_xll.DBRW($C$2,$BZ$1,BZ$2,$D$18,$D$3,$D56,$E56,$F56,CB$3)</f>
        <v>1</v>
      </c>
      <c r="CC56" s="64">
        <f>_xll.DBRW($C$2,$BZ$1,BZ$2,$D$18,$D$3,$D56,$E56,$F56,CC$3)</f>
        <v>0</v>
      </c>
      <c r="CD56" s="58">
        <f>_xll.DBRW($C$2,$BZ$1,BZ$2,$D$18,$D$3,$D56,$E56,$F56,CD$3)</f>
        <v>0</v>
      </c>
      <c r="CE56" s="48">
        <f t="shared" si="35"/>
        <v>18</v>
      </c>
    </row>
    <row r="57" spans="1:83" s="23" customFormat="1" outlineLevel="1" thickBot="1" x14ac:dyDescent="0.3">
      <c r="A57" s="91" t="str">
        <f>IF(_xll.TM1RPTELISCONSOLIDATED($F$22,$F57),IF(_xll.TM1RPTELLEV($F$22,$F57)&lt;=5,_xll.TM1RPTELLEV($F$22,$F57),"Default"),"Leaf")</f>
        <v>Leaf</v>
      </c>
      <c r="B57" s="24" t="str">
        <f>_xll.DBRW("TM1-S1_DEV:}ElementAttributes_SP_SKU",$D57,B$1)</f>
        <v>Primary</v>
      </c>
      <c r="C57" s="24" t="str">
        <f>_xll.DBRW("TM1-S1_DEV:}ElementAttributes_SP_SKU",$D57,C$1)</f>
        <v>CAKE</v>
      </c>
      <c r="D57" s="28" t="s">
        <v>380</v>
      </c>
      <c r="E57" s="28" t="s">
        <v>209</v>
      </c>
      <c r="F57" s="28" t="s">
        <v>48</v>
      </c>
      <c r="G57" s="4">
        <f>_xll.DBRW($C$2,$G$19,G$20,$D$18,$D$3,$D57,$E57,$F57,G$3)</f>
        <v>20</v>
      </c>
      <c r="H57" s="54">
        <f t="shared" si="24"/>
        <v>9</v>
      </c>
      <c r="I57" s="4"/>
      <c r="J57" s="25">
        <f>_xll.DBRW($C$2,$J$1,J$2,$D$18,$D$3,$D57,$E57,$F57,J$3)</f>
        <v>29</v>
      </c>
      <c r="K57" s="39">
        <f>_xll.DBRW($C$2,$J$1,J$2,$D$18,$D$3,$D57,$E57,$F57,K$3)</f>
        <v>0</v>
      </c>
      <c r="L57" s="25">
        <f>_xll.DBRW($C$2,$J$1,J$2,$D$18,$D$3,$D57,$E57,$F57,L$3)</f>
        <v>0</v>
      </c>
      <c r="M57" s="25">
        <f>_xll.DBRW($C$2,$J$1,J$2,$D$18,$D$3,$D57,$E57,$F57,M$3)</f>
        <v>0</v>
      </c>
      <c r="N57" s="25">
        <f>_xll.DBRW($C$2,$J$1,J$2,$D$18,$D$3,$D57,$E57,$F57,N$3)</f>
        <v>13</v>
      </c>
      <c r="O57" s="64">
        <f>_xll.DBRW($C$2,$J$1,J$2,$D$18,$D$3,$D57,$E57,$F57,O$3)</f>
        <v>1</v>
      </c>
      <c r="P57" s="58">
        <f>_xll.DBRW($C$2,$J$1,J$2,$D$18,$D$3,$D57,$E57,$F57,P$3)</f>
        <v>0</v>
      </c>
      <c r="Q57" s="48">
        <f>_xll.DBRW($C$2,$J$1,J$2,$D$18,$D$3,$D57,$E57,$F57,Q$3)</f>
        <v>16</v>
      </c>
      <c r="R57" s="39">
        <f>_xll.DBRW($C$2,$R$1,R$2,$D$18,$D$3,$D57,$E57,$F57,R$3)</f>
        <v>0</v>
      </c>
      <c r="S57" s="25" cm="1">
        <f t="array" ref="S57">_xll.DBRW($E$2,R$1,R$2,$D$18,$D$3,$D57,$E57,$F57,$F$3,S$3)</f>
        <v>0</v>
      </c>
      <c r="T57" s="25">
        <f>_xll.DBRW($C$2,$R$1,R$2,$D$18,$D$3,$D57,$E57,$F57,T$3)</f>
        <v>0</v>
      </c>
      <c r="U57" s="64">
        <f>_xll.DBRW($C$2,$R$1,R$2,$D$18,$D$3,$D57,$E57,$F57,U$3)</f>
        <v>0</v>
      </c>
      <c r="V57" s="58">
        <f>_xll.DBRW($C$2,$R$1,R$2,$D$18,$D$3,$D57,$E57,$F57,V$3)</f>
        <v>0</v>
      </c>
      <c r="W57" s="48">
        <f t="shared" si="25"/>
        <v>16</v>
      </c>
      <c r="X57" s="39">
        <f>_xll.DBRW($C$2,$X$1,X$2,$D$18,$D$3,$D57,$E57,$F57,X$3)</f>
        <v>0</v>
      </c>
      <c r="Y57" s="25" cm="1">
        <f t="array" ref="Y57">_xll.DBRW($E$2,X$1,X$2,$D$18,$D$3,$D57,$E57,$F57,$F$3,Y$3)</f>
        <v>0</v>
      </c>
      <c r="Z57" s="25">
        <f>_xll.DBRW($C$2,$X$1,X$2,$D$18,$D$3,$D57,$E57,$F57,Z$3)</f>
        <v>1</v>
      </c>
      <c r="AA57" s="64">
        <f>_xll.DBRW($C$2,$X$1,X$2,$D$18,$D$3,$D57,$E57,$F57,AA$3)</f>
        <v>0</v>
      </c>
      <c r="AB57" s="58">
        <f>_xll.DBRW($C$2,$X$1,X$2,$D$18,$D$3,$D57,$E57,$F57,AB$3)</f>
        <v>0</v>
      </c>
      <c r="AC57" s="48">
        <f t="shared" si="26"/>
        <v>15</v>
      </c>
      <c r="AD57" s="39">
        <f>_xll.DBRW($C$2,$AD$1,AD$2,$D$18,$D$3,$D57,$E57,$F57,AD$3)</f>
        <v>0</v>
      </c>
      <c r="AE57" s="25" cm="1">
        <f t="array" ref="AE57">_xll.DBRW($E$2,AD$1,AD$2,$D$18,$D$3,$D57,$E57,$F57,$F$3,AE$3)</f>
        <v>0</v>
      </c>
      <c r="AF57" s="25">
        <f>_xll.DBRW($C$2,$AD$1,AD$2,$D$18,$D$3,$D57,$E57,$F57,AF$3)</f>
        <v>1</v>
      </c>
      <c r="AG57" s="64">
        <f>_xll.DBRW($C$2,$AD$1,AD$2,$D$18,$D$3,$D57,$E57,$F57,AG$3)</f>
        <v>0</v>
      </c>
      <c r="AH57" s="58">
        <f>_xll.DBRW($C$2,$AD$1,AD$2,$D$18,$D$3,$D57,$E57,$F57,AH$3)</f>
        <v>0</v>
      </c>
      <c r="AI57" s="48">
        <f t="shared" si="27"/>
        <v>14</v>
      </c>
      <c r="AJ57" s="39">
        <f>_xll.DBRW($C$2,$AJ$1,AJ$2,$D$18,$D$3,$D57,$E57,$F57,AJ$3)</f>
        <v>0</v>
      </c>
      <c r="AK57" s="25" cm="1">
        <f t="array" ref="AK57">_xll.DBRW($E$2,AJ$1,AJ$2,$D$18,$D$3,$D57,$E57,$F57,$F$3,AK$3)</f>
        <v>0</v>
      </c>
      <c r="AL57" s="25">
        <f>_xll.DBRW($C$2,$AJ$1,AJ$2,$D$18,$D$3,$D57,$E57,$F57,AL$3)</f>
        <v>1</v>
      </c>
      <c r="AM57" s="64">
        <f>_xll.DBRW($C$2,$AJ$1,AJ$2,$D$18,$D$3,$D57,$E57,$F57,AM$3)</f>
        <v>0</v>
      </c>
      <c r="AN57" s="58">
        <f>_xll.DBRW($C$2,$AJ$1,AJ$2,$D$18,$D$3,$D57,$E57,$F57,AN$3)</f>
        <v>0</v>
      </c>
      <c r="AO57" s="48">
        <f t="shared" si="28"/>
        <v>13</v>
      </c>
      <c r="AP57" s="39">
        <f>_xll.DBRW($C$2,$AP$1,AP$2,$D$18,$D$3,$D57,$E57,$F57,AP$3)</f>
        <v>0</v>
      </c>
      <c r="AQ57" s="25" cm="1">
        <f t="array" ref="AQ57">_xll.DBRW($E$2,AP$1,AP$2,$D$18,$D$3,$D57,$E57,$F57,$F$3,AQ$3)</f>
        <v>0</v>
      </c>
      <c r="AR57" s="25">
        <f>_xll.DBRW($C$2,$AP$1,AP$2,$D$18,$D$3,$D57,$E57,$F57,AR$3)</f>
        <v>1</v>
      </c>
      <c r="AS57" s="64">
        <f>_xll.DBRW($C$2,$AP$1,AP$2,$D$18,$D$3,$D57,$E57,$F57,AS$3)</f>
        <v>0</v>
      </c>
      <c r="AT57" s="58">
        <f>_xll.DBRW($C$2,$AP$1,AP$2,$D$18,$D$3,$D57,$E57,$F57,AT$3)</f>
        <v>0</v>
      </c>
      <c r="AU57" s="48">
        <f t="shared" si="29"/>
        <v>12</v>
      </c>
      <c r="AV57" s="39">
        <f>_xll.DBRW($C$2,$AV$1,AV$2,$D$18,$D$3,$D57,$E57,$F57,AV$3)</f>
        <v>0</v>
      </c>
      <c r="AW57" s="25" cm="1">
        <f t="array" ref="AW57">_xll.DBRW($E$2,AV$1,AV$2,$D$18,$D$3,$D57,$E57,$F57,$F$3,AW$3)</f>
        <v>0</v>
      </c>
      <c r="AX57" s="25">
        <f>_xll.DBRW($C$2,$AV$1,AV$2,$D$18,$D$3,$D57,$E57,$F57,AX$3)</f>
        <v>1</v>
      </c>
      <c r="AY57" s="64">
        <f>_xll.DBRW($C$2,$AV$1,AV$2,$D$18,$D$3,$D57,$E57,$F57,AY$3)</f>
        <v>0</v>
      </c>
      <c r="AZ57" s="58">
        <f>_xll.DBRW($C$2,$AV$1,AV$2,$D$18,$D$3,$D57,$E57,$F57,AZ$3)</f>
        <v>0</v>
      </c>
      <c r="BA57" s="48">
        <f t="shared" si="30"/>
        <v>11</v>
      </c>
      <c r="BB57" s="39">
        <f>_xll.DBRW($C$2,$BB$1,BB$2,$D$18,$D$3,$D57,$E57,$F57,BB$3)</f>
        <v>0</v>
      </c>
      <c r="BC57" s="25" cm="1">
        <f t="array" ref="BC57">_xll.DBRW($E$2,BB$1,BB$2,$D$18,$D$3,$D57,$E57,$F57,$F$3,BC$3)</f>
        <v>0</v>
      </c>
      <c r="BD57" s="25">
        <f>_xll.DBRW($C$2,$BB$1,BB$2,$D$18,$D$3,$D57,$E57,$F57,BD$3)</f>
        <v>1</v>
      </c>
      <c r="BE57" s="64">
        <f>_xll.DBRW($C$2,$BB$1,BB$2,$D$18,$D$3,$D57,$E57,$F57,BE$3)</f>
        <v>0</v>
      </c>
      <c r="BF57" s="58">
        <f>_xll.DBRW($C$2,$BB$1,BB$2,$D$18,$D$3,$D57,$E57,$F57,BF$3)</f>
        <v>0</v>
      </c>
      <c r="BG57" s="48">
        <f t="shared" si="31"/>
        <v>10</v>
      </c>
      <c r="BH57" s="39">
        <f>_xll.DBRW($C$2,$BH$1,BH$2,$D$18,$D$3,$D57,$E57,$F57,BH$3)</f>
        <v>0</v>
      </c>
      <c r="BI57" s="25" cm="1">
        <f t="array" ref="BI57">_xll.DBRW($E$2,BH$1,BH$2,$D$18,$D$3,$D57,$E57,$F57,$F$3,BI$3)</f>
        <v>0</v>
      </c>
      <c r="BJ57" s="25">
        <f>_xll.DBRW($C$2,$BH$1,BH$2,$D$18,$D$3,$D57,$E57,$F57,BJ$3)</f>
        <v>1</v>
      </c>
      <c r="BK57" s="64">
        <f>_xll.DBRW($C$2,$BH$1,BH$2,$D$18,$D$3,$D57,$E57,$F57,BK$3)</f>
        <v>0</v>
      </c>
      <c r="BL57" s="58">
        <f>_xll.DBRW($C$2,$BH$1,BH$2,$D$18,$D$3,$D57,$E57,$F57,BL$3)</f>
        <v>0</v>
      </c>
      <c r="BM57" s="48">
        <f t="shared" si="32"/>
        <v>9</v>
      </c>
      <c r="BN57" s="39">
        <f>_xll.DBRW($C$2,$BN$1,BN$2,$D$18,$D$3,$D57,$E57,$F57,BN$3)</f>
        <v>0</v>
      </c>
      <c r="BO57" s="25" cm="1">
        <f t="array" ref="BO57">_xll.DBRW($E$2,BN$1,BN$2,$D$18,$D$3,$D57,$E57,$F57,$F$3,BO$3)</f>
        <v>0</v>
      </c>
      <c r="BP57" s="25">
        <f>_xll.DBRW($C$2,$BN$1,BN$2,$D$18,$D$3,$D57,$E57,$F57,BP$3)</f>
        <v>1</v>
      </c>
      <c r="BQ57" s="64">
        <f>_xll.DBRW($C$2,$BN$1,BN$2,$D$18,$D$3,$D57,$E57,$F57,BQ$3)</f>
        <v>0</v>
      </c>
      <c r="BR57" s="58">
        <f>_xll.DBRW($C$2,$BN$1,BN$2,$D$18,$D$3,$D57,$E57,$F57,BR$3)</f>
        <v>0</v>
      </c>
      <c r="BS57" s="48">
        <f t="shared" si="33"/>
        <v>8</v>
      </c>
      <c r="BT57" s="39">
        <f>_xll.DBRW($C$2,$BT$1,BT$2,$D$18,$D$3,$D57,$E57,$F57,BT$3)</f>
        <v>0</v>
      </c>
      <c r="BU57" s="25" cm="1">
        <f t="array" ref="BU57">_xll.DBRW($E$2,BT$1,BT$2,$D$18,$D$3,$D57,$E57,$F57,$F$3,BU$3)</f>
        <v>0</v>
      </c>
      <c r="BV57" s="25">
        <f>_xll.DBRW($C$2,$BT$1,BT$2,$D$18,$D$3,$D57,$E57,$F57,BV$3)</f>
        <v>1</v>
      </c>
      <c r="BW57" s="64">
        <f>_xll.DBRW($C$2,$BT$1,BT$2,$D$18,$D$3,$D57,$E57,$F57,BW$3)</f>
        <v>0</v>
      </c>
      <c r="BX57" s="58">
        <f>_xll.DBRW($C$2,$BT$1,BT$2,$D$18,$D$3,$D57,$E57,$F57,BX$3)</f>
        <v>0</v>
      </c>
      <c r="BY57" s="48">
        <f t="shared" si="34"/>
        <v>7</v>
      </c>
      <c r="BZ57" s="39">
        <f>_xll.DBRW($C$2,$BZ$1,BZ$2,$D$18,$D$3,$D57,$E57,$F57,BZ$3)</f>
        <v>0</v>
      </c>
      <c r="CA57" s="25" cm="1">
        <f t="array" ref="CA57">_xll.DBRW($E$2,BZ$1,BZ$2,$D$18,$D$3,$D57,$E57,$F57,$F$3,CA$3)</f>
        <v>0</v>
      </c>
      <c r="CB57" s="25">
        <f>_xll.DBRW($C$2,$BZ$1,BZ$2,$D$18,$D$3,$D57,$E57,$F57,CB$3)</f>
        <v>1</v>
      </c>
      <c r="CC57" s="64">
        <f>_xll.DBRW($C$2,$BZ$1,BZ$2,$D$18,$D$3,$D57,$E57,$F57,CC$3)</f>
        <v>0</v>
      </c>
      <c r="CD57" s="58">
        <f>_xll.DBRW($C$2,$BZ$1,BZ$2,$D$18,$D$3,$D57,$E57,$F57,CD$3)</f>
        <v>0</v>
      </c>
      <c r="CE57" s="48">
        <f t="shared" si="35"/>
        <v>6</v>
      </c>
    </row>
    <row r="58" spans="1:83" s="23" customFormat="1" outlineLevel="1" thickBot="1" x14ac:dyDescent="0.3">
      <c r="A58" s="91" t="str">
        <f>IF(_xll.TM1RPTELISCONSOLIDATED($F$22,$F58),IF(_xll.TM1RPTELLEV($F$22,$F58)&lt;=5,_xll.TM1RPTELLEV($F$22,$F58),"Default"),"Leaf")</f>
        <v>Leaf</v>
      </c>
      <c r="B58" s="24" t="str">
        <f>_xll.DBRW("TM1-S1_DEV:}ElementAttributes_SP_SKU",$D58,B$1)</f>
        <v>Primary</v>
      </c>
      <c r="C58" s="24" t="str">
        <f>_xll.DBRW("TM1-S1_DEV:}ElementAttributes_SP_SKU",$D58,C$1)</f>
        <v>CAKE</v>
      </c>
      <c r="D58" s="28" t="s">
        <v>381</v>
      </c>
      <c r="E58" s="28" t="s">
        <v>210</v>
      </c>
      <c r="F58" s="28" t="s">
        <v>48</v>
      </c>
      <c r="G58" s="4">
        <f>_xll.DBRW($C$2,$G$19,G$20,$D$18,$D$3,$D58,$E58,$F58,G$3)</f>
        <v>24</v>
      </c>
      <c r="H58" s="54">
        <f t="shared" si="24"/>
        <v>14</v>
      </c>
      <c r="I58" s="4"/>
      <c r="J58" s="25">
        <f>_xll.DBRW($C$2,$J$1,J$2,$D$18,$D$3,$D58,$E58,$F58,J$3)</f>
        <v>38</v>
      </c>
      <c r="K58" s="39">
        <f>_xll.DBRW($C$2,$J$1,J$2,$D$18,$D$3,$D58,$E58,$F58,K$3)</f>
        <v>0</v>
      </c>
      <c r="L58" s="25">
        <f>_xll.DBRW($C$2,$J$1,J$2,$D$18,$D$3,$D58,$E58,$F58,L$3)</f>
        <v>0</v>
      </c>
      <c r="M58" s="25">
        <f>_xll.DBRW($C$2,$J$1,J$2,$D$18,$D$3,$D58,$E58,$F58,M$3)</f>
        <v>0</v>
      </c>
      <c r="N58" s="25">
        <f>_xll.DBRW($C$2,$J$1,J$2,$D$18,$D$3,$D58,$E58,$F58,N$3)</f>
        <v>12</v>
      </c>
      <c r="O58" s="64">
        <f>_xll.DBRW($C$2,$J$1,J$2,$D$18,$D$3,$D58,$E58,$F58,O$3)</f>
        <v>1</v>
      </c>
      <c r="P58" s="58">
        <f>_xll.DBRW($C$2,$J$1,J$2,$D$18,$D$3,$D58,$E58,$F58,P$3)</f>
        <v>0</v>
      </c>
      <c r="Q58" s="48">
        <f>_xll.DBRW($C$2,$J$1,J$2,$D$18,$D$3,$D58,$E58,$F58,Q$3)</f>
        <v>26</v>
      </c>
      <c r="R58" s="39">
        <f>_xll.DBRW($C$2,$R$1,R$2,$D$18,$D$3,$D58,$E58,$F58,R$3)</f>
        <v>0</v>
      </c>
      <c r="S58" s="25" cm="1">
        <f t="array" ref="S58">_xll.DBRW($E$2,R$1,R$2,$D$18,$D$3,$D58,$E58,$F58,$F$3,S$3)</f>
        <v>0</v>
      </c>
      <c r="T58" s="25">
        <f>_xll.DBRW($C$2,$R$1,R$2,$D$18,$D$3,$D58,$E58,$F58,T$3)</f>
        <v>0</v>
      </c>
      <c r="U58" s="64">
        <f>_xll.DBRW($C$2,$R$1,R$2,$D$18,$D$3,$D58,$E58,$F58,U$3)</f>
        <v>0</v>
      </c>
      <c r="V58" s="58">
        <f>_xll.DBRW($C$2,$R$1,R$2,$D$18,$D$3,$D58,$E58,$F58,V$3)</f>
        <v>0</v>
      </c>
      <c r="W58" s="48">
        <f t="shared" si="25"/>
        <v>26</v>
      </c>
      <c r="X58" s="39">
        <f>_xll.DBRW($C$2,$X$1,X$2,$D$18,$D$3,$D58,$E58,$F58,X$3)</f>
        <v>0</v>
      </c>
      <c r="Y58" s="25" cm="1">
        <f t="array" ref="Y58">_xll.DBRW($E$2,X$1,X$2,$D$18,$D$3,$D58,$E58,$F58,$F$3,Y$3)</f>
        <v>0</v>
      </c>
      <c r="Z58" s="25">
        <f>_xll.DBRW($C$2,$X$1,X$2,$D$18,$D$3,$D58,$E58,$F58,Z$3)</f>
        <v>2</v>
      </c>
      <c r="AA58" s="64">
        <f>_xll.DBRW($C$2,$X$1,X$2,$D$18,$D$3,$D58,$E58,$F58,AA$3)</f>
        <v>0</v>
      </c>
      <c r="AB58" s="58">
        <f>_xll.DBRW($C$2,$X$1,X$2,$D$18,$D$3,$D58,$E58,$F58,AB$3)</f>
        <v>0</v>
      </c>
      <c r="AC58" s="48">
        <f t="shared" si="26"/>
        <v>24</v>
      </c>
      <c r="AD58" s="39">
        <f>_xll.DBRW($C$2,$AD$1,AD$2,$D$18,$D$3,$D58,$E58,$F58,AD$3)</f>
        <v>0</v>
      </c>
      <c r="AE58" s="25" cm="1">
        <f t="array" ref="AE58">_xll.DBRW($E$2,AD$1,AD$2,$D$18,$D$3,$D58,$E58,$F58,$F$3,AE$3)</f>
        <v>0</v>
      </c>
      <c r="AF58" s="25">
        <f>_xll.DBRW($C$2,$AD$1,AD$2,$D$18,$D$3,$D58,$E58,$F58,AF$3)</f>
        <v>2</v>
      </c>
      <c r="AG58" s="64">
        <f>_xll.DBRW($C$2,$AD$1,AD$2,$D$18,$D$3,$D58,$E58,$F58,AG$3)</f>
        <v>0</v>
      </c>
      <c r="AH58" s="58">
        <f>_xll.DBRW($C$2,$AD$1,AD$2,$D$18,$D$3,$D58,$E58,$F58,AH$3)</f>
        <v>0</v>
      </c>
      <c r="AI58" s="48">
        <f t="shared" si="27"/>
        <v>22</v>
      </c>
      <c r="AJ58" s="39">
        <f>_xll.DBRW($C$2,$AJ$1,AJ$2,$D$18,$D$3,$D58,$E58,$F58,AJ$3)</f>
        <v>0</v>
      </c>
      <c r="AK58" s="25" cm="1">
        <f t="array" ref="AK58">_xll.DBRW($E$2,AJ$1,AJ$2,$D$18,$D$3,$D58,$E58,$F58,$F$3,AK$3)</f>
        <v>0</v>
      </c>
      <c r="AL58" s="25">
        <f>_xll.DBRW($C$2,$AJ$1,AJ$2,$D$18,$D$3,$D58,$E58,$F58,AL$3)</f>
        <v>2</v>
      </c>
      <c r="AM58" s="64">
        <f>_xll.DBRW($C$2,$AJ$1,AJ$2,$D$18,$D$3,$D58,$E58,$F58,AM$3)</f>
        <v>0</v>
      </c>
      <c r="AN58" s="58">
        <f>_xll.DBRW($C$2,$AJ$1,AJ$2,$D$18,$D$3,$D58,$E58,$F58,AN$3)</f>
        <v>0</v>
      </c>
      <c r="AO58" s="48">
        <f t="shared" si="28"/>
        <v>20</v>
      </c>
      <c r="AP58" s="39">
        <f>_xll.DBRW($C$2,$AP$1,AP$2,$D$18,$D$3,$D58,$E58,$F58,AP$3)</f>
        <v>0</v>
      </c>
      <c r="AQ58" s="25" cm="1">
        <f t="array" ref="AQ58">_xll.DBRW($E$2,AP$1,AP$2,$D$18,$D$3,$D58,$E58,$F58,$F$3,AQ$3)</f>
        <v>0</v>
      </c>
      <c r="AR58" s="25">
        <f>_xll.DBRW($C$2,$AP$1,AP$2,$D$18,$D$3,$D58,$E58,$F58,AR$3)</f>
        <v>2</v>
      </c>
      <c r="AS58" s="64">
        <f>_xll.DBRW($C$2,$AP$1,AP$2,$D$18,$D$3,$D58,$E58,$F58,AS$3)</f>
        <v>0</v>
      </c>
      <c r="AT58" s="58">
        <f>_xll.DBRW($C$2,$AP$1,AP$2,$D$18,$D$3,$D58,$E58,$F58,AT$3)</f>
        <v>0</v>
      </c>
      <c r="AU58" s="48">
        <f t="shared" si="29"/>
        <v>18</v>
      </c>
      <c r="AV58" s="39">
        <f>_xll.DBRW($C$2,$AV$1,AV$2,$D$18,$D$3,$D58,$E58,$F58,AV$3)</f>
        <v>0</v>
      </c>
      <c r="AW58" s="25" cm="1">
        <f t="array" ref="AW58">_xll.DBRW($E$2,AV$1,AV$2,$D$18,$D$3,$D58,$E58,$F58,$F$3,AW$3)</f>
        <v>0</v>
      </c>
      <c r="AX58" s="25">
        <f>_xll.DBRW($C$2,$AV$1,AV$2,$D$18,$D$3,$D58,$E58,$F58,AX$3)</f>
        <v>2</v>
      </c>
      <c r="AY58" s="64">
        <f>_xll.DBRW($C$2,$AV$1,AV$2,$D$18,$D$3,$D58,$E58,$F58,AY$3)</f>
        <v>0</v>
      </c>
      <c r="AZ58" s="58">
        <f>_xll.DBRW($C$2,$AV$1,AV$2,$D$18,$D$3,$D58,$E58,$F58,AZ$3)</f>
        <v>0</v>
      </c>
      <c r="BA58" s="48">
        <f t="shared" si="30"/>
        <v>16</v>
      </c>
      <c r="BB58" s="39">
        <f>_xll.DBRW($C$2,$BB$1,BB$2,$D$18,$D$3,$D58,$E58,$F58,BB$3)</f>
        <v>0</v>
      </c>
      <c r="BC58" s="25" cm="1">
        <f t="array" ref="BC58">_xll.DBRW($E$2,BB$1,BB$2,$D$18,$D$3,$D58,$E58,$F58,$F$3,BC$3)</f>
        <v>0</v>
      </c>
      <c r="BD58" s="25">
        <f>_xll.DBRW($C$2,$BB$1,BB$2,$D$18,$D$3,$D58,$E58,$F58,BD$3)</f>
        <v>2</v>
      </c>
      <c r="BE58" s="64">
        <f>_xll.DBRW($C$2,$BB$1,BB$2,$D$18,$D$3,$D58,$E58,$F58,BE$3)</f>
        <v>0</v>
      </c>
      <c r="BF58" s="58">
        <f>_xll.DBRW($C$2,$BB$1,BB$2,$D$18,$D$3,$D58,$E58,$F58,BF$3)</f>
        <v>0</v>
      </c>
      <c r="BG58" s="48">
        <f t="shared" si="31"/>
        <v>14</v>
      </c>
      <c r="BH58" s="39">
        <f>_xll.DBRW($C$2,$BH$1,BH$2,$D$18,$D$3,$D58,$E58,$F58,BH$3)</f>
        <v>0</v>
      </c>
      <c r="BI58" s="25" cm="1">
        <f t="array" ref="BI58">_xll.DBRW($E$2,BH$1,BH$2,$D$18,$D$3,$D58,$E58,$F58,$F$3,BI$3)</f>
        <v>0</v>
      </c>
      <c r="BJ58" s="25">
        <f>_xll.DBRW($C$2,$BH$1,BH$2,$D$18,$D$3,$D58,$E58,$F58,BJ$3)</f>
        <v>2</v>
      </c>
      <c r="BK58" s="64">
        <f>_xll.DBRW($C$2,$BH$1,BH$2,$D$18,$D$3,$D58,$E58,$F58,BK$3)</f>
        <v>0</v>
      </c>
      <c r="BL58" s="58">
        <f>_xll.DBRW($C$2,$BH$1,BH$2,$D$18,$D$3,$D58,$E58,$F58,BL$3)</f>
        <v>0</v>
      </c>
      <c r="BM58" s="48">
        <f t="shared" si="32"/>
        <v>12</v>
      </c>
      <c r="BN58" s="39">
        <f>_xll.DBRW($C$2,$BN$1,BN$2,$D$18,$D$3,$D58,$E58,$F58,BN$3)</f>
        <v>0</v>
      </c>
      <c r="BO58" s="25" cm="1">
        <f t="array" ref="BO58">_xll.DBRW($E$2,BN$1,BN$2,$D$18,$D$3,$D58,$E58,$F58,$F$3,BO$3)</f>
        <v>0</v>
      </c>
      <c r="BP58" s="25">
        <f>_xll.DBRW($C$2,$BN$1,BN$2,$D$18,$D$3,$D58,$E58,$F58,BP$3)</f>
        <v>2</v>
      </c>
      <c r="BQ58" s="64">
        <f>_xll.DBRW($C$2,$BN$1,BN$2,$D$18,$D$3,$D58,$E58,$F58,BQ$3)</f>
        <v>0</v>
      </c>
      <c r="BR58" s="58">
        <f>_xll.DBRW($C$2,$BN$1,BN$2,$D$18,$D$3,$D58,$E58,$F58,BR$3)</f>
        <v>0</v>
      </c>
      <c r="BS58" s="48">
        <f t="shared" si="33"/>
        <v>10</v>
      </c>
      <c r="BT58" s="39">
        <f>_xll.DBRW($C$2,$BT$1,BT$2,$D$18,$D$3,$D58,$E58,$F58,BT$3)</f>
        <v>0</v>
      </c>
      <c r="BU58" s="25" cm="1">
        <f t="array" ref="BU58">_xll.DBRW($E$2,BT$1,BT$2,$D$18,$D$3,$D58,$E58,$F58,$F$3,BU$3)</f>
        <v>0</v>
      </c>
      <c r="BV58" s="25">
        <f>_xll.DBRW($C$2,$BT$1,BT$2,$D$18,$D$3,$D58,$E58,$F58,BV$3)</f>
        <v>2</v>
      </c>
      <c r="BW58" s="64">
        <f>_xll.DBRW($C$2,$BT$1,BT$2,$D$18,$D$3,$D58,$E58,$F58,BW$3)</f>
        <v>0</v>
      </c>
      <c r="BX58" s="58">
        <f>_xll.DBRW($C$2,$BT$1,BT$2,$D$18,$D$3,$D58,$E58,$F58,BX$3)</f>
        <v>0</v>
      </c>
      <c r="BY58" s="48">
        <f t="shared" si="34"/>
        <v>8</v>
      </c>
      <c r="BZ58" s="39">
        <f>_xll.DBRW($C$2,$BZ$1,BZ$2,$D$18,$D$3,$D58,$E58,$F58,BZ$3)</f>
        <v>0</v>
      </c>
      <c r="CA58" s="25" cm="1">
        <f t="array" ref="CA58">_xll.DBRW($E$2,BZ$1,BZ$2,$D$18,$D$3,$D58,$E58,$F58,$F$3,CA$3)</f>
        <v>0</v>
      </c>
      <c r="CB58" s="25">
        <f>_xll.DBRW($C$2,$BZ$1,BZ$2,$D$18,$D$3,$D58,$E58,$F58,CB$3)</f>
        <v>2</v>
      </c>
      <c r="CC58" s="64">
        <f>_xll.DBRW($C$2,$BZ$1,BZ$2,$D$18,$D$3,$D58,$E58,$F58,CC$3)</f>
        <v>0</v>
      </c>
      <c r="CD58" s="58">
        <f>_xll.DBRW($C$2,$BZ$1,BZ$2,$D$18,$D$3,$D58,$E58,$F58,CD$3)</f>
        <v>0</v>
      </c>
      <c r="CE58" s="48">
        <f t="shared" si="35"/>
        <v>6</v>
      </c>
    </row>
    <row r="59" spans="1:83" s="23" customFormat="1" outlineLevel="1" thickBot="1" x14ac:dyDescent="0.3">
      <c r="A59" s="91" t="str">
        <f>IF(_xll.TM1RPTELISCONSOLIDATED($F$22,$F59),IF(_xll.TM1RPTELLEV($F$22,$F59)&lt;=5,_xll.TM1RPTELLEV($F$22,$F59),"Default"),"Leaf")</f>
        <v>Leaf</v>
      </c>
      <c r="B59" s="24" t="str">
        <f>_xll.DBRW("TM1-S1_DEV:}ElementAttributes_SP_SKU",$D59,B$1)</f>
        <v>Primary</v>
      </c>
      <c r="C59" s="24" t="str">
        <f>_xll.DBRW("TM1-S1_DEV:}ElementAttributes_SP_SKU",$D59,C$1)</f>
        <v>CAKE</v>
      </c>
      <c r="D59" s="28" t="s">
        <v>382</v>
      </c>
      <c r="E59" s="28" t="s">
        <v>113</v>
      </c>
      <c r="F59" s="28" t="s">
        <v>48</v>
      </c>
      <c r="G59" s="4">
        <f>_xll.DBRW($C$2,$G$19,G$20,$D$18,$D$3,$D59,$E59,$F59,G$3)</f>
        <v>18</v>
      </c>
      <c r="H59" s="54">
        <f t="shared" si="24"/>
        <v>-3</v>
      </c>
      <c r="I59" s="4"/>
      <c r="J59" s="25">
        <f>_xll.DBRW($C$2,$J$1,J$2,$D$18,$D$3,$D59,$E59,$F59,J$3)</f>
        <v>15</v>
      </c>
      <c r="K59" s="39">
        <f>_xll.DBRW($C$2,$J$1,J$2,$D$18,$D$3,$D59,$E59,$F59,K$3)</f>
        <v>0</v>
      </c>
      <c r="L59" s="25">
        <f>_xll.DBRW($C$2,$J$1,J$2,$D$18,$D$3,$D59,$E59,$F59,L$3)</f>
        <v>0</v>
      </c>
      <c r="M59" s="25">
        <f>_xll.DBRW($C$2,$J$1,J$2,$D$18,$D$3,$D59,$E59,$F59,M$3)</f>
        <v>0</v>
      </c>
      <c r="N59" s="25">
        <f>_xll.DBRW($C$2,$J$1,J$2,$D$18,$D$3,$D59,$E59,$F59,N$3)</f>
        <v>15</v>
      </c>
      <c r="O59" s="64">
        <f>_xll.DBRW($C$2,$J$1,J$2,$D$18,$D$3,$D59,$E59,$F59,O$3)</f>
        <v>1</v>
      </c>
      <c r="P59" s="58">
        <f>_xll.DBRW($C$2,$J$1,J$2,$D$18,$D$3,$D59,$E59,$F59,P$3)</f>
        <v>0</v>
      </c>
      <c r="Q59" s="48">
        <f>_xll.DBRW($C$2,$J$1,J$2,$D$18,$D$3,$D59,$E59,$F59,Q$3)</f>
        <v>0</v>
      </c>
      <c r="R59" s="39">
        <f>_xll.DBRW($C$2,$R$1,R$2,$D$18,$D$3,$D59,$E59,$F59,R$3)</f>
        <v>0</v>
      </c>
      <c r="S59" s="25" cm="1">
        <f t="array" ref="S59">_xll.DBRW($E$2,R$1,R$2,$D$18,$D$3,$D59,$E59,$F59,$F$3,S$3)</f>
        <v>0</v>
      </c>
      <c r="T59" s="25">
        <f>_xll.DBRW($C$2,$R$1,R$2,$D$18,$D$3,$D59,$E59,$F59,T$3)</f>
        <v>0</v>
      </c>
      <c r="U59" s="64">
        <f>_xll.DBRW($C$2,$R$1,R$2,$D$18,$D$3,$D59,$E59,$F59,U$3)</f>
        <v>0</v>
      </c>
      <c r="V59" s="58">
        <f>_xll.DBRW($C$2,$R$1,R$2,$D$18,$D$3,$D59,$E59,$F59,V$3)</f>
        <v>0</v>
      </c>
      <c r="W59" s="48">
        <f t="shared" si="25"/>
        <v>0</v>
      </c>
      <c r="X59" s="39">
        <f>_xll.DBRW($C$2,$X$1,X$2,$D$18,$D$3,$D59,$E59,$F59,X$3)</f>
        <v>0</v>
      </c>
      <c r="Y59" s="25" cm="1">
        <f t="array" ref="Y59">_xll.DBRW($E$2,X$1,X$2,$D$18,$D$3,$D59,$E59,$F59,$F$3,Y$3)</f>
        <v>0</v>
      </c>
      <c r="Z59" s="25">
        <f>_xll.DBRW($C$2,$X$1,X$2,$D$18,$D$3,$D59,$E59,$F59,Z$3)</f>
        <v>1</v>
      </c>
      <c r="AA59" s="64">
        <f>_xll.DBRW($C$2,$X$1,X$2,$D$18,$D$3,$D59,$E59,$F59,AA$3)</f>
        <v>0</v>
      </c>
      <c r="AB59" s="58">
        <f>_xll.DBRW($C$2,$X$1,X$2,$D$18,$D$3,$D59,$E59,$F59,AB$3)</f>
        <v>0</v>
      </c>
      <c r="AC59" s="48">
        <f t="shared" si="26"/>
        <v>-1</v>
      </c>
      <c r="AD59" s="39">
        <f>_xll.DBRW($C$2,$AD$1,AD$2,$D$18,$D$3,$D59,$E59,$F59,AD$3)</f>
        <v>0</v>
      </c>
      <c r="AE59" s="25" cm="1">
        <f t="array" ref="AE59">_xll.DBRW($E$2,AD$1,AD$2,$D$18,$D$3,$D59,$E59,$F59,$F$3,AE$3)</f>
        <v>0</v>
      </c>
      <c r="AF59" s="25">
        <f>_xll.DBRW($C$2,$AD$1,AD$2,$D$18,$D$3,$D59,$E59,$F59,AF$3)</f>
        <v>1</v>
      </c>
      <c r="AG59" s="64">
        <f>_xll.DBRW($C$2,$AD$1,AD$2,$D$18,$D$3,$D59,$E59,$F59,AG$3)</f>
        <v>0</v>
      </c>
      <c r="AH59" s="58">
        <f>_xll.DBRW($C$2,$AD$1,AD$2,$D$18,$D$3,$D59,$E59,$F59,AH$3)</f>
        <v>0</v>
      </c>
      <c r="AI59" s="48">
        <f t="shared" si="27"/>
        <v>-2</v>
      </c>
      <c r="AJ59" s="39">
        <f>_xll.DBRW($C$2,$AJ$1,AJ$2,$D$18,$D$3,$D59,$E59,$F59,AJ$3)</f>
        <v>0</v>
      </c>
      <c r="AK59" s="25" cm="1">
        <f t="array" ref="AK59">_xll.DBRW($E$2,AJ$1,AJ$2,$D$18,$D$3,$D59,$E59,$F59,$F$3,AK$3)</f>
        <v>0</v>
      </c>
      <c r="AL59" s="25">
        <f>_xll.DBRW($C$2,$AJ$1,AJ$2,$D$18,$D$3,$D59,$E59,$F59,AL$3)</f>
        <v>1</v>
      </c>
      <c r="AM59" s="64">
        <f>_xll.DBRW($C$2,$AJ$1,AJ$2,$D$18,$D$3,$D59,$E59,$F59,AM$3)</f>
        <v>0</v>
      </c>
      <c r="AN59" s="58">
        <f>_xll.DBRW($C$2,$AJ$1,AJ$2,$D$18,$D$3,$D59,$E59,$F59,AN$3)</f>
        <v>0</v>
      </c>
      <c r="AO59" s="48">
        <f t="shared" si="28"/>
        <v>-3</v>
      </c>
      <c r="AP59" s="39">
        <f>_xll.DBRW($C$2,$AP$1,AP$2,$D$18,$D$3,$D59,$E59,$F59,AP$3)</f>
        <v>0</v>
      </c>
      <c r="AQ59" s="25" cm="1">
        <f t="array" ref="AQ59">_xll.DBRW($E$2,AP$1,AP$2,$D$18,$D$3,$D59,$E59,$F59,$F$3,AQ$3)</f>
        <v>0</v>
      </c>
      <c r="AR59" s="25">
        <f>_xll.DBRW($C$2,$AP$1,AP$2,$D$18,$D$3,$D59,$E59,$F59,AR$3)</f>
        <v>1</v>
      </c>
      <c r="AS59" s="64">
        <f>_xll.DBRW($C$2,$AP$1,AP$2,$D$18,$D$3,$D59,$E59,$F59,AS$3)</f>
        <v>0</v>
      </c>
      <c r="AT59" s="58">
        <f>_xll.DBRW($C$2,$AP$1,AP$2,$D$18,$D$3,$D59,$E59,$F59,AT$3)</f>
        <v>0</v>
      </c>
      <c r="AU59" s="48">
        <f t="shared" si="29"/>
        <v>-4</v>
      </c>
      <c r="AV59" s="39">
        <f>_xll.DBRW($C$2,$AV$1,AV$2,$D$18,$D$3,$D59,$E59,$F59,AV$3)</f>
        <v>0</v>
      </c>
      <c r="AW59" s="25" cm="1">
        <f t="array" ref="AW59">_xll.DBRW($E$2,AV$1,AV$2,$D$18,$D$3,$D59,$E59,$F59,$F$3,AW$3)</f>
        <v>0</v>
      </c>
      <c r="AX59" s="25">
        <f>_xll.DBRW($C$2,$AV$1,AV$2,$D$18,$D$3,$D59,$E59,$F59,AX$3)</f>
        <v>1</v>
      </c>
      <c r="AY59" s="64">
        <f>_xll.DBRW($C$2,$AV$1,AV$2,$D$18,$D$3,$D59,$E59,$F59,AY$3)</f>
        <v>0</v>
      </c>
      <c r="AZ59" s="58">
        <f>_xll.DBRW($C$2,$AV$1,AV$2,$D$18,$D$3,$D59,$E59,$F59,AZ$3)</f>
        <v>0</v>
      </c>
      <c r="BA59" s="48">
        <f t="shared" si="30"/>
        <v>-5</v>
      </c>
      <c r="BB59" s="39">
        <f>_xll.DBRW($C$2,$BB$1,BB$2,$D$18,$D$3,$D59,$E59,$F59,BB$3)</f>
        <v>0</v>
      </c>
      <c r="BC59" s="25" cm="1">
        <f t="array" ref="BC59">_xll.DBRW($E$2,BB$1,BB$2,$D$18,$D$3,$D59,$E59,$F59,$F$3,BC$3)</f>
        <v>0</v>
      </c>
      <c r="BD59" s="25">
        <f>_xll.DBRW($C$2,$BB$1,BB$2,$D$18,$D$3,$D59,$E59,$F59,BD$3)</f>
        <v>1</v>
      </c>
      <c r="BE59" s="64">
        <f>_xll.DBRW($C$2,$BB$1,BB$2,$D$18,$D$3,$D59,$E59,$F59,BE$3)</f>
        <v>0</v>
      </c>
      <c r="BF59" s="58">
        <f>_xll.DBRW($C$2,$BB$1,BB$2,$D$18,$D$3,$D59,$E59,$F59,BF$3)</f>
        <v>0</v>
      </c>
      <c r="BG59" s="48">
        <f t="shared" si="31"/>
        <v>-6</v>
      </c>
      <c r="BH59" s="39">
        <f>_xll.DBRW($C$2,$BH$1,BH$2,$D$18,$D$3,$D59,$E59,$F59,BH$3)</f>
        <v>0</v>
      </c>
      <c r="BI59" s="25" cm="1">
        <f t="array" ref="BI59">_xll.DBRW($E$2,BH$1,BH$2,$D$18,$D$3,$D59,$E59,$F59,$F$3,BI$3)</f>
        <v>0</v>
      </c>
      <c r="BJ59" s="25">
        <f>_xll.DBRW($C$2,$BH$1,BH$2,$D$18,$D$3,$D59,$E59,$F59,BJ$3)</f>
        <v>1</v>
      </c>
      <c r="BK59" s="64">
        <f>_xll.DBRW($C$2,$BH$1,BH$2,$D$18,$D$3,$D59,$E59,$F59,BK$3)</f>
        <v>0</v>
      </c>
      <c r="BL59" s="58">
        <f>_xll.DBRW($C$2,$BH$1,BH$2,$D$18,$D$3,$D59,$E59,$F59,BL$3)</f>
        <v>0</v>
      </c>
      <c r="BM59" s="48">
        <f t="shared" si="32"/>
        <v>-7</v>
      </c>
      <c r="BN59" s="39">
        <f>_xll.DBRW($C$2,$BN$1,BN$2,$D$18,$D$3,$D59,$E59,$F59,BN$3)</f>
        <v>0</v>
      </c>
      <c r="BO59" s="25" cm="1">
        <f t="array" ref="BO59">_xll.DBRW($E$2,BN$1,BN$2,$D$18,$D$3,$D59,$E59,$F59,$F$3,BO$3)</f>
        <v>0</v>
      </c>
      <c r="BP59" s="25">
        <f>_xll.DBRW($C$2,$BN$1,BN$2,$D$18,$D$3,$D59,$E59,$F59,BP$3)</f>
        <v>1</v>
      </c>
      <c r="BQ59" s="64">
        <f>_xll.DBRW($C$2,$BN$1,BN$2,$D$18,$D$3,$D59,$E59,$F59,BQ$3)</f>
        <v>0</v>
      </c>
      <c r="BR59" s="58">
        <f>_xll.DBRW($C$2,$BN$1,BN$2,$D$18,$D$3,$D59,$E59,$F59,BR$3)</f>
        <v>0</v>
      </c>
      <c r="BS59" s="48">
        <f t="shared" si="33"/>
        <v>-8</v>
      </c>
      <c r="BT59" s="39">
        <f>_xll.DBRW($C$2,$BT$1,BT$2,$D$18,$D$3,$D59,$E59,$F59,BT$3)</f>
        <v>0</v>
      </c>
      <c r="BU59" s="25" cm="1">
        <f t="array" ref="BU59">_xll.DBRW($E$2,BT$1,BT$2,$D$18,$D$3,$D59,$E59,$F59,$F$3,BU$3)</f>
        <v>0</v>
      </c>
      <c r="BV59" s="25">
        <f>_xll.DBRW($C$2,$BT$1,BT$2,$D$18,$D$3,$D59,$E59,$F59,BV$3)</f>
        <v>1</v>
      </c>
      <c r="BW59" s="64">
        <f>_xll.DBRW($C$2,$BT$1,BT$2,$D$18,$D$3,$D59,$E59,$F59,BW$3)</f>
        <v>0</v>
      </c>
      <c r="BX59" s="58">
        <f>_xll.DBRW($C$2,$BT$1,BT$2,$D$18,$D$3,$D59,$E59,$F59,BX$3)</f>
        <v>0</v>
      </c>
      <c r="BY59" s="48">
        <f t="shared" si="34"/>
        <v>-9</v>
      </c>
      <c r="BZ59" s="39">
        <f>_xll.DBRW($C$2,$BZ$1,BZ$2,$D$18,$D$3,$D59,$E59,$F59,BZ$3)</f>
        <v>0</v>
      </c>
      <c r="CA59" s="25" cm="1">
        <f t="array" ref="CA59">_xll.DBRW($E$2,BZ$1,BZ$2,$D$18,$D$3,$D59,$E59,$F59,$F$3,CA$3)</f>
        <v>0</v>
      </c>
      <c r="CB59" s="25">
        <f>_xll.DBRW($C$2,$BZ$1,BZ$2,$D$18,$D$3,$D59,$E59,$F59,CB$3)</f>
        <v>1</v>
      </c>
      <c r="CC59" s="64">
        <f>_xll.DBRW($C$2,$BZ$1,BZ$2,$D$18,$D$3,$D59,$E59,$F59,CC$3)</f>
        <v>0</v>
      </c>
      <c r="CD59" s="58">
        <f>_xll.DBRW($C$2,$BZ$1,BZ$2,$D$18,$D$3,$D59,$E59,$F59,CD$3)</f>
        <v>0</v>
      </c>
      <c r="CE59" s="48">
        <f t="shared" si="35"/>
        <v>-10</v>
      </c>
    </row>
    <row r="60" spans="1:83" s="23" customFormat="1" outlineLevel="1" thickBot="1" x14ac:dyDescent="0.3">
      <c r="A60" s="91" t="str">
        <f>IF(_xll.TM1RPTELISCONSOLIDATED($F$22,$F60),IF(_xll.TM1RPTELLEV($F$22,$F60)&lt;=5,_xll.TM1RPTELLEV($F$22,$F60),"Default"),"Leaf")</f>
        <v>Leaf</v>
      </c>
      <c r="B60" s="24" t="str">
        <f>_xll.DBRW("TM1-S1_DEV:}ElementAttributes_SP_SKU",$D60,B$1)</f>
        <v>Primary</v>
      </c>
      <c r="C60" s="24" t="str">
        <f>_xll.DBRW("TM1-S1_DEV:}ElementAttributes_SP_SKU",$D60,C$1)</f>
        <v>CAKE</v>
      </c>
      <c r="D60" s="28" t="s">
        <v>383</v>
      </c>
      <c r="E60" s="28" t="s">
        <v>211</v>
      </c>
      <c r="F60" s="28" t="s">
        <v>17</v>
      </c>
      <c r="G60" s="4">
        <f>_xll.DBRW($C$2,$G$19,G$20,$D$18,$D$3,$D60,$E60,$F60,G$3)</f>
        <v>20</v>
      </c>
      <c r="H60" s="54">
        <f t="shared" si="24"/>
        <v>-5</v>
      </c>
      <c r="I60" s="4"/>
      <c r="J60" s="25">
        <f>_xll.DBRW($C$2,$J$1,J$2,$D$18,$D$3,$D60,$E60,$F60,J$3)</f>
        <v>15</v>
      </c>
      <c r="K60" s="39">
        <f>_xll.DBRW($C$2,$J$1,J$2,$D$18,$D$3,$D60,$E60,$F60,K$3)</f>
        <v>0</v>
      </c>
      <c r="L60" s="25">
        <f>_xll.DBRW($C$2,$J$1,J$2,$D$18,$D$3,$D60,$E60,$F60,L$3)</f>
        <v>0</v>
      </c>
      <c r="M60" s="25">
        <f>_xll.DBRW($C$2,$J$1,J$2,$D$18,$D$3,$D60,$E60,$F60,M$3)</f>
        <v>0</v>
      </c>
      <c r="N60" s="25">
        <f>_xll.DBRW($C$2,$J$1,J$2,$D$18,$D$3,$D60,$E60,$F60,N$3)</f>
        <v>3</v>
      </c>
      <c r="O60" s="64">
        <f>_xll.DBRW($C$2,$J$1,J$2,$D$18,$D$3,$D60,$E60,$F60,O$3)</f>
        <v>1</v>
      </c>
      <c r="P60" s="58">
        <f>_xll.DBRW($C$2,$J$1,J$2,$D$18,$D$3,$D60,$E60,$F60,P$3)</f>
        <v>0</v>
      </c>
      <c r="Q60" s="48">
        <f>_xll.DBRW($C$2,$J$1,J$2,$D$18,$D$3,$D60,$E60,$F60,Q$3)</f>
        <v>12</v>
      </c>
      <c r="R60" s="39">
        <f>_xll.DBRW($C$2,$R$1,R$2,$D$18,$D$3,$D60,$E60,$F60,R$3)</f>
        <v>0</v>
      </c>
      <c r="S60" s="25" cm="1">
        <f t="array" ref="S60">_xll.DBRW($E$2,R$1,R$2,$D$18,$D$3,$D60,$E60,$F60,$F$3,S$3)</f>
        <v>0</v>
      </c>
      <c r="T60" s="25">
        <f>_xll.DBRW($C$2,$R$1,R$2,$D$18,$D$3,$D60,$E60,$F60,T$3)</f>
        <v>0</v>
      </c>
      <c r="U60" s="64">
        <f>_xll.DBRW($C$2,$R$1,R$2,$D$18,$D$3,$D60,$E60,$F60,U$3)</f>
        <v>0</v>
      </c>
      <c r="V60" s="58">
        <f>_xll.DBRW($C$2,$R$1,R$2,$D$18,$D$3,$D60,$E60,$F60,V$3)</f>
        <v>0</v>
      </c>
      <c r="W60" s="48">
        <f t="shared" si="25"/>
        <v>12</v>
      </c>
      <c r="X60" s="39">
        <f>_xll.DBRW($C$2,$X$1,X$2,$D$18,$D$3,$D60,$E60,$F60,X$3)</f>
        <v>0</v>
      </c>
      <c r="Y60" s="25" cm="1">
        <f t="array" ref="Y60">_xll.DBRW($E$2,X$1,X$2,$D$18,$D$3,$D60,$E60,$F60,$F$3,Y$3)</f>
        <v>0</v>
      </c>
      <c r="Z60" s="25">
        <f>_xll.DBRW($C$2,$X$1,X$2,$D$18,$D$3,$D60,$E60,$F60,Z$3)</f>
        <v>2</v>
      </c>
      <c r="AA60" s="64">
        <f>_xll.DBRW($C$2,$X$1,X$2,$D$18,$D$3,$D60,$E60,$F60,AA$3)</f>
        <v>0</v>
      </c>
      <c r="AB60" s="58">
        <f>_xll.DBRW($C$2,$X$1,X$2,$D$18,$D$3,$D60,$E60,$F60,AB$3)</f>
        <v>0</v>
      </c>
      <c r="AC60" s="48">
        <f t="shared" si="26"/>
        <v>10</v>
      </c>
      <c r="AD60" s="39">
        <f>_xll.DBRW($C$2,$AD$1,AD$2,$D$18,$D$3,$D60,$E60,$F60,AD$3)</f>
        <v>0</v>
      </c>
      <c r="AE60" s="25" cm="1">
        <f t="array" ref="AE60">_xll.DBRW($E$2,AD$1,AD$2,$D$18,$D$3,$D60,$E60,$F60,$F$3,AE$3)</f>
        <v>0</v>
      </c>
      <c r="AF60" s="25">
        <f>_xll.DBRW($C$2,$AD$1,AD$2,$D$18,$D$3,$D60,$E60,$F60,AF$3)</f>
        <v>2</v>
      </c>
      <c r="AG60" s="64">
        <f>_xll.DBRW($C$2,$AD$1,AD$2,$D$18,$D$3,$D60,$E60,$F60,AG$3)</f>
        <v>0</v>
      </c>
      <c r="AH60" s="58">
        <f>_xll.DBRW($C$2,$AD$1,AD$2,$D$18,$D$3,$D60,$E60,$F60,AH$3)</f>
        <v>0</v>
      </c>
      <c r="AI60" s="48">
        <f t="shared" si="27"/>
        <v>8</v>
      </c>
      <c r="AJ60" s="39">
        <f>_xll.DBRW($C$2,$AJ$1,AJ$2,$D$18,$D$3,$D60,$E60,$F60,AJ$3)</f>
        <v>0</v>
      </c>
      <c r="AK60" s="25" cm="1">
        <f t="array" ref="AK60">_xll.DBRW($E$2,AJ$1,AJ$2,$D$18,$D$3,$D60,$E60,$F60,$F$3,AK$3)</f>
        <v>0</v>
      </c>
      <c r="AL60" s="25">
        <f>_xll.DBRW($C$2,$AJ$1,AJ$2,$D$18,$D$3,$D60,$E60,$F60,AL$3)</f>
        <v>2</v>
      </c>
      <c r="AM60" s="64">
        <f>_xll.DBRW($C$2,$AJ$1,AJ$2,$D$18,$D$3,$D60,$E60,$F60,AM$3)</f>
        <v>0</v>
      </c>
      <c r="AN60" s="58">
        <f>_xll.DBRW($C$2,$AJ$1,AJ$2,$D$18,$D$3,$D60,$E60,$F60,AN$3)</f>
        <v>0</v>
      </c>
      <c r="AO60" s="48">
        <f t="shared" si="28"/>
        <v>6</v>
      </c>
      <c r="AP60" s="39">
        <f>_xll.DBRW($C$2,$AP$1,AP$2,$D$18,$D$3,$D60,$E60,$F60,AP$3)</f>
        <v>0</v>
      </c>
      <c r="AQ60" s="25" cm="1">
        <f t="array" ref="AQ60">_xll.DBRW($E$2,AP$1,AP$2,$D$18,$D$3,$D60,$E60,$F60,$F$3,AQ$3)</f>
        <v>0</v>
      </c>
      <c r="AR60" s="25">
        <f>_xll.DBRW($C$2,$AP$1,AP$2,$D$18,$D$3,$D60,$E60,$F60,AR$3)</f>
        <v>2</v>
      </c>
      <c r="AS60" s="64">
        <f>_xll.DBRW($C$2,$AP$1,AP$2,$D$18,$D$3,$D60,$E60,$F60,AS$3)</f>
        <v>0</v>
      </c>
      <c r="AT60" s="58">
        <f>_xll.DBRW($C$2,$AP$1,AP$2,$D$18,$D$3,$D60,$E60,$F60,AT$3)</f>
        <v>0</v>
      </c>
      <c r="AU60" s="48">
        <f t="shared" si="29"/>
        <v>4</v>
      </c>
      <c r="AV60" s="39">
        <f>_xll.DBRW($C$2,$AV$1,AV$2,$D$18,$D$3,$D60,$E60,$F60,AV$3)</f>
        <v>0</v>
      </c>
      <c r="AW60" s="25" cm="1">
        <f t="array" ref="AW60">_xll.DBRW($E$2,AV$1,AV$2,$D$18,$D$3,$D60,$E60,$F60,$F$3,AW$3)</f>
        <v>0</v>
      </c>
      <c r="AX60" s="25">
        <f>_xll.DBRW($C$2,$AV$1,AV$2,$D$18,$D$3,$D60,$E60,$F60,AX$3)</f>
        <v>2</v>
      </c>
      <c r="AY60" s="64">
        <f>_xll.DBRW($C$2,$AV$1,AV$2,$D$18,$D$3,$D60,$E60,$F60,AY$3)</f>
        <v>0</v>
      </c>
      <c r="AZ60" s="58">
        <f>_xll.DBRW($C$2,$AV$1,AV$2,$D$18,$D$3,$D60,$E60,$F60,AZ$3)</f>
        <v>0</v>
      </c>
      <c r="BA60" s="48">
        <f t="shared" si="30"/>
        <v>2</v>
      </c>
      <c r="BB60" s="39">
        <f>_xll.DBRW($C$2,$BB$1,BB$2,$D$18,$D$3,$D60,$E60,$F60,BB$3)</f>
        <v>0</v>
      </c>
      <c r="BC60" s="25" cm="1">
        <f t="array" ref="BC60">_xll.DBRW($E$2,BB$1,BB$2,$D$18,$D$3,$D60,$E60,$F60,$F$3,BC$3)</f>
        <v>0</v>
      </c>
      <c r="BD60" s="25">
        <f>_xll.DBRW($C$2,$BB$1,BB$2,$D$18,$D$3,$D60,$E60,$F60,BD$3)</f>
        <v>2</v>
      </c>
      <c r="BE60" s="64">
        <f>_xll.DBRW($C$2,$BB$1,BB$2,$D$18,$D$3,$D60,$E60,$F60,BE$3)</f>
        <v>0</v>
      </c>
      <c r="BF60" s="58">
        <f>_xll.DBRW($C$2,$BB$1,BB$2,$D$18,$D$3,$D60,$E60,$F60,BF$3)</f>
        <v>0</v>
      </c>
      <c r="BG60" s="48">
        <f t="shared" si="31"/>
        <v>0</v>
      </c>
      <c r="BH60" s="39">
        <f>_xll.DBRW($C$2,$BH$1,BH$2,$D$18,$D$3,$D60,$E60,$F60,BH$3)</f>
        <v>0</v>
      </c>
      <c r="BI60" s="25" cm="1">
        <f t="array" ref="BI60">_xll.DBRW($E$2,BH$1,BH$2,$D$18,$D$3,$D60,$E60,$F60,$F$3,BI$3)</f>
        <v>0</v>
      </c>
      <c r="BJ60" s="25">
        <f>_xll.DBRW($C$2,$BH$1,BH$2,$D$18,$D$3,$D60,$E60,$F60,BJ$3)</f>
        <v>2</v>
      </c>
      <c r="BK60" s="64">
        <f>_xll.DBRW($C$2,$BH$1,BH$2,$D$18,$D$3,$D60,$E60,$F60,BK$3)</f>
        <v>0</v>
      </c>
      <c r="BL60" s="58">
        <f>_xll.DBRW($C$2,$BH$1,BH$2,$D$18,$D$3,$D60,$E60,$F60,BL$3)</f>
        <v>0</v>
      </c>
      <c r="BM60" s="48">
        <f t="shared" si="32"/>
        <v>-2</v>
      </c>
      <c r="BN60" s="39">
        <f>_xll.DBRW($C$2,$BN$1,BN$2,$D$18,$D$3,$D60,$E60,$F60,BN$3)</f>
        <v>0</v>
      </c>
      <c r="BO60" s="25" cm="1">
        <f t="array" ref="BO60">_xll.DBRW($E$2,BN$1,BN$2,$D$18,$D$3,$D60,$E60,$F60,$F$3,BO$3)</f>
        <v>0</v>
      </c>
      <c r="BP60" s="25">
        <f>_xll.DBRW($C$2,$BN$1,BN$2,$D$18,$D$3,$D60,$E60,$F60,BP$3)</f>
        <v>2</v>
      </c>
      <c r="BQ60" s="64">
        <f>_xll.DBRW($C$2,$BN$1,BN$2,$D$18,$D$3,$D60,$E60,$F60,BQ$3)</f>
        <v>0</v>
      </c>
      <c r="BR60" s="58">
        <f>_xll.DBRW($C$2,$BN$1,BN$2,$D$18,$D$3,$D60,$E60,$F60,BR$3)</f>
        <v>0</v>
      </c>
      <c r="BS60" s="48">
        <f t="shared" si="33"/>
        <v>-4</v>
      </c>
      <c r="BT60" s="39">
        <f>_xll.DBRW($C$2,$BT$1,BT$2,$D$18,$D$3,$D60,$E60,$F60,BT$3)</f>
        <v>0</v>
      </c>
      <c r="BU60" s="25" cm="1">
        <f t="array" ref="BU60">_xll.DBRW($E$2,BT$1,BT$2,$D$18,$D$3,$D60,$E60,$F60,$F$3,BU$3)</f>
        <v>0</v>
      </c>
      <c r="BV60" s="25">
        <f>_xll.DBRW($C$2,$BT$1,BT$2,$D$18,$D$3,$D60,$E60,$F60,BV$3)</f>
        <v>2</v>
      </c>
      <c r="BW60" s="64">
        <f>_xll.DBRW($C$2,$BT$1,BT$2,$D$18,$D$3,$D60,$E60,$F60,BW$3)</f>
        <v>0</v>
      </c>
      <c r="BX60" s="58">
        <f>_xll.DBRW($C$2,$BT$1,BT$2,$D$18,$D$3,$D60,$E60,$F60,BX$3)</f>
        <v>0</v>
      </c>
      <c r="BY60" s="48">
        <f t="shared" si="34"/>
        <v>-6</v>
      </c>
      <c r="BZ60" s="39">
        <f>_xll.DBRW($C$2,$BZ$1,BZ$2,$D$18,$D$3,$D60,$E60,$F60,BZ$3)</f>
        <v>0</v>
      </c>
      <c r="CA60" s="25" cm="1">
        <f t="array" ref="CA60">_xll.DBRW($E$2,BZ$1,BZ$2,$D$18,$D$3,$D60,$E60,$F60,$F$3,CA$3)</f>
        <v>0</v>
      </c>
      <c r="CB60" s="25">
        <f>_xll.DBRW($C$2,$BZ$1,BZ$2,$D$18,$D$3,$D60,$E60,$F60,CB$3)</f>
        <v>2</v>
      </c>
      <c r="CC60" s="64">
        <f>_xll.DBRW($C$2,$BZ$1,BZ$2,$D$18,$D$3,$D60,$E60,$F60,CC$3)</f>
        <v>0</v>
      </c>
      <c r="CD60" s="58">
        <f>_xll.DBRW($C$2,$BZ$1,BZ$2,$D$18,$D$3,$D60,$E60,$F60,CD$3)</f>
        <v>0</v>
      </c>
      <c r="CE60" s="48">
        <f t="shared" si="35"/>
        <v>-8</v>
      </c>
    </row>
    <row r="61" spans="1:83" s="23" customFormat="1" outlineLevel="1" thickBot="1" x14ac:dyDescent="0.3">
      <c r="A61" s="91" t="str">
        <f>IF(_xll.TM1RPTELISCONSOLIDATED($F$22,$F61),IF(_xll.TM1RPTELLEV($F$22,$F61)&lt;=5,_xll.TM1RPTELLEV($F$22,$F61),"Default"),"Leaf")</f>
        <v>Leaf</v>
      </c>
      <c r="B61" s="24" t="str">
        <f>_xll.DBRW("TM1-S1_DEV:}ElementAttributes_SP_SKU",$D61,B$1)</f>
        <v>Primary</v>
      </c>
      <c r="C61" s="24" t="str">
        <f>_xll.DBRW("TM1-S1_DEV:}ElementAttributes_SP_SKU",$D61,C$1)</f>
        <v>DESSERT</v>
      </c>
      <c r="D61" s="28" t="s">
        <v>384</v>
      </c>
      <c r="E61" s="28" t="s">
        <v>212</v>
      </c>
      <c r="F61" s="28" t="s">
        <v>18</v>
      </c>
      <c r="G61" s="4">
        <f>_xll.DBRW($C$2,$G$19,G$20,$D$18,$D$3,$D61,$E61,$F61,G$3)</f>
        <v>38</v>
      </c>
      <c r="H61" s="54">
        <f t="shared" si="24"/>
        <v>2</v>
      </c>
      <c r="I61" s="4"/>
      <c r="J61" s="25">
        <f>_xll.DBRW($C$2,$J$1,J$2,$D$18,$D$3,$D61,$E61,$F61,J$3)</f>
        <v>40</v>
      </c>
      <c r="K61" s="39">
        <f>_xll.DBRW($C$2,$J$1,J$2,$D$18,$D$3,$D61,$E61,$F61,K$3)</f>
        <v>0</v>
      </c>
      <c r="L61" s="25">
        <f>_xll.DBRW($C$2,$J$1,J$2,$D$18,$D$3,$D61,$E61,$F61,L$3)</f>
        <v>0</v>
      </c>
      <c r="M61" s="25">
        <f>_xll.DBRW($C$2,$J$1,J$2,$D$18,$D$3,$D61,$E61,$F61,M$3)</f>
        <v>0</v>
      </c>
      <c r="N61" s="25">
        <f>_xll.DBRW($C$2,$J$1,J$2,$D$18,$D$3,$D61,$E61,$F61,N$3)</f>
        <v>10</v>
      </c>
      <c r="O61" s="64">
        <f>_xll.DBRW($C$2,$J$1,J$2,$D$18,$D$3,$D61,$E61,$F61,O$3)</f>
        <v>1</v>
      </c>
      <c r="P61" s="58">
        <f>_xll.DBRW($C$2,$J$1,J$2,$D$18,$D$3,$D61,$E61,$F61,P$3)</f>
        <v>0</v>
      </c>
      <c r="Q61" s="48">
        <f>_xll.DBRW($C$2,$J$1,J$2,$D$18,$D$3,$D61,$E61,$F61,Q$3)</f>
        <v>30</v>
      </c>
      <c r="R61" s="39">
        <f>_xll.DBRW($C$2,$R$1,R$2,$D$18,$D$3,$D61,$E61,$F61,R$3)</f>
        <v>0</v>
      </c>
      <c r="S61" s="25" cm="1">
        <f t="array" ref="S61">_xll.DBRW($E$2,R$1,R$2,$D$18,$D$3,$D61,$E61,$F61,$F$3,S$3)</f>
        <v>0</v>
      </c>
      <c r="T61" s="25">
        <f>_xll.DBRW($C$2,$R$1,R$2,$D$18,$D$3,$D61,$E61,$F61,T$3)</f>
        <v>0</v>
      </c>
      <c r="U61" s="64">
        <f>_xll.DBRW($C$2,$R$1,R$2,$D$18,$D$3,$D61,$E61,$F61,U$3)</f>
        <v>0</v>
      </c>
      <c r="V61" s="58">
        <f>_xll.DBRW($C$2,$R$1,R$2,$D$18,$D$3,$D61,$E61,$F61,V$3)</f>
        <v>0</v>
      </c>
      <c r="W61" s="48">
        <f t="shared" si="25"/>
        <v>30</v>
      </c>
      <c r="X61" s="39">
        <f>_xll.DBRW($C$2,$X$1,X$2,$D$18,$D$3,$D61,$E61,$F61,X$3)</f>
        <v>0</v>
      </c>
      <c r="Y61" s="25" cm="1">
        <f t="array" ref="Y61">_xll.DBRW($E$2,X$1,X$2,$D$18,$D$3,$D61,$E61,$F61,$F$3,Y$3)</f>
        <v>0</v>
      </c>
      <c r="Z61" s="25">
        <f>_xll.DBRW($C$2,$X$1,X$2,$D$18,$D$3,$D61,$E61,$F61,Z$3)</f>
        <v>1</v>
      </c>
      <c r="AA61" s="64">
        <f>_xll.DBRW($C$2,$X$1,X$2,$D$18,$D$3,$D61,$E61,$F61,AA$3)</f>
        <v>0</v>
      </c>
      <c r="AB61" s="58">
        <f>_xll.DBRW($C$2,$X$1,X$2,$D$18,$D$3,$D61,$E61,$F61,AB$3)</f>
        <v>0</v>
      </c>
      <c r="AC61" s="48">
        <f t="shared" si="26"/>
        <v>29</v>
      </c>
      <c r="AD61" s="39">
        <f>_xll.DBRW($C$2,$AD$1,AD$2,$D$18,$D$3,$D61,$E61,$F61,AD$3)</f>
        <v>0</v>
      </c>
      <c r="AE61" s="25" cm="1">
        <f t="array" ref="AE61">_xll.DBRW($E$2,AD$1,AD$2,$D$18,$D$3,$D61,$E61,$F61,$F$3,AE$3)</f>
        <v>0</v>
      </c>
      <c r="AF61" s="25">
        <f>_xll.DBRW($C$2,$AD$1,AD$2,$D$18,$D$3,$D61,$E61,$F61,AF$3)</f>
        <v>1</v>
      </c>
      <c r="AG61" s="64">
        <f>_xll.DBRW($C$2,$AD$1,AD$2,$D$18,$D$3,$D61,$E61,$F61,AG$3)</f>
        <v>0</v>
      </c>
      <c r="AH61" s="58">
        <f>_xll.DBRW($C$2,$AD$1,AD$2,$D$18,$D$3,$D61,$E61,$F61,AH$3)</f>
        <v>0</v>
      </c>
      <c r="AI61" s="48">
        <f t="shared" si="27"/>
        <v>28</v>
      </c>
      <c r="AJ61" s="39">
        <f>_xll.DBRW($C$2,$AJ$1,AJ$2,$D$18,$D$3,$D61,$E61,$F61,AJ$3)</f>
        <v>0</v>
      </c>
      <c r="AK61" s="25" cm="1">
        <f t="array" ref="AK61">_xll.DBRW($E$2,AJ$1,AJ$2,$D$18,$D$3,$D61,$E61,$F61,$F$3,AK$3)</f>
        <v>0</v>
      </c>
      <c r="AL61" s="25">
        <f>_xll.DBRW($C$2,$AJ$1,AJ$2,$D$18,$D$3,$D61,$E61,$F61,AL$3)</f>
        <v>1</v>
      </c>
      <c r="AM61" s="64">
        <f>_xll.DBRW($C$2,$AJ$1,AJ$2,$D$18,$D$3,$D61,$E61,$F61,AM$3)</f>
        <v>0</v>
      </c>
      <c r="AN61" s="58">
        <f>_xll.DBRW($C$2,$AJ$1,AJ$2,$D$18,$D$3,$D61,$E61,$F61,AN$3)</f>
        <v>0</v>
      </c>
      <c r="AO61" s="48">
        <f t="shared" si="28"/>
        <v>27</v>
      </c>
      <c r="AP61" s="39">
        <f>_xll.DBRW($C$2,$AP$1,AP$2,$D$18,$D$3,$D61,$E61,$F61,AP$3)</f>
        <v>0</v>
      </c>
      <c r="AQ61" s="25" cm="1">
        <f t="array" ref="AQ61">_xll.DBRW($E$2,AP$1,AP$2,$D$18,$D$3,$D61,$E61,$F61,$F$3,AQ$3)</f>
        <v>0</v>
      </c>
      <c r="AR61" s="25">
        <f>_xll.DBRW($C$2,$AP$1,AP$2,$D$18,$D$3,$D61,$E61,$F61,AR$3)</f>
        <v>1</v>
      </c>
      <c r="AS61" s="64">
        <f>_xll.DBRW($C$2,$AP$1,AP$2,$D$18,$D$3,$D61,$E61,$F61,AS$3)</f>
        <v>0</v>
      </c>
      <c r="AT61" s="58">
        <f>_xll.DBRW($C$2,$AP$1,AP$2,$D$18,$D$3,$D61,$E61,$F61,AT$3)</f>
        <v>0</v>
      </c>
      <c r="AU61" s="48">
        <f t="shared" si="29"/>
        <v>26</v>
      </c>
      <c r="AV61" s="39">
        <f>_xll.DBRW($C$2,$AV$1,AV$2,$D$18,$D$3,$D61,$E61,$F61,AV$3)</f>
        <v>0</v>
      </c>
      <c r="AW61" s="25" cm="1">
        <f t="array" ref="AW61">_xll.DBRW($E$2,AV$1,AV$2,$D$18,$D$3,$D61,$E61,$F61,$F$3,AW$3)</f>
        <v>0</v>
      </c>
      <c r="AX61" s="25">
        <f>_xll.DBRW($C$2,$AV$1,AV$2,$D$18,$D$3,$D61,$E61,$F61,AX$3)</f>
        <v>1</v>
      </c>
      <c r="AY61" s="64">
        <f>_xll.DBRW($C$2,$AV$1,AV$2,$D$18,$D$3,$D61,$E61,$F61,AY$3)</f>
        <v>0</v>
      </c>
      <c r="AZ61" s="58">
        <f>_xll.DBRW($C$2,$AV$1,AV$2,$D$18,$D$3,$D61,$E61,$F61,AZ$3)</f>
        <v>0</v>
      </c>
      <c r="BA61" s="48">
        <f t="shared" si="30"/>
        <v>25</v>
      </c>
      <c r="BB61" s="39">
        <f>_xll.DBRW($C$2,$BB$1,BB$2,$D$18,$D$3,$D61,$E61,$F61,BB$3)</f>
        <v>0</v>
      </c>
      <c r="BC61" s="25" cm="1">
        <f t="array" ref="BC61">_xll.DBRW($E$2,BB$1,BB$2,$D$18,$D$3,$D61,$E61,$F61,$F$3,BC$3)</f>
        <v>0</v>
      </c>
      <c r="BD61" s="25">
        <f>_xll.DBRW($C$2,$BB$1,BB$2,$D$18,$D$3,$D61,$E61,$F61,BD$3)</f>
        <v>1</v>
      </c>
      <c r="BE61" s="64">
        <f>_xll.DBRW($C$2,$BB$1,BB$2,$D$18,$D$3,$D61,$E61,$F61,BE$3)</f>
        <v>0</v>
      </c>
      <c r="BF61" s="58">
        <f>_xll.DBRW($C$2,$BB$1,BB$2,$D$18,$D$3,$D61,$E61,$F61,BF$3)</f>
        <v>0</v>
      </c>
      <c r="BG61" s="48">
        <f t="shared" si="31"/>
        <v>24</v>
      </c>
      <c r="BH61" s="39">
        <f>_xll.DBRW($C$2,$BH$1,BH$2,$D$18,$D$3,$D61,$E61,$F61,BH$3)</f>
        <v>0</v>
      </c>
      <c r="BI61" s="25" cm="1">
        <f t="array" ref="BI61">_xll.DBRW($E$2,BH$1,BH$2,$D$18,$D$3,$D61,$E61,$F61,$F$3,BI$3)</f>
        <v>0</v>
      </c>
      <c r="BJ61" s="25">
        <f>_xll.DBRW($C$2,$BH$1,BH$2,$D$18,$D$3,$D61,$E61,$F61,BJ$3)</f>
        <v>1</v>
      </c>
      <c r="BK61" s="64">
        <f>_xll.DBRW($C$2,$BH$1,BH$2,$D$18,$D$3,$D61,$E61,$F61,BK$3)</f>
        <v>0</v>
      </c>
      <c r="BL61" s="58">
        <f>_xll.DBRW($C$2,$BH$1,BH$2,$D$18,$D$3,$D61,$E61,$F61,BL$3)</f>
        <v>0</v>
      </c>
      <c r="BM61" s="48">
        <f t="shared" si="32"/>
        <v>23</v>
      </c>
      <c r="BN61" s="39">
        <f>_xll.DBRW($C$2,$BN$1,BN$2,$D$18,$D$3,$D61,$E61,$F61,BN$3)</f>
        <v>0</v>
      </c>
      <c r="BO61" s="25" cm="1">
        <f t="array" ref="BO61">_xll.DBRW($E$2,BN$1,BN$2,$D$18,$D$3,$D61,$E61,$F61,$F$3,BO$3)</f>
        <v>0</v>
      </c>
      <c r="BP61" s="25">
        <f>_xll.DBRW($C$2,$BN$1,BN$2,$D$18,$D$3,$D61,$E61,$F61,BP$3)</f>
        <v>1</v>
      </c>
      <c r="BQ61" s="64">
        <f>_xll.DBRW($C$2,$BN$1,BN$2,$D$18,$D$3,$D61,$E61,$F61,BQ$3)</f>
        <v>0</v>
      </c>
      <c r="BR61" s="58">
        <f>_xll.DBRW($C$2,$BN$1,BN$2,$D$18,$D$3,$D61,$E61,$F61,BR$3)</f>
        <v>0</v>
      </c>
      <c r="BS61" s="48">
        <f t="shared" si="33"/>
        <v>22</v>
      </c>
      <c r="BT61" s="39">
        <f>_xll.DBRW($C$2,$BT$1,BT$2,$D$18,$D$3,$D61,$E61,$F61,BT$3)</f>
        <v>0</v>
      </c>
      <c r="BU61" s="25" cm="1">
        <f t="array" ref="BU61">_xll.DBRW($E$2,BT$1,BT$2,$D$18,$D$3,$D61,$E61,$F61,$F$3,BU$3)</f>
        <v>0</v>
      </c>
      <c r="BV61" s="25">
        <f>_xll.DBRW($C$2,$BT$1,BT$2,$D$18,$D$3,$D61,$E61,$F61,BV$3)</f>
        <v>1</v>
      </c>
      <c r="BW61" s="64">
        <f>_xll.DBRW($C$2,$BT$1,BT$2,$D$18,$D$3,$D61,$E61,$F61,BW$3)</f>
        <v>0</v>
      </c>
      <c r="BX61" s="58">
        <f>_xll.DBRW($C$2,$BT$1,BT$2,$D$18,$D$3,$D61,$E61,$F61,BX$3)</f>
        <v>0</v>
      </c>
      <c r="BY61" s="48">
        <f t="shared" si="34"/>
        <v>21</v>
      </c>
      <c r="BZ61" s="39">
        <f>_xll.DBRW($C$2,$BZ$1,BZ$2,$D$18,$D$3,$D61,$E61,$F61,BZ$3)</f>
        <v>0</v>
      </c>
      <c r="CA61" s="25" cm="1">
        <f t="array" ref="CA61">_xll.DBRW($E$2,BZ$1,BZ$2,$D$18,$D$3,$D61,$E61,$F61,$F$3,CA$3)</f>
        <v>0</v>
      </c>
      <c r="CB61" s="25">
        <f>_xll.DBRW($C$2,$BZ$1,BZ$2,$D$18,$D$3,$D61,$E61,$F61,CB$3)</f>
        <v>1</v>
      </c>
      <c r="CC61" s="64">
        <f>_xll.DBRW($C$2,$BZ$1,BZ$2,$D$18,$D$3,$D61,$E61,$F61,CC$3)</f>
        <v>0</v>
      </c>
      <c r="CD61" s="58">
        <f>_xll.DBRW($C$2,$BZ$1,BZ$2,$D$18,$D$3,$D61,$E61,$F61,CD$3)</f>
        <v>0</v>
      </c>
      <c r="CE61" s="48">
        <f t="shared" si="35"/>
        <v>20</v>
      </c>
    </row>
    <row r="62" spans="1:83" s="23" customFormat="1" outlineLevel="1" thickBot="1" x14ac:dyDescent="0.3">
      <c r="A62" s="91" t="str">
        <f>IF(_xll.TM1RPTELISCONSOLIDATED($F$22,$F62),IF(_xll.TM1RPTELLEV($F$22,$F62)&lt;=5,_xll.TM1RPTELLEV($F$22,$F62),"Default"),"Leaf")</f>
        <v>Leaf</v>
      </c>
      <c r="B62" s="24" t="str">
        <f>_xll.DBRW("TM1-S1_DEV:}ElementAttributes_SP_SKU",$D62,B$1)</f>
        <v>Primary</v>
      </c>
      <c r="C62" s="24" t="str">
        <f>_xll.DBRW("TM1-S1_DEV:}ElementAttributes_SP_SKU",$D62,C$1)</f>
        <v>DESSERT</v>
      </c>
      <c r="D62" s="28" t="s">
        <v>385</v>
      </c>
      <c r="E62" s="28" t="s">
        <v>213</v>
      </c>
      <c r="F62" s="28" t="s">
        <v>18</v>
      </c>
      <c r="G62" s="4">
        <f>_xll.DBRW($C$2,$G$19,G$20,$D$18,$D$3,$D62,$E62,$F62,G$3)</f>
        <v>39</v>
      </c>
      <c r="H62" s="54">
        <f t="shared" si="24"/>
        <v>7</v>
      </c>
      <c r="I62" s="4"/>
      <c r="J62" s="25">
        <f>_xll.DBRW($C$2,$J$1,J$2,$D$18,$D$3,$D62,$E62,$F62,J$3)</f>
        <v>46</v>
      </c>
      <c r="K62" s="39">
        <f>_xll.DBRW($C$2,$J$1,J$2,$D$18,$D$3,$D62,$E62,$F62,K$3)</f>
        <v>0</v>
      </c>
      <c r="L62" s="25">
        <f>_xll.DBRW($C$2,$J$1,J$2,$D$18,$D$3,$D62,$E62,$F62,L$3)</f>
        <v>0</v>
      </c>
      <c r="M62" s="25">
        <f>_xll.DBRW($C$2,$J$1,J$2,$D$18,$D$3,$D62,$E62,$F62,M$3)</f>
        <v>0</v>
      </c>
      <c r="N62" s="25">
        <f>_xll.DBRW($C$2,$J$1,J$2,$D$18,$D$3,$D62,$E62,$F62,N$3)</f>
        <v>13</v>
      </c>
      <c r="O62" s="64">
        <f>_xll.DBRW($C$2,$J$1,J$2,$D$18,$D$3,$D62,$E62,$F62,O$3)</f>
        <v>1</v>
      </c>
      <c r="P62" s="58">
        <f>_xll.DBRW($C$2,$J$1,J$2,$D$18,$D$3,$D62,$E62,$F62,P$3)</f>
        <v>0</v>
      </c>
      <c r="Q62" s="48">
        <f>_xll.DBRW($C$2,$J$1,J$2,$D$18,$D$3,$D62,$E62,$F62,Q$3)</f>
        <v>33</v>
      </c>
      <c r="R62" s="39">
        <f>_xll.DBRW($C$2,$R$1,R$2,$D$18,$D$3,$D62,$E62,$F62,R$3)</f>
        <v>0</v>
      </c>
      <c r="S62" s="25" cm="1">
        <f t="array" ref="S62">_xll.DBRW($E$2,R$1,R$2,$D$18,$D$3,$D62,$E62,$F62,$F$3,S$3)</f>
        <v>0</v>
      </c>
      <c r="T62" s="25">
        <f>_xll.DBRW($C$2,$R$1,R$2,$D$18,$D$3,$D62,$E62,$F62,T$3)</f>
        <v>0</v>
      </c>
      <c r="U62" s="64">
        <f>_xll.DBRW($C$2,$R$1,R$2,$D$18,$D$3,$D62,$E62,$F62,U$3)</f>
        <v>0</v>
      </c>
      <c r="V62" s="58">
        <f>_xll.DBRW($C$2,$R$1,R$2,$D$18,$D$3,$D62,$E62,$F62,V$3)</f>
        <v>0</v>
      </c>
      <c r="W62" s="48">
        <f t="shared" si="25"/>
        <v>33</v>
      </c>
      <c r="X62" s="39">
        <f>_xll.DBRW($C$2,$X$1,X$2,$D$18,$D$3,$D62,$E62,$F62,X$3)</f>
        <v>0</v>
      </c>
      <c r="Y62" s="25" cm="1">
        <f t="array" ref="Y62">_xll.DBRW($E$2,X$1,X$2,$D$18,$D$3,$D62,$E62,$F62,$F$3,Y$3)</f>
        <v>0</v>
      </c>
      <c r="Z62" s="25">
        <f>_xll.DBRW($C$2,$X$1,X$2,$D$18,$D$3,$D62,$E62,$F62,Z$3)</f>
        <v>2</v>
      </c>
      <c r="AA62" s="64">
        <f>_xll.DBRW($C$2,$X$1,X$2,$D$18,$D$3,$D62,$E62,$F62,AA$3)</f>
        <v>0</v>
      </c>
      <c r="AB62" s="58">
        <f>_xll.DBRW($C$2,$X$1,X$2,$D$18,$D$3,$D62,$E62,$F62,AB$3)</f>
        <v>0</v>
      </c>
      <c r="AC62" s="48">
        <f t="shared" si="26"/>
        <v>31</v>
      </c>
      <c r="AD62" s="39">
        <f>_xll.DBRW($C$2,$AD$1,AD$2,$D$18,$D$3,$D62,$E62,$F62,AD$3)</f>
        <v>0</v>
      </c>
      <c r="AE62" s="25" cm="1">
        <f t="array" ref="AE62">_xll.DBRW($E$2,AD$1,AD$2,$D$18,$D$3,$D62,$E62,$F62,$F$3,AE$3)</f>
        <v>0</v>
      </c>
      <c r="AF62" s="25">
        <f>_xll.DBRW($C$2,$AD$1,AD$2,$D$18,$D$3,$D62,$E62,$F62,AF$3)</f>
        <v>2</v>
      </c>
      <c r="AG62" s="64">
        <f>_xll.DBRW($C$2,$AD$1,AD$2,$D$18,$D$3,$D62,$E62,$F62,AG$3)</f>
        <v>0</v>
      </c>
      <c r="AH62" s="58">
        <f>_xll.DBRW($C$2,$AD$1,AD$2,$D$18,$D$3,$D62,$E62,$F62,AH$3)</f>
        <v>0</v>
      </c>
      <c r="AI62" s="48">
        <f t="shared" si="27"/>
        <v>29</v>
      </c>
      <c r="AJ62" s="39">
        <f>_xll.DBRW($C$2,$AJ$1,AJ$2,$D$18,$D$3,$D62,$E62,$F62,AJ$3)</f>
        <v>0</v>
      </c>
      <c r="AK62" s="25" cm="1">
        <f t="array" ref="AK62">_xll.DBRW($E$2,AJ$1,AJ$2,$D$18,$D$3,$D62,$E62,$F62,$F$3,AK$3)</f>
        <v>0</v>
      </c>
      <c r="AL62" s="25">
        <f>_xll.DBRW($C$2,$AJ$1,AJ$2,$D$18,$D$3,$D62,$E62,$F62,AL$3)</f>
        <v>2</v>
      </c>
      <c r="AM62" s="64">
        <f>_xll.DBRW($C$2,$AJ$1,AJ$2,$D$18,$D$3,$D62,$E62,$F62,AM$3)</f>
        <v>0</v>
      </c>
      <c r="AN62" s="58">
        <f>_xll.DBRW($C$2,$AJ$1,AJ$2,$D$18,$D$3,$D62,$E62,$F62,AN$3)</f>
        <v>0</v>
      </c>
      <c r="AO62" s="48">
        <f t="shared" si="28"/>
        <v>27</v>
      </c>
      <c r="AP62" s="39">
        <f>_xll.DBRW($C$2,$AP$1,AP$2,$D$18,$D$3,$D62,$E62,$F62,AP$3)</f>
        <v>0</v>
      </c>
      <c r="AQ62" s="25" cm="1">
        <f t="array" ref="AQ62">_xll.DBRW($E$2,AP$1,AP$2,$D$18,$D$3,$D62,$E62,$F62,$F$3,AQ$3)</f>
        <v>0</v>
      </c>
      <c r="AR62" s="25">
        <f>_xll.DBRW($C$2,$AP$1,AP$2,$D$18,$D$3,$D62,$E62,$F62,AR$3)</f>
        <v>2</v>
      </c>
      <c r="AS62" s="64">
        <f>_xll.DBRW($C$2,$AP$1,AP$2,$D$18,$D$3,$D62,$E62,$F62,AS$3)</f>
        <v>0</v>
      </c>
      <c r="AT62" s="58">
        <f>_xll.DBRW($C$2,$AP$1,AP$2,$D$18,$D$3,$D62,$E62,$F62,AT$3)</f>
        <v>0</v>
      </c>
      <c r="AU62" s="48">
        <f t="shared" si="29"/>
        <v>25</v>
      </c>
      <c r="AV62" s="39">
        <f>_xll.DBRW($C$2,$AV$1,AV$2,$D$18,$D$3,$D62,$E62,$F62,AV$3)</f>
        <v>0</v>
      </c>
      <c r="AW62" s="25" cm="1">
        <f t="array" ref="AW62">_xll.DBRW($E$2,AV$1,AV$2,$D$18,$D$3,$D62,$E62,$F62,$F$3,AW$3)</f>
        <v>0</v>
      </c>
      <c r="AX62" s="25">
        <f>_xll.DBRW($C$2,$AV$1,AV$2,$D$18,$D$3,$D62,$E62,$F62,AX$3)</f>
        <v>2</v>
      </c>
      <c r="AY62" s="64">
        <f>_xll.DBRW($C$2,$AV$1,AV$2,$D$18,$D$3,$D62,$E62,$F62,AY$3)</f>
        <v>0</v>
      </c>
      <c r="AZ62" s="58">
        <f>_xll.DBRW($C$2,$AV$1,AV$2,$D$18,$D$3,$D62,$E62,$F62,AZ$3)</f>
        <v>0</v>
      </c>
      <c r="BA62" s="48">
        <f t="shared" si="30"/>
        <v>23</v>
      </c>
      <c r="BB62" s="39">
        <f>_xll.DBRW($C$2,$BB$1,BB$2,$D$18,$D$3,$D62,$E62,$F62,BB$3)</f>
        <v>0</v>
      </c>
      <c r="BC62" s="25" cm="1">
        <f t="array" ref="BC62">_xll.DBRW($E$2,BB$1,BB$2,$D$18,$D$3,$D62,$E62,$F62,$F$3,BC$3)</f>
        <v>0</v>
      </c>
      <c r="BD62" s="25">
        <f>_xll.DBRW($C$2,$BB$1,BB$2,$D$18,$D$3,$D62,$E62,$F62,BD$3)</f>
        <v>2</v>
      </c>
      <c r="BE62" s="64">
        <f>_xll.DBRW($C$2,$BB$1,BB$2,$D$18,$D$3,$D62,$E62,$F62,BE$3)</f>
        <v>0</v>
      </c>
      <c r="BF62" s="58">
        <f>_xll.DBRW($C$2,$BB$1,BB$2,$D$18,$D$3,$D62,$E62,$F62,BF$3)</f>
        <v>0</v>
      </c>
      <c r="BG62" s="48">
        <f t="shared" si="31"/>
        <v>21</v>
      </c>
      <c r="BH62" s="39">
        <f>_xll.DBRW($C$2,$BH$1,BH$2,$D$18,$D$3,$D62,$E62,$F62,BH$3)</f>
        <v>0</v>
      </c>
      <c r="BI62" s="25" cm="1">
        <f t="array" ref="BI62">_xll.DBRW($E$2,BH$1,BH$2,$D$18,$D$3,$D62,$E62,$F62,$F$3,BI$3)</f>
        <v>0</v>
      </c>
      <c r="BJ62" s="25">
        <f>_xll.DBRW($C$2,$BH$1,BH$2,$D$18,$D$3,$D62,$E62,$F62,BJ$3)</f>
        <v>2</v>
      </c>
      <c r="BK62" s="64">
        <f>_xll.DBRW($C$2,$BH$1,BH$2,$D$18,$D$3,$D62,$E62,$F62,BK$3)</f>
        <v>0</v>
      </c>
      <c r="BL62" s="58">
        <f>_xll.DBRW($C$2,$BH$1,BH$2,$D$18,$D$3,$D62,$E62,$F62,BL$3)</f>
        <v>0</v>
      </c>
      <c r="BM62" s="48">
        <f t="shared" si="32"/>
        <v>19</v>
      </c>
      <c r="BN62" s="39">
        <f>_xll.DBRW($C$2,$BN$1,BN$2,$D$18,$D$3,$D62,$E62,$F62,BN$3)</f>
        <v>0</v>
      </c>
      <c r="BO62" s="25" cm="1">
        <f t="array" ref="BO62">_xll.DBRW($E$2,BN$1,BN$2,$D$18,$D$3,$D62,$E62,$F62,$F$3,BO$3)</f>
        <v>0</v>
      </c>
      <c r="BP62" s="25">
        <f>_xll.DBRW($C$2,$BN$1,BN$2,$D$18,$D$3,$D62,$E62,$F62,BP$3)</f>
        <v>2</v>
      </c>
      <c r="BQ62" s="64">
        <f>_xll.DBRW($C$2,$BN$1,BN$2,$D$18,$D$3,$D62,$E62,$F62,BQ$3)</f>
        <v>0</v>
      </c>
      <c r="BR62" s="58">
        <f>_xll.DBRW($C$2,$BN$1,BN$2,$D$18,$D$3,$D62,$E62,$F62,BR$3)</f>
        <v>0</v>
      </c>
      <c r="BS62" s="48">
        <f t="shared" si="33"/>
        <v>17</v>
      </c>
      <c r="BT62" s="39">
        <f>_xll.DBRW($C$2,$BT$1,BT$2,$D$18,$D$3,$D62,$E62,$F62,BT$3)</f>
        <v>0</v>
      </c>
      <c r="BU62" s="25" cm="1">
        <f t="array" ref="BU62">_xll.DBRW($E$2,BT$1,BT$2,$D$18,$D$3,$D62,$E62,$F62,$F$3,BU$3)</f>
        <v>0</v>
      </c>
      <c r="BV62" s="25">
        <f>_xll.DBRW($C$2,$BT$1,BT$2,$D$18,$D$3,$D62,$E62,$F62,BV$3)</f>
        <v>2</v>
      </c>
      <c r="BW62" s="64">
        <f>_xll.DBRW($C$2,$BT$1,BT$2,$D$18,$D$3,$D62,$E62,$F62,BW$3)</f>
        <v>0</v>
      </c>
      <c r="BX62" s="58">
        <f>_xll.DBRW($C$2,$BT$1,BT$2,$D$18,$D$3,$D62,$E62,$F62,BX$3)</f>
        <v>0</v>
      </c>
      <c r="BY62" s="48">
        <f t="shared" si="34"/>
        <v>15</v>
      </c>
      <c r="BZ62" s="39">
        <f>_xll.DBRW($C$2,$BZ$1,BZ$2,$D$18,$D$3,$D62,$E62,$F62,BZ$3)</f>
        <v>0</v>
      </c>
      <c r="CA62" s="25" cm="1">
        <f t="array" ref="CA62">_xll.DBRW($E$2,BZ$1,BZ$2,$D$18,$D$3,$D62,$E62,$F62,$F$3,CA$3)</f>
        <v>0</v>
      </c>
      <c r="CB62" s="25">
        <f>_xll.DBRW($C$2,$BZ$1,BZ$2,$D$18,$D$3,$D62,$E62,$F62,CB$3)</f>
        <v>2</v>
      </c>
      <c r="CC62" s="64">
        <f>_xll.DBRW($C$2,$BZ$1,BZ$2,$D$18,$D$3,$D62,$E62,$F62,CC$3)</f>
        <v>0</v>
      </c>
      <c r="CD62" s="58">
        <f>_xll.DBRW($C$2,$BZ$1,BZ$2,$D$18,$D$3,$D62,$E62,$F62,CD$3)</f>
        <v>0</v>
      </c>
      <c r="CE62" s="48">
        <f t="shared" si="35"/>
        <v>13</v>
      </c>
    </row>
    <row r="63" spans="1:83" s="23" customFormat="1" outlineLevel="1" thickBot="1" x14ac:dyDescent="0.3">
      <c r="A63" s="91" t="str">
        <f>IF(_xll.TM1RPTELISCONSOLIDATED($F$22,$F63),IF(_xll.TM1RPTELLEV($F$22,$F63)&lt;=5,_xll.TM1RPTELLEV($F$22,$F63),"Default"),"Leaf")</f>
        <v>Leaf</v>
      </c>
      <c r="B63" s="24" t="str">
        <f>_xll.DBRW("TM1-S1_DEV:}ElementAttributes_SP_SKU",$D63,B$1)</f>
        <v>Primary</v>
      </c>
      <c r="C63" s="24" t="str">
        <f>_xll.DBRW("TM1-S1_DEV:}ElementAttributes_SP_SKU",$D63,C$1)</f>
        <v>PIE</v>
      </c>
      <c r="D63" s="28" t="s">
        <v>386</v>
      </c>
      <c r="E63" s="28" t="s">
        <v>338</v>
      </c>
      <c r="F63" s="28" t="s">
        <v>16</v>
      </c>
      <c r="G63" s="4">
        <f>_xll.DBRW($C$2,$G$19,G$20,$D$18,$D$3,$D63,$E63,$F63,G$3)</f>
        <v>0</v>
      </c>
      <c r="H63" s="54">
        <f t="shared" si="24"/>
        <v>0</v>
      </c>
      <c r="I63" s="4"/>
      <c r="J63" s="25">
        <f>_xll.DBRW($C$2,$J$1,J$2,$D$18,$D$3,$D63,$E63,$F63,J$3)</f>
        <v>0</v>
      </c>
      <c r="K63" s="39">
        <f>_xll.DBRW($C$2,$J$1,J$2,$D$18,$D$3,$D63,$E63,$F63,K$3)</f>
        <v>0</v>
      </c>
      <c r="L63" s="25">
        <f>_xll.DBRW($C$2,$J$1,J$2,$D$18,$D$3,$D63,$E63,$F63,L$3)</f>
        <v>0</v>
      </c>
      <c r="M63" s="25">
        <f>_xll.DBRW($C$2,$J$1,J$2,$D$18,$D$3,$D63,$E63,$F63,M$3)</f>
        <v>0</v>
      </c>
      <c r="N63" s="25">
        <f>_xll.DBRW($C$2,$J$1,J$2,$D$18,$D$3,$D63,$E63,$F63,N$3)</f>
        <v>1</v>
      </c>
      <c r="O63" s="64">
        <f>_xll.DBRW($C$2,$J$1,J$2,$D$18,$D$3,$D63,$E63,$F63,O$3)</f>
        <v>1</v>
      </c>
      <c r="P63" s="58">
        <f>_xll.DBRW($C$2,$J$1,J$2,$D$18,$D$3,$D63,$E63,$F63,P$3)</f>
        <v>0</v>
      </c>
      <c r="Q63" s="48">
        <f>_xll.DBRW($C$2,$J$1,J$2,$D$18,$D$3,$D63,$E63,$F63,Q$3)</f>
        <v>-1</v>
      </c>
      <c r="R63" s="39">
        <f>_xll.DBRW($C$2,$R$1,R$2,$D$18,$D$3,$D63,$E63,$F63,R$3)</f>
        <v>0</v>
      </c>
      <c r="S63" s="25" cm="1">
        <f t="array" ref="S63">_xll.DBRW($E$2,R$1,R$2,$D$18,$D$3,$D63,$E63,$F63,$F$3,S$3)</f>
        <v>0</v>
      </c>
      <c r="T63" s="25">
        <f>_xll.DBRW($C$2,$R$1,R$2,$D$18,$D$3,$D63,$E63,$F63,T$3)</f>
        <v>0</v>
      </c>
      <c r="U63" s="64">
        <f>_xll.DBRW($C$2,$R$1,R$2,$D$18,$D$3,$D63,$E63,$F63,U$3)</f>
        <v>0</v>
      </c>
      <c r="V63" s="58">
        <f>_xll.DBRW($C$2,$R$1,R$2,$D$18,$D$3,$D63,$E63,$F63,V$3)</f>
        <v>0</v>
      </c>
      <c r="W63" s="48">
        <f t="shared" si="25"/>
        <v>-1</v>
      </c>
      <c r="X63" s="39">
        <f>_xll.DBRW($C$2,$X$1,X$2,$D$18,$D$3,$D63,$E63,$F63,X$3)</f>
        <v>0</v>
      </c>
      <c r="Y63" s="25" cm="1">
        <f t="array" ref="Y63">_xll.DBRW($E$2,X$1,X$2,$D$18,$D$3,$D63,$E63,$F63,$F$3,Y$3)</f>
        <v>0</v>
      </c>
      <c r="Z63" s="25">
        <f>_xll.DBRW($C$2,$X$1,X$2,$D$18,$D$3,$D63,$E63,$F63,Z$3)</f>
        <v>0</v>
      </c>
      <c r="AA63" s="64">
        <f>_xll.DBRW($C$2,$X$1,X$2,$D$18,$D$3,$D63,$E63,$F63,AA$3)</f>
        <v>0</v>
      </c>
      <c r="AB63" s="58">
        <f>_xll.DBRW($C$2,$X$1,X$2,$D$18,$D$3,$D63,$E63,$F63,AB$3)</f>
        <v>0</v>
      </c>
      <c r="AC63" s="48">
        <f t="shared" si="26"/>
        <v>-1</v>
      </c>
      <c r="AD63" s="39">
        <f>_xll.DBRW($C$2,$AD$1,AD$2,$D$18,$D$3,$D63,$E63,$F63,AD$3)</f>
        <v>0</v>
      </c>
      <c r="AE63" s="25" cm="1">
        <f t="array" ref="AE63">_xll.DBRW($E$2,AD$1,AD$2,$D$18,$D$3,$D63,$E63,$F63,$F$3,AE$3)</f>
        <v>0</v>
      </c>
      <c r="AF63" s="25">
        <f>_xll.DBRW($C$2,$AD$1,AD$2,$D$18,$D$3,$D63,$E63,$F63,AF$3)</f>
        <v>0</v>
      </c>
      <c r="AG63" s="64">
        <f>_xll.DBRW($C$2,$AD$1,AD$2,$D$18,$D$3,$D63,$E63,$F63,AG$3)</f>
        <v>0</v>
      </c>
      <c r="AH63" s="58">
        <f>_xll.DBRW($C$2,$AD$1,AD$2,$D$18,$D$3,$D63,$E63,$F63,AH$3)</f>
        <v>0</v>
      </c>
      <c r="AI63" s="48">
        <f t="shared" si="27"/>
        <v>-1</v>
      </c>
      <c r="AJ63" s="39">
        <f>_xll.DBRW($C$2,$AJ$1,AJ$2,$D$18,$D$3,$D63,$E63,$F63,AJ$3)</f>
        <v>0</v>
      </c>
      <c r="AK63" s="25" cm="1">
        <f t="array" ref="AK63">_xll.DBRW($E$2,AJ$1,AJ$2,$D$18,$D$3,$D63,$E63,$F63,$F$3,AK$3)</f>
        <v>0</v>
      </c>
      <c r="AL63" s="25">
        <f>_xll.DBRW($C$2,$AJ$1,AJ$2,$D$18,$D$3,$D63,$E63,$F63,AL$3)</f>
        <v>0</v>
      </c>
      <c r="AM63" s="64">
        <f>_xll.DBRW($C$2,$AJ$1,AJ$2,$D$18,$D$3,$D63,$E63,$F63,AM$3)</f>
        <v>0</v>
      </c>
      <c r="AN63" s="58">
        <f>_xll.DBRW($C$2,$AJ$1,AJ$2,$D$18,$D$3,$D63,$E63,$F63,AN$3)</f>
        <v>0</v>
      </c>
      <c r="AO63" s="48">
        <f t="shared" si="28"/>
        <v>-1</v>
      </c>
      <c r="AP63" s="39">
        <f>_xll.DBRW($C$2,$AP$1,AP$2,$D$18,$D$3,$D63,$E63,$F63,AP$3)</f>
        <v>0</v>
      </c>
      <c r="AQ63" s="25" cm="1">
        <f t="array" ref="AQ63">_xll.DBRW($E$2,AP$1,AP$2,$D$18,$D$3,$D63,$E63,$F63,$F$3,AQ$3)</f>
        <v>0</v>
      </c>
      <c r="AR63" s="25">
        <f>_xll.DBRW($C$2,$AP$1,AP$2,$D$18,$D$3,$D63,$E63,$F63,AR$3)</f>
        <v>0</v>
      </c>
      <c r="AS63" s="64">
        <f>_xll.DBRW($C$2,$AP$1,AP$2,$D$18,$D$3,$D63,$E63,$F63,AS$3)</f>
        <v>0</v>
      </c>
      <c r="AT63" s="58">
        <f>_xll.DBRW($C$2,$AP$1,AP$2,$D$18,$D$3,$D63,$E63,$F63,AT$3)</f>
        <v>0</v>
      </c>
      <c r="AU63" s="48">
        <f t="shared" si="29"/>
        <v>-1</v>
      </c>
      <c r="AV63" s="39">
        <f>_xll.DBRW($C$2,$AV$1,AV$2,$D$18,$D$3,$D63,$E63,$F63,AV$3)</f>
        <v>0</v>
      </c>
      <c r="AW63" s="25" cm="1">
        <f t="array" ref="AW63">_xll.DBRW($E$2,AV$1,AV$2,$D$18,$D$3,$D63,$E63,$F63,$F$3,AW$3)</f>
        <v>0</v>
      </c>
      <c r="AX63" s="25">
        <f>_xll.DBRW($C$2,$AV$1,AV$2,$D$18,$D$3,$D63,$E63,$F63,AX$3)</f>
        <v>0</v>
      </c>
      <c r="AY63" s="64">
        <f>_xll.DBRW($C$2,$AV$1,AV$2,$D$18,$D$3,$D63,$E63,$F63,AY$3)</f>
        <v>0</v>
      </c>
      <c r="AZ63" s="58">
        <f>_xll.DBRW($C$2,$AV$1,AV$2,$D$18,$D$3,$D63,$E63,$F63,AZ$3)</f>
        <v>0</v>
      </c>
      <c r="BA63" s="48">
        <f t="shared" si="30"/>
        <v>-1</v>
      </c>
      <c r="BB63" s="39">
        <f>_xll.DBRW($C$2,$BB$1,BB$2,$D$18,$D$3,$D63,$E63,$F63,BB$3)</f>
        <v>0</v>
      </c>
      <c r="BC63" s="25" cm="1">
        <f t="array" ref="BC63">_xll.DBRW($E$2,BB$1,BB$2,$D$18,$D$3,$D63,$E63,$F63,$F$3,BC$3)</f>
        <v>0</v>
      </c>
      <c r="BD63" s="25">
        <f>_xll.DBRW($C$2,$BB$1,BB$2,$D$18,$D$3,$D63,$E63,$F63,BD$3)</f>
        <v>0</v>
      </c>
      <c r="BE63" s="64">
        <f>_xll.DBRW($C$2,$BB$1,BB$2,$D$18,$D$3,$D63,$E63,$F63,BE$3)</f>
        <v>0</v>
      </c>
      <c r="BF63" s="58">
        <f>_xll.DBRW($C$2,$BB$1,BB$2,$D$18,$D$3,$D63,$E63,$F63,BF$3)</f>
        <v>0</v>
      </c>
      <c r="BG63" s="48">
        <f t="shared" si="31"/>
        <v>-1</v>
      </c>
      <c r="BH63" s="39">
        <f>_xll.DBRW($C$2,$BH$1,BH$2,$D$18,$D$3,$D63,$E63,$F63,BH$3)</f>
        <v>0</v>
      </c>
      <c r="BI63" s="25" cm="1">
        <f t="array" ref="BI63">_xll.DBRW($E$2,BH$1,BH$2,$D$18,$D$3,$D63,$E63,$F63,$F$3,BI$3)</f>
        <v>0</v>
      </c>
      <c r="BJ63" s="25">
        <f>_xll.DBRW($C$2,$BH$1,BH$2,$D$18,$D$3,$D63,$E63,$F63,BJ$3)</f>
        <v>0</v>
      </c>
      <c r="BK63" s="64">
        <f>_xll.DBRW($C$2,$BH$1,BH$2,$D$18,$D$3,$D63,$E63,$F63,BK$3)</f>
        <v>0</v>
      </c>
      <c r="BL63" s="58">
        <f>_xll.DBRW($C$2,$BH$1,BH$2,$D$18,$D$3,$D63,$E63,$F63,BL$3)</f>
        <v>0</v>
      </c>
      <c r="BM63" s="48">
        <f t="shared" si="32"/>
        <v>-1</v>
      </c>
      <c r="BN63" s="39">
        <f>_xll.DBRW($C$2,$BN$1,BN$2,$D$18,$D$3,$D63,$E63,$F63,BN$3)</f>
        <v>0</v>
      </c>
      <c r="BO63" s="25" cm="1">
        <f t="array" ref="BO63">_xll.DBRW($E$2,BN$1,BN$2,$D$18,$D$3,$D63,$E63,$F63,$F$3,BO$3)</f>
        <v>0</v>
      </c>
      <c r="BP63" s="25">
        <f>_xll.DBRW($C$2,$BN$1,BN$2,$D$18,$D$3,$D63,$E63,$F63,BP$3)</f>
        <v>0</v>
      </c>
      <c r="BQ63" s="64">
        <f>_xll.DBRW($C$2,$BN$1,BN$2,$D$18,$D$3,$D63,$E63,$F63,BQ$3)</f>
        <v>0</v>
      </c>
      <c r="BR63" s="58">
        <f>_xll.DBRW($C$2,$BN$1,BN$2,$D$18,$D$3,$D63,$E63,$F63,BR$3)</f>
        <v>0</v>
      </c>
      <c r="BS63" s="48">
        <f t="shared" si="33"/>
        <v>-1</v>
      </c>
      <c r="BT63" s="39">
        <f>_xll.DBRW($C$2,$BT$1,BT$2,$D$18,$D$3,$D63,$E63,$F63,BT$3)</f>
        <v>0</v>
      </c>
      <c r="BU63" s="25" cm="1">
        <f t="array" ref="BU63">_xll.DBRW($E$2,BT$1,BT$2,$D$18,$D$3,$D63,$E63,$F63,$F$3,BU$3)</f>
        <v>0</v>
      </c>
      <c r="BV63" s="25">
        <f>_xll.DBRW($C$2,$BT$1,BT$2,$D$18,$D$3,$D63,$E63,$F63,BV$3)</f>
        <v>0</v>
      </c>
      <c r="BW63" s="64">
        <f>_xll.DBRW($C$2,$BT$1,BT$2,$D$18,$D$3,$D63,$E63,$F63,BW$3)</f>
        <v>0</v>
      </c>
      <c r="BX63" s="58">
        <f>_xll.DBRW($C$2,$BT$1,BT$2,$D$18,$D$3,$D63,$E63,$F63,BX$3)</f>
        <v>0</v>
      </c>
      <c r="BY63" s="48">
        <f t="shared" si="34"/>
        <v>-1</v>
      </c>
      <c r="BZ63" s="39">
        <f>_xll.DBRW($C$2,$BZ$1,BZ$2,$D$18,$D$3,$D63,$E63,$F63,BZ$3)</f>
        <v>0</v>
      </c>
      <c r="CA63" s="25" cm="1">
        <f t="array" ref="CA63">_xll.DBRW($E$2,BZ$1,BZ$2,$D$18,$D$3,$D63,$E63,$F63,$F$3,CA$3)</f>
        <v>0</v>
      </c>
      <c r="CB63" s="25">
        <f>_xll.DBRW($C$2,$BZ$1,BZ$2,$D$18,$D$3,$D63,$E63,$F63,CB$3)</f>
        <v>0</v>
      </c>
      <c r="CC63" s="64">
        <f>_xll.DBRW($C$2,$BZ$1,BZ$2,$D$18,$D$3,$D63,$E63,$F63,CC$3)</f>
        <v>0</v>
      </c>
      <c r="CD63" s="58">
        <f>_xll.DBRW($C$2,$BZ$1,BZ$2,$D$18,$D$3,$D63,$E63,$F63,CD$3)</f>
        <v>0</v>
      </c>
      <c r="CE63" s="48">
        <f t="shared" si="35"/>
        <v>-1</v>
      </c>
    </row>
    <row r="64" spans="1:83" s="23" customFormat="1" outlineLevel="1" thickBot="1" x14ac:dyDescent="0.3">
      <c r="A64" s="91" t="str">
        <f>IF(_xll.TM1RPTELISCONSOLIDATED($F$22,$F64),IF(_xll.TM1RPTELLEV($F$22,$F64)&lt;=5,_xll.TM1RPTELLEV($F$22,$F64),"Default"),"Leaf")</f>
        <v>Leaf</v>
      </c>
      <c r="B64" s="24" t="str">
        <f>_xll.DBRW("TM1-S1_DEV:}ElementAttributes_SP_SKU",$D64,B$1)</f>
        <v>Primary</v>
      </c>
      <c r="C64" s="24" t="str">
        <f>_xll.DBRW("TM1-S1_DEV:}ElementAttributes_SP_SKU",$D64,C$1)</f>
        <v>CAKE</v>
      </c>
      <c r="D64" s="28" t="s">
        <v>387</v>
      </c>
      <c r="E64" s="28" t="s">
        <v>214</v>
      </c>
      <c r="F64" s="28" t="s">
        <v>59</v>
      </c>
      <c r="G64" s="4">
        <f>_xll.DBRW($C$2,$G$19,G$20,$D$18,$D$3,$D64,$E64,$F64,G$3)</f>
        <v>20</v>
      </c>
      <c r="H64" s="54">
        <f t="shared" si="24"/>
        <v>3</v>
      </c>
      <c r="I64" s="4"/>
      <c r="J64" s="25">
        <f>_xll.DBRW($C$2,$J$1,J$2,$D$18,$D$3,$D64,$E64,$F64,J$3)</f>
        <v>23</v>
      </c>
      <c r="K64" s="39">
        <f>_xll.DBRW($C$2,$J$1,J$2,$D$18,$D$3,$D64,$E64,$F64,K$3)</f>
        <v>0</v>
      </c>
      <c r="L64" s="25">
        <f>_xll.DBRW($C$2,$J$1,J$2,$D$18,$D$3,$D64,$E64,$F64,L$3)</f>
        <v>0</v>
      </c>
      <c r="M64" s="25">
        <f>_xll.DBRW($C$2,$J$1,J$2,$D$18,$D$3,$D64,$E64,$F64,M$3)</f>
        <v>0</v>
      </c>
      <c r="N64" s="25">
        <f>_xll.DBRW($C$2,$J$1,J$2,$D$18,$D$3,$D64,$E64,$F64,N$3)</f>
        <v>8</v>
      </c>
      <c r="O64" s="64">
        <f>_xll.DBRW($C$2,$J$1,J$2,$D$18,$D$3,$D64,$E64,$F64,O$3)</f>
        <v>1</v>
      </c>
      <c r="P64" s="58">
        <f>_xll.DBRW($C$2,$J$1,J$2,$D$18,$D$3,$D64,$E64,$F64,P$3)</f>
        <v>0</v>
      </c>
      <c r="Q64" s="48">
        <f>_xll.DBRW($C$2,$J$1,J$2,$D$18,$D$3,$D64,$E64,$F64,Q$3)</f>
        <v>15</v>
      </c>
      <c r="R64" s="39">
        <f>_xll.DBRW($C$2,$R$1,R$2,$D$18,$D$3,$D64,$E64,$F64,R$3)</f>
        <v>0</v>
      </c>
      <c r="S64" s="25" cm="1">
        <f t="array" ref="S64">_xll.DBRW($E$2,R$1,R$2,$D$18,$D$3,$D64,$E64,$F64,$F$3,S$3)</f>
        <v>0</v>
      </c>
      <c r="T64" s="25">
        <f>_xll.DBRW($C$2,$R$1,R$2,$D$18,$D$3,$D64,$E64,$F64,T$3)</f>
        <v>0</v>
      </c>
      <c r="U64" s="64">
        <f>_xll.DBRW($C$2,$R$1,R$2,$D$18,$D$3,$D64,$E64,$F64,U$3)</f>
        <v>0</v>
      </c>
      <c r="V64" s="58">
        <f>_xll.DBRW($C$2,$R$1,R$2,$D$18,$D$3,$D64,$E64,$F64,V$3)</f>
        <v>0</v>
      </c>
      <c r="W64" s="48">
        <f t="shared" si="25"/>
        <v>15</v>
      </c>
      <c r="X64" s="39">
        <f>_xll.DBRW($C$2,$X$1,X$2,$D$18,$D$3,$D64,$E64,$F64,X$3)</f>
        <v>0</v>
      </c>
      <c r="Y64" s="25" cm="1">
        <f t="array" ref="Y64">_xll.DBRW($E$2,X$1,X$2,$D$18,$D$3,$D64,$E64,$F64,$F$3,Y$3)</f>
        <v>0</v>
      </c>
      <c r="Z64" s="25">
        <f>_xll.DBRW($C$2,$X$1,X$2,$D$18,$D$3,$D64,$E64,$F64,Z$3)</f>
        <v>1</v>
      </c>
      <c r="AA64" s="64">
        <f>_xll.DBRW($C$2,$X$1,X$2,$D$18,$D$3,$D64,$E64,$F64,AA$3)</f>
        <v>1</v>
      </c>
      <c r="AB64" s="58">
        <f>_xll.DBRW($C$2,$X$1,X$2,$D$18,$D$3,$D64,$E64,$F64,AB$3)</f>
        <v>0</v>
      </c>
      <c r="AC64" s="48">
        <f t="shared" si="26"/>
        <v>14</v>
      </c>
      <c r="AD64" s="39">
        <f>_xll.DBRW($C$2,$AD$1,AD$2,$D$18,$D$3,$D64,$E64,$F64,AD$3)</f>
        <v>0</v>
      </c>
      <c r="AE64" s="25" cm="1">
        <f t="array" ref="AE64">_xll.DBRW($E$2,AD$1,AD$2,$D$18,$D$3,$D64,$E64,$F64,$F$3,AE$3)</f>
        <v>0</v>
      </c>
      <c r="AF64" s="25">
        <f>_xll.DBRW($C$2,$AD$1,AD$2,$D$18,$D$3,$D64,$E64,$F64,AF$3)</f>
        <v>1</v>
      </c>
      <c r="AG64" s="64">
        <f>_xll.DBRW($C$2,$AD$1,AD$2,$D$18,$D$3,$D64,$E64,$F64,AG$3)</f>
        <v>0</v>
      </c>
      <c r="AH64" s="58">
        <f>_xll.DBRW($C$2,$AD$1,AD$2,$D$18,$D$3,$D64,$E64,$F64,AH$3)</f>
        <v>0</v>
      </c>
      <c r="AI64" s="48">
        <f t="shared" si="27"/>
        <v>13</v>
      </c>
      <c r="AJ64" s="39">
        <f>_xll.DBRW($C$2,$AJ$1,AJ$2,$D$18,$D$3,$D64,$E64,$F64,AJ$3)</f>
        <v>0</v>
      </c>
      <c r="AK64" s="25" cm="1">
        <f t="array" ref="AK64">_xll.DBRW($E$2,AJ$1,AJ$2,$D$18,$D$3,$D64,$E64,$F64,$F$3,AK$3)</f>
        <v>0</v>
      </c>
      <c r="AL64" s="25">
        <f>_xll.DBRW($C$2,$AJ$1,AJ$2,$D$18,$D$3,$D64,$E64,$F64,AL$3)</f>
        <v>1</v>
      </c>
      <c r="AM64" s="64">
        <f>_xll.DBRW($C$2,$AJ$1,AJ$2,$D$18,$D$3,$D64,$E64,$F64,AM$3)</f>
        <v>0</v>
      </c>
      <c r="AN64" s="58">
        <f>_xll.DBRW($C$2,$AJ$1,AJ$2,$D$18,$D$3,$D64,$E64,$F64,AN$3)</f>
        <v>0</v>
      </c>
      <c r="AO64" s="48">
        <f t="shared" si="28"/>
        <v>12</v>
      </c>
      <c r="AP64" s="39">
        <f>_xll.DBRW($C$2,$AP$1,AP$2,$D$18,$D$3,$D64,$E64,$F64,AP$3)</f>
        <v>0</v>
      </c>
      <c r="AQ64" s="25" cm="1">
        <f t="array" ref="AQ64">_xll.DBRW($E$2,AP$1,AP$2,$D$18,$D$3,$D64,$E64,$F64,$F$3,AQ$3)</f>
        <v>0</v>
      </c>
      <c r="AR64" s="25">
        <f>_xll.DBRW($C$2,$AP$1,AP$2,$D$18,$D$3,$D64,$E64,$F64,AR$3)</f>
        <v>1</v>
      </c>
      <c r="AS64" s="64">
        <f>_xll.DBRW($C$2,$AP$1,AP$2,$D$18,$D$3,$D64,$E64,$F64,AS$3)</f>
        <v>0</v>
      </c>
      <c r="AT64" s="58">
        <f>_xll.DBRW($C$2,$AP$1,AP$2,$D$18,$D$3,$D64,$E64,$F64,AT$3)</f>
        <v>0</v>
      </c>
      <c r="AU64" s="48">
        <f t="shared" si="29"/>
        <v>11</v>
      </c>
      <c r="AV64" s="39">
        <f>_xll.DBRW($C$2,$AV$1,AV$2,$D$18,$D$3,$D64,$E64,$F64,AV$3)</f>
        <v>0</v>
      </c>
      <c r="AW64" s="25" cm="1">
        <f t="array" ref="AW64">_xll.DBRW($E$2,AV$1,AV$2,$D$18,$D$3,$D64,$E64,$F64,$F$3,AW$3)</f>
        <v>0</v>
      </c>
      <c r="AX64" s="25">
        <f>_xll.DBRW($C$2,$AV$1,AV$2,$D$18,$D$3,$D64,$E64,$F64,AX$3)</f>
        <v>1</v>
      </c>
      <c r="AY64" s="64">
        <f>_xll.DBRW($C$2,$AV$1,AV$2,$D$18,$D$3,$D64,$E64,$F64,AY$3)</f>
        <v>0</v>
      </c>
      <c r="AZ64" s="58">
        <f>_xll.DBRW($C$2,$AV$1,AV$2,$D$18,$D$3,$D64,$E64,$F64,AZ$3)</f>
        <v>0</v>
      </c>
      <c r="BA64" s="48">
        <f t="shared" si="30"/>
        <v>10</v>
      </c>
      <c r="BB64" s="39">
        <f>_xll.DBRW($C$2,$BB$1,BB$2,$D$18,$D$3,$D64,$E64,$F64,BB$3)</f>
        <v>0</v>
      </c>
      <c r="BC64" s="25" cm="1">
        <f t="array" ref="BC64">_xll.DBRW($E$2,BB$1,BB$2,$D$18,$D$3,$D64,$E64,$F64,$F$3,BC$3)</f>
        <v>0</v>
      </c>
      <c r="BD64" s="25">
        <f>_xll.DBRW($C$2,$BB$1,BB$2,$D$18,$D$3,$D64,$E64,$F64,BD$3)</f>
        <v>1</v>
      </c>
      <c r="BE64" s="64">
        <f>_xll.DBRW($C$2,$BB$1,BB$2,$D$18,$D$3,$D64,$E64,$F64,BE$3)</f>
        <v>0</v>
      </c>
      <c r="BF64" s="58">
        <f>_xll.DBRW($C$2,$BB$1,BB$2,$D$18,$D$3,$D64,$E64,$F64,BF$3)</f>
        <v>0</v>
      </c>
      <c r="BG64" s="48">
        <f t="shared" si="31"/>
        <v>9</v>
      </c>
      <c r="BH64" s="39">
        <f>_xll.DBRW($C$2,$BH$1,BH$2,$D$18,$D$3,$D64,$E64,$F64,BH$3)</f>
        <v>0</v>
      </c>
      <c r="BI64" s="25" cm="1">
        <f t="array" ref="BI64">_xll.DBRW($E$2,BH$1,BH$2,$D$18,$D$3,$D64,$E64,$F64,$F$3,BI$3)</f>
        <v>0</v>
      </c>
      <c r="BJ64" s="25">
        <f>_xll.DBRW($C$2,$BH$1,BH$2,$D$18,$D$3,$D64,$E64,$F64,BJ$3)</f>
        <v>1</v>
      </c>
      <c r="BK64" s="64">
        <f>_xll.DBRW($C$2,$BH$1,BH$2,$D$18,$D$3,$D64,$E64,$F64,BK$3)</f>
        <v>0</v>
      </c>
      <c r="BL64" s="58">
        <f>_xll.DBRW($C$2,$BH$1,BH$2,$D$18,$D$3,$D64,$E64,$F64,BL$3)</f>
        <v>0</v>
      </c>
      <c r="BM64" s="48">
        <f t="shared" si="32"/>
        <v>8</v>
      </c>
      <c r="BN64" s="39">
        <f>_xll.DBRW($C$2,$BN$1,BN$2,$D$18,$D$3,$D64,$E64,$F64,BN$3)</f>
        <v>0</v>
      </c>
      <c r="BO64" s="25" cm="1">
        <f t="array" ref="BO64">_xll.DBRW($E$2,BN$1,BN$2,$D$18,$D$3,$D64,$E64,$F64,$F$3,BO$3)</f>
        <v>0</v>
      </c>
      <c r="BP64" s="25">
        <f>_xll.DBRW($C$2,$BN$1,BN$2,$D$18,$D$3,$D64,$E64,$F64,BP$3)</f>
        <v>1</v>
      </c>
      <c r="BQ64" s="64">
        <f>_xll.DBRW($C$2,$BN$1,BN$2,$D$18,$D$3,$D64,$E64,$F64,BQ$3)</f>
        <v>0</v>
      </c>
      <c r="BR64" s="58">
        <f>_xll.DBRW($C$2,$BN$1,BN$2,$D$18,$D$3,$D64,$E64,$F64,BR$3)</f>
        <v>0</v>
      </c>
      <c r="BS64" s="48">
        <f t="shared" si="33"/>
        <v>7</v>
      </c>
      <c r="BT64" s="39">
        <f>_xll.DBRW($C$2,$BT$1,BT$2,$D$18,$D$3,$D64,$E64,$F64,BT$3)</f>
        <v>0</v>
      </c>
      <c r="BU64" s="25" cm="1">
        <f t="array" ref="BU64">_xll.DBRW($E$2,BT$1,BT$2,$D$18,$D$3,$D64,$E64,$F64,$F$3,BU$3)</f>
        <v>0</v>
      </c>
      <c r="BV64" s="25">
        <f>_xll.DBRW($C$2,$BT$1,BT$2,$D$18,$D$3,$D64,$E64,$F64,BV$3)</f>
        <v>1</v>
      </c>
      <c r="BW64" s="64">
        <f>_xll.DBRW($C$2,$BT$1,BT$2,$D$18,$D$3,$D64,$E64,$F64,BW$3)</f>
        <v>0</v>
      </c>
      <c r="BX64" s="58">
        <f>_xll.DBRW($C$2,$BT$1,BT$2,$D$18,$D$3,$D64,$E64,$F64,BX$3)</f>
        <v>0</v>
      </c>
      <c r="BY64" s="48">
        <f t="shared" si="34"/>
        <v>6</v>
      </c>
      <c r="BZ64" s="39">
        <f>_xll.DBRW($C$2,$BZ$1,BZ$2,$D$18,$D$3,$D64,$E64,$F64,BZ$3)</f>
        <v>0</v>
      </c>
      <c r="CA64" s="25" cm="1">
        <f t="array" ref="CA64">_xll.DBRW($E$2,BZ$1,BZ$2,$D$18,$D$3,$D64,$E64,$F64,$F$3,CA$3)</f>
        <v>0</v>
      </c>
      <c r="CB64" s="25">
        <f>_xll.DBRW($C$2,$BZ$1,BZ$2,$D$18,$D$3,$D64,$E64,$F64,CB$3)</f>
        <v>1</v>
      </c>
      <c r="CC64" s="64">
        <f>_xll.DBRW($C$2,$BZ$1,BZ$2,$D$18,$D$3,$D64,$E64,$F64,CC$3)</f>
        <v>0</v>
      </c>
      <c r="CD64" s="58">
        <f>_xll.DBRW($C$2,$BZ$1,BZ$2,$D$18,$D$3,$D64,$E64,$F64,CD$3)</f>
        <v>0</v>
      </c>
      <c r="CE64" s="48">
        <f t="shared" si="35"/>
        <v>5</v>
      </c>
    </row>
    <row r="65" spans="1:83" s="23" customFormat="1" outlineLevel="1" thickBot="1" x14ac:dyDescent="0.3">
      <c r="A65" s="91" t="str">
        <f>IF(_xll.TM1RPTELISCONSOLIDATED($F$22,$F65),IF(_xll.TM1RPTELLEV($F$22,$F65)&lt;=5,_xll.TM1RPTELLEV($F$22,$F65),"Default"),"Leaf")</f>
        <v>Leaf</v>
      </c>
      <c r="B65" s="24" t="str">
        <f>_xll.DBRW("TM1-S1_DEV:}ElementAttributes_SP_SKU",$D65,B$1)</f>
        <v>Primary</v>
      </c>
      <c r="C65" s="24" t="str">
        <f>_xll.DBRW("TM1-S1_DEV:}ElementAttributes_SP_SKU",$D65,C$1)</f>
        <v>CAKE</v>
      </c>
      <c r="D65" s="28" t="s">
        <v>388</v>
      </c>
      <c r="E65" s="28" t="s">
        <v>215</v>
      </c>
      <c r="F65" s="28" t="s">
        <v>59</v>
      </c>
      <c r="G65" s="4">
        <f>_xll.DBRW($C$2,$G$19,G$20,$D$18,$D$3,$D65,$E65,$F65,G$3)</f>
        <v>14</v>
      </c>
      <c r="H65" s="54">
        <f t="shared" si="24"/>
        <v>5</v>
      </c>
      <c r="I65" s="4"/>
      <c r="J65" s="25">
        <f>_xll.DBRW($C$2,$J$1,J$2,$D$18,$D$3,$D65,$E65,$F65,J$3)</f>
        <v>19</v>
      </c>
      <c r="K65" s="39">
        <f>_xll.DBRW($C$2,$J$1,J$2,$D$18,$D$3,$D65,$E65,$F65,K$3)</f>
        <v>0</v>
      </c>
      <c r="L65" s="25">
        <f>_xll.DBRW($C$2,$J$1,J$2,$D$18,$D$3,$D65,$E65,$F65,L$3)</f>
        <v>0</v>
      </c>
      <c r="M65" s="25">
        <f>_xll.DBRW($C$2,$J$1,J$2,$D$18,$D$3,$D65,$E65,$F65,M$3)</f>
        <v>0</v>
      </c>
      <c r="N65" s="25">
        <f>_xll.DBRW($C$2,$J$1,J$2,$D$18,$D$3,$D65,$E65,$F65,N$3)</f>
        <v>6</v>
      </c>
      <c r="O65" s="64">
        <f>_xll.DBRW($C$2,$J$1,J$2,$D$18,$D$3,$D65,$E65,$F65,O$3)</f>
        <v>1</v>
      </c>
      <c r="P65" s="58">
        <f>_xll.DBRW($C$2,$J$1,J$2,$D$18,$D$3,$D65,$E65,$F65,P$3)</f>
        <v>0</v>
      </c>
      <c r="Q65" s="48">
        <f>_xll.DBRW($C$2,$J$1,J$2,$D$18,$D$3,$D65,$E65,$F65,Q$3)</f>
        <v>13</v>
      </c>
      <c r="R65" s="39">
        <f>_xll.DBRW($C$2,$R$1,R$2,$D$18,$D$3,$D65,$E65,$F65,R$3)</f>
        <v>0</v>
      </c>
      <c r="S65" s="25" cm="1">
        <f t="array" ref="S65">_xll.DBRW($E$2,R$1,R$2,$D$18,$D$3,$D65,$E65,$F65,$F$3,S$3)</f>
        <v>0</v>
      </c>
      <c r="T65" s="25">
        <f>_xll.DBRW($C$2,$R$1,R$2,$D$18,$D$3,$D65,$E65,$F65,T$3)</f>
        <v>0</v>
      </c>
      <c r="U65" s="64">
        <f>_xll.DBRW($C$2,$R$1,R$2,$D$18,$D$3,$D65,$E65,$F65,U$3)</f>
        <v>0</v>
      </c>
      <c r="V65" s="58">
        <f>_xll.DBRW($C$2,$R$1,R$2,$D$18,$D$3,$D65,$E65,$F65,V$3)</f>
        <v>0</v>
      </c>
      <c r="W65" s="48">
        <f t="shared" si="25"/>
        <v>13</v>
      </c>
      <c r="X65" s="39">
        <f>_xll.DBRW($C$2,$X$1,X$2,$D$18,$D$3,$D65,$E65,$F65,X$3)</f>
        <v>0</v>
      </c>
      <c r="Y65" s="25" cm="1">
        <f t="array" ref="Y65">_xll.DBRW($E$2,X$1,X$2,$D$18,$D$3,$D65,$E65,$F65,$F$3,Y$3)</f>
        <v>0</v>
      </c>
      <c r="Z65" s="25">
        <f>_xll.DBRW($C$2,$X$1,X$2,$D$18,$D$3,$D65,$E65,$F65,Z$3)</f>
        <v>1</v>
      </c>
      <c r="AA65" s="64">
        <f>_xll.DBRW($C$2,$X$1,X$2,$D$18,$D$3,$D65,$E65,$F65,AA$3)</f>
        <v>0</v>
      </c>
      <c r="AB65" s="58">
        <f>_xll.DBRW($C$2,$X$1,X$2,$D$18,$D$3,$D65,$E65,$F65,AB$3)</f>
        <v>0</v>
      </c>
      <c r="AC65" s="48">
        <f t="shared" si="26"/>
        <v>12</v>
      </c>
      <c r="AD65" s="39">
        <f>_xll.DBRW($C$2,$AD$1,AD$2,$D$18,$D$3,$D65,$E65,$F65,AD$3)</f>
        <v>0</v>
      </c>
      <c r="AE65" s="25" cm="1">
        <f t="array" ref="AE65">_xll.DBRW($E$2,AD$1,AD$2,$D$18,$D$3,$D65,$E65,$F65,$F$3,AE$3)</f>
        <v>0</v>
      </c>
      <c r="AF65" s="25">
        <f>_xll.DBRW($C$2,$AD$1,AD$2,$D$18,$D$3,$D65,$E65,$F65,AF$3)</f>
        <v>1</v>
      </c>
      <c r="AG65" s="64">
        <f>_xll.DBRW($C$2,$AD$1,AD$2,$D$18,$D$3,$D65,$E65,$F65,AG$3)</f>
        <v>0</v>
      </c>
      <c r="AH65" s="58">
        <f>_xll.DBRW($C$2,$AD$1,AD$2,$D$18,$D$3,$D65,$E65,$F65,AH$3)</f>
        <v>0</v>
      </c>
      <c r="AI65" s="48">
        <f t="shared" si="27"/>
        <v>11</v>
      </c>
      <c r="AJ65" s="39">
        <f>_xll.DBRW($C$2,$AJ$1,AJ$2,$D$18,$D$3,$D65,$E65,$F65,AJ$3)</f>
        <v>0</v>
      </c>
      <c r="AK65" s="25" cm="1">
        <f t="array" ref="AK65">_xll.DBRW($E$2,AJ$1,AJ$2,$D$18,$D$3,$D65,$E65,$F65,$F$3,AK$3)</f>
        <v>0</v>
      </c>
      <c r="AL65" s="25">
        <f>_xll.DBRW($C$2,$AJ$1,AJ$2,$D$18,$D$3,$D65,$E65,$F65,AL$3)</f>
        <v>1</v>
      </c>
      <c r="AM65" s="64">
        <f>_xll.DBRW($C$2,$AJ$1,AJ$2,$D$18,$D$3,$D65,$E65,$F65,AM$3)</f>
        <v>0</v>
      </c>
      <c r="AN65" s="58">
        <f>_xll.DBRW($C$2,$AJ$1,AJ$2,$D$18,$D$3,$D65,$E65,$F65,AN$3)</f>
        <v>0</v>
      </c>
      <c r="AO65" s="48">
        <f t="shared" si="28"/>
        <v>10</v>
      </c>
      <c r="AP65" s="39">
        <f>_xll.DBRW($C$2,$AP$1,AP$2,$D$18,$D$3,$D65,$E65,$F65,AP$3)</f>
        <v>0</v>
      </c>
      <c r="AQ65" s="25" cm="1">
        <f t="array" ref="AQ65">_xll.DBRW($E$2,AP$1,AP$2,$D$18,$D$3,$D65,$E65,$F65,$F$3,AQ$3)</f>
        <v>0</v>
      </c>
      <c r="AR65" s="25">
        <f>_xll.DBRW($C$2,$AP$1,AP$2,$D$18,$D$3,$D65,$E65,$F65,AR$3)</f>
        <v>1</v>
      </c>
      <c r="AS65" s="64">
        <f>_xll.DBRW($C$2,$AP$1,AP$2,$D$18,$D$3,$D65,$E65,$F65,AS$3)</f>
        <v>0</v>
      </c>
      <c r="AT65" s="58">
        <f>_xll.DBRW($C$2,$AP$1,AP$2,$D$18,$D$3,$D65,$E65,$F65,AT$3)</f>
        <v>0</v>
      </c>
      <c r="AU65" s="48">
        <f t="shared" si="29"/>
        <v>9</v>
      </c>
      <c r="AV65" s="39">
        <f>_xll.DBRW($C$2,$AV$1,AV$2,$D$18,$D$3,$D65,$E65,$F65,AV$3)</f>
        <v>0</v>
      </c>
      <c r="AW65" s="25" cm="1">
        <f t="array" ref="AW65">_xll.DBRW($E$2,AV$1,AV$2,$D$18,$D$3,$D65,$E65,$F65,$F$3,AW$3)</f>
        <v>0</v>
      </c>
      <c r="AX65" s="25">
        <f>_xll.DBRW($C$2,$AV$1,AV$2,$D$18,$D$3,$D65,$E65,$F65,AX$3)</f>
        <v>1</v>
      </c>
      <c r="AY65" s="64">
        <f>_xll.DBRW($C$2,$AV$1,AV$2,$D$18,$D$3,$D65,$E65,$F65,AY$3)</f>
        <v>0</v>
      </c>
      <c r="AZ65" s="58">
        <f>_xll.DBRW($C$2,$AV$1,AV$2,$D$18,$D$3,$D65,$E65,$F65,AZ$3)</f>
        <v>0</v>
      </c>
      <c r="BA65" s="48">
        <f t="shared" si="30"/>
        <v>8</v>
      </c>
      <c r="BB65" s="39">
        <f>_xll.DBRW($C$2,$BB$1,BB$2,$D$18,$D$3,$D65,$E65,$F65,BB$3)</f>
        <v>0</v>
      </c>
      <c r="BC65" s="25" cm="1">
        <f t="array" ref="BC65">_xll.DBRW($E$2,BB$1,BB$2,$D$18,$D$3,$D65,$E65,$F65,$F$3,BC$3)</f>
        <v>0</v>
      </c>
      <c r="BD65" s="25">
        <f>_xll.DBRW($C$2,$BB$1,BB$2,$D$18,$D$3,$D65,$E65,$F65,BD$3)</f>
        <v>1</v>
      </c>
      <c r="BE65" s="64">
        <f>_xll.DBRW($C$2,$BB$1,BB$2,$D$18,$D$3,$D65,$E65,$F65,BE$3)</f>
        <v>0</v>
      </c>
      <c r="BF65" s="58">
        <f>_xll.DBRW($C$2,$BB$1,BB$2,$D$18,$D$3,$D65,$E65,$F65,BF$3)</f>
        <v>0</v>
      </c>
      <c r="BG65" s="48">
        <f t="shared" si="31"/>
        <v>7</v>
      </c>
      <c r="BH65" s="39">
        <f>_xll.DBRW($C$2,$BH$1,BH$2,$D$18,$D$3,$D65,$E65,$F65,BH$3)</f>
        <v>0</v>
      </c>
      <c r="BI65" s="25" cm="1">
        <f t="array" ref="BI65">_xll.DBRW($E$2,BH$1,BH$2,$D$18,$D$3,$D65,$E65,$F65,$F$3,BI$3)</f>
        <v>0</v>
      </c>
      <c r="BJ65" s="25">
        <f>_xll.DBRW($C$2,$BH$1,BH$2,$D$18,$D$3,$D65,$E65,$F65,BJ$3)</f>
        <v>1</v>
      </c>
      <c r="BK65" s="64">
        <f>_xll.DBRW($C$2,$BH$1,BH$2,$D$18,$D$3,$D65,$E65,$F65,BK$3)</f>
        <v>0</v>
      </c>
      <c r="BL65" s="58">
        <f>_xll.DBRW($C$2,$BH$1,BH$2,$D$18,$D$3,$D65,$E65,$F65,BL$3)</f>
        <v>0</v>
      </c>
      <c r="BM65" s="48">
        <f t="shared" si="32"/>
        <v>6</v>
      </c>
      <c r="BN65" s="39">
        <f>_xll.DBRW($C$2,$BN$1,BN$2,$D$18,$D$3,$D65,$E65,$F65,BN$3)</f>
        <v>0</v>
      </c>
      <c r="BO65" s="25" cm="1">
        <f t="array" ref="BO65">_xll.DBRW($E$2,BN$1,BN$2,$D$18,$D$3,$D65,$E65,$F65,$F$3,BO$3)</f>
        <v>0</v>
      </c>
      <c r="BP65" s="25">
        <f>_xll.DBRW($C$2,$BN$1,BN$2,$D$18,$D$3,$D65,$E65,$F65,BP$3)</f>
        <v>1</v>
      </c>
      <c r="BQ65" s="64">
        <f>_xll.DBRW($C$2,$BN$1,BN$2,$D$18,$D$3,$D65,$E65,$F65,BQ$3)</f>
        <v>0</v>
      </c>
      <c r="BR65" s="58">
        <f>_xll.DBRW($C$2,$BN$1,BN$2,$D$18,$D$3,$D65,$E65,$F65,BR$3)</f>
        <v>0</v>
      </c>
      <c r="BS65" s="48">
        <f t="shared" si="33"/>
        <v>5</v>
      </c>
      <c r="BT65" s="39">
        <f>_xll.DBRW($C$2,$BT$1,BT$2,$D$18,$D$3,$D65,$E65,$F65,BT$3)</f>
        <v>0</v>
      </c>
      <c r="BU65" s="25" cm="1">
        <f t="array" ref="BU65">_xll.DBRW($E$2,BT$1,BT$2,$D$18,$D$3,$D65,$E65,$F65,$F$3,BU$3)</f>
        <v>0</v>
      </c>
      <c r="BV65" s="25">
        <f>_xll.DBRW($C$2,$BT$1,BT$2,$D$18,$D$3,$D65,$E65,$F65,BV$3)</f>
        <v>1</v>
      </c>
      <c r="BW65" s="64">
        <f>_xll.DBRW($C$2,$BT$1,BT$2,$D$18,$D$3,$D65,$E65,$F65,BW$3)</f>
        <v>0</v>
      </c>
      <c r="BX65" s="58">
        <f>_xll.DBRW($C$2,$BT$1,BT$2,$D$18,$D$3,$D65,$E65,$F65,BX$3)</f>
        <v>0</v>
      </c>
      <c r="BY65" s="48">
        <f t="shared" si="34"/>
        <v>4</v>
      </c>
      <c r="BZ65" s="39">
        <f>_xll.DBRW($C$2,$BZ$1,BZ$2,$D$18,$D$3,$D65,$E65,$F65,BZ$3)</f>
        <v>0</v>
      </c>
      <c r="CA65" s="25" cm="1">
        <f t="array" ref="CA65">_xll.DBRW($E$2,BZ$1,BZ$2,$D$18,$D$3,$D65,$E65,$F65,$F$3,CA$3)</f>
        <v>0</v>
      </c>
      <c r="CB65" s="25">
        <f>_xll.DBRW($C$2,$BZ$1,BZ$2,$D$18,$D$3,$D65,$E65,$F65,CB$3)</f>
        <v>1</v>
      </c>
      <c r="CC65" s="64">
        <f>_xll.DBRW($C$2,$BZ$1,BZ$2,$D$18,$D$3,$D65,$E65,$F65,CC$3)</f>
        <v>0</v>
      </c>
      <c r="CD65" s="58">
        <f>_xll.DBRW($C$2,$BZ$1,BZ$2,$D$18,$D$3,$D65,$E65,$F65,CD$3)</f>
        <v>0</v>
      </c>
      <c r="CE65" s="48">
        <f t="shared" si="35"/>
        <v>3</v>
      </c>
    </row>
    <row r="66" spans="1:83" s="23" customFormat="1" outlineLevel="1" thickBot="1" x14ac:dyDescent="0.3">
      <c r="A66" s="91" t="str">
        <f>IF(_xll.TM1RPTELISCONSOLIDATED($F$22,$F66),IF(_xll.TM1RPTELLEV($F$22,$F66)&lt;=5,_xll.TM1RPTELLEV($F$22,$F66),"Default"),"Leaf")</f>
        <v>Leaf</v>
      </c>
      <c r="B66" s="24" t="str">
        <f>_xll.DBRW("TM1-S1_DEV:}ElementAttributes_SP_SKU",$D66,B$1)</f>
        <v>Primary</v>
      </c>
      <c r="C66" s="24" t="str">
        <f>_xll.DBRW("TM1-S1_DEV:}ElementAttributes_SP_SKU",$D66,C$1)</f>
        <v>CAKE</v>
      </c>
      <c r="D66" s="28" t="s">
        <v>389</v>
      </c>
      <c r="E66" s="28" t="s">
        <v>216</v>
      </c>
      <c r="F66" s="28" t="s">
        <v>48</v>
      </c>
      <c r="G66" s="4">
        <f>_xll.DBRW($C$2,$G$19,G$20,$D$18,$D$3,$D66,$E66,$F66,G$3)</f>
        <v>14</v>
      </c>
      <c r="H66" s="54">
        <f t="shared" si="24"/>
        <v>-12</v>
      </c>
      <c r="I66" s="4"/>
      <c r="J66" s="25">
        <f>_xll.DBRW($C$2,$J$1,J$2,$D$18,$D$3,$D66,$E66,$F66,J$3)</f>
        <v>2</v>
      </c>
      <c r="K66" s="39">
        <f>_xll.DBRW($C$2,$J$1,J$2,$D$18,$D$3,$D66,$E66,$F66,K$3)</f>
        <v>0</v>
      </c>
      <c r="L66" s="25">
        <f>_xll.DBRW($C$2,$J$1,J$2,$D$18,$D$3,$D66,$E66,$F66,L$3)</f>
        <v>0</v>
      </c>
      <c r="M66" s="25">
        <f>_xll.DBRW($C$2,$J$1,J$2,$D$18,$D$3,$D66,$E66,$F66,M$3)</f>
        <v>0</v>
      </c>
      <c r="N66" s="25">
        <f>_xll.DBRW($C$2,$J$1,J$2,$D$18,$D$3,$D66,$E66,$F66,N$3)</f>
        <v>2</v>
      </c>
      <c r="O66" s="64">
        <f>_xll.DBRW($C$2,$J$1,J$2,$D$18,$D$3,$D66,$E66,$F66,O$3)</f>
        <v>1</v>
      </c>
      <c r="P66" s="58">
        <f>_xll.DBRW($C$2,$J$1,J$2,$D$18,$D$3,$D66,$E66,$F66,P$3)</f>
        <v>0</v>
      </c>
      <c r="Q66" s="48">
        <f>_xll.DBRW($C$2,$J$1,J$2,$D$18,$D$3,$D66,$E66,$F66,Q$3)</f>
        <v>0</v>
      </c>
      <c r="R66" s="39">
        <f>_xll.DBRW($C$2,$R$1,R$2,$D$18,$D$3,$D66,$E66,$F66,R$3)</f>
        <v>0</v>
      </c>
      <c r="S66" s="25" cm="1">
        <f t="array" ref="S66">_xll.DBRW($E$2,R$1,R$2,$D$18,$D$3,$D66,$E66,$F66,$F$3,S$3)</f>
        <v>0</v>
      </c>
      <c r="T66" s="25">
        <f>_xll.DBRW($C$2,$R$1,R$2,$D$18,$D$3,$D66,$E66,$F66,T$3)</f>
        <v>0</v>
      </c>
      <c r="U66" s="64">
        <f>_xll.DBRW($C$2,$R$1,R$2,$D$18,$D$3,$D66,$E66,$F66,U$3)</f>
        <v>0</v>
      </c>
      <c r="V66" s="58">
        <f>_xll.DBRW($C$2,$R$1,R$2,$D$18,$D$3,$D66,$E66,$F66,V$3)</f>
        <v>0</v>
      </c>
      <c r="W66" s="48">
        <f t="shared" si="25"/>
        <v>0</v>
      </c>
      <c r="X66" s="39">
        <f>_xll.DBRW($C$2,$X$1,X$2,$D$18,$D$3,$D66,$E66,$F66,X$3)</f>
        <v>0</v>
      </c>
      <c r="Y66" s="25" cm="1">
        <f t="array" ref="Y66">_xll.DBRW($E$2,X$1,X$2,$D$18,$D$3,$D66,$E66,$F66,$F$3,Y$3)</f>
        <v>0</v>
      </c>
      <c r="Z66" s="25">
        <f>_xll.DBRW($C$2,$X$1,X$2,$D$18,$D$3,$D66,$E66,$F66,Z$3)</f>
        <v>0</v>
      </c>
      <c r="AA66" s="64">
        <f>_xll.DBRW($C$2,$X$1,X$2,$D$18,$D$3,$D66,$E66,$F66,AA$3)</f>
        <v>0</v>
      </c>
      <c r="AB66" s="58">
        <f>_xll.DBRW($C$2,$X$1,X$2,$D$18,$D$3,$D66,$E66,$F66,AB$3)</f>
        <v>0</v>
      </c>
      <c r="AC66" s="48">
        <f t="shared" si="26"/>
        <v>0</v>
      </c>
      <c r="AD66" s="39">
        <f>_xll.DBRW($C$2,$AD$1,AD$2,$D$18,$D$3,$D66,$E66,$F66,AD$3)</f>
        <v>0</v>
      </c>
      <c r="AE66" s="25" cm="1">
        <f t="array" ref="AE66">_xll.DBRW($E$2,AD$1,AD$2,$D$18,$D$3,$D66,$E66,$F66,$F$3,AE$3)</f>
        <v>0</v>
      </c>
      <c r="AF66" s="25">
        <f>_xll.DBRW($C$2,$AD$1,AD$2,$D$18,$D$3,$D66,$E66,$F66,AF$3)</f>
        <v>0</v>
      </c>
      <c r="AG66" s="64">
        <f>_xll.DBRW($C$2,$AD$1,AD$2,$D$18,$D$3,$D66,$E66,$F66,AG$3)</f>
        <v>0</v>
      </c>
      <c r="AH66" s="58">
        <f>_xll.DBRW($C$2,$AD$1,AD$2,$D$18,$D$3,$D66,$E66,$F66,AH$3)</f>
        <v>0</v>
      </c>
      <c r="AI66" s="48">
        <f t="shared" si="27"/>
        <v>0</v>
      </c>
      <c r="AJ66" s="39">
        <f>_xll.DBRW($C$2,$AJ$1,AJ$2,$D$18,$D$3,$D66,$E66,$F66,AJ$3)</f>
        <v>0</v>
      </c>
      <c r="AK66" s="25" cm="1">
        <f t="array" ref="AK66">_xll.DBRW($E$2,AJ$1,AJ$2,$D$18,$D$3,$D66,$E66,$F66,$F$3,AK$3)</f>
        <v>0</v>
      </c>
      <c r="AL66" s="25">
        <f>_xll.DBRW($C$2,$AJ$1,AJ$2,$D$18,$D$3,$D66,$E66,$F66,AL$3)</f>
        <v>0</v>
      </c>
      <c r="AM66" s="64">
        <f>_xll.DBRW($C$2,$AJ$1,AJ$2,$D$18,$D$3,$D66,$E66,$F66,AM$3)</f>
        <v>0</v>
      </c>
      <c r="AN66" s="58">
        <f>_xll.DBRW($C$2,$AJ$1,AJ$2,$D$18,$D$3,$D66,$E66,$F66,AN$3)</f>
        <v>0</v>
      </c>
      <c r="AO66" s="48">
        <f t="shared" si="28"/>
        <v>0</v>
      </c>
      <c r="AP66" s="39">
        <f>_xll.DBRW($C$2,$AP$1,AP$2,$D$18,$D$3,$D66,$E66,$F66,AP$3)</f>
        <v>0</v>
      </c>
      <c r="AQ66" s="25" cm="1">
        <f t="array" ref="AQ66">_xll.DBRW($E$2,AP$1,AP$2,$D$18,$D$3,$D66,$E66,$F66,$F$3,AQ$3)</f>
        <v>0</v>
      </c>
      <c r="AR66" s="25">
        <f>_xll.DBRW($C$2,$AP$1,AP$2,$D$18,$D$3,$D66,$E66,$F66,AR$3)</f>
        <v>0</v>
      </c>
      <c r="AS66" s="64">
        <f>_xll.DBRW($C$2,$AP$1,AP$2,$D$18,$D$3,$D66,$E66,$F66,AS$3)</f>
        <v>0</v>
      </c>
      <c r="AT66" s="58">
        <f>_xll.DBRW($C$2,$AP$1,AP$2,$D$18,$D$3,$D66,$E66,$F66,AT$3)</f>
        <v>0</v>
      </c>
      <c r="AU66" s="48">
        <f t="shared" si="29"/>
        <v>0</v>
      </c>
      <c r="AV66" s="39">
        <f>_xll.DBRW($C$2,$AV$1,AV$2,$D$18,$D$3,$D66,$E66,$F66,AV$3)</f>
        <v>0</v>
      </c>
      <c r="AW66" s="25" cm="1">
        <f t="array" ref="AW66">_xll.DBRW($E$2,AV$1,AV$2,$D$18,$D$3,$D66,$E66,$F66,$F$3,AW$3)</f>
        <v>0</v>
      </c>
      <c r="AX66" s="25">
        <f>_xll.DBRW($C$2,$AV$1,AV$2,$D$18,$D$3,$D66,$E66,$F66,AX$3)</f>
        <v>0</v>
      </c>
      <c r="AY66" s="64">
        <f>_xll.DBRW($C$2,$AV$1,AV$2,$D$18,$D$3,$D66,$E66,$F66,AY$3)</f>
        <v>0</v>
      </c>
      <c r="AZ66" s="58">
        <f>_xll.DBRW($C$2,$AV$1,AV$2,$D$18,$D$3,$D66,$E66,$F66,AZ$3)</f>
        <v>0</v>
      </c>
      <c r="BA66" s="48">
        <f t="shared" si="30"/>
        <v>0</v>
      </c>
      <c r="BB66" s="39">
        <f>_xll.DBRW($C$2,$BB$1,BB$2,$D$18,$D$3,$D66,$E66,$F66,BB$3)</f>
        <v>0</v>
      </c>
      <c r="BC66" s="25" cm="1">
        <f t="array" ref="BC66">_xll.DBRW($E$2,BB$1,BB$2,$D$18,$D$3,$D66,$E66,$F66,$F$3,BC$3)</f>
        <v>0</v>
      </c>
      <c r="BD66" s="25">
        <f>_xll.DBRW($C$2,$BB$1,BB$2,$D$18,$D$3,$D66,$E66,$F66,BD$3)</f>
        <v>0</v>
      </c>
      <c r="BE66" s="64">
        <f>_xll.DBRW($C$2,$BB$1,BB$2,$D$18,$D$3,$D66,$E66,$F66,BE$3)</f>
        <v>0</v>
      </c>
      <c r="BF66" s="58">
        <f>_xll.DBRW($C$2,$BB$1,BB$2,$D$18,$D$3,$D66,$E66,$F66,BF$3)</f>
        <v>0</v>
      </c>
      <c r="BG66" s="48">
        <f t="shared" si="31"/>
        <v>0</v>
      </c>
      <c r="BH66" s="39">
        <f>_xll.DBRW($C$2,$BH$1,BH$2,$D$18,$D$3,$D66,$E66,$F66,BH$3)</f>
        <v>0</v>
      </c>
      <c r="BI66" s="25" cm="1">
        <f t="array" ref="BI66">_xll.DBRW($E$2,BH$1,BH$2,$D$18,$D$3,$D66,$E66,$F66,$F$3,BI$3)</f>
        <v>0</v>
      </c>
      <c r="BJ66" s="25">
        <f>_xll.DBRW($C$2,$BH$1,BH$2,$D$18,$D$3,$D66,$E66,$F66,BJ$3)</f>
        <v>0</v>
      </c>
      <c r="BK66" s="64">
        <f>_xll.DBRW($C$2,$BH$1,BH$2,$D$18,$D$3,$D66,$E66,$F66,BK$3)</f>
        <v>0</v>
      </c>
      <c r="BL66" s="58">
        <f>_xll.DBRW($C$2,$BH$1,BH$2,$D$18,$D$3,$D66,$E66,$F66,BL$3)</f>
        <v>0</v>
      </c>
      <c r="BM66" s="48">
        <f t="shared" si="32"/>
        <v>0</v>
      </c>
      <c r="BN66" s="39">
        <f>_xll.DBRW($C$2,$BN$1,BN$2,$D$18,$D$3,$D66,$E66,$F66,BN$3)</f>
        <v>0</v>
      </c>
      <c r="BO66" s="25" cm="1">
        <f t="array" ref="BO66">_xll.DBRW($E$2,BN$1,BN$2,$D$18,$D$3,$D66,$E66,$F66,$F$3,BO$3)</f>
        <v>0</v>
      </c>
      <c r="BP66" s="25">
        <f>_xll.DBRW($C$2,$BN$1,BN$2,$D$18,$D$3,$D66,$E66,$F66,BP$3)</f>
        <v>0</v>
      </c>
      <c r="BQ66" s="64">
        <f>_xll.DBRW($C$2,$BN$1,BN$2,$D$18,$D$3,$D66,$E66,$F66,BQ$3)</f>
        <v>0</v>
      </c>
      <c r="BR66" s="58">
        <f>_xll.DBRW($C$2,$BN$1,BN$2,$D$18,$D$3,$D66,$E66,$F66,BR$3)</f>
        <v>0</v>
      </c>
      <c r="BS66" s="48">
        <f t="shared" si="33"/>
        <v>0</v>
      </c>
      <c r="BT66" s="39">
        <f>_xll.DBRW($C$2,$BT$1,BT$2,$D$18,$D$3,$D66,$E66,$F66,BT$3)</f>
        <v>0</v>
      </c>
      <c r="BU66" s="25" cm="1">
        <f t="array" ref="BU66">_xll.DBRW($E$2,BT$1,BT$2,$D$18,$D$3,$D66,$E66,$F66,$F$3,BU$3)</f>
        <v>0</v>
      </c>
      <c r="BV66" s="25">
        <f>_xll.DBRW($C$2,$BT$1,BT$2,$D$18,$D$3,$D66,$E66,$F66,BV$3)</f>
        <v>0</v>
      </c>
      <c r="BW66" s="64">
        <f>_xll.DBRW($C$2,$BT$1,BT$2,$D$18,$D$3,$D66,$E66,$F66,BW$3)</f>
        <v>0</v>
      </c>
      <c r="BX66" s="58">
        <f>_xll.DBRW($C$2,$BT$1,BT$2,$D$18,$D$3,$D66,$E66,$F66,BX$3)</f>
        <v>0</v>
      </c>
      <c r="BY66" s="48">
        <f t="shared" si="34"/>
        <v>0</v>
      </c>
      <c r="BZ66" s="39">
        <f>_xll.DBRW($C$2,$BZ$1,BZ$2,$D$18,$D$3,$D66,$E66,$F66,BZ$3)</f>
        <v>0</v>
      </c>
      <c r="CA66" s="25" cm="1">
        <f t="array" ref="CA66">_xll.DBRW($E$2,BZ$1,BZ$2,$D$18,$D$3,$D66,$E66,$F66,$F$3,CA$3)</f>
        <v>0</v>
      </c>
      <c r="CB66" s="25">
        <f>_xll.DBRW($C$2,$BZ$1,BZ$2,$D$18,$D$3,$D66,$E66,$F66,CB$3)</f>
        <v>0</v>
      </c>
      <c r="CC66" s="64">
        <f>_xll.DBRW($C$2,$BZ$1,BZ$2,$D$18,$D$3,$D66,$E66,$F66,CC$3)</f>
        <v>0</v>
      </c>
      <c r="CD66" s="58">
        <f>_xll.DBRW($C$2,$BZ$1,BZ$2,$D$18,$D$3,$D66,$E66,$F66,CD$3)</f>
        <v>0</v>
      </c>
      <c r="CE66" s="48">
        <f t="shared" si="35"/>
        <v>0</v>
      </c>
    </row>
    <row r="67" spans="1:83" s="23" customFormat="1" outlineLevel="1" thickBot="1" x14ac:dyDescent="0.3">
      <c r="A67" s="91" t="str">
        <f>IF(_xll.TM1RPTELISCONSOLIDATED($F$22,$F67),IF(_xll.TM1RPTELLEV($F$22,$F67)&lt;=5,_xll.TM1RPTELLEV($F$22,$F67),"Default"),"Leaf")</f>
        <v>Leaf</v>
      </c>
      <c r="B67" s="24" t="str">
        <f>_xll.DBRW("TM1-S1_DEV:}ElementAttributes_SP_SKU",$D67,B$1)</f>
        <v>Primary</v>
      </c>
      <c r="C67" s="24" t="str">
        <f>_xll.DBRW("TM1-S1_DEV:}ElementAttributes_SP_SKU",$D67,C$1)</f>
        <v>CAKE</v>
      </c>
      <c r="D67" s="28" t="s">
        <v>390</v>
      </c>
      <c r="E67" s="28" t="s">
        <v>217</v>
      </c>
      <c r="F67" s="28" t="s">
        <v>17</v>
      </c>
      <c r="G67" s="4">
        <f>_xll.DBRW($C$2,$G$19,G$20,$D$18,$D$3,$D67,$E67,$F67,G$3)</f>
        <v>24</v>
      </c>
      <c r="H67" s="54">
        <f t="shared" si="24"/>
        <v>-2</v>
      </c>
      <c r="I67" s="4"/>
      <c r="J67" s="25">
        <f>_xll.DBRW($C$2,$J$1,J$2,$D$18,$D$3,$D67,$E67,$F67,J$3)</f>
        <v>22</v>
      </c>
      <c r="K67" s="39">
        <f>_xll.DBRW($C$2,$J$1,J$2,$D$18,$D$3,$D67,$E67,$F67,K$3)</f>
        <v>0</v>
      </c>
      <c r="L67" s="25">
        <f>_xll.DBRW($C$2,$J$1,J$2,$D$18,$D$3,$D67,$E67,$F67,L$3)</f>
        <v>0</v>
      </c>
      <c r="M67" s="25">
        <f>_xll.DBRW($C$2,$J$1,J$2,$D$18,$D$3,$D67,$E67,$F67,M$3)</f>
        <v>0</v>
      </c>
      <c r="N67" s="25">
        <f>_xll.DBRW($C$2,$J$1,J$2,$D$18,$D$3,$D67,$E67,$F67,N$3)</f>
        <v>8</v>
      </c>
      <c r="O67" s="64">
        <f>_xll.DBRW($C$2,$J$1,J$2,$D$18,$D$3,$D67,$E67,$F67,O$3)</f>
        <v>1</v>
      </c>
      <c r="P67" s="58">
        <f>_xll.DBRW($C$2,$J$1,J$2,$D$18,$D$3,$D67,$E67,$F67,P$3)</f>
        <v>0</v>
      </c>
      <c r="Q67" s="48">
        <f>_xll.DBRW($C$2,$J$1,J$2,$D$18,$D$3,$D67,$E67,$F67,Q$3)</f>
        <v>14</v>
      </c>
      <c r="R67" s="39">
        <f>_xll.DBRW($C$2,$R$1,R$2,$D$18,$D$3,$D67,$E67,$F67,R$3)</f>
        <v>0</v>
      </c>
      <c r="S67" s="25" cm="1">
        <f t="array" ref="S67">_xll.DBRW($E$2,R$1,R$2,$D$18,$D$3,$D67,$E67,$F67,$F$3,S$3)</f>
        <v>0</v>
      </c>
      <c r="T67" s="25">
        <f>_xll.DBRW($C$2,$R$1,R$2,$D$18,$D$3,$D67,$E67,$F67,T$3)</f>
        <v>0</v>
      </c>
      <c r="U67" s="64">
        <f>_xll.DBRW($C$2,$R$1,R$2,$D$18,$D$3,$D67,$E67,$F67,U$3)</f>
        <v>0</v>
      </c>
      <c r="V67" s="58">
        <f>_xll.DBRW($C$2,$R$1,R$2,$D$18,$D$3,$D67,$E67,$F67,V$3)</f>
        <v>0</v>
      </c>
      <c r="W67" s="48">
        <f t="shared" si="25"/>
        <v>14</v>
      </c>
      <c r="X67" s="39">
        <f>_xll.DBRW($C$2,$X$1,X$2,$D$18,$D$3,$D67,$E67,$F67,X$3)</f>
        <v>0</v>
      </c>
      <c r="Y67" s="25" cm="1">
        <f t="array" ref="Y67">_xll.DBRW($E$2,X$1,X$2,$D$18,$D$3,$D67,$E67,$F67,$F$3,Y$3)</f>
        <v>0</v>
      </c>
      <c r="Z67" s="25">
        <f>_xll.DBRW($C$2,$X$1,X$2,$D$18,$D$3,$D67,$E67,$F67,Z$3)</f>
        <v>4</v>
      </c>
      <c r="AA67" s="64">
        <f>_xll.DBRW($C$2,$X$1,X$2,$D$18,$D$3,$D67,$E67,$F67,AA$3)</f>
        <v>0</v>
      </c>
      <c r="AB67" s="58">
        <f>_xll.DBRW($C$2,$X$1,X$2,$D$18,$D$3,$D67,$E67,$F67,AB$3)</f>
        <v>0</v>
      </c>
      <c r="AC67" s="48">
        <f t="shared" si="26"/>
        <v>10</v>
      </c>
      <c r="AD67" s="39">
        <f>_xll.DBRW($C$2,$AD$1,AD$2,$D$18,$D$3,$D67,$E67,$F67,AD$3)</f>
        <v>0</v>
      </c>
      <c r="AE67" s="25" cm="1">
        <f t="array" ref="AE67">_xll.DBRW($E$2,AD$1,AD$2,$D$18,$D$3,$D67,$E67,$F67,$F$3,AE$3)</f>
        <v>0</v>
      </c>
      <c r="AF67" s="25">
        <f>_xll.DBRW($C$2,$AD$1,AD$2,$D$18,$D$3,$D67,$E67,$F67,AF$3)</f>
        <v>4</v>
      </c>
      <c r="AG67" s="64">
        <f>_xll.DBRW($C$2,$AD$1,AD$2,$D$18,$D$3,$D67,$E67,$F67,AG$3)</f>
        <v>0</v>
      </c>
      <c r="AH67" s="58">
        <f>_xll.DBRW($C$2,$AD$1,AD$2,$D$18,$D$3,$D67,$E67,$F67,AH$3)</f>
        <v>0</v>
      </c>
      <c r="AI67" s="48">
        <f t="shared" si="27"/>
        <v>6</v>
      </c>
      <c r="AJ67" s="39">
        <f>_xll.DBRW($C$2,$AJ$1,AJ$2,$D$18,$D$3,$D67,$E67,$F67,AJ$3)</f>
        <v>0</v>
      </c>
      <c r="AK67" s="25" cm="1">
        <f t="array" ref="AK67">_xll.DBRW($E$2,AJ$1,AJ$2,$D$18,$D$3,$D67,$E67,$F67,$F$3,AK$3)</f>
        <v>0</v>
      </c>
      <c r="AL67" s="25">
        <f>_xll.DBRW($C$2,$AJ$1,AJ$2,$D$18,$D$3,$D67,$E67,$F67,AL$3)</f>
        <v>4</v>
      </c>
      <c r="AM67" s="64">
        <f>_xll.DBRW($C$2,$AJ$1,AJ$2,$D$18,$D$3,$D67,$E67,$F67,AM$3)</f>
        <v>0</v>
      </c>
      <c r="AN67" s="58">
        <f>_xll.DBRW($C$2,$AJ$1,AJ$2,$D$18,$D$3,$D67,$E67,$F67,AN$3)</f>
        <v>0</v>
      </c>
      <c r="AO67" s="48">
        <f t="shared" si="28"/>
        <v>2</v>
      </c>
      <c r="AP67" s="39">
        <f>_xll.DBRW($C$2,$AP$1,AP$2,$D$18,$D$3,$D67,$E67,$F67,AP$3)</f>
        <v>0</v>
      </c>
      <c r="AQ67" s="25" cm="1">
        <f t="array" ref="AQ67">_xll.DBRW($E$2,AP$1,AP$2,$D$18,$D$3,$D67,$E67,$F67,$F$3,AQ$3)</f>
        <v>0</v>
      </c>
      <c r="AR67" s="25">
        <f>_xll.DBRW($C$2,$AP$1,AP$2,$D$18,$D$3,$D67,$E67,$F67,AR$3)</f>
        <v>4</v>
      </c>
      <c r="AS67" s="64">
        <f>_xll.DBRW($C$2,$AP$1,AP$2,$D$18,$D$3,$D67,$E67,$F67,AS$3)</f>
        <v>0</v>
      </c>
      <c r="AT67" s="58">
        <f>_xll.DBRW($C$2,$AP$1,AP$2,$D$18,$D$3,$D67,$E67,$F67,AT$3)</f>
        <v>0</v>
      </c>
      <c r="AU67" s="48">
        <f t="shared" si="29"/>
        <v>-2</v>
      </c>
      <c r="AV67" s="39">
        <f>_xll.DBRW($C$2,$AV$1,AV$2,$D$18,$D$3,$D67,$E67,$F67,AV$3)</f>
        <v>0</v>
      </c>
      <c r="AW67" s="25" cm="1">
        <f t="array" ref="AW67">_xll.DBRW($E$2,AV$1,AV$2,$D$18,$D$3,$D67,$E67,$F67,$F$3,AW$3)</f>
        <v>0</v>
      </c>
      <c r="AX67" s="25">
        <f>_xll.DBRW($C$2,$AV$1,AV$2,$D$18,$D$3,$D67,$E67,$F67,AX$3)</f>
        <v>4</v>
      </c>
      <c r="AY67" s="64">
        <f>_xll.DBRW($C$2,$AV$1,AV$2,$D$18,$D$3,$D67,$E67,$F67,AY$3)</f>
        <v>0</v>
      </c>
      <c r="AZ67" s="58">
        <f>_xll.DBRW($C$2,$AV$1,AV$2,$D$18,$D$3,$D67,$E67,$F67,AZ$3)</f>
        <v>0</v>
      </c>
      <c r="BA67" s="48">
        <f t="shared" si="30"/>
        <v>-6</v>
      </c>
      <c r="BB67" s="39">
        <f>_xll.DBRW($C$2,$BB$1,BB$2,$D$18,$D$3,$D67,$E67,$F67,BB$3)</f>
        <v>0</v>
      </c>
      <c r="BC67" s="25" cm="1">
        <f t="array" ref="BC67">_xll.DBRW($E$2,BB$1,BB$2,$D$18,$D$3,$D67,$E67,$F67,$F$3,BC$3)</f>
        <v>0</v>
      </c>
      <c r="BD67" s="25">
        <f>_xll.DBRW($C$2,$BB$1,BB$2,$D$18,$D$3,$D67,$E67,$F67,BD$3)</f>
        <v>4</v>
      </c>
      <c r="BE67" s="64">
        <f>_xll.DBRW($C$2,$BB$1,BB$2,$D$18,$D$3,$D67,$E67,$F67,BE$3)</f>
        <v>0</v>
      </c>
      <c r="BF67" s="58">
        <f>_xll.DBRW($C$2,$BB$1,BB$2,$D$18,$D$3,$D67,$E67,$F67,BF$3)</f>
        <v>0</v>
      </c>
      <c r="BG67" s="48">
        <f t="shared" si="31"/>
        <v>-10</v>
      </c>
      <c r="BH67" s="39">
        <f>_xll.DBRW($C$2,$BH$1,BH$2,$D$18,$D$3,$D67,$E67,$F67,BH$3)</f>
        <v>0</v>
      </c>
      <c r="BI67" s="25" cm="1">
        <f t="array" ref="BI67">_xll.DBRW($E$2,BH$1,BH$2,$D$18,$D$3,$D67,$E67,$F67,$F$3,BI$3)</f>
        <v>0</v>
      </c>
      <c r="BJ67" s="25">
        <f>_xll.DBRW($C$2,$BH$1,BH$2,$D$18,$D$3,$D67,$E67,$F67,BJ$3)</f>
        <v>4</v>
      </c>
      <c r="BK67" s="64">
        <f>_xll.DBRW($C$2,$BH$1,BH$2,$D$18,$D$3,$D67,$E67,$F67,BK$3)</f>
        <v>0</v>
      </c>
      <c r="BL67" s="58">
        <f>_xll.DBRW($C$2,$BH$1,BH$2,$D$18,$D$3,$D67,$E67,$F67,BL$3)</f>
        <v>0</v>
      </c>
      <c r="BM67" s="48">
        <f t="shared" si="32"/>
        <v>-14</v>
      </c>
      <c r="BN67" s="39">
        <f>_xll.DBRW($C$2,$BN$1,BN$2,$D$18,$D$3,$D67,$E67,$F67,BN$3)</f>
        <v>0</v>
      </c>
      <c r="BO67" s="25" cm="1">
        <f t="array" ref="BO67">_xll.DBRW($E$2,BN$1,BN$2,$D$18,$D$3,$D67,$E67,$F67,$F$3,BO$3)</f>
        <v>0</v>
      </c>
      <c r="BP67" s="25">
        <f>_xll.DBRW($C$2,$BN$1,BN$2,$D$18,$D$3,$D67,$E67,$F67,BP$3)</f>
        <v>4</v>
      </c>
      <c r="BQ67" s="64">
        <f>_xll.DBRW($C$2,$BN$1,BN$2,$D$18,$D$3,$D67,$E67,$F67,BQ$3)</f>
        <v>0</v>
      </c>
      <c r="BR67" s="58">
        <f>_xll.DBRW($C$2,$BN$1,BN$2,$D$18,$D$3,$D67,$E67,$F67,BR$3)</f>
        <v>0</v>
      </c>
      <c r="BS67" s="48">
        <f t="shared" si="33"/>
        <v>-18</v>
      </c>
      <c r="BT67" s="39">
        <f>_xll.DBRW($C$2,$BT$1,BT$2,$D$18,$D$3,$D67,$E67,$F67,BT$3)</f>
        <v>0</v>
      </c>
      <c r="BU67" s="25" cm="1">
        <f t="array" ref="BU67">_xll.DBRW($E$2,BT$1,BT$2,$D$18,$D$3,$D67,$E67,$F67,$F$3,BU$3)</f>
        <v>0</v>
      </c>
      <c r="BV67" s="25">
        <f>_xll.DBRW($C$2,$BT$1,BT$2,$D$18,$D$3,$D67,$E67,$F67,BV$3)</f>
        <v>4</v>
      </c>
      <c r="BW67" s="64">
        <f>_xll.DBRW($C$2,$BT$1,BT$2,$D$18,$D$3,$D67,$E67,$F67,BW$3)</f>
        <v>0</v>
      </c>
      <c r="BX67" s="58">
        <f>_xll.DBRW($C$2,$BT$1,BT$2,$D$18,$D$3,$D67,$E67,$F67,BX$3)</f>
        <v>0</v>
      </c>
      <c r="BY67" s="48">
        <f t="shared" si="34"/>
        <v>-22</v>
      </c>
      <c r="BZ67" s="39">
        <f>_xll.DBRW($C$2,$BZ$1,BZ$2,$D$18,$D$3,$D67,$E67,$F67,BZ$3)</f>
        <v>0</v>
      </c>
      <c r="CA67" s="25" cm="1">
        <f t="array" ref="CA67">_xll.DBRW($E$2,BZ$1,BZ$2,$D$18,$D$3,$D67,$E67,$F67,$F$3,CA$3)</f>
        <v>0</v>
      </c>
      <c r="CB67" s="25">
        <f>_xll.DBRW($C$2,$BZ$1,BZ$2,$D$18,$D$3,$D67,$E67,$F67,CB$3)</f>
        <v>4</v>
      </c>
      <c r="CC67" s="64">
        <f>_xll.DBRW($C$2,$BZ$1,BZ$2,$D$18,$D$3,$D67,$E67,$F67,CC$3)</f>
        <v>0</v>
      </c>
      <c r="CD67" s="58">
        <f>_xll.DBRW($C$2,$BZ$1,BZ$2,$D$18,$D$3,$D67,$E67,$F67,CD$3)</f>
        <v>0</v>
      </c>
      <c r="CE67" s="48">
        <f t="shared" si="35"/>
        <v>-26</v>
      </c>
    </row>
    <row r="68" spans="1:83" s="23" customFormat="1" outlineLevel="1" thickBot="1" x14ac:dyDescent="0.3">
      <c r="A68" s="91" t="str">
        <f>IF(_xll.TM1RPTELISCONSOLIDATED($F$22,$F68),IF(_xll.TM1RPTELLEV($F$22,$F68)&lt;=5,_xll.TM1RPTELLEV($F$22,$F68),"Default"),"Leaf")</f>
        <v>Leaf</v>
      </c>
      <c r="B68" s="24" t="str">
        <f>_xll.DBRW("TM1-S1_DEV:}ElementAttributes_SP_SKU",$D68,B$1)</f>
        <v>Primary</v>
      </c>
      <c r="C68" s="24" t="str">
        <f>_xll.DBRW("TM1-S1_DEV:}ElementAttributes_SP_SKU",$D68,C$1)</f>
        <v>CAKE</v>
      </c>
      <c r="D68" s="28" t="s">
        <v>391</v>
      </c>
      <c r="E68" s="28" t="s">
        <v>218</v>
      </c>
      <c r="F68" s="28" t="s">
        <v>17</v>
      </c>
      <c r="G68" s="4">
        <f>_xll.DBRW($C$2,$G$19,G$20,$D$18,$D$3,$D68,$E68,$F68,G$3)</f>
        <v>46</v>
      </c>
      <c r="H68" s="54">
        <f t="shared" si="24"/>
        <v>-4</v>
      </c>
      <c r="I68" s="4"/>
      <c r="J68" s="25">
        <f>_xll.DBRW($C$2,$J$1,J$2,$D$18,$D$3,$D68,$E68,$F68,J$3)</f>
        <v>42</v>
      </c>
      <c r="K68" s="39">
        <f>_xll.DBRW($C$2,$J$1,J$2,$D$18,$D$3,$D68,$E68,$F68,K$3)</f>
        <v>0</v>
      </c>
      <c r="L68" s="25">
        <f>_xll.DBRW($C$2,$J$1,J$2,$D$18,$D$3,$D68,$E68,$F68,L$3)</f>
        <v>0</v>
      </c>
      <c r="M68" s="25">
        <f>_xll.DBRW($C$2,$J$1,J$2,$D$18,$D$3,$D68,$E68,$F68,M$3)</f>
        <v>0</v>
      </c>
      <c r="N68" s="25">
        <f>_xll.DBRW($C$2,$J$1,J$2,$D$18,$D$3,$D68,$E68,$F68,N$3)</f>
        <v>3</v>
      </c>
      <c r="O68" s="64">
        <f>_xll.DBRW($C$2,$J$1,J$2,$D$18,$D$3,$D68,$E68,$F68,O$3)</f>
        <v>1</v>
      </c>
      <c r="P68" s="58">
        <f>_xll.DBRW($C$2,$J$1,J$2,$D$18,$D$3,$D68,$E68,$F68,P$3)</f>
        <v>0</v>
      </c>
      <c r="Q68" s="48">
        <f>_xll.DBRW($C$2,$J$1,J$2,$D$18,$D$3,$D68,$E68,$F68,Q$3)</f>
        <v>39</v>
      </c>
      <c r="R68" s="39">
        <f>_xll.DBRW($C$2,$R$1,R$2,$D$18,$D$3,$D68,$E68,$F68,R$3)</f>
        <v>0</v>
      </c>
      <c r="S68" s="25" cm="1">
        <f t="array" ref="S68">_xll.DBRW($E$2,R$1,R$2,$D$18,$D$3,$D68,$E68,$F68,$F$3,S$3)</f>
        <v>0</v>
      </c>
      <c r="T68" s="25">
        <f>_xll.DBRW($C$2,$R$1,R$2,$D$18,$D$3,$D68,$E68,$F68,T$3)</f>
        <v>0</v>
      </c>
      <c r="U68" s="64">
        <f>_xll.DBRW($C$2,$R$1,R$2,$D$18,$D$3,$D68,$E68,$F68,U$3)</f>
        <v>0</v>
      </c>
      <c r="V68" s="58">
        <f>_xll.DBRW($C$2,$R$1,R$2,$D$18,$D$3,$D68,$E68,$F68,V$3)</f>
        <v>0</v>
      </c>
      <c r="W68" s="48">
        <f t="shared" si="25"/>
        <v>39</v>
      </c>
      <c r="X68" s="39">
        <f>_xll.DBRW($C$2,$X$1,X$2,$D$18,$D$3,$D68,$E68,$F68,X$3)</f>
        <v>0</v>
      </c>
      <c r="Y68" s="25" cm="1">
        <f t="array" ref="Y68">_xll.DBRW($E$2,X$1,X$2,$D$18,$D$3,$D68,$E68,$F68,$F$3,Y$3)</f>
        <v>0</v>
      </c>
      <c r="Z68" s="25">
        <f>_xll.DBRW($C$2,$X$1,X$2,$D$18,$D$3,$D68,$E68,$F68,Z$3)</f>
        <v>3</v>
      </c>
      <c r="AA68" s="64">
        <f>_xll.DBRW($C$2,$X$1,X$2,$D$18,$D$3,$D68,$E68,$F68,AA$3)</f>
        <v>0</v>
      </c>
      <c r="AB68" s="58">
        <f>_xll.DBRW($C$2,$X$1,X$2,$D$18,$D$3,$D68,$E68,$F68,AB$3)</f>
        <v>0</v>
      </c>
      <c r="AC68" s="48">
        <f t="shared" si="26"/>
        <v>36</v>
      </c>
      <c r="AD68" s="39">
        <f>_xll.DBRW($C$2,$AD$1,AD$2,$D$18,$D$3,$D68,$E68,$F68,AD$3)</f>
        <v>0</v>
      </c>
      <c r="AE68" s="25" cm="1">
        <f t="array" ref="AE68">_xll.DBRW($E$2,AD$1,AD$2,$D$18,$D$3,$D68,$E68,$F68,$F$3,AE$3)</f>
        <v>0</v>
      </c>
      <c r="AF68" s="25">
        <f>_xll.DBRW($C$2,$AD$1,AD$2,$D$18,$D$3,$D68,$E68,$F68,AF$3)</f>
        <v>3</v>
      </c>
      <c r="AG68" s="64">
        <f>_xll.DBRW($C$2,$AD$1,AD$2,$D$18,$D$3,$D68,$E68,$F68,AG$3)</f>
        <v>0</v>
      </c>
      <c r="AH68" s="58">
        <f>_xll.DBRW($C$2,$AD$1,AD$2,$D$18,$D$3,$D68,$E68,$F68,AH$3)</f>
        <v>0</v>
      </c>
      <c r="AI68" s="48">
        <f t="shared" si="27"/>
        <v>33</v>
      </c>
      <c r="AJ68" s="39">
        <f>_xll.DBRW($C$2,$AJ$1,AJ$2,$D$18,$D$3,$D68,$E68,$F68,AJ$3)</f>
        <v>0</v>
      </c>
      <c r="AK68" s="25" cm="1">
        <f t="array" ref="AK68">_xll.DBRW($E$2,AJ$1,AJ$2,$D$18,$D$3,$D68,$E68,$F68,$F$3,AK$3)</f>
        <v>0</v>
      </c>
      <c r="AL68" s="25">
        <f>_xll.DBRW($C$2,$AJ$1,AJ$2,$D$18,$D$3,$D68,$E68,$F68,AL$3)</f>
        <v>3</v>
      </c>
      <c r="AM68" s="64">
        <f>_xll.DBRW($C$2,$AJ$1,AJ$2,$D$18,$D$3,$D68,$E68,$F68,AM$3)</f>
        <v>0</v>
      </c>
      <c r="AN68" s="58">
        <f>_xll.DBRW($C$2,$AJ$1,AJ$2,$D$18,$D$3,$D68,$E68,$F68,AN$3)</f>
        <v>0</v>
      </c>
      <c r="AO68" s="48">
        <f t="shared" si="28"/>
        <v>30</v>
      </c>
      <c r="AP68" s="39">
        <f>_xll.DBRW($C$2,$AP$1,AP$2,$D$18,$D$3,$D68,$E68,$F68,AP$3)</f>
        <v>0</v>
      </c>
      <c r="AQ68" s="25" cm="1">
        <f t="array" ref="AQ68">_xll.DBRW($E$2,AP$1,AP$2,$D$18,$D$3,$D68,$E68,$F68,$F$3,AQ$3)</f>
        <v>0</v>
      </c>
      <c r="AR68" s="25">
        <f>_xll.DBRW($C$2,$AP$1,AP$2,$D$18,$D$3,$D68,$E68,$F68,AR$3)</f>
        <v>3</v>
      </c>
      <c r="AS68" s="64">
        <f>_xll.DBRW($C$2,$AP$1,AP$2,$D$18,$D$3,$D68,$E68,$F68,AS$3)</f>
        <v>0</v>
      </c>
      <c r="AT68" s="58">
        <f>_xll.DBRW($C$2,$AP$1,AP$2,$D$18,$D$3,$D68,$E68,$F68,AT$3)</f>
        <v>0</v>
      </c>
      <c r="AU68" s="48">
        <f t="shared" si="29"/>
        <v>27</v>
      </c>
      <c r="AV68" s="39">
        <f>_xll.DBRW($C$2,$AV$1,AV$2,$D$18,$D$3,$D68,$E68,$F68,AV$3)</f>
        <v>0</v>
      </c>
      <c r="AW68" s="25" cm="1">
        <f t="array" ref="AW68">_xll.DBRW($E$2,AV$1,AV$2,$D$18,$D$3,$D68,$E68,$F68,$F$3,AW$3)</f>
        <v>0</v>
      </c>
      <c r="AX68" s="25">
        <f>_xll.DBRW($C$2,$AV$1,AV$2,$D$18,$D$3,$D68,$E68,$F68,AX$3)</f>
        <v>3</v>
      </c>
      <c r="AY68" s="64">
        <f>_xll.DBRW($C$2,$AV$1,AV$2,$D$18,$D$3,$D68,$E68,$F68,AY$3)</f>
        <v>0</v>
      </c>
      <c r="AZ68" s="58">
        <f>_xll.DBRW($C$2,$AV$1,AV$2,$D$18,$D$3,$D68,$E68,$F68,AZ$3)</f>
        <v>0</v>
      </c>
      <c r="BA68" s="48">
        <f t="shared" si="30"/>
        <v>24</v>
      </c>
      <c r="BB68" s="39">
        <f>_xll.DBRW($C$2,$BB$1,BB$2,$D$18,$D$3,$D68,$E68,$F68,BB$3)</f>
        <v>0</v>
      </c>
      <c r="BC68" s="25" cm="1">
        <f t="array" ref="BC68">_xll.DBRW($E$2,BB$1,BB$2,$D$18,$D$3,$D68,$E68,$F68,$F$3,BC$3)</f>
        <v>0</v>
      </c>
      <c r="BD68" s="25">
        <f>_xll.DBRW($C$2,$BB$1,BB$2,$D$18,$D$3,$D68,$E68,$F68,BD$3)</f>
        <v>3</v>
      </c>
      <c r="BE68" s="64">
        <f>_xll.DBRW($C$2,$BB$1,BB$2,$D$18,$D$3,$D68,$E68,$F68,BE$3)</f>
        <v>0</v>
      </c>
      <c r="BF68" s="58">
        <f>_xll.DBRW($C$2,$BB$1,BB$2,$D$18,$D$3,$D68,$E68,$F68,BF$3)</f>
        <v>0</v>
      </c>
      <c r="BG68" s="48">
        <f t="shared" si="31"/>
        <v>21</v>
      </c>
      <c r="BH68" s="39">
        <f>_xll.DBRW($C$2,$BH$1,BH$2,$D$18,$D$3,$D68,$E68,$F68,BH$3)</f>
        <v>0</v>
      </c>
      <c r="BI68" s="25" cm="1">
        <f t="array" ref="BI68">_xll.DBRW($E$2,BH$1,BH$2,$D$18,$D$3,$D68,$E68,$F68,$F$3,BI$3)</f>
        <v>0</v>
      </c>
      <c r="BJ68" s="25">
        <f>_xll.DBRW($C$2,$BH$1,BH$2,$D$18,$D$3,$D68,$E68,$F68,BJ$3)</f>
        <v>3</v>
      </c>
      <c r="BK68" s="64">
        <f>_xll.DBRW($C$2,$BH$1,BH$2,$D$18,$D$3,$D68,$E68,$F68,BK$3)</f>
        <v>0</v>
      </c>
      <c r="BL68" s="58">
        <f>_xll.DBRW($C$2,$BH$1,BH$2,$D$18,$D$3,$D68,$E68,$F68,BL$3)</f>
        <v>0</v>
      </c>
      <c r="BM68" s="48">
        <f t="shared" si="32"/>
        <v>18</v>
      </c>
      <c r="BN68" s="39">
        <f>_xll.DBRW($C$2,$BN$1,BN$2,$D$18,$D$3,$D68,$E68,$F68,BN$3)</f>
        <v>0</v>
      </c>
      <c r="BO68" s="25" cm="1">
        <f t="array" ref="BO68">_xll.DBRW($E$2,BN$1,BN$2,$D$18,$D$3,$D68,$E68,$F68,$F$3,BO$3)</f>
        <v>0</v>
      </c>
      <c r="BP68" s="25">
        <f>_xll.DBRW($C$2,$BN$1,BN$2,$D$18,$D$3,$D68,$E68,$F68,BP$3)</f>
        <v>3</v>
      </c>
      <c r="BQ68" s="64">
        <f>_xll.DBRW($C$2,$BN$1,BN$2,$D$18,$D$3,$D68,$E68,$F68,BQ$3)</f>
        <v>0</v>
      </c>
      <c r="BR68" s="58">
        <f>_xll.DBRW($C$2,$BN$1,BN$2,$D$18,$D$3,$D68,$E68,$F68,BR$3)</f>
        <v>0</v>
      </c>
      <c r="BS68" s="48">
        <f t="shared" si="33"/>
        <v>15</v>
      </c>
      <c r="BT68" s="39">
        <f>_xll.DBRW($C$2,$BT$1,BT$2,$D$18,$D$3,$D68,$E68,$F68,BT$3)</f>
        <v>0</v>
      </c>
      <c r="BU68" s="25" cm="1">
        <f t="array" ref="BU68">_xll.DBRW($E$2,BT$1,BT$2,$D$18,$D$3,$D68,$E68,$F68,$F$3,BU$3)</f>
        <v>0</v>
      </c>
      <c r="BV68" s="25">
        <f>_xll.DBRW($C$2,$BT$1,BT$2,$D$18,$D$3,$D68,$E68,$F68,BV$3)</f>
        <v>3</v>
      </c>
      <c r="BW68" s="64">
        <f>_xll.DBRW($C$2,$BT$1,BT$2,$D$18,$D$3,$D68,$E68,$F68,BW$3)</f>
        <v>0</v>
      </c>
      <c r="BX68" s="58">
        <f>_xll.DBRW($C$2,$BT$1,BT$2,$D$18,$D$3,$D68,$E68,$F68,BX$3)</f>
        <v>0</v>
      </c>
      <c r="BY68" s="48">
        <f t="shared" si="34"/>
        <v>12</v>
      </c>
      <c r="BZ68" s="39">
        <f>_xll.DBRW($C$2,$BZ$1,BZ$2,$D$18,$D$3,$D68,$E68,$F68,BZ$3)</f>
        <v>0</v>
      </c>
      <c r="CA68" s="25" cm="1">
        <f t="array" ref="CA68">_xll.DBRW($E$2,BZ$1,BZ$2,$D$18,$D$3,$D68,$E68,$F68,$F$3,CA$3)</f>
        <v>0</v>
      </c>
      <c r="CB68" s="25">
        <f>_xll.DBRW($C$2,$BZ$1,BZ$2,$D$18,$D$3,$D68,$E68,$F68,CB$3)</f>
        <v>3</v>
      </c>
      <c r="CC68" s="64">
        <f>_xll.DBRW($C$2,$BZ$1,BZ$2,$D$18,$D$3,$D68,$E68,$F68,CC$3)</f>
        <v>0</v>
      </c>
      <c r="CD68" s="58">
        <f>_xll.DBRW($C$2,$BZ$1,BZ$2,$D$18,$D$3,$D68,$E68,$F68,CD$3)</f>
        <v>0</v>
      </c>
      <c r="CE68" s="48">
        <f t="shared" si="35"/>
        <v>9</v>
      </c>
    </row>
    <row r="69" spans="1:83" s="23" customFormat="1" outlineLevel="1" thickBot="1" x14ac:dyDescent="0.3">
      <c r="A69" s="91" t="str">
        <f>IF(_xll.TM1RPTELISCONSOLIDATED($F$22,$F69),IF(_xll.TM1RPTELLEV($F$22,$F69)&lt;=5,_xll.TM1RPTELLEV($F$22,$F69),"Default"),"Leaf")</f>
        <v>Leaf</v>
      </c>
      <c r="B69" s="24" t="str">
        <f>_xll.DBRW("TM1-S1_DEV:}ElementAttributes_SP_SKU",$D69,B$1)</f>
        <v>Primary</v>
      </c>
      <c r="C69" s="24" t="str">
        <f>_xll.DBRW("TM1-S1_DEV:}ElementAttributes_SP_SKU",$D69,C$1)</f>
        <v>CONDIMENT</v>
      </c>
      <c r="D69" s="28" t="s">
        <v>392</v>
      </c>
      <c r="E69" s="28" t="s">
        <v>219</v>
      </c>
      <c r="F69" s="28" t="s">
        <v>60</v>
      </c>
      <c r="G69" s="4">
        <f>_xll.DBRW($C$2,$G$19,G$20,$D$18,$D$3,$D69,$E69,$F69,G$3)</f>
        <v>14</v>
      </c>
      <c r="H69" s="54">
        <f t="shared" si="24"/>
        <v>11</v>
      </c>
      <c r="I69" s="4"/>
      <c r="J69" s="25">
        <f>_xll.DBRW($C$2,$J$1,J$2,$D$18,$D$3,$D69,$E69,$F69,J$3)</f>
        <v>25</v>
      </c>
      <c r="K69" s="39">
        <f>_xll.DBRW($C$2,$J$1,J$2,$D$18,$D$3,$D69,$E69,$F69,K$3)</f>
        <v>0</v>
      </c>
      <c r="L69" s="25">
        <f>_xll.DBRW($C$2,$J$1,J$2,$D$18,$D$3,$D69,$E69,$F69,L$3)</f>
        <v>0</v>
      </c>
      <c r="M69" s="25">
        <f>_xll.DBRW($C$2,$J$1,J$2,$D$18,$D$3,$D69,$E69,$F69,M$3)</f>
        <v>0</v>
      </c>
      <c r="N69" s="25">
        <f>_xll.DBRW($C$2,$J$1,J$2,$D$18,$D$3,$D69,$E69,$F69,N$3)</f>
        <v>7</v>
      </c>
      <c r="O69" s="64">
        <f>_xll.DBRW($C$2,$J$1,J$2,$D$18,$D$3,$D69,$E69,$F69,O$3)</f>
        <v>1</v>
      </c>
      <c r="P69" s="58">
        <f>_xll.DBRW($C$2,$J$1,J$2,$D$18,$D$3,$D69,$E69,$F69,P$3)</f>
        <v>0</v>
      </c>
      <c r="Q69" s="48">
        <f>_xll.DBRW($C$2,$J$1,J$2,$D$18,$D$3,$D69,$E69,$F69,Q$3)</f>
        <v>18</v>
      </c>
      <c r="R69" s="39">
        <f>_xll.DBRW($C$2,$R$1,R$2,$D$18,$D$3,$D69,$E69,$F69,R$3)</f>
        <v>0</v>
      </c>
      <c r="S69" s="25" cm="1">
        <f t="array" ref="S69">_xll.DBRW($E$2,R$1,R$2,$D$18,$D$3,$D69,$E69,$F69,$F$3,S$3)</f>
        <v>0</v>
      </c>
      <c r="T69" s="25">
        <f>_xll.DBRW($C$2,$R$1,R$2,$D$18,$D$3,$D69,$E69,$F69,T$3)</f>
        <v>0</v>
      </c>
      <c r="U69" s="64">
        <f>_xll.DBRW($C$2,$R$1,R$2,$D$18,$D$3,$D69,$E69,$F69,U$3)</f>
        <v>0</v>
      </c>
      <c r="V69" s="58">
        <f>_xll.DBRW($C$2,$R$1,R$2,$D$18,$D$3,$D69,$E69,$F69,V$3)</f>
        <v>0</v>
      </c>
      <c r="W69" s="48">
        <f t="shared" si="25"/>
        <v>18</v>
      </c>
      <c r="X69" s="39">
        <f>_xll.DBRW($C$2,$X$1,X$2,$D$18,$D$3,$D69,$E69,$F69,X$3)</f>
        <v>0</v>
      </c>
      <c r="Y69" s="25" cm="1">
        <f t="array" ref="Y69">_xll.DBRW($E$2,X$1,X$2,$D$18,$D$3,$D69,$E69,$F69,$F$3,Y$3)</f>
        <v>0</v>
      </c>
      <c r="Z69" s="25">
        <f>_xll.DBRW($C$2,$X$1,X$2,$D$18,$D$3,$D69,$E69,$F69,Z$3)</f>
        <v>1</v>
      </c>
      <c r="AA69" s="64">
        <f>_xll.DBRW($C$2,$X$1,X$2,$D$18,$D$3,$D69,$E69,$F69,AA$3)</f>
        <v>0</v>
      </c>
      <c r="AB69" s="58">
        <f>_xll.DBRW($C$2,$X$1,X$2,$D$18,$D$3,$D69,$E69,$F69,AB$3)</f>
        <v>0</v>
      </c>
      <c r="AC69" s="48">
        <f t="shared" si="26"/>
        <v>17</v>
      </c>
      <c r="AD69" s="39">
        <f>_xll.DBRW($C$2,$AD$1,AD$2,$D$18,$D$3,$D69,$E69,$F69,AD$3)</f>
        <v>0</v>
      </c>
      <c r="AE69" s="25" cm="1">
        <f t="array" ref="AE69">_xll.DBRW($E$2,AD$1,AD$2,$D$18,$D$3,$D69,$E69,$F69,$F$3,AE$3)</f>
        <v>0</v>
      </c>
      <c r="AF69" s="25">
        <f>_xll.DBRW($C$2,$AD$1,AD$2,$D$18,$D$3,$D69,$E69,$F69,AF$3)</f>
        <v>1</v>
      </c>
      <c r="AG69" s="64">
        <f>_xll.DBRW($C$2,$AD$1,AD$2,$D$18,$D$3,$D69,$E69,$F69,AG$3)</f>
        <v>0</v>
      </c>
      <c r="AH69" s="58">
        <f>_xll.DBRW($C$2,$AD$1,AD$2,$D$18,$D$3,$D69,$E69,$F69,AH$3)</f>
        <v>0</v>
      </c>
      <c r="AI69" s="48">
        <f t="shared" si="27"/>
        <v>16</v>
      </c>
      <c r="AJ69" s="39">
        <f>_xll.DBRW($C$2,$AJ$1,AJ$2,$D$18,$D$3,$D69,$E69,$F69,AJ$3)</f>
        <v>0</v>
      </c>
      <c r="AK69" s="25" cm="1">
        <f t="array" ref="AK69">_xll.DBRW($E$2,AJ$1,AJ$2,$D$18,$D$3,$D69,$E69,$F69,$F$3,AK$3)</f>
        <v>0</v>
      </c>
      <c r="AL69" s="25">
        <f>_xll.DBRW($C$2,$AJ$1,AJ$2,$D$18,$D$3,$D69,$E69,$F69,AL$3)</f>
        <v>1</v>
      </c>
      <c r="AM69" s="64">
        <f>_xll.DBRW($C$2,$AJ$1,AJ$2,$D$18,$D$3,$D69,$E69,$F69,AM$3)</f>
        <v>0</v>
      </c>
      <c r="AN69" s="58">
        <f>_xll.DBRW($C$2,$AJ$1,AJ$2,$D$18,$D$3,$D69,$E69,$F69,AN$3)</f>
        <v>0</v>
      </c>
      <c r="AO69" s="48">
        <f t="shared" si="28"/>
        <v>15</v>
      </c>
      <c r="AP69" s="39">
        <f>_xll.DBRW($C$2,$AP$1,AP$2,$D$18,$D$3,$D69,$E69,$F69,AP$3)</f>
        <v>0</v>
      </c>
      <c r="AQ69" s="25" cm="1">
        <f t="array" ref="AQ69">_xll.DBRW($E$2,AP$1,AP$2,$D$18,$D$3,$D69,$E69,$F69,$F$3,AQ$3)</f>
        <v>0</v>
      </c>
      <c r="AR69" s="25">
        <f>_xll.DBRW($C$2,$AP$1,AP$2,$D$18,$D$3,$D69,$E69,$F69,AR$3)</f>
        <v>1</v>
      </c>
      <c r="AS69" s="64">
        <f>_xll.DBRW($C$2,$AP$1,AP$2,$D$18,$D$3,$D69,$E69,$F69,AS$3)</f>
        <v>0</v>
      </c>
      <c r="AT69" s="58">
        <f>_xll.DBRW($C$2,$AP$1,AP$2,$D$18,$D$3,$D69,$E69,$F69,AT$3)</f>
        <v>0</v>
      </c>
      <c r="AU69" s="48">
        <f t="shared" si="29"/>
        <v>14</v>
      </c>
      <c r="AV69" s="39">
        <f>_xll.DBRW($C$2,$AV$1,AV$2,$D$18,$D$3,$D69,$E69,$F69,AV$3)</f>
        <v>0</v>
      </c>
      <c r="AW69" s="25" cm="1">
        <f t="array" ref="AW69">_xll.DBRW($E$2,AV$1,AV$2,$D$18,$D$3,$D69,$E69,$F69,$F$3,AW$3)</f>
        <v>0</v>
      </c>
      <c r="AX69" s="25">
        <f>_xll.DBRW($C$2,$AV$1,AV$2,$D$18,$D$3,$D69,$E69,$F69,AX$3)</f>
        <v>1</v>
      </c>
      <c r="AY69" s="64">
        <f>_xll.DBRW($C$2,$AV$1,AV$2,$D$18,$D$3,$D69,$E69,$F69,AY$3)</f>
        <v>0</v>
      </c>
      <c r="AZ69" s="58">
        <f>_xll.DBRW($C$2,$AV$1,AV$2,$D$18,$D$3,$D69,$E69,$F69,AZ$3)</f>
        <v>0</v>
      </c>
      <c r="BA69" s="48">
        <f t="shared" si="30"/>
        <v>13</v>
      </c>
      <c r="BB69" s="39">
        <f>_xll.DBRW($C$2,$BB$1,BB$2,$D$18,$D$3,$D69,$E69,$F69,BB$3)</f>
        <v>0</v>
      </c>
      <c r="BC69" s="25" cm="1">
        <f t="array" ref="BC69">_xll.DBRW($E$2,BB$1,BB$2,$D$18,$D$3,$D69,$E69,$F69,$F$3,BC$3)</f>
        <v>0</v>
      </c>
      <c r="BD69" s="25">
        <f>_xll.DBRW($C$2,$BB$1,BB$2,$D$18,$D$3,$D69,$E69,$F69,BD$3)</f>
        <v>1</v>
      </c>
      <c r="BE69" s="64">
        <f>_xll.DBRW($C$2,$BB$1,BB$2,$D$18,$D$3,$D69,$E69,$F69,BE$3)</f>
        <v>0</v>
      </c>
      <c r="BF69" s="58">
        <f>_xll.DBRW($C$2,$BB$1,BB$2,$D$18,$D$3,$D69,$E69,$F69,BF$3)</f>
        <v>0</v>
      </c>
      <c r="BG69" s="48">
        <f t="shared" si="31"/>
        <v>12</v>
      </c>
      <c r="BH69" s="39">
        <f>_xll.DBRW($C$2,$BH$1,BH$2,$D$18,$D$3,$D69,$E69,$F69,BH$3)</f>
        <v>0</v>
      </c>
      <c r="BI69" s="25" cm="1">
        <f t="array" ref="BI69">_xll.DBRW($E$2,BH$1,BH$2,$D$18,$D$3,$D69,$E69,$F69,$F$3,BI$3)</f>
        <v>0</v>
      </c>
      <c r="BJ69" s="25">
        <f>_xll.DBRW($C$2,$BH$1,BH$2,$D$18,$D$3,$D69,$E69,$F69,BJ$3)</f>
        <v>1</v>
      </c>
      <c r="BK69" s="64">
        <f>_xll.DBRW($C$2,$BH$1,BH$2,$D$18,$D$3,$D69,$E69,$F69,BK$3)</f>
        <v>0</v>
      </c>
      <c r="BL69" s="58">
        <f>_xll.DBRW($C$2,$BH$1,BH$2,$D$18,$D$3,$D69,$E69,$F69,BL$3)</f>
        <v>0</v>
      </c>
      <c r="BM69" s="48">
        <f t="shared" si="32"/>
        <v>11</v>
      </c>
      <c r="BN69" s="39">
        <f>_xll.DBRW($C$2,$BN$1,BN$2,$D$18,$D$3,$D69,$E69,$F69,BN$3)</f>
        <v>0</v>
      </c>
      <c r="BO69" s="25" cm="1">
        <f t="array" ref="BO69">_xll.DBRW($E$2,BN$1,BN$2,$D$18,$D$3,$D69,$E69,$F69,$F$3,BO$3)</f>
        <v>0</v>
      </c>
      <c r="BP69" s="25">
        <f>_xll.DBRW($C$2,$BN$1,BN$2,$D$18,$D$3,$D69,$E69,$F69,BP$3)</f>
        <v>1</v>
      </c>
      <c r="BQ69" s="64">
        <f>_xll.DBRW($C$2,$BN$1,BN$2,$D$18,$D$3,$D69,$E69,$F69,BQ$3)</f>
        <v>0</v>
      </c>
      <c r="BR69" s="58">
        <f>_xll.DBRW($C$2,$BN$1,BN$2,$D$18,$D$3,$D69,$E69,$F69,BR$3)</f>
        <v>0</v>
      </c>
      <c r="BS69" s="48">
        <f t="shared" si="33"/>
        <v>10</v>
      </c>
      <c r="BT69" s="39">
        <f>_xll.DBRW($C$2,$BT$1,BT$2,$D$18,$D$3,$D69,$E69,$F69,BT$3)</f>
        <v>0</v>
      </c>
      <c r="BU69" s="25" cm="1">
        <f t="array" ref="BU69">_xll.DBRW($E$2,BT$1,BT$2,$D$18,$D$3,$D69,$E69,$F69,$F$3,BU$3)</f>
        <v>0</v>
      </c>
      <c r="BV69" s="25">
        <f>_xll.DBRW($C$2,$BT$1,BT$2,$D$18,$D$3,$D69,$E69,$F69,BV$3)</f>
        <v>1</v>
      </c>
      <c r="BW69" s="64">
        <f>_xll.DBRW($C$2,$BT$1,BT$2,$D$18,$D$3,$D69,$E69,$F69,BW$3)</f>
        <v>0</v>
      </c>
      <c r="BX69" s="58">
        <f>_xll.DBRW($C$2,$BT$1,BT$2,$D$18,$D$3,$D69,$E69,$F69,BX$3)</f>
        <v>0</v>
      </c>
      <c r="BY69" s="48">
        <f t="shared" si="34"/>
        <v>9</v>
      </c>
      <c r="BZ69" s="39">
        <f>_xll.DBRW($C$2,$BZ$1,BZ$2,$D$18,$D$3,$D69,$E69,$F69,BZ$3)</f>
        <v>0</v>
      </c>
      <c r="CA69" s="25" cm="1">
        <f t="array" ref="CA69">_xll.DBRW($E$2,BZ$1,BZ$2,$D$18,$D$3,$D69,$E69,$F69,$F$3,CA$3)</f>
        <v>0</v>
      </c>
      <c r="CB69" s="25">
        <f>_xll.DBRW($C$2,$BZ$1,BZ$2,$D$18,$D$3,$D69,$E69,$F69,CB$3)</f>
        <v>1</v>
      </c>
      <c r="CC69" s="64">
        <f>_xll.DBRW($C$2,$BZ$1,BZ$2,$D$18,$D$3,$D69,$E69,$F69,CC$3)</f>
        <v>0</v>
      </c>
      <c r="CD69" s="58">
        <f>_xll.DBRW($C$2,$BZ$1,BZ$2,$D$18,$D$3,$D69,$E69,$F69,CD$3)</f>
        <v>0</v>
      </c>
      <c r="CE69" s="48">
        <f t="shared" si="35"/>
        <v>8</v>
      </c>
    </row>
    <row r="70" spans="1:83" s="23" customFormat="1" outlineLevel="1" thickBot="1" x14ac:dyDescent="0.3">
      <c r="A70" s="91" t="str">
        <f>IF(_xll.TM1RPTELISCONSOLIDATED($F$22,$F70),IF(_xll.TM1RPTELLEV($F$22,$F70)&lt;=5,_xll.TM1RPTELLEV($F$22,$F70),"Default"),"Leaf")</f>
        <v>Leaf</v>
      </c>
      <c r="B70" s="24" t="str">
        <f>_xll.DBRW("TM1-S1_DEV:}ElementAttributes_SP_SKU",$D70,B$1)</f>
        <v>Primary</v>
      </c>
      <c r="C70" s="24" t="str">
        <f>_xll.DBRW("TM1-S1_DEV:}ElementAttributes_SP_SKU",$D70,C$1)</f>
        <v>CONDIMENT</v>
      </c>
      <c r="D70" s="28" t="s">
        <v>393</v>
      </c>
      <c r="E70" s="28" t="s">
        <v>140</v>
      </c>
      <c r="F70" s="28" t="s">
        <v>19</v>
      </c>
      <c r="G70" s="4">
        <f>_xll.DBRW($C$2,$G$19,G$20,$D$18,$D$3,$D70,$E70,$F70,G$3)</f>
        <v>11</v>
      </c>
      <c r="H70" s="54">
        <f t="shared" si="24"/>
        <v>-3</v>
      </c>
      <c r="I70" s="4"/>
      <c r="J70" s="25">
        <f>_xll.DBRW($C$2,$J$1,J$2,$D$18,$D$3,$D70,$E70,$F70,J$3)</f>
        <v>8</v>
      </c>
      <c r="K70" s="39">
        <f>_xll.DBRW($C$2,$J$1,J$2,$D$18,$D$3,$D70,$E70,$F70,K$3)</f>
        <v>0</v>
      </c>
      <c r="L70" s="25">
        <f>_xll.DBRW($C$2,$J$1,J$2,$D$18,$D$3,$D70,$E70,$F70,L$3)</f>
        <v>0</v>
      </c>
      <c r="M70" s="25">
        <f>_xll.DBRW($C$2,$J$1,J$2,$D$18,$D$3,$D70,$E70,$F70,M$3)</f>
        <v>0</v>
      </c>
      <c r="N70" s="25">
        <f>_xll.DBRW($C$2,$J$1,J$2,$D$18,$D$3,$D70,$E70,$F70,N$3)</f>
        <v>5</v>
      </c>
      <c r="O70" s="64">
        <f>_xll.DBRW($C$2,$J$1,J$2,$D$18,$D$3,$D70,$E70,$F70,O$3)</f>
        <v>1</v>
      </c>
      <c r="P70" s="58">
        <f>_xll.DBRW($C$2,$J$1,J$2,$D$18,$D$3,$D70,$E70,$F70,P$3)</f>
        <v>0</v>
      </c>
      <c r="Q70" s="48">
        <f>_xll.DBRW($C$2,$J$1,J$2,$D$18,$D$3,$D70,$E70,$F70,Q$3)</f>
        <v>3</v>
      </c>
      <c r="R70" s="39">
        <f>_xll.DBRW($C$2,$R$1,R$2,$D$18,$D$3,$D70,$E70,$F70,R$3)</f>
        <v>0</v>
      </c>
      <c r="S70" s="25" cm="1">
        <f t="array" ref="S70">_xll.DBRW($E$2,R$1,R$2,$D$18,$D$3,$D70,$E70,$F70,$F$3,S$3)</f>
        <v>0</v>
      </c>
      <c r="T70" s="25">
        <f>_xll.DBRW($C$2,$R$1,R$2,$D$18,$D$3,$D70,$E70,$F70,T$3)</f>
        <v>0</v>
      </c>
      <c r="U70" s="64">
        <f>_xll.DBRW($C$2,$R$1,R$2,$D$18,$D$3,$D70,$E70,$F70,U$3)</f>
        <v>0</v>
      </c>
      <c r="V70" s="58">
        <f>_xll.DBRW($C$2,$R$1,R$2,$D$18,$D$3,$D70,$E70,$F70,V$3)</f>
        <v>0</v>
      </c>
      <c r="W70" s="48">
        <f t="shared" si="25"/>
        <v>3</v>
      </c>
      <c r="X70" s="39">
        <f>_xll.DBRW($C$2,$X$1,X$2,$D$18,$D$3,$D70,$E70,$F70,X$3)</f>
        <v>0</v>
      </c>
      <c r="Y70" s="25" cm="1">
        <f t="array" ref="Y70">_xll.DBRW($E$2,X$1,X$2,$D$18,$D$3,$D70,$E70,$F70,$F$3,Y$3)</f>
        <v>0</v>
      </c>
      <c r="Z70" s="25">
        <f>_xll.DBRW($C$2,$X$1,X$2,$D$18,$D$3,$D70,$E70,$F70,Z$3)</f>
        <v>2</v>
      </c>
      <c r="AA70" s="64">
        <f>_xll.DBRW($C$2,$X$1,X$2,$D$18,$D$3,$D70,$E70,$F70,AA$3)</f>
        <v>0</v>
      </c>
      <c r="AB70" s="58">
        <f>_xll.DBRW($C$2,$X$1,X$2,$D$18,$D$3,$D70,$E70,$F70,AB$3)</f>
        <v>0</v>
      </c>
      <c r="AC70" s="48">
        <f t="shared" si="26"/>
        <v>1</v>
      </c>
      <c r="AD70" s="39">
        <f>_xll.DBRW($C$2,$AD$1,AD$2,$D$18,$D$3,$D70,$E70,$F70,AD$3)</f>
        <v>0</v>
      </c>
      <c r="AE70" s="25" cm="1">
        <f t="array" ref="AE70">_xll.DBRW($E$2,AD$1,AD$2,$D$18,$D$3,$D70,$E70,$F70,$F$3,AE$3)</f>
        <v>0</v>
      </c>
      <c r="AF70" s="25">
        <f>_xll.DBRW($C$2,$AD$1,AD$2,$D$18,$D$3,$D70,$E70,$F70,AF$3)</f>
        <v>2</v>
      </c>
      <c r="AG70" s="64">
        <f>_xll.DBRW($C$2,$AD$1,AD$2,$D$18,$D$3,$D70,$E70,$F70,AG$3)</f>
        <v>0</v>
      </c>
      <c r="AH70" s="58">
        <f>_xll.DBRW($C$2,$AD$1,AD$2,$D$18,$D$3,$D70,$E70,$F70,AH$3)</f>
        <v>0</v>
      </c>
      <c r="AI70" s="48">
        <f t="shared" si="27"/>
        <v>-1</v>
      </c>
      <c r="AJ70" s="39">
        <f>_xll.DBRW($C$2,$AJ$1,AJ$2,$D$18,$D$3,$D70,$E70,$F70,AJ$3)</f>
        <v>0</v>
      </c>
      <c r="AK70" s="25" cm="1">
        <f t="array" ref="AK70">_xll.DBRW($E$2,AJ$1,AJ$2,$D$18,$D$3,$D70,$E70,$F70,$F$3,AK$3)</f>
        <v>0</v>
      </c>
      <c r="AL70" s="25">
        <f>_xll.DBRW($C$2,$AJ$1,AJ$2,$D$18,$D$3,$D70,$E70,$F70,AL$3)</f>
        <v>2</v>
      </c>
      <c r="AM70" s="64">
        <f>_xll.DBRW($C$2,$AJ$1,AJ$2,$D$18,$D$3,$D70,$E70,$F70,AM$3)</f>
        <v>0</v>
      </c>
      <c r="AN70" s="58">
        <f>_xll.DBRW($C$2,$AJ$1,AJ$2,$D$18,$D$3,$D70,$E70,$F70,AN$3)</f>
        <v>0</v>
      </c>
      <c r="AO70" s="48">
        <f t="shared" si="28"/>
        <v>-3</v>
      </c>
      <c r="AP70" s="39">
        <f>_xll.DBRW($C$2,$AP$1,AP$2,$D$18,$D$3,$D70,$E70,$F70,AP$3)</f>
        <v>0</v>
      </c>
      <c r="AQ70" s="25" cm="1">
        <f t="array" ref="AQ70">_xll.DBRW($E$2,AP$1,AP$2,$D$18,$D$3,$D70,$E70,$F70,$F$3,AQ$3)</f>
        <v>0</v>
      </c>
      <c r="AR70" s="25">
        <f>_xll.DBRW($C$2,$AP$1,AP$2,$D$18,$D$3,$D70,$E70,$F70,AR$3)</f>
        <v>2</v>
      </c>
      <c r="AS70" s="64">
        <f>_xll.DBRW($C$2,$AP$1,AP$2,$D$18,$D$3,$D70,$E70,$F70,AS$3)</f>
        <v>0</v>
      </c>
      <c r="AT70" s="58">
        <f>_xll.DBRW($C$2,$AP$1,AP$2,$D$18,$D$3,$D70,$E70,$F70,AT$3)</f>
        <v>0</v>
      </c>
      <c r="AU70" s="48">
        <f t="shared" si="29"/>
        <v>-5</v>
      </c>
      <c r="AV70" s="39">
        <f>_xll.DBRW($C$2,$AV$1,AV$2,$D$18,$D$3,$D70,$E70,$F70,AV$3)</f>
        <v>0</v>
      </c>
      <c r="AW70" s="25" cm="1">
        <f t="array" ref="AW70">_xll.DBRW($E$2,AV$1,AV$2,$D$18,$D$3,$D70,$E70,$F70,$F$3,AW$3)</f>
        <v>0</v>
      </c>
      <c r="AX70" s="25">
        <f>_xll.DBRW($C$2,$AV$1,AV$2,$D$18,$D$3,$D70,$E70,$F70,AX$3)</f>
        <v>2</v>
      </c>
      <c r="AY70" s="64">
        <f>_xll.DBRW($C$2,$AV$1,AV$2,$D$18,$D$3,$D70,$E70,$F70,AY$3)</f>
        <v>0</v>
      </c>
      <c r="AZ70" s="58">
        <f>_xll.DBRW($C$2,$AV$1,AV$2,$D$18,$D$3,$D70,$E70,$F70,AZ$3)</f>
        <v>0</v>
      </c>
      <c r="BA70" s="48">
        <f t="shared" si="30"/>
        <v>-7</v>
      </c>
      <c r="BB70" s="39">
        <f>_xll.DBRW($C$2,$BB$1,BB$2,$D$18,$D$3,$D70,$E70,$F70,BB$3)</f>
        <v>0</v>
      </c>
      <c r="BC70" s="25" cm="1">
        <f t="array" ref="BC70">_xll.DBRW($E$2,BB$1,BB$2,$D$18,$D$3,$D70,$E70,$F70,$F$3,BC$3)</f>
        <v>0</v>
      </c>
      <c r="BD70" s="25">
        <f>_xll.DBRW($C$2,$BB$1,BB$2,$D$18,$D$3,$D70,$E70,$F70,BD$3)</f>
        <v>2</v>
      </c>
      <c r="BE70" s="64">
        <f>_xll.DBRW($C$2,$BB$1,BB$2,$D$18,$D$3,$D70,$E70,$F70,BE$3)</f>
        <v>0</v>
      </c>
      <c r="BF70" s="58">
        <f>_xll.DBRW($C$2,$BB$1,BB$2,$D$18,$D$3,$D70,$E70,$F70,BF$3)</f>
        <v>0</v>
      </c>
      <c r="BG70" s="48">
        <f t="shared" si="31"/>
        <v>-9</v>
      </c>
      <c r="BH70" s="39">
        <f>_xll.DBRW($C$2,$BH$1,BH$2,$D$18,$D$3,$D70,$E70,$F70,BH$3)</f>
        <v>0</v>
      </c>
      <c r="BI70" s="25" cm="1">
        <f t="array" ref="BI70">_xll.DBRW($E$2,BH$1,BH$2,$D$18,$D$3,$D70,$E70,$F70,$F$3,BI$3)</f>
        <v>0</v>
      </c>
      <c r="BJ70" s="25">
        <f>_xll.DBRW($C$2,$BH$1,BH$2,$D$18,$D$3,$D70,$E70,$F70,BJ$3)</f>
        <v>2</v>
      </c>
      <c r="BK70" s="64">
        <f>_xll.DBRW($C$2,$BH$1,BH$2,$D$18,$D$3,$D70,$E70,$F70,BK$3)</f>
        <v>0</v>
      </c>
      <c r="BL70" s="58">
        <f>_xll.DBRW($C$2,$BH$1,BH$2,$D$18,$D$3,$D70,$E70,$F70,BL$3)</f>
        <v>0</v>
      </c>
      <c r="BM70" s="48">
        <f t="shared" si="32"/>
        <v>-11</v>
      </c>
      <c r="BN70" s="39">
        <f>_xll.DBRW($C$2,$BN$1,BN$2,$D$18,$D$3,$D70,$E70,$F70,BN$3)</f>
        <v>0</v>
      </c>
      <c r="BO70" s="25" cm="1">
        <f t="array" ref="BO70">_xll.DBRW($E$2,BN$1,BN$2,$D$18,$D$3,$D70,$E70,$F70,$F$3,BO$3)</f>
        <v>0</v>
      </c>
      <c r="BP70" s="25">
        <f>_xll.DBRW($C$2,$BN$1,BN$2,$D$18,$D$3,$D70,$E70,$F70,BP$3)</f>
        <v>2</v>
      </c>
      <c r="BQ70" s="64">
        <f>_xll.DBRW($C$2,$BN$1,BN$2,$D$18,$D$3,$D70,$E70,$F70,BQ$3)</f>
        <v>0</v>
      </c>
      <c r="BR70" s="58">
        <f>_xll.DBRW($C$2,$BN$1,BN$2,$D$18,$D$3,$D70,$E70,$F70,BR$3)</f>
        <v>0</v>
      </c>
      <c r="BS70" s="48">
        <f t="shared" si="33"/>
        <v>-13</v>
      </c>
      <c r="BT70" s="39">
        <f>_xll.DBRW($C$2,$BT$1,BT$2,$D$18,$D$3,$D70,$E70,$F70,BT$3)</f>
        <v>0</v>
      </c>
      <c r="BU70" s="25" cm="1">
        <f t="array" ref="BU70">_xll.DBRW($E$2,BT$1,BT$2,$D$18,$D$3,$D70,$E70,$F70,$F$3,BU$3)</f>
        <v>0</v>
      </c>
      <c r="BV70" s="25">
        <f>_xll.DBRW($C$2,$BT$1,BT$2,$D$18,$D$3,$D70,$E70,$F70,BV$3)</f>
        <v>2</v>
      </c>
      <c r="BW70" s="64">
        <f>_xll.DBRW($C$2,$BT$1,BT$2,$D$18,$D$3,$D70,$E70,$F70,BW$3)</f>
        <v>0</v>
      </c>
      <c r="BX70" s="58">
        <f>_xll.DBRW($C$2,$BT$1,BT$2,$D$18,$D$3,$D70,$E70,$F70,BX$3)</f>
        <v>0</v>
      </c>
      <c r="BY70" s="48">
        <f t="shared" si="34"/>
        <v>-15</v>
      </c>
      <c r="BZ70" s="39">
        <f>_xll.DBRW($C$2,$BZ$1,BZ$2,$D$18,$D$3,$D70,$E70,$F70,BZ$3)</f>
        <v>0</v>
      </c>
      <c r="CA70" s="25" cm="1">
        <f t="array" ref="CA70">_xll.DBRW($E$2,BZ$1,BZ$2,$D$18,$D$3,$D70,$E70,$F70,$F$3,CA$3)</f>
        <v>0</v>
      </c>
      <c r="CB70" s="25">
        <f>_xll.DBRW($C$2,$BZ$1,BZ$2,$D$18,$D$3,$D70,$E70,$F70,CB$3)</f>
        <v>2</v>
      </c>
      <c r="CC70" s="64">
        <f>_xll.DBRW($C$2,$BZ$1,BZ$2,$D$18,$D$3,$D70,$E70,$F70,CC$3)</f>
        <v>0</v>
      </c>
      <c r="CD70" s="58">
        <f>_xll.DBRW($C$2,$BZ$1,BZ$2,$D$18,$D$3,$D70,$E70,$F70,CD$3)</f>
        <v>0</v>
      </c>
      <c r="CE70" s="48">
        <f t="shared" si="35"/>
        <v>-17</v>
      </c>
    </row>
    <row r="71" spans="1:83" s="23" customFormat="1" outlineLevel="1" thickBot="1" x14ac:dyDescent="0.3">
      <c r="A71" s="91" t="str">
        <f>IF(_xll.TM1RPTELISCONSOLIDATED($F$22,$F71),IF(_xll.TM1RPTELLEV($F$22,$F71)&lt;=5,_xll.TM1RPTELLEV($F$22,$F71),"Default"),"Leaf")</f>
        <v>Leaf</v>
      </c>
      <c r="B71" s="24" t="str">
        <f>_xll.DBRW("TM1-S1_DEV:}ElementAttributes_SP_SKU",$D71,B$1)</f>
        <v>Primary</v>
      </c>
      <c r="C71" s="24" t="str">
        <f>_xll.DBRW("TM1-S1_DEV:}ElementAttributes_SP_SKU",$D71,C$1)</f>
        <v>CONDIMENT</v>
      </c>
      <c r="D71" s="28" t="s">
        <v>394</v>
      </c>
      <c r="E71" s="28" t="s">
        <v>220</v>
      </c>
      <c r="F71" s="28" t="s">
        <v>19</v>
      </c>
      <c r="G71" s="4">
        <f>_xll.DBRW($C$2,$G$19,G$20,$D$18,$D$3,$D71,$E71,$F71,G$3)</f>
        <v>13</v>
      </c>
      <c r="H71" s="54">
        <f t="shared" si="24"/>
        <v>4</v>
      </c>
      <c r="I71" s="4"/>
      <c r="J71" s="25">
        <f>_xll.DBRW($C$2,$J$1,J$2,$D$18,$D$3,$D71,$E71,$F71,J$3)</f>
        <v>17</v>
      </c>
      <c r="K71" s="39">
        <f>_xll.DBRW($C$2,$J$1,J$2,$D$18,$D$3,$D71,$E71,$F71,K$3)</f>
        <v>0</v>
      </c>
      <c r="L71" s="25">
        <f>_xll.DBRW($C$2,$J$1,J$2,$D$18,$D$3,$D71,$E71,$F71,L$3)</f>
        <v>0</v>
      </c>
      <c r="M71" s="25">
        <f>_xll.DBRW($C$2,$J$1,J$2,$D$18,$D$3,$D71,$E71,$F71,M$3)</f>
        <v>0</v>
      </c>
      <c r="N71" s="25">
        <f>_xll.DBRW($C$2,$J$1,J$2,$D$18,$D$3,$D71,$E71,$F71,N$3)</f>
        <v>13</v>
      </c>
      <c r="O71" s="64">
        <f>_xll.DBRW($C$2,$J$1,J$2,$D$18,$D$3,$D71,$E71,$F71,O$3)</f>
        <v>1</v>
      </c>
      <c r="P71" s="58">
        <f>_xll.DBRW($C$2,$J$1,J$2,$D$18,$D$3,$D71,$E71,$F71,P$3)</f>
        <v>0</v>
      </c>
      <c r="Q71" s="48">
        <f>_xll.DBRW($C$2,$J$1,J$2,$D$18,$D$3,$D71,$E71,$F71,Q$3)</f>
        <v>4</v>
      </c>
      <c r="R71" s="39">
        <f>_xll.DBRW($C$2,$R$1,R$2,$D$18,$D$3,$D71,$E71,$F71,R$3)</f>
        <v>0</v>
      </c>
      <c r="S71" s="25" cm="1">
        <f t="array" ref="S71">_xll.DBRW($E$2,R$1,R$2,$D$18,$D$3,$D71,$E71,$F71,$F$3,S$3)</f>
        <v>0</v>
      </c>
      <c r="T71" s="25">
        <f>_xll.DBRW($C$2,$R$1,R$2,$D$18,$D$3,$D71,$E71,$F71,T$3)</f>
        <v>0</v>
      </c>
      <c r="U71" s="64">
        <f>_xll.DBRW($C$2,$R$1,R$2,$D$18,$D$3,$D71,$E71,$F71,U$3)</f>
        <v>0</v>
      </c>
      <c r="V71" s="58">
        <f>_xll.DBRW($C$2,$R$1,R$2,$D$18,$D$3,$D71,$E71,$F71,V$3)</f>
        <v>0</v>
      </c>
      <c r="W71" s="48">
        <f t="shared" si="25"/>
        <v>4</v>
      </c>
      <c r="X71" s="39">
        <f>_xll.DBRW($C$2,$X$1,X$2,$D$18,$D$3,$D71,$E71,$F71,X$3)</f>
        <v>0</v>
      </c>
      <c r="Y71" s="25" cm="1">
        <f t="array" ref="Y71">_xll.DBRW($E$2,X$1,X$2,$D$18,$D$3,$D71,$E71,$F71,$F$3,Y$3)</f>
        <v>0</v>
      </c>
      <c r="Z71" s="25">
        <f>_xll.DBRW($C$2,$X$1,X$2,$D$18,$D$3,$D71,$E71,$F71,Z$3)</f>
        <v>1</v>
      </c>
      <c r="AA71" s="64">
        <f>_xll.DBRW($C$2,$X$1,X$2,$D$18,$D$3,$D71,$E71,$F71,AA$3)</f>
        <v>0</v>
      </c>
      <c r="AB71" s="58">
        <f>_xll.DBRW($C$2,$X$1,X$2,$D$18,$D$3,$D71,$E71,$F71,AB$3)</f>
        <v>0</v>
      </c>
      <c r="AC71" s="48">
        <f t="shared" si="26"/>
        <v>3</v>
      </c>
      <c r="AD71" s="39">
        <f>_xll.DBRW($C$2,$AD$1,AD$2,$D$18,$D$3,$D71,$E71,$F71,AD$3)</f>
        <v>0</v>
      </c>
      <c r="AE71" s="25" cm="1">
        <f t="array" ref="AE71">_xll.DBRW($E$2,AD$1,AD$2,$D$18,$D$3,$D71,$E71,$F71,$F$3,AE$3)</f>
        <v>0</v>
      </c>
      <c r="AF71" s="25">
        <f>_xll.DBRW($C$2,$AD$1,AD$2,$D$18,$D$3,$D71,$E71,$F71,AF$3)</f>
        <v>1</v>
      </c>
      <c r="AG71" s="64">
        <f>_xll.DBRW($C$2,$AD$1,AD$2,$D$18,$D$3,$D71,$E71,$F71,AG$3)</f>
        <v>0</v>
      </c>
      <c r="AH71" s="58">
        <f>_xll.DBRW($C$2,$AD$1,AD$2,$D$18,$D$3,$D71,$E71,$F71,AH$3)</f>
        <v>0</v>
      </c>
      <c r="AI71" s="48">
        <f t="shared" si="27"/>
        <v>2</v>
      </c>
      <c r="AJ71" s="39">
        <f>_xll.DBRW($C$2,$AJ$1,AJ$2,$D$18,$D$3,$D71,$E71,$F71,AJ$3)</f>
        <v>0</v>
      </c>
      <c r="AK71" s="25" cm="1">
        <f t="array" ref="AK71">_xll.DBRW($E$2,AJ$1,AJ$2,$D$18,$D$3,$D71,$E71,$F71,$F$3,AK$3)</f>
        <v>0</v>
      </c>
      <c r="AL71" s="25">
        <f>_xll.DBRW($C$2,$AJ$1,AJ$2,$D$18,$D$3,$D71,$E71,$F71,AL$3)</f>
        <v>1</v>
      </c>
      <c r="AM71" s="64">
        <f>_xll.DBRW($C$2,$AJ$1,AJ$2,$D$18,$D$3,$D71,$E71,$F71,AM$3)</f>
        <v>0</v>
      </c>
      <c r="AN71" s="58">
        <f>_xll.DBRW($C$2,$AJ$1,AJ$2,$D$18,$D$3,$D71,$E71,$F71,AN$3)</f>
        <v>0</v>
      </c>
      <c r="AO71" s="48">
        <f t="shared" si="28"/>
        <v>1</v>
      </c>
      <c r="AP71" s="39">
        <f>_xll.DBRW($C$2,$AP$1,AP$2,$D$18,$D$3,$D71,$E71,$F71,AP$3)</f>
        <v>0</v>
      </c>
      <c r="AQ71" s="25" cm="1">
        <f t="array" ref="AQ71">_xll.DBRW($E$2,AP$1,AP$2,$D$18,$D$3,$D71,$E71,$F71,$F$3,AQ$3)</f>
        <v>0</v>
      </c>
      <c r="AR71" s="25">
        <f>_xll.DBRW($C$2,$AP$1,AP$2,$D$18,$D$3,$D71,$E71,$F71,AR$3)</f>
        <v>1</v>
      </c>
      <c r="AS71" s="64">
        <f>_xll.DBRW($C$2,$AP$1,AP$2,$D$18,$D$3,$D71,$E71,$F71,AS$3)</f>
        <v>0</v>
      </c>
      <c r="AT71" s="58">
        <f>_xll.DBRW($C$2,$AP$1,AP$2,$D$18,$D$3,$D71,$E71,$F71,AT$3)</f>
        <v>0</v>
      </c>
      <c r="AU71" s="48">
        <f t="shared" si="29"/>
        <v>0</v>
      </c>
      <c r="AV71" s="39">
        <f>_xll.DBRW($C$2,$AV$1,AV$2,$D$18,$D$3,$D71,$E71,$F71,AV$3)</f>
        <v>0</v>
      </c>
      <c r="AW71" s="25" cm="1">
        <f t="array" ref="AW71">_xll.DBRW($E$2,AV$1,AV$2,$D$18,$D$3,$D71,$E71,$F71,$F$3,AW$3)</f>
        <v>0</v>
      </c>
      <c r="AX71" s="25">
        <f>_xll.DBRW($C$2,$AV$1,AV$2,$D$18,$D$3,$D71,$E71,$F71,AX$3)</f>
        <v>1</v>
      </c>
      <c r="AY71" s="64">
        <f>_xll.DBRW($C$2,$AV$1,AV$2,$D$18,$D$3,$D71,$E71,$F71,AY$3)</f>
        <v>0</v>
      </c>
      <c r="AZ71" s="58">
        <f>_xll.DBRW($C$2,$AV$1,AV$2,$D$18,$D$3,$D71,$E71,$F71,AZ$3)</f>
        <v>0</v>
      </c>
      <c r="BA71" s="48">
        <f t="shared" si="30"/>
        <v>-1</v>
      </c>
      <c r="BB71" s="39">
        <f>_xll.DBRW($C$2,$BB$1,BB$2,$D$18,$D$3,$D71,$E71,$F71,BB$3)</f>
        <v>0</v>
      </c>
      <c r="BC71" s="25" cm="1">
        <f t="array" ref="BC71">_xll.DBRW($E$2,BB$1,BB$2,$D$18,$D$3,$D71,$E71,$F71,$F$3,BC$3)</f>
        <v>0</v>
      </c>
      <c r="BD71" s="25">
        <f>_xll.DBRW($C$2,$BB$1,BB$2,$D$18,$D$3,$D71,$E71,$F71,BD$3)</f>
        <v>1</v>
      </c>
      <c r="BE71" s="64">
        <f>_xll.DBRW($C$2,$BB$1,BB$2,$D$18,$D$3,$D71,$E71,$F71,BE$3)</f>
        <v>0</v>
      </c>
      <c r="BF71" s="58">
        <f>_xll.DBRW($C$2,$BB$1,BB$2,$D$18,$D$3,$D71,$E71,$F71,BF$3)</f>
        <v>0</v>
      </c>
      <c r="BG71" s="48">
        <f t="shared" si="31"/>
        <v>-2</v>
      </c>
      <c r="BH71" s="39">
        <f>_xll.DBRW($C$2,$BH$1,BH$2,$D$18,$D$3,$D71,$E71,$F71,BH$3)</f>
        <v>0</v>
      </c>
      <c r="BI71" s="25" cm="1">
        <f t="array" ref="BI71">_xll.DBRW($E$2,BH$1,BH$2,$D$18,$D$3,$D71,$E71,$F71,$F$3,BI$3)</f>
        <v>0</v>
      </c>
      <c r="BJ71" s="25">
        <f>_xll.DBRW($C$2,$BH$1,BH$2,$D$18,$D$3,$D71,$E71,$F71,BJ$3)</f>
        <v>1</v>
      </c>
      <c r="BK71" s="64">
        <f>_xll.DBRW($C$2,$BH$1,BH$2,$D$18,$D$3,$D71,$E71,$F71,BK$3)</f>
        <v>0</v>
      </c>
      <c r="BL71" s="58">
        <f>_xll.DBRW($C$2,$BH$1,BH$2,$D$18,$D$3,$D71,$E71,$F71,BL$3)</f>
        <v>0</v>
      </c>
      <c r="BM71" s="48">
        <f t="shared" si="32"/>
        <v>-3</v>
      </c>
      <c r="BN71" s="39">
        <f>_xll.DBRW($C$2,$BN$1,BN$2,$D$18,$D$3,$D71,$E71,$F71,BN$3)</f>
        <v>0</v>
      </c>
      <c r="BO71" s="25" cm="1">
        <f t="array" ref="BO71">_xll.DBRW($E$2,BN$1,BN$2,$D$18,$D$3,$D71,$E71,$F71,$F$3,BO$3)</f>
        <v>0</v>
      </c>
      <c r="BP71" s="25">
        <f>_xll.DBRW($C$2,$BN$1,BN$2,$D$18,$D$3,$D71,$E71,$F71,BP$3)</f>
        <v>1</v>
      </c>
      <c r="BQ71" s="64">
        <f>_xll.DBRW($C$2,$BN$1,BN$2,$D$18,$D$3,$D71,$E71,$F71,BQ$3)</f>
        <v>0</v>
      </c>
      <c r="BR71" s="58">
        <f>_xll.DBRW($C$2,$BN$1,BN$2,$D$18,$D$3,$D71,$E71,$F71,BR$3)</f>
        <v>0</v>
      </c>
      <c r="BS71" s="48">
        <f t="shared" si="33"/>
        <v>-4</v>
      </c>
      <c r="BT71" s="39">
        <f>_xll.DBRW($C$2,$BT$1,BT$2,$D$18,$D$3,$D71,$E71,$F71,BT$3)</f>
        <v>0</v>
      </c>
      <c r="BU71" s="25" cm="1">
        <f t="array" ref="BU71">_xll.DBRW($E$2,BT$1,BT$2,$D$18,$D$3,$D71,$E71,$F71,$F$3,BU$3)</f>
        <v>0</v>
      </c>
      <c r="BV71" s="25">
        <f>_xll.DBRW($C$2,$BT$1,BT$2,$D$18,$D$3,$D71,$E71,$F71,BV$3)</f>
        <v>1</v>
      </c>
      <c r="BW71" s="64">
        <f>_xll.DBRW($C$2,$BT$1,BT$2,$D$18,$D$3,$D71,$E71,$F71,BW$3)</f>
        <v>0</v>
      </c>
      <c r="BX71" s="58">
        <f>_xll.DBRW($C$2,$BT$1,BT$2,$D$18,$D$3,$D71,$E71,$F71,BX$3)</f>
        <v>0</v>
      </c>
      <c r="BY71" s="48">
        <f t="shared" si="34"/>
        <v>-5</v>
      </c>
      <c r="BZ71" s="39">
        <f>_xll.DBRW($C$2,$BZ$1,BZ$2,$D$18,$D$3,$D71,$E71,$F71,BZ$3)</f>
        <v>0</v>
      </c>
      <c r="CA71" s="25" cm="1">
        <f t="array" ref="CA71">_xll.DBRW($E$2,BZ$1,BZ$2,$D$18,$D$3,$D71,$E71,$F71,$F$3,CA$3)</f>
        <v>0</v>
      </c>
      <c r="CB71" s="25">
        <f>_xll.DBRW($C$2,$BZ$1,BZ$2,$D$18,$D$3,$D71,$E71,$F71,CB$3)</f>
        <v>1</v>
      </c>
      <c r="CC71" s="64">
        <f>_xll.DBRW($C$2,$BZ$1,BZ$2,$D$18,$D$3,$D71,$E71,$F71,CC$3)</f>
        <v>0</v>
      </c>
      <c r="CD71" s="58">
        <f>_xll.DBRW($C$2,$BZ$1,BZ$2,$D$18,$D$3,$D71,$E71,$F71,CD$3)</f>
        <v>0</v>
      </c>
      <c r="CE71" s="48">
        <f t="shared" si="35"/>
        <v>-6</v>
      </c>
    </row>
    <row r="72" spans="1:83" s="23" customFormat="1" outlineLevel="1" thickBot="1" x14ac:dyDescent="0.3">
      <c r="A72" s="91" t="str">
        <f>IF(_xll.TM1RPTELISCONSOLIDATED($F$22,$F72),IF(_xll.TM1RPTELLEV($F$22,$F72)&lt;=5,_xll.TM1RPTELLEV($F$22,$F72),"Default"),"Leaf")</f>
        <v>Leaf</v>
      </c>
      <c r="B72" s="24" t="str">
        <f>_xll.DBRW("TM1-S1_DEV:}ElementAttributes_SP_SKU",$D72,B$1)</f>
        <v>Primary</v>
      </c>
      <c r="C72" s="24" t="str">
        <f>_xll.DBRW("TM1-S1_DEV:}ElementAttributes_SP_SKU",$D72,C$1)</f>
        <v>CONDIMENT</v>
      </c>
      <c r="D72" s="28" t="s">
        <v>395</v>
      </c>
      <c r="E72" s="28" t="s">
        <v>141</v>
      </c>
      <c r="F72" s="28" t="s">
        <v>19</v>
      </c>
      <c r="G72" s="4">
        <f>_xll.DBRW($C$2,$G$19,G$20,$D$18,$D$3,$D72,$E72,$F72,G$3)</f>
        <v>19</v>
      </c>
      <c r="H72" s="54">
        <f t="shared" si="24"/>
        <v>6</v>
      </c>
      <c r="I72" s="4"/>
      <c r="J72" s="25">
        <f>_xll.DBRW($C$2,$J$1,J$2,$D$18,$D$3,$D72,$E72,$F72,J$3)</f>
        <v>25</v>
      </c>
      <c r="K72" s="39">
        <f>_xll.DBRW($C$2,$J$1,J$2,$D$18,$D$3,$D72,$E72,$F72,K$3)</f>
        <v>0</v>
      </c>
      <c r="L72" s="25">
        <f>_xll.DBRW($C$2,$J$1,J$2,$D$18,$D$3,$D72,$E72,$F72,L$3)</f>
        <v>0</v>
      </c>
      <c r="M72" s="25">
        <f>_xll.DBRW($C$2,$J$1,J$2,$D$18,$D$3,$D72,$E72,$F72,M$3)</f>
        <v>0</v>
      </c>
      <c r="N72" s="25">
        <f>_xll.DBRW($C$2,$J$1,J$2,$D$18,$D$3,$D72,$E72,$F72,N$3)</f>
        <v>14</v>
      </c>
      <c r="O72" s="64">
        <f>_xll.DBRW($C$2,$J$1,J$2,$D$18,$D$3,$D72,$E72,$F72,O$3)</f>
        <v>1</v>
      </c>
      <c r="P72" s="58">
        <f>_xll.DBRW($C$2,$J$1,J$2,$D$18,$D$3,$D72,$E72,$F72,P$3)</f>
        <v>0</v>
      </c>
      <c r="Q72" s="48">
        <f>_xll.DBRW($C$2,$J$1,J$2,$D$18,$D$3,$D72,$E72,$F72,Q$3)</f>
        <v>11</v>
      </c>
      <c r="R72" s="39">
        <f>_xll.DBRW($C$2,$R$1,R$2,$D$18,$D$3,$D72,$E72,$F72,R$3)</f>
        <v>0</v>
      </c>
      <c r="S72" s="25" cm="1">
        <f t="array" ref="S72">_xll.DBRW($E$2,R$1,R$2,$D$18,$D$3,$D72,$E72,$F72,$F$3,S$3)</f>
        <v>0</v>
      </c>
      <c r="T72" s="25">
        <f>_xll.DBRW($C$2,$R$1,R$2,$D$18,$D$3,$D72,$E72,$F72,T$3)</f>
        <v>0</v>
      </c>
      <c r="U72" s="64">
        <f>_xll.DBRW($C$2,$R$1,R$2,$D$18,$D$3,$D72,$E72,$F72,U$3)</f>
        <v>0</v>
      </c>
      <c r="V72" s="58">
        <f>_xll.DBRW($C$2,$R$1,R$2,$D$18,$D$3,$D72,$E72,$F72,V$3)</f>
        <v>0</v>
      </c>
      <c r="W72" s="48">
        <f t="shared" si="25"/>
        <v>11</v>
      </c>
      <c r="X72" s="39">
        <f>_xll.DBRW($C$2,$X$1,X$2,$D$18,$D$3,$D72,$E72,$F72,X$3)</f>
        <v>0</v>
      </c>
      <c r="Y72" s="25" cm="1">
        <f t="array" ref="Y72">_xll.DBRW($E$2,X$1,X$2,$D$18,$D$3,$D72,$E72,$F72,$F$3,Y$3)</f>
        <v>0</v>
      </c>
      <c r="Z72" s="25">
        <f>_xll.DBRW($C$2,$X$1,X$2,$D$18,$D$3,$D72,$E72,$F72,Z$3)</f>
        <v>1</v>
      </c>
      <c r="AA72" s="64">
        <f>_xll.DBRW($C$2,$X$1,X$2,$D$18,$D$3,$D72,$E72,$F72,AA$3)</f>
        <v>0</v>
      </c>
      <c r="AB72" s="58">
        <f>_xll.DBRW($C$2,$X$1,X$2,$D$18,$D$3,$D72,$E72,$F72,AB$3)</f>
        <v>0</v>
      </c>
      <c r="AC72" s="48">
        <f t="shared" si="26"/>
        <v>10</v>
      </c>
      <c r="AD72" s="39">
        <f>_xll.DBRW($C$2,$AD$1,AD$2,$D$18,$D$3,$D72,$E72,$F72,AD$3)</f>
        <v>0</v>
      </c>
      <c r="AE72" s="25" cm="1">
        <f t="array" ref="AE72">_xll.DBRW($E$2,AD$1,AD$2,$D$18,$D$3,$D72,$E72,$F72,$F$3,AE$3)</f>
        <v>0</v>
      </c>
      <c r="AF72" s="25">
        <f>_xll.DBRW($C$2,$AD$1,AD$2,$D$18,$D$3,$D72,$E72,$F72,AF$3)</f>
        <v>1</v>
      </c>
      <c r="AG72" s="64">
        <f>_xll.DBRW($C$2,$AD$1,AD$2,$D$18,$D$3,$D72,$E72,$F72,AG$3)</f>
        <v>0</v>
      </c>
      <c r="AH72" s="58">
        <f>_xll.DBRW($C$2,$AD$1,AD$2,$D$18,$D$3,$D72,$E72,$F72,AH$3)</f>
        <v>0</v>
      </c>
      <c r="AI72" s="48">
        <f t="shared" si="27"/>
        <v>9</v>
      </c>
      <c r="AJ72" s="39">
        <f>_xll.DBRW($C$2,$AJ$1,AJ$2,$D$18,$D$3,$D72,$E72,$F72,AJ$3)</f>
        <v>0</v>
      </c>
      <c r="AK72" s="25" cm="1">
        <f t="array" ref="AK72">_xll.DBRW($E$2,AJ$1,AJ$2,$D$18,$D$3,$D72,$E72,$F72,$F$3,AK$3)</f>
        <v>0</v>
      </c>
      <c r="AL72" s="25">
        <f>_xll.DBRW($C$2,$AJ$1,AJ$2,$D$18,$D$3,$D72,$E72,$F72,AL$3)</f>
        <v>1</v>
      </c>
      <c r="AM72" s="64">
        <f>_xll.DBRW($C$2,$AJ$1,AJ$2,$D$18,$D$3,$D72,$E72,$F72,AM$3)</f>
        <v>0</v>
      </c>
      <c r="AN72" s="58">
        <f>_xll.DBRW($C$2,$AJ$1,AJ$2,$D$18,$D$3,$D72,$E72,$F72,AN$3)</f>
        <v>0</v>
      </c>
      <c r="AO72" s="48">
        <f t="shared" si="28"/>
        <v>8</v>
      </c>
      <c r="AP72" s="39">
        <f>_xll.DBRW($C$2,$AP$1,AP$2,$D$18,$D$3,$D72,$E72,$F72,AP$3)</f>
        <v>0</v>
      </c>
      <c r="AQ72" s="25" cm="1">
        <f t="array" ref="AQ72">_xll.DBRW($E$2,AP$1,AP$2,$D$18,$D$3,$D72,$E72,$F72,$F$3,AQ$3)</f>
        <v>0</v>
      </c>
      <c r="AR72" s="25">
        <f>_xll.DBRW($C$2,$AP$1,AP$2,$D$18,$D$3,$D72,$E72,$F72,AR$3)</f>
        <v>1</v>
      </c>
      <c r="AS72" s="64">
        <f>_xll.DBRW($C$2,$AP$1,AP$2,$D$18,$D$3,$D72,$E72,$F72,AS$3)</f>
        <v>0</v>
      </c>
      <c r="AT72" s="58">
        <f>_xll.DBRW($C$2,$AP$1,AP$2,$D$18,$D$3,$D72,$E72,$F72,AT$3)</f>
        <v>0</v>
      </c>
      <c r="AU72" s="48">
        <f t="shared" si="29"/>
        <v>7</v>
      </c>
      <c r="AV72" s="39">
        <f>_xll.DBRW($C$2,$AV$1,AV$2,$D$18,$D$3,$D72,$E72,$F72,AV$3)</f>
        <v>0</v>
      </c>
      <c r="AW72" s="25" cm="1">
        <f t="array" ref="AW72">_xll.DBRW($E$2,AV$1,AV$2,$D$18,$D$3,$D72,$E72,$F72,$F$3,AW$3)</f>
        <v>0</v>
      </c>
      <c r="AX72" s="25">
        <f>_xll.DBRW($C$2,$AV$1,AV$2,$D$18,$D$3,$D72,$E72,$F72,AX$3)</f>
        <v>1</v>
      </c>
      <c r="AY72" s="64">
        <f>_xll.DBRW($C$2,$AV$1,AV$2,$D$18,$D$3,$D72,$E72,$F72,AY$3)</f>
        <v>0</v>
      </c>
      <c r="AZ72" s="58">
        <f>_xll.DBRW($C$2,$AV$1,AV$2,$D$18,$D$3,$D72,$E72,$F72,AZ$3)</f>
        <v>0</v>
      </c>
      <c r="BA72" s="48">
        <f t="shared" si="30"/>
        <v>6</v>
      </c>
      <c r="BB72" s="39">
        <f>_xll.DBRW($C$2,$BB$1,BB$2,$D$18,$D$3,$D72,$E72,$F72,BB$3)</f>
        <v>0</v>
      </c>
      <c r="BC72" s="25" cm="1">
        <f t="array" ref="BC72">_xll.DBRW($E$2,BB$1,BB$2,$D$18,$D$3,$D72,$E72,$F72,$F$3,BC$3)</f>
        <v>0</v>
      </c>
      <c r="BD72" s="25">
        <f>_xll.DBRW($C$2,$BB$1,BB$2,$D$18,$D$3,$D72,$E72,$F72,BD$3)</f>
        <v>1</v>
      </c>
      <c r="BE72" s="64">
        <f>_xll.DBRW($C$2,$BB$1,BB$2,$D$18,$D$3,$D72,$E72,$F72,BE$3)</f>
        <v>0</v>
      </c>
      <c r="BF72" s="58">
        <f>_xll.DBRW($C$2,$BB$1,BB$2,$D$18,$D$3,$D72,$E72,$F72,BF$3)</f>
        <v>0</v>
      </c>
      <c r="BG72" s="48">
        <f t="shared" si="31"/>
        <v>5</v>
      </c>
      <c r="BH72" s="39">
        <f>_xll.DBRW($C$2,$BH$1,BH$2,$D$18,$D$3,$D72,$E72,$F72,BH$3)</f>
        <v>0</v>
      </c>
      <c r="BI72" s="25" cm="1">
        <f t="array" ref="BI72">_xll.DBRW($E$2,BH$1,BH$2,$D$18,$D$3,$D72,$E72,$F72,$F$3,BI$3)</f>
        <v>0</v>
      </c>
      <c r="BJ72" s="25">
        <f>_xll.DBRW($C$2,$BH$1,BH$2,$D$18,$D$3,$D72,$E72,$F72,BJ$3)</f>
        <v>1</v>
      </c>
      <c r="BK72" s="64">
        <f>_xll.DBRW($C$2,$BH$1,BH$2,$D$18,$D$3,$D72,$E72,$F72,BK$3)</f>
        <v>0</v>
      </c>
      <c r="BL72" s="58">
        <f>_xll.DBRW($C$2,$BH$1,BH$2,$D$18,$D$3,$D72,$E72,$F72,BL$3)</f>
        <v>0</v>
      </c>
      <c r="BM72" s="48">
        <f t="shared" si="32"/>
        <v>4</v>
      </c>
      <c r="BN72" s="39">
        <f>_xll.DBRW($C$2,$BN$1,BN$2,$D$18,$D$3,$D72,$E72,$F72,BN$3)</f>
        <v>0</v>
      </c>
      <c r="BO72" s="25" cm="1">
        <f t="array" ref="BO72">_xll.DBRW($E$2,BN$1,BN$2,$D$18,$D$3,$D72,$E72,$F72,$F$3,BO$3)</f>
        <v>0</v>
      </c>
      <c r="BP72" s="25">
        <f>_xll.DBRW($C$2,$BN$1,BN$2,$D$18,$D$3,$D72,$E72,$F72,BP$3)</f>
        <v>1</v>
      </c>
      <c r="BQ72" s="64">
        <f>_xll.DBRW($C$2,$BN$1,BN$2,$D$18,$D$3,$D72,$E72,$F72,BQ$3)</f>
        <v>0</v>
      </c>
      <c r="BR72" s="58">
        <f>_xll.DBRW($C$2,$BN$1,BN$2,$D$18,$D$3,$D72,$E72,$F72,BR$3)</f>
        <v>0</v>
      </c>
      <c r="BS72" s="48">
        <f t="shared" si="33"/>
        <v>3</v>
      </c>
      <c r="BT72" s="39">
        <f>_xll.DBRW($C$2,$BT$1,BT$2,$D$18,$D$3,$D72,$E72,$F72,BT$3)</f>
        <v>0</v>
      </c>
      <c r="BU72" s="25" cm="1">
        <f t="array" ref="BU72">_xll.DBRW($E$2,BT$1,BT$2,$D$18,$D$3,$D72,$E72,$F72,$F$3,BU$3)</f>
        <v>0</v>
      </c>
      <c r="BV72" s="25">
        <f>_xll.DBRW($C$2,$BT$1,BT$2,$D$18,$D$3,$D72,$E72,$F72,BV$3)</f>
        <v>1</v>
      </c>
      <c r="BW72" s="64">
        <f>_xll.DBRW($C$2,$BT$1,BT$2,$D$18,$D$3,$D72,$E72,$F72,BW$3)</f>
        <v>0</v>
      </c>
      <c r="BX72" s="58">
        <f>_xll.DBRW($C$2,$BT$1,BT$2,$D$18,$D$3,$D72,$E72,$F72,BX$3)</f>
        <v>0</v>
      </c>
      <c r="BY72" s="48">
        <f t="shared" si="34"/>
        <v>2</v>
      </c>
      <c r="BZ72" s="39">
        <f>_xll.DBRW($C$2,$BZ$1,BZ$2,$D$18,$D$3,$D72,$E72,$F72,BZ$3)</f>
        <v>0</v>
      </c>
      <c r="CA72" s="25" cm="1">
        <f t="array" ref="CA72">_xll.DBRW($E$2,BZ$1,BZ$2,$D$18,$D$3,$D72,$E72,$F72,$F$3,CA$3)</f>
        <v>0</v>
      </c>
      <c r="CB72" s="25">
        <f>_xll.DBRW($C$2,$BZ$1,BZ$2,$D$18,$D$3,$D72,$E72,$F72,CB$3)</f>
        <v>1</v>
      </c>
      <c r="CC72" s="64">
        <f>_xll.DBRW($C$2,$BZ$1,BZ$2,$D$18,$D$3,$D72,$E72,$F72,CC$3)</f>
        <v>0</v>
      </c>
      <c r="CD72" s="58">
        <f>_xll.DBRW($C$2,$BZ$1,BZ$2,$D$18,$D$3,$D72,$E72,$F72,CD$3)</f>
        <v>0</v>
      </c>
      <c r="CE72" s="48">
        <f t="shared" si="35"/>
        <v>1</v>
      </c>
    </row>
    <row r="73" spans="1:83" s="23" customFormat="1" outlineLevel="1" thickBot="1" x14ac:dyDescent="0.3">
      <c r="A73" s="91" t="str">
        <f>IF(_xll.TM1RPTELISCONSOLIDATED($F$22,$F73),IF(_xll.TM1RPTELLEV($F$22,$F73)&lt;=5,_xll.TM1RPTELLEV($F$22,$F73),"Default"),"Leaf")</f>
        <v>Leaf</v>
      </c>
      <c r="B73" s="24" t="str">
        <f>_xll.DBRW("TM1-S1_DEV:}ElementAttributes_SP_SKU",$D73,B$1)</f>
        <v>Primary</v>
      </c>
      <c r="C73" s="24" t="str">
        <f>_xll.DBRW("TM1-S1_DEV:}ElementAttributes_SP_SKU",$D73,C$1)</f>
        <v>CONDIMENT</v>
      </c>
      <c r="D73" s="28" t="s">
        <v>396</v>
      </c>
      <c r="E73" s="28" t="s">
        <v>221</v>
      </c>
      <c r="F73" s="28" t="s">
        <v>19</v>
      </c>
      <c r="G73" s="4">
        <f>_xll.DBRW($C$2,$G$19,G$20,$D$18,$D$3,$D73,$E73,$F73,G$3)</f>
        <v>27</v>
      </c>
      <c r="H73" s="54">
        <f t="shared" si="24"/>
        <v>-4</v>
      </c>
      <c r="I73" s="4"/>
      <c r="J73" s="25">
        <f>_xll.DBRW($C$2,$J$1,J$2,$D$18,$D$3,$D73,$E73,$F73,J$3)</f>
        <v>23</v>
      </c>
      <c r="K73" s="39">
        <f>_xll.DBRW($C$2,$J$1,J$2,$D$18,$D$3,$D73,$E73,$F73,K$3)</f>
        <v>0</v>
      </c>
      <c r="L73" s="25">
        <f>_xll.DBRW($C$2,$J$1,J$2,$D$18,$D$3,$D73,$E73,$F73,L$3)</f>
        <v>0</v>
      </c>
      <c r="M73" s="25">
        <f>_xll.DBRW($C$2,$J$1,J$2,$D$18,$D$3,$D73,$E73,$F73,M$3)</f>
        <v>0</v>
      </c>
      <c r="N73" s="25">
        <f>_xll.DBRW($C$2,$J$1,J$2,$D$18,$D$3,$D73,$E73,$F73,N$3)</f>
        <v>11</v>
      </c>
      <c r="O73" s="64">
        <f>_xll.DBRW($C$2,$J$1,J$2,$D$18,$D$3,$D73,$E73,$F73,O$3)</f>
        <v>1</v>
      </c>
      <c r="P73" s="58">
        <f>_xll.DBRW($C$2,$J$1,J$2,$D$18,$D$3,$D73,$E73,$F73,P$3)</f>
        <v>0</v>
      </c>
      <c r="Q73" s="48">
        <f>_xll.DBRW($C$2,$J$1,J$2,$D$18,$D$3,$D73,$E73,$F73,Q$3)</f>
        <v>12</v>
      </c>
      <c r="R73" s="39">
        <f>_xll.DBRW($C$2,$R$1,R$2,$D$18,$D$3,$D73,$E73,$F73,R$3)</f>
        <v>0</v>
      </c>
      <c r="S73" s="25" cm="1">
        <f t="array" ref="S73">_xll.DBRW($E$2,R$1,R$2,$D$18,$D$3,$D73,$E73,$F73,$F$3,S$3)</f>
        <v>0</v>
      </c>
      <c r="T73" s="25">
        <f>_xll.DBRW($C$2,$R$1,R$2,$D$18,$D$3,$D73,$E73,$F73,T$3)</f>
        <v>0</v>
      </c>
      <c r="U73" s="64">
        <f>_xll.DBRW($C$2,$R$1,R$2,$D$18,$D$3,$D73,$E73,$F73,U$3)</f>
        <v>0</v>
      </c>
      <c r="V73" s="58">
        <f>_xll.DBRW($C$2,$R$1,R$2,$D$18,$D$3,$D73,$E73,$F73,V$3)</f>
        <v>0</v>
      </c>
      <c r="W73" s="48">
        <f t="shared" si="25"/>
        <v>12</v>
      </c>
      <c r="X73" s="39">
        <f>_xll.DBRW($C$2,$X$1,X$2,$D$18,$D$3,$D73,$E73,$F73,X$3)</f>
        <v>0</v>
      </c>
      <c r="Y73" s="25" cm="1">
        <f t="array" ref="Y73">_xll.DBRW($E$2,X$1,X$2,$D$18,$D$3,$D73,$E73,$F73,$F$3,Y$3)</f>
        <v>0</v>
      </c>
      <c r="Z73" s="25">
        <f>_xll.DBRW($C$2,$X$1,X$2,$D$18,$D$3,$D73,$E73,$F73,Z$3)</f>
        <v>1</v>
      </c>
      <c r="AA73" s="64">
        <f>_xll.DBRW($C$2,$X$1,X$2,$D$18,$D$3,$D73,$E73,$F73,AA$3)</f>
        <v>0</v>
      </c>
      <c r="AB73" s="58">
        <f>_xll.DBRW($C$2,$X$1,X$2,$D$18,$D$3,$D73,$E73,$F73,AB$3)</f>
        <v>0</v>
      </c>
      <c r="AC73" s="48">
        <f t="shared" si="26"/>
        <v>11</v>
      </c>
      <c r="AD73" s="39">
        <f>_xll.DBRW($C$2,$AD$1,AD$2,$D$18,$D$3,$D73,$E73,$F73,AD$3)</f>
        <v>0</v>
      </c>
      <c r="AE73" s="25" cm="1">
        <f t="array" ref="AE73">_xll.DBRW($E$2,AD$1,AD$2,$D$18,$D$3,$D73,$E73,$F73,$F$3,AE$3)</f>
        <v>0</v>
      </c>
      <c r="AF73" s="25">
        <f>_xll.DBRW($C$2,$AD$1,AD$2,$D$18,$D$3,$D73,$E73,$F73,AF$3)</f>
        <v>1</v>
      </c>
      <c r="AG73" s="64">
        <f>_xll.DBRW($C$2,$AD$1,AD$2,$D$18,$D$3,$D73,$E73,$F73,AG$3)</f>
        <v>0</v>
      </c>
      <c r="AH73" s="58">
        <f>_xll.DBRW($C$2,$AD$1,AD$2,$D$18,$D$3,$D73,$E73,$F73,AH$3)</f>
        <v>0</v>
      </c>
      <c r="AI73" s="48">
        <f t="shared" si="27"/>
        <v>10</v>
      </c>
      <c r="AJ73" s="39">
        <f>_xll.DBRW($C$2,$AJ$1,AJ$2,$D$18,$D$3,$D73,$E73,$F73,AJ$3)</f>
        <v>0</v>
      </c>
      <c r="AK73" s="25" cm="1">
        <f t="array" ref="AK73">_xll.DBRW($E$2,AJ$1,AJ$2,$D$18,$D$3,$D73,$E73,$F73,$F$3,AK$3)</f>
        <v>0</v>
      </c>
      <c r="AL73" s="25">
        <f>_xll.DBRW($C$2,$AJ$1,AJ$2,$D$18,$D$3,$D73,$E73,$F73,AL$3)</f>
        <v>1</v>
      </c>
      <c r="AM73" s="64">
        <f>_xll.DBRW($C$2,$AJ$1,AJ$2,$D$18,$D$3,$D73,$E73,$F73,AM$3)</f>
        <v>0</v>
      </c>
      <c r="AN73" s="58">
        <f>_xll.DBRW($C$2,$AJ$1,AJ$2,$D$18,$D$3,$D73,$E73,$F73,AN$3)</f>
        <v>0</v>
      </c>
      <c r="AO73" s="48">
        <f t="shared" si="28"/>
        <v>9</v>
      </c>
      <c r="AP73" s="39">
        <f>_xll.DBRW($C$2,$AP$1,AP$2,$D$18,$D$3,$D73,$E73,$F73,AP$3)</f>
        <v>0</v>
      </c>
      <c r="AQ73" s="25" cm="1">
        <f t="array" ref="AQ73">_xll.DBRW($E$2,AP$1,AP$2,$D$18,$D$3,$D73,$E73,$F73,$F$3,AQ$3)</f>
        <v>0</v>
      </c>
      <c r="AR73" s="25">
        <f>_xll.DBRW($C$2,$AP$1,AP$2,$D$18,$D$3,$D73,$E73,$F73,AR$3)</f>
        <v>1</v>
      </c>
      <c r="AS73" s="64">
        <f>_xll.DBRW($C$2,$AP$1,AP$2,$D$18,$D$3,$D73,$E73,$F73,AS$3)</f>
        <v>0</v>
      </c>
      <c r="AT73" s="58">
        <f>_xll.DBRW($C$2,$AP$1,AP$2,$D$18,$D$3,$D73,$E73,$F73,AT$3)</f>
        <v>0</v>
      </c>
      <c r="AU73" s="48">
        <f t="shared" si="29"/>
        <v>8</v>
      </c>
      <c r="AV73" s="39">
        <f>_xll.DBRW($C$2,$AV$1,AV$2,$D$18,$D$3,$D73,$E73,$F73,AV$3)</f>
        <v>0</v>
      </c>
      <c r="AW73" s="25" cm="1">
        <f t="array" ref="AW73">_xll.DBRW($E$2,AV$1,AV$2,$D$18,$D$3,$D73,$E73,$F73,$F$3,AW$3)</f>
        <v>0</v>
      </c>
      <c r="AX73" s="25">
        <f>_xll.DBRW($C$2,$AV$1,AV$2,$D$18,$D$3,$D73,$E73,$F73,AX$3)</f>
        <v>1</v>
      </c>
      <c r="AY73" s="64">
        <f>_xll.DBRW($C$2,$AV$1,AV$2,$D$18,$D$3,$D73,$E73,$F73,AY$3)</f>
        <v>0</v>
      </c>
      <c r="AZ73" s="58">
        <f>_xll.DBRW($C$2,$AV$1,AV$2,$D$18,$D$3,$D73,$E73,$F73,AZ$3)</f>
        <v>0</v>
      </c>
      <c r="BA73" s="48">
        <f t="shared" si="30"/>
        <v>7</v>
      </c>
      <c r="BB73" s="39">
        <f>_xll.DBRW($C$2,$BB$1,BB$2,$D$18,$D$3,$D73,$E73,$F73,BB$3)</f>
        <v>0</v>
      </c>
      <c r="BC73" s="25" cm="1">
        <f t="array" ref="BC73">_xll.DBRW($E$2,BB$1,BB$2,$D$18,$D$3,$D73,$E73,$F73,$F$3,BC$3)</f>
        <v>0</v>
      </c>
      <c r="BD73" s="25">
        <f>_xll.DBRW($C$2,$BB$1,BB$2,$D$18,$D$3,$D73,$E73,$F73,BD$3)</f>
        <v>1</v>
      </c>
      <c r="BE73" s="64">
        <f>_xll.DBRW($C$2,$BB$1,BB$2,$D$18,$D$3,$D73,$E73,$F73,BE$3)</f>
        <v>0</v>
      </c>
      <c r="BF73" s="58">
        <f>_xll.DBRW($C$2,$BB$1,BB$2,$D$18,$D$3,$D73,$E73,$F73,BF$3)</f>
        <v>0</v>
      </c>
      <c r="BG73" s="48">
        <f t="shared" si="31"/>
        <v>6</v>
      </c>
      <c r="BH73" s="39">
        <f>_xll.DBRW($C$2,$BH$1,BH$2,$D$18,$D$3,$D73,$E73,$F73,BH$3)</f>
        <v>0</v>
      </c>
      <c r="BI73" s="25" cm="1">
        <f t="array" ref="BI73">_xll.DBRW($E$2,BH$1,BH$2,$D$18,$D$3,$D73,$E73,$F73,$F$3,BI$3)</f>
        <v>0</v>
      </c>
      <c r="BJ73" s="25">
        <f>_xll.DBRW($C$2,$BH$1,BH$2,$D$18,$D$3,$D73,$E73,$F73,BJ$3)</f>
        <v>1</v>
      </c>
      <c r="BK73" s="64">
        <f>_xll.DBRW($C$2,$BH$1,BH$2,$D$18,$D$3,$D73,$E73,$F73,BK$3)</f>
        <v>0</v>
      </c>
      <c r="BL73" s="58">
        <f>_xll.DBRW($C$2,$BH$1,BH$2,$D$18,$D$3,$D73,$E73,$F73,BL$3)</f>
        <v>0</v>
      </c>
      <c r="BM73" s="48">
        <f t="shared" si="32"/>
        <v>5</v>
      </c>
      <c r="BN73" s="39">
        <f>_xll.DBRW($C$2,$BN$1,BN$2,$D$18,$D$3,$D73,$E73,$F73,BN$3)</f>
        <v>0</v>
      </c>
      <c r="BO73" s="25" cm="1">
        <f t="array" ref="BO73">_xll.DBRW($E$2,BN$1,BN$2,$D$18,$D$3,$D73,$E73,$F73,$F$3,BO$3)</f>
        <v>0</v>
      </c>
      <c r="BP73" s="25">
        <f>_xll.DBRW($C$2,$BN$1,BN$2,$D$18,$D$3,$D73,$E73,$F73,BP$3)</f>
        <v>1</v>
      </c>
      <c r="BQ73" s="64">
        <f>_xll.DBRW($C$2,$BN$1,BN$2,$D$18,$D$3,$D73,$E73,$F73,BQ$3)</f>
        <v>0</v>
      </c>
      <c r="BR73" s="58">
        <f>_xll.DBRW($C$2,$BN$1,BN$2,$D$18,$D$3,$D73,$E73,$F73,BR$3)</f>
        <v>0</v>
      </c>
      <c r="BS73" s="48">
        <f t="shared" si="33"/>
        <v>4</v>
      </c>
      <c r="BT73" s="39">
        <f>_xll.DBRW($C$2,$BT$1,BT$2,$D$18,$D$3,$D73,$E73,$F73,BT$3)</f>
        <v>0</v>
      </c>
      <c r="BU73" s="25" cm="1">
        <f t="array" ref="BU73">_xll.DBRW($E$2,BT$1,BT$2,$D$18,$D$3,$D73,$E73,$F73,$F$3,BU$3)</f>
        <v>0</v>
      </c>
      <c r="BV73" s="25">
        <f>_xll.DBRW($C$2,$BT$1,BT$2,$D$18,$D$3,$D73,$E73,$F73,BV$3)</f>
        <v>1</v>
      </c>
      <c r="BW73" s="64">
        <f>_xll.DBRW($C$2,$BT$1,BT$2,$D$18,$D$3,$D73,$E73,$F73,BW$3)</f>
        <v>0</v>
      </c>
      <c r="BX73" s="58">
        <f>_xll.DBRW($C$2,$BT$1,BT$2,$D$18,$D$3,$D73,$E73,$F73,BX$3)</f>
        <v>0</v>
      </c>
      <c r="BY73" s="48">
        <f t="shared" si="34"/>
        <v>3</v>
      </c>
      <c r="BZ73" s="39">
        <f>_xll.DBRW($C$2,$BZ$1,BZ$2,$D$18,$D$3,$D73,$E73,$F73,BZ$3)</f>
        <v>0</v>
      </c>
      <c r="CA73" s="25" cm="1">
        <f t="array" ref="CA73">_xll.DBRW($E$2,BZ$1,BZ$2,$D$18,$D$3,$D73,$E73,$F73,$F$3,CA$3)</f>
        <v>0</v>
      </c>
      <c r="CB73" s="25">
        <f>_xll.DBRW($C$2,$BZ$1,BZ$2,$D$18,$D$3,$D73,$E73,$F73,CB$3)</f>
        <v>1</v>
      </c>
      <c r="CC73" s="64">
        <f>_xll.DBRW($C$2,$BZ$1,BZ$2,$D$18,$D$3,$D73,$E73,$F73,CC$3)</f>
        <v>0</v>
      </c>
      <c r="CD73" s="58">
        <f>_xll.DBRW($C$2,$BZ$1,BZ$2,$D$18,$D$3,$D73,$E73,$F73,CD$3)</f>
        <v>0</v>
      </c>
      <c r="CE73" s="48">
        <f t="shared" si="35"/>
        <v>2</v>
      </c>
    </row>
    <row r="74" spans="1:83" s="23" customFormat="1" outlineLevel="1" thickBot="1" x14ac:dyDescent="0.3">
      <c r="A74" s="91" t="str">
        <f>IF(_xll.TM1RPTELISCONSOLIDATED($F$22,$F74),IF(_xll.TM1RPTELLEV($F$22,$F74)&lt;=5,_xll.TM1RPTELLEV($F$22,$F74),"Default"),"Leaf")</f>
        <v>Leaf</v>
      </c>
      <c r="B74" s="24" t="str">
        <f>_xll.DBRW("TM1-S1_DEV:}ElementAttributes_SP_SKU",$D74,B$1)</f>
        <v>Primary</v>
      </c>
      <c r="C74" s="24" t="str">
        <f>_xll.DBRW("TM1-S1_DEV:}ElementAttributes_SP_SKU",$D74,C$1)</f>
        <v>CONDIMENT</v>
      </c>
      <c r="D74" s="28" t="s">
        <v>397</v>
      </c>
      <c r="E74" s="28" t="s">
        <v>222</v>
      </c>
      <c r="F74" s="28" t="s">
        <v>19</v>
      </c>
      <c r="G74" s="4">
        <f>_xll.DBRW($C$2,$G$19,G$20,$D$18,$D$3,$D74,$E74,$F74,G$3)</f>
        <v>15</v>
      </c>
      <c r="H74" s="54">
        <f t="shared" si="24"/>
        <v>0</v>
      </c>
      <c r="I74" s="4"/>
      <c r="J74" s="25">
        <f>_xll.DBRW($C$2,$J$1,J$2,$D$18,$D$3,$D74,$E74,$F74,J$3)</f>
        <v>15</v>
      </c>
      <c r="K74" s="39">
        <f>_xll.DBRW($C$2,$J$1,J$2,$D$18,$D$3,$D74,$E74,$F74,K$3)</f>
        <v>0</v>
      </c>
      <c r="L74" s="25">
        <f>_xll.DBRW($C$2,$J$1,J$2,$D$18,$D$3,$D74,$E74,$F74,L$3)</f>
        <v>0</v>
      </c>
      <c r="M74" s="25">
        <f>_xll.DBRW($C$2,$J$1,J$2,$D$18,$D$3,$D74,$E74,$F74,M$3)</f>
        <v>0</v>
      </c>
      <c r="N74" s="25">
        <f>_xll.DBRW($C$2,$J$1,J$2,$D$18,$D$3,$D74,$E74,$F74,N$3)</f>
        <v>10</v>
      </c>
      <c r="O74" s="64">
        <f>_xll.DBRW($C$2,$J$1,J$2,$D$18,$D$3,$D74,$E74,$F74,O$3)</f>
        <v>1</v>
      </c>
      <c r="P74" s="58">
        <f>_xll.DBRW($C$2,$J$1,J$2,$D$18,$D$3,$D74,$E74,$F74,P$3)</f>
        <v>0</v>
      </c>
      <c r="Q74" s="48">
        <f>_xll.DBRW($C$2,$J$1,J$2,$D$18,$D$3,$D74,$E74,$F74,Q$3)</f>
        <v>5</v>
      </c>
      <c r="R74" s="39">
        <f>_xll.DBRW($C$2,$R$1,R$2,$D$18,$D$3,$D74,$E74,$F74,R$3)</f>
        <v>0</v>
      </c>
      <c r="S74" s="25" cm="1">
        <f t="array" ref="S74">_xll.DBRW($E$2,R$1,R$2,$D$18,$D$3,$D74,$E74,$F74,$F$3,S$3)</f>
        <v>0</v>
      </c>
      <c r="T74" s="25">
        <f>_xll.DBRW($C$2,$R$1,R$2,$D$18,$D$3,$D74,$E74,$F74,T$3)</f>
        <v>0</v>
      </c>
      <c r="U74" s="64">
        <f>_xll.DBRW($C$2,$R$1,R$2,$D$18,$D$3,$D74,$E74,$F74,U$3)</f>
        <v>0</v>
      </c>
      <c r="V74" s="58">
        <f>_xll.DBRW($C$2,$R$1,R$2,$D$18,$D$3,$D74,$E74,$F74,V$3)</f>
        <v>0</v>
      </c>
      <c r="W74" s="48">
        <f t="shared" si="25"/>
        <v>5</v>
      </c>
      <c r="X74" s="39">
        <f>_xll.DBRW($C$2,$X$1,X$2,$D$18,$D$3,$D74,$E74,$F74,X$3)</f>
        <v>0</v>
      </c>
      <c r="Y74" s="25" cm="1">
        <f t="array" ref="Y74">_xll.DBRW($E$2,X$1,X$2,$D$18,$D$3,$D74,$E74,$F74,$F$3,Y$3)</f>
        <v>0</v>
      </c>
      <c r="Z74" s="25">
        <f>_xll.DBRW($C$2,$X$1,X$2,$D$18,$D$3,$D74,$E74,$F74,Z$3)</f>
        <v>2</v>
      </c>
      <c r="AA74" s="64">
        <f>_xll.DBRW($C$2,$X$1,X$2,$D$18,$D$3,$D74,$E74,$F74,AA$3)</f>
        <v>0</v>
      </c>
      <c r="AB74" s="58">
        <f>_xll.DBRW($C$2,$X$1,X$2,$D$18,$D$3,$D74,$E74,$F74,AB$3)</f>
        <v>0</v>
      </c>
      <c r="AC74" s="48">
        <f t="shared" si="26"/>
        <v>3</v>
      </c>
      <c r="AD74" s="39">
        <f>_xll.DBRW($C$2,$AD$1,AD$2,$D$18,$D$3,$D74,$E74,$F74,AD$3)</f>
        <v>0</v>
      </c>
      <c r="AE74" s="25" cm="1">
        <f t="array" ref="AE74">_xll.DBRW($E$2,AD$1,AD$2,$D$18,$D$3,$D74,$E74,$F74,$F$3,AE$3)</f>
        <v>0</v>
      </c>
      <c r="AF74" s="25">
        <f>_xll.DBRW($C$2,$AD$1,AD$2,$D$18,$D$3,$D74,$E74,$F74,AF$3)</f>
        <v>2</v>
      </c>
      <c r="AG74" s="64">
        <f>_xll.DBRW($C$2,$AD$1,AD$2,$D$18,$D$3,$D74,$E74,$F74,AG$3)</f>
        <v>0</v>
      </c>
      <c r="AH74" s="58">
        <f>_xll.DBRW($C$2,$AD$1,AD$2,$D$18,$D$3,$D74,$E74,$F74,AH$3)</f>
        <v>0</v>
      </c>
      <c r="AI74" s="48">
        <f t="shared" si="27"/>
        <v>1</v>
      </c>
      <c r="AJ74" s="39">
        <f>_xll.DBRW($C$2,$AJ$1,AJ$2,$D$18,$D$3,$D74,$E74,$F74,AJ$3)</f>
        <v>0</v>
      </c>
      <c r="AK74" s="25" cm="1">
        <f t="array" ref="AK74">_xll.DBRW($E$2,AJ$1,AJ$2,$D$18,$D$3,$D74,$E74,$F74,$F$3,AK$3)</f>
        <v>0</v>
      </c>
      <c r="AL74" s="25">
        <f>_xll.DBRW($C$2,$AJ$1,AJ$2,$D$18,$D$3,$D74,$E74,$F74,AL$3)</f>
        <v>2</v>
      </c>
      <c r="AM74" s="64">
        <f>_xll.DBRW($C$2,$AJ$1,AJ$2,$D$18,$D$3,$D74,$E74,$F74,AM$3)</f>
        <v>0</v>
      </c>
      <c r="AN74" s="58">
        <f>_xll.DBRW($C$2,$AJ$1,AJ$2,$D$18,$D$3,$D74,$E74,$F74,AN$3)</f>
        <v>0</v>
      </c>
      <c r="AO74" s="48">
        <f t="shared" si="28"/>
        <v>-1</v>
      </c>
      <c r="AP74" s="39">
        <f>_xll.DBRW($C$2,$AP$1,AP$2,$D$18,$D$3,$D74,$E74,$F74,AP$3)</f>
        <v>0</v>
      </c>
      <c r="AQ74" s="25" cm="1">
        <f t="array" ref="AQ74">_xll.DBRW($E$2,AP$1,AP$2,$D$18,$D$3,$D74,$E74,$F74,$F$3,AQ$3)</f>
        <v>0</v>
      </c>
      <c r="AR74" s="25">
        <f>_xll.DBRW($C$2,$AP$1,AP$2,$D$18,$D$3,$D74,$E74,$F74,AR$3)</f>
        <v>2</v>
      </c>
      <c r="AS74" s="64">
        <f>_xll.DBRW($C$2,$AP$1,AP$2,$D$18,$D$3,$D74,$E74,$F74,AS$3)</f>
        <v>0</v>
      </c>
      <c r="AT74" s="58">
        <f>_xll.DBRW($C$2,$AP$1,AP$2,$D$18,$D$3,$D74,$E74,$F74,AT$3)</f>
        <v>0</v>
      </c>
      <c r="AU74" s="48">
        <f t="shared" si="29"/>
        <v>-3</v>
      </c>
      <c r="AV74" s="39">
        <f>_xll.DBRW($C$2,$AV$1,AV$2,$D$18,$D$3,$D74,$E74,$F74,AV$3)</f>
        <v>0</v>
      </c>
      <c r="AW74" s="25" cm="1">
        <f t="array" ref="AW74">_xll.DBRW($E$2,AV$1,AV$2,$D$18,$D$3,$D74,$E74,$F74,$F$3,AW$3)</f>
        <v>0</v>
      </c>
      <c r="AX74" s="25">
        <f>_xll.DBRW($C$2,$AV$1,AV$2,$D$18,$D$3,$D74,$E74,$F74,AX$3)</f>
        <v>2</v>
      </c>
      <c r="AY74" s="64">
        <f>_xll.DBRW($C$2,$AV$1,AV$2,$D$18,$D$3,$D74,$E74,$F74,AY$3)</f>
        <v>0</v>
      </c>
      <c r="AZ74" s="58">
        <f>_xll.DBRW($C$2,$AV$1,AV$2,$D$18,$D$3,$D74,$E74,$F74,AZ$3)</f>
        <v>0</v>
      </c>
      <c r="BA74" s="48">
        <f t="shared" si="30"/>
        <v>-5</v>
      </c>
      <c r="BB74" s="39">
        <f>_xll.DBRW($C$2,$BB$1,BB$2,$D$18,$D$3,$D74,$E74,$F74,BB$3)</f>
        <v>0</v>
      </c>
      <c r="BC74" s="25" cm="1">
        <f t="array" ref="BC74">_xll.DBRW($E$2,BB$1,BB$2,$D$18,$D$3,$D74,$E74,$F74,$F$3,BC$3)</f>
        <v>0</v>
      </c>
      <c r="BD74" s="25">
        <f>_xll.DBRW($C$2,$BB$1,BB$2,$D$18,$D$3,$D74,$E74,$F74,BD$3)</f>
        <v>2</v>
      </c>
      <c r="BE74" s="64">
        <f>_xll.DBRW($C$2,$BB$1,BB$2,$D$18,$D$3,$D74,$E74,$F74,BE$3)</f>
        <v>0</v>
      </c>
      <c r="BF74" s="58">
        <f>_xll.DBRW($C$2,$BB$1,BB$2,$D$18,$D$3,$D74,$E74,$F74,BF$3)</f>
        <v>0</v>
      </c>
      <c r="BG74" s="48">
        <f t="shared" si="31"/>
        <v>-7</v>
      </c>
      <c r="BH74" s="39">
        <f>_xll.DBRW($C$2,$BH$1,BH$2,$D$18,$D$3,$D74,$E74,$F74,BH$3)</f>
        <v>0</v>
      </c>
      <c r="BI74" s="25" cm="1">
        <f t="array" ref="BI74">_xll.DBRW($E$2,BH$1,BH$2,$D$18,$D$3,$D74,$E74,$F74,$F$3,BI$3)</f>
        <v>0</v>
      </c>
      <c r="BJ74" s="25">
        <f>_xll.DBRW($C$2,$BH$1,BH$2,$D$18,$D$3,$D74,$E74,$F74,BJ$3)</f>
        <v>2</v>
      </c>
      <c r="BK74" s="64">
        <f>_xll.DBRW($C$2,$BH$1,BH$2,$D$18,$D$3,$D74,$E74,$F74,BK$3)</f>
        <v>0</v>
      </c>
      <c r="BL74" s="58">
        <f>_xll.DBRW($C$2,$BH$1,BH$2,$D$18,$D$3,$D74,$E74,$F74,BL$3)</f>
        <v>0</v>
      </c>
      <c r="BM74" s="48">
        <f t="shared" si="32"/>
        <v>-9</v>
      </c>
      <c r="BN74" s="39">
        <f>_xll.DBRW($C$2,$BN$1,BN$2,$D$18,$D$3,$D74,$E74,$F74,BN$3)</f>
        <v>0</v>
      </c>
      <c r="BO74" s="25" cm="1">
        <f t="array" ref="BO74">_xll.DBRW($E$2,BN$1,BN$2,$D$18,$D$3,$D74,$E74,$F74,$F$3,BO$3)</f>
        <v>0</v>
      </c>
      <c r="BP74" s="25">
        <f>_xll.DBRW($C$2,$BN$1,BN$2,$D$18,$D$3,$D74,$E74,$F74,BP$3)</f>
        <v>2</v>
      </c>
      <c r="BQ74" s="64">
        <f>_xll.DBRW($C$2,$BN$1,BN$2,$D$18,$D$3,$D74,$E74,$F74,BQ$3)</f>
        <v>0</v>
      </c>
      <c r="BR74" s="58">
        <f>_xll.DBRW($C$2,$BN$1,BN$2,$D$18,$D$3,$D74,$E74,$F74,BR$3)</f>
        <v>0</v>
      </c>
      <c r="BS74" s="48">
        <f t="shared" si="33"/>
        <v>-11</v>
      </c>
      <c r="BT74" s="39">
        <f>_xll.DBRW($C$2,$BT$1,BT$2,$D$18,$D$3,$D74,$E74,$F74,BT$3)</f>
        <v>0</v>
      </c>
      <c r="BU74" s="25" cm="1">
        <f t="array" ref="BU74">_xll.DBRW($E$2,BT$1,BT$2,$D$18,$D$3,$D74,$E74,$F74,$F$3,BU$3)</f>
        <v>0</v>
      </c>
      <c r="BV74" s="25">
        <f>_xll.DBRW($C$2,$BT$1,BT$2,$D$18,$D$3,$D74,$E74,$F74,BV$3)</f>
        <v>2</v>
      </c>
      <c r="BW74" s="64">
        <f>_xll.DBRW($C$2,$BT$1,BT$2,$D$18,$D$3,$D74,$E74,$F74,BW$3)</f>
        <v>0</v>
      </c>
      <c r="BX74" s="58">
        <f>_xll.DBRW($C$2,$BT$1,BT$2,$D$18,$D$3,$D74,$E74,$F74,BX$3)</f>
        <v>0</v>
      </c>
      <c r="BY74" s="48">
        <f t="shared" si="34"/>
        <v>-13</v>
      </c>
      <c r="BZ74" s="39">
        <f>_xll.DBRW($C$2,$BZ$1,BZ$2,$D$18,$D$3,$D74,$E74,$F74,BZ$3)</f>
        <v>0</v>
      </c>
      <c r="CA74" s="25" cm="1">
        <f t="array" ref="CA74">_xll.DBRW($E$2,BZ$1,BZ$2,$D$18,$D$3,$D74,$E74,$F74,$F$3,CA$3)</f>
        <v>0</v>
      </c>
      <c r="CB74" s="25">
        <f>_xll.DBRW($C$2,$BZ$1,BZ$2,$D$18,$D$3,$D74,$E74,$F74,CB$3)</f>
        <v>2</v>
      </c>
      <c r="CC74" s="64">
        <f>_xll.DBRW($C$2,$BZ$1,BZ$2,$D$18,$D$3,$D74,$E74,$F74,CC$3)</f>
        <v>0</v>
      </c>
      <c r="CD74" s="58">
        <f>_xll.DBRW($C$2,$BZ$1,BZ$2,$D$18,$D$3,$D74,$E74,$F74,CD$3)</f>
        <v>0</v>
      </c>
      <c r="CE74" s="48">
        <f t="shared" si="35"/>
        <v>-15</v>
      </c>
    </row>
    <row r="75" spans="1:83" s="23" customFormat="1" outlineLevel="1" thickBot="1" x14ac:dyDescent="0.3">
      <c r="A75" s="91" t="str">
        <f>IF(_xll.TM1RPTELISCONSOLIDATED($F$22,$F75),IF(_xll.TM1RPTELLEV($F$22,$F75)&lt;=5,_xll.TM1RPTELLEV($F$22,$F75),"Default"),"Leaf")</f>
        <v>Leaf</v>
      </c>
      <c r="B75" s="24" t="str">
        <f>_xll.DBRW("TM1-S1_DEV:}ElementAttributes_SP_SKU",$D75,B$1)</f>
        <v>Primary</v>
      </c>
      <c r="C75" s="24" t="str">
        <f>_xll.DBRW("TM1-S1_DEV:}ElementAttributes_SP_SKU",$D75,C$1)</f>
        <v>CONDIMENT</v>
      </c>
      <c r="D75" s="28" t="s">
        <v>398</v>
      </c>
      <c r="E75" s="28" t="s">
        <v>223</v>
      </c>
      <c r="F75" s="28" t="s">
        <v>19</v>
      </c>
      <c r="G75" s="4">
        <f>_xll.DBRW($C$2,$G$19,G$20,$D$18,$D$3,$D75,$E75,$F75,G$3)</f>
        <v>22</v>
      </c>
      <c r="H75" s="54">
        <f t="shared" si="24"/>
        <v>4</v>
      </c>
      <c r="I75" s="4"/>
      <c r="J75" s="25">
        <f>_xll.DBRW($C$2,$J$1,J$2,$D$18,$D$3,$D75,$E75,$F75,J$3)</f>
        <v>26</v>
      </c>
      <c r="K75" s="39">
        <f>_xll.DBRW($C$2,$J$1,J$2,$D$18,$D$3,$D75,$E75,$F75,K$3)</f>
        <v>0</v>
      </c>
      <c r="L75" s="25">
        <f>_xll.DBRW($C$2,$J$1,J$2,$D$18,$D$3,$D75,$E75,$F75,L$3)</f>
        <v>0</v>
      </c>
      <c r="M75" s="25">
        <f>_xll.DBRW($C$2,$J$1,J$2,$D$18,$D$3,$D75,$E75,$F75,M$3)</f>
        <v>0</v>
      </c>
      <c r="N75" s="25">
        <f>_xll.DBRW($C$2,$J$1,J$2,$D$18,$D$3,$D75,$E75,$F75,N$3)</f>
        <v>15</v>
      </c>
      <c r="O75" s="64">
        <f>_xll.DBRW($C$2,$J$1,J$2,$D$18,$D$3,$D75,$E75,$F75,O$3)</f>
        <v>1</v>
      </c>
      <c r="P75" s="58">
        <f>_xll.DBRW($C$2,$J$1,J$2,$D$18,$D$3,$D75,$E75,$F75,P$3)</f>
        <v>0</v>
      </c>
      <c r="Q75" s="48">
        <f>_xll.DBRW($C$2,$J$1,J$2,$D$18,$D$3,$D75,$E75,$F75,Q$3)</f>
        <v>11</v>
      </c>
      <c r="R75" s="39">
        <f>_xll.DBRW($C$2,$R$1,R$2,$D$18,$D$3,$D75,$E75,$F75,R$3)</f>
        <v>0</v>
      </c>
      <c r="S75" s="25" cm="1">
        <f t="array" ref="S75">_xll.DBRW($E$2,R$1,R$2,$D$18,$D$3,$D75,$E75,$F75,$F$3,S$3)</f>
        <v>0</v>
      </c>
      <c r="T75" s="25">
        <f>_xll.DBRW($C$2,$R$1,R$2,$D$18,$D$3,$D75,$E75,$F75,T$3)</f>
        <v>0</v>
      </c>
      <c r="U75" s="64">
        <f>_xll.DBRW($C$2,$R$1,R$2,$D$18,$D$3,$D75,$E75,$F75,U$3)</f>
        <v>0</v>
      </c>
      <c r="V75" s="58">
        <f>_xll.DBRW($C$2,$R$1,R$2,$D$18,$D$3,$D75,$E75,$F75,V$3)</f>
        <v>0</v>
      </c>
      <c r="W75" s="48">
        <f t="shared" si="25"/>
        <v>11</v>
      </c>
      <c r="X75" s="39">
        <f>_xll.DBRW($C$2,$X$1,X$2,$D$18,$D$3,$D75,$E75,$F75,X$3)</f>
        <v>0</v>
      </c>
      <c r="Y75" s="25" cm="1">
        <f t="array" ref="Y75">_xll.DBRW($E$2,X$1,X$2,$D$18,$D$3,$D75,$E75,$F75,$F$3,Y$3)</f>
        <v>0</v>
      </c>
      <c r="Z75" s="25">
        <f>_xll.DBRW($C$2,$X$1,X$2,$D$18,$D$3,$D75,$E75,$F75,Z$3)</f>
        <v>1</v>
      </c>
      <c r="AA75" s="64">
        <f>_xll.DBRW($C$2,$X$1,X$2,$D$18,$D$3,$D75,$E75,$F75,AA$3)</f>
        <v>0</v>
      </c>
      <c r="AB75" s="58">
        <f>_xll.DBRW($C$2,$X$1,X$2,$D$18,$D$3,$D75,$E75,$F75,AB$3)</f>
        <v>0</v>
      </c>
      <c r="AC75" s="48">
        <f t="shared" si="26"/>
        <v>10</v>
      </c>
      <c r="AD75" s="39">
        <f>_xll.DBRW($C$2,$AD$1,AD$2,$D$18,$D$3,$D75,$E75,$F75,AD$3)</f>
        <v>0</v>
      </c>
      <c r="AE75" s="25" cm="1">
        <f t="array" ref="AE75">_xll.DBRW($E$2,AD$1,AD$2,$D$18,$D$3,$D75,$E75,$F75,$F$3,AE$3)</f>
        <v>0</v>
      </c>
      <c r="AF75" s="25">
        <f>_xll.DBRW($C$2,$AD$1,AD$2,$D$18,$D$3,$D75,$E75,$F75,AF$3)</f>
        <v>1</v>
      </c>
      <c r="AG75" s="64">
        <f>_xll.DBRW($C$2,$AD$1,AD$2,$D$18,$D$3,$D75,$E75,$F75,AG$3)</f>
        <v>0</v>
      </c>
      <c r="AH75" s="58">
        <f>_xll.DBRW($C$2,$AD$1,AD$2,$D$18,$D$3,$D75,$E75,$F75,AH$3)</f>
        <v>0</v>
      </c>
      <c r="AI75" s="48">
        <f t="shared" si="27"/>
        <v>9</v>
      </c>
      <c r="AJ75" s="39">
        <f>_xll.DBRW($C$2,$AJ$1,AJ$2,$D$18,$D$3,$D75,$E75,$F75,AJ$3)</f>
        <v>0</v>
      </c>
      <c r="AK75" s="25" cm="1">
        <f t="array" ref="AK75">_xll.DBRW($E$2,AJ$1,AJ$2,$D$18,$D$3,$D75,$E75,$F75,$F$3,AK$3)</f>
        <v>0</v>
      </c>
      <c r="AL75" s="25">
        <f>_xll.DBRW($C$2,$AJ$1,AJ$2,$D$18,$D$3,$D75,$E75,$F75,AL$3)</f>
        <v>1</v>
      </c>
      <c r="AM75" s="64">
        <f>_xll.DBRW($C$2,$AJ$1,AJ$2,$D$18,$D$3,$D75,$E75,$F75,AM$3)</f>
        <v>0</v>
      </c>
      <c r="AN75" s="58">
        <f>_xll.DBRW($C$2,$AJ$1,AJ$2,$D$18,$D$3,$D75,$E75,$F75,AN$3)</f>
        <v>0</v>
      </c>
      <c r="AO75" s="48">
        <f t="shared" si="28"/>
        <v>8</v>
      </c>
      <c r="AP75" s="39">
        <f>_xll.DBRW($C$2,$AP$1,AP$2,$D$18,$D$3,$D75,$E75,$F75,AP$3)</f>
        <v>0</v>
      </c>
      <c r="AQ75" s="25" cm="1">
        <f t="array" ref="AQ75">_xll.DBRW($E$2,AP$1,AP$2,$D$18,$D$3,$D75,$E75,$F75,$F$3,AQ$3)</f>
        <v>0</v>
      </c>
      <c r="AR75" s="25">
        <f>_xll.DBRW($C$2,$AP$1,AP$2,$D$18,$D$3,$D75,$E75,$F75,AR$3)</f>
        <v>1</v>
      </c>
      <c r="AS75" s="64">
        <f>_xll.DBRW($C$2,$AP$1,AP$2,$D$18,$D$3,$D75,$E75,$F75,AS$3)</f>
        <v>0</v>
      </c>
      <c r="AT75" s="58">
        <f>_xll.DBRW($C$2,$AP$1,AP$2,$D$18,$D$3,$D75,$E75,$F75,AT$3)</f>
        <v>0</v>
      </c>
      <c r="AU75" s="48">
        <f t="shared" si="29"/>
        <v>7</v>
      </c>
      <c r="AV75" s="39">
        <f>_xll.DBRW($C$2,$AV$1,AV$2,$D$18,$D$3,$D75,$E75,$F75,AV$3)</f>
        <v>0</v>
      </c>
      <c r="AW75" s="25" cm="1">
        <f t="array" ref="AW75">_xll.DBRW($E$2,AV$1,AV$2,$D$18,$D$3,$D75,$E75,$F75,$F$3,AW$3)</f>
        <v>0</v>
      </c>
      <c r="AX75" s="25">
        <f>_xll.DBRW($C$2,$AV$1,AV$2,$D$18,$D$3,$D75,$E75,$F75,AX$3)</f>
        <v>1</v>
      </c>
      <c r="AY75" s="64">
        <f>_xll.DBRW($C$2,$AV$1,AV$2,$D$18,$D$3,$D75,$E75,$F75,AY$3)</f>
        <v>0</v>
      </c>
      <c r="AZ75" s="58">
        <f>_xll.DBRW($C$2,$AV$1,AV$2,$D$18,$D$3,$D75,$E75,$F75,AZ$3)</f>
        <v>0</v>
      </c>
      <c r="BA75" s="48">
        <f t="shared" si="30"/>
        <v>6</v>
      </c>
      <c r="BB75" s="39">
        <f>_xll.DBRW($C$2,$BB$1,BB$2,$D$18,$D$3,$D75,$E75,$F75,BB$3)</f>
        <v>0</v>
      </c>
      <c r="BC75" s="25" cm="1">
        <f t="array" ref="BC75">_xll.DBRW($E$2,BB$1,BB$2,$D$18,$D$3,$D75,$E75,$F75,$F$3,BC$3)</f>
        <v>0</v>
      </c>
      <c r="BD75" s="25">
        <f>_xll.DBRW($C$2,$BB$1,BB$2,$D$18,$D$3,$D75,$E75,$F75,BD$3)</f>
        <v>1</v>
      </c>
      <c r="BE75" s="64">
        <f>_xll.DBRW($C$2,$BB$1,BB$2,$D$18,$D$3,$D75,$E75,$F75,BE$3)</f>
        <v>0</v>
      </c>
      <c r="BF75" s="58">
        <f>_xll.DBRW($C$2,$BB$1,BB$2,$D$18,$D$3,$D75,$E75,$F75,BF$3)</f>
        <v>0</v>
      </c>
      <c r="BG75" s="48">
        <f t="shared" si="31"/>
        <v>5</v>
      </c>
      <c r="BH75" s="39">
        <f>_xll.DBRW($C$2,$BH$1,BH$2,$D$18,$D$3,$D75,$E75,$F75,BH$3)</f>
        <v>0</v>
      </c>
      <c r="BI75" s="25" cm="1">
        <f t="array" ref="BI75">_xll.DBRW($E$2,BH$1,BH$2,$D$18,$D$3,$D75,$E75,$F75,$F$3,BI$3)</f>
        <v>0</v>
      </c>
      <c r="BJ75" s="25">
        <f>_xll.DBRW($C$2,$BH$1,BH$2,$D$18,$D$3,$D75,$E75,$F75,BJ$3)</f>
        <v>1</v>
      </c>
      <c r="BK75" s="64">
        <f>_xll.DBRW($C$2,$BH$1,BH$2,$D$18,$D$3,$D75,$E75,$F75,BK$3)</f>
        <v>0</v>
      </c>
      <c r="BL75" s="58">
        <f>_xll.DBRW($C$2,$BH$1,BH$2,$D$18,$D$3,$D75,$E75,$F75,BL$3)</f>
        <v>0</v>
      </c>
      <c r="BM75" s="48">
        <f t="shared" si="32"/>
        <v>4</v>
      </c>
      <c r="BN75" s="39">
        <f>_xll.DBRW($C$2,$BN$1,BN$2,$D$18,$D$3,$D75,$E75,$F75,BN$3)</f>
        <v>0</v>
      </c>
      <c r="BO75" s="25" cm="1">
        <f t="array" ref="BO75">_xll.DBRW($E$2,BN$1,BN$2,$D$18,$D$3,$D75,$E75,$F75,$F$3,BO$3)</f>
        <v>0</v>
      </c>
      <c r="BP75" s="25">
        <f>_xll.DBRW($C$2,$BN$1,BN$2,$D$18,$D$3,$D75,$E75,$F75,BP$3)</f>
        <v>1</v>
      </c>
      <c r="BQ75" s="64">
        <f>_xll.DBRW($C$2,$BN$1,BN$2,$D$18,$D$3,$D75,$E75,$F75,BQ$3)</f>
        <v>0</v>
      </c>
      <c r="BR75" s="58">
        <f>_xll.DBRW($C$2,$BN$1,BN$2,$D$18,$D$3,$D75,$E75,$F75,BR$3)</f>
        <v>0</v>
      </c>
      <c r="BS75" s="48">
        <f t="shared" si="33"/>
        <v>3</v>
      </c>
      <c r="BT75" s="39">
        <f>_xll.DBRW($C$2,$BT$1,BT$2,$D$18,$D$3,$D75,$E75,$F75,BT$3)</f>
        <v>0</v>
      </c>
      <c r="BU75" s="25" cm="1">
        <f t="array" ref="BU75">_xll.DBRW($E$2,BT$1,BT$2,$D$18,$D$3,$D75,$E75,$F75,$F$3,BU$3)</f>
        <v>0</v>
      </c>
      <c r="BV75" s="25">
        <f>_xll.DBRW($C$2,$BT$1,BT$2,$D$18,$D$3,$D75,$E75,$F75,BV$3)</f>
        <v>1</v>
      </c>
      <c r="BW75" s="64">
        <f>_xll.DBRW($C$2,$BT$1,BT$2,$D$18,$D$3,$D75,$E75,$F75,BW$3)</f>
        <v>0</v>
      </c>
      <c r="BX75" s="58">
        <f>_xll.DBRW($C$2,$BT$1,BT$2,$D$18,$D$3,$D75,$E75,$F75,BX$3)</f>
        <v>0</v>
      </c>
      <c r="BY75" s="48">
        <f t="shared" si="34"/>
        <v>2</v>
      </c>
      <c r="BZ75" s="39">
        <f>_xll.DBRW($C$2,$BZ$1,BZ$2,$D$18,$D$3,$D75,$E75,$F75,BZ$3)</f>
        <v>0</v>
      </c>
      <c r="CA75" s="25" cm="1">
        <f t="array" ref="CA75">_xll.DBRW($E$2,BZ$1,BZ$2,$D$18,$D$3,$D75,$E75,$F75,$F$3,CA$3)</f>
        <v>0</v>
      </c>
      <c r="CB75" s="25">
        <f>_xll.DBRW($C$2,$BZ$1,BZ$2,$D$18,$D$3,$D75,$E75,$F75,CB$3)</f>
        <v>1</v>
      </c>
      <c r="CC75" s="64">
        <f>_xll.DBRW($C$2,$BZ$1,BZ$2,$D$18,$D$3,$D75,$E75,$F75,CC$3)</f>
        <v>0</v>
      </c>
      <c r="CD75" s="58">
        <f>_xll.DBRW($C$2,$BZ$1,BZ$2,$D$18,$D$3,$D75,$E75,$F75,CD$3)</f>
        <v>0</v>
      </c>
      <c r="CE75" s="48">
        <f t="shared" si="35"/>
        <v>1</v>
      </c>
    </row>
    <row r="76" spans="1:83" s="23" customFormat="1" outlineLevel="1" thickBot="1" x14ac:dyDescent="0.3">
      <c r="A76" s="91" t="str">
        <f>IF(_xll.TM1RPTELISCONSOLIDATED($F$22,$F76),IF(_xll.TM1RPTELLEV($F$22,$F76)&lt;=5,_xll.TM1RPTELLEV($F$22,$F76),"Default"),"Leaf")</f>
        <v>Leaf</v>
      </c>
      <c r="B76" s="24" t="str">
        <f>_xll.DBRW("TM1-S1_DEV:}ElementAttributes_SP_SKU",$D76,B$1)</f>
        <v>Primary</v>
      </c>
      <c r="C76" s="24" t="str">
        <f>_xll.DBRW("TM1-S1_DEV:}ElementAttributes_SP_SKU",$D76,C$1)</f>
        <v>CONDIMENT</v>
      </c>
      <c r="D76" s="28" t="s">
        <v>399</v>
      </c>
      <c r="E76" s="28" t="s">
        <v>142</v>
      </c>
      <c r="F76" s="28" t="s">
        <v>19</v>
      </c>
      <c r="G76" s="4">
        <f>_xll.DBRW($C$2,$G$19,G$20,$D$18,$D$3,$D76,$E76,$F76,G$3)</f>
        <v>47</v>
      </c>
      <c r="H76" s="54">
        <f t="shared" si="24"/>
        <v>12</v>
      </c>
      <c r="I76" s="4"/>
      <c r="J76" s="25">
        <f>_xll.DBRW($C$2,$J$1,J$2,$D$18,$D$3,$D76,$E76,$F76,J$3)</f>
        <v>59</v>
      </c>
      <c r="K76" s="39">
        <f>_xll.DBRW($C$2,$J$1,J$2,$D$18,$D$3,$D76,$E76,$F76,K$3)</f>
        <v>0</v>
      </c>
      <c r="L76" s="25">
        <f>_xll.DBRW($C$2,$J$1,J$2,$D$18,$D$3,$D76,$E76,$F76,L$3)</f>
        <v>0</v>
      </c>
      <c r="M76" s="25">
        <f>_xll.DBRW($C$2,$J$1,J$2,$D$18,$D$3,$D76,$E76,$F76,M$3)</f>
        <v>0</v>
      </c>
      <c r="N76" s="25">
        <f>_xll.DBRW($C$2,$J$1,J$2,$D$18,$D$3,$D76,$E76,$F76,N$3)</f>
        <v>23</v>
      </c>
      <c r="O76" s="64">
        <f>_xll.DBRW($C$2,$J$1,J$2,$D$18,$D$3,$D76,$E76,$F76,O$3)</f>
        <v>1</v>
      </c>
      <c r="P76" s="58">
        <f>_xll.DBRW($C$2,$J$1,J$2,$D$18,$D$3,$D76,$E76,$F76,P$3)</f>
        <v>0</v>
      </c>
      <c r="Q76" s="48">
        <f>_xll.DBRW($C$2,$J$1,J$2,$D$18,$D$3,$D76,$E76,$F76,Q$3)</f>
        <v>36</v>
      </c>
      <c r="R76" s="39">
        <f>_xll.DBRW($C$2,$R$1,R$2,$D$18,$D$3,$D76,$E76,$F76,R$3)</f>
        <v>0</v>
      </c>
      <c r="S76" s="25" cm="1">
        <f t="array" ref="S76">_xll.DBRW($E$2,R$1,R$2,$D$18,$D$3,$D76,$E76,$F76,$F$3,S$3)</f>
        <v>0</v>
      </c>
      <c r="T76" s="25">
        <f>_xll.DBRW($C$2,$R$1,R$2,$D$18,$D$3,$D76,$E76,$F76,T$3)</f>
        <v>0</v>
      </c>
      <c r="U76" s="64">
        <f>_xll.DBRW($C$2,$R$1,R$2,$D$18,$D$3,$D76,$E76,$F76,U$3)</f>
        <v>0</v>
      </c>
      <c r="V76" s="58">
        <f>_xll.DBRW($C$2,$R$1,R$2,$D$18,$D$3,$D76,$E76,$F76,V$3)</f>
        <v>0</v>
      </c>
      <c r="W76" s="48">
        <f t="shared" si="25"/>
        <v>36</v>
      </c>
      <c r="X76" s="39">
        <f>_xll.DBRW($C$2,$X$1,X$2,$D$18,$D$3,$D76,$E76,$F76,X$3)</f>
        <v>0</v>
      </c>
      <c r="Y76" s="25" cm="1">
        <f t="array" ref="Y76">_xll.DBRW($E$2,X$1,X$2,$D$18,$D$3,$D76,$E76,$F76,$F$3,Y$3)</f>
        <v>0</v>
      </c>
      <c r="Z76" s="25">
        <f>_xll.DBRW($C$2,$X$1,X$2,$D$18,$D$3,$D76,$E76,$F76,Z$3)</f>
        <v>3</v>
      </c>
      <c r="AA76" s="64">
        <f>_xll.DBRW($C$2,$X$1,X$2,$D$18,$D$3,$D76,$E76,$F76,AA$3)</f>
        <v>0</v>
      </c>
      <c r="AB76" s="58">
        <f>_xll.DBRW($C$2,$X$1,X$2,$D$18,$D$3,$D76,$E76,$F76,AB$3)</f>
        <v>0</v>
      </c>
      <c r="AC76" s="48">
        <f t="shared" si="26"/>
        <v>33</v>
      </c>
      <c r="AD76" s="39">
        <f>_xll.DBRW($C$2,$AD$1,AD$2,$D$18,$D$3,$D76,$E76,$F76,AD$3)</f>
        <v>0</v>
      </c>
      <c r="AE76" s="25" cm="1">
        <f t="array" ref="AE76">_xll.DBRW($E$2,AD$1,AD$2,$D$18,$D$3,$D76,$E76,$F76,$F$3,AE$3)</f>
        <v>0</v>
      </c>
      <c r="AF76" s="25">
        <f>_xll.DBRW($C$2,$AD$1,AD$2,$D$18,$D$3,$D76,$E76,$F76,AF$3)</f>
        <v>3</v>
      </c>
      <c r="AG76" s="64">
        <f>_xll.DBRW($C$2,$AD$1,AD$2,$D$18,$D$3,$D76,$E76,$F76,AG$3)</f>
        <v>0</v>
      </c>
      <c r="AH76" s="58">
        <f>_xll.DBRW($C$2,$AD$1,AD$2,$D$18,$D$3,$D76,$E76,$F76,AH$3)</f>
        <v>0</v>
      </c>
      <c r="AI76" s="48">
        <f t="shared" si="27"/>
        <v>30</v>
      </c>
      <c r="AJ76" s="39">
        <f>_xll.DBRW($C$2,$AJ$1,AJ$2,$D$18,$D$3,$D76,$E76,$F76,AJ$3)</f>
        <v>0</v>
      </c>
      <c r="AK76" s="25" cm="1">
        <f t="array" ref="AK76">_xll.DBRW($E$2,AJ$1,AJ$2,$D$18,$D$3,$D76,$E76,$F76,$F$3,AK$3)</f>
        <v>0</v>
      </c>
      <c r="AL76" s="25">
        <f>_xll.DBRW($C$2,$AJ$1,AJ$2,$D$18,$D$3,$D76,$E76,$F76,AL$3)</f>
        <v>3</v>
      </c>
      <c r="AM76" s="64">
        <f>_xll.DBRW($C$2,$AJ$1,AJ$2,$D$18,$D$3,$D76,$E76,$F76,AM$3)</f>
        <v>0</v>
      </c>
      <c r="AN76" s="58">
        <f>_xll.DBRW($C$2,$AJ$1,AJ$2,$D$18,$D$3,$D76,$E76,$F76,AN$3)</f>
        <v>0</v>
      </c>
      <c r="AO76" s="48">
        <f t="shared" si="28"/>
        <v>27</v>
      </c>
      <c r="AP76" s="39">
        <f>_xll.DBRW($C$2,$AP$1,AP$2,$D$18,$D$3,$D76,$E76,$F76,AP$3)</f>
        <v>0</v>
      </c>
      <c r="AQ76" s="25" cm="1">
        <f t="array" ref="AQ76">_xll.DBRW($E$2,AP$1,AP$2,$D$18,$D$3,$D76,$E76,$F76,$F$3,AQ$3)</f>
        <v>0</v>
      </c>
      <c r="AR76" s="25">
        <f>_xll.DBRW($C$2,$AP$1,AP$2,$D$18,$D$3,$D76,$E76,$F76,AR$3)</f>
        <v>3</v>
      </c>
      <c r="AS76" s="64">
        <f>_xll.DBRW($C$2,$AP$1,AP$2,$D$18,$D$3,$D76,$E76,$F76,AS$3)</f>
        <v>0</v>
      </c>
      <c r="AT76" s="58">
        <f>_xll.DBRW($C$2,$AP$1,AP$2,$D$18,$D$3,$D76,$E76,$F76,AT$3)</f>
        <v>0</v>
      </c>
      <c r="AU76" s="48">
        <f t="shared" si="29"/>
        <v>24</v>
      </c>
      <c r="AV76" s="39">
        <f>_xll.DBRW($C$2,$AV$1,AV$2,$D$18,$D$3,$D76,$E76,$F76,AV$3)</f>
        <v>0</v>
      </c>
      <c r="AW76" s="25" cm="1">
        <f t="array" ref="AW76">_xll.DBRW($E$2,AV$1,AV$2,$D$18,$D$3,$D76,$E76,$F76,$F$3,AW$3)</f>
        <v>0</v>
      </c>
      <c r="AX76" s="25">
        <f>_xll.DBRW($C$2,$AV$1,AV$2,$D$18,$D$3,$D76,$E76,$F76,AX$3)</f>
        <v>3</v>
      </c>
      <c r="AY76" s="64">
        <f>_xll.DBRW($C$2,$AV$1,AV$2,$D$18,$D$3,$D76,$E76,$F76,AY$3)</f>
        <v>0</v>
      </c>
      <c r="AZ76" s="58">
        <f>_xll.DBRW($C$2,$AV$1,AV$2,$D$18,$D$3,$D76,$E76,$F76,AZ$3)</f>
        <v>0</v>
      </c>
      <c r="BA76" s="48">
        <f t="shared" si="30"/>
        <v>21</v>
      </c>
      <c r="BB76" s="39">
        <f>_xll.DBRW($C$2,$BB$1,BB$2,$D$18,$D$3,$D76,$E76,$F76,BB$3)</f>
        <v>0</v>
      </c>
      <c r="BC76" s="25" cm="1">
        <f t="array" ref="BC76">_xll.DBRW($E$2,BB$1,BB$2,$D$18,$D$3,$D76,$E76,$F76,$F$3,BC$3)</f>
        <v>0</v>
      </c>
      <c r="BD76" s="25">
        <f>_xll.DBRW($C$2,$BB$1,BB$2,$D$18,$D$3,$D76,$E76,$F76,BD$3)</f>
        <v>3</v>
      </c>
      <c r="BE76" s="64">
        <f>_xll.DBRW($C$2,$BB$1,BB$2,$D$18,$D$3,$D76,$E76,$F76,BE$3)</f>
        <v>0</v>
      </c>
      <c r="BF76" s="58">
        <f>_xll.DBRW($C$2,$BB$1,BB$2,$D$18,$D$3,$D76,$E76,$F76,BF$3)</f>
        <v>0</v>
      </c>
      <c r="BG76" s="48">
        <f t="shared" si="31"/>
        <v>18</v>
      </c>
      <c r="BH76" s="39">
        <f>_xll.DBRW($C$2,$BH$1,BH$2,$D$18,$D$3,$D76,$E76,$F76,BH$3)</f>
        <v>0</v>
      </c>
      <c r="BI76" s="25" cm="1">
        <f t="array" ref="BI76">_xll.DBRW($E$2,BH$1,BH$2,$D$18,$D$3,$D76,$E76,$F76,$F$3,BI$3)</f>
        <v>0</v>
      </c>
      <c r="BJ76" s="25">
        <f>_xll.DBRW($C$2,$BH$1,BH$2,$D$18,$D$3,$D76,$E76,$F76,BJ$3)</f>
        <v>3</v>
      </c>
      <c r="BK76" s="64">
        <f>_xll.DBRW($C$2,$BH$1,BH$2,$D$18,$D$3,$D76,$E76,$F76,BK$3)</f>
        <v>0</v>
      </c>
      <c r="BL76" s="58">
        <f>_xll.DBRW($C$2,$BH$1,BH$2,$D$18,$D$3,$D76,$E76,$F76,BL$3)</f>
        <v>0</v>
      </c>
      <c r="BM76" s="48">
        <f t="shared" si="32"/>
        <v>15</v>
      </c>
      <c r="BN76" s="39">
        <f>_xll.DBRW($C$2,$BN$1,BN$2,$D$18,$D$3,$D76,$E76,$F76,BN$3)</f>
        <v>0</v>
      </c>
      <c r="BO76" s="25" cm="1">
        <f t="array" ref="BO76">_xll.DBRW($E$2,BN$1,BN$2,$D$18,$D$3,$D76,$E76,$F76,$F$3,BO$3)</f>
        <v>0</v>
      </c>
      <c r="BP76" s="25">
        <f>_xll.DBRW($C$2,$BN$1,BN$2,$D$18,$D$3,$D76,$E76,$F76,BP$3)</f>
        <v>3</v>
      </c>
      <c r="BQ76" s="64">
        <f>_xll.DBRW($C$2,$BN$1,BN$2,$D$18,$D$3,$D76,$E76,$F76,BQ$3)</f>
        <v>0</v>
      </c>
      <c r="BR76" s="58">
        <f>_xll.DBRW($C$2,$BN$1,BN$2,$D$18,$D$3,$D76,$E76,$F76,BR$3)</f>
        <v>0</v>
      </c>
      <c r="BS76" s="48">
        <f t="shared" si="33"/>
        <v>12</v>
      </c>
      <c r="BT76" s="39">
        <f>_xll.DBRW($C$2,$BT$1,BT$2,$D$18,$D$3,$D76,$E76,$F76,BT$3)</f>
        <v>0</v>
      </c>
      <c r="BU76" s="25" cm="1">
        <f t="array" ref="BU76">_xll.DBRW($E$2,BT$1,BT$2,$D$18,$D$3,$D76,$E76,$F76,$F$3,BU$3)</f>
        <v>0</v>
      </c>
      <c r="BV76" s="25">
        <f>_xll.DBRW($C$2,$BT$1,BT$2,$D$18,$D$3,$D76,$E76,$F76,BV$3)</f>
        <v>3</v>
      </c>
      <c r="BW76" s="64">
        <f>_xll.DBRW($C$2,$BT$1,BT$2,$D$18,$D$3,$D76,$E76,$F76,BW$3)</f>
        <v>0</v>
      </c>
      <c r="BX76" s="58">
        <f>_xll.DBRW($C$2,$BT$1,BT$2,$D$18,$D$3,$D76,$E76,$F76,BX$3)</f>
        <v>0</v>
      </c>
      <c r="BY76" s="48">
        <f t="shared" si="34"/>
        <v>9</v>
      </c>
      <c r="BZ76" s="39">
        <f>_xll.DBRW($C$2,$BZ$1,BZ$2,$D$18,$D$3,$D76,$E76,$F76,BZ$3)</f>
        <v>0</v>
      </c>
      <c r="CA76" s="25" cm="1">
        <f t="array" ref="CA76">_xll.DBRW($E$2,BZ$1,BZ$2,$D$18,$D$3,$D76,$E76,$F76,$F$3,CA$3)</f>
        <v>0</v>
      </c>
      <c r="CB76" s="25">
        <f>_xll.DBRW($C$2,$BZ$1,BZ$2,$D$18,$D$3,$D76,$E76,$F76,CB$3)</f>
        <v>3</v>
      </c>
      <c r="CC76" s="64">
        <f>_xll.DBRW($C$2,$BZ$1,BZ$2,$D$18,$D$3,$D76,$E76,$F76,CC$3)</f>
        <v>0</v>
      </c>
      <c r="CD76" s="58">
        <f>_xll.DBRW($C$2,$BZ$1,BZ$2,$D$18,$D$3,$D76,$E76,$F76,CD$3)</f>
        <v>0</v>
      </c>
      <c r="CE76" s="48">
        <f t="shared" si="35"/>
        <v>6</v>
      </c>
    </row>
    <row r="77" spans="1:83" s="23" customFormat="1" outlineLevel="1" thickBot="1" x14ac:dyDescent="0.3">
      <c r="A77" s="91" t="str">
        <f>IF(_xll.TM1RPTELISCONSOLIDATED($F$22,$F77),IF(_xll.TM1RPTELLEV($F$22,$F77)&lt;=5,_xll.TM1RPTELLEV($F$22,$F77),"Default"),"Leaf")</f>
        <v>Leaf</v>
      </c>
      <c r="B77" s="24" t="str">
        <f>_xll.DBRW("TM1-S1_DEV:}ElementAttributes_SP_SKU",$D77,B$1)</f>
        <v>Primary</v>
      </c>
      <c r="C77" s="24" t="str">
        <f>_xll.DBRW("TM1-S1_DEV:}ElementAttributes_SP_SKU",$D77,C$1)</f>
        <v>DRESSING</v>
      </c>
      <c r="D77" s="28" t="s">
        <v>400</v>
      </c>
      <c r="E77" s="28" t="s">
        <v>114</v>
      </c>
      <c r="F77" s="28" t="s">
        <v>152</v>
      </c>
      <c r="G77" s="4">
        <f>_xll.DBRW($C$2,$G$19,G$20,$D$18,$D$3,$D77,$E77,$F77,G$3)</f>
        <v>73</v>
      </c>
      <c r="H77" s="54">
        <f t="shared" si="24"/>
        <v>13</v>
      </c>
      <c r="I77" s="4"/>
      <c r="J77" s="25">
        <f>_xll.DBRW($C$2,$J$1,J$2,$D$18,$D$3,$D77,$E77,$F77,J$3)</f>
        <v>86</v>
      </c>
      <c r="K77" s="39">
        <f>_xll.DBRW($C$2,$J$1,J$2,$D$18,$D$3,$D77,$E77,$F77,K$3)</f>
        <v>0</v>
      </c>
      <c r="L77" s="25">
        <f>_xll.DBRW($C$2,$J$1,J$2,$D$18,$D$3,$D77,$E77,$F77,L$3)</f>
        <v>0</v>
      </c>
      <c r="M77" s="25">
        <f>_xll.DBRW($C$2,$J$1,J$2,$D$18,$D$3,$D77,$E77,$F77,M$3)</f>
        <v>0</v>
      </c>
      <c r="N77" s="25">
        <f>_xll.DBRW($C$2,$J$1,J$2,$D$18,$D$3,$D77,$E77,$F77,N$3)</f>
        <v>2</v>
      </c>
      <c r="O77" s="64">
        <f>_xll.DBRW($C$2,$J$1,J$2,$D$18,$D$3,$D77,$E77,$F77,O$3)</f>
        <v>1</v>
      </c>
      <c r="P77" s="58">
        <f>_xll.DBRW($C$2,$J$1,J$2,$D$18,$D$3,$D77,$E77,$F77,P$3)</f>
        <v>0</v>
      </c>
      <c r="Q77" s="48">
        <f>_xll.DBRW($C$2,$J$1,J$2,$D$18,$D$3,$D77,$E77,$F77,Q$3)</f>
        <v>84</v>
      </c>
      <c r="R77" s="39">
        <f>_xll.DBRW($C$2,$R$1,R$2,$D$18,$D$3,$D77,$E77,$F77,R$3)</f>
        <v>0</v>
      </c>
      <c r="S77" s="25" cm="1">
        <f t="array" ref="S77">_xll.DBRW($E$2,R$1,R$2,$D$18,$D$3,$D77,$E77,$F77,$F$3,S$3)</f>
        <v>0</v>
      </c>
      <c r="T77" s="25">
        <f>_xll.DBRW($C$2,$R$1,R$2,$D$18,$D$3,$D77,$E77,$F77,T$3)</f>
        <v>0</v>
      </c>
      <c r="U77" s="64">
        <f>_xll.DBRW($C$2,$R$1,R$2,$D$18,$D$3,$D77,$E77,$F77,U$3)</f>
        <v>0</v>
      </c>
      <c r="V77" s="58">
        <f>_xll.DBRW($C$2,$R$1,R$2,$D$18,$D$3,$D77,$E77,$F77,V$3)</f>
        <v>0</v>
      </c>
      <c r="W77" s="48">
        <f t="shared" si="25"/>
        <v>84</v>
      </c>
      <c r="X77" s="39">
        <f>_xll.DBRW($C$2,$X$1,X$2,$D$18,$D$3,$D77,$E77,$F77,X$3)</f>
        <v>0</v>
      </c>
      <c r="Y77" s="25" cm="1">
        <f t="array" ref="Y77">_xll.DBRW($E$2,X$1,X$2,$D$18,$D$3,$D77,$E77,$F77,$F$3,Y$3)</f>
        <v>0</v>
      </c>
      <c r="Z77" s="25">
        <f>_xll.DBRW($C$2,$X$1,X$2,$D$18,$D$3,$D77,$E77,$F77,Z$3)</f>
        <v>4</v>
      </c>
      <c r="AA77" s="64">
        <f>_xll.DBRW($C$2,$X$1,X$2,$D$18,$D$3,$D77,$E77,$F77,AA$3)</f>
        <v>0</v>
      </c>
      <c r="AB77" s="58">
        <f>_xll.DBRW($C$2,$X$1,X$2,$D$18,$D$3,$D77,$E77,$F77,AB$3)</f>
        <v>0</v>
      </c>
      <c r="AC77" s="48">
        <f t="shared" si="26"/>
        <v>80</v>
      </c>
      <c r="AD77" s="39">
        <f>_xll.DBRW($C$2,$AD$1,AD$2,$D$18,$D$3,$D77,$E77,$F77,AD$3)</f>
        <v>0</v>
      </c>
      <c r="AE77" s="25" cm="1">
        <f t="array" ref="AE77">_xll.DBRW($E$2,AD$1,AD$2,$D$18,$D$3,$D77,$E77,$F77,$F$3,AE$3)</f>
        <v>0</v>
      </c>
      <c r="AF77" s="25">
        <f>_xll.DBRW($C$2,$AD$1,AD$2,$D$18,$D$3,$D77,$E77,$F77,AF$3)</f>
        <v>4</v>
      </c>
      <c r="AG77" s="64">
        <f>_xll.DBRW($C$2,$AD$1,AD$2,$D$18,$D$3,$D77,$E77,$F77,AG$3)</f>
        <v>0</v>
      </c>
      <c r="AH77" s="58">
        <f>_xll.DBRW($C$2,$AD$1,AD$2,$D$18,$D$3,$D77,$E77,$F77,AH$3)</f>
        <v>0</v>
      </c>
      <c r="AI77" s="48">
        <f t="shared" si="27"/>
        <v>76</v>
      </c>
      <c r="AJ77" s="39">
        <f>_xll.DBRW($C$2,$AJ$1,AJ$2,$D$18,$D$3,$D77,$E77,$F77,AJ$3)</f>
        <v>0</v>
      </c>
      <c r="AK77" s="25" cm="1">
        <f t="array" ref="AK77">_xll.DBRW($E$2,AJ$1,AJ$2,$D$18,$D$3,$D77,$E77,$F77,$F$3,AK$3)</f>
        <v>0</v>
      </c>
      <c r="AL77" s="25">
        <f>_xll.DBRW($C$2,$AJ$1,AJ$2,$D$18,$D$3,$D77,$E77,$F77,AL$3)</f>
        <v>4</v>
      </c>
      <c r="AM77" s="64">
        <f>_xll.DBRW($C$2,$AJ$1,AJ$2,$D$18,$D$3,$D77,$E77,$F77,AM$3)</f>
        <v>0</v>
      </c>
      <c r="AN77" s="58">
        <f>_xll.DBRW($C$2,$AJ$1,AJ$2,$D$18,$D$3,$D77,$E77,$F77,AN$3)</f>
        <v>0</v>
      </c>
      <c r="AO77" s="48">
        <f t="shared" si="28"/>
        <v>72</v>
      </c>
      <c r="AP77" s="39">
        <f>_xll.DBRW($C$2,$AP$1,AP$2,$D$18,$D$3,$D77,$E77,$F77,AP$3)</f>
        <v>0</v>
      </c>
      <c r="AQ77" s="25" cm="1">
        <f t="array" ref="AQ77">_xll.DBRW($E$2,AP$1,AP$2,$D$18,$D$3,$D77,$E77,$F77,$F$3,AQ$3)</f>
        <v>0</v>
      </c>
      <c r="AR77" s="25">
        <f>_xll.DBRW($C$2,$AP$1,AP$2,$D$18,$D$3,$D77,$E77,$F77,AR$3)</f>
        <v>4</v>
      </c>
      <c r="AS77" s="64">
        <f>_xll.DBRW($C$2,$AP$1,AP$2,$D$18,$D$3,$D77,$E77,$F77,AS$3)</f>
        <v>0</v>
      </c>
      <c r="AT77" s="58">
        <f>_xll.DBRW($C$2,$AP$1,AP$2,$D$18,$D$3,$D77,$E77,$F77,AT$3)</f>
        <v>0</v>
      </c>
      <c r="AU77" s="48">
        <f t="shared" si="29"/>
        <v>68</v>
      </c>
      <c r="AV77" s="39">
        <f>_xll.DBRW($C$2,$AV$1,AV$2,$D$18,$D$3,$D77,$E77,$F77,AV$3)</f>
        <v>0</v>
      </c>
      <c r="AW77" s="25" cm="1">
        <f t="array" ref="AW77">_xll.DBRW($E$2,AV$1,AV$2,$D$18,$D$3,$D77,$E77,$F77,$F$3,AW$3)</f>
        <v>0</v>
      </c>
      <c r="AX77" s="25">
        <f>_xll.DBRW($C$2,$AV$1,AV$2,$D$18,$D$3,$D77,$E77,$F77,AX$3)</f>
        <v>4</v>
      </c>
      <c r="AY77" s="64">
        <f>_xll.DBRW($C$2,$AV$1,AV$2,$D$18,$D$3,$D77,$E77,$F77,AY$3)</f>
        <v>0</v>
      </c>
      <c r="AZ77" s="58">
        <f>_xll.DBRW($C$2,$AV$1,AV$2,$D$18,$D$3,$D77,$E77,$F77,AZ$3)</f>
        <v>0</v>
      </c>
      <c r="BA77" s="48">
        <f t="shared" si="30"/>
        <v>64</v>
      </c>
      <c r="BB77" s="39">
        <f>_xll.DBRW($C$2,$BB$1,BB$2,$D$18,$D$3,$D77,$E77,$F77,BB$3)</f>
        <v>0</v>
      </c>
      <c r="BC77" s="25" cm="1">
        <f t="array" ref="BC77">_xll.DBRW($E$2,BB$1,BB$2,$D$18,$D$3,$D77,$E77,$F77,$F$3,BC$3)</f>
        <v>0</v>
      </c>
      <c r="BD77" s="25">
        <f>_xll.DBRW($C$2,$BB$1,BB$2,$D$18,$D$3,$D77,$E77,$F77,BD$3)</f>
        <v>4</v>
      </c>
      <c r="BE77" s="64">
        <f>_xll.DBRW($C$2,$BB$1,BB$2,$D$18,$D$3,$D77,$E77,$F77,BE$3)</f>
        <v>0</v>
      </c>
      <c r="BF77" s="58">
        <f>_xll.DBRW($C$2,$BB$1,BB$2,$D$18,$D$3,$D77,$E77,$F77,BF$3)</f>
        <v>0</v>
      </c>
      <c r="BG77" s="48">
        <f t="shared" si="31"/>
        <v>60</v>
      </c>
      <c r="BH77" s="39">
        <f>_xll.DBRW($C$2,$BH$1,BH$2,$D$18,$D$3,$D77,$E77,$F77,BH$3)</f>
        <v>0</v>
      </c>
      <c r="BI77" s="25" cm="1">
        <f t="array" ref="BI77">_xll.DBRW($E$2,BH$1,BH$2,$D$18,$D$3,$D77,$E77,$F77,$F$3,BI$3)</f>
        <v>0</v>
      </c>
      <c r="BJ77" s="25">
        <f>_xll.DBRW($C$2,$BH$1,BH$2,$D$18,$D$3,$D77,$E77,$F77,BJ$3)</f>
        <v>4</v>
      </c>
      <c r="BK77" s="64">
        <f>_xll.DBRW($C$2,$BH$1,BH$2,$D$18,$D$3,$D77,$E77,$F77,BK$3)</f>
        <v>0</v>
      </c>
      <c r="BL77" s="58">
        <f>_xll.DBRW($C$2,$BH$1,BH$2,$D$18,$D$3,$D77,$E77,$F77,BL$3)</f>
        <v>0</v>
      </c>
      <c r="BM77" s="48">
        <f t="shared" si="32"/>
        <v>56</v>
      </c>
      <c r="BN77" s="39">
        <f>_xll.DBRW($C$2,$BN$1,BN$2,$D$18,$D$3,$D77,$E77,$F77,BN$3)</f>
        <v>0</v>
      </c>
      <c r="BO77" s="25" cm="1">
        <f t="array" ref="BO77">_xll.DBRW($E$2,BN$1,BN$2,$D$18,$D$3,$D77,$E77,$F77,$F$3,BO$3)</f>
        <v>0</v>
      </c>
      <c r="BP77" s="25">
        <f>_xll.DBRW($C$2,$BN$1,BN$2,$D$18,$D$3,$D77,$E77,$F77,BP$3)</f>
        <v>4</v>
      </c>
      <c r="BQ77" s="64">
        <f>_xll.DBRW($C$2,$BN$1,BN$2,$D$18,$D$3,$D77,$E77,$F77,BQ$3)</f>
        <v>0</v>
      </c>
      <c r="BR77" s="58">
        <f>_xll.DBRW($C$2,$BN$1,BN$2,$D$18,$D$3,$D77,$E77,$F77,BR$3)</f>
        <v>0</v>
      </c>
      <c r="BS77" s="48">
        <f t="shared" si="33"/>
        <v>52</v>
      </c>
      <c r="BT77" s="39">
        <f>_xll.DBRW($C$2,$BT$1,BT$2,$D$18,$D$3,$D77,$E77,$F77,BT$3)</f>
        <v>0</v>
      </c>
      <c r="BU77" s="25" cm="1">
        <f t="array" ref="BU77">_xll.DBRW($E$2,BT$1,BT$2,$D$18,$D$3,$D77,$E77,$F77,$F$3,BU$3)</f>
        <v>0</v>
      </c>
      <c r="BV77" s="25">
        <f>_xll.DBRW($C$2,$BT$1,BT$2,$D$18,$D$3,$D77,$E77,$F77,BV$3)</f>
        <v>4</v>
      </c>
      <c r="BW77" s="64">
        <f>_xll.DBRW($C$2,$BT$1,BT$2,$D$18,$D$3,$D77,$E77,$F77,BW$3)</f>
        <v>0</v>
      </c>
      <c r="BX77" s="58">
        <f>_xll.DBRW($C$2,$BT$1,BT$2,$D$18,$D$3,$D77,$E77,$F77,BX$3)</f>
        <v>0</v>
      </c>
      <c r="BY77" s="48">
        <f t="shared" si="34"/>
        <v>48</v>
      </c>
      <c r="BZ77" s="39">
        <f>_xll.DBRW($C$2,$BZ$1,BZ$2,$D$18,$D$3,$D77,$E77,$F77,BZ$3)</f>
        <v>0</v>
      </c>
      <c r="CA77" s="25" cm="1">
        <f t="array" ref="CA77">_xll.DBRW($E$2,BZ$1,BZ$2,$D$18,$D$3,$D77,$E77,$F77,$F$3,CA$3)</f>
        <v>0</v>
      </c>
      <c r="CB77" s="25">
        <f>_xll.DBRW($C$2,$BZ$1,BZ$2,$D$18,$D$3,$D77,$E77,$F77,CB$3)</f>
        <v>4</v>
      </c>
      <c r="CC77" s="64">
        <f>_xll.DBRW($C$2,$BZ$1,BZ$2,$D$18,$D$3,$D77,$E77,$F77,CC$3)</f>
        <v>0</v>
      </c>
      <c r="CD77" s="58">
        <f>_xll.DBRW($C$2,$BZ$1,BZ$2,$D$18,$D$3,$D77,$E77,$F77,CD$3)</f>
        <v>0</v>
      </c>
      <c r="CE77" s="48">
        <f t="shared" si="35"/>
        <v>44</v>
      </c>
    </row>
    <row r="78" spans="1:83" s="23" customFormat="1" outlineLevel="1" thickBot="1" x14ac:dyDescent="0.3">
      <c r="A78" s="91" t="str">
        <f>IF(_xll.TM1RPTELISCONSOLIDATED($F$22,$F78),IF(_xll.TM1RPTELLEV($F$22,$F78)&lt;=5,_xll.TM1RPTELLEV($F$22,$F78),"Default"),"Leaf")</f>
        <v>Leaf</v>
      </c>
      <c r="B78" s="24" t="str">
        <f>_xll.DBRW("TM1-S1_DEV:}ElementAttributes_SP_SKU",$D78,B$1)</f>
        <v>Primary</v>
      </c>
      <c r="C78" s="24" t="str">
        <f>_xll.DBRW("TM1-S1_DEV:}ElementAttributes_SP_SKU",$D78,C$1)</f>
        <v>DRESSING</v>
      </c>
      <c r="D78" s="28" t="s">
        <v>485</v>
      </c>
      <c r="E78" s="28" t="s">
        <v>224</v>
      </c>
      <c r="F78" s="28" t="s">
        <v>152</v>
      </c>
      <c r="G78" s="4">
        <f>_xll.DBRW($C$2,$G$19,G$20,$D$18,$D$3,$D78,$E78,$F78,G$3)</f>
        <v>13</v>
      </c>
      <c r="H78" s="54">
        <f t="shared" si="24"/>
        <v>-4</v>
      </c>
      <c r="I78" s="4"/>
      <c r="J78" s="25">
        <f>_xll.DBRW($C$2,$J$1,J$2,$D$18,$D$3,$D78,$E78,$F78,J$3)</f>
        <v>9</v>
      </c>
      <c r="K78" s="39">
        <f>_xll.DBRW($C$2,$J$1,J$2,$D$18,$D$3,$D78,$E78,$F78,K$3)</f>
        <v>0</v>
      </c>
      <c r="L78" s="25">
        <f>_xll.DBRW($C$2,$J$1,J$2,$D$18,$D$3,$D78,$E78,$F78,L$3)</f>
        <v>0</v>
      </c>
      <c r="M78" s="25">
        <f>_xll.DBRW($C$2,$J$1,J$2,$D$18,$D$3,$D78,$E78,$F78,M$3)</f>
        <v>0</v>
      </c>
      <c r="N78" s="25">
        <f>_xll.DBRW($C$2,$J$1,J$2,$D$18,$D$3,$D78,$E78,$F78,N$3)</f>
        <v>0</v>
      </c>
      <c r="O78" s="64">
        <f>_xll.DBRW($C$2,$J$1,J$2,$D$18,$D$3,$D78,$E78,$F78,O$3)</f>
        <v>0</v>
      </c>
      <c r="P78" s="58">
        <f>_xll.DBRW($C$2,$J$1,J$2,$D$18,$D$3,$D78,$E78,$F78,P$3)</f>
        <v>0</v>
      </c>
      <c r="Q78" s="48">
        <f>_xll.DBRW($C$2,$J$1,J$2,$D$18,$D$3,$D78,$E78,$F78,Q$3)</f>
        <v>9</v>
      </c>
      <c r="R78" s="39">
        <f>_xll.DBRW($C$2,$R$1,R$2,$D$18,$D$3,$D78,$E78,$F78,R$3)</f>
        <v>0</v>
      </c>
      <c r="S78" s="25" cm="1">
        <f t="array" ref="S78">_xll.DBRW($E$2,R$1,R$2,$D$18,$D$3,$D78,$E78,$F78,$F$3,S$3)</f>
        <v>0</v>
      </c>
      <c r="T78" s="25">
        <f>_xll.DBRW($C$2,$R$1,R$2,$D$18,$D$3,$D78,$E78,$F78,T$3)</f>
        <v>0</v>
      </c>
      <c r="U78" s="64">
        <f>_xll.DBRW($C$2,$R$1,R$2,$D$18,$D$3,$D78,$E78,$F78,U$3)</f>
        <v>0</v>
      </c>
      <c r="V78" s="58">
        <f>_xll.DBRW($C$2,$R$1,R$2,$D$18,$D$3,$D78,$E78,$F78,V$3)</f>
        <v>0</v>
      </c>
      <c r="W78" s="48">
        <f t="shared" si="25"/>
        <v>9</v>
      </c>
      <c r="X78" s="39">
        <f>_xll.DBRW($C$2,$X$1,X$2,$D$18,$D$3,$D78,$E78,$F78,X$3)</f>
        <v>0</v>
      </c>
      <c r="Y78" s="25" cm="1">
        <f t="array" ref="Y78">_xll.DBRW($E$2,X$1,X$2,$D$18,$D$3,$D78,$E78,$F78,$F$3,Y$3)</f>
        <v>0</v>
      </c>
      <c r="Z78" s="25">
        <f>_xll.DBRW($C$2,$X$1,X$2,$D$18,$D$3,$D78,$E78,$F78,Z$3)</f>
        <v>2</v>
      </c>
      <c r="AA78" s="64">
        <f>_xll.DBRW($C$2,$X$1,X$2,$D$18,$D$3,$D78,$E78,$F78,AA$3)</f>
        <v>0</v>
      </c>
      <c r="AB78" s="58">
        <f>_xll.DBRW($C$2,$X$1,X$2,$D$18,$D$3,$D78,$E78,$F78,AB$3)</f>
        <v>0</v>
      </c>
      <c r="AC78" s="48">
        <f t="shared" si="26"/>
        <v>7</v>
      </c>
      <c r="AD78" s="39">
        <f>_xll.DBRW($C$2,$AD$1,AD$2,$D$18,$D$3,$D78,$E78,$F78,AD$3)</f>
        <v>0</v>
      </c>
      <c r="AE78" s="25" cm="1">
        <f t="array" ref="AE78">_xll.DBRW($E$2,AD$1,AD$2,$D$18,$D$3,$D78,$E78,$F78,$F$3,AE$3)</f>
        <v>0</v>
      </c>
      <c r="AF78" s="25">
        <f>_xll.DBRW($C$2,$AD$1,AD$2,$D$18,$D$3,$D78,$E78,$F78,AF$3)</f>
        <v>2</v>
      </c>
      <c r="AG78" s="64">
        <f>_xll.DBRW($C$2,$AD$1,AD$2,$D$18,$D$3,$D78,$E78,$F78,AG$3)</f>
        <v>0</v>
      </c>
      <c r="AH78" s="58">
        <f>_xll.DBRW($C$2,$AD$1,AD$2,$D$18,$D$3,$D78,$E78,$F78,AH$3)</f>
        <v>0</v>
      </c>
      <c r="AI78" s="48">
        <f t="shared" si="27"/>
        <v>5</v>
      </c>
      <c r="AJ78" s="39">
        <f>_xll.DBRW($C$2,$AJ$1,AJ$2,$D$18,$D$3,$D78,$E78,$F78,AJ$3)</f>
        <v>0</v>
      </c>
      <c r="AK78" s="25" cm="1">
        <f t="array" ref="AK78">_xll.DBRW($E$2,AJ$1,AJ$2,$D$18,$D$3,$D78,$E78,$F78,$F$3,AK$3)</f>
        <v>0</v>
      </c>
      <c r="AL78" s="25">
        <f>_xll.DBRW($C$2,$AJ$1,AJ$2,$D$18,$D$3,$D78,$E78,$F78,AL$3)</f>
        <v>2</v>
      </c>
      <c r="AM78" s="64">
        <f>_xll.DBRW($C$2,$AJ$1,AJ$2,$D$18,$D$3,$D78,$E78,$F78,AM$3)</f>
        <v>0</v>
      </c>
      <c r="AN78" s="58">
        <f>_xll.DBRW($C$2,$AJ$1,AJ$2,$D$18,$D$3,$D78,$E78,$F78,AN$3)</f>
        <v>0</v>
      </c>
      <c r="AO78" s="48">
        <f t="shared" si="28"/>
        <v>3</v>
      </c>
      <c r="AP78" s="39">
        <f>_xll.DBRW($C$2,$AP$1,AP$2,$D$18,$D$3,$D78,$E78,$F78,AP$3)</f>
        <v>0</v>
      </c>
      <c r="AQ78" s="25" cm="1">
        <f t="array" ref="AQ78">_xll.DBRW($E$2,AP$1,AP$2,$D$18,$D$3,$D78,$E78,$F78,$F$3,AQ$3)</f>
        <v>0</v>
      </c>
      <c r="AR78" s="25">
        <f>_xll.DBRW($C$2,$AP$1,AP$2,$D$18,$D$3,$D78,$E78,$F78,AR$3)</f>
        <v>2</v>
      </c>
      <c r="AS78" s="64">
        <f>_xll.DBRW($C$2,$AP$1,AP$2,$D$18,$D$3,$D78,$E78,$F78,AS$3)</f>
        <v>0</v>
      </c>
      <c r="AT78" s="58">
        <f>_xll.DBRW($C$2,$AP$1,AP$2,$D$18,$D$3,$D78,$E78,$F78,AT$3)</f>
        <v>0</v>
      </c>
      <c r="AU78" s="48">
        <f t="shared" si="29"/>
        <v>1</v>
      </c>
      <c r="AV78" s="39">
        <f>_xll.DBRW($C$2,$AV$1,AV$2,$D$18,$D$3,$D78,$E78,$F78,AV$3)</f>
        <v>0</v>
      </c>
      <c r="AW78" s="25" cm="1">
        <f t="array" ref="AW78">_xll.DBRW($E$2,AV$1,AV$2,$D$18,$D$3,$D78,$E78,$F78,$F$3,AW$3)</f>
        <v>0</v>
      </c>
      <c r="AX78" s="25">
        <f>_xll.DBRW($C$2,$AV$1,AV$2,$D$18,$D$3,$D78,$E78,$F78,AX$3)</f>
        <v>2</v>
      </c>
      <c r="AY78" s="64">
        <f>_xll.DBRW($C$2,$AV$1,AV$2,$D$18,$D$3,$D78,$E78,$F78,AY$3)</f>
        <v>0</v>
      </c>
      <c r="AZ78" s="58">
        <f>_xll.DBRW($C$2,$AV$1,AV$2,$D$18,$D$3,$D78,$E78,$F78,AZ$3)</f>
        <v>0</v>
      </c>
      <c r="BA78" s="48">
        <f t="shared" si="30"/>
        <v>-1</v>
      </c>
      <c r="BB78" s="39">
        <f>_xll.DBRW($C$2,$BB$1,BB$2,$D$18,$D$3,$D78,$E78,$F78,BB$3)</f>
        <v>0</v>
      </c>
      <c r="BC78" s="25" cm="1">
        <f t="array" ref="BC78">_xll.DBRW($E$2,BB$1,BB$2,$D$18,$D$3,$D78,$E78,$F78,$F$3,BC$3)</f>
        <v>0</v>
      </c>
      <c r="BD78" s="25">
        <f>_xll.DBRW($C$2,$BB$1,BB$2,$D$18,$D$3,$D78,$E78,$F78,BD$3)</f>
        <v>2</v>
      </c>
      <c r="BE78" s="64">
        <f>_xll.DBRW($C$2,$BB$1,BB$2,$D$18,$D$3,$D78,$E78,$F78,BE$3)</f>
        <v>0</v>
      </c>
      <c r="BF78" s="58">
        <f>_xll.DBRW($C$2,$BB$1,BB$2,$D$18,$D$3,$D78,$E78,$F78,BF$3)</f>
        <v>0</v>
      </c>
      <c r="BG78" s="48">
        <f t="shared" si="31"/>
        <v>-3</v>
      </c>
      <c r="BH78" s="39">
        <f>_xll.DBRW($C$2,$BH$1,BH$2,$D$18,$D$3,$D78,$E78,$F78,BH$3)</f>
        <v>0</v>
      </c>
      <c r="BI78" s="25" cm="1">
        <f t="array" ref="BI78">_xll.DBRW($E$2,BH$1,BH$2,$D$18,$D$3,$D78,$E78,$F78,$F$3,BI$3)</f>
        <v>0</v>
      </c>
      <c r="BJ78" s="25">
        <f>_xll.DBRW($C$2,$BH$1,BH$2,$D$18,$D$3,$D78,$E78,$F78,BJ$3)</f>
        <v>2</v>
      </c>
      <c r="BK78" s="64">
        <f>_xll.DBRW($C$2,$BH$1,BH$2,$D$18,$D$3,$D78,$E78,$F78,BK$3)</f>
        <v>0</v>
      </c>
      <c r="BL78" s="58">
        <f>_xll.DBRW($C$2,$BH$1,BH$2,$D$18,$D$3,$D78,$E78,$F78,BL$3)</f>
        <v>0</v>
      </c>
      <c r="BM78" s="48">
        <f t="shared" si="32"/>
        <v>-5</v>
      </c>
      <c r="BN78" s="39">
        <f>_xll.DBRW($C$2,$BN$1,BN$2,$D$18,$D$3,$D78,$E78,$F78,BN$3)</f>
        <v>0</v>
      </c>
      <c r="BO78" s="25" cm="1">
        <f t="array" ref="BO78">_xll.DBRW($E$2,BN$1,BN$2,$D$18,$D$3,$D78,$E78,$F78,$F$3,BO$3)</f>
        <v>0</v>
      </c>
      <c r="BP78" s="25">
        <f>_xll.DBRW($C$2,$BN$1,BN$2,$D$18,$D$3,$D78,$E78,$F78,BP$3)</f>
        <v>2</v>
      </c>
      <c r="BQ78" s="64">
        <f>_xll.DBRW($C$2,$BN$1,BN$2,$D$18,$D$3,$D78,$E78,$F78,BQ$3)</f>
        <v>0</v>
      </c>
      <c r="BR78" s="58">
        <f>_xll.DBRW($C$2,$BN$1,BN$2,$D$18,$D$3,$D78,$E78,$F78,BR$3)</f>
        <v>0</v>
      </c>
      <c r="BS78" s="48">
        <f t="shared" si="33"/>
        <v>-7</v>
      </c>
      <c r="BT78" s="39">
        <f>_xll.DBRW($C$2,$BT$1,BT$2,$D$18,$D$3,$D78,$E78,$F78,BT$3)</f>
        <v>0</v>
      </c>
      <c r="BU78" s="25" cm="1">
        <f t="array" ref="BU78">_xll.DBRW($E$2,BT$1,BT$2,$D$18,$D$3,$D78,$E78,$F78,$F$3,BU$3)</f>
        <v>0</v>
      </c>
      <c r="BV78" s="25">
        <f>_xll.DBRW($C$2,$BT$1,BT$2,$D$18,$D$3,$D78,$E78,$F78,BV$3)</f>
        <v>2</v>
      </c>
      <c r="BW78" s="64">
        <f>_xll.DBRW($C$2,$BT$1,BT$2,$D$18,$D$3,$D78,$E78,$F78,BW$3)</f>
        <v>0</v>
      </c>
      <c r="BX78" s="58">
        <f>_xll.DBRW($C$2,$BT$1,BT$2,$D$18,$D$3,$D78,$E78,$F78,BX$3)</f>
        <v>0</v>
      </c>
      <c r="BY78" s="48">
        <f t="shared" si="34"/>
        <v>-9</v>
      </c>
      <c r="BZ78" s="39">
        <f>_xll.DBRW($C$2,$BZ$1,BZ$2,$D$18,$D$3,$D78,$E78,$F78,BZ$3)</f>
        <v>0</v>
      </c>
      <c r="CA78" s="25" cm="1">
        <f t="array" ref="CA78">_xll.DBRW($E$2,BZ$1,BZ$2,$D$18,$D$3,$D78,$E78,$F78,$F$3,CA$3)</f>
        <v>0</v>
      </c>
      <c r="CB78" s="25">
        <f>_xll.DBRW($C$2,$BZ$1,BZ$2,$D$18,$D$3,$D78,$E78,$F78,CB$3)</f>
        <v>2</v>
      </c>
      <c r="CC78" s="64">
        <f>_xll.DBRW($C$2,$BZ$1,BZ$2,$D$18,$D$3,$D78,$E78,$F78,CC$3)</f>
        <v>0</v>
      </c>
      <c r="CD78" s="58">
        <f>_xll.DBRW($C$2,$BZ$1,BZ$2,$D$18,$D$3,$D78,$E78,$F78,CD$3)</f>
        <v>0</v>
      </c>
      <c r="CE78" s="48">
        <f t="shared" si="35"/>
        <v>-11</v>
      </c>
    </row>
    <row r="79" spans="1:83" s="23" customFormat="1" outlineLevel="1" thickBot="1" x14ac:dyDescent="0.3">
      <c r="A79" s="91" t="str">
        <f>IF(_xll.TM1RPTELISCONSOLIDATED($F$22,$F79),IF(_xll.TM1RPTELLEV($F$22,$F79)&lt;=5,_xll.TM1RPTELLEV($F$22,$F79),"Default"),"Leaf")</f>
        <v>Leaf</v>
      </c>
      <c r="B79" s="24" t="str">
        <f>_xll.DBRW("TM1-S1_DEV:}ElementAttributes_SP_SKU",$D79,B$1)</f>
        <v>Primary</v>
      </c>
      <c r="C79" s="24" t="str">
        <f>_xll.DBRW("TM1-S1_DEV:}ElementAttributes_SP_SKU",$D79,C$1)</f>
        <v>DRESSING</v>
      </c>
      <c r="D79" s="28" t="s">
        <v>486</v>
      </c>
      <c r="E79" s="28" t="s">
        <v>225</v>
      </c>
      <c r="F79" s="28" t="s">
        <v>152</v>
      </c>
      <c r="G79" s="4">
        <f>_xll.DBRW($C$2,$G$19,G$20,$D$18,$D$3,$D79,$E79,$F79,G$3)</f>
        <v>10</v>
      </c>
      <c r="H79" s="54">
        <f t="shared" si="24"/>
        <v>4</v>
      </c>
      <c r="I79" s="4"/>
      <c r="J79" s="25">
        <f>_xll.DBRW($C$2,$J$1,J$2,$D$18,$D$3,$D79,$E79,$F79,J$3)</f>
        <v>14</v>
      </c>
      <c r="K79" s="39">
        <f>_xll.DBRW($C$2,$J$1,J$2,$D$18,$D$3,$D79,$E79,$F79,K$3)</f>
        <v>0</v>
      </c>
      <c r="L79" s="25">
        <f>_xll.DBRW($C$2,$J$1,J$2,$D$18,$D$3,$D79,$E79,$F79,L$3)</f>
        <v>0</v>
      </c>
      <c r="M79" s="25">
        <f>_xll.DBRW($C$2,$J$1,J$2,$D$18,$D$3,$D79,$E79,$F79,M$3)</f>
        <v>0</v>
      </c>
      <c r="N79" s="25">
        <f>_xll.DBRW($C$2,$J$1,J$2,$D$18,$D$3,$D79,$E79,$F79,N$3)</f>
        <v>0</v>
      </c>
      <c r="O79" s="64">
        <f>_xll.DBRW($C$2,$J$1,J$2,$D$18,$D$3,$D79,$E79,$F79,O$3)</f>
        <v>0</v>
      </c>
      <c r="P79" s="58">
        <f>_xll.DBRW($C$2,$J$1,J$2,$D$18,$D$3,$D79,$E79,$F79,P$3)</f>
        <v>0</v>
      </c>
      <c r="Q79" s="48">
        <f>_xll.DBRW($C$2,$J$1,J$2,$D$18,$D$3,$D79,$E79,$F79,Q$3)</f>
        <v>14</v>
      </c>
      <c r="R79" s="39">
        <f>_xll.DBRW($C$2,$R$1,R$2,$D$18,$D$3,$D79,$E79,$F79,R$3)</f>
        <v>0</v>
      </c>
      <c r="S79" s="25" cm="1">
        <f t="array" ref="S79">_xll.DBRW($E$2,R$1,R$2,$D$18,$D$3,$D79,$E79,$F79,$F$3,S$3)</f>
        <v>0</v>
      </c>
      <c r="T79" s="25">
        <f>_xll.DBRW($C$2,$R$1,R$2,$D$18,$D$3,$D79,$E79,$F79,T$3)</f>
        <v>0</v>
      </c>
      <c r="U79" s="64">
        <f>_xll.DBRW($C$2,$R$1,R$2,$D$18,$D$3,$D79,$E79,$F79,U$3)</f>
        <v>0</v>
      </c>
      <c r="V79" s="58">
        <f>_xll.DBRW($C$2,$R$1,R$2,$D$18,$D$3,$D79,$E79,$F79,V$3)</f>
        <v>0</v>
      </c>
      <c r="W79" s="48">
        <f t="shared" si="25"/>
        <v>14</v>
      </c>
      <c r="X79" s="39">
        <f>_xll.DBRW($C$2,$X$1,X$2,$D$18,$D$3,$D79,$E79,$F79,X$3)</f>
        <v>0</v>
      </c>
      <c r="Y79" s="25" cm="1">
        <f t="array" ref="Y79">_xll.DBRW($E$2,X$1,X$2,$D$18,$D$3,$D79,$E79,$F79,$F$3,Y$3)</f>
        <v>0</v>
      </c>
      <c r="Z79" s="25">
        <f>_xll.DBRW($C$2,$X$1,X$2,$D$18,$D$3,$D79,$E79,$F79,Z$3)</f>
        <v>1</v>
      </c>
      <c r="AA79" s="64">
        <f>_xll.DBRW($C$2,$X$1,X$2,$D$18,$D$3,$D79,$E79,$F79,AA$3)</f>
        <v>0</v>
      </c>
      <c r="AB79" s="58">
        <f>_xll.DBRW($C$2,$X$1,X$2,$D$18,$D$3,$D79,$E79,$F79,AB$3)</f>
        <v>0</v>
      </c>
      <c r="AC79" s="48">
        <f t="shared" si="26"/>
        <v>13</v>
      </c>
      <c r="AD79" s="39">
        <f>_xll.DBRW($C$2,$AD$1,AD$2,$D$18,$D$3,$D79,$E79,$F79,AD$3)</f>
        <v>0</v>
      </c>
      <c r="AE79" s="25" cm="1">
        <f t="array" ref="AE79">_xll.DBRW($E$2,AD$1,AD$2,$D$18,$D$3,$D79,$E79,$F79,$F$3,AE$3)</f>
        <v>0</v>
      </c>
      <c r="AF79" s="25">
        <f>_xll.DBRW($C$2,$AD$1,AD$2,$D$18,$D$3,$D79,$E79,$F79,AF$3)</f>
        <v>1</v>
      </c>
      <c r="AG79" s="64">
        <f>_xll.DBRW($C$2,$AD$1,AD$2,$D$18,$D$3,$D79,$E79,$F79,AG$3)</f>
        <v>1</v>
      </c>
      <c r="AH79" s="58">
        <f>_xll.DBRW($C$2,$AD$1,AD$2,$D$18,$D$3,$D79,$E79,$F79,AH$3)</f>
        <v>0</v>
      </c>
      <c r="AI79" s="48">
        <f t="shared" si="27"/>
        <v>12</v>
      </c>
      <c r="AJ79" s="39">
        <f>_xll.DBRW($C$2,$AJ$1,AJ$2,$D$18,$D$3,$D79,$E79,$F79,AJ$3)</f>
        <v>0</v>
      </c>
      <c r="AK79" s="25" cm="1">
        <f t="array" ref="AK79">_xll.DBRW($E$2,AJ$1,AJ$2,$D$18,$D$3,$D79,$E79,$F79,$F$3,AK$3)</f>
        <v>0</v>
      </c>
      <c r="AL79" s="25">
        <f>_xll.DBRW($C$2,$AJ$1,AJ$2,$D$18,$D$3,$D79,$E79,$F79,AL$3)</f>
        <v>1</v>
      </c>
      <c r="AM79" s="64">
        <f>_xll.DBRW($C$2,$AJ$1,AJ$2,$D$18,$D$3,$D79,$E79,$F79,AM$3)</f>
        <v>0</v>
      </c>
      <c r="AN79" s="58">
        <f>_xll.DBRW($C$2,$AJ$1,AJ$2,$D$18,$D$3,$D79,$E79,$F79,AN$3)</f>
        <v>0</v>
      </c>
      <c r="AO79" s="48">
        <f t="shared" si="28"/>
        <v>11</v>
      </c>
      <c r="AP79" s="39">
        <f>_xll.DBRW($C$2,$AP$1,AP$2,$D$18,$D$3,$D79,$E79,$F79,AP$3)</f>
        <v>0</v>
      </c>
      <c r="AQ79" s="25" cm="1">
        <f t="array" ref="AQ79">_xll.DBRW($E$2,AP$1,AP$2,$D$18,$D$3,$D79,$E79,$F79,$F$3,AQ$3)</f>
        <v>0</v>
      </c>
      <c r="AR79" s="25">
        <f>_xll.DBRW($C$2,$AP$1,AP$2,$D$18,$D$3,$D79,$E79,$F79,AR$3)</f>
        <v>1</v>
      </c>
      <c r="AS79" s="64">
        <f>_xll.DBRW($C$2,$AP$1,AP$2,$D$18,$D$3,$D79,$E79,$F79,AS$3)</f>
        <v>0</v>
      </c>
      <c r="AT79" s="58">
        <f>_xll.DBRW($C$2,$AP$1,AP$2,$D$18,$D$3,$D79,$E79,$F79,AT$3)</f>
        <v>0</v>
      </c>
      <c r="AU79" s="48">
        <f t="shared" si="29"/>
        <v>10</v>
      </c>
      <c r="AV79" s="39">
        <f>_xll.DBRW($C$2,$AV$1,AV$2,$D$18,$D$3,$D79,$E79,$F79,AV$3)</f>
        <v>0</v>
      </c>
      <c r="AW79" s="25" cm="1">
        <f t="array" ref="AW79">_xll.DBRW($E$2,AV$1,AV$2,$D$18,$D$3,$D79,$E79,$F79,$F$3,AW$3)</f>
        <v>0</v>
      </c>
      <c r="AX79" s="25">
        <f>_xll.DBRW($C$2,$AV$1,AV$2,$D$18,$D$3,$D79,$E79,$F79,AX$3)</f>
        <v>1</v>
      </c>
      <c r="AY79" s="64">
        <f>_xll.DBRW($C$2,$AV$1,AV$2,$D$18,$D$3,$D79,$E79,$F79,AY$3)</f>
        <v>0</v>
      </c>
      <c r="AZ79" s="58">
        <f>_xll.DBRW($C$2,$AV$1,AV$2,$D$18,$D$3,$D79,$E79,$F79,AZ$3)</f>
        <v>0</v>
      </c>
      <c r="BA79" s="48">
        <f t="shared" si="30"/>
        <v>9</v>
      </c>
      <c r="BB79" s="39">
        <f>_xll.DBRW($C$2,$BB$1,BB$2,$D$18,$D$3,$D79,$E79,$F79,BB$3)</f>
        <v>0</v>
      </c>
      <c r="BC79" s="25" cm="1">
        <f t="array" ref="BC79">_xll.DBRW($E$2,BB$1,BB$2,$D$18,$D$3,$D79,$E79,$F79,$F$3,BC$3)</f>
        <v>0</v>
      </c>
      <c r="BD79" s="25">
        <f>_xll.DBRW($C$2,$BB$1,BB$2,$D$18,$D$3,$D79,$E79,$F79,BD$3)</f>
        <v>1</v>
      </c>
      <c r="BE79" s="64">
        <f>_xll.DBRW($C$2,$BB$1,BB$2,$D$18,$D$3,$D79,$E79,$F79,BE$3)</f>
        <v>0</v>
      </c>
      <c r="BF79" s="58">
        <f>_xll.DBRW($C$2,$BB$1,BB$2,$D$18,$D$3,$D79,$E79,$F79,BF$3)</f>
        <v>0</v>
      </c>
      <c r="BG79" s="48">
        <f t="shared" si="31"/>
        <v>8</v>
      </c>
      <c r="BH79" s="39">
        <f>_xll.DBRW($C$2,$BH$1,BH$2,$D$18,$D$3,$D79,$E79,$F79,BH$3)</f>
        <v>0</v>
      </c>
      <c r="BI79" s="25" cm="1">
        <f t="array" ref="BI79">_xll.DBRW($E$2,BH$1,BH$2,$D$18,$D$3,$D79,$E79,$F79,$F$3,BI$3)</f>
        <v>0</v>
      </c>
      <c r="BJ79" s="25">
        <f>_xll.DBRW($C$2,$BH$1,BH$2,$D$18,$D$3,$D79,$E79,$F79,BJ$3)</f>
        <v>1</v>
      </c>
      <c r="BK79" s="64">
        <f>_xll.DBRW($C$2,$BH$1,BH$2,$D$18,$D$3,$D79,$E79,$F79,BK$3)</f>
        <v>0</v>
      </c>
      <c r="BL79" s="58">
        <f>_xll.DBRW($C$2,$BH$1,BH$2,$D$18,$D$3,$D79,$E79,$F79,BL$3)</f>
        <v>0</v>
      </c>
      <c r="BM79" s="48">
        <f t="shared" si="32"/>
        <v>7</v>
      </c>
      <c r="BN79" s="39">
        <f>_xll.DBRW($C$2,$BN$1,BN$2,$D$18,$D$3,$D79,$E79,$F79,BN$3)</f>
        <v>0</v>
      </c>
      <c r="BO79" s="25" cm="1">
        <f t="array" ref="BO79">_xll.DBRW($E$2,BN$1,BN$2,$D$18,$D$3,$D79,$E79,$F79,$F$3,BO$3)</f>
        <v>0</v>
      </c>
      <c r="BP79" s="25">
        <f>_xll.DBRW($C$2,$BN$1,BN$2,$D$18,$D$3,$D79,$E79,$F79,BP$3)</f>
        <v>1</v>
      </c>
      <c r="BQ79" s="64">
        <f>_xll.DBRW($C$2,$BN$1,BN$2,$D$18,$D$3,$D79,$E79,$F79,BQ$3)</f>
        <v>0</v>
      </c>
      <c r="BR79" s="58">
        <f>_xll.DBRW($C$2,$BN$1,BN$2,$D$18,$D$3,$D79,$E79,$F79,BR$3)</f>
        <v>0</v>
      </c>
      <c r="BS79" s="48">
        <f t="shared" si="33"/>
        <v>6</v>
      </c>
      <c r="BT79" s="39">
        <f>_xll.DBRW($C$2,$BT$1,BT$2,$D$18,$D$3,$D79,$E79,$F79,BT$3)</f>
        <v>0</v>
      </c>
      <c r="BU79" s="25" cm="1">
        <f t="array" ref="BU79">_xll.DBRW($E$2,BT$1,BT$2,$D$18,$D$3,$D79,$E79,$F79,$F$3,BU$3)</f>
        <v>0</v>
      </c>
      <c r="BV79" s="25">
        <f>_xll.DBRW($C$2,$BT$1,BT$2,$D$18,$D$3,$D79,$E79,$F79,BV$3)</f>
        <v>1</v>
      </c>
      <c r="BW79" s="64">
        <f>_xll.DBRW($C$2,$BT$1,BT$2,$D$18,$D$3,$D79,$E79,$F79,BW$3)</f>
        <v>0</v>
      </c>
      <c r="BX79" s="58">
        <f>_xll.DBRW($C$2,$BT$1,BT$2,$D$18,$D$3,$D79,$E79,$F79,BX$3)</f>
        <v>0</v>
      </c>
      <c r="BY79" s="48">
        <f t="shared" si="34"/>
        <v>5</v>
      </c>
      <c r="BZ79" s="39">
        <f>_xll.DBRW($C$2,$BZ$1,BZ$2,$D$18,$D$3,$D79,$E79,$F79,BZ$3)</f>
        <v>0</v>
      </c>
      <c r="CA79" s="25" cm="1">
        <f t="array" ref="CA79">_xll.DBRW($E$2,BZ$1,BZ$2,$D$18,$D$3,$D79,$E79,$F79,$F$3,CA$3)</f>
        <v>0</v>
      </c>
      <c r="CB79" s="25">
        <f>_xll.DBRW($C$2,$BZ$1,BZ$2,$D$18,$D$3,$D79,$E79,$F79,CB$3)</f>
        <v>1</v>
      </c>
      <c r="CC79" s="64">
        <f>_xll.DBRW($C$2,$BZ$1,BZ$2,$D$18,$D$3,$D79,$E79,$F79,CC$3)</f>
        <v>0</v>
      </c>
      <c r="CD79" s="58">
        <f>_xll.DBRW($C$2,$BZ$1,BZ$2,$D$18,$D$3,$D79,$E79,$F79,CD$3)</f>
        <v>0</v>
      </c>
      <c r="CE79" s="48">
        <f t="shared" si="35"/>
        <v>4</v>
      </c>
    </row>
    <row r="80" spans="1:83" s="23" customFormat="1" outlineLevel="1" thickBot="1" x14ac:dyDescent="0.3">
      <c r="A80" s="91" t="str">
        <f>IF(_xll.TM1RPTELISCONSOLIDATED($F$22,$F80),IF(_xll.TM1RPTELLEV($F$22,$F80)&lt;=5,_xll.TM1RPTELLEV($F$22,$F80),"Default"),"Leaf")</f>
        <v>Leaf</v>
      </c>
      <c r="B80" s="24" t="str">
        <f>_xll.DBRW("TM1-S1_DEV:}ElementAttributes_SP_SKU",$D80,B$1)</f>
        <v>Primary</v>
      </c>
      <c r="C80" s="24" t="str">
        <f>_xll.DBRW("TM1-S1_DEV:}ElementAttributes_SP_SKU",$D80,C$1)</f>
        <v>DRESSING</v>
      </c>
      <c r="D80" s="28" t="s">
        <v>487</v>
      </c>
      <c r="E80" s="28" t="s">
        <v>115</v>
      </c>
      <c r="F80" s="28" t="s">
        <v>152</v>
      </c>
      <c r="G80" s="4">
        <f>_xll.DBRW($C$2,$G$19,G$20,$D$18,$D$3,$D80,$E80,$F80,G$3)</f>
        <v>19</v>
      </c>
      <c r="H80" s="54">
        <f t="shared" si="24"/>
        <v>10</v>
      </c>
      <c r="I80" s="4"/>
      <c r="J80" s="25">
        <f>_xll.DBRW($C$2,$J$1,J$2,$D$18,$D$3,$D80,$E80,$F80,J$3)</f>
        <v>29</v>
      </c>
      <c r="K80" s="39">
        <f>_xll.DBRW($C$2,$J$1,J$2,$D$18,$D$3,$D80,$E80,$F80,K$3)</f>
        <v>0</v>
      </c>
      <c r="L80" s="25">
        <f>_xll.DBRW($C$2,$J$1,J$2,$D$18,$D$3,$D80,$E80,$F80,L$3)</f>
        <v>0</v>
      </c>
      <c r="M80" s="25">
        <f>_xll.DBRW($C$2,$J$1,J$2,$D$18,$D$3,$D80,$E80,$F80,M$3)</f>
        <v>0</v>
      </c>
      <c r="N80" s="25">
        <f>_xll.DBRW($C$2,$J$1,J$2,$D$18,$D$3,$D80,$E80,$F80,N$3)</f>
        <v>0</v>
      </c>
      <c r="O80" s="64">
        <f>_xll.DBRW($C$2,$J$1,J$2,$D$18,$D$3,$D80,$E80,$F80,O$3)</f>
        <v>0</v>
      </c>
      <c r="P80" s="58">
        <f>_xll.DBRW($C$2,$J$1,J$2,$D$18,$D$3,$D80,$E80,$F80,P$3)</f>
        <v>0</v>
      </c>
      <c r="Q80" s="48">
        <f>_xll.DBRW($C$2,$J$1,J$2,$D$18,$D$3,$D80,$E80,$F80,Q$3)</f>
        <v>29</v>
      </c>
      <c r="R80" s="39">
        <f>_xll.DBRW($C$2,$R$1,R$2,$D$18,$D$3,$D80,$E80,$F80,R$3)</f>
        <v>0</v>
      </c>
      <c r="S80" s="25" cm="1">
        <f t="array" ref="S80">_xll.DBRW($E$2,R$1,R$2,$D$18,$D$3,$D80,$E80,$F80,$F$3,S$3)</f>
        <v>0</v>
      </c>
      <c r="T80" s="25">
        <f>_xll.DBRW($C$2,$R$1,R$2,$D$18,$D$3,$D80,$E80,$F80,T$3)</f>
        <v>0</v>
      </c>
      <c r="U80" s="64">
        <f>_xll.DBRW($C$2,$R$1,R$2,$D$18,$D$3,$D80,$E80,$F80,U$3)</f>
        <v>0</v>
      </c>
      <c r="V80" s="58">
        <f>_xll.DBRW($C$2,$R$1,R$2,$D$18,$D$3,$D80,$E80,$F80,V$3)</f>
        <v>0</v>
      </c>
      <c r="W80" s="48">
        <f t="shared" si="25"/>
        <v>29</v>
      </c>
      <c r="X80" s="39">
        <f>_xll.DBRW($C$2,$X$1,X$2,$D$18,$D$3,$D80,$E80,$F80,X$3)</f>
        <v>0</v>
      </c>
      <c r="Y80" s="25" cm="1">
        <f t="array" ref="Y80">_xll.DBRW($E$2,X$1,X$2,$D$18,$D$3,$D80,$E80,$F80,$F$3,Y$3)</f>
        <v>0</v>
      </c>
      <c r="Z80" s="25">
        <f>_xll.DBRW($C$2,$X$1,X$2,$D$18,$D$3,$D80,$E80,$F80,Z$3)</f>
        <v>1</v>
      </c>
      <c r="AA80" s="64">
        <f>_xll.DBRW($C$2,$X$1,X$2,$D$18,$D$3,$D80,$E80,$F80,AA$3)</f>
        <v>0</v>
      </c>
      <c r="AB80" s="58">
        <f>_xll.DBRW($C$2,$X$1,X$2,$D$18,$D$3,$D80,$E80,$F80,AB$3)</f>
        <v>0</v>
      </c>
      <c r="AC80" s="48">
        <f t="shared" si="26"/>
        <v>28</v>
      </c>
      <c r="AD80" s="39">
        <f>_xll.DBRW($C$2,$AD$1,AD$2,$D$18,$D$3,$D80,$E80,$F80,AD$3)</f>
        <v>0</v>
      </c>
      <c r="AE80" s="25" cm="1">
        <f t="array" ref="AE80">_xll.DBRW($E$2,AD$1,AD$2,$D$18,$D$3,$D80,$E80,$F80,$F$3,AE$3)</f>
        <v>0</v>
      </c>
      <c r="AF80" s="25">
        <f>_xll.DBRW($C$2,$AD$1,AD$2,$D$18,$D$3,$D80,$E80,$F80,AF$3)</f>
        <v>1</v>
      </c>
      <c r="AG80" s="64">
        <f>_xll.DBRW($C$2,$AD$1,AD$2,$D$18,$D$3,$D80,$E80,$F80,AG$3)</f>
        <v>0</v>
      </c>
      <c r="AH80" s="58">
        <f>_xll.DBRW($C$2,$AD$1,AD$2,$D$18,$D$3,$D80,$E80,$F80,AH$3)</f>
        <v>0</v>
      </c>
      <c r="AI80" s="48">
        <f t="shared" si="27"/>
        <v>27</v>
      </c>
      <c r="AJ80" s="39">
        <f>_xll.DBRW($C$2,$AJ$1,AJ$2,$D$18,$D$3,$D80,$E80,$F80,AJ$3)</f>
        <v>0</v>
      </c>
      <c r="AK80" s="25" cm="1">
        <f t="array" ref="AK80">_xll.DBRW($E$2,AJ$1,AJ$2,$D$18,$D$3,$D80,$E80,$F80,$F$3,AK$3)</f>
        <v>0</v>
      </c>
      <c r="AL80" s="25">
        <f>_xll.DBRW($C$2,$AJ$1,AJ$2,$D$18,$D$3,$D80,$E80,$F80,AL$3)</f>
        <v>1</v>
      </c>
      <c r="AM80" s="64">
        <f>_xll.DBRW($C$2,$AJ$1,AJ$2,$D$18,$D$3,$D80,$E80,$F80,AM$3)</f>
        <v>0</v>
      </c>
      <c r="AN80" s="58">
        <f>_xll.DBRW($C$2,$AJ$1,AJ$2,$D$18,$D$3,$D80,$E80,$F80,AN$3)</f>
        <v>0</v>
      </c>
      <c r="AO80" s="48">
        <f t="shared" si="28"/>
        <v>26</v>
      </c>
      <c r="AP80" s="39">
        <f>_xll.DBRW($C$2,$AP$1,AP$2,$D$18,$D$3,$D80,$E80,$F80,AP$3)</f>
        <v>0</v>
      </c>
      <c r="AQ80" s="25" cm="1">
        <f t="array" ref="AQ80">_xll.DBRW($E$2,AP$1,AP$2,$D$18,$D$3,$D80,$E80,$F80,$F$3,AQ$3)</f>
        <v>0</v>
      </c>
      <c r="AR80" s="25">
        <f>_xll.DBRW($C$2,$AP$1,AP$2,$D$18,$D$3,$D80,$E80,$F80,AR$3)</f>
        <v>1</v>
      </c>
      <c r="AS80" s="64">
        <f>_xll.DBRW($C$2,$AP$1,AP$2,$D$18,$D$3,$D80,$E80,$F80,AS$3)</f>
        <v>0</v>
      </c>
      <c r="AT80" s="58">
        <f>_xll.DBRW($C$2,$AP$1,AP$2,$D$18,$D$3,$D80,$E80,$F80,AT$3)</f>
        <v>0</v>
      </c>
      <c r="AU80" s="48">
        <f t="shared" si="29"/>
        <v>25</v>
      </c>
      <c r="AV80" s="39">
        <f>_xll.DBRW($C$2,$AV$1,AV$2,$D$18,$D$3,$D80,$E80,$F80,AV$3)</f>
        <v>0</v>
      </c>
      <c r="AW80" s="25" cm="1">
        <f t="array" ref="AW80">_xll.DBRW($E$2,AV$1,AV$2,$D$18,$D$3,$D80,$E80,$F80,$F$3,AW$3)</f>
        <v>0</v>
      </c>
      <c r="AX80" s="25">
        <f>_xll.DBRW($C$2,$AV$1,AV$2,$D$18,$D$3,$D80,$E80,$F80,AX$3)</f>
        <v>1</v>
      </c>
      <c r="AY80" s="64">
        <f>_xll.DBRW($C$2,$AV$1,AV$2,$D$18,$D$3,$D80,$E80,$F80,AY$3)</f>
        <v>1</v>
      </c>
      <c r="AZ80" s="58">
        <f>_xll.DBRW($C$2,$AV$1,AV$2,$D$18,$D$3,$D80,$E80,$F80,AZ$3)</f>
        <v>0</v>
      </c>
      <c r="BA80" s="48">
        <f t="shared" si="30"/>
        <v>24</v>
      </c>
      <c r="BB80" s="39">
        <f>_xll.DBRW($C$2,$BB$1,BB$2,$D$18,$D$3,$D80,$E80,$F80,BB$3)</f>
        <v>0</v>
      </c>
      <c r="BC80" s="25" cm="1">
        <f t="array" ref="BC80">_xll.DBRW($E$2,BB$1,BB$2,$D$18,$D$3,$D80,$E80,$F80,$F$3,BC$3)</f>
        <v>0</v>
      </c>
      <c r="BD80" s="25">
        <f>_xll.DBRW($C$2,$BB$1,BB$2,$D$18,$D$3,$D80,$E80,$F80,BD$3)</f>
        <v>1</v>
      </c>
      <c r="BE80" s="64">
        <f>_xll.DBRW($C$2,$BB$1,BB$2,$D$18,$D$3,$D80,$E80,$F80,BE$3)</f>
        <v>0</v>
      </c>
      <c r="BF80" s="58">
        <f>_xll.DBRW($C$2,$BB$1,BB$2,$D$18,$D$3,$D80,$E80,$F80,BF$3)</f>
        <v>0</v>
      </c>
      <c r="BG80" s="48">
        <f t="shared" si="31"/>
        <v>23</v>
      </c>
      <c r="BH80" s="39">
        <f>_xll.DBRW($C$2,$BH$1,BH$2,$D$18,$D$3,$D80,$E80,$F80,BH$3)</f>
        <v>0</v>
      </c>
      <c r="BI80" s="25" cm="1">
        <f t="array" ref="BI80">_xll.DBRW($E$2,BH$1,BH$2,$D$18,$D$3,$D80,$E80,$F80,$F$3,BI$3)</f>
        <v>0</v>
      </c>
      <c r="BJ80" s="25">
        <f>_xll.DBRW($C$2,$BH$1,BH$2,$D$18,$D$3,$D80,$E80,$F80,BJ$3)</f>
        <v>1</v>
      </c>
      <c r="BK80" s="64">
        <f>_xll.DBRW($C$2,$BH$1,BH$2,$D$18,$D$3,$D80,$E80,$F80,BK$3)</f>
        <v>0</v>
      </c>
      <c r="BL80" s="58">
        <f>_xll.DBRW($C$2,$BH$1,BH$2,$D$18,$D$3,$D80,$E80,$F80,BL$3)</f>
        <v>0</v>
      </c>
      <c r="BM80" s="48">
        <f t="shared" si="32"/>
        <v>22</v>
      </c>
      <c r="BN80" s="39">
        <f>_xll.DBRW($C$2,$BN$1,BN$2,$D$18,$D$3,$D80,$E80,$F80,BN$3)</f>
        <v>0</v>
      </c>
      <c r="BO80" s="25" cm="1">
        <f t="array" ref="BO80">_xll.DBRW($E$2,BN$1,BN$2,$D$18,$D$3,$D80,$E80,$F80,$F$3,BO$3)</f>
        <v>0</v>
      </c>
      <c r="BP80" s="25">
        <f>_xll.DBRW($C$2,$BN$1,BN$2,$D$18,$D$3,$D80,$E80,$F80,BP$3)</f>
        <v>1</v>
      </c>
      <c r="BQ80" s="64">
        <f>_xll.DBRW($C$2,$BN$1,BN$2,$D$18,$D$3,$D80,$E80,$F80,BQ$3)</f>
        <v>0</v>
      </c>
      <c r="BR80" s="58">
        <f>_xll.DBRW($C$2,$BN$1,BN$2,$D$18,$D$3,$D80,$E80,$F80,BR$3)</f>
        <v>0</v>
      </c>
      <c r="BS80" s="48">
        <f t="shared" si="33"/>
        <v>21</v>
      </c>
      <c r="BT80" s="39">
        <f>_xll.DBRW($C$2,$BT$1,BT$2,$D$18,$D$3,$D80,$E80,$F80,BT$3)</f>
        <v>0</v>
      </c>
      <c r="BU80" s="25" cm="1">
        <f t="array" ref="BU80">_xll.DBRW($E$2,BT$1,BT$2,$D$18,$D$3,$D80,$E80,$F80,$F$3,BU$3)</f>
        <v>0</v>
      </c>
      <c r="BV80" s="25">
        <f>_xll.DBRW($C$2,$BT$1,BT$2,$D$18,$D$3,$D80,$E80,$F80,BV$3)</f>
        <v>1</v>
      </c>
      <c r="BW80" s="64">
        <f>_xll.DBRW($C$2,$BT$1,BT$2,$D$18,$D$3,$D80,$E80,$F80,BW$3)</f>
        <v>0</v>
      </c>
      <c r="BX80" s="58">
        <f>_xll.DBRW($C$2,$BT$1,BT$2,$D$18,$D$3,$D80,$E80,$F80,BX$3)</f>
        <v>0</v>
      </c>
      <c r="BY80" s="48">
        <f t="shared" si="34"/>
        <v>20</v>
      </c>
      <c r="BZ80" s="39">
        <f>_xll.DBRW($C$2,$BZ$1,BZ$2,$D$18,$D$3,$D80,$E80,$F80,BZ$3)</f>
        <v>0</v>
      </c>
      <c r="CA80" s="25" cm="1">
        <f t="array" ref="CA80">_xll.DBRW($E$2,BZ$1,BZ$2,$D$18,$D$3,$D80,$E80,$F80,$F$3,CA$3)</f>
        <v>0</v>
      </c>
      <c r="CB80" s="25">
        <f>_xll.DBRW($C$2,$BZ$1,BZ$2,$D$18,$D$3,$D80,$E80,$F80,CB$3)</f>
        <v>1</v>
      </c>
      <c r="CC80" s="64">
        <f>_xll.DBRW($C$2,$BZ$1,BZ$2,$D$18,$D$3,$D80,$E80,$F80,CC$3)</f>
        <v>0</v>
      </c>
      <c r="CD80" s="58">
        <f>_xll.DBRW($C$2,$BZ$1,BZ$2,$D$18,$D$3,$D80,$E80,$F80,CD$3)</f>
        <v>0</v>
      </c>
      <c r="CE80" s="48">
        <f t="shared" si="35"/>
        <v>19</v>
      </c>
    </row>
    <row r="81" spans="1:83" s="23" customFormat="1" outlineLevel="1" thickBot="1" x14ac:dyDescent="0.3">
      <c r="A81" s="91" t="str">
        <f>IF(_xll.TM1RPTELISCONSOLIDATED($F$22,$F81),IF(_xll.TM1RPTELLEV($F$22,$F81)&lt;=5,_xll.TM1RPTELLEV($F$22,$F81),"Default"),"Leaf")</f>
        <v>Leaf</v>
      </c>
      <c r="B81" s="24" t="str">
        <f>_xll.DBRW("TM1-S1_DEV:}ElementAttributes_SP_SKU",$D81,B$1)</f>
        <v>Primary</v>
      </c>
      <c r="C81" s="24" t="str">
        <f>_xll.DBRW("TM1-S1_DEV:}ElementAttributes_SP_SKU",$D81,C$1)</f>
        <v>DRESSING</v>
      </c>
      <c r="D81" s="28" t="s">
        <v>488</v>
      </c>
      <c r="E81" s="28" t="s">
        <v>226</v>
      </c>
      <c r="F81" s="28" t="s">
        <v>152</v>
      </c>
      <c r="G81" s="4">
        <f>_xll.DBRW($C$2,$G$19,G$20,$D$18,$D$3,$D81,$E81,$F81,G$3)</f>
        <v>34</v>
      </c>
      <c r="H81" s="54">
        <f t="shared" si="24"/>
        <v>-8</v>
      </c>
      <c r="I81" s="4"/>
      <c r="J81" s="25">
        <f>_xll.DBRW($C$2,$J$1,J$2,$D$18,$D$3,$D81,$E81,$F81,J$3)</f>
        <v>26</v>
      </c>
      <c r="K81" s="39">
        <f>_xll.DBRW($C$2,$J$1,J$2,$D$18,$D$3,$D81,$E81,$F81,K$3)</f>
        <v>0</v>
      </c>
      <c r="L81" s="25">
        <f>_xll.DBRW($C$2,$J$1,J$2,$D$18,$D$3,$D81,$E81,$F81,L$3)</f>
        <v>0</v>
      </c>
      <c r="M81" s="25">
        <f>_xll.DBRW($C$2,$J$1,J$2,$D$18,$D$3,$D81,$E81,$F81,M$3)</f>
        <v>0</v>
      </c>
      <c r="N81" s="25">
        <f>_xll.DBRW($C$2,$J$1,J$2,$D$18,$D$3,$D81,$E81,$F81,N$3)</f>
        <v>0</v>
      </c>
      <c r="O81" s="64">
        <f>_xll.DBRW($C$2,$J$1,J$2,$D$18,$D$3,$D81,$E81,$F81,O$3)</f>
        <v>0</v>
      </c>
      <c r="P81" s="58">
        <f>_xll.DBRW($C$2,$J$1,J$2,$D$18,$D$3,$D81,$E81,$F81,P$3)</f>
        <v>0</v>
      </c>
      <c r="Q81" s="48">
        <f>_xll.DBRW($C$2,$J$1,J$2,$D$18,$D$3,$D81,$E81,$F81,Q$3)</f>
        <v>26</v>
      </c>
      <c r="R81" s="39">
        <f>_xll.DBRW($C$2,$R$1,R$2,$D$18,$D$3,$D81,$E81,$F81,R$3)</f>
        <v>0</v>
      </c>
      <c r="S81" s="25" cm="1">
        <f t="array" ref="S81">_xll.DBRW($E$2,R$1,R$2,$D$18,$D$3,$D81,$E81,$F81,$F$3,S$3)</f>
        <v>0</v>
      </c>
      <c r="T81" s="25">
        <f>_xll.DBRW($C$2,$R$1,R$2,$D$18,$D$3,$D81,$E81,$F81,T$3)</f>
        <v>0</v>
      </c>
      <c r="U81" s="64">
        <f>_xll.DBRW($C$2,$R$1,R$2,$D$18,$D$3,$D81,$E81,$F81,U$3)</f>
        <v>0</v>
      </c>
      <c r="V81" s="58">
        <f>_xll.DBRW($C$2,$R$1,R$2,$D$18,$D$3,$D81,$E81,$F81,V$3)</f>
        <v>0</v>
      </c>
      <c r="W81" s="48">
        <f t="shared" si="25"/>
        <v>26</v>
      </c>
      <c r="X81" s="39">
        <f>_xll.DBRW($C$2,$X$1,X$2,$D$18,$D$3,$D81,$E81,$F81,X$3)</f>
        <v>0</v>
      </c>
      <c r="Y81" s="25" cm="1">
        <f t="array" ref="Y81">_xll.DBRW($E$2,X$1,X$2,$D$18,$D$3,$D81,$E81,$F81,$F$3,Y$3)</f>
        <v>0</v>
      </c>
      <c r="Z81" s="25">
        <f>_xll.DBRW($C$2,$X$1,X$2,$D$18,$D$3,$D81,$E81,$F81,Z$3)</f>
        <v>1</v>
      </c>
      <c r="AA81" s="64">
        <f>_xll.DBRW($C$2,$X$1,X$2,$D$18,$D$3,$D81,$E81,$F81,AA$3)</f>
        <v>1</v>
      </c>
      <c r="AB81" s="58">
        <f>_xll.DBRW($C$2,$X$1,X$2,$D$18,$D$3,$D81,$E81,$F81,AB$3)</f>
        <v>0</v>
      </c>
      <c r="AC81" s="48">
        <f t="shared" si="26"/>
        <v>25</v>
      </c>
      <c r="AD81" s="39">
        <f>_xll.DBRW($C$2,$AD$1,AD$2,$D$18,$D$3,$D81,$E81,$F81,AD$3)</f>
        <v>0</v>
      </c>
      <c r="AE81" s="25" cm="1">
        <f t="array" ref="AE81">_xll.DBRW($E$2,AD$1,AD$2,$D$18,$D$3,$D81,$E81,$F81,$F$3,AE$3)</f>
        <v>0</v>
      </c>
      <c r="AF81" s="25">
        <f>_xll.DBRW($C$2,$AD$1,AD$2,$D$18,$D$3,$D81,$E81,$F81,AF$3)</f>
        <v>1</v>
      </c>
      <c r="AG81" s="64">
        <f>_xll.DBRW($C$2,$AD$1,AD$2,$D$18,$D$3,$D81,$E81,$F81,AG$3)</f>
        <v>1</v>
      </c>
      <c r="AH81" s="58">
        <f>_xll.DBRW($C$2,$AD$1,AD$2,$D$18,$D$3,$D81,$E81,$F81,AH$3)</f>
        <v>0</v>
      </c>
      <c r="AI81" s="48">
        <f t="shared" si="27"/>
        <v>24</v>
      </c>
      <c r="AJ81" s="39">
        <f>_xll.DBRW($C$2,$AJ$1,AJ$2,$D$18,$D$3,$D81,$E81,$F81,AJ$3)</f>
        <v>0</v>
      </c>
      <c r="AK81" s="25" cm="1">
        <f t="array" ref="AK81">_xll.DBRW($E$2,AJ$1,AJ$2,$D$18,$D$3,$D81,$E81,$F81,$F$3,AK$3)</f>
        <v>0</v>
      </c>
      <c r="AL81" s="25">
        <f>_xll.DBRW($C$2,$AJ$1,AJ$2,$D$18,$D$3,$D81,$E81,$F81,AL$3)</f>
        <v>1</v>
      </c>
      <c r="AM81" s="64">
        <f>_xll.DBRW($C$2,$AJ$1,AJ$2,$D$18,$D$3,$D81,$E81,$F81,AM$3)</f>
        <v>1</v>
      </c>
      <c r="AN81" s="58">
        <f>_xll.DBRW($C$2,$AJ$1,AJ$2,$D$18,$D$3,$D81,$E81,$F81,AN$3)</f>
        <v>0</v>
      </c>
      <c r="AO81" s="48">
        <f t="shared" si="28"/>
        <v>23</v>
      </c>
      <c r="AP81" s="39">
        <f>_xll.DBRW($C$2,$AP$1,AP$2,$D$18,$D$3,$D81,$E81,$F81,AP$3)</f>
        <v>0</v>
      </c>
      <c r="AQ81" s="25" cm="1">
        <f t="array" ref="AQ81">_xll.DBRW($E$2,AP$1,AP$2,$D$18,$D$3,$D81,$E81,$F81,$F$3,AQ$3)</f>
        <v>0</v>
      </c>
      <c r="AR81" s="25">
        <f>_xll.DBRW($C$2,$AP$1,AP$2,$D$18,$D$3,$D81,$E81,$F81,AR$3)</f>
        <v>1</v>
      </c>
      <c r="AS81" s="64">
        <f>_xll.DBRW($C$2,$AP$1,AP$2,$D$18,$D$3,$D81,$E81,$F81,AS$3)</f>
        <v>0</v>
      </c>
      <c r="AT81" s="58">
        <f>_xll.DBRW($C$2,$AP$1,AP$2,$D$18,$D$3,$D81,$E81,$F81,AT$3)</f>
        <v>0</v>
      </c>
      <c r="AU81" s="48">
        <f t="shared" si="29"/>
        <v>22</v>
      </c>
      <c r="AV81" s="39">
        <f>_xll.DBRW($C$2,$AV$1,AV$2,$D$18,$D$3,$D81,$E81,$F81,AV$3)</f>
        <v>0</v>
      </c>
      <c r="AW81" s="25" cm="1">
        <f t="array" ref="AW81">_xll.DBRW($E$2,AV$1,AV$2,$D$18,$D$3,$D81,$E81,$F81,$F$3,AW$3)</f>
        <v>0</v>
      </c>
      <c r="AX81" s="25">
        <f>_xll.DBRW($C$2,$AV$1,AV$2,$D$18,$D$3,$D81,$E81,$F81,AX$3)</f>
        <v>1</v>
      </c>
      <c r="AY81" s="64">
        <f>_xll.DBRW($C$2,$AV$1,AV$2,$D$18,$D$3,$D81,$E81,$F81,AY$3)</f>
        <v>1</v>
      </c>
      <c r="AZ81" s="58">
        <f>_xll.DBRW($C$2,$AV$1,AV$2,$D$18,$D$3,$D81,$E81,$F81,AZ$3)</f>
        <v>0</v>
      </c>
      <c r="BA81" s="48">
        <f t="shared" si="30"/>
        <v>21</v>
      </c>
      <c r="BB81" s="39">
        <f>_xll.DBRW($C$2,$BB$1,BB$2,$D$18,$D$3,$D81,$E81,$F81,BB$3)</f>
        <v>0</v>
      </c>
      <c r="BC81" s="25" cm="1">
        <f t="array" ref="BC81">_xll.DBRW($E$2,BB$1,BB$2,$D$18,$D$3,$D81,$E81,$F81,$F$3,BC$3)</f>
        <v>0</v>
      </c>
      <c r="BD81" s="25">
        <f>_xll.DBRW($C$2,$BB$1,BB$2,$D$18,$D$3,$D81,$E81,$F81,BD$3)</f>
        <v>1</v>
      </c>
      <c r="BE81" s="64">
        <f>_xll.DBRW($C$2,$BB$1,BB$2,$D$18,$D$3,$D81,$E81,$F81,BE$3)</f>
        <v>0</v>
      </c>
      <c r="BF81" s="58">
        <f>_xll.DBRW($C$2,$BB$1,BB$2,$D$18,$D$3,$D81,$E81,$F81,BF$3)</f>
        <v>0</v>
      </c>
      <c r="BG81" s="48">
        <f t="shared" si="31"/>
        <v>20</v>
      </c>
      <c r="BH81" s="39">
        <f>_xll.DBRW($C$2,$BH$1,BH$2,$D$18,$D$3,$D81,$E81,$F81,BH$3)</f>
        <v>0</v>
      </c>
      <c r="BI81" s="25" cm="1">
        <f t="array" ref="BI81">_xll.DBRW($E$2,BH$1,BH$2,$D$18,$D$3,$D81,$E81,$F81,$F$3,BI$3)</f>
        <v>0</v>
      </c>
      <c r="BJ81" s="25">
        <f>_xll.DBRW($C$2,$BH$1,BH$2,$D$18,$D$3,$D81,$E81,$F81,BJ$3)</f>
        <v>1</v>
      </c>
      <c r="BK81" s="64">
        <f>_xll.DBRW($C$2,$BH$1,BH$2,$D$18,$D$3,$D81,$E81,$F81,BK$3)</f>
        <v>1</v>
      </c>
      <c r="BL81" s="58">
        <f>_xll.DBRW($C$2,$BH$1,BH$2,$D$18,$D$3,$D81,$E81,$F81,BL$3)</f>
        <v>0</v>
      </c>
      <c r="BM81" s="48">
        <f t="shared" si="32"/>
        <v>19</v>
      </c>
      <c r="BN81" s="39">
        <f>_xll.DBRW($C$2,$BN$1,BN$2,$D$18,$D$3,$D81,$E81,$F81,BN$3)</f>
        <v>0</v>
      </c>
      <c r="BO81" s="25" cm="1">
        <f t="array" ref="BO81">_xll.DBRW($E$2,BN$1,BN$2,$D$18,$D$3,$D81,$E81,$F81,$F$3,BO$3)</f>
        <v>0</v>
      </c>
      <c r="BP81" s="25">
        <f>_xll.DBRW($C$2,$BN$1,BN$2,$D$18,$D$3,$D81,$E81,$F81,BP$3)</f>
        <v>1</v>
      </c>
      <c r="BQ81" s="64">
        <f>_xll.DBRW($C$2,$BN$1,BN$2,$D$18,$D$3,$D81,$E81,$F81,BQ$3)</f>
        <v>0</v>
      </c>
      <c r="BR81" s="58">
        <f>_xll.DBRW($C$2,$BN$1,BN$2,$D$18,$D$3,$D81,$E81,$F81,BR$3)</f>
        <v>0</v>
      </c>
      <c r="BS81" s="48">
        <f t="shared" si="33"/>
        <v>18</v>
      </c>
      <c r="BT81" s="39">
        <f>_xll.DBRW($C$2,$BT$1,BT$2,$D$18,$D$3,$D81,$E81,$F81,BT$3)</f>
        <v>0</v>
      </c>
      <c r="BU81" s="25" cm="1">
        <f t="array" ref="BU81">_xll.DBRW($E$2,BT$1,BT$2,$D$18,$D$3,$D81,$E81,$F81,$F$3,BU$3)</f>
        <v>0</v>
      </c>
      <c r="BV81" s="25">
        <f>_xll.DBRW($C$2,$BT$1,BT$2,$D$18,$D$3,$D81,$E81,$F81,BV$3)</f>
        <v>1</v>
      </c>
      <c r="BW81" s="64">
        <f>_xll.DBRW($C$2,$BT$1,BT$2,$D$18,$D$3,$D81,$E81,$F81,BW$3)</f>
        <v>0</v>
      </c>
      <c r="BX81" s="58">
        <f>_xll.DBRW($C$2,$BT$1,BT$2,$D$18,$D$3,$D81,$E81,$F81,BX$3)</f>
        <v>0</v>
      </c>
      <c r="BY81" s="48">
        <f t="shared" si="34"/>
        <v>17</v>
      </c>
      <c r="BZ81" s="39">
        <f>_xll.DBRW($C$2,$BZ$1,BZ$2,$D$18,$D$3,$D81,$E81,$F81,BZ$3)</f>
        <v>0</v>
      </c>
      <c r="CA81" s="25" cm="1">
        <f t="array" ref="CA81">_xll.DBRW($E$2,BZ$1,BZ$2,$D$18,$D$3,$D81,$E81,$F81,$F$3,CA$3)</f>
        <v>0</v>
      </c>
      <c r="CB81" s="25">
        <f>_xll.DBRW($C$2,$BZ$1,BZ$2,$D$18,$D$3,$D81,$E81,$F81,CB$3)</f>
        <v>1</v>
      </c>
      <c r="CC81" s="64">
        <f>_xll.DBRW($C$2,$BZ$1,BZ$2,$D$18,$D$3,$D81,$E81,$F81,CC$3)</f>
        <v>0</v>
      </c>
      <c r="CD81" s="58">
        <f>_xll.DBRW($C$2,$BZ$1,BZ$2,$D$18,$D$3,$D81,$E81,$F81,CD$3)</f>
        <v>0</v>
      </c>
      <c r="CE81" s="48">
        <f t="shared" si="35"/>
        <v>16</v>
      </c>
    </row>
    <row r="82" spans="1:83" s="23" customFormat="1" outlineLevel="1" thickBot="1" x14ac:dyDescent="0.3">
      <c r="A82" s="91" t="str">
        <f>IF(_xll.TM1RPTELISCONSOLIDATED($F$22,$F82),IF(_xll.TM1RPTELLEV($F$22,$F82)&lt;=5,_xll.TM1RPTELLEV($F$22,$F82),"Default"),"Leaf")</f>
        <v>Leaf</v>
      </c>
      <c r="B82" s="24" t="str">
        <f>_xll.DBRW("TM1-S1_DEV:}ElementAttributes_SP_SKU",$D82,B$1)</f>
        <v>Primary</v>
      </c>
      <c r="C82" s="24" t="str">
        <f>_xll.DBRW("TM1-S1_DEV:}ElementAttributes_SP_SKU",$D82,C$1)</f>
        <v>DRESSING</v>
      </c>
      <c r="D82" s="28" t="s">
        <v>458</v>
      </c>
      <c r="E82" s="28" t="s">
        <v>227</v>
      </c>
      <c r="F82" s="28" t="s">
        <v>44</v>
      </c>
      <c r="G82" s="4">
        <f>_xll.DBRW($C$2,$G$19,G$20,$D$18,$D$3,$D82,$E82,$F82,G$3)</f>
        <v>3</v>
      </c>
      <c r="H82" s="54">
        <f t="shared" si="24"/>
        <v>0</v>
      </c>
      <c r="I82" s="4"/>
      <c r="J82" s="25">
        <f>_xll.DBRW($C$2,$J$1,J$2,$D$18,$D$3,$D82,$E82,$F82,J$3)</f>
        <v>3</v>
      </c>
      <c r="K82" s="39">
        <f>_xll.DBRW($C$2,$J$1,J$2,$D$18,$D$3,$D82,$E82,$F82,K$3)</f>
        <v>0</v>
      </c>
      <c r="L82" s="25">
        <f>_xll.DBRW($C$2,$J$1,J$2,$D$18,$D$3,$D82,$E82,$F82,L$3)</f>
        <v>0</v>
      </c>
      <c r="M82" s="25">
        <f>_xll.DBRW($C$2,$J$1,J$2,$D$18,$D$3,$D82,$E82,$F82,M$3)</f>
        <v>2</v>
      </c>
      <c r="N82" s="25">
        <f>_xll.DBRW($C$2,$J$1,J$2,$D$18,$D$3,$D82,$E82,$F82,N$3)</f>
        <v>0</v>
      </c>
      <c r="O82" s="64">
        <f>_xll.DBRW($C$2,$J$1,J$2,$D$18,$D$3,$D82,$E82,$F82,O$3)</f>
        <v>0</v>
      </c>
      <c r="P82" s="58">
        <f>_xll.DBRW($C$2,$J$1,J$2,$D$18,$D$3,$D82,$E82,$F82,P$3)</f>
        <v>0</v>
      </c>
      <c r="Q82" s="48">
        <f>_xll.DBRW($C$2,$J$1,J$2,$D$18,$D$3,$D82,$E82,$F82,Q$3)</f>
        <v>5</v>
      </c>
      <c r="R82" s="39">
        <f>_xll.DBRW($C$2,$R$1,R$2,$D$18,$D$3,$D82,$E82,$F82,R$3)</f>
        <v>0</v>
      </c>
      <c r="S82" s="25" cm="1">
        <f t="array" ref="S82">_xll.DBRW($E$2,R$1,R$2,$D$18,$D$3,$D82,$E82,$F82,$F$3,S$3)</f>
        <v>0</v>
      </c>
      <c r="T82" s="25">
        <f>_xll.DBRW($C$2,$R$1,R$2,$D$18,$D$3,$D82,$E82,$F82,T$3)</f>
        <v>0</v>
      </c>
      <c r="U82" s="64">
        <f>_xll.DBRW($C$2,$R$1,R$2,$D$18,$D$3,$D82,$E82,$F82,U$3)</f>
        <v>0</v>
      </c>
      <c r="V82" s="58">
        <f>_xll.DBRW($C$2,$R$1,R$2,$D$18,$D$3,$D82,$E82,$F82,V$3)</f>
        <v>0</v>
      </c>
      <c r="W82" s="48">
        <f t="shared" si="25"/>
        <v>5</v>
      </c>
      <c r="X82" s="39">
        <f>_xll.DBRW($C$2,$X$1,X$2,$D$18,$D$3,$D82,$E82,$F82,X$3)</f>
        <v>0</v>
      </c>
      <c r="Y82" s="25" cm="1">
        <f t="array" ref="Y82">_xll.DBRW($E$2,X$1,X$2,$D$18,$D$3,$D82,$E82,$F82,$F$3,Y$3)</f>
        <v>0</v>
      </c>
      <c r="Z82" s="25">
        <f>_xll.DBRW($C$2,$X$1,X$2,$D$18,$D$3,$D82,$E82,$F82,Z$3)</f>
        <v>2</v>
      </c>
      <c r="AA82" s="64">
        <f>_xll.DBRW($C$2,$X$1,X$2,$D$18,$D$3,$D82,$E82,$F82,AA$3)</f>
        <v>0</v>
      </c>
      <c r="AB82" s="58">
        <f>_xll.DBRW($C$2,$X$1,X$2,$D$18,$D$3,$D82,$E82,$F82,AB$3)</f>
        <v>0</v>
      </c>
      <c r="AC82" s="48">
        <f t="shared" si="26"/>
        <v>3</v>
      </c>
      <c r="AD82" s="39">
        <f>_xll.DBRW($C$2,$AD$1,AD$2,$D$18,$D$3,$D82,$E82,$F82,AD$3)</f>
        <v>0</v>
      </c>
      <c r="AE82" s="25" cm="1">
        <f t="array" ref="AE82">_xll.DBRW($E$2,AD$1,AD$2,$D$18,$D$3,$D82,$E82,$F82,$F$3,AE$3)</f>
        <v>0</v>
      </c>
      <c r="AF82" s="25">
        <f>_xll.DBRW($C$2,$AD$1,AD$2,$D$18,$D$3,$D82,$E82,$F82,AF$3)</f>
        <v>2</v>
      </c>
      <c r="AG82" s="64">
        <f>_xll.DBRW($C$2,$AD$1,AD$2,$D$18,$D$3,$D82,$E82,$F82,AG$3)</f>
        <v>0</v>
      </c>
      <c r="AH82" s="58">
        <f>_xll.DBRW($C$2,$AD$1,AD$2,$D$18,$D$3,$D82,$E82,$F82,AH$3)</f>
        <v>0</v>
      </c>
      <c r="AI82" s="48">
        <f t="shared" si="27"/>
        <v>1</v>
      </c>
      <c r="AJ82" s="39">
        <f>_xll.DBRW($C$2,$AJ$1,AJ$2,$D$18,$D$3,$D82,$E82,$F82,AJ$3)</f>
        <v>0</v>
      </c>
      <c r="AK82" s="25" cm="1">
        <f t="array" ref="AK82">_xll.DBRW($E$2,AJ$1,AJ$2,$D$18,$D$3,$D82,$E82,$F82,$F$3,AK$3)</f>
        <v>0</v>
      </c>
      <c r="AL82" s="25">
        <f>_xll.DBRW($C$2,$AJ$1,AJ$2,$D$18,$D$3,$D82,$E82,$F82,AL$3)</f>
        <v>2</v>
      </c>
      <c r="AM82" s="64">
        <f>_xll.DBRW($C$2,$AJ$1,AJ$2,$D$18,$D$3,$D82,$E82,$F82,AM$3)</f>
        <v>0</v>
      </c>
      <c r="AN82" s="58">
        <f>_xll.DBRW($C$2,$AJ$1,AJ$2,$D$18,$D$3,$D82,$E82,$F82,AN$3)</f>
        <v>0</v>
      </c>
      <c r="AO82" s="48">
        <f t="shared" si="28"/>
        <v>-1</v>
      </c>
      <c r="AP82" s="39">
        <f>_xll.DBRW($C$2,$AP$1,AP$2,$D$18,$D$3,$D82,$E82,$F82,AP$3)</f>
        <v>0</v>
      </c>
      <c r="AQ82" s="25" cm="1">
        <f t="array" ref="AQ82">_xll.DBRW($E$2,AP$1,AP$2,$D$18,$D$3,$D82,$E82,$F82,$F$3,AQ$3)</f>
        <v>0</v>
      </c>
      <c r="AR82" s="25">
        <f>_xll.DBRW($C$2,$AP$1,AP$2,$D$18,$D$3,$D82,$E82,$F82,AR$3)</f>
        <v>2</v>
      </c>
      <c r="AS82" s="64">
        <f>_xll.DBRW($C$2,$AP$1,AP$2,$D$18,$D$3,$D82,$E82,$F82,AS$3)</f>
        <v>0</v>
      </c>
      <c r="AT82" s="58">
        <f>_xll.DBRW($C$2,$AP$1,AP$2,$D$18,$D$3,$D82,$E82,$F82,AT$3)</f>
        <v>0</v>
      </c>
      <c r="AU82" s="48">
        <f t="shared" si="29"/>
        <v>-3</v>
      </c>
      <c r="AV82" s="39">
        <f>_xll.DBRW($C$2,$AV$1,AV$2,$D$18,$D$3,$D82,$E82,$F82,AV$3)</f>
        <v>0</v>
      </c>
      <c r="AW82" s="25" cm="1">
        <f t="array" ref="AW82">_xll.DBRW($E$2,AV$1,AV$2,$D$18,$D$3,$D82,$E82,$F82,$F$3,AW$3)</f>
        <v>0</v>
      </c>
      <c r="AX82" s="25">
        <f>_xll.DBRW($C$2,$AV$1,AV$2,$D$18,$D$3,$D82,$E82,$F82,AX$3)</f>
        <v>2</v>
      </c>
      <c r="AY82" s="64">
        <f>_xll.DBRW($C$2,$AV$1,AV$2,$D$18,$D$3,$D82,$E82,$F82,AY$3)</f>
        <v>0</v>
      </c>
      <c r="AZ82" s="58">
        <f>_xll.DBRW($C$2,$AV$1,AV$2,$D$18,$D$3,$D82,$E82,$F82,AZ$3)</f>
        <v>0</v>
      </c>
      <c r="BA82" s="48">
        <f t="shared" si="30"/>
        <v>-5</v>
      </c>
      <c r="BB82" s="39">
        <f>_xll.DBRW($C$2,$BB$1,BB$2,$D$18,$D$3,$D82,$E82,$F82,BB$3)</f>
        <v>0</v>
      </c>
      <c r="BC82" s="25" cm="1">
        <f t="array" ref="BC82">_xll.DBRW($E$2,BB$1,BB$2,$D$18,$D$3,$D82,$E82,$F82,$F$3,BC$3)</f>
        <v>0</v>
      </c>
      <c r="BD82" s="25">
        <f>_xll.DBRW($C$2,$BB$1,BB$2,$D$18,$D$3,$D82,$E82,$F82,BD$3)</f>
        <v>2</v>
      </c>
      <c r="BE82" s="64">
        <f>_xll.DBRW($C$2,$BB$1,BB$2,$D$18,$D$3,$D82,$E82,$F82,BE$3)</f>
        <v>0</v>
      </c>
      <c r="BF82" s="58">
        <f>_xll.DBRW($C$2,$BB$1,BB$2,$D$18,$D$3,$D82,$E82,$F82,BF$3)</f>
        <v>0</v>
      </c>
      <c r="BG82" s="48">
        <f t="shared" si="31"/>
        <v>-7</v>
      </c>
      <c r="BH82" s="39">
        <f>_xll.DBRW($C$2,$BH$1,BH$2,$D$18,$D$3,$D82,$E82,$F82,BH$3)</f>
        <v>0</v>
      </c>
      <c r="BI82" s="25" cm="1">
        <f t="array" ref="BI82">_xll.DBRW($E$2,BH$1,BH$2,$D$18,$D$3,$D82,$E82,$F82,$F$3,BI$3)</f>
        <v>0</v>
      </c>
      <c r="BJ82" s="25">
        <f>_xll.DBRW($C$2,$BH$1,BH$2,$D$18,$D$3,$D82,$E82,$F82,BJ$3)</f>
        <v>2</v>
      </c>
      <c r="BK82" s="64">
        <f>_xll.DBRW($C$2,$BH$1,BH$2,$D$18,$D$3,$D82,$E82,$F82,BK$3)</f>
        <v>0</v>
      </c>
      <c r="BL82" s="58">
        <f>_xll.DBRW($C$2,$BH$1,BH$2,$D$18,$D$3,$D82,$E82,$F82,BL$3)</f>
        <v>0</v>
      </c>
      <c r="BM82" s="48">
        <f t="shared" si="32"/>
        <v>-9</v>
      </c>
      <c r="BN82" s="39">
        <f>_xll.DBRW($C$2,$BN$1,BN$2,$D$18,$D$3,$D82,$E82,$F82,BN$3)</f>
        <v>0</v>
      </c>
      <c r="BO82" s="25" cm="1">
        <f t="array" ref="BO82">_xll.DBRW($E$2,BN$1,BN$2,$D$18,$D$3,$D82,$E82,$F82,$F$3,BO$3)</f>
        <v>0</v>
      </c>
      <c r="BP82" s="25">
        <f>_xll.DBRW($C$2,$BN$1,BN$2,$D$18,$D$3,$D82,$E82,$F82,BP$3)</f>
        <v>2</v>
      </c>
      <c r="BQ82" s="64">
        <f>_xll.DBRW($C$2,$BN$1,BN$2,$D$18,$D$3,$D82,$E82,$F82,BQ$3)</f>
        <v>0</v>
      </c>
      <c r="BR82" s="58">
        <f>_xll.DBRW($C$2,$BN$1,BN$2,$D$18,$D$3,$D82,$E82,$F82,BR$3)</f>
        <v>0</v>
      </c>
      <c r="BS82" s="48">
        <f t="shared" si="33"/>
        <v>-11</v>
      </c>
      <c r="BT82" s="39">
        <f>_xll.DBRW($C$2,$BT$1,BT$2,$D$18,$D$3,$D82,$E82,$F82,BT$3)</f>
        <v>0</v>
      </c>
      <c r="BU82" s="25" cm="1">
        <f t="array" ref="BU82">_xll.DBRW($E$2,BT$1,BT$2,$D$18,$D$3,$D82,$E82,$F82,$F$3,BU$3)</f>
        <v>0</v>
      </c>
      <c r="BV82" s="25">
        <f>_xll.DBRW($C$2,$BT$1,BT$2,$D$18,$D$3,$D82,$E82,$F82,BV$3)</f>
        <v>2</v>
      </c>
      <c r="BW82" s="64">
        <f>_xll.DBRW($C$2,$BT$1,BT$2,$D$18,$D$3,$D82,$E82,$F82,BW$3)</f>
        <v>0</v>
      </c>
      <c r="BX82" s="58">
        <f>_xll.DBRW($C$2,$BT$1,BT$2,$D$18,$D$3,$D82,$E82,$F82,BX$3)</f>
        <v>0</v>
      </c>
      <c r="BY82" s="48">
        <f t="shared" si="34"/>
        <v>-13</v>
      </c>
      <c r="BZ82" s="39">
        <f>_xll.DBRW($C$2,$BZ$1,BZ$2,$D$18,$D$3,$D82,$E82,$F82,BZ$3)</f>
        <v>0</v>
      </c>
      <c r="CA82" s="25" cm="1">
        <f t="array" ref="CA82">_xll.DBRW($E$2,BZ$1,BZ$2,$D$18,$D$3,$D82,$E82,$F82,$F$3,CA$3)</f>
        <v>0</v>
      </c>
      <c r="CB82" s="25">
        <f>_xll.DBRW($C$2,$BZ$1,BZ$2,$D$18,$D$3,$D82,$E82,$F82,CB$3)</f>
        <v>2</v>
      </c>
      <c r="CC82" s="64">
        <f>_xll.DBRW($C$2,$BZ$1,BZ$2,$D$18,$D$3,$D82,$E82,$F82,CC$3)</f>
        <v>0</v>
      </c>
      <c r="CD82" s="58">
        <f>_xll.DBRW($C$2,$BZ$1,BZ$2,$D$18,$D$3,$D82,$E82,$F82,CD$3)</f>
        <v>0</v>
      </c>
      <c r="CE82" s="48">
        <f t="shared" si="35"/>
        <v>-15</v>
      </c>
    </row>
    <row r="83" spans="1:83" s="23" customFormat="1" outlineLevel="1" thickBot="1" x14ac:dyDescent="0.3">
      <c r="A83" s="91" t="str">
        <f>IF(_xll.TM1RPTELISCONSOLIDATED($F$22,$F83),IF(_xll.TM1RPTELLEV($F$22,$F83)&lt;=5,_xll.TM1RPTELLEV($F$22,$F83),"Default"),"Leaf")</f>
        <v>Leaf</v>
      </c>
      <c r="B83" s="24" t="str">
        <f>_xll.DBRW("TM1-S1_DEV:}ElementAttributes_SP_SKU",$D83,B$1)</f>
        <v>Primary</v>
      </c>
      <c r="C83" s="24" t="str">
        <f>_xll.DBRW("TM1-S1_DEV:}ElementAttributes_SP_SKU",$D83,C$1)</f>
        <v>DRESSING</v>
      </c>
      <c r="D83" s="28" t="s">
        <v>489</v>
      </c>
      <c r="E83" s="28" t="s">
        <v>228</v>
      </c>
      <c r="F83" s="28" t="s">
        <v>152</v>
      </c>
      <c r="G83" s="4">
        <f>_xll.DBRW($C$2,$G$19,G$20,$D$18,$D$3,$D83,$E83,$F83,G$3)</f>
        <v>10</v>
      </c>
      <c r="H83" s="54">
        <f t="shared" si="24"/>
        <v>3</v>
      </c>
      <c r="I83" s="4"/>
      <c r="J83" s="25">
        <f>_xll.DBRW($C$2,$J$1,J$2,$D$18,$D$3,$D83,$E83,$F83,J$3)</f>
        <v>13</v>
      </c>
      <c r="K83" s="39">
        <f>_xll.DBRW($C$2,$J$1,J$2,$D$18,$D$3,$D83,$E83,$F83,K$3)</f>
        <v>0</v>
      </c>
      <c r="L83" s="25">
        <f>_xll.DBRW($C$2,$J$1,J$2,$D$18,$D$3,$D83,$E83,$F83,L$3)</f>
        <v>0</v>
      </c>
      <c r="M83" s="25">
        <f>_xll.DBRW($C$2,$J$1,J$2,$D$18,$D$3,$D83,$E83,$F83,M$3)</f>
        <v>0</v>
      </c>
      <c r="N83" s="25">
        <f>_xll.DBRW($C$2,$J$1,J$2,$D$18,$D$3,$D83,$E83,$F83,N$3)</f>
        <v>0</v>
      </c>
      <c r="O83" s="64">
        <f>_xll.DBRW($C$2,$J$1,J$2,$D$18,$D$3,$D83,$E83,$F83,O$3)</f>
        <v>0</v>
      </c>
      <c r="P83" s="58">
        <f>_xll.DBRW($C$2,$J$1,J$2,$D$18,$D$3,$D83,$E83,$F83,P$3)</f>
        <v>0</v>
      </c>
      <c r="Q83" s="48">
        <f>_xll.DBRW($C$2,$J$1,J$2,$D$18,$D$3,$D83,$E83,$F83,Q$3)</f>
        <v>13</v>
      </c>
      <c r="R83" s="39">
        <f>_xll.DBRW($C$2,$R$1,R$2,$D$18,$D$3,$D83,$E83,$F83,R$3)</f>
        <v>0</v>
      </c>
      <c r="S83" s="25" cm="1">
        <f t="array" ref="S83">_xll.DBRW($E$2,R$1,R$2,$D$18,$D$3,$D83,$E83,$F83,$F$3,S$3)</f>
        <v>0</v>
      </c>
      <c r="T83" s="25">
        <f>_xll.DBRW($C$2,$R$1,R$2,$D$18,$D$3,$D83,$E83,$F83,T$3)</f>
        <v>0</v>
      </c>
      <c r="U83" s="64">
        <f>_xll.DBRW($C$2,$R$1,R$2,$D$18,$D$3,$D83,$E83,$F83,U$3)</f>
        <v>0</v>
      </c>
      <c r="V83" s="58">
        <f>_xll.DBRW($C$2,$R$1,R$2,$D$18,$D$3,$D83,$E83,$F83,V$3)</f>
        <v>0</v>
      </c>
      <c r="W83" s="48">
        <f t="shared" si="25"/>
        <v>13</v>
      </c>
      <c r="X83" s="39">
        <f>_xll.DBRW($C$2,$X$1,X$2,$D$18,$D$3,$D83,$E83,$F83,X$3)</f>
        <v>0</v>
      </c>
      <c r="Y83" s="25" cm="1">
        <f t="array" ref="Y83">_xll.DBRW($E$2,X$1,X$2,$D$18,$D$3,$D83,$E83,$F83,$F$3,Y$3)</f>
        <v>0</v>
      </c>
      <c r="Z83" s="25">
        <f>_xll.DBRW($C$2,$X$1,X$2,$D$18,$D$3,$D83,$E83,$F83,Z$3)</f>
        <v>1</v>
      </c>
      <c r="AA83" s="64">
        <f>_xll.DBRW($C$2,$X$1,X$2,$D$18,$D$3,$D83,$E83,$F83,AA$3)</f>
        <v>0</v>
      </c>
      <c r="AB83" s="58">
        <f>_xll.DBRW($C$2,$X$1,X$2,$D$18,$D$3,$D83,$E83,$F83,AB$3)</f>
        <v>0</v>
      </c>
      <c r="AC83" s="48">
        <f t="shared" si="26"/>
        <v>12</v>
      </c>
      <c r="AD83" s="39">
        <f>_xll.DBRW($C$2,$AD$1,AD$2,$D$18,$D$3,$D83,$E83,$F83,AD$3)</f>
        <v>0</v>
      </c>
      <c r="AE83" s="25" cm="1">
        <f t="array" ref="AE83">_xll.DBRW($E$2,AD$1,AD$2,$D$18,$D$3,$D83,$E83,$F83,$F$3,AE$3)</f>
        <v>0</v>
      </c>
      <c r="AF83" s="25">
        <f>_xll.DBRW($C$2,$AD$1,AD$2,$D$18,$D$3,$D83,$E83,$F83,AF$3)</f>
        <v>1</v>
      </c>
      <c r="AG83" s="64">
        <f>_xll.DBRW($C$2,$AD$1,AD$2,$D$18,$D$3,$D83,$E83,$F83,AG$3)</f>
        <v>0</v>
      </c>
      <c r="AH83" s="58">
        <f>_xll.DBRW($C$2,$AD$1,AD$2,$D$18,$D$3,$D83,$E83,$F83,AH$3)</f>
        <v>0</v>
      </c>
      <c r="AI83" s="48">
        <f t="shared" si="27"/>
        <v>11</v>
      </c>
      <c r="AJ83" s="39">
        <f>_xll.DBRW($C$2,$AJ$1,AJ$2,$D$18,$D$3,$D83,$E83,$F83,AJ$3)</f>
        <v>0</v>
      </c>
      <c r="AK83" s="25" cm="1">
        <f t="array" ref="AK83">_xll.DBRW($E$2,AJ$1,AJ$2,$D$18,$D$3,$D83,$E83,$F83,$F$3,AK$3)</f>
        <v>0</v>
      </c>
      <c r="AL83" s="25">
        <f>_xll.DBRW($C$2,$AJ$1,AJ$2,$D$18,$D$3,$D83,$E83,$F83,AL$3)</f>
        <v>1</v>
      </c>
      <c r="AM83" s="64">
        <f>_xll.DBRW($C$2,$AJ$1,AJ$2,$D$18,$D$3,$D83,$E83,$F83,AM$3)</f>
        <v>0</v>
      </c>
      <c r="AN83" s="58">
        <f>_xll.DBRW($C$2,$AJ$1,AJ$2,$D$18,$D$3,$D83,$E83,$F83,AN$3)</f>
        <v>0</v>
      </c>
      <c r="AO83" s="48">
        <f t="shared" si="28"/>
        <v>10</v>
      </c>
      <c r="AP83" s="39">
        <f>_xll.DBRW($C$2,$AP$1,AP$2,$D$18,$D$3,$D83,$E83,$F83,AP$3)</f>
        <v>0</v>
      </c>
      <c r="AQ83" s="25" cm="1">
        <f t="array" ref="AQ83">_xll.DBRW($E$2,AP$1,AP$2,$D$18,$D$3,$D83,$E83,$F83,$F$3,AQ$3)</f>
        <v>0</v>
      </c>
      <c r="AR83" s="25">
        <f>_xll.DBRW($C$2,$AP$1,AP$2,$D$18,$D$3,$D83,$E83,$F83,AR$3)</f>
        <v>1</v>
      </c>
      <c r="AS83" s="64">
        <f>_xll.DBRW($C$2,$AP$1,AP$2,$D$18,$D$3,$D83,$E83,$F83,AS$3)</f>
        <v>0</v>
      </c>
      <c r="AT83" s="58">
        <f>_xll.DBRW($C$2,$AP$1,AP$2,$D$18,$D$3,$D83,$E83,$F83,AT$3)</f>
        <v>0</v>
      </c>
      <c r="AU83" s="48">
        <f t="shared" si="29"/>
        <v>9</v>
      </c>
      <c r="AV83" s="39">
        <f>_xll.DBRW($C$2,$AV$1,AV$2,$D$18,$D$3,$D83,$E83,$F83,AV$3)</f>
        <v>0</v>
      </c>
      <c r="AW83" s="25" cm="1">
        <f t="array" ref="AW83">_xll.DBRW($E$2,AV$1,AV$2,$D$18,$D$3,$D83,$E83,$F83,$F$3,AW$3)</f>
        <v>0</v>
      </c>
      <c r="AX83" s="25">
        <f>_xll.DBRW($C$2,$AV$1,AV$2,$D$18,$D$3,$D83,$E83,$F83,AX$3)</f>
        <v>1</v>
      </c>
      <c r="AY83" s="64">
        <f>_xll.DBRW($C$2,$AV$1,AV$2,$D$18,$D$3,$D83,$E83,$F83,AY$3)</f>
        <v>1</v>
      </c>
      <c r="AZ83" s="58">
        <f>_xll.DBRW($C$2,$AV$1,AV$2,$D$18,$D$3,$D83,$E83,$F83,AZ$3)</f>
        <v>0</v>
      </c>
      <c r="BA83" s="48">
        <f t="shared" si="30"/>
        <v>8</v>
      </c>
      <c r="BB83" s="39">
        <f>_xll.DBRW($C$2,$BB$1,BB$2,$D$18,$D$3,$D83,$E83,$F83,BB$3)</f>
        <v>0</v>
      </c>
      <c r="BC83" s="25" cm="1">
        <f t="array" ref="BC83">_xll.DBRW($E$2,BB$1,BB$2,$D$18,$D$3,$D83,$E83,$F83,$F$3,BC$3)</f>
        <v>0</v>
      </c>
      <c r="BD83" s="25">
        <f>_xll.DBRW($C$2,$BB$1,BB$2,$D$18,$D$3,$D83,$E83,$F83,BD$3)</f>
        <v>1</v>
      </c>
      <c r="BE83" s="64">
        <f>_xll.DBRW($C$2,$BB$1,BB$2,$D$18,$D$3,$D83,$E83,$F83,BE$3)</f>
        <v>0</v>
      </c>
      <c r="BF83" s="58">
        <f>_xll.DBRW($C$2,$BB$1,BB$2,$D$18,$D$3,$D83,$E83,$F83,BF$3)</f>
        <v>0</v>
      </c>
      <c r="BG83" s="48">
        <f t="shared" si="31"/>
        <v>7</v>
      </c>
      <c r="BH83" s="39">
        <f>_xll.DBRW($C$2,$BH$1,BH$2,$D$18,$D$3,$D83,$E83,$F83,BH$3)</f>
        <v>0</v>
      </c>
      <c r="BI83" s="25" cm="1">
        <f t="array" ref="BI83">_xll.DBRW($E$2,BH$1,BH$2,$D$18,$D$3,$D83,$E83,$F83,$F$3,BI$3)</f>
        <v>0</v>
      </c>
      <c r="BJ83" s="25">
        <f>_xll.DBRW($C$2,$BH$1,BH$2,$D$18,$D$3,$D83,$E83,$F83,BJ$3)</f>
        <v>1</v>
      </c>
      <c r="BK83" s="64">
        <f>_xll.DBRW($C$2,$BH$1,BH$2,$D$18,$D$3,$D83,$E83,$F83,BK$3)</f>
        <v>0</v>
      </c>
      <c r="BL83" s="58">
        <f>_xll.DBRW($C$2,$BH$1,BH$2,$D$18,$D$3,$D83,$E83,$F83,BL$3)</f>
        <v>0</v>
      </c>
      <c r="BM83" s="48">
        <f t="shared" si="32"/>
        <v>6</v>
      </c>
      <c r="BN83" s="39">
        <f>_xll.DBRW($C$2,$BN$1,BN$2,$D$18,$D$3,$D83,$E83,$F83,BN$3)</f>
        <v>0</v>
      </c>
      <c r="BO83" s="25" cm="1">
        <f t="array" ref="BO83">_xll.DBRW($E$2,BN$1,BN$2,$D$18,$D$3,$D83,$E83,$F83,$F$3,BO$3)</f>
        <v>0</v>
      </c>
      <c r="BP83" s="25">
        <f>_xll.DBRW($C$2,$BN$1,BN$2,$D$18,$D$3,$D83,$E83,$F83,BP$3)</f>
        <v>1</v>
      </c>
      <c r="BQ83" s="64">
        <f>_xll.DBRW($C$2,$BN$1,BN$2,$D$18,$D$3,$D83,$E83,$F83,BQ$3)</f>
        <v>0</v>
      </c>
      <c r="BR83" s="58">
        <f>_xll.DBRW($C$2,$BN$1,BN$2,$D$18,$D$3,$D83,$E83,$F83,BR$3)</f>
        <v>0</v>
      </c>
      <c r="BS83" s="48">
        <f t="shared" si="33"/>
        <v>5</v>
      </c>
      <c r="BT83" s="39">
        <f>_xll.DBRW($C$2,$BT$1,BT$2,$D$18,$D$3,$D83,$E83,$F83,BT$3)</f>
        <v>0</v>
      </c>
      <c r="BU83" s="25" cm="1">
        <f t="array" ref="BU83">_xll.DBRW($E$2,BT$1,BT$2,$D$18,$D$3,$D83,$E83,$F83,$F$3,BU$3)</f>
        <v>0</v>
      </c>
      <c r="BV83" s="25">
        <f>_xll.DBRW($C$2,$BT$1,BT$2,$D$18,$D$3,$D83,$E83,$F83,BV$3)</f>
        <v>1</v>
      </c>
      <c r="BW83" s="64">
        <f>_xll.DBRW($C$2,$BT$1,BT$2,$D$18,$D$3,$D83,$E83,$F83,BW$3)</f>
        <v>0</v>
      </c>
      <c r="BX83" s="58">
        <f>_xll.DBRW($C$2,$BT$1,BT$2,$D$18,$D$3,$D83,$E83,$F83,BX$3)</f>
        <v>0</v>
      </c>
      <c r="BY83" s="48">
        <f t="shared" si="34"/>
        <v>4</v>
      </c>
      <c r="BZ83" s="39">
        <f>_xll.DBRW($C$2,$BZ$1,BZ$2,$D$18,$D$3,$D83,$E83,$F83,BZ$3)</f>
        <v>0</v>
      </c>
      <c r="CA83" s="25" cm="1">
        <f t="array" ref="CA83">_xll.DBRW($E$2,BZ$1,BZ$2,$D$18,$D$3,$D83,$E83,$F83,$F$3,CA$3)</f>
        <v>0</v>
      </c>
      <c r="CB83" s="25">
        <f>_xll.DBRW($C$2,$BZ$1,BZ$2,$D$18,$D$3,$D83,$E83,$F83,CB$3)</f>
        <v>1</v>
      </c>
      <c r="CC83" s="64">
        <f>_xll.DBRW($C$2,$BZ$1,BZ$2,$D$18,$D$3,$D83,$E83,$F83,CC$3)</f>
        <v>0</v>
      </c>
      <c r="CD83" s="58">
        <f>_xll.DBRW($C$2,$BZ$1,BZ$2,$D$18,$D$3,$D83,$E83,$F83,CD$3)</f>
        <v>0</v>
      </c>
      <c r="CE83" s="48">
        <f t="shared" si="35"/>
        <v>3</v>
      </c>
    </row>
    <row r="84" spans="1:83" s="23" customFormat="1" outlineLevel="1" thickBot="1" x14ac:dyDescent="0.3">
      <c r="A84" s="91" t="str">
        <f>IF(_xll.TM1RPTELISCONSOLIDATED($F$22,$F84),IF(_xll.TM1RPTELLEV($F$22,$F84)&lt;=5,_xll.TM1RPTELLEV($F$22,$F84),"Default"),"Leaf")</f>
        <v>Leaf</v>
      </c>
      <c r="B84" s="24" t="str">
        <f>_xll.DBRW("TM1-S1_DEV:}ElementAttributes_SP_SKU",$D84,B$1)</f>
        <v>Primary</v>
      </c>
      <c r="C84" s="24" t="str">
        <f>_xll.DBRW("TM1-S1_DEV:}ElementAttributes_SP_SKU",$D84,C$1)</f>
        <v>CONDIMENT</v>
      </c>
      <c r="D84" s="28" t="s">
        <v>490</v>
      </c>
      <c r="E84" s="28" t="s">
        <v>229</v>
      </c>
      <c r="F84" s="28" t="s">
        <v>44</v>
      </c>
      <c r="G84" s="4">
        <f>_xll.DBRW($C$2,$G$19,G$20,$D$18,$D$3,$D84,$E84,$F84,G$3)</f>
        <v>8</v>
      </c>
      <c r="H84" s="54">
        <f t="shared" si="24"/>
        <v>0</v>
      </c>
      <c r="I84" s="4"/>
      <c r="J84" s="25">
        <f>_xll.DBRW($C$2,$J$1,J$2,$D$18,$D$3,$D84,$E84,$F84,J$3)</f>
        <v>8</v>
      </c>
      <c r="K84" s="39">
        <f>_xll.DBRW($C$2,$J$1,J$2,$D$18,$D$3,$D84,$E84,$F84,K$3)</f>
        <v>0</v>
      </c>
      <c r="L84" s="25">
        <f>_xll.DBRW($C$2,$J$1,J$2,$D$18,$D$3,$D84,$E84,$F84,L$3)</f>
        <v>0</v>
      </c>
      <c r="M84" s="25">
        <f>_xll.DBRW($C$2,$J$1,J$2,$D$18,$D$3,$D84,$E84,$F84,M$3)</f>
        <v>0</v>
      </c>
      <c r="N84" s="25">
        <f>_xll.DBRW($C$2,$J$1,J$2,$D$18,$D$3,$D84,$E84,$F84,N$3)</f>
        <v>0</v>
      </c>
      <c r="O84" s="64">
        <f>_xll.DBRW($C$2,$J$1,J$2,$D$18,$D$3,$D84,$E84,$F84,O$3)</f>
        <v>0</v>
      </c>
      <c r="P84" s="58">
        <f>_xll.DBRW($C$2,$J$1,J$2,$D$18,$D$3,$D84,$E84,$F84,P$3)</f>
        <v>0</v>
      </c>
      <c r="Q84" s="48">
        <f>_xll.DBRW($C$2,$J$1,J$2,$D$18,$D$3,$D84,$E84,$F84,Q$3)</f>
        <v>8</v>
      </c>
      <c r="R84" s="39">
        <f>_xll.DBRW($C$2,$R$1,R$2,$D$18,$D$3,$D84,$E84,$F84,R$3)</f>
        <v>0</v>
      </c>
      <c r="S84" s="25" cm="1">
        <f t="array" ref="S84">_xll.DBRW($E$2,R$1,R$2,$D$18,$D$3,$D84,$E84,$F84,$F$3,S$3)</f>
        <v>0</v>
      </c>
      <c r="T84" s="25">
        <f>_xll.DBRW($C$2,$R$1,R$2,$D$18,$D$3,$D84,$E84,$F84,T$3)</f>
        <v>0</v>
      </c>
      <c r="U84" s="64">
        <f>_xll.DBRW($C$2,$R$1,R$2,$D$18,$D$3,$D84,$E84,$F84,U$3)</f>
        <v>0</v>
      </c>
      <c r="V84" s="58">
        <f>_xll.DBRW($C$2,$R$1,R$2,$D$18,$D$3,$D84,$E84,$F84,V$3)</f>
        <v>0</v>
      </c>
      <c r="W84" s="48">
        <f t="shared" si="25"/>
        <v>8</v>
      </c>
      <c r="X84" s="39">
        <f>_xll.DBRW($C$2,$X$1,X$2,$D$18,$D$3,$D84,$E84,$F84,X$3)</f>
        <v>0</v>
      </c>
      <c r="Y84" s="25" cm="1">
        <f t="array" ref="Y84">_xll.DBRW($E$2,X$1,X$2,$D$18,$D$3,$D84,$E84,$F84,$F$3,Y$3)</f>
        <v>0</v>
      </c>
      <c r="Z84" s="25">
        <f>_xll.DBRW($C$2,$X$1,X$2,$D$18,$D$3,$D84,$E84,$F84,Z$3)</f>
        <v>0</v>
      </c>
      <c r="AA84" s="64">
        <f>_xll.DBRW($C$2,$X$1,X$2,$D$18,$D$3,$D84,$E84,$F84,AA$3)</f>
        <v>0</v>
      </c>
      <c r="AB84" s="58">
        <f>_xll.DBRW($C$2,$X$1,X$2,$D$18,$D$3,$D84,$E84,$F84,AB$3)</f>
        <v>0</v>
      </c>
      <c r="AC84" s="48">
        <f t="shared" si="26"/>
        <v>8</v>
      </c>
      <c r="AD84" s="39">
        <f>_xll.DBRW($C$2,$AD$1,AD$2,$D$18,$D$3,$D84,$E84,$F84,AD$3)</f>
        <v>0</v>
      </c>
      <c r="AE84" s="25" cm="1">
        <f t="array" ref="AE84">_xll.DBRW($E$2,AD$1,AD$2,$D$18,$D$3,$D84,$E84,$F84,$F$3,AE$3)</f>
        <v>0</v>
      </c>
      <c r="AF84" s="25">
        <f>_xll.DBRW($C$2,$AD$1,AD$2,$D$18,$D$3,$D84,$E84,$F84,AF$3)</f>
        <v>0</v>
      </c>
      <c r="AG84" s="64">
        <f>_xll.DBRW($C$2,$AD$1,AD$2,$D$18,$D$3,$D84,$E84,$F84,AG$3)</f>
        <v>0</v>
      </c>
      <c r="AH84" s="58">
        <f>_xll.DBRW($C$2,$AD$1,AD$2,$D$18,$D$3,$D84,$E84,$F84,AH$3)</f>
        <v>0</v>
      </c>
      <c r="AI84" s="48">
        <f t="shared" si="27"/>
        <v>8</v>
      </c>
      <c r="AJ84" s="39">
        <f>_xll.DBRW($C$2,$AJ$1,AJ$2,$D$18,$D$3,$D84,$E84,$F84,AJ$3)</f>
        <v>0</v>
      </c>
      <c r="AK84" s="25" cm="1">
        <f t="array" ref="AK84">_xll.DBRW($E$2,AJ$1,AJ$2,$D$18,$D$3,$D84,$E84,$F84,$F$3,AK$3)</f>
        <v>0</v>
      </c>
      <c r="AL84" s="25">
        <f>_xll.DBRW($C$2,$AJ$1,AJ$2,$D$18,$D$3,$D84,$E84,$F84,AL$3)</f>
        <v>0</v>
      </c>
      <c r="AM84" s="64">
        <f>_xll.DBRW($C$2,$AJ$1,AJ$2,$D$18,$D$3,$D84,$E84,$F84,AM$3)</f>
        <v>0</v>
      </c>
      <c r="AN84" s="58">
        <f>_xll.DBRW($C$2,$AJ$1,AJ$2,$D$18,$D$3,$D84,$E84,$F84,AN$3)</f>
        <v>0</v>
      </c>
      <c r="AO84" s="48">
        <f t="shared" si="28"/>
        <v>8</v>
      </c>
      <c r="AP84" s="39">
        <f>_xll.DBRW($C$2,$AP$1,AP$2,$D$18,$D$3,$D84,$E84,$F84,AP$3)</f>
        <v>0</v>
      </c>
      <c r="AQ84" s="25" cm="1">
        <f t="array" ref="AQ84">_xll.DBRW($E$2,AP$1,AP$2,$D$18,$D$3,$D84,$E84,$F84,$F$3,AQ$3)</f>
        <v>0</v>
      </c>
      <c r="AR84" s="25">
        <f>_xll.DBRW($C$2,$AP$1,AP$2,$D$18,$D$3,$D84,$E84,$F84,AR$3)</f>
        <v>0</v>
      </c>
      <c r="AS84" s="64">
        <f>_xll.DBRW($C$2,$AP$1,AP$2,$D$18,$D$3,$D84,$E84,$F84,AS$3)</f>
        <v>0</v>
      </c>
      <c r="AT84" s="58">
        <f>_xll.DBRW($C$2,$AP$1,AP$2,$D$18,$D$3,$D84,$E84,$F84,AT$3)</f>
        <v>0</v>
      </c>
      <c r="AU84" s="48">
        <f t="shared" si="29"/>
        <v>8</v>
      </c>
      <c r="AV84" s="39">
        <f>_xll.DBRW($C$2,$AV$1,AV$2,$D$18,$D$3,$D84,$E84,$F84,AV$3)</f>
        <v>0</v>
      </c>
      <c r="AW84" s="25" cm="1">
        <f t="array" ref="AW84">_xll.DBRW($E$2,AV$1,AV$2,$D$18,$D$3,$D84,$E84,$F84,$F$3,AW$3)</f>
        <v>0</v>
      </c>
      <c r="AX84" s="25">
        <f>_xll.DBRW($C$2,$AV$1,AV$2,$D$18,$D$3,$D84,$E84,$F84,AX$3)</f>
        <v>0</v>
      </c>
      <c r="AY84" s="64">
        <f>_xll.DBRW($C$2,$AV$1,AV$2,$D$18,$D$3,$D84,$E84,$F84,AY$3)</f>
        <v>0</v>
      </c>
      <c r="AZ84" s="58">
        <f>_xll.DBRW($C$2,$AV$1,AV$2,$D$18,$D$3,$D84,$E84,$F84,AZ$3)</f>
        <v>0</v>
      </c>
      <c r="BA84" s="48">
        <f t="shared" si="30"/>
        <v>8</v>
      </c>
      <c r="BB84" s="39">
        <f>_xll.DBRW($C$2,$BB$1,BB$2,$D$18,$D$3,$D84,$E84,$F84,BB$3)</f>
        <v>0</v>
      </c>
      <c r="BC84" s="25" cm="1">
        <f t="array" ref="BC84">_xll.DBRW($E$2,BB$1,BB$2,$D$18,$D$3,$D84,$E84,$F84,$F$3,BC$3)</f>
        <v>0</v>
      </c>
      <c r="BD84" s="25">
        <f>_xll.DBRW($C$2,$BB$1,BB$2,$D$18,$D$3,$D84,$E84,$F84,BD$3)</f>
        <v>0</v>
      </c>
      <c r="BE84" s="64">
        <f>_xll.DBRW($C$2,$BB$1,BB$2,$D$18,$D$3,$D84,$E84,$F84,BE$3)</f>
        <v>0</v>
      </c>
      <c r="BF84" s="58">
        <f>_xll.DBRW($C$2,$BB$1,BB$2,$D$18,$D$3,$D84,$E84,$F84,BF$3)</f>
        <v>0</v>
      </c>
      <c r="BG84" s="48">
        <f t="shared" si="31"/>
        <v>8</v>
      </c>
      <c r="BH84" s="39">
        <f>_xll.DBRW($C$2,$BH$1,BH$2,$D$18,$D$3,$D84,$E84,$F84,BH$3)</f>
        <v>0</v>
      </c>
      <c r="BI84" s="25" cm="1">
        <f t="array" ref="BI84">_xll.DBRW($E$2,BH$1,BH$2,$D$18,$D$3,$D84,$E84,$F84,$F$3,BI$3)</f>
        <v>0</v>
      </c>
      <c r="BJ84" s="25">
        <f>_xll.DBRW($C$2,$BH$1,BH$2,$D$18,$D$3,$D84,$E84,$F84,BJ$3)</f>
        <v>0</v>
      </c>
      <c r="BK84" s="64">
        <f>_xll.DBRW($C$2,$BH$1,BH$2,$D$18,$D$3,$D84,$E84,$F84,BK$3)</f>
        <v>0</v>
      </c>
      <c r="BL84" s="58">
        <f>_xll.DBRW($C$2,$BH$1,BH$2,$D$18,$D$3,$D84,$E84,$F84,BL$3)</f>
        <v>0</v>
      </c>
      <c r="BM84" s="48">
        <f t="shared" si="32"/>
        <v>8</v>
      </c>
      <c r="BN84" s="39">
        <f>_xll.DBRW($C$2,$BN$1,BN$2,$D$18,$D$3,$D84,$E84,$F84,BN$3)</f>
        <v>0</v>
      </c>
      <c r="BO84" s="25" cm="1">
        <f t="array" ref="BO84">_xll.DBRW($E$2,BN$1,BN$2,$D$18,$D$3,$D84,$E84,$F84,$F$3,BO$3)</f>
        <v>0</v>
      </c>
      <c r="BP84" s="25">
        <f>_xll.DBRW($C$2,$BN$1,BN$2,$D$18,$D$3,$D84,$E84,$F84,BP$3)</f>
        <v>0</v>
      </c>
      <c r="BQ84" s="64">
        <f>_xll.DBRW($C$2,$BN$1,BN$2,$D$18,$D$3,$D84,$E84,$F84,BQ$3)</f>
        <v>0</v>
      </c>
      <c r="BR84" s="58">
        <f>_xll.DBRW($C$2,$BN$1,BN$2,$D$18,$D$3,$D84,$E84,$F84,BR$3)</f>
        <v>0</v>
      </c>
      <c r="BS84" s="48">
        <f t="shared" si="33"/>
        <v>8</v>
      </c>
      <c r="BT84" s="39">
        <f>_xll.DBRW($C$2,$BT$1,BT$2,$D$18,$D$3,$D84,$E84,$F84,BT$3)</f>
        <v>0</v>
      </c>
      <c r="BU84" s="25" cm="1">
        <f t="array" ref="BU84">_xll.DBRW($E$2,BT$1,BT$2,$D$18,$D$3,$D84,$E84,$F84,$F$3,BU$3)</f>
        <v>0</v>
      </c>
      <c r="BV84" s="25">
        <f>_xll.DBRW($C$2,$BT$1,BT$2,$D$18,$D$3,$D84,$E84,$F84,BV$3)</f>
        <v>0</v>
      </c>
      <c r="BW84" s="64">
        <f>_xll.DBRW($C$2,$BT$1,BT$2,$D$18,$D$3,$D84,$E84,$F84,BW$3)</f>
        <v>0</v>
      </c>
      <c r="BX84" s="58">
        <f>_xll.DBRW($C$2,$BT$1,BT$2,$D$18,$D$3,$D84,$E84,$F84,BX$3)</f>
        <v>0</v>
      </c>
      <c r="BY84" s="48">
        <f t="shared" si="34"/>
        <v>8</v>
      </c>
      <c r="BZ84" s="39">
        <f>_xll.DBRW($C$2,$BZ$1,BZ$2,$D$18,$D$3,$D84,$E84,$F84,BZ$3)</f>
        <v>0</v>
      </c>
      <c r="CA84" s="25" cm="1">
        <f t="array" ref="CA84">_xll.DBRW($E$2,BZ$1,BZ$2,$D$18,$D$3,$D84,$E84,$F84,$F$3,CA$3)</f>
        <v>0</v>
      </c>
      <c r="CB84" s="25">
        <f>_xll.DBRW($C$2,$BZ$1,BZ$2,$D$18,$D$3,$D84,$E84,$F84,CB$3)</f>
        <v>0</v>
      </c>
      <c r="CC84" s="64">
        <f>_xll.DBRW($C$2,$BZ$1,BZ$2,$D$18,$D$3,$D84,$E84,$F84,CC$3)</f>
        <v>0</v>
      </c>
      <c r="CD84" s="58">
        <f>_xll.DBRW($C$2,$BZ$1,BZ$2,$D$18,$D$3,$D84,$E84,$F84,CD$3)</f>
        <v>0</v>
      </c>
      <c r="CE84" s="48">
        <f t="shared" si="35"/>
        <v>8</v>
      </c>
    </row>
    <row r="85" spans="1:83" s="23" customFormat="1" outlineLevel="1" thickBot="1" x14ac:dyDescent="0.3">
      <c r="A85" s="91" t="str">
        <f>IF(_xll.TM1RPTELISCONSOLIDATED($F$22,$F85),IF(_xll.TM1RPTELLEV($F$22,$F85)&lt;=5,_xll.TM1RPTELLEV($F$22,$F85),"Default"),"Leaf")</f>
        <v>Leaf</v>
      </c>
      <c r="B85" s="24" t="str">
        <f>_xll.DBRW("TM1-S1_DEV:}ElementAttributes_SP_SKU",$D85,B$1)</f>
        <v>Primary</v>
      </c>
      <c r="C85" s="24" t="str">
        <f>_xll.DBRW("TM1-S1_DEV:}ElementAttributes_SP_SKU",$D85,C$1)</f>
        <v>BREAD</v>
      </c>
      <c r="D85" s="28" t="s">
        <v>401</v>
      </c>
      <c r="E85" s="28" t="s">
        <v>143</v>
      </c>
      <c r="F85" s="28" t="s">
        <v>61</v>
      </c>
      <c r="G85" s="4">
        <f>_xll.DBRW($C$2,$G$19,G$20,$D$18,$D$3,$D85,$E85,$F85,G$3)</f>
        <v>23</v>
      </c>
      <c r="H85" s="54">
        <f t="shared" si="24"/>
        <v>8</v>
      </c>
      <c r="I85" s="4"/>
      <c r="J85" s="25">
        <f>_xll.DBRW($C$2,$J$1,J$2,$D$18,$D$3,$D85,$E85,$F85,J$3)</f>
        <v>31</v>
      </c>
      <c r="K85" s="39">
        <f>_xll.DBRW($C$2,$J$1,J$2,$D$18,$D$3,$D85,$E85,$F85,K$3)</f>
        <v>0</v>
      </c>
      <c r="L85" s="25">
        <f>_xll.DBRW($C$2,$J$1,J$2,$D$18,$D$3,$D85,$E85,$F85,L$3)</f>
        <v>0</v>
      </c>
      <c r="M85" s="25">
        <f>_xll.DBRW($C$2,$J$1,J$2,$D$18,$D$3,$D85,$E85,$F85,M$3)</f>
        <v>0</v>
      </c>
      <c r="N85" s="25">
        <f>_xll.DBRW($C$2,$J$1,J$2,$D$18,$D$3,$D85,$E85,$F85,N$3)</f>
        <v>13</v>
      </c>
      <c r="O85" s="64">
        <f>_xll.DBRW($C$2,$J$1,J$2,$D$18,$D$3,$D85,$E85,$F85,O$3)</f>
        <v>1</v>
      </c>
      <c r="P85" s="58">
        <f>_xll.DBRW($C$2,$J$1,J$2,$D$18,$D$3,$D85,$E85,$F85,P$3)</f>
        <v>0</v>
      </c>
      <c r="Q85" s="48">
        <f>_xll.DBRW($C$2,$J$1,J$2,$D$18,$D$3,$D85,$E85,$F85,Q$3)</f>
        <v>18</v>
      </c>
      <c r="R85" s="39">
        <f>_xll.DBRW($C$2,$R$1,R$2,$D$18,$D$3,$D85,$E85,$F85,R$3)</f>
        <v>0</v>
      </c>
      <c r="S85" s="25" cm="1">
        <f t="array" ref="S85">_xll.DBRW($E$2,R$1,R$2,$D$18,$D$3,$D85,$E85,$F85,$F$3,S$3)</f>
        <v>0</v>
      </c>
      <c r="T85" s="25">
        <f>_xll.DBRW($C$2,$R$1,R$2,$D$18,$D$3,$D85,$E85,$F85,T$3)</f>
        <v>0</v>
      </c>
      <c r="U85" s="64">
        <f>_xll.DBRW($C$2,$R$1,R$2,$D$18,$D$3,$D85,$E85,$F85,U$3)</f>
        <v>0</v>
      </c>
      <c r="V85" s="58">
        <f>_xll.DBRW($C$2,$R$1,R$2,$D$18,$D$3,$D85,$E85,$F85,V$3)</f>
        <v>0</v>
      </c>
      <c r="W85" s="48">
        <f t="shared" si="25"/>
        <v>18</v>
      </c>
      <c r="X85" s="39">
        <f>_xll.DBRW($C$2,$X$1,X$2,$D$18,$D$3,$D85,$E85,$F85,X$3)</f>
        <v>0</v>
      </c>
      <c r="Y85" s="25" cm="1">
        <f t="array" ref="Y85">_xll.DBRW($E$2,X$1,X$2,$D$18,$D$3,$D85,$E85,$F85,$F$3,Y$3)</f>
        <v>0</v>
      </c>
      <c r="Z85" s="25">
        <f>_xll.DBRW($C$2,$X$1,X$2,$D$18,$D$3,$D85,$E85,$F85,Z$3)</f>
        <v>21</v>
      </c>
      <c r="AA85" s="64">
        <f>_xll.DBRW($C$2,$X$1,X$2,$D$18,$D$3,$D85,$E85,$F85,AA$3)</f>
        <v>0</v>
      </c>
      <c r="AB85" s="58">
        <f>_xll.DBRW($C$2,$X$1,X$2,$D$18,$D$3,$D85,$E85,$F85,AB$3)</f>
        <v>0</v>
      </c>
      <c r="AC85" s="48">
        <f t="shared" si="26"/>
        <v>-3</v>
      </c>
      <c r="AD85" s="39">
        <f>_xll.DBRW($C$2,$AD$1,AD$2,$D$18,$D$3,$D85,$E85,$F85,AD$3)</f>
        <v>0</v>
      </c>
      <c r="AE85" s="25" cm="1">
        <f t="array" ref="AE85">_xll.DBRW($E$2,AD$1,AD$2,$D$18,$D$3,$D85,$E85,$F85,$F$3,AE$3)</f>
        <v>0</v>
      </c>
      <c r="AF85" s="25">
        <f>_xll.DBRW($C$2,$AD$1,AD$2,$D$18,$D$3,$D85,$E85,$F85,AF$3)</f>
        <v>21</v>
      </c>
      <c r="AG85" s="64">
        <f>_xll.DBRW($C$2,$AD$1,AD$2,$D$18,$D$3,$D85,$E85,$F85,AG$3)</f>
        <v>0</v>
      </c>
      <c r="AH85" s="58">
        <f>_xll.DBRW($C$2,$AD$1,AD$2,$D$18,$D$3,$D85,$E85,$F85,AH$3)</f>
        <v>0</v>
      </c>
      <c r="AI85" s="48">
        <f t="shared" si="27"/>
        <v>-24</v>
      </c>
      <c r="AJ85" s="39">
        <f>_xll.DBRW($C$2,$AJ$1,AJ$2,$D$18,$D$3,$D85,$E85,$F85,AJ$3)</f>
        <v>0</v>
      </c>
      <c r="AK85" s="25" cm="1">
        <f t="array" ref="AK85">_xll.DBRW($E$2,AJ$1,AJ$2,$D$18,$D$3,$D85,$E85,$F85,$F$3,AK$3)</f>
        <v>0</v>
      </c>
      <c r="AL85" s="25">
        <f>_xll.DBRW($C$2,$AJ$1,AJ$2,$D$18,$D$3,$D85,$E85,$F85,AL$3)</f>
        <v>21</v>
      </c>
      <c r="AM85" s="64">
        <f>_xll.DBRW($C$2,$AJ$1,AJ$2,$D$18,$D$3,$D85,$E85,$F85,AM$3)</f>
        <v>0</v>
      </c>
      <c r="AN85" s="58">
        <f>_xll.DBRW($C$2,$AJ$1,AJ$2,$D$18,$D$3,$D85,$E85,$F85,AN$3)</f>
        <v>0</v>
      </c>
      <c r="AO85" s="48">
        <f t="shared" si="28"/>
        <v>-45</v>
      </c>
      <c r="AP85" s="39">
        <f>_xll.DBRW($C$2,$AP$1,AP$2,$D$18,$D$3,$D85,$E85,$F85,AP$3)</f>
        <v>0</v>
      </c>
      <c r="AQ85" s="25" cm="1">
        <f t="array" ref="AQ85">_xll.DBRW($E$2,AP$1,AP$2,$D$18,$D$3,$D85,$E85,$F85,$F$3,AQ$3)</f>
        <v>0</v>
      </c>
      <c r="AR85" s="25">
        <f>_xll.DBRW($C$2,$AP$1,AP$2,$D$18,$D$3,$D85,$E85,$F85,AR$3)</f>
        <v>21</v>
      </c>
      <c r="AS85" s="64">
        <f>_xll.DBRW($C$2,$AP$1,AP$2,$D$18,$D$3,$D85,$E85,$F85,AS$3)</f>
        <v>0</v>
      </c>
      <c r="AT85" s="58">
        <f>_xll.DBRW($C$2,$AP$1,AP$2,$D$18,$D$3,$D85,$E85,$F85,AT$3)</f>
        <v>0</v>
      </c>
      <c r="AU85" s="48">
        <f t="shared" si="29"/>
        <v>-66</v>
      </c>
      <c r="AV85" s="39">
        <f>_xll.DBRW($C$2,$AV$1,AV$2,$D$18,$D$3,$D85,$E85,$F85,AV$3)</f>
        <v>0</v>
      </c>
      <c r="AW85" s="25" cm="1">
        <f t="array" ref="AW85">_xll.DBRW($E$2,AV$1,AV$2,$D$18,$D$3,$D85,$E85,$F85,$F$3,AW$3)</f>
        <v>0</v>
      </c>
      <c r="AX85" s="25">
        <f>_xll.DBRW($C$2,$AV$1,AV$2,$D$18,$D$3,$D85,$E85,$F85,AX$3)</f>
        <v>21</v>
      </c>
      <c r="AY85" s="64">
        <f>_xll.DBRW($C$2,$AV$1,AV$2,$D$18,$D$3,$D85,$E85,$F85,AY$3)</f>
        <v>0</v>
      </c>
      <c r="AZ85" s="58">
        <f>_xll.DBRW($C$2,$AV$1,AV$2,$D$18,$D$3,$D85,$E85,$F85,AZ$3)</f>
        <v>0</v>
      </c>
      <c r="BA85" s="48">
        <f t="shared" si="30"/>
        <v>-87</v>
      </c>
      <c r="BB85" s="39">
        <f>_xll.DBRW($C$2,$BB$1,BB$2,$D$18,$D$3,$D85,$E85,$F85,BB$3)</f>
        <v>0</v>
      </c>
      <c r="BC85" s="25" cm="1">
        <f t="array" ref="BC85">_xll.DBRW($E$2,BB$1,BB$2,$D$18,$D$3,$D85,$E85,$F85,$F$3,BC$3)</f>
        <v>0</v>
      </c>
      <c r="BD85" s="25">
        <f>_xll.DBRW($C$2,$BB$1,BB$2,$D$18,$D$3,$D85,$E85,$F85,BD$3)</f>
        <v>21</v>
      </c>
      <c r="BE85" s="64">
        <f>_xll.DBRW($C$2,$BB$1,BB$2,$D$18,$D$3,$D85,$E85,$F85,BE$3)</f>
        <v>0</v>
      </c>
      <c r="BF85" s="58">
        <f>_xll.DBRW($C$2,$BB$1,BB$2,$D$18,$D$3,$D85,$E85,$F85,BF$3)</f>
        <v>0</v>
      </c>
      <c r="BG85" s="48">
        <f t="shared" si="31"/>
        <v>-108</v>
      </c>
      <c r="BH85" s="39">
        <f>_xll.DBRW($C$2,$BH$1,BH$2,$D$18,$D$3,$D85,$E85,$F85,BH$3)</f>
        <v>0</v>
      </c>
      <c r="BI85" s="25" cm="1">
        <f t="array" ref="BI85">_xll.DBRW($E$2,BH$1,BH$2,$D$18,$D$3,$D85,$E85,$F85,$F$3,BI$3)</f>
        <v>0</v>
      </c>
      <c r="BJ85" s="25">
        <f>_xll.DBRW($C$2,$BH$1,BH$2,$D$18,$D$3,$D85,$E85,$F85,BJ$3)</f>
        <v>21</v>
      </c>
      <c r="BK85" s="64">
        <f>_xll.DBRW($C$2,$BH$1,BH$2,$D$18,$D$3,$D85,$E85,$F85,BK$3)</f>
        <v>0</v>
      </c>
      <c r="BL85" s="58">
        <f>_xll.DBRW($C$2,$BH$1,BH$2,$D$18,$D$3,$D85,$E85,$F85,BL$3)</f>
        <v>0</v>
      </c>
      <c r="BM85" s="48">
        <f t="shared" si="32"/>
        <v>-129</v>
      </c>
      <c r="BN85" s="39">
        <f>_xll.DBRW($C$2,$BN$1,BN$2,$D$18,$D$3,$D85,$E85,$F85,BN$3)</f>
        <v>0</v>
      </c>
      <c r="BO85" s="25" cm="1">
        <f t="array" ref="BO85">_xll.DBRW($E$2,BN$1,BN$2,$D$18,$D$3,$D85,$E85,$F85,$F$3,BO$3)</f>
        <v>0</v>
      </c>
      <c r="BP85" s="25">
        <f>_xll.DBRW($C$2,$BN$1,BN$2,$D$18,$D$3,$D85,$E85,$F85,BP$3)</f>
        <v>21</v>
      </c>
      <c r="BQ85" s="64">
        <f>_xll.DBRW($C$2,$BN$1,BN$2,$D$18,$D$3,$D85,$E85,$F85,BQ$3)</f>
        <v>0</v>
      </c>
      <c r="BR85" s="58">
        <f>_xll.DBRW($C$2,$BN$1,BN$2,$D$18,$D$3,$D85,$E85,$F85,BR$3)</f>
        <v>0</v>
      </c>
      <c r="BS85" s="48">
        <f t="shared" si="33"/>
        <v>-150</v>
      </c>
      <c r="BT85" s="39">
        <f>_xll.DBRW($C$2,$BT$1,BT$2,$D$18,$D$3,$D85,$E85,$F85,BT$3)</f>
        <v>0</v>
      </c>
      <c r="BU85" s="25" cm="1">
        <f t="array" ref="BU85">_xll.DBRW($E$2,BT$1,BT$2,$D$18,$D$3,$D85,$E85,$F85,$F$3,BU$3)</f>
        <v>0</v>
      </c>
      <c r="BV85" s="25">
        <f>_xll.DBRW($C$2,$BT$1,BT$2,$D$18,$D$3,$D85,$E85,$F85,BV$3)</f>
        <v>21</v>
      </c>
      <c r="BW85" s="64">
        <f>_xll.DBRW($C$2,$BT$1,BT$2,$D$18,$D$3,$D85,$E85,$F85,BW$3)</f>
        <v>0</v>
      </c>
      <c r="BX85" s="58">
        <f>_xll.DBRW($C$2,$BT$1,BT$2,$D$18,$D$3,$D85,$E85,$F85,BX$3)</f>
        <v>0</v>
      </c>
      <c r="BY85" s="48">
        <f t="shared" si="34"/>
        <v>-171</v>
      </c>
      <c r="BZ85" s="39">
        <f>_xll.DBRW($C$2,$BZ$1,BZ$2,$D$18,$D$3,$D85,$E85,$F85,BZ$3)</f>
        <v>0</v>
      </c>
      <c r="CA85" s="25" cm="1">
        <f t="array" ref="CA85">_xll.DBRW($E$2,BZ$1,BZ$2,$D$18,$D$3,$D85,$E85,$F85,$F$3,CA$3)</f>
        <v>0</v>
      </c>
      <c r="CB85" s="25">
        <f>_xll.DBRW($C$2,$BZ$1,BZ$2,$D$18,$D$3,$D85,$E85,$F85,CB$3)</f>
        <v>21</v>
      </c>
      <c r="CC85" s="64">
        <f>_xll.DBRW($C$2,$BZ$1,BZ$2,$D$18,$D$3,$D85,$E85,$F85,CC$3)</f>
        <v>0</v>
      </c>
      <c r="CD85" s="58">
        <f>_xll.DBRW($C$2,$BZ$1,BZ$2,$D$18,$D$3,$D85,$E85,$F85,CD$3)</f>
        <v>0</v>
      </c>
      <c r="CE85" s="48">
        <f t="shared" si="35"/>
        <v>-192</v>
      </c>
    </row>
    <row r="86" spans="1:83" s="23" customFormat="1" outlineLevel="1" thickBot="1" x14ac:dyDescent="0.3">
      <c r="A86" s="91" t="str">
        <f>IF(_xll.TM1RPTELISCONSOLIDATED($F$22,$F86),IF(_xll.TM1RPTELLEV($F$22,$F86)&lt;=5,_xll.TM1RPTELLEV($F$22,$F86),"Default"),"Leaf")</f>
        <v>Leaf</v>
      </c>
      <c r="B86" s="24" t="str">
        <f>_xll.DBRW("TM1-S1_DEV:}ElementAttributes_SP_SKU",$D86,B$1)</f>
        <v>Primary</v>
      </c>
      <c r="C86" s="24" t="str">
        <f>_xll.DBRW("TM1-S1_DEV:}ElementAttributes_SP_SKU",$D86,C$1)</f>
        <v>BREAD</v>
      </c>
      <c r="D86" s="28" t="s">
        <v>402</v>
      </c>
      <c r="E86" s="28" t="s">
        <v>116</v>
      </c>
      <c r="F86" s="28" t="s">
        <v>61</v>
      </c>
      <c r="G86" s="4">
        <f>_xll.DBRW($C$2,$G$19,G$20,$D$18,$D$3,$D86,$E86,$F86,G$3)</f>
        <v>78</v>
      </c>
      <c r="H86" s="54">
        <f t="shared" si="24"/>
        <v>18</v>
      </c>
      <c r="I86" s="4"/>
      <c r="J86" s="25">
        <f>_xll.DBRW($C$2,$J$1,J$2,$D$18,$D$3,$D86,$E86,$F86,J$3)</f>
        <v>96</v>
      </c>
      <c r="K86" s="39">
        <f>_xll.DBRW($C$2,$J$1,J$2,$D$18,$D$3,$D86,$E86,$F86,K$3)</f>
        <v>0</v>
      </c>
      <c r="L86" s="25">
        <f>_xll.DBRW($C$2,$J$1,J$2,$D$18,$D$3,$D86,$E86,$F86,L$3)</f>
        <v>0</v>
      </c>
      <c r="M86" s="25">
        <f>_xll.DBRW($C$2,$J$1,J$2,$D$18,$D$3,$D86,$E86,$F86,M$3)</f>
        <v>0</v>
      </c>
      <c r="N86" s="25">
        <f>_xll.DBRW($C$2,$J$1,J$2,$D$18,$D$3,$D86,$E86,$F86,N$3)</f>
        <v>19</v>
      </c>
      <c r="O86" s="64">
        <f>_xll.DBRW($C$2,$J$1,J$2,$D$18,$D$3,$D86,$E86,$F86,O$3)</f>
        <v>1</v>
      </c>
      <c r="P86" s="58">
        <f>_xll.DBRW($C$2,$J$1,J$2,$D$18,$D$3,$D86,$E86,$F86,P$3)</f>
        <v>0</v>
      </c>
      <c r="Q86" s="48">
        <f>_xll.DBRW($C$2,$J$1,J$2,$D$18,$D$3,$D86,$E86,$F86,Q$3)</f>
        <v>77</v>
      </c>
      <c r="R86" s="39">
        <f>_xll.DBRW($C$2,$R$1,R$2,$D$18,$D$3,$D86,$E86,$F86,R$3)</f>
        <v>0</v>
      </c>
      <c r="S86" s="25" cm="1">
        <f t="array" ref="S86">_xll.DBRW($E$2,R$1,R$2,$D$18,$D$3,$D86,$E86,$F86,$F$3,S$3)</f>
        <v>0</v>
      </c>
      <c r="T86" s="25">
        <f>_xll.DBRW($C$2,$R$1,R$2,$D$18,$D$3,$D86,$E86,$F86,T$3)</f>
        <v>0</v>
      </c>
      <c r="U86" s="64">
        <f>_xll.DBRW($C$2,$R$1,R$2,$D$18,$D$3,$D86,$E86,$F86,U$3)</f>
        <v>0</v>
      </c>
      <c r="V86" s="58">
        <f>_xll.DBRW($C$2,$R$1,R$2,$D$18,$D$3,$D86,$E86,$F86,V$3)</f>
        <v>0</v>
      </c>
      <c r="W86" s="48">
        <f t="shared" si="25"/>
        <v>77</v>
      </c>
      <c r="X86" s="39">
        <f>_xll.DBRW($C$2,$X$1,X$2,$D$18,$D$3,$D86,$E86,$F86,X$3)</f>
        <v>0</v>
      </c>
      <c r="Y86" s="25" cm="1">
        <f t="array" ref="Y86">_xll.DBRW($E$2,X$1,X$2,$D$18,$D$3,$D86,$E86,$F86,$F$3,Y$3)</f>
        <v>0</v>
      </c>
      <c r="Z86" s="25">
        <f>_xll.DBRW($C$2,$X$1,X$2,$D$18,$D$3,$D86,$E86,$F86,Z$3)</f>
        <v>27</v>
      </c>
      <c r="AA86" s="64">
        <f>_xll.DBRW($C$2,$X$1,X$2,$D$18,$D$3,$D86,$E86,$F86,AA$3)</f>
        <v>0</v>
      </c>
      <c r="AB86" s="58">
        <f>_xll.DBRW($C$2,$X$1,X$2,$D$18,$D$3,$D86,$E86,$F86,AB$3)</f>
        <v>0</v>
      </c>
      <c r="AC86" s="48">
        <f t="shared" si="26"/>
        <v>50</v>
      </c>
      <c r="AD86" s="39">
        <f>_xll.DBRW($C$2,$AD$1,AD$2,$D$18,$D$3,$D86,$E86,$F86,AD$3)</f>
        <v>0</v>
      </c>
      <c r="AE86" s="25" cm="1">
        <f t="array" ref="AE86">_xll.DBRW($E$2,AD$1,AD$2,$D$18,$D$3,$D86,$E86,$F86,$F$3,AE$3)</f>
        <v>0</v>
      </c>
      <c r="AF86" s="25">
        <f>_xll.DBRW($C$2,$AD$1,AD$2,$D$18,$D$3,$D86,$E86,$F86,AF$3)</f>
        <v>27</v>
      </c>
      <c r="AG86" s="64">
        <f>_xll.DBRW($C$2,$AD$1,AD$2,$D$18,$D$3,$D86,$E86,$F86,AG$3)</f>
        <v>0</v>
      </c>
      <c r="AH86" s="58">
        <f>_xll.DBRW($C$2,$AD$1,AD$2,$D$18,$D$3,$D86,$E86,$F86,AH$3)</f>
        <v>0</v>
      </c>
      <c r="AI86" s="48">
        <f t="shared" si="27"/>
        <v>23</v>
      </c>
      <c r="AJ86" s="39">
        <f>_xll.DBRW($C$2,$AJ$1,AJ$2,$D$18,$D$3,$D86,$E86,$F86,AJ$3)</f>
        <v>0</v>
      </c>
      <c r="AK86" s="25" cm="1">
        <f t="array" ref="AK86">_xll.DBRW($E$2,AJ$1,AJ$2,$D$18,$D$3,$D86,$E86,$F86,$F$3,AK$3)</f>
        <v>0</v>
      </c>
      <c r="AL86" s="25">
        <f>_xll.DBRW($C$2,$AJ$1,AJ$2,$D$18,$D$3,$D86,$E86,$F86,AL$3)</f>
        <v>27</v>
      </c>
      <c r="AM86" s="64">
        <f>_xll.DBRW($C$2,$AJ$1,AJ$2,$D$18,$D$3,$D86,$E86,$F86,AM$3)</f>
        <v>0</v>
      </c>
      <c r="AN86" s="58">
        <f>_xll.DBRW($C$2,$AJ$1,AJ$2,$D$18,$D$3,$D86,$E86,$F86,AN$3)</f>
        <v>0</v>
      </c>
      <c r="AO86" s="48">
        <f t="shared" si="28"/>
        <v>-4</v>
      </c>
      <c r="AP86" s="39">
        <f>_xll.DBRW($C$2,$AP$1,AP$2,$D$18,$D$3,$D86,$E86,$F86,AP$3)</f>
        <v>0</v>
      </c>
      <c r="AQ86" s="25" cm="1">
        <f t="array" ref="AQ86">_xll.DBRW($E$2,AP$1,AP$2,$D$18,$D$3,$D86,$E86,$F86,$F$3,AQ$3)</f>
        <v>0</v>
      </c>
      <c r="AR86" s="25">
        <f>_xll.DBRW($C$2,$AP$1,AP$2,$D$18,$D$3,$D86,$E86,$F86,AR$3)</f>
        <v>27</v>
      </c>
      <c r="AS86" s="64">
        <f>_xll.DBRW($C$2,$AP$1,AP$2,$D$18,$D$3,$D86,$E86,$F86,AS$3)</f>
        <v>0</v>
      </c>
      <c r="AT86" s="58">
        <f>_xll.DBRW($C$2,$AP$1,AP$2,$D$18,$D$3,$D86,$E86,$F86,AT$3)</f>
        <v>0</v>
      </c>
      <c r="AU86" s="48">
        <f t="shared" si="29"/>
        <v>-31</v>
      </c>
      <c r="AV86" s="39">
        <f>_xll.DBRW($C$2,$AV$1,AV$2,$D$18,$D$3,$D86,$E86,$F86,AV$3)</f>
        <v>0</v>
      </c>
      <c r="AW86" s="25" cm="1">
        <f t="array" ref="AW86">_xll.DBRW($E$2,AV$1,AV$2,$D$18,$D$3,$D86,$E86,$F86,$F$3,AW$3)</f>
        <v>0</v>
      </c>
      <c r="AX86" s="25">
        <f>_xll.DBRW($C$2,$AV$1,AV$2,$D$18,$D$3,$D86,$E86,$F86,AX$3)</f>
        <v>27</v>
      </c>
      <c r="AY86" s="64">
        <f>_xll.DBRW($C$2,$AV$1,AV$2,$D$18,$D$3,$D86,$E86,$F86,AY$3)</f>
        <v>0</v>
      </c>
      <c r="AZ86" s="58">
        <f>_xll.DBRW($C$2,$AV$1,AV$2,$D$18,$D$3,$D86,$E86,$F86,AZ$3)</f>
        <v>0</v>
      </c>
      <c r="BA86" s="48">
        <f t="shared" si="30"/>
        <v>-58</v>
      </c>
      <c r="BB86" s="39">
        <f>_xll.DBRW($C$2,$BB$1,BB$2,$D$18,$D$3,$D86,$E86,$F86,BB$3)</f>
        <v>0</v>
      </c>
      <c r="BC86" s="25" cm="1">
        <f t="array" ref="BC86">_xll.DBRW($E$2,BB$1,BB$2,$D$18,$D$3,$D86,$E86,$F86,$F$3,BC$3)</f>
        <v>0</v>
      </c>
      <c r="BD86" s="25">
        <f>_xll.DBRW($C$2,$BB$1,BB$2,$D$18,$D$3,$D86,$E86,$F86,BD$3)</f>
        <v>27</v>
      </c>
      <c r="BE86" s="64">
        <f>_xll.DBRW($C$2,$BB$1,BB$2,$D$18,$D$3,$D86,$E86,$F86,BE$3)</f>
        <v>0</v>
      </c>
      <c r="BF86" s="58">
        <f>_xll.DBRW($C$2,$BB$1,BB$2,$D$18,$D$3,$D86,$E86,$F86,BF$3)</f>
        <v>0</v>
      </c>
      <c r="BG86" s="48">
        <f t="shared" si="31"/>
        <v>-85</v>
      </c>
      <c r="BH86" s="39">
        <f>_xll.DBRW($C$2,$BH$1,BH$2,$D$18,$D$3,$D86,$E86,$F86,BH$3)</f>
        <v>0</v>
      </c>
      <c r="BI86" s="25" cm="1">
        <f t="array" ref="BI86">_xll.DBRW($E$2,BH$1,BH$2,$D$18,$D$3,$D86,$E86,$F86,$F$3,BI$3)</f>
        <v>0</v>
      </c>
      <c r="BJ86" s="25">
        <f>_xll.DBRW($C$2,$BH$1,BH$2,$D$18,$D$3,$D86,$E86,$F86,BJ$3)</f>
        <v>27</v>
      </c>
      <c r="BK86" s="64">
        <f>_xll.DBRW($C$2,$BH$1,BH$2,$D$18,$D$3,$D86,$E86,$F86,BK$3)</f>
        <v>0</v>
      </c>
      <c r="BL86" s="58">
        <f>_xll.DBRW($C$2,$BH$1,BH$2,$D$18,$D$3,$D86,$E86,$F86,BL$3)</f>
        <v>0</v>
      </c>
      <c r="BM86" s="48">
        <f t="shared" si="32"/>
        <v>-112</v>
      </c>
      <c r="BN86" s="39">
        <f>_xll.DBRW($C$2,$BN$1,BN$2,$D$18,$D$3,$D86,$E86,$F86,BN$3)</f>
        <v>0</v>
      </c>
      <c r="BO86" s="25" cm="1">
        <f t="array" ref="BO86">_xll.DBRW($E$2,BN$1,BN$2,$D$18,$D$3,$D86,$E86,$F86,$F$3,BO$3)</f>
        <v>0</v>
      </c>
      <c r="BP86" s="25">
        <f>_xll.DBRW($C$2,$BN$1,BN$2,$D$18,$D$3,$D86,$E86,$F86,BP$3)</f>
        <v>27</v>
      </c>
      <c r="BQ86" s="64">
        <f>_xll.DBRW($C$2,$BN$1,BN$2,$D$18,$D$3,$D86,$E86,$F86,BQ$3)</f>
        <v>0</v>
      </c>
      <c r="BR86" s="58">
        <f>_xll.DBRW($C$2,$BN$1,BN$2,$D$18,$D$3,$D86,$E86,$F86,BR$3)</f>
        <v>0</v>
      </c>
      <c r="BS86" s="48">
        <f t="shared" si="33"/>
        <v>-139</v>
      </c>
      <c r="BT86" s="39">
        <f>_xll.DBRW($C$2,$BT$1,BT$2,$D$18,$D$3,$D86,$E86,$F86,BT$3)</f>
        <v>0</v>
      </c>
      <c r="BU86" s="25" cm="1">
        <f t="array" ref="BU86">_xll.DBRW($E$2,BT$1,BT$2,$D$18,$D$3,$D86,$E86,$F86,$F$3,BU$3)</f>
        <v>0</v>
      </c>
      <c r="BV86" s="25">
        <f>_xll.DBRW($C$2,$BT$1,BT$2,$D$18,$D$3,$D86,$E86,$F86,BV$3)</f>
        <v>27</v>
      </c>
      <c r="BW86" s="64">
        <f>_xll.DBRW($C$2,$BT$1,BT$2,$D$18,$D$3,$D86,$E86,$F86,BW$3)</f>
        <v>0</v>
      </c>
      <c r="BX86" s="58">
        <f>_xll.DBRW($C$2,$BT$1,BT$2,$D$18,$D$3,$D86,$E86,$F86,BX$3)</f>
        <v>0</v>
      </c>
      <c r="BY86" s="48">
        <f t="shared" si="34"/>
        <v>-166</v>
      </c>
      <c r="BZ86" s="39">
        <f>_xll.DBRW($C$2,$BZ$1,BZ$2,$D$18,$D$3,$D86,$E86,$F86,BZ$3)</f>
        <v>0</v>
      </c>
      <c r="CA86" s="25" cm="1">
        <f t="array" ref="CA86">_xll.DBRW($E$2,BZ$1,BZ$2,$D$18,$D$3,$D86,$E86,$F86,$F$3,CA$3)</f>
        <v>0</v>
      </c>
      <c r="CB86" s="25">
        <f>_xll.DBRW($C$2,$BZ$1,BZ$2,$D$18,$D$3,$D86,$E86,$F86,CB$3)</f>
        <v>27</v>
      </c>
      <c r="CC86" s="64">
        <f>_xll.DBRW($C$2,$BZ$1,BZ$2,$D$18,$D$3,$D86,$E86,$F86,CC$3)</f>
        <v>0</v>
      </c>
      <c r="CD86" s="58">
        <f>_xll.DBRW($C$2,$BZ$1,BZ$2,$D$18,$D$3,$D86,$E86,$F86,CD$3)</f>
        <v>0</v>
      </c>
      <c r="CE86" s="48">
        <f t="shared" si="35"/>
        <v>-193</v>
      </c>
    </row>
    <row r="87" spans="1:83" s="23" customFormat="1" outlineLevel="1" thickBot="1" x14ac:dyDescent="0.3">
      <c r="A87" s="91" t="str">
        <f>IF(_xll.TM1RPTELISCONSOLIDATED($F$22,$F87),IF(_xll.TM1RPTELLEV($F$22,$F87)&lt;=5,_xll.TM1RPTELLEV($F$22,$F87),"Default"),"Leaf")</f>
        <v>Leaf</v>
      </c>
      <c r="B87" s="24" t="str">
        <f>_xll.DBRW("TM1-S1_DEV:}ElementAttributes_SP_SKU",$D87,B$1)</f>
        <v>Primary</v>
      </c>
      <c r="C87" s="24" t="str">
        <f>_xll.DBRW("TM1-S1_DEV:}ElementAttributes_SP_SKU",$D87,C$1)</f>
        <v>BREAD</v>
      </c>
      <c r="D87" s="28" t="s">
        <v>403</v>
      </c>
      <c r="E87" s="28" t="s">
        <v>230</v>
      </c>
      <c r="F87" s="28" t="s">
        <v>50</v>
      </c>
      <c r="G87" s="4">
        <f>_xll.DBRW($C$2,$G$19,G$20,$D$18,$D$3,$D87,$E87,$F87,G$3)</f>
        <v>155</v>
      </c>
      <c r="H87" s="54">
        <f t="shared" ref="H87:H150" si="36">J87-G87</f>
        <v>26</v>
      </c>
      <c r="I87" s="4"/>
      <c r="J87" s="25">
        <f>_xll.DBRW($C$2,$J$1,J$2,$D$18,$D$3,$D87,$E87,$F87,J$3)</f>
        <v>181</v>
      </c>
      <c r="K87" s="39">
        <f>_xll.DBRW($C$2,$J$1,J$2,$D$18,$D$3,$D87,$E87,$F87,K$3)</f>
        <v>0</v>
      </c>
      <c r="L87" s="25">
        <f>_xll.DBRW($C$2,$J$1,J$2,$D$18,$D$3,$D87,$E87,$F87,L$3)</f>
        <v>0</v>
      </c>
      <c r="M87" s="25">
        <f>_xll.DBRW($C$2,$J$1,J$2,$D$18,$D$3,$D87,$E87,$F87,M$3)</f>
        <v>0</v>
      </c>
      <c r="N87" s="25">
        <f>_xll.DBRW($C$2,$J$1,J$2,$D$18,$D$3,$D87,$E87,$F87,N$3)</f>
        <v>66</v>
      </c>
      <c r="O87" s="64">
        <f>_xll.DBRW($C$2,$J$1,J$2,$D$18,$D$3,$D87,$E87,$F87,O$3)</f>
        <v>1</v>
      </c>
      <c r="P87" s="58">
        <f>_xll.DBRW($C$2,$J$1,J$2,$D$18,$D$3,$D87,$E87,$F87,P$3)</f>
        <v>0</v>
      </c>
      <c r="Q87" s="48">
        <f>_xll.DBRW($C$2,$J$1,J$2,$D$18,$D$3,$D87,$E87,$F87,Q$3)</f>
        <v>115</v>
      </c>
      <c r="R87" s="39">
        <f>_xll.DBRW($C$2,$R$1,R$2,$D$18,$D$3,$D87,$E87,$F87,R$3)</f>
        <v>0</v>
      </c>
      <c r="S87" s="25" cm="1">
        <f t="array" ref="S87">_xll.DBRW($E$2,R$1,R$2,$D$18,$D$3,$D87,$E87,$F87,$F$3,S$3)</f>
        <v>0</v>
      </c>
      <c r="T87" s="25">
        <f>_xll.DBRW($C$2,$R$1,R$2,$D$18,$D$3,$D87,$E87,$F87,T$3)</f>
        <v>0</v>
      </c>
      <c r="U87" s="64">
        <f>_xll.DBRW($C$2,$R$1,R$2,$D$18,$D$3,$D87,$E87,$F87,U$3)</f>
        <v>0</v>
      </c>
      <c r="V87" s="58">
        <f>_xll.DBRW($C$2,$R$1,R$2,$D$18,$D$3,$D87,$E87,$F87,V$3)</f>
        <v>0</v>
      </c>
      <c r="W87" s="48">
        <f t="shared" ref="W87:W150" si="37">Q87+R87+S87-T87+V87</f>
        <v>115</v>
      </c>
      <c r="X87" s="39">
        <f>_xll.DBRW($C$2,$X$1,X$2,$D$18,$D$3,$D87,$E87,$F87,X$3)</f>
        <v>0</v>
      </c>
      <c r="Y87" s="25" cm="1">
        <f t="array" ref="Y87">_xll.DBRW($E$2,X$1,X$2,$D$18,$D$3,$D87,$E87,$F87,$F$3,Y$3)</f>
        <v>0</v>
      </c>
      <c r="Z87" s="25">
        <f>_xll.DBRW($C$2,$X$1,X$2,$D$18,$D$3,$D87,$E87,$F87,Z$3)</f>
        <v>15</v>
      </c>
      <c r="AA87" s="64">
        <f>_xll.DBRW($C$2,$X$1,X$2,$D$18,$D$3,$D87,$E87,$F87,AA$3)</f>
        <v>0</v>
      </c>
      <c r="AB87" s="58">
        <f>_xll.DBRW($C$2,$X$1,X$2,$D$18,$D$3,$D87,$E87,$F87,AB$3)</f>
        <v>0</v>
      </c>
      <c r="AC87" s="48">
        <f t="shared" ref="AC87:AC150" si="38">W87+X87+Y87-Z87+AB87</f>
        <v>100</v>
      </c>
      <c r="AD87" s="39">
        <f>_xll.DBRW($C$2,$AD$1,AD$2,$D$18,$D$3,$D87,$E87,$F87,AD$3)</f>
        <v>0</v>
      </c>
      <c r="AE87" s="25" cm="1">
        <f t="array" ref="AE87">_xll.DBRW($E$2,AD$1,AD$2,$D$18,$D$3,$D87,$E87,$F87,$F$3,AE$3)</f>
        <v>0</v>
      </c>
      <c r="AF87" s="25">
        <f>_xll.DBRW($C$2,$AD$1,AD$2,$D$18,$D$3,$D87,$E87,$F87,AF$3)</f>
        <v>15</v>
      </c>
      <c r="AG87" s="64">
        <f>_xll.DBRW($C$2,$AD$1,AD$2,$D$18,$D$3,$D87,$E87,$F87,AG$3)</f>
        <v>0</v>
      </c>
      <c r="AH87" s="58">
        <f>_xll.DBRW($C$2,$AD$1,AD$2,$D$18,$D$3,$D87,$E87,$F87,AH$3)</f>
        <v>0</v>
      </c>
      <c r="AI87" s="48">
        <f t="shared" ref="AI87:AI150" si="39">AC87+AD87+AE87-AF87+AH87</f>
        <v>85</v>
      </c>
      <c r="AJ87" s="39">
        <f>_xll.DBRW($C$2,$AJ$1,AJ$2,$D$18,$D$3,$D87,$E87,$F87,AJ$3)</f>
        <v>0</v>
      </c>
      <c r="AK87" s="25" cm="1">
        <f t="array" ref="AK87">_xll.DBRW($E$2,AJ$1,AJ$2,$D$18,$D$3,$D87,$E87,$F87,$F$3,AK$3)</f>
        <v>0</v>
      </c>
      <c r="AL87" s="25">
        <f>_xll.DBRW($C$2,$AJ$1,AJ$2,$D$18,$D$3,$D87,$E87,$F87,AL$3)</f>
        <v>15</v>
      </c>
      <c r="AM87" s="64">
        <f>_xll.DBRW($C$2,$AJ$1,AJ$2,$D$18,$D$3,$D87,$E87,$F87,AM$3)</f>
        <v>0</v>
      </c>
      <c r="AN87" s="58">
        <f>_xll.DBRW($C$2,$AJ$1,AJ$2,$D$18,$D$3,$D87,$E87,$F87,AN$3)</f>
        <v>0</v>
      </c>
      <c r="AO87" s="48">
        <f t="shared" ref="AO87:AO150" si="40">AI87+AJ87+AK87-AL87+AN87</f>
        <v>70</v>
      </c>
      <c r="AP87" s="39">
        <f>_xll.DBRW($C$2,$AP$1,AP$2,$D$18,$D$3,$D87,$E87,$F87,AP$3)</f>
        <v>0</v>
      </c>
      <c r="AQ87" s="25" cm="1">
        <f t="array" ref="AQ87">_xll.DBRW($E$2,AP$1,AP$2,$D$18,$D$3,$D87,$E87,$F87,$F$3,AQ$3)</f>
        <v>0</v>
      </c>
      <c r="AR87" s="25">
        <f>_xll.DBRW($C$2,$AP$1,AP$2,$D$18,$D$3,$D87,$E87,$F87,AR$3)</f>
        <v>15</v>
      </c>
      <c r="AS87" s="64">
        <f>_xll.DBRW($C$2,$AP$1,AP$2,$D$18,$D$3,$D87,$E87,$F87,AS$3)</f>
        <v>0</v>
      </c>
      <c r="AT87" s="58">
        <f>_xll.DBRW($C$2,$AP$1,AP$2,$D$18,$D$3,$D87,$E87,$F87,AT$3)</f>
        <v>0</v>
      </c>
      <c r="AU87" s="48">
        <f t="shared" ref="AU87:AU150" si="41">AO87+AP87+AQ87-AR87+AT87</f>
        <v>55</v>
      </c>
      <c r="AV87" s="39">
        <f>_xll.DBRW($C$2,$AV$1,AV$2,$D$18,$D$3,$D87,$E87,$F87,AV$3)</f>
        <v>0</v>
      </c>
      <c r="AW87" s="25" cm="1">
        <f t="array" ref="AW87">_xll.DBRW($E$2,AV$1,AV$2,$D$18,$D$3,$D87,$E87,$F87,$F$3,AW$3)</f>
        <v>0</v>
      </c>
      <c r="AX87" s="25">
        <f>_xll.DBRW($C$2,$AV$1,AV$2,$D$18,$D$3,$D87,$E87,$F87,AX$3)</f>
        <v>15</v>
      </c>
      <c r="AY87" s="64">
        <f>_xll.DBRW($C$2,$AV$1,AV$2,$D$18,$D$3,$D87,$E87,$F87,AY$3)</f>
        <v>0</v>
      </c>
      <c r="AZ87" s="58">
        <f>_xll.DBRW($C$2,$AV$1,AV$2,$D$18,$D$3,$D87,$E87,$F87,AZ$3)</f>
        <v>0</v>
      </c>
      <c r="BA87" s="48">
        <f t="shared" ref="BA87:BA150" si="42">AU87+AV87+AW87-AX87+AZ87</f>
        <v>40</v>
      </c>
      <c r="BB87" s="39">
        <f>_xll.DBRW($C$2,$BB$1,BB$2,$D$18,$D$3,$D87,$E87,$F87,BB$3)</f>
        <v>0</v>
      </c>
      <c r="BC87" s="25" cm="1">
        <f t="array" ref="BC87">_xll.DBRW($E$2,BB$1,BB$2,$D$18,$D$3,$D87,$E87,$F87,$F$3,BC$3)</f>
        <v>0</v>
      </c>
      <c r="BD87" s="25">
        <f>_xll.DBRW($C$2,$BB$1,BB$2,$D$18,$D$3,$D87,$E87,$F87,BD$3)</f>
        <v>15</v>
      </c>
      <c r="BE87" s="64">
        <f>_xll.DBRW($C$2,$BB$1,BB$2,$D$18,$D$3,$D87,$E87,$F87,BE$3)</f>
        <v>0</v>
      </c>
      <c r="BF87" s="58">
        <f>_xll.DBRW($C$2,$BB$1,BB$2,$D$18,$D$3,$D87,$E87,$F87,BF$3)</f>
        <v>0</v>
      </c>
      <c r="BG87" s="48">
        <f t="shared" ref="BG87:BG150" si="43">BA87+BB87+BC87-BD87+BF87</f>
        <v>25</v>
      </c>
      <c r="BH87" s="39">
        <f>_xll.DBRW($C$2,$BH$1,BH$2,$D$18,$D$3,$D87,$E87,$F87,BH$3)</f>
        <v>0</v>
      </c>
      <c r="BI87" s="25" cm="1">
        <f t="array" ref="BI87">_xll.DBRW($E$2,BH$1,BH$2,$D$18,$D$3,$D87,$E87,$F87,$F$3,BI$3)</f>
        <v>0</v>
      </c>
      <c r="BJ87" s="25">
        <f>_xll.DBRW($C$2,$BH$1,BH$2,$D$18,$D$3,$D87,$E87,$F87,BJ$3)</f>
        <v>15</v>
      </c>
      <c r="BK87" s="64">
        <f>_xll.DBRW($C$2,$BH$1,BH$2,$D$18,$D$3,$D87,$E87,$F87,BK$3)</f>
        <v>0</v>
      </c>
      <c r="BL87" s="58">
        <f>_xll.DBRW($C$2,$BH$1,BH$2,$D$18,$D$3,$D87,$E87,$F87,BL$3)</f>
        <v>0</v>
      </c>
      <c r="BM87" s="48">
        <f t="shared" ref="BM87:BM150" si="44">BG87+BH87+BI87-BJ87+BL87</f>
        <v>10</v>
      </c>
      <c r="BN87" s="39">
        <f>_xll.DBRW($C$2,$BN$1,BN$2,$D$18,$D$3,$D87,$E87,$F87,BN$3)</f>
        <v>0</v>
      </c>
      <c r="BO87" s="25" cm="1">
        <f t="array" ref="BO87">_xll.DBRW($E$2,BN$1,BN$2,$D$18,$D$3,$D87,$E87,$F87,$F$3,BO$3)</f>
        <v>0</v>
      </c>
      <c r="BP87" s="25">
        <f>_xll.DBRW($C$2,$BN$1,BN$2,$D$18,$D$3,$D87,$E87,$F87,BP$3)</f>
        <v>15</v>
      </c>
      <c r="BQ87" s="64">
        <f>_xll.DBRW($C$2,$BN$1,BN$2,$D$18,$D$3,$D87,$E87,$F87,BQ$3)</f>
        <v>0</v>
      </c>
      <c r="BR87" s="58">
        <f>_xll.DBRW($C$2,$BN$1,BN$2,$D$18,$D$3,$D87,$E87,$F87,BR$3)</f>
        <v>0</v>
      </c>
      <c r="BS87" s="48">
        <f t="shared" ref="BS87:BS150" si="45">BM87+BN87+BO87-BP87+BR87</f>
        <v>-5</v>
      </c>
      <c r="BT87" s="39">
        <f>_xll.DBRW($C$2,$BT$1,BT$2,$D$18,$D$3,$D87,$E87,$F87,BT$3)</f>
        <v>0</v>
      </c>
      <c r="BU87" s="25" cm="1">
        <f t="array" ref="BU87">_xll.DBRW($E$2,BT$1,BT$2,$D$18,$D$3,$D87,$E87,$F87,$F$3,BU$3)</f>
        <v>0</v>
      </c>
      <c r="BV87" s="25">
        <f>_xll.DBRW($C$2,$BT$1,BT$2,$D$18,$D$3,$D87,$E87,$F87,BV$3)</f>
        <v>15</v>
      </c>
      <c r="BW87" s="64">
        <f>_xll.DBRW($C$2,$BT$1,BT$2,$D$18,$D$3,$D87,$E87,$F87,BW$3)</f>
        <v>0</v>
      </c>
      <c r="BX87" s="58">
        <f>_xll.DBRW($C$2,$BT$1,BT$2,$D$18,$D$3,$D87,$E87,$F87,BX$3)</f>
        <v>0</v>
      </c>
      <c r="BY87" s="48">
        <f t="shared" ref="BY87:BY150" si="46">BS87+BT87+BU87-BV87+BX87</f>
        <v>-20</v>
      </c>
      <c r="BZ87" s="39">
        <f>_xll.DBRW($C$2,$BZ$1,BZ$2,$D$18,$D$3,$D87,$E87,$F87,BZ$3)</f>
        <v>0</v>
      </c>
      <c r="CA87" s="25" cm="1">
        <f t="array" ref="CA87">_xll.DBRW($E$2,BZ$1,BZ$2,$D$18,$D$3,$D87,$E87,$F87,$F$3,CA$3)</f>
        <v>0</v>
      </c>
      <c r="CB87" s="25">
        <f>_xll.DBRW($C$2,$BZ$1,BZ$2,$D$18,$D$3,$D87,$E87,$F87,CB$3)</f>
        <v>15</v>
      </c>
      <c r="CC87" s="64">
        <f>_xll.DBRW($C$2,$BZ$1,BZ$2,$D$18,$D$3,$D87,$E87,$F87,CC$3)</f>
        <v>0</v>
      </c>
      <c r="CD87" s="58">
        <f>_xll.DBRW($C$2,$BZ$1,BZ$2,$D$18,$D$3,$D87,$E87,$F87,CD$3)</f>
        <v>0</v>
      </c>
      <c r="CE87" s="48">
        <f t="shared" ref="CE87:CE150" si="47">BY87+BZ87+CA87-CB87+CD87</f>
        <v>-35</v>
      </c>
    </row>
    <row r="88" spans="1:83" s="23" customFormat="1" outlineLevel="1" thickBot="1" x14ac:dyDescent="0.3">
      <c r="A88" s="91" t="str">
        <f>IF(_xll.TM1RPTELISCONSOLIDATED($F$22,$F88),IF(_xll.TM1RPTELLEV($F$22,$F88)&lt;=5,_xll.TM1RPTELLEV($F$22,$F88),"Default"),"Leaf")</f>
        <v>Leaf</v>
      </c>
      <c r="B88" s="24" t="str">
        <f>_xll.DBRW("TM1-S1_DEV:}ElementAttributes_SP_SKU",$D88,B$1)</f>
        <v>Primary</v>
      </c>
      <c r="C88" s="24" t="str">
        <f>_xll.DBRW("TM1-S1_DEV:}ElementAttributes_SP_SKU",$D88,C$1)</f>
        <v>BREAD</v>
      </c>
      <c r="D88" s="28" t="s">
        <v>404</v>
      </c>
      <c r="E88" s="28" t="s">
        <v>231</v>
      </c>
      <c r="F88" s="28" t="s">
        <v>33</v>
      </c>
      <c r="G88" s="4">
        <f>_xll.DBRW($C$2,$G$19,G$20,$D$18,$D$3,$D88,$E88,$F88,G$3)</f>
        <v>104</v>
      </c>
      <c r="H88" s="54">
        <f t="shared" si="36"/>
        <v>42</v>
      </c>
      <c r="I88" s="4"/>
      <c r="J88" s="25">
        <f>_xll.DBRW($C$2,$J$1,J$2,$D$18,$D$3,$D88,$E88,$F88,J$3)</f>
        <v>146</v>
      </c>
      <c r="K88" s="39">
        <f>_xll.DBRW($C$2,$J$1,J$2,$D$18,$D$3,$D88,$E88,$F88,K$3)</f>
        <v>0</v>
      </c>
      <c r="L88" s="25">
        <f>_xll.DBRW($C$2,$J$1,J$2,$D$18,$D$3,$D88,$E88,$F88,L$3)</f>
        <v>0</v>
      </c>
      <c r="M88" s="25">
        <f>_xll.DBRW($C$2,$J$1,J$2,$D$18,$D$3,$D88,$E88,$F88,M$3)</f>
        <v>0</v>
      </c>
      <c r="N88" s="25">
        <f>_xll.DBRW($C$2,$J$1,J$2,$D$18,$D$3,$D88,$E88,$F88,N$3)</f>
        <v>40</v>
      </c>
      <c r="O88" s="64">
        <f>_xll.DBRW($C$2,$J$1,J$2,$D$18,$D$3,$D88,$E88,$F88,O$3)</f>
        <v>1</v>
      </c>
      <c r="P88" s="58">
        <f>_xll.DBRW($C$2,$J$1,J$2,$D$18,$D$3,$D88,$E88,$F88,P$3)</f>
        <v>0</v>
      </c>
      <c r="Q88" s="48">
        <f>_xll.DBRW($C$2,$J$1,J$2,$D$18,$D$3,$D88,$E88,$F88,Q$3)</f>
        <v>106</v>
      </c>
      <c r="R88" s="39">
        <f>_xll.DBRW($C$2,$R$1,R$2,$D$18,$D$3,$D88,$E88,$F88,R$3)</f>
        <v>0</v>
      </c>
      <c r="S88" s="25" cm="1">
        <f t="array" ref="S88">_xll.DBRW($E$2,R$1,R$2,$D$18,$D$3,$D88,$E88,$F88,$F$3,S$3)</f>
        <v>0</v>
      </c>
      <c r="T88" s="25">
        <f>_xll.DBRW($C$2,$R$1,R$2,$D$18,$D$3,$D88,$E88,$F88,T$3)</f>
        <v>0</v>
      </c>
      <c r="U88" s="64">
        <f>_xll.DBRW($C$2,$R$1,R$2,$D$18,$D$3,$D88,$E88,$F88,U$3)</f>
        <v>0</v>
      </c>
      <c r="V88" s="58">
        <f>_xll.DBRW($C$2,$R$1,R$2,$D$18,$D$3,$D88,$E88,$F88,V$3)</f>
        <v>0</v>
      </c>
      <c r="W88" s="48">
        <f t="shared" si="37"/>
        <v>106</v>
      </c>
      <c r="X88" s="39">
        <f>_xll.DBRW($C$2,$X$1,X$2,$D$18,$D$3,$D88,$E88,$F88,X$3)</f>
        <v>0</v>
      </c>
      <c r="Y88" s="25" cm="1">
        <f t="array" ref="Y88">_xll.DBRW($E$2,X$1,X$2,$D$18,$D$3,$D88,$E88,$F88,$F$3,Y$3)</f>
        <v>0</v>
      </c>
      <c r="Z88" s="25">
        <f>_xll.DBRW($C$2,$X$1,X$2,$D$18,$D$3,$D88,$E88,$F88,Z$3)</f>
        <v>26</v>
      </c>
      <c r="AA88" s="64">
        <f>_xll.DBRW($C$2,$X$1,X$2,$D$18,$D$3,$D88,$E88,$F88,AA$3)</f>
        <v>0</v>
      </c>
      <c r="AB88" s="58">
        <f>_xll.DBRW($C$2,$X$1,X$2,$D$18,$D$3,$D88,$E88,$F88,AB$3)</f>
        <v>0</v>
      </c>
      <c r="AC88" s="48">
        <f t="shared" si="38"/>
        <v>80</v>
      </c>
      <c r="AD88" s="39">
        <f>_xll.DBRW($C$2,$AD$1,AD$2,$D$18,$D$3,$D88,$E88,$F88,AD$3)</f>
        <v>0</v>
      </c>
      <c r="AE88" s="25" cm="1">
        <f t="array" ref="AE88">_xll.DBRW($E$2,AD$1,AD$2,$D$18,$D$3,$D88,$E88,$F88,$F$3,AE$3)</f>
        <v>0</v>
      </c>
      <c r="AF88" s="25">
        <f>_xll.DBRW($C$2,$AD$1,AD$2,$D$18,$D$3,$D88,$E88,$F88,AF$3)</f>
        <v>26</v>
      </c>
      <c r="AG88" s="64">
        <f>_xll.DBRW($C$2,$AD$1,AD$2,$D$18,$D$3,$D88,$E88,$F88,AG$3)</f>
        <v>0</v>
      </c>
      <c r="AH88" s="58">
        <f>_xll.DBRW($C$2,$AD$1,AD$2,$D$18,$D$3,$D88,$E88,$F88,AH$3)</f>
        <v>0</v>
      </c>
      <c r="AI88" s="48">
        <f t="shared" si="39"/>
        <v>54</v>
      </c>
      <c r="AJ88" s="39">
        <f>_xll.DBRW($C$2,$AJ$1,AJ$2,$D$18,$D$3,$D88,$E88,$F88,AJ$3)</f>
        <v>0</v>
      </c>
      <c r="AK88" s="25" cm="1">
        <f t="array" ref="AK88">_xll.DBRW($E$2,AJ$1,AJ$2,$D$18,$D$3,$D88,$E88,$F88,$F$3,AK$3)</f>
        <v>0</v>
      </c>
      <c r="AL88" s="25">
        <f>_xll.DBRW($C$2,$AJ$1,AJ$2,$D$18,$D$3,$D88,$E88,$F88,AL$3)</f>
        <v>26</v>
      </c>
      <c r="AM88" s="64">
        <f>_xll.DBRW($C$2,$AJ$1,AJ$2,$D$18,$D$3,$D88,$E88,$F88,AM$3)</f>
        <v>0</v>
      </c>
      <c r="AN88" s="58">
        <f>_xll.DBRW($C$2,$AJ$1,AJ$2,$D$18,$D$3,$D88,$E88,$F88,AN$3)</f>
        <v>0</v>
      </c>
      <c r="AO88" s="48">
        <f t="shared" si="40"/>
        <v>28</v>
      </c>
      <c r="AP88" s="39">
        <f>_xll.DBRW($C$2,$AP$1,AP$2,$D$18,$D$3,$D88,$E88,$F88,AP$3)</f>
        <v>0</v>
      </c>
      <c r="AQ88" s="25" cm="1">
        <f t="array" ref="AQ88">_xll.DBRW($E$2,AP$1,AP$2,$D$18,$D$3,$D88,$E88,$F88,$F$3,AQ$3)</f>
        <v>0</v>
      </c>
      <c r="AR88" s="25">
        <f>_xll.DBRW($C$2,$AP$1,AP$2,$D$18,$D$3,$D88,$E88,$F88,AR$3)</f>
        <v>26</v>
      </c>
      <c r="AS88" s="64">
        <f>_xll.DBRW($C$2,$AP$1,AP$2,$D$18,$D$3,$D88,$E88,$F88,AS$3)</f>
        <v>0</v>
      </c>
      <c r="AT88" s="58">
        <f>_xll.DBRW($C$2,$AP$1,AP$2,$D$18,$D$3,$D88,$E88,$F88,AT$3)</f>
        <v>0</v>
      </c>
      <c r="AU88" s="48">
        <f t="shared" si="41"/>
        <v>2</v>
      </c>
      <c r="AV88" s="39">
        <f>_xll.DBRW($C$2,$AV$1,AV$2,$D$18,$D$3,$D88,$E88,$F88,AV$3)</f>
        <v>0</v>
      </c>
      <c r="AW88" s="25" cm="1">
        <f t="array" ref="AW88">_xll.DBRW($E$2,AV$1,AV$2,$D$18,$D$3,$D88,$E88,$F88,$F$3,AW$3)</f>
        <v>0</v>
      </c>
      <c r="AX88" s="25">
        <f>_xll.DBRW($C$2,$AV$1,AV$2,$D$18,$D$3,$D88,$E88,$F88,AX$3)</f>
        <v>26</v>
      </c>
      <c r="AY88" s="64">
        <f>_xll.DBRW($C$2,$AV$1,AV$2,$D$18,$D$3,$D88,$E88,$F88,AY$3)</f>
        <v>0</v>
      </c>
      <c r="AZ88" s="58">
        <f>_xll.DBRW($C$2,$AV$1,AV$2,$D$18,$D$3,$D88,$E88,$F88,AZ$3)</f>
        <v>0</v>
      </c>
      <c r="BA88" s="48">
        <f t="shared" si="42"/>
        <v>-24</v>
      </c>
      <c r="BB88" s="39">
        <f>_xll.DBRW($C$2,$BB$1,BB$2,$D$18,$D$3,$D88,$E88,$F88,BB$3)</f>
        <v>0</v>
      </c>
      <c r="BC88" s="25" cm="1">
        <f t="array" ref="BC88">_xll.DBRW($E$2,BB$1,BB$2,$D$18,$D$3,$D88,$E88,$F88,$F$3,BC$3)</f>
        <v>0</v>
      </c>
      <c r="BD88" s="25">
        <f>_xll.DBRW($C$2,$BB$1,BB$2,$D$18,$D$3,$D88,$E88,$F88,BD$3)</f>
        <v>26</v>
      </c>
      <c r="BE88" s="64">
        <f>_xll.DBRW($C$2,$BB$1,BB$2,$D$18,$D$3,$D88,$E88,$F88,BE$3)</f>
        <v>0</v>
      </c>
      <c r="BF88" s="58">
        <f>_xll.DBRW($C$2,$BB$1,BB$2,$D$18,$D$3,$D88,$E88,$F88,BF$3)</f>
        <v>0</v>
      </c>
      <c r="BG88" s="48">
        <f t="shared" si="43"/>
        <v>-50</v>
      </c>
      <c r="BH88" s="39">
        <f>_xll.DBRW($C$2,$BH$1,BH$2,$D$18,$D$3,$D88,$E88,$F88,BH$3)</f>
        <v>0</v>
      </c>
      <c r="BI88" s="25" cm="1">
        <f t="array" ref="BI88">_xll.DBRW($E$2,BH$1,BH$2,$D$18,$D$3,$D88,$E88,$F88,$F$3,BI$3)</f>
        <v>0</v>
      </c>
      <c r="BJ88" s="25">
        <f>_xll.DBRW($C$2,$BH$1,BH$2,$D$18,$D$3,$D88,$E88,$F88,BJ$3)</f>
        <v>26</v>
      </c>
      <c r="BK88" s="64">
        <f>_xll.DBRW($C$2,$BH$1,BH$2,$D$18,$D$3,$D88,$E88,$F88,BK$3)</f>
        <v>0</v>
      </c>
      <c r="BL88" s="58">
        <f>_xll.DBRW($C$2,$BH$1,BH$2,$D$18,$D$3,$D88,$E88,$F88,BL$3)</f>
        <v>0</v>
      </c>
      <c r="BM88" s="48">
        <f t="shared" si="44"/>
        <v>-76</v>
      </c>
      <c r="BN88" s="39">
        <f>_xll.DBRW($C$2,$BN$1,BN$2,$D$18,$D$3,$D88,$E88,$F88,BN$3)</f>
        <v>0</v>
      </c>
      <c r="BO88" s="25" cm="1">
        <f t="array" ref="BO88">_xll.DBRW($E$2,BN$1,BN$2,$D$18,$D$3,$D88,$E88,$F88,$F$3,BO$3)</f>
        <v>0</v>
      </c>
      <c r="BP88" s="25">
        <f>_xll.DBRW($C$2,$BN$1,BN$2,$D$18,$D$3,$D88,$E88,$F88,BP$3)</f>
        <v>26</v>
      </c>
      <c r="BQ88" s="64">
        <f>_xll.DBRW($C$2,$BN$1,BN$2,$D$18,$D$3,$D88,$E88,$F88,BQ$3)</f>
        <v>0</v>
      </c>
      <c r="BR88" s="58">
        <f>_xll.DBRW($C$2,$BN$1,BN$2,$D$18,$D$3,$D88,$E88,$F88,BR$3)</f>
        <v>0</v>
      </c>
      <c r="BS88" s="48">
        <f t="shared" si="45"/>
        <v>-102</v>
      </c>
      <c r="BT88" s="39">
        <f>_xll.DBRW($C$2,$BT$1,BT$2,$D$18,$D$3,$D88,$E88,$F88,BT$3)</f>
        <v>0</v>
      </c>
      <c r="BU88" s="25" cm="1">
        <f t="array" ref="BU88">_xll.DBRW($E$2,BT$1,BT$2,$D$18,$D$3,$D88,$E88,$F88,$F$3,BU$3)</f>
        <v>0</v>
      </c>
      <c r="BV88" s="25">
        <f>_xll.DBRW($C$2,$BT$1,BT$2,$D$18,$D$3,$D88,$E88,$F88,BV$3)</f>
        <v>26</v>
      </c>
      <c r="BW88" s="64">
        <f>_xll.DBRW($C$2,$BT$1,BT$2,$D$18,$D$3,$D88,$E88,$F88,BW$3)</f>
        <v>0</v>
      </c>
      <c r="BX88" s="58">
        <f>_xll.DBRW($C$2,$BT$1,BT$2,$D$18,$D$3,$D88,$E88,$F88,BX$3)</f>
        <v>0</v>
      </c>
      <c r="BY88" s="48">
        <f t="shared" si="46"/>
        <v>-128</v>
      </c>
      <c r="BZ88" s="39">
        <f>_xll.DBRW($C$2,$BZ$1,BZ$2,$D$18,$D$3,$D88,$E88,$F88,BZ$3)</f>
        <v>0</v>
      </c>
      <c r="CA88" s="25" cm="1">
        <f t="array" ref="CA88">_xll.DBRW($E$2,BZ$1,BZ$2,$D$18,$D$3,$D88,$E88,$F88,$F$3,CA$3)</f>
        <v>0</v>
      </c>
      <c r="CB88" s="25">
        <f>_xll.DBRW($C$2,$BZ$1,BZ$2,$D$18,$D$3,$D88,$E88,$F88,CB$3)</f>
        <v>26</v>
      </c>
      <c r="CC88" s="64">
        <f>_xll.DBRW($C$2,$BZ$1,BZ$2,$D$18,$D$3,$D88,$E88,$F88,CC$3)</f>
        <v>0</v>
      </c>
      <c r="CD88" s="58">
        <f>_xll.DBRW($C$2,$BZ$1,BZ$2,$D$18,$D$3,$D88,$E88,$F88,CD$3)</f>
        <v>0</v>
      </c>
      <c r="CE88" s="48">
        <f t="shared" si="47"/>
        <v>-154</v>
      </c>
    </row>
    <row r="89" spans="1:83" s="23" customFormat="1" outlineLevel="1" thickBot="1" x14ac:dyDescent="0.3">
      <c r="A89" s="91" t="str">
        <f>IF(_xll.TM1RPTELISCONSOLIDATED($F$22,$F89),IF(_xll.TM1RPTELLEV($F$22,$F89)&lt;=5,_xll.TM1RPTELLEV($F$22,$F89),"Default"),"Leaf")</f>
        <v>Leaf</v>
      </c>
      <c r="B89" s="24" t="str">
        <f>_xll.DBRW("TM1-S1_DEV:}ElementAttributes_SP_SKU",$D89,B$1)</f>
        <v>Primary</v>
      </c>
      <c r="C89" s="24" t="str">
        <f>_xll.DBRW("TM1-S1_DEV:}ElementAttributes_SP_SKU",$D89,C$1)</f>
        <v>BREAD</v>
      </c>
      <c r="D89" s="28" t="s">
        <v>405</v>
      </c>
      <c r="E89" s="28" t="s">
        <v>232</v>
      </c>
      <c r="F89" s="28" t="s">
        <v>50</v>
      </c>
      <c r="G89" s="4">
        <f>_xll.DBRW($C$2,$G$19,G$20,$D$18,$D$3,$D89,$E89,$F89,G$3)</f>
        <v>47</v>
      </c>
      <c r="H89" s="54">
        <f t="shared" si="36"/>
        <v>0</v>
      </c>
      <c r="I89" s="4"/>
      <c r="J89" s="25">
        <f>_xll.DBRW($C$2,$J$1,J$2,$D$18,$D$3,$D89,$E89,$F89,J$3)</f>
        <v>47</v>
      </c>
      <c r="K89" s="39">
        <f>_xll.DBRW($C$2,$J$1,J$2,$D$18,$D$3,$D89,$E89,$F89,K$3)</f>
        <v>0</v>
      </c>
      <c r="L89" s="25">
        <f>_xll.DBRW($C$2,$J$1,J$2,$D$18,$D$3,$D89,$E89,$F89,L$3)</f>
        <v>0</v>
      </c>
      <c r="M89" s="25">
        <f>_xll.DBRW($C$2,$J$1,J$2,$D$18,$D$3,$D89,$E89,$F89,M$3)</f>
        <v>0</v>
      </c>
      <c r="N89" s="25">
        <f>_xll.DBRW($C$2,$J$1,J$2,$D$18,$D$3,$D89,$E89,$F89,N$3)</f>
        <v>33</v>
      </c>
      <c r="O89" s="64">
        <f>_xll.DBRW($C$2,$J$1,J$2,$D$18,$D$3,$D89,$E89,$F89,O$3)</f>
        <v>1</v>
      </c>
      <c r="P89" s="58">
        <f>_xll.DBRW($C$2,$J$1,J$2,$D$18,$D$3,$D89,$E89,$F89,P$3)</f>
        <v>0</v>
      </c>
      <c r="Q89" s="48">
        <f>_xll.DBRW($C$2,$J$1,J$2,$D$18,$D$3,$D89,$E89,$F89,Q$3)</f>
        <v>14</v>
      </c>
      <c r="R89" s="39">
        <f>_xll.DBRW($C$2,$R$1,R$2,$D$18,$D$3,$D89,$E89,$F89,R$3)</f>
        <v>0</v>
      </c>
      <c r="S89" s="25" cm="1">
        <f t="array" ref="S89">_xll.DBRW($E$2,R$1,R$2,$D$18,$D$3,$D89,$E89,$F89,$F$3,S$3)</f>
        <v>0</v>
      </c>
      <c r="T89" s="25">
        <f>_xll.DBRW($C$2,$R$1,R$2,$D$18,$D$3,$D89,$E89,$F89,T$3)</f>
        <v>0</v>
      </c>
      <c r="U89" s="64">
        <f>_xll.DBRW($C$2,$R$1,R$2,$D$18,$D$3,$D89,$E89,$F89,U$3)</f>
        <v>0</v>
      </c>
      <c r="V89" s="58">
        <f>_xll.DBRW($C$2,$R$1,R$2,$D$18,$D$3,$D89,$E89,$F89,V$3)</f>
        <v>0</v>
      </c>
      <c r="W89" s="48">
        <f t="shared" si="37"/>
        <v>14</v>
      </c>
      <c r="X89" s="39">
        <f>_xll.DBRW($C$2,$X$1,X$2,$D$18,$D$3,$D89,$E89,$F89,X$3)</f>
        <v>0</v>
      </c>
      <c r="Y89" s="25" cm="1">
        <f t="array" ref="Y89">_xll.DBRW($E$2,X$1,X$2,$D$18,$D$3,$D89,$E89,$F89,$F$3,Y$3)</f>
        <v>0</v>
      </c>
      <c r="Z89" s="25">
        <f>_xll.DBRW($C$2,$X$1,X$2,$D$18,$D$3,$D89,$E89,$F89,Z$3)</f>
        <v>10</v>
      </c>
      <c r="AA89" s="64">
        <f>_xll.DBRW($C$2,$X$1,X$2,$D$18,$D$3,$D89,$E89,$F89,AA$3)</f>
        <v>0</v>
      </c>
      <c r="AB89" s="58">
        <f>_xll.DBRW($C$2,$X$1,X$2,$D$18,$D$3,$D89,$E89,$F89,AB$3)</f>
        <v>0</v>
      </c>
      <c r="AC89" s="48">
        <f t="shared" si="38"/>
        <v>4</v>
      </c>
      <c r="AD89" s="39">
        <f>_xll.DBRW($C$2,$AD$1,AD$2,$D$18,$D$3,$D89,$E89,$F89,AD$3)</f>
        <v>0</v>
      </c>
      <c r="AE89" s="25" cm="1">
        <f t="array" ref="AE89">_xll.DBRW($E$2,AD$1,AD$2,$D$18,$D$3,$D89,$E89,$F89,$F$3,AE$3)</f>
        <v>0</v>
      </c>
      <c r="AF89" s="25">
        <f>_xll.DBRW($C$2,$AD$1,AD$2,$D$18,$D$3,$D89,$E89,$F89,AF$3)</f>
        <v>10</v>
      </c>
      <c r="AG89" s="64">
        <f>_xll.DBRW($C$2,$AD$1,AD$2,$D$18,$D$3,$D89,$E89,$F89,AG$3)</f>
        <v>0</v>
      </c>
      <c r="AH89" s="58">
        <f>_xll.DBRW($C$2,$AD$1,AD$2,$D$18,$D$3,$D89,$E89,$F89,AH$3)</f>
        <v>0</v>
      </c>
      <c r="AI89" s="48">
        <f t="shared" si="39"/>
        <v>-6</v>
      </c>
      <c r="AJ89" s="39">
        <f>_xll.DBRW($C$2,$AJ$1,AJ$2,$D$18,$D$3,$D89,$E89,$F89,AJ$3)</f>
        <v>0</v>
      </c>
      <c r="AK89" s="25" cm="1">
        <f t="array" ref="AK89">_xll.DBRW($E$2,AJ$1,AJ$2,$D$18,$D$3,$D89,$E89,$F89,$F$3,AK$3)</f>
        <v>0</v>
      </c>
      <c r="AL89" s="25">
        <f>_xll.DBRW($C$2,$AJ$1,AJ$2,$D$18,$D$3,$D89,$E89,$F89,AL$3)</f>
        <v>10</v>
      </c>
      <c r="AM89" s="64">
        <f>_xll.DBRW($C$2,$AJ$1,AJ$2,$D$18,$D$3,$D89,$E89,$F89,AM$3)</f>
        <v>0</v>
      </c>
      <c r="AN89" s="58">
        <f>_xll.DBRW($C$2,$AJ$1,AJ$2,$D$18,$D$3,$D89,$E89,$F89,AN$3)</f>
        <v>0</v>
      </c>
      <c r="AO89" s="48">
        <f t="shared" si="40"/>
        <v>-16</v>
      </c>
      <c r="AP89" s="39">
        <f>_xll.DBRW($C$2,$AP$1,AP$2,$D$18,$D$3,$D89,$E89,$F89,AP$3)</f>
        <v>0</v>
      </c>
      <c r="AQ89" s="25" cm="1">
        <f t="array" ref="AQ89">_xll.DBRW($E$2,AP$1,AP$2,$D$18,$D$3,$D89,$E89,$F89,$F$3,AQ$3)</f>
        <v>0</v>
      </c>
      <c r="AR89" s="25">
        <f>_xll.DBRW($C$2,$AP$1,AP$2,$D$18,$D$3,$D89,$E89,$F89,AR$3)</f>
        <v>10</v>
      </c>
      <c r="AS89" s="64">
        <f>_xll.DBRW($C$2,$AP$1,AP$2,$D$18,$D$3,$D89,$E89,$F89,AS$3)</f>
        <v>0</v>
      </c>
      <c r="AT89" s="58">
        <f>_xll.DBRW($C$2,$AP$1,AP$2,$D$18,$D$3,$D89,$E89,$F89,AT$3)</f>
        <v>0</v>
      </c>
      <c r="AU89" s="48">
        <f t="shared" si="41"/>
        <v>-26</v>
      </c>
      <c r="AV89" s="39">
        <f>_xll.DBRW($C$2,$AV$1,AV$2,$D$18,$D$3,$D89,$E89,$F89,AV$3)</f>
        <v>0</v>
      </c>
      <c r="AW89" s="25" cm="1">
        <f t="array" ref="AW89">_xll.DBRW($E$2,AV$1,AV$2,$D$18,$D$3,$D89,$E89,$F89,$F$3,AW$3)</f>
        <v>0</v>
      </c>
      <c r="AX89" s="25">
        <f>_xll.DBRW($C$2,$AV$1,AV$2,$D$18,$D$3,$D89,$E89,$F89,AX$3)</f>
        <v>10</v>
      </c>
      <c r="AY89" s="64">
        <f>_xll.DBRW($C$2,$AV$1,AV$2,$D$18,$D$3,$D89,$E89,$F89,AY$3)</f>
        <v>0</v>
      </c>
      <c r="AZ89" s="58">
        <f>_xll.DBRW($C$2,$AV$1,AV$2,$D$18,$D$3,$D89,$E89,$F89,AZ$3)</f>
        <v>0</v>
      </c>
      <c r="BA89" s="48">
        <f t="shared" si="42"/>
        <v>-36</v>
      </c>
      <c r="BB89" s="39">
        <f>_xll.DBRW($C$2,$BB$1,BB$2,$D$18,$D$3,$D89,$E89,$F89,BB$3)</f>
        <v>0</v>
      </c>
      <c r="BC89" s="25" cm="1">
        <f t="array" ref="BC89">_xll.DBRW($E$2,BB$1,BB$2,$D$18,$D$3,$D89,$E89,$F89,$F$3,BC$3)</f>
        <v>0</v>
      </c>
      <c r="BD89" s="25">
        <f>_xll.DBRW($C$2,$BB$1,BB$2,$D$18,$D$3,$D89,$E89,$F89,BD$3)</f>
        <v>10</v>
      </c>
      <c r="BE89" s="64">
        <f>_xll.DBRW($C$2,$BB$1,BB$2,$D$18,$D$3,$D89,$E89,$F89,BE$3)</f>
        <v>0</v>
      </c>
      <c r="BF89" s="58">
        <f>_xll.DBRW($C$2,$BB$1,BB$2,$D$18,$D$3,$D89,$E89,$F89,BF$3)</f>
        <v>0</v>
      </c>
      <c r="BG89" s="48">
        <f t="shared" si="43"/>
        <v>-46</v>
      </c>
      <c r="BH89" s="39">
        <f>_xll.DBRW($C$2,$BH$1,BH$2,$D$18,$D$3,$D89,$E89,$F89,BH$3)</f>
        <v>0</v>
      </c>
      <c r="BI89" s="25" cm="1">
        <f t="array" ref="BI89">_xll.DBRW($E$2,BH$1,BH$2,$D$18,$D$3,$D89,$E89,$F89,$F$3,BI$3)</f>
        <v>0</v>
      </c>
      <c r="BJ89" s="25">
        <f>_xll.DBRW($C$2,$BH$1,BH$2,$D$18,$D$3,$D89,$E89,$F89,BJ$3)</f>
        <v>10</v>
      </c>
      <c r="BK89" s="64">
        <f>_xll.DBRW($C$2,$BH$1,BH$2,$D$18,$D$3,$D89,$E89,$F89,BK$3)</f>
        <v>0</v>
      </c>
      <c r="BL89" s="58">
        <f>_xll.DBRW($C$2,$BH$1,BH$2,$D$18,$D$3,$D89,$E89,$F89,BL$3)</f>
        <v>0</v>
      </c>
      <c r="BM89" s="48">
        <f t="shared" si="44"/>
        <v>-56</v>
      </c>
      <c r="BN89" s="39">
        <f>_xll.DBRW($C$2,$BN$1,BN$2,$D$18,$D$3,$D89,$E89,$F89,BN$3)</f>
        <v>0</v>
      </c>
      <c r="BO89" s="25" cm="1">
        <f t="array" ref="BO89">_xll.DBRW($E$2,BN$1,BN$2,$D$18,$D$3,$D89,$E89,$F89,$F$3,BO$3)</f>
        <v>0</v>
      </c>
      <c r="BP89" s="25">
        <f>_xll.DBRW($C$2,$BN$1,BN$2,$D$18,$D$3,$D89,$E89,$F89,BP$3)</f>
        <v>10</v>
      </c>
      <c r="BQ89" s="64">
        <f>_xll.DBRW($C$2,$BN$1,BN$2,$D$18,$D$3,$D89,$E89,$F89,BQ$3)</f>
        <v>0</v>
      </c>
      <c r="BR89" s="58">
        <f>_xll.DBRW($C$2,$BN$1,BN$2,$D$18,$D$3,$D89,$E89,$F89,BR$3)</f>
        <v>0</v>
      </c>
      <c r="BS89" s="48">
        <f t="shared" si="45"/>
        <v>-66</v>
      </c>
      <c r="BT89" s="39">
        <f>_xll.DBRW($C$2,$BT$1,BT$2,$D$18,$D$3,$D89,$E89,$F89,BT$3)</f>
        <v>0</v>
      </c>
      <c r="BU89" s="25" cm="1">
        <f t="array" ref="BU89">_xll.DBRW($E$2,BT$1,BT$2,$D$18,$D$3,$D89,$E89,$F89,$F$3,BU$3)</f>
        <v>0</v>
      </c>
      <c r="BV89" s="25">
        <f>_xll.DBRW($C$2,$BT$1,BT$2,$D$18,$D$3,$D89,$E89,$F89,BV$3)</f>
        <v>10</v>
      </c>
      <c r="BW89" s="64">
        <f>_xll.DBRW($C$2,$BT$1,BT$2,$D$18,$D$3,$D89,$E89,$F89,BW$3)</f>
        <v>0</v>
      </c>
      <c r="BX89" s="58">
        <f>_xll.DBRW($C$2,$BT$1,BT$2,$D$18,$D$3,$D89,$E89,$F89,BX$3)</f>
        <v>0</v>
      </c>
      <c r="BY89" s="48">
        <f t="shared" si="46"/>
        <v>-76</v>
      </c>
      <c r="BZ89" s="39">
        <f>_xll.DBRW($C$2,$BZ$1,BZ$2,$D$18,$D$3,$D89,$E89,$F89,BZ$3)</f>
        <v>0</v>
      </c>
      <c r="CA89" s="25" cm="1">
        <f t="array" ref="CA89">_xll.DBRW($E$2,BZ$1,BZ$2,$D$18,$D$3,$D89,$E89,$F89,$F$3,CA$3)</f>
        <v>0</v>
      </c>
      <c r="CB89" s="25">
        <f>_xll.DBRW($C$2,$BZ$1,BZ$2,$D$18,$D$3,$D89,$E89,$F89,CB$3)</f>
        <v>10</v>
      </c>
      <c r="CC89" s="64">
        <f>_xll.DBRW($C$2,$BZ$1,BZ$2,$D$18,$D$3,$D89,$E89,$F89,CC$3)</f>
        <v>0</v>
      </c>
      <c r="CD89" s="58">
        <f>_xll.DBRW($C$2,$BZ$1,BZ$2,$D$18,$D$3,$D89,$E89,$F89,CD$3)</f>
        <v>0</v>
      </c>
      <c r="CE89" s="48">
        <f t="shared" si="47"/>
        <v>-86</v>
      </c>
    </row>
    <row r="90" spans="1:83" s="23" customFormat="1" outlineLevel="1" thickBot="1" x14ac:dyDescent="0.3">
      <c r="A90" s="91" t="str">
        <f>IF(_xll.TM1RPTELISCONSOLIDATED($F$22,$F90),IF(_xll.TM1RPTELLEV($F$22,$F90)&lt;=5,_xll.TM1RPTELLEV($F$22,$F90),"Default"),"Leaf")</f>
        <v>Leaf</v>
      </c>
      <c r="B90" s="24" t="str">
        <f>_xll.DBRW("TM1-S1_DEV:}ElementAttributes_SP_SKU",$D90,B$1)</f>
        <v>Primary</v>
      </c>
      <c r="C90" s="24" t="str">
        <f>_xll.DBRW("TM1-S1_DEV:}ElementAttributes_SP_SKU",$D90,C$1)</f>
        <v>BREAD</v>
      </c>
      <c r="D90" s="28" t="s">
        <v>406</v>
      </c>
      <c r="E90" s="28" t="s">
        <v>233</v>
      </c>
      <c r="F90" s="28" t="s">
        <v>50</v>
      </c>
      <c r="G90" s="4">
        <f>_xll.DBRW($C$2,$G$19,G$20,$D$18,$D$3,$D90,$E90,$F90,G$3)</f>
        <v>35</v>
      </c>
      <c r="H90" s="54">
        <f t="shared" si="36"/>
        <v>2</v>
      </c>
      <c r="I90" s="4"/>
      <c r="J90" s="25">
        <f>_xll.DBRW($C$2,$J$1,J$2,$D$18,$D$3,$D90,$E90,$F90,J$3)</f>
        <v>37</v>
      </c>
      <c r="K90" s="39">
        <f>_xll.DBRW($C$2,$J$1,J$2,$D$18,$D$3,$D90,$E90,$F90,K$3)</f>
        <v>0</v>
      </c>
      <c r="L90" s="25">
        <f>_xll.DBRW($C$2,$J$1,J$2,$D$18,$D$3,$D90,$E90,$F90,L$3)</f>
        <v>0</v>
      </c>
      <c r="M90" s="25">
        <f>_xll.DBRW($C$2,$J$1,J$2,$D$18,$D$3,$D90,$E90,$F90,M$3)</f>
        <v>0</v>
      </c>
      <c r="N90" s="25">
        <f>_xll.DBRW($C$2,$J$1,J$2,$D$18,$D$3,$D90,$E90,$F90,N$3)</f>
        <v>15</v>
      </c>
      <c r="O90" s="64">
        <f>_xll.DBRW($C$2,$J$1,J$2,$D$18,$D$3,$D90,$E90,$F90,O$3)</f>
        <v>1</v>
      </c>
      <c r="P90" s="58">
        <f>_xll.DBRW($C$2,$J$1,J$2,$D$18,$D$3,$D90,$E90,$F90,P$3)</f>
        <v>0</v>
      </c>
      <c r="Q90" s="48">
        <f>_xll.DBRW($C$2,$J$1,J$2,$D$18,$D$3,$D90,$E90,$F90,Q$3)</f>
        <v>22</v>
      </c>
      <c r="R90" s="39">
        <f>_xll.DBRW($C$2,$R$1,R$2,$D$18,$D$3,$D90,$E90,$F90,R$3)</f>
        <v>0</v>
      </c>
      <c r="S90" s="25" cm="1">
        <f t="array" ref="S90">_xll.DBRW($E$2,R$1,R$2,$D$18,$D$3,$D90,$E90,$F90,$F$3,S$3)</f>
        <v>0</v>
      </c>
      <c r="T90" s="25">
        <f>_xll.DBRW($C$2,$R$1,R$2,$D$18,$D$3,$D90,$E90,$F90,T$3)</f>
        <v>0</v>
      </c>
      <c r="U90" s="64">
        <f>_xll.DBRW($C$2,$R$1,R$2,$D$18,$D$3,$D90,$E90,$F90,U$3)</f>
        <v>0</v>
      </c>
      <c r="V90" s="58">
        <f>_xll.DBRW($C$2,$R$1,R$2,$D$18,$D$3,$D90,$E90,$F90,V$3)</f>
        <v>0</v>
      </c>
      <c r="W90" s="48">
        <f t="shared" si="37"/>
        <v>22</v>
      </c>
      <c r="X90" s="39">
        <f>_xll.DBRW($C$2,$X$1,X$2,$D$18,$D$3,$D90,$E90,$F90,X$3)</f>
        <v>0</v>
      </c>
      <c r="Y90" s="25" cm="1">
        <f t="array" ref="Y90">_xll.DBRW($E$2,X$1,X$2,$D$18,$D$3,$D90,$E90,$F90,$F$3,Y$3)</f>
        <v>0</v>
      </c>
      <c r="Z90" s="25">
        <f>_xll.DBRW($C$2,$X$1,X$2,$D$18,$D$3,$D90,$E90,$F90,Z$3)</f>
        <v>2</v>
      </c>
      <c r="AA90" s="64">
        <f>_xll.DBRW($C$2,$X$1,X$2,$D$18,$D$3,$D90,$E90,$F90,AA$3)</f>
        <v>0</v>
      </c>
      <c r="AB90" s="58">
        <f>_xll.DBRW($C$2,$X$1,X$2,$D$18,$D$3,$D90,$E90,$F90,AB$3)</f>
        <v>0</v>
      </c>
      <c r="AC90" s="48">
        <f t="shared" si="38"/>
        <v>20</v>
      </c>
      <c r="AD90" s="39">
        <f>_xll.DBRW($C$2,$AD$1,AD$2,$D$18,$D$3,$D90,$E90,$F90,AD$3)</f>
        <v>0</v>
      </c>
      <c r="AE90" s="25" cm="1">
        <f t="array" ref="AE90">_xll.DBRW($E$2,AD$1,AD$2,$D$18,$D$3,$D90,$E90,$F90,$F$3,AE$3)</f>
        <v>0</v>
      </c>
      <c r="AF90" s="25">
        <f>_xll.DBRW($C$2,$AD$1,AD$2,$D$18,$D$3,$D90,$E90,$F90,AF$3)</f>
        <v>2</v>
      </c>
      <c r="AG90" s="64">
        <f>_xll.DBRW($C$2,$AD$1,AD$2,$D$18,$D$3,$D90,$E90,$F90,AG$3)</f>
        <v>0</v>
      </c>
      <c r="AH90" s="58">
        <f>_xll.DBRW($C$2,$AD$1,AD$2,$D$18,$D$3,$D90,$E90,$F90,AH$3)</f>
        <v>0</v>
      </c>
      <c r="AI90" s="48">
        <f t="shared" si="39"/>
        <v>18</v>
      </c>
      <c r="AJ90" s="39">
        <f>_xll.DBRW($C$2,$AJ$1,AJ$2,$D$18,$D$3,$D90,$E90,$F90,AJ$3)</f>
        <v>0</v>
      </c>
      <c r="AK90" s="25" cm="1">
        <f t="array" ref="AK90">_xll.DBRW($E$2,AJ$1,AJ$2,$D$18,$D$3,$D90,$E90,$F90,$F$3,AK$3)</f>
        <v>0</v>
      </c>
      <c r="AL90" s="25">
        <f>_xll.DBRW($C$2,$AJ$1,AJ$2,$D$18,$D$3,$D90,$E90,$F90,AL$3)</f>
        <v>2</v>
      </c>
      <c r="AM90" s="64">
        <f>_xll.DBRW($C$2,$AJ$1,AJ$2,$D$18,$D$3,$D90,$E90,$F90,AM$3)</f>
        <v>0</v>
      </c>
      <c r="AN90" s="58">
        <f>_xll.DBRW($C$2,$AJ$1,AJ$2,$D$18,$D$3,$D90,$E90,$F90,AN$3)</f>
        <v>0</v>
      </c>
      <c r="AO90" s="48">
        <f t="shared" si="40"/>
        <v>16</v>
      </c>
      <c r="AP90" s="39">
        <f>_xll.DBRW($C$2,$AP$1,AP$2,$D$18,$D$3,$D90,$E90,$F90,AP$3)</f>
        <v>0</v>
      </c>
      <c r="AQ90" s="25" cm="1">
        <f t="array" ref="AQ90">_xll.DBRW($E$2,AP$1,AP$2,$D$18,$D$3,$D90,$E90,$F90,$F$3,AQ$3)</f>
        <v>0</v>
      </c>
      <c r="AR90" s="25">
        <f>_xll.DBRW($C$2,$AP$1,AP$2,$D$18,$D$3,$D90,$E90,$F90,AR$3)</f>
        <v>2</v>
      </c>
      <c r="AS90" s="64">
        <f>_xll.DBRW($C$2,$AP$1,AP$2,$D$18,$D$3,$D90,$E90,$F90,AS$3)</f>
        <v>0</v>
      </c>
      <c r="AT90" s="58">
        <f>_xll.DBRW($C$2,$AP$1,AP$2,$D$18,$D$3,$D90,$E90,$F90,AT$3)</f>
        <v>0</v>
      </c>
      <c r="AU90" s="48">
        <f t="shared" si="41"/>
        <v>14</v>
      </c>
      <c r="AV90" s="39">
        <f>_xll.DBRW($C$2,$AV$1,AV$2,$D$18,$D$3,$D90,$E90,$F90,AV$3)</f>
        <v>0</v>
      </c>
      <c r="AW90" s="25" cm="1">
        <f t="array" ref="AW90">_xll.DBRW($E$2,AV$1,AV$2,$D$18,$D$3,$D90,$E90,$F90,$F$3,AW$3)</f>
        <v>0</v>
      </c>
      <c r="AX90" s="25">
        <f>_xll.DBRW($C$2,$AV$1,AV$2,$D$18,$D$3,$D90,$E90,$F90,AX$3)</f>
        <v>2</v>
      </c>
      <c r="AY90" s="64">
        <f>_xll.DBRW($C$2,$AV$1,AV$2,$D$18,$D$3,$D90,$E90,$F90,AY$3)</f>
        <v>0</v>
      </c>
      <c r="AZ90" s="58">
        <f>_xll.DBRW($C$2,$AV$1,AV$2,$D$18,$D$3,$D90,$E90,$F90,AZ$3)</f>
        <v>0</v>
      </c>
      <c r="BA90" s="48">
        <f t="shared" si="42"/>
        <v>12</v>
      </c>
      <c r="BB90" s="39">
        <f>_xll.DBRW($C$2,$BB$1,BB$2,$D$18,$D$3,$D90,$E90,$F90,BB$3)</f>
        <v>0</v>
      </c>
      <c r="BC90" s="25" cm="1">
        <f t="array" ref="BC90">_xll.DBRW($E$2,BB$1,BB$2,$D$18,$D$3,$D90,$E90,$F90,$F$3,BC$3)</f>
        <v>0</v>
      </c>
      <c r="BD90" s="25">
        <f>_xll.DBRW($C$2,$BB$1,BB$2,$D$18,$D$3,$D90,$E90,$F90,BD$3)</f>
        <v>3</v>
      </c>
      <c r="BE90" s="64">
        <f>_xll.DBRW($C$2,$BB$1,BB$2,$D$18,$D$3,$D90,$E90,$F90,BE$3)</f>
        <v>1</v>
      </c>
      <c r="BF90" s="58">
        <f>_xll.DBRW($C$2,$BB$1,BB$2,$D$18,$D$3,$D90,$E90,$F90,BF$3)</f>
        <v>0</v>
      </c>
      <c r="BG90" s="48">
        <f t="shared" si="43"/>
        <v>9</v>
      </c>
      <c r="BH90" s="39">
        <f>_xll.DBRW($C$2,$BH$1,BH$2,$D$18,$D$3,$D90,$E90,$F90,BH$3)</f>
        <v>0</v>
      </c>
      <c r="BI90" s="25" cm="1">
        <f t="array" ref="BI90">_xll.DBRW($E$2,BH$1,BH$2,$D$18,$D$3,$D90,$E90,$F90,$F$3,BI$3)</f>
        <v>0</v>
      </c>
      <c r="BJ90" s="25">
        <f>_xll.DBRW($C$2,$BH$1,BH$2,$D$18,$D$3,$D90,$E90,$F90,BJ$3)</f>
        <v>2</v>
      </c>
      <c r="BK90" s="64">
        <f>_xll.DBRW($C$2,$BH$1,BH$2,$D$18,$D$3,$D90,$E90,$F90,BK$3)</f>
        <v>0</v>
      </c>
      <c r="BL90" s="58">
        <f>_xll.DBRW($C$2,$BH$1,BH$2,$D$18,$D$3,$D90,$E90,$F90,BL$3)</f>
        <v>0</v>
      </c>
      <c r="BM90" s="48">
        <f t="shared" si="44"/>
        <v>7</v>
      </c>
      <c r="BN90" s="39">
        <f>_xll.DBRW($C$2,$BN$1,BN$2,$D$18,$D$3,$D90,$E90,$F90,BN$3)</f>
        <v>0</v>
      </c>
      <c r="BO90" s="25" cm="1">
        <f t="array" ref="BO90">_xll.DBRW($E$2,BN$1,BN$2,$D$18,$D$3,$D90,$E90,$F90,$F$3,BO$3)</f>
        <v>0</v>
      </c>
      <c r="BP90" s="25">
        <f>_xll.DBRW($C$2,$BN$1,BN$2,$D$18,$D$3,$D90,$E90,$F90,BP$3)</f>
        <v>2</v>
      </c>
      <c r="BQ90" s="64">
        <f>_xll.DBRW($C$2,$BN$1,BN$2,$D$18,$D$3,$D90,$E90,$F90,BQ$3)</f>
        <v>0</v>
      </c>
      <c r="BR90" s="58">
        <f>_xll.DBRW($C$2,$BN$1,BN$2,$D$18,$D$3,$D90,$E90,$F90,BR$3)</f>
        <v>0</v>
      </c>
      <c r="BS90" s="48">
        <f t="shared" si="45"/>
        <v>5</v>
      </c>
      <c r="BT90" s="39">
        <f>_xll.DBRW($C$2,$BT$1,BT$2,$D$18,$D$3,$D90,$E90,$F90,BT$3)</f>
        <v>0</v>
      </c>
      <c r="BU90" s="25" cm="1">
        <f t="array" ref="BU90">_xll.DBRW($E$2,BT$1,BT$2,$D$18,$D$3,$D90,$E90,$F90,$F$3,BU$3)</f>
        <v>0</v>
      </c>
      <c r="BV90" s="25">
        <f>_xll.DBRW($C$2,$BT$1,BT$2,$D$18,$D$3,$D90,$E90,$F90,BV$3)</f>
        <v>2</v>
      </c>
      <c r="BW90" s="64">
        <f>_xll.DBRW($C$2,$BT$1,BT$2,$D$18,$D$3,$D90,$E90,$F90,BW$3)</f>
        <v>0</v>
      </c>
      <c r="BX90" s="58">
        <f>_xll.DBRW($C$2,$BT$1,BT$2,$D$18,$D$3,$D90,$E90,$F90,BX$3)</f>
        <v>0</v>
      </c>
      <c r="BY90" s="48">
        <f t="shared" si="46"/>
        <v>3</v>
      </c>
      <c r="BZ90" s="39">
        <f>_xll.DBRW($C$2,$BZ$1,BZ$2,$D$18,$D$3,$D90,$E90,$F90,BZ$3)</f>
        <v>0</v>
      </c>
      <c r="CA90" s="25" cm="1">
        <f t="array" ref="CA90">_xll.DBRW($E$2,BZ$1,BZ$2,$D$18,$D$3,$D90,$E90,$F90,$F$3,CA$3)</f>
        <v>0</v>
      </c>
      <c r="CB90" s="25">
        <f>_xll.DBRW($C$2,$BZ$1,BZ$2,$D$18,$D$3,$D90,$E90,$F90,CB$3)</f>
        <v>2</v>
      </c>
      <c r="CC90" s="64">
        <f>_xll.DBRW($C$2,$BZ$1,BZ$2,$D$18,$D$3,$D90,$E90,$F90,CC$3)</f>
        <v>0</v>
      </c>
      <c r="CD90" s="58">
        <f>_xll.DBRW($C$2,$BZ$1,BZ$2,$D$18,$D$3,$D90,$E90,$F90,CD$3)</f>
        <v>0</v>
      </c>
      <c r="CE90" s="48">
        <f t="shared" si="47"/>
        <v>1</v>
      </c>
    </row>
    <row r="91" spans="1:83" s="23" customFormat="1" outlineLevel="1" thickBot="1" x14ac:dyDescent="0.3">
      <c r="A91" s="91" t="str">
        <f>IF(_xll.TM1RPTELISCONSOLIDATED($F$22,$F91),IF(_xll.TM1RPTELLEV($F$22,$F91)&lt;=5,_xll.TM1RPTELLEV($F$22,$F91),"Default"),"Leaf")</f>
        <v>Leaf</v>
      </c>
      <c r="B91" s="24" t="str">
        <f>_xll.DBRW("TM1-S1_DEV:}ElementAttributes_SP_SKU",$D91,B$1)</f>
        <v>Primary</v>
      </c>
      <c r="C91" s="24" t="str">
        <f>_xll.DBRW("TM1-S1_DEV:}ElementAttributes_SP_SKU",$D91,C$1)</f>
        <v>BREAD</v>
      </c>
      <c r="D91" s="28" t="s">
        <v>407</v>
      </c>
      <c r="E91" s="28" t="s">
        <v>117</v>
      </c>
      <c r="F91" s="28" t="s">
        <v>20</v>
      </c>
      <c r="G91" s="4">
        <f>_xll.DBRW($C$2,$G$19,G$20,$D$18,$D$3,$D91,$E91,$F91,G$3)</f>
        <v>64</v>
      </c>
      <c r="H91" s="54">
        <f t="shared" si="36"/>
        <v>19</v>
      </c>
      <c r="I91" s="4"/>
      <c r="J91" s="25">
        <f>_xll.DBRW($C$2,$J$1,J$2,$D$18,$D$3,$D91,$E91,$F91,J$3)</f>
        <v>83</v>
      </c>
      <c r="K91" s="39">
        <f>_xll.DBRW($C$2,$J$1,J$2,$D$18,$D$3,$D91,$E91,$F91,K$3)</f>
        <v>0</v>
      </c>
      <c r="L91" s="25">
        <f>_xll.DBRW($C$2,$J$1,J$2,$D$18,$D$3,$D91,$E91,$F91,L$3)</f>
        <v>0</v>
      </c>
      <c r="M91" s="25">
        <f>_xll.DBRW($C$2,$J$1,J$2,$D$18,$D$3,$D91,$E91,$F91,M$3)</f>
        <v>0</v>
      </c>
      <c r="N91" s="25">
        <f>_xll.DBRW($C$2,$J$1,J$2,$D$18,$D$3,$D91,$E91,$F91,N$3)</f>
        <v>34</v>
      </c>
      <c r="O91" s="64">
        <f>_xll.DBRW($C$2,$J$1,J$2,$D$18,$D$3,$D91,$E91,$F91,O$3)</f>
        <v>1</v>
      </c>
      <c r="P91" s="58">
        <f>_xll.DBRW($C$2,$J$1,J$2,$D$18,$D$3,$D91,$E91,$F91,P$3)</f>
        <v>0</v>
      </c>
      <c r="Q91" s="48">
        <f>_xll.DBRW($C$2,$J$1,J$2,$D$18,$D$3,$D91,$E91,$F91,Q$3)</f>
        <v>49</v>
      </c>
      <c r="R91" s="39">
        <f>_xll.DBRW($C$2,$R$1,R$2,$D$18,$D$3,$D91,$E91,$F91,R$3)</f>
        <v>0</v>
      </c>
      <c r="S91" s="25" cm="1">
        <f t="array" ref="S91">_xll.DBRW($E$2,R$1,R$2,$D$18,$D$3,$D91,$E91,$F91,$F$3,S$3)</f>
        <v>0</v>
      </c>
      <c r="T91" s="25">
        <f>_xll.DBRW($C$2,$R$1,R$2,$D$18,$D$3,$D91,$E91,$F91,T$3)</f>
        <v>0</v>
      </c>
      <c r="U91" s="64">
        <f>_xll.DBRW($C$2,$R$1,R$2,$D$18,$D$3,$D91,$E91,$F91,U$3)</f>
        <v>0</v>
      </c>
      <c r="V91" s="58">
        <f>_xll.DBRW($C$2,$R$1,R$2,$D$18,$D$3,$D91,$E91,$F91,V$3)</f>
        <v>0</v>
      </c>
      <c r="W91" s="48">
        <f t="shared" si="37"/>
        <v>49</v>
      </c>
      <c r="X91" s="39">
        <f>_xll.DBRW($C$2,$X$1,X$2,$D$18,$D$3,$D91,$E91,$F91,X$3)</f>
        <v>0</v>
      </c>
      <c r="Y91" s="25" cm="1">
        <f t="array" ref="Y91">_xll.DBRW($E$2,X$1,X$2,$D$18,$D$3,$D91,$E91,$F91,$F$3,Y$3)</f>
        <v>0</v>
      </c>
      <c r="Z91" s="25">
        <f>_xll.DBRW($C$2,$X$1,X$2,$D$18,$D$3,$D91,$E91,$F91,Z$3)</f>
        <v>22</v>
      </c>
      <c r="AA91" s="64">
        <f>_xll.DBRW($C$2,$X$1,X$2,$D$18,$D$3,$D91,$E91,$F91,AA$3)</f>
        <v>0</v>
      </c>
      <c r="AB91" s="58">
        <f>_xll.DBRW($C$2,$X$1,X$2,$D$18,$D$3,$D91,$E91,$F91,AB$3)</f>
        <v>0</v>
      </c>
      <c r="AC91" s="48">
        <f t="shared" si="38"/>
        <v>27</v>
      </c>
      <c r="AD91" s="39">
        <f>_xll.DBRW($C$2,$AD$1,AD$2,$D$18,$D$3,$D91,$E91,$F91,AD$3)</f>
        <v>0</v>
      </c>
      <c r="AE91" s="25" cm="1">
        <f t="array" ref="AE91">_xll.DBRW($E$2,AD$1,AD$2,$D$18,$D$3,$D91,$E91,$F91,$F$3,AE$3)</f>
        <v>0</v>
      </c>
      <c r="AF91" s="25">
        <f>_xll.DBRW($C$2,$AD$1,AD$2,$D$18,$D$3,$D91,$E91,$F91,AF$3)</f>
        <v>22</v>
      </c>
      <c r="AG91" s="64">
        <f>_xll.DBRW($C$2,$AD$1,AD$2,$D$18,$D$3,$D91,$E91,$F91,AG$3)</f>
        <v>0</v>
      </c>
      <c r="AH91" s="58">
        <f>_xll.DBRW($C$2,$AD$1,AD$2,$D$18,$D$3,$D91,$E91,$F91,AH$3)</f>
        <v>0</v>
      </c>
      <c r="AI91" s="48">
        <f t="shared" si="39"/>
        <v>5</v>
      </c>
      <c r="AJ91" s="39">
        <f>_xll.DBRW($C$2,$AJ$1,AJ$2,$D$18,$D$3,$D91,$E91,$F91,AJ$3)</f>
        <v>0</v>
      </c>
      <c r="AK91" s="25" cm="1">
        <f t="array" ref="AK91">_xll.DBRW($E$2,AJ$1,AJ$2,$D$18,$D$3,$D91,$E91,$F91,$F$3,AK$3)</f>
        <v>0</v>
      </c>
      <c r="AL91" s="25">
        <f>_xll.DBRW($C$2,$AJ$1,AJ$2,$D$18,$D$3,$D91,$E91,$F91,AL$3)</f>
        <v>22</v>
      </c>
      <c r="AM91" s="64">
        <f>_xll.DBRW($C$2,$AJ$1,AJ$2,$D$18,$D$3,$D91,$E91,$F91,AM$3)</f>
        <v>0</v>
      </c>
      <c r="AN91" s="58">
        <f>_xll.DBRW($C$2,$AJ$1,AJ$2,$D$18,$D$3,$D91,$E91,$F91,AN$3)</f>
        <v>0</v>
      </c>
      <c r="AO91" s="48">
        <f t="shared" si="40"/>
        <v>-17</v>
      </c>
      <c r="AP91" s="39">
        <f>_xll.DBRW($C$2,$AP$1,AP$2,$D$18,$D$3,$D91,$E91,$F91,AP$3)</f>
        <v>0</v>
      </c>
      <c r="AQ91" s="25" cm="1">
        <f t="array" ref="AQ91">_xll.DBRW($E$2,AP$1,AP$2,$D$18,$D$3,$D91,$E91,$F91,$F$3,AQ$3)</f>
        <v>0</v>
      </c>
      <c r="AR91" s="25">
        <f>_xll.DBRW($C$2,$AP$1,AP$2,$D$18,$D$3,$D91,$E91,$F91,AR$3)</f>
        <v>22</v>
      </c>
      <c r="AS91" s="64">
        <f>_xll.DBRW($C$2,$AP$1,AP$2,$D$18,$D$3,$D91,$E91,$F91,AS$3)</f>
        <v>0</v>
      </c>
      <c r="AT91" s="58">
        <f>_xll.DBRW($C$2,$AP$1,AP$2,$D$18,$D$3,$D91,$E91,$F91,AT$3)</f>
        <v>0</v>
      </c>
      <c r="AU91" s="48">
        <f t="shared" si="41"/>
        <v>-39</v>
      </c>
      <c r="AV91" s="39">
        <f>_xll.DBRW($C$2,$AV$1,AV$2,$D$18,$D$3,$D91,$E91,$F91,AV$3)</f>
        <v>0</v>
      </c>
      <c r="AW91" s="25" cm="1">
        <f t="array" ref="AW91">_xll.DBRW($E$2,AV$1,AV$2,$D$18,$D$3,$D91,$E91,$F91,$F$3,AW$3)</f>
        <v>0</v>
      </c>
      <c r="AX91" s="25">
        <f>_xll.DBRW($C$2,$AV$1,AV$2,$D$18,$D$3,$D91,$E91,$F91,AX$3)</f>
        <v>22</v>
      </c>
      <c r="AY91" s="64">
        <f>_xll.DBRW($C$2,$AV$1,AV$2,$D$18,$D$3,$D91,$E91,$F91,AY$3)</f>
        <v>0</v>
      </c>
      <c r="AZ91" s="58">
        <f>_xll.DBRW($C$2,$AV$1,AV$2,$D$18,$D$3,$D91,$E91,$F91,AZ$3)</f>
        <v>0</v>
      </c>
      <c r="BA91" s="48">
        <f t="shared" si="42"/>
        <v>-61</v>
      </c>
      <c r="BB91" s="39">
        <f>_xll.DBRW($C$2,$BB$1,BB$2,$D$18,$D$3,$D91,$E91,$F91,BB$3)</f>
        <v>0</v>
      </c>
      <c r="BC91" s="25" cm="1">
        <f t="array" ref="BC91">_xll.DBRW($E$2,BB$1,BB$2,$D$18,$D$3,$D91,$E91,$F91,$F$3,BC$3)</f>
        <v>0</v>
      </c>
      <c r="BD91" s="25">
        <f>_xll.DBRW($C$2,$BB$1,BB$2,$D$18,$D$3,$D91,$E91,$F91,BD$3)</f>
        <v>22</v>
      </c>
      <c r="BE91" s="64">
        <f>_xll.DBRW($C$2,$BB$1,BB$2,$D$18,$D$3,$D91,$E91,$F91,BE$3)</f>
        <v>0</v>
      </c>
      <c r="BF91" s="58">
        <f>_xll.DBRW($C$2,$BB$1,BB$2,$D$18,$D$3,$D91,$E91,$F91,BF$3)</f>
        <v>0</v>
      </c>
      <c r="BG91" s="48">
        <f t="shared" si="43"/>
        <v>-83</v>
      </c>
      <c r="BH91" s="39">
        <f>_xll.DBRW($C$2,$BH$1,BH$2,$D$18,$D$3,$D91,$E91,$F91,BH$3)</f>
        <v>0</v>
      </c>
      <c r="BI91" s="25" cm="1">
        <f t="array" ref="BI91">_xll.DBRW($E$2,BH$1,BH$2,$D$18,$D$3,$D91,$E91,$F91,$F$3,BI$3)</f>
        <v>0</v>
      </c>
      <c r="BJ91" s="25">
        <f>_xll.DBRW($C$2,$BH$1,BH$2,$D$18,$D$3,$D91,$E91,$F91,BJ$3)</f>
        <v>22</v>
      </c>
      <c r="BK91" s="64">
        <f>_xll.DBRW($C$2,$BH$1,BH$2,$D$18,$D$3,$D91,$E91,$F91,BK$3)</f>
        <v>0</v>
      </c>
      <c r="BL91" s="58">
        <f>_xll.DBRW($C$2,$BH$1,BH$2,$D$18,$D$3,$D91,$E91,$F91,BL$3)</f>
        <v>0</v>
      </c>
      <c r="BM91" s="48">
        <f t="shared" si="44"/>
        <v>-105</v>
      </c>
      <c r="BN91" s="39">
        <f>_xll.DBRW($C$2,$BN$1,BN$2,$D$18,$D$3,$D91,$E91,$F91,BN$3)</f>
        <v>0</v>
      </c>
      <c r="BO91" s="25" cm="1">
        <f t="array" ref="BO91">_xll.DBRW($E$2,BN$1,BN$2,$D$18,$D$3,$D91,$E91,$F91,$F$3,BO$3)</f>
        <v>0</v>
      </c>
      <c r="BP91" s="25">
        <f>_xll.DBRW($C$2,$BN$1,BN$2,$D$18,$D$3,$D91,$E91,$F91,BP$3)</f>
        <v>22</v>
      </c>
      <c r="BQ91" s="64">
        <f>_xll.DBRW($C$2,$BN$1,BN$2,$D$18,$D$3,$D91,$E91,$F91,BQ$3)</f>
        <v>0</v>
      </c>
      <c r="BR91" s="58">
        <f>_xll.DBRW($C$2,$BN$1,BN$2,$D$18,$D$3,$D91,$E91,$F91,BR$3)</f>
        <v>0</v>
      </c>
      <c r="BS91" s="48">
        <f t="shared" si="45"/>
        <v>-127</v>
      </c>
      <c r="BT91" s="39">
        <f>_xll.DBRW($C$2,$BT$1,BT$2,$D$18,$D$3,$D91,$E91,$F91,BT$3)</f>
        <v>0</v>
      </c>
      <c r="BU91" s="25" cm="1">
        <f t="array" ref="BU91">_xll.DBRW($E$2,BT$1,BT$2,$D$18,$D$3,$D91,$E91,$F91,$F$3,BU$3)</f>
        <v>0</v>
      </c>
      <c r="BV91" s="25">
        <f>_xll.DBRW($C$2,$BT$1,BT$2,$D$18,$D$3,$D91,$E91,$F91,BV$3)</f>
        <v>22</v>
      </c>
      <c r="BW91" s="64">
        <f>_xll.DBRW($C$2,$BT$1,BT$2,$D$18,$D$3,$D91,$E91,$F91,BW$3)</f>
        <v>0</v>
      </c>
      <c r="BX91" s="58">
        <f>_xll.DBRW($C$2,$BT$1,BT$2,$D$18,$D$3,$D91,$E91,$F91,BX$3)</f>
        <v>0</v>
      </c>
      <c r="BY91" s="48">
        <f t="shared" si="46"/>
        <v>-149</v>
      </c>
      <c r="BZ91" s="39">
        <f>_xll.DBRW($C$2,$BZ$1,BZ$2,$D$18,$D$3,$D91,$E91,$F91,BZ$3)</f>
        <v>0</v>
      </c>
      <c r="CA91" s="25" cm="1">
        <f t="array" ref="CA91">_xll.DBRW($E$2,BZ$1,BZ$2,$D$18,$D$3,$D91,$E91,$F91,$F$3,CA$3)</f>
        <v>0</v>
      </c>
      <c r="CB91" s="25">
        <f>_xll.DBRW($C$2,$BZ$1,BZ$2,$D$18,$D$3,$D91,$E91,$F91,CB$3)</f>
        <v>22</v>
      </c>
      <c r="CC91" s="64">
        <f>_xll.DBRW($C$2,$BZ$1,BZ$2,$D$18,$D$3,$D91,$E91,$F91,CC$3)</f>
        <v>0</v>
      </c>
      <c r="CD91" s="58">
        <f>_xll.DBRW($C$2,$BZ$1,BZ$2,$D$18,$D$3,$D91,$E91,$F91,CD$3)</f>
        <v>0</v>
      </c>
      <c r="CE91" s="48">
        <f t="shared" si="47"/>
        <v>-171</v>
      </c>
    </row>
    <row r="92" spans="1:83" s="23" customFormat="1" outlineLevel="1" thickBot="1" x14ac:dyDescent="0.3">
      <c r="A92" s="91" t="str">
        <f>IF(_xll.TM1RPTELISCONSOLIDATED($F$22,$F92),IF(_xll.TM1RPTELLEV($F$22,$F92)&lt;=5,_xll.TM1RPTELLEV($F$22,$F92),"Default"),"Leaf")</f>
        <v>Leaf</v>
      </c>
      <c r="B92" s="24" t="str">
        <f>_xll.DBRW("TM1-S1_DEV:}ElementAttributes_SP_SKU",$D92,B$1)</f>
        <v>Primary</v>
      </c>
      <c r="C92" s="24" t="str">
        <f>_xll.DBRW("TM1-S1_DEV:}ElementAttributes_SP_SKU",$D92,C$1)</f>
        <v>BREAD</v>
      </c>
      <c r="D92" s="28" t="s">
        <v>408</v>
      </c>
      <c r="E92" s="28" t="s">
        <v>234</v>
      </c>
      <c r="F92" s="28" t="s">
        <v>20</v>
      </c>
      <c r="G92" s="4">
        <f>_xll.DBRW($C$2,$G$19,G$20,$D$18,$D$3,$D92,$E92,$F92,G$3)</f>
        <v>-1</v>
      </c>
      <c r="H92" s="54">
        <f t="shared" si="36"/>
        <v>1</v>
      </c>
      <c r="I92" s="4"/>
      <c r="J92" s="25">
        <f>_xll.DBRW($C$2,$J$1,J$2,$D$18,$D$3,$D92,$E92,$F92,J$3)</f>
        <v>0</v>
      </c>
      <c r="K92" s="39">
        <f>_xll.DBRW($C$2,$J$1,J$2,$D$18,$D$3,$D92,$E92,$F92,K$3)</f>
        <v>0</v>
      </c>
      <c r="L92" s="25">
        <f>_xll.DBRW($C$2,$J$1,J$2,$D$18,$D$3,$D92,$E92,$F92,L$3)</f>
        <v>0</v>
      </c>
      <c r="M92" s="25">
        <f>_xll.DBRW($C$2,$J$1,J$2,$D$18,$D$3,$D92,$E92,$F92,M$3)</f>
        <v>0</v>
      </c>
      <c r="N92" s="25">
        <f>_xll.DBRW($C$2,$J$1,J$2,$D$18,$D$3,$D92,$E92,$F92,N$3)</f>
        <v>2</v>
      </c>
      <c r="O92" s="64">
        <f>_xll.DBRW($C$2,$J$1,J$2,$D$18,$D$3,$D92,$E92,$F92,O$3)</f>
        <v>1</v>
      </c>
      <c r="P92" s="58">
        <f>_xll.DBRW($C$2,$J$1,J$2,$D$18,$D$3,$D92,$E92,$F92,P$3)</f>
        <v>0</v>
      </c>
      <c r="Q92" s="48">
        <f>_xll.DBRW($C$2,$J$1,J$2,$D$18,$D$3,$D92,$E92,$F92,Q$3)</f>
        <v>-2</v>
      </c>
      <c r="R92" s="39">
        <f>_xll.DBRW($C$2,$R$1,R$2,$D$18,$D$3,$D92,$E92,$F92,R$3)</f>
        <v>0</v>
      </c>
      <c r="S92" s="25" cm="1">
        <f t="array" ref="S92">_xll.DBRW($E$2,R$1,R$2,$D$18,$D$3,$D92,$E92,$F92,$F$3,S$3)</f>
        <v>0</v>
      </c>
      <c r="T92" s="25">
        <f>_xll.DBRW($C$2,$R$1,R$2,$D$18,$D$3,$D92,$E92,$F92,T$3)</f>
        <v>0</v>
      </c>
      <c r="U92" s="64">
        <f>_xll.DBRW($C$2,$R$1,R$2,$D$18,$D$3,$D92,$E92,$F92,U$3)</f>
        <v>0</v>
      </c>
      <c r="V92" s="58">
        <f>_xll.DBRW($C$2,$R$1,R$2,$D$18,$D$3,$D92,$E92,$F92,V$3)</f>
        <v>0</v>
      </c>
      <c r="W92" s="48">
        <f t="shared" si="37"/>
        <v>-2</v>
      </c>
      <c r="X92" s="39">
        <f>_xll.DBRW($C$2,$X$1,X$2,$D$18,$D$3,$D92,$E92,$F92,X$3)</f>
        <v>0</v>
      </c>
      <c r="Y92" s="25" cm="1">
        <f t="array" ref="Y92">_xll.DBRW($E$2,X$1,X$2,$D$18,$D$3,$D92,$E92,$F92,$F$3,Y$3)</f>
        <v>0</v>
      </c>
      <c r="Z92" s="25">
        <f>_xll.DBRW($C$2,$X$1,X$2,$D$18,$D$3,$D92,$E92,$F92,Z$3)</f>
        <v>1</v>
      </c>
      <c r="AA92" s="64">
        <f>_xll.DBRW($C$2,$X$1,X$2,$D$18,$D$3,$D92,$E92,$F92,AA$3)</f>
        <v>0</v>
      </c>
      <c r="AB92" s="58">
        <f>_xll.DBRW($C$2,$X$1,X$2,$D$18,$D$3,$D92,$E92,$F92,AB$3)</f>
        <v>0</v>
      </c>
      <c r="AC92" s="48">
        <f t="shared" si="38"/>
        <v>-3</v>
      </c>
      <c r="AD92" s="39">
        <f>_xll.DBRW($C$2,$AD$1,AD$2,$D$18,$D$3,$D92,$E92,$F92,AD$3)</f>
        <v>0</v>
      </c>
      <c r="AE92" s="25" cm="1">
        <f t="array" ref="AE92">_xll.DBRW($E$2,AD$1,AD$2,$D$18,$D$3,$D92,$E92,$F92,$F$3,AE$3)</f>
        <v>0</v>
      </c>
      <c r="AF92" s="25">
        <f>_xll.DBRW($C$2,$AD$1,AD$2,$D$18,$D$3,$D92,$E92,$F92,AF$3)</f>
        <v>1</v>
      </c>
      <c r="AG92" s="64">
        <f>_xll.DBRW($C$2,$AD$1,AD$2,$D$18,$D$3,$D92,$E92,$F92,AG$3)</f>
        <v>0</v>
      </c>
      <c r="AH92" s="58">
        <f>_xll.DBRW($C$2,$AD$1,AD$2,$D$18,$D$3,$D92,$E92,$F92,AH$3)</f>
        <v>0</v>
      </c>
      <c r="AI92" s="48">
        <f t="shared" si="39"/>
        <v>-4</v>
      </c>
      <c r="AJ92" s="39">
        <f>_xll.DBRW($C$2,$AJ$1,AJ$2,$D$18,$D$3,$D92,$E92,$F92,AJ$3)</f>
        <v>0</v>
      </c>
      <c r="AK92" s="25" cm="1">
        <f t="array" ref="AK92">_xll.DBRW($E$2,AJ$1,AJ$2,$D$18,$D$3,$D92,$E92,$F92,$F$3,AK$3)</f>
        <v>0</v>
      </c>
      <c r="AL92" s="25">
        <f>_xll.DBRW($C$2,$AJ$1,AJ$2,$D$18,$D$3,$D92,$E92,$F92,AL$3)</f>
        <v>1</v>
      </c>
      <c r="AM92" s="64">
        <f>_xll.DBRW($C$2,$AJ$1,AJ$2,$D$18,$D$3,$D92,$E92,$F92,AM$3)</f>
        <v>0</v>
      </c>
      <c r="AN92" s="58">
        <f>_xll.DBRW($C$2,$AJ$1,AJ$2,$D$18,$D$3,$D92,$E92,$F92,AN$3)</f>
        <v>0</v>
      </c>
      <c r="AO92" s="48">
        <f t="shared" si="40"/>
        <v>-5</v>
      </c>
      <c r="AP92" s="39">
        <f>_xll.DBRW($C$2,$AP$1,AP$2,$D$18,$D$3,$D92,$E92,$F92,AP$3)</f>
        <v>0</v>
      </c>
      <c r="AQ92" s="25" cm="1">
        <f t="array" ref="AQ92">_xll.DBRW($E$2,AP$1,AP$2,$D$18,$D$3,$D92,$E92,$F92,$F$3,AQ$3)</f>
        <v>0</v>
      </c>
      <c r="AR92" s="25">
        <f>_xll.DBRW($C$2,$AP$1,AP$2,$D$18,$D$3,$D92,$E92,$F92,AR$3)</f>
        <v>1</v>
      </c>
      <c r="AS92" s="64">
        <f>_xll.DBRW($C$2,$AP$1,AP$2,$D$18,$D$3,$D92,$E92,$F92,AS$3)</f>
        <v>0</v>
      </c>
      <c r="AT92" s="58">
        <f>_xll.DBRW($C$2,$AP$1,AP$2,$D$18,$D$3,$D92,$E92,$F92,AT$3)</f>
        <v>0</v>
      </c>
      <c r="AU92" s="48">
        <f t="shared" si="41"/>
        <v>-6</v>
      </c>
      <c r="AV92" s="39">
        <f>_xll.DBRW($C$2,$AV$1,AV$2,$D$18,$D$3,$D92,$E92,$F92,AV$3)</f>
        <v>0</v>
      </c>
      <c r="AW92" s="25" cm="1">
        <f t="array" ref="AW92">_xll.DBRW($E$2,AV$1,AV$2,$D$18,$D$3,$D92,$E92,$F92,$F$3,AW$3)</f>
        <v>0</v>
      </c>
      <c r="AX92" s="25">
        <f>_xll.DBRW($C$2,$AV$1,AV$2,$D$18,$D$3,$D92,$E92,$F92,AX$3)</f>
        <v>1</v>
      </c>
      <c r="AY92" s="64">
        <f>_xll.DBRW($C$2,$AV$1,AV$2,$D$18,$D$3,$D92,$E92,$F92,AY$3)</f>
        <v>0</v>
      </c>
      <c r="AZ92" s="58">
        <f>_xll.DBRW($C$2,$AV$1,AV$2,$D$18,$D$3,$D92,$E92,$F92,AZ$3)</f>
        <v>0</v>
      </c>
      <c r="BA92" s="48">
        <f t="shared" si="42"/>
        <v>-7</v>
      </c>
      <c r="BB92" s="39">
        <f>_xll.DBRW($C$2,$BB$1,BB$2,$D$18,$D$3,$D92,$E92,$F92,BB$3)</f>
        <v>0</v>
      </c>
      <c r="BC92" s="25" cm="1">
        <f t="array" ref="BC92">_xll.DBRW($E$2,BB$1,BB$2,$D$18,$D$3,$D92,$E92,$F92,$F$3,BC$3)</f>
        <v>0</v>
      </c>
      <c r="BD92" s="25">
        <f>_xll.DBRW($C$2,$BB$1,BB$2,$D$18,$D$3,$D92,$E92,$F92,BD$3)</f>
        <v>1</v>
      </c>
      <c r="BE92" s="64">
        <f>_xll.DBRW($C$2,$BB$1,BB$2,$D$18,$D$3,$D92,$E92,$F92,BE$3)</f>
        <v>0</v>
      </c>
      <c r="BF92" s="58">
        <f>_xll.DBRW($C$2,$BB$1,BB$2,$D$18,$D$3,$D92,$E92,$F92,BF$3)</f>
        <v>0</v>
      </c>
      <c r="BG92" s="48">
        <f t="shared" si="43"/>
        <v>-8</v>
      </c>
      <c r="BH92" s="39">
        <f>_xll.DBRW($C$2,$BH$1,BH$2,$D$18,$D$3,$D92,$E92,$F92,BH$3)</f>
        <v>0</v>
      </c>
      <c r="BI92" s="25" cm="1">
        <f t="array" ref="BI92">_xll.DBRW($E$2,BH$1,BH$2,$D$18,$D$3,$D92,$E92,$F92,$F$3,BI$3)</f>
        <v>0</v>
      </c>
      <c r="BJ92" s="25">
        <f>_xll.DBRW($C$2,$BH$1,BH$2,$D$18,$D$3,$D92,$E92,$F92,BJ$3)</f>
        <v>1</v>
      </c>
      <c r="BK92" s="64">
        <f>_xll.DBRW($C$2,$BH$1,BH$2,$D$18,$D$3,$D92,$E92,$F92,BK$3)</f>
        <v>0</v>
      </c>
      <c r="BL92" s="58">
        <f>_xll.DBRW($C$2,$BH$1,BH$2,$D$18,$D$3,$D92,$E92,$F92,BL$3)</f>
        <v>0</v>
      </c>
      <c r="BM92" s="48">
        <f t="shared" si="44"/>
        <v>-9</v>
      </c>
      <c r="BN92" s="39">
        <f>_xll.DBRW($C$2,$BN$1,BN$2,$D$18,$D$3,$D92,$E92,$F92,BN$3)</f>
        <v>0</v>
      </c>
      <c r="BO92" s="25" cm="1">
        <f t="array" ref="BO92">_xll.DBRW($E$2,BN$1,BN$2,$D$18,$D$3,$D92,$E92,$F92,$F$3,BO$3)</f>
        <v>0</v>
      </c>
      <c r="BP92" s="25">
        <f>_xll.DBRW($C$2,$BN$1,BN$2,$D$18,$D$3,$D92,$E92,$F92,BP$3)</f>
        <v>1</v>
      </c>
      <c r="BQ92" s="64">
        <f>_xll.DBRW($C$2,$BN$1,BN$2,$D$18,$D$3,$D92,$E92,$F92,BQ$3)</f>
        <v>0</v>
      </c>
      <c r="BR92" s="58">
        <f>_xll.DBRW($C$2,$BN$1,BN$2,$D$18,$D$3,$D92,$E92,$F92,BR$3)</f>
        <v>0</v>
      </c>
      <c r="BS92" s="48">
        <f t="shared" si="45"/>
        <v>-10</v>
      </c>
      <c r="BT92" s="39">
        <f>_xll.DBRW($C$2,$BT$1,BT$2,$D$18,$D$3,$D92,$E92,$F92,BT$3)</f>
        <v>0</v>
      </c>
      <c r="BU92" s="25" cm="1">
        <f t="array" ref="BU92">_xll.DBRW($E$2,BT$1,BT$2,$D$18,$D$3,$D92,$E92,$F92,$F$3,BU$3)</f>
        <v>0</v>
      </c>
      <c r="BV92" s="25">
        <f>_xll.DBRW($C$2,$BT$1,BT$2,$D$18,$D$3,$D92,$E92,$F92,BV$3)</f>
        <v>1</v>
      </c>
      <c r="BW92" s="64">
        <f>_xll.DBRW($C$2,$BT$1,BT$2,$D$18,$D$3,$D92,$E92,$F92,BW$3)</f>
        <v>0</v>
      </c>
      <c r="BX92" s="58">
        <f>_xll.DBRW($C$2,$BT$1,BT$2,$D$18,$D$3,$D92,$E92,$F92,BX$3)</f>
        <v>0</v>
      </c>
      <c r="BY92" s="48">
        <f t="shared" si="46"/>
        <v>-11</v>
      </c>
      <c r="BZ92" s="39">
        <f>_xll.DBRW($C$2,$BZ$1,BZ$2,$D$18,$D$3,$D92,$E92,$F92,BZ$3)</f>
        <v>0</v>
      </c>
      <c r="CA92" s="25" cm="1">
        <f t="array" ref="CA92">_xll.DBRW($E$2,BZ$1,BZ$2,$D$18,$D$3,$D92,$E92,$F92,$F$3,CA$3)</f>
        <v>0</v>
      </c>
      <c r="CB92" s="25">
        <f>_xll.DBRW($C$2,$BZ$1,BZ$2,$D$18,$D$3,$D92,$E92,$F92,CB$3)</f>
        <v>1</v>
      </c>
      <c r="CC92" s="64">
        <f>_xll.DBRW($C$2,$BZ$1,BZ$2,$D$18,$D$3,$D92,$E92,$F92,CC$3)</f>
        <v>0</v>
      </c>
      <c r="CD92" s="58">
        <f>_xll.DBRW($C$2,$BZ$1,BZ$2,$D$18,$D$3,$D92,$E92,$F92,CD$3)</f>
        <v>0</v>
      </c>
      <c r="CE92" s="48">
        <f t="shared" si="47"/>
        <v>-12</v>
      </c>
    </row>
    <row r="93" spans="1:83" s="23" customFormat="1" outlineLevel="1" thickBot="1" x14ac:dyDescent="0.3">
      <c r="A93" s="91" t="str">
        <f>IF(_xll.TM1RPTELISCONSOLIDATED($F$22,$F93),IF(_xll.TM1RPTELLEV($F$22,$F93)&lt;=5,_xll.TM1RPTELLEV($F$22,$F93),"Default"),"Leaf")</f>
        <v>Leaf</v>
      </c>
      <c r="B93" s="24" t="str">
        <f>_xll.DBRW("TM1-S1_DEV:}ElementAttributes_SP_SKU",$D93,B$1)</f>
        <v>Primary</v>
      </c>
      <c r="C93" s="24" t="str">
        <f>_xll.DBRW("TM1-S1_DEV:}ElementAttributes_SP_SKU",$D93,C$1)</f>
        <v>BREAD</v>
      </c>
      <c r="D93" s="28" t="s">
        <v>409</v>
      </c>
      <c r="E93" s="28" t="s">
        <v>235</v>
      </c>
      <c r="F93" s="28" t="s">
        <v>20</v>
      </c>
      <c r="G93" s="4">
        <f>_xll.DBRW($C$2,$G$19,G$20,$D$18,$D$3,$D93,$E93,$F93,G$3)</f>
        <v>-1</v>
      </c>
      <c r="H93" s="54">
        <f t="shared" si="36"/>
        <v>1</v>
      </c>
      <c r="I93" s="4"/>
      <c r="J93" s="25">
        <f>_xll.DBRW($C$2,$J$1,J$2,$D$18,$D$3,$D93,$E93,$F93,J$3)</f>
        <v>0</v>
      </c>
      <c r="K93" s="39">
        <f>_xll.DBRW($C$2,$J$1,J$2,$D$18,$D$3,$D93,$E93,$F93,K$3)</f>
        <v>0</v>
      </c>
      <c r="L93" s="25">
        <f>_xll.DBRW($C$2,$J$1,J$2,$D$18,$D$3,$D93,$E93,$F93,L$3)</f>
        <v>0</v>
      </c>
      <c r="M93" s="25">
        <f>_xll.DBRW($C$2,$J$1,J$2,$D$18,$D$3,$D93,$E93,$F93,M$3)</f>
        <v>0</v>
      </c>
      <c r="N93" s="25">
        <f>_xll.DBRW($C$2,$J$1,J$2,$D$18,$D$3,$D93,$E93,$F93,N$3)</f>
        <v>1</v>
      </c>
      <c r="O93" s="64">
        <f>_xll.DBRW($C$2,$J$1,J$2,$D$18,$D$3,$D93,$E93,$F93,O$3)</f>
        <v>1</v>
      </c>
      <c r="P93" s="58">
        <f>_xll.DBRW($C$2,$J$1,J$2,$D$18,$D$3,$D93,$E93,$F93,P$3)</f>
        <v>0</v>
      </c>
      <c r="Q93" s="48">
        <f>_xll.DBRW($C$2,$J$1,J$2,$D$18,$D$3,$D93,$E93,$F93,Q$3)</f>
        <v>-1</v>
      </c>
      <c r="R93" s="39">
        <f>_xll.DBRW($C$2,$R$1,R$2,$D$18,$D$3,$D93,$E93,$F93,R$3)</f>
        <v>0</v>
      </c>
      <c r="S93" s="25" cm="1">
        <f t="array" ref="S93">_xll.DBRW($E$2,R$1,R$2,$D$18,$D$3,$D93,$E93,$F93,$F$3,S$3)</f>
        <v>0</v>
      </c>
      <c r="T93" s="25">
        <f>_xll.DBRW($C$2,$R$1,R$2,$D$18,$D$3,$D93,$E93,$F93,T$3)</f>
        <v>0</v>
      </c>
      <c r="U93" s="64">
        <f>_xll.DBRW($C$2,$R$1,R$2,$D$18,$D$3,$D93,$E93,$F93,U$3)</f>
        <v>0</v>
      </c>
      <c r="V93" s="58">
        <f>_xll.DBRW($C$2,$R$1,R$2,$D$18,$D$3,$D93,$E93,$F93,V$3)</f>
        <v>0</v>
      </c>
      <c r="W93" s="48">
        <f t="shared" si="37"/>
        <v>-1</v>
      </c>
      <c r="X93" s="39">
        <f>_xll.DBRW($C$2,$X$1,X$2,$D$18,$D$3,$D93,$E93,$F93,X$3)</f>
        <v>0</v>
      </c>
      <c r="Y93" s="25" cm="1">
        <f t="array" ref="Y93">_xll.DBRW($E$2,X$1,X$2,$D$18,$D$3,$D93,$E93,$F93,$F$3,Y$3)</f>
        <v>0</v>
      </c>
      <c r="Z93" s="25">
        <f>_xll.DBRW($C$2,$X$1,X$2,$D$18,$D$3,$D93,$E93,$F93,Z$3)</f>
        <v>0</v>
      </c>
      <c r="AA93" s="64">
        <f>_xll.DBRW($C$2,$X$1,X$2,$D$18,$D$3,$D93,$E93,$F93,AA$3)</f>
        <v>0</v>
      </c>
      <c r="AB93" s="58">
        <f>_xll.DBRW($C$2,$X$1,X$2,$D$18,$D$3,$D93,$E93,$F93,AB$3)</f>
        <v>0</v>
      </c>
      <c r="AC93" s="48">
        <f t="shared" si="38"/>
        <v>-1</v>
      </c>
      <c r="AD93" s="39">
        <f>_xll.DBRW($C$2,$AD$1,AD$2,$D$18,$D$3,$D93,$E93,$F93,AD$3)</f>
        <v>0</v>
      </c>
      <c r="AE93" s="25" cm="1">
        <f t="array" ref="AE93">_xll.DBRW($E$2,AD$1,AD$2,$D$18,$D$3,$D93,$E93,$F93,$F$3,AE$3)</f>
        <v>0</v>
      </c>
      <c r="AF93" s="25">
        <f>_xll.DBRW($C$2,$AD$1,AD$2,$D$18,$D$3,$D93,$E93,$F93,AF$3)</f>
        <v>0</v>
      </c>
      <c r="AG93" s="64">
        <f>_xll.DBRW($C$2,$AD$1,AD$2,$D$18,$D$3,$D93,$E93,$F93,AG$3)</f>
        <v>0</v>
      </c>
      <c r="AH93" s="58">
        <f>_xll.DBRW($C$2,$AD$1,AD$2,$D$18,$D$3,$D93,$E93,$F93,AH$3)</f>
        <v>0</v>
      </c>
      <c r="AI93" s="48">
        <f t="shared" si="39"/>
        <v>-1</v>
      </c>
      <c r="AJ93" s="39">
        <f>_xll.DBRW($C$2,$AJ$1,AJ$2,$D$18,$D$3,$D93,$E93,$F93,AJ$3)</f>
        <v>0</v>
      </c>
      <c r="AK93" s="25" cm="1">
        <f t="array" ref="AK93">_xll.DBRW($E$2,AJ$1,AJ$2,$D$18,$D$3,$D93,$E93,$F93,$F$3,AK$3)</f>
        <v>0</v>
      </c>
      <c r="AL93" s="25">
        <f>_xll.DBRW($C$2,$AJ$1,AJ$2,$D$18,$D$3,$D93,$E93,$F93,AL$3)</f>
        <v>0</v>
      </c>
      <c r="AM93" s="64">
        <f>_xll.DBRW($C$2,$AJ$1,AJ$2,$D$18,$D$3,$D93,$E93,$F93,AM$3)</f>
        <v>0</v>
      </c>
      <c r="AN93" s="58">
        <f>_xll.DBRW($C$2,$AJ$1,AJ$2,$D$18,$D$3,$D93,$E93,$F93,AN$3)</f>
        <v>0</v>
      </c>
      <c r="AO93" s="48">
        <f t="shared" si="40"/>
        <v>-1</v>
      </c>
      <c r="AP93" s="39">
        <f>_xll.DBRW($C$2,$AP$1,AP$2,$D$18,$D$3,$D93,$E93,$F93,AP$3)</f>
        <v>0</v>
      </c>
      <c r="AQ93" s="25" cm="1">
        <f t="array" ref="AQ93">_xll.DBRW($E$2,AP$1,AP$2,$D$18,$D$3,$D93,$E93,$F93,$F$3,AQ$3)</f>
        <v>0</v>
      </c>
      <c r="AR93" s="25">
        <f>_xll.DBRW($C$2,$AP$1,AP$2,$D$18,$D$3,$D93,$E93,$F93,AR$3)</f>
        <v>0</v>
      </c>
      <c r="AS93" s="64">
        <f>_xll.DBRW($C$2,$AP$1,AP$2,$D$18,$D$3,$D93,$E93,$F93,AS$3)</f>
        <v>0</v>
      </c>
      <c r="AT93" s="58">
        <f>_xll.DBRW($C$2,$AP$1,AP$2,$D$18,$D$3,$D93,$E93,$F93,AT$3)</f>
        <v>0</v>
      </c>
      <c r="AU93" s="48">
        <f t="shared" si="41"/>
        <v>-1</v>
      </c>
      <c r="AV93" s="39">
        <f>_xll.DBRW($C$2,$AV$1,AV$2,$D$18,$D$3,$D93,$E93,$F93,AV$3)</f>
        <v>0</v>
      </c>
      <c r="AW93" s="25" cm="1">
        <f t="array" ref="AW93">_xll.DBRW($E$2,AV$1,AV$2,$D$18,$D$3,$D93,$E93,$F93,$F$3,AW$3)</f>
        <v>0</v>
      </c>
      <c r="AX93" s="25">
        <f>_xll.DBRW($C$2,$AV$1,AV$2,$D$18,$D$3,$D93,$E93,$F93,AX$3)</f>
        <v>0</v>
      </c>
      <c r="AY93" s="64">
        <f>_xll.DBRW($C$2,$AV$1,AV$2,$D$18,$D$3,$D93,$E93,$F93,AY$3)</f>
        <v>0</v>
      </c>
      <c r="AZ93" s="58">
        <f>_xll.DBRW($C$2,$AV$1,AV$2,$D$18,$D$3,$D93,$E93,$F93,AZ$3)</f>
        <v>0</v>
      </c>
      <c r="BA93" s="48">
        <f t="shared" si="42"/>
        <v>-1</v>
      </c>
      <c r="BB93" s="39">
        <f>_xll.DBRW($C$2,$BB$1,BB$2,$D$18,$D$3,$D93,$E93,$F93,BB$3)</f>
        <v>0</v>
      </c>
      <c r="BC93" s="25" cm="1">
        <f t="array" ref="BC93">_xll.DBRW($E$2,BB$1,BB$2,$D$18,$D$3,$D93,$E93,$F93,$F$3,BC$3)</f>
        <v>0</v>
      </c>
      <c r="BD93" s="25">
        <f>_xll.DBRW($C$2,$BB$1,BB$2,$D$18,$D$3,$D93,$E93,$F93,BD$3)</f>
        <v>0</v>
      </c>
      <c r="BE93" s="64">
        <f>_xll.DBRW($C$2,$BB$1,BB$2,$D$18,$D$3,$D93,$E93,$F93,BE$3)</f>
        <v>0</v>
      </c>
      <c r="BF93" s="58">
        <f>_xll.DBRW($C$2,$BB$1,BB$2,$D$18,$D$3,$D93,$E93,$F93,BF$3)</f>
        <v>0</v>
      </c>
      <c r="BG93" s="48">
        <f t="shared" si="43"/>
        <v>-1</v>
      </c>
      <c r="BH93" s="39">
        <f>_xll.DBRW($C$2,$BH$1,BH$2,$D$18,$D$3,$D93,$E93,$F93,BH$3)</f>
        <v>0</v>
      </c>
      <c r="BI93" s="25" cm="1">
        <f t="array" ref="BI93">_xll.DBRW($E$2,BH$1,BH$2,$D$18,$D$3,$D93,$E93,$F93,$F$3,BI$3)</f>
        <v>0</v>
      </c>
      <c r="BJ93" s="25">
        <f>_xll.DBRW($C$2,$BH$1,BH$2,$D$18,$D$3,$D93,$E93,$F93,BJ$3)</f>
        <v>0</v>
      </c>
      <c r="BK93" s="64">
        <f>_xll.DBRW($C$2,$BH$1,BH$2,$D$18,$D$3,$D93,$E93,$F93,BK$3)</f>
        <v>0</v>
      </c>
      <c r="BL93" s="58">
        <f>_xll.DBRW($C$2,$BH$1,BH$2,$D$18,$D$3,$D93,$E93,$F93,BL$3)</f>
        <v>0</v>
      </c>
      <c r="BM93" s="48">
        <f t="shared" si="44"/>
        <v>-1</v>
      </c>
      <c r="BN93" s="39">
        <f>_xll.DBRW($C$2,$BN$1,BN$2,$D$18,$D$3,$D93,$E93,$F93,BN$3)</f>
        <v>0</v>
      </c>
      <c r="BO93" s="25" cm="1">
        <f t="array" ref="BO93">_xll.DBRW($E$2,BN$1,BN$2,$D$18,$D$3,$D93,$E93,$F93,$F$3,BO$3)</f>
        <v>0</v>
      </c>
      <c r="BP93" s="25">
        <f>_xll.DBRW($C$2,$BN$1,BN$2,$D$18,$D$3,$D93,$E93,$F93,BP$3)</f>
        <v>0</v>
      </c>
      <c r="BQ93" s="64">
        <f>_xll.DBRW($C$2,$BN$1,BN$2,$D$18,$D$3,$D93,$E93,$F93,BQ$3)</f>
        <v>0</v>
      </c>
      <c r="BR93" s="58">
        <f>_xll.DBRW($C$2,$BN$1,BN$2,$D$18,$D$3,$D93,$E93,$F93,BR$3)</f>
        <v>0</v>
      </c>
      <c r="BS93" s="48">
        <f t="shared" si="45"/>
        <v>-1</v>
      </c>
      <c r="BT93" s="39">
        <f>_xll.DBRW($C$2,$BT$1,BT$2,$D$18,$D$3,$D93,$E93,$F93,BT$3)</f>
        <v>0</v>
      </c>
      <c r="BU93" s="25" cm="1">
        <f t="array" ref="BU93">_xll.DBRW($E$2,BT$1,BT$2,$D$18,$D$3,$D93,$E93,$F93,$F$3,BU$3)</f>
        <v>0</v>
      </c>
      <c r="BV93" s="25">
        <f>_xll.DBRW($C$2,$BT$1,BT$2,$D$18,$D$3,$D93,$E93,$F93,BV$3)</f>
        <v>0</v>
      </c>
      <c r="BW93" s="64">
        <f>_xll.DBRW($C$2,$BT$1,BT$2,$D$18,$D$3,$D93,$E93,$F93,BW$3)</f>
        <v>0</v>
      </c>
      <c r="BX93" s="58">
        <f>_xll.DBRW($C$2,$BT$1,BT$2,$D$18,$D$3,$D93,$E93,$F93,BX$3)</f>
        <v>0</v>
      </c>
      <c r="BY93" s="48">
        <f t="shared" si="46"/>
        <v>-1</v>
      </c>
      <c r="BZ93" s="39">
        <f>_xll.DBRW($C$2,$BZ$1,BZ$2,$D$18,$D$3,$D93,$E93,$F93,BZ$3)</f>
        <v>0</v>
      </c>
      <c r="CA93" s="25" cm="1">
        <f t="array" ref="CA93">_xll.DBRW($E$2,BZ$1,BZ$2,$D$18,$D$3,$D93,$E93,$F93,$F$3,CA$3)</f>
        <v>0</v>
      </c>
      <c r="CB93" s="25">
        <f>_xll.DBRW($C$2,$BZ$1,BZ$2,$D$18,$D$3,$D93,$E93,$F93,CB$3)</f>
        <v>0</v>
      </c>
      <c r="CC93" s="64">
        <f>_xll.DBRW($C$2,$BZ$1,BZ$2,$D$18,$D$3,$D93,$E93,$F93,CC$3)</f>
        <v>0</v>
      </c>
      <c r="CD93" s="58">
        <f>_xll.DBRW($C$2,$BZ$1,BZ$2,$D$18,$D$3,$D93,$E93,$F93,CD$3)</f>
        <v>0</v>
      </c>
      <c r="CE93" s="48">
        <f t="shared" si="47"/>
        <v>-1</v>
      </c>
    </row>
    <row r="94" spans="1:83" s="23" customFormat="1" outlineLevel="1" thickBot="1" x14ac:dyDescent="0.3">
      <c r="A94" s="91" t="str">
        <f>IF(_xll.TM1RPTELISCONSOLIDATED($F$22,$F94),IF(_xll.TM1RPTELLEV($F$22,$F94)&lt;=5,_xll.TM1RPTELLEV($F$22,$F94),"Default"),"Leaf")</f>
        <v>Leaf</v>
      </c>
      <c r="B94" s="24" t="str">
        <f>_xll.DBRW("TM1-S1_DEV:}ElementAttributes_SP_SKU",$D94,B$1)</f>
        <v>Primary</v>
      </c>
      <c r="C94" s="24" t="str">
        <f>_xll.DBRW("TM1-S1_DEV:}ElementAttributes_SP_SKU",$D94,C$1)</f>
        <v>BREAD</v>
      </c>
      <c r="D94" s="28" t="s">
        <v>410</v>
      </c>
      <c r="E94" s="28" t="s">
        <v>236</v>
      </c>
      <c r="F94" s="28" t="s">
        <v>20</v>
      </c>
      <c r="G94" s="4">
        <f>_xll.DBRW($C$2,$G$19,G$20,$D$18,$D$3,$D94,$E94,$F94,G$3)</f>
        <v>15</v>
      </c>
      <c r="H94" s="54">
        <f t="shared" si="36"/>
        <v>-1</v>
      </c>
      <c r="I94" s="4"/>
      <c r="J94" s="25">
        <f>_xll.DBRW($C$2,$J$1,J$2,$D$18,$D$3,$D94,$E94,$F94,J$3)</f>
        <v>14</v>
      </c>
      <c r="K94" s="39">
        <f>_xll.DBRW($C$2,$J$1,J$2,$D$18,$D$3,$D94,$E94,$F94,K$3)</f>
        <v>0</v>
      </c>
      <c r="L94" s="25">
        <f>_xll.DBRW($C$2,$J$1,J$2,$D$18,$D$3,$D94,$E94,$F94,L$3)</f>
        <v>0</v>
      </c>
      <c r="M94" s="25">
        <f>_xll.DBRW($C$2,$J$1,J$2,$D$18,$D$3,$D94,$E94,$F94,M$3)</f>
        <v>0</v>
      </c>
      <c r="N94" s="25">
        <f>_xll.DBRW($C$2,$J$1,J$2,$D$18,$D$3,$D94,$E94,$F94,N$3)</f>
        <v>2</v>
      </c>
      <c r="O94" s="64">
        <f>_xll.DBRW($C$2,$J$1,J$2,$D$18,$D$3,$D94,$E94,$F94,O$3)</f>
        <v>1</v>
      </c>
      <c r="P94" s="58">
        <f>_xll.DBRW($C$2,$J$1,J$2,$D$18,$D$3,$D94,$E94,$F94,P$3)</f>
        <v>0</v>
      </c>
      <c r="Q94" s="48">
        <f>_xll.DBRW($C$2,$J$1,J$2,$D$18,$D$3,$D94,$E94,$F94,Q$3)</f>
        <v>12</v>
      </c>
      <c r="R94" s="39">
        <f>_xll.DBRW($C$2,$R$1,R$2,$D$18,$D$3,$D94,$E94,$F94,R$3)</f>
        <v>0</v>
      </c>
      <c r="S94" s="25" cm="1">
        <f t="array" ref="S94">_xll.DBRW($E$2,R$1,R$2,$D$18,$D$3,$D94,$E94,$F94,$F$3,S$3)</f>
        <v>0</v>
      </c>
      <c r="T94" s="25">
        <f>_xll.DBRW($C$2,$R$1,R$2,$D$18,$D$3,$D94,$E94,$F94,T$3)</f>
        <v>0</v>
      </c>
      <c r="U94" s="64">
        <f>_xll.DBRW($C$2,$R$1,R$2,$D$18,$D$3,$D94,$E94,$F94,U$3)</f>
        <v>0</v>
      </c>
      <c r="V94" s="58">
        <f>_xll.DBRW($C$2,$R$1,R$2,$D$18,$D$3,$D94,$E94,$F94,V$3)</f>
        <v>0</v>
      </c>
      <c r="W94" s="48">
        <f t="shared" si="37"/>
        <v>12</v>
      </c>
      <c r="X94" s="39">
        <f>_xll.DBRW($C$2,$X$1,X$2,$D$18,$D$3,$D94,$E94,$F94,X$3)</f>
        <v>0</v>
      </c>
      <c r="Y94" s="25" cm="1">
        <f t="array" ref="Y94">_xll.DBRW($E$2,X$1,X$2,$D$18,$D$3,$D94,$E94,$F94,$F$3,Y$3)</f>
        <v>0</v>
      </c>
      <c r="Z94" s="25">
        <f>_xll.DBRW($C$2,$X$1,X$2,$D$18,$D$3,$D94,$E94,$F94,Z$3)</f>
        <v>1</v>
      </c>
      <c r="AA94" s="64">
        <f>_xll.DBRW($C$2,$X$1,X$2,$D$18,$D$3,$D94,$E94,$F94,AA$3)</f>
        <v>0</v>
      </c>
      <c r="AB94" s="58">
        <f>_xll.DBRW($C$2,$X$1,X$2,$D$18,$D$3,$D94,$E94,$F94,AB$3)</f>
        <v>0</v>
      </c>
      <c r="AC94" s="48">
        <f t="shared" si="38"/>
        <v>11</v>
      </c>
      <c r="AD94" s="39">
        <f>_xll.DBRW($C$2,$AD$1,AD$2,$D$18,$D$3,$D94,$E94,$F94,AD$3)</f>
        <v>0</v>
      </c>
      <c r="AE94" s="25" cm="1">
        <f t="array" ref="AE94">_xll.DBRW($E$2,AD$1,AD$2,$D$18,$D$3,$D94,$E94,$F94,$F$3,AE$3)</f>
        <v>0</v>
      </c>
      <c r="AF94" s="25">
        <f>_xll.DBRW($C$2,$AD$1,AD$2,$D$18,$D$3,$D94,$E94,$F94,AF$3)</f>
        <v>1</v>
      </c>
      <c r="AG94" s="64">
        <f>_xll.DBRW($C$2,$AD$1,AD$2,$D$18,$D$3,$D94,$E94,$F94,AG$3)</f>
        <v>0</v>
      </c>
      <c r="AH94" s="58">
        <f>_xll.DBRW($C$2,$AD$1,AD$2,$D$18,$D$3,$D94,$E94,$F94,AH$3)</f>
        <v>0</v>
      </c>
      <c r="AI94" s="48">
        <f t="shared" si="39"/>
        <v>10</v>
      </c>
      <c r="AJ94" s="39">
        <f>_xll.DBRW($C$2,$AJ$1,AJ$2,$D$18,$D$3,$D94,$E94,$F94,AJ$3)</f>
        <v>0</v>
      </c>
      <c r="AK94" s="25" cm="1">
        <f t="array" ref="AK94">_xll.DBRW($E$2,AJ$1,AJ$2,$D$18,$D$3,$D94,$E94,$F94,$F$3,AK$3)</f>
        <v>0</v>
      </c>
      <c r="AL94" s="25">
        <f>_xll.DBRW($C$2,$AJ$1,AJ$2,$D$18,$D$3,$D94,$E94,$F94,AL$3)</f>
        <v>1</v>
      </c>
      <c r="AM94" s="64">
        <f>_xll.DBRW($C$2,$AJ$1,AJ$2,$D$18,$D$3,$D94,$E94,$F94,AM$3)</f>
        <v>0</v>
      </c>
      <c r="AN94" s="58">
        <f>_xll.DBRW($C$2,$AJ$1,AJ$2,$D$18,$D$3,$D94,$E94,$F94,AN$3)</f>
        <v>0</v>
      </c>
      <c r="AO94" s="48">
        <f t="shared" si="40"/>
        <v>9</v>
      </c>
      <c r="AP94" s="39">
        <f>_xll.DBRW($C$2,$AP$1,AP$2,$D$18,$D$3,$D94,$E94,$F94,AP$3)</f>
        <v>0</v>
      </c>
      <c r="AQ94" s="25" cm="1">
        <f t="array" ref="AQ94">_xll.DBRW($E$2,AP$1,AP$2,$D$18,$D$3,$D94,$E94,$F94,$F$3,AQ$3)</f>
        <v>0</v>
      </c>
      <c r="AR94" s="25">
        <f>_xll.DBRW($C$2,$AP$1,AP$2,$D$18,$D$3,$D94,$E94,$F94,AR$3)</f>
        <v>1</v>
      </c>
      <c r="AS94" s="64">
        <f>_xll.DBRW($C$2,$AP$1,AP$2,$D$18,$D$3,$D94,$E94,$F94,AS$3)</f>
        <v>0</v>
      </c>
      <c r="AT94" s="58">
        <f>_xll.DBRW($C$2,$AP$1,AP$2,$D$18,$D$3,$D94,$E94,$F94,AT$3)</f>
        <v>0</v>
      </c>
      <c r="AU94" s="48">
        <f t="shared" si="41"/>
        <v>8</v>
      </c>
      <c r="AV94" s="39">
        <f>_xll.DBRW($C$2,$AV$1,AV$2,$D$18,$D$3,$D94,$E94,$F94,AV$3)</f>
        <v>0</v>
      </c>
      <c r="AW94" s="25" cm="1">
        <f t="array" ref="AW94">_xll.DBRW($E$2,AV$1,AV$2,$D$18,$D$3,$D94,$E94,$F94,$F$3,AW$3)</f>
        <v>0</v>
      </c>
      <c r="AX94" s="25">
        <f>_xll.DBRW($C$2,$AV$1,AV$2,$D$18,$D$3,$D94,$E94,$F94,AX$3)</f>
        <v>1</v>
      </c>
      <c r="AY94" s="64">
        <f>_xll.DBRW($C$2,$AV$1,AV$2,$D$18,$D$3,$D94,$E94,$F94,AY$3)</f>
        <v>0</v>
      </c>
      <c r="AZ94" s="58">
        <f>_xll.DBRW($C$2,$AV$1,AV$2,$D$18,$D$3,$D94,$E94,$F94,AZ$3)</f>
        <v>0</v>
      </c>
      <c r="BA94" s="48">
        <f t="shared" si="42"/>
        <v>7</v>
      </c>
      <c r="BB94" s="39">
        <f>_xll.DBRW($C$2,$BB$1,BB$2,$D$18,$D$3,$D94,$E94,$F94,BB$3)</f>
        <v>0</v>
      </c>
      <c r="BC94" s="25" cm="1">
        <f t="array" ref="BC94">_xll.DBRW($E$2,BB$1,BB$2,$D$18,$D$3,$D94,$E94,$F94,$F$3,BC$3)</f>
        <v>0</v>
      </c>
      <c r="BD94" s="25">
        <f>_xll.DBRW($C$2,$BB$1,BB$2,$D$18,$D$3,$D94,$E94,$F94,BD$3)</f>
        <v>1</v>
      </c>
      <c r="BE94" s="64">
        <f>_xll.DBRW($C$2,$BB$1,BB$2,$D$18,$D$3,$D94,$E94,$F94,BE$3)</f>
        <v>0</v>
      </c>
      <c r="BF94" s="58">
        <f>_xll.DBRW($C$2,$BB$1,BB$2,$D$18,$D$3,$D94,$E94,$F94,BF$3)</f>
        <v>0</v>
      </c>
      <c r="BG94" s="48">
        <f t="shared" si="43"/>
        <v>6</v>
      </c>
      <c r="BH94" s="39">
        <f>_xll.DBRW($C$2,$BH$1,BH$2,$D$18,$D$3,$D94,$E94,$F94,BH$3)</f>
        <v>0</v>
      </c>
      <c r="BI94" s="25" cm="1">
        <f t="array" ref="BI94">_xll.DBRW($E$2,BH$1,BH$2,$D$18,$D$3,$D94,$E94,$F94,$F$3,BI$3)</f>
        <v>0</v>
      </c>
      <c r="BJ94" s="25">
        <f>_xll.DBRW($C$2,$BH$1,BH$2,$D$18,$D$3,$D94,$E94,$F94,BJ$3)</f>
        <v>1</v>
      </c>
      <c r="BK94" s="64">
        <f>_xll.DBRW($C$2,$BH$1,BH$2,$D$18,$D$3,$D94,$E94,$F94,BK$3)</f>
        <v>0</v>
      </c>
      <c r="BL94" s="58">
        <f>_xll.DBRW($C$2,$BH$1,BH$2,$D$18,$D$3,$D94,$E94,$F94,BL$3)</f>
        <v>0</v>
      </c>
      <c r="BM94" s="48">
        <f t="shared" si="44"/>
        <v>5</v>
      </c>
      <c r="BN94" s="39">
        <f>_xll.DBRW($C$2,$BN$1,BN$2,$D$18,$D$3,$D94,$E94,$F94,BN$3)</f>
        <v>0</v>
      </c>
      <c r="BO94" s="25" cm="1">
        <f t="array" ref="BO94">_xll.DBRW($E$2,BN$1,BN$2,$D$18,$D$3,$D94,$E94,$F94,$F$3,BO$3)</f>
        <v>0</v>
      </c>
      <c r="BP94" s="25">
        <f>_xll.DBRW($C$2,$BN$1,BN$2,$D$18,$D$3,$D94,$E94,$F94,BP$3)</f>
        <v>1</v>
      </c>
      <c r="BQ94" s="64">
        <f>_xll.DBRW($C$2,$BN$1,BN$2,$D$18,$D$3,$D94,$E94,$F94,BQ$3)</f>
        <v>0</v>
      </c>
      <c r="BR94" s="58">
        <f>_xll.DBRW($C$2,$BN$1,BN$2,$D$18,$D$3,$D94,$E94,$F94,BR$3)</f>
        <v>0</v>
      </c>
      <c r="BS94" s="48">
        <f t="shared" si="45"/>
        <v>4</v>
      </c>
      <c r="BT94" s="39">
        <f>_xll.DBRW($C$2,$BT$1,BT$2,$D$18,$D$3,$D94,$E94,$F94,BT$3)</f>
        <v>0</v>
      </c>
      <c r="BU94" s="25" cm="1">
        <f t="array" ref="BU94">_xll.DBRW($E$2,BT$1,BT$2,$D$18,$D$3,$D94,$E94,$F94,$F$3,BU$3)</f>
        <v>0</v>
      </c>
      <c r="BV94" s="25">
        <f>_xll.DBRW($C$2,$BT$1,BT$2,$D$18,$D$3,$D94,$E94,$F94,BV$3)</f>
        <v>1</v>
      </c>
      <c r="BW94" s="64">
        <f>_xll.DBRW($C$2,$BT$1,BT$2,$D$18,$D$3,$D94,$E94,$F94,BW$3)</f>
        <v>0</v>
      </c>
      <c r="BX94" s="58">
        <f>_xll.DBRW($C$2,$BT$1,BT$2,$D$18,$D$3,$D94,$E94,$F94,BX$3)</f>
        <v>0</v>
      </c>
      <c r="BY94" s="48">
        <f t="shared" si="46"/>
        <v>3</v>
      </c>
      <c r="BZ94" s="39">
        <f>_xll.DBRW($C$2,$BZ$1,BZ$2,$D$18,$D$3,$D94,$E94,$F94,BZ$3)</f>
        <v>0</v>
      </c>
      <c r="CA94" s="25" cm="1">
        <f t="array" ref="CA94">_xll.DBRW($E$2,BZ$1,BZ$2,$D$18,$D$3,$D94,$E94,$F94,$F$3,CA$3)</f>
        <v>0</v>
      </c>
      <c r="CB94" s="25">
        <f>_xll.DBRW($C$2,$BZ$1,BZ$2,$D$18,$D$3,$D94,$E94,$F94,CB$3)</f>
        <v>1</v>
      </c>
      <c r="CC94" s="64">
        <f>_xll.DBRW($C$2,$BZ$1,BZ$2,$D$18,$D$3,$D94,$E94,$F94,CC$3)</f>
        <v>0</v>
      </c>
      <c r="CD94" s="58">
        <f>_xll.DBRW($C$2,$BZ$1,BZ$2,$D$18,$D$3,$D94,$E94,$F94,CD$3)</f>
        <v>0</v>
      </c>
      <c r="CE94" s="48">
        <f t="shared" si="47"/>
        <v>2</v>
      </c>
    </row>
    <row r="95" spans="1:83" s="23" customFormat="1" outlineLevel="1" thickBot="1" x14ac:dyDescent="0.3">
      <c r="A95" s="91" t="str">
        <f>IF(_xll.TM1RPTELISCONSOLIDATED($F$22,$F95),IF(_xll.TM1RPTELLEV($F$22,$F95)&lt;=5,_xll.TM1RPTELLEV($F$22,$F95),"Default"),"Leaf")</f>
        <v>Leaf</v>
      </c>
      <c r="B95" s="24" t="str">
        <f>_xll.DBRW("TM1-S1_DEV:}ElementAttributes_SP_SKU",$D95,B$1)</f>
        <v>Primary</v>
      </c>
      <c r="C95" s="24" t="str">
        <f>_xll.DBRW("TM1-S1_DEV:}ElementAttributes_SP_SKU",$D95,C$1)</f>
        <v>BREAD</v>
      </c>
      <c r="D95" s="28" t="s">
        <v>491</v>
      </c>
      <c r="E95" s="28" t="s">
        <v>237</v>
      </c>
      <c r="F95" s="28" t="s">
        <v>21</v>
      </c>
      <c r="G95" s="4">
        <f>_xll.DBRW($C$2,$G$19,G$20,$D$18,$D$3,$D95,$E95,$F95,G$3)</f>
        <v>-6</v>
      </c>
      <c r="H95" s="54">
        <f t="shared" si="36"/>
        <v>6</v>
      </c>
      <c r="I95" s="4"/>
      <c r="J95" s="25">
        <f>_xll.DBRW($C$2,$J$1,J$2,$D$18,$D$3,$D95,$E95,$F95,J$3)</f>
        <v>0</v>
      </c>
      <c r="K95" s="39">
        <f>_xll.DBRW($C$2,$J$1,J$2,$D$18,$D$3,$D95,$E95,$F95,K$3)</f>
        <v>0</v>
      </c>
      <c r="L95" s="25">
        <f>_xll.DBRW($C$2,$J$1,J$2,$D$18,$D$3,$D95,$E95,$F95,L$3)</f>
        <v>0</v>
      </c>
      <c r="M95" s="25">
        <f>_xll.DBRW($C$2,$J$1,J$2,$D$18,$D$3,$D95,$E95,$F95,M$3)</f>
        <v>0</v>
      </c>
      <c r="N95" s="25">
        <f>_xll.DBRW($C$2,$J$1,J$2,$D$18,$D$3,$D95,$E95,$F95,N$3)</f>
        <v>0</v>
      </c>
      <c r="O95" s="64">
        <f>_xll.DBRW($C$2,$J$1,J$2,$D$18,$D$3,$D95,$E95,$F95,O$3)</f>
        <v>0</v>
      </c>
      <c r="P95" s="58">
        <f>_xll.DBRW($C$2,$J$1,J$2,$D$18,$D$3,$D95,$E95,$F95,P$3)</f>
        <v>0</v>
      </c>
      <c r="Q95" s="48">
        <f>_xll.DBRW($C$2,$J$1,J$2,$D$18,$D$3,$D95,$E95,$F95,Q$3)</f>
        <v>0</v>
      </c>
      <c r="R95" s="39">
        <f>_xll.DBRW($C$2,$R$1,R$2,$D$18,$D$3,$D95,$E95,$F95,R$3)</f>
        <v>0</v>
      </c>
      <c r="S95" s="25" cm="1">
        <f t="array" ref="S95">_xll.DBRW($E$2,R$1,R$2,$D$18,$D$3,$D95,$E95,$F95,$F$3,S$3)</f>
        <v>0</v>
      </c>
      <c r="T95" s="25">
        <f>_xll.DBRW($C$2,$R$1,R$2,$D$18,$D$3,$D95,$E95,$F95,T$3)</f>
        <v>0</v>
      </c>
      <c r="U95" s="64">
        <f>_xll.DBRW($C$2,$R$1,R$2,$D$18,$D$3,$D95,$E95,$F95,U$3)</f>
        <v>0</v>
      </c>
      <c r="V95" s="58">
        <f>_xll.DBRW($C$2,$R$1,R$2,$D$18,$D$3,$D95,$E95,$F95,V$3)</f>
        <v>0</v>
      </c>
      <c r="W95" s="48">
        <f t="shared" si="37"/>
        <v>0</v>
      </c>
      <c r="X95" s="39">
        <f>_xll.DBRW($C$2,$X$1,X$2,$D$18,$D$3,$D95,$E95,$F95,X$3)</f>
        <v>0</v>
      </c>
      <c r="Y95" s="25" cm="1">
        <f t="array" ref="Y95">_xll.DBRW($E$2,X$1,X$2,$D$18,$D$3,$D95,$E95,$F95,$F$3,Y$3)</f>
        <v>0</v>
      </c>
      <c r="Z95" s="25">
        <f>_xll.DBRW($C$2,$X$1,X$2,$D$18,$D$3,$D95,$E95,$F95,Z$3)</f>
        <v>1</v>
      </c>
      <c r="AA95" s="64">
        <f>_xll.DBRW($C$2,$X$1,X$2,$D$18,$D$3,$D95,$E95,$F95,AA$3)</f>
        <v>1</v>
      </c>
      <c r="AB95" s="58">
        <f>_xll.DBRW($C$2,$X$1,X$2,$D$18,$D$3,$D95,$E95,$F95,AB$3)</f>
        <v>0</v>
      </c>
      <c r="AC95" s="48">
        <f t="shared" si="38"/>
        <v>-1</v>
      </c>
      <c r="AD95" s="39">
        <f>_xll.DBRW($C$2,$AD$1,AD$2,$D$18,$D$3,$D95,$E95,$F95,AD$3)</f>
        <v>0</v>
      </c>
      <c r="AE95" s="25" cm="1">
        <f t="array" ref="AE95">_xll.DBRW($E$2,AD$1,AD$2,$D$18,$D$3,$D95,$E95,$F95,$F$3,AE$3)</f>
        <v>0</v>
      </c>
      <c r="AF95" s="25">
        <f>_xll.DBRW($C$2,$AD$1,AD$2,$D$18,$D$3,$D95,$E95,$F95,AF$3)</f>
        <v>0</v>
      </c>
      <c r="AG95" s="64">
        <f>_xll.DBRW($C$2,$AD$1,AD$2,$D$18,$D$3,$D95,$E95,$F95,AG$3)</f>
        <v>0</v>
      </c>
      <c r="AH95" s="58">
        <f>_xll.DBRW($C$2,$AD$1,AD$2,$D$18,$D$3,$D95,$E95,$F95,AH$3)</f>
        <v>0</v>
      </c>
      <c r="AI95" s="48">
        <f t="shared" si="39"/>
        <v>-1</v>
      </c>
      <c r="AJ95" s="39">
        <f>_xll.DBRW($C$2,$AJ$1,AJ$2,$D$18,$D$3,$D95,$E95,$F95,AJ$3)</f>
        <v>0</v>
      </c>
      <c r="AK95" s="25" cm="1">
        <f t="array" ref="AK95">_xll.DBRW($E$2,AJ$1,AJ$2,$D$18,$D$3,$D95,$E95,$F95,$F$3,AK$3)</f>
        <v>0</v>
      </c>
      <c r="AL95" s="25">
        <f>_xll.DBRW($C$2,$AJ$1,AJ$2,$D$18,$D$3,$D95,$E95,$F95,AL$3)</f>
        <v>1</v>
      </c>
      <c r="AM95" s="64">
        <f>_xll.DBRW($C$2,$AJ$1,AJ$2,$D$18,$D$3,$D95,$E95,$F95,AM$3)</f>
        <v>1</v>
      </c>
      <c r="AN95" s="58">
        <f>_xll.DBRW($C$2,$AJ$1,AJ$2,$D$18,$D$3,$D95,$E95,$F95,AN$3)</f>
        <v>0</v>
      </c>
      <c r="AO95" s="48">
        <f t="shared" si="40"/>
        <v>-2</v>
      </c>
      <c r="AP95" s="39">
        <f>_xll.DBRW($C$2,$AP$1,AP$2,$D$18,$D$3,$D95,$E95,$F95,AP$3)</f>
        <v>0</v>
      </c>
      <c r="AQ95" s="25" cm="1">
        <f t="array" ref="AQ95">_xll.DBRW($E$2,AP$1,AP$2,$D$18,$D$3,$D95,$E95,$F95,$F$3,AQ$3)</f>
        <v>0</v>
      </c>
      <c r="AR95" s="25">
        <f>_xll.DBRW($C$2,$AP$1,AP$2,$D$18,$D$3,$D95,$E95,$F95,AR$3)</f>
        <v>0</v>
      </c>
      <c r="AS95" s="64">
        <f>_xll.DBRW($C$2,$AP$1,AP$2,$D$18,$D$3,$D95,$E95,$F95,AS$3)</f>
        <v>0</v>
      </c>
      <c r="AT95" s="58">
        <f>_xll.DBRW($C$2,$AP$1,AP$2,$D$18,$D$3,$D95,$E95,$F95,AT$3)</f>
        <v>0</v>
      </c>
      <c r="AU95" s="48">
        <f t="shared" si="41"/>
        <v>-2</v>
      </c>
      <c r="AV95" s="39">
        <f>_xll.DBRW($C$2,$AV$1,AV$2,$D$18,$D$3,$D95,$E95,$F95,AV$3)</f>
        <v>0</v>
      </c>
      <c r="AW95" s="25" cm="1">
        <f t="array" ref="AW95">_xll.DBRW($E$2,AV$1,AV$2,$D$18,$D$3,$D95,$E95,$F95,$F$3,AW$3)</f>
        <v>0</v>
      </c>
      <c r="AX95" s="25">
        <f>_xll.DBRW($C$2,$AV$1,AV$2,$D$18,$D$3,$D95,$E95,$F95,AX$3)</f>
        <v>1</v>
      </c>
      <c r="AY95" s="64">
        <f>_xll.DBRW($C$2,$AV$1,AV$2,$D$18,$D$3,$D95,$E95,$F95,AY$3)</f>
        <v>1</v>
      </c>
      <c r="AZ95" s="58">
        <f>_xll.DBRW($C$2,$AV$1,AV$2,$D$18,$D$3,$D95,$E95,$F95,AZ$3)</f>
        <v>0</v>
      </c>
      <c r="BA95" s="48">
        <f t="shared" si="42"/>
        <v>-3</v>
      </c>
      <c r="BB95" s="39">
        <f>_xll.DBRW($C$2,$BB$1,BB$2,$D$18,$D$3,$D95,$E95,$F95,BB$3)</f>
        <v>0</v>
      </c>
      <c r="BC95" s="25" cm="1">
        <f t="array" ref="BC95">_xll.DBRW($E$2,BB$1,BB$2,$D$18,$D$3,$D95,$E95,$F95,$F$3,BC$3)</f>
        <v>0</v>
      </c>
      <c r="BD95" s="25">
        <f>_xll.DBRW($C$2,$BB$1,BB$2,$D$18,$D$3,$D95,$E95,$F95,BD$3)</f>
        <v>0</v>
      </c>
      <c r="BE95" s="64">
        <f>_xll.DBRW($C$2,$BB$1,BB$2,$D$18,$D$3,$D95,$E95,$F95,BE$3)</f>
        <v>0</v>
      </c>
      <c r="BF95" s="58">
        <f>_xll.DBRW($C$2,$BB$1,BB$2,$D$18,$D$3,$D95,$E95,$F95,BF$3)</f>
        <v>0</v>
      </c>
      <c r="BG95" s="48">
        <f t="shared" si="43"/>
        <v>-3</v>
      </c>
      <c r="BH95" s="39">
        <f>_xll.DBRW($C$2,$BH$1,BH$2,$D$18,$D$3,$D95,$E95,$F95,BH$3)</f>
        <v>0</v>
      </c>
      <c r="BI95" s="25" cm="1">
        <f t="array" ref="BI95">_xll.DBRW($E$2,BH$1,BH$2,$D$18,$D$3,$D95,$E95,$F95,$F$3,BI$3)</f>
        <v>0</v>
      </c>
      <c r="BJ95" s="25">
        <f>_xll.DBRW($C$2,$BH$1,BH$2,$D$18,$D$3,$D95,$E95,$F95,BJ$3)</f>
        <v>0</v>
      </c>
      <c r="BK95" s="64">
        <f>_xll.DBRW($C$2,$BH$1,BH$2,$D$18,$D$3,$D95,$E95,$F95,BK$3)</f>
        <v>0</v>
      </c>
      <c r="BL95" s="58">
        <f>_xll.DBRW($C$2,$BH$1,BH$2,$D$18,$D$3,$D95,$E95,$F95,BL$3)</f>
        <v>0</v>
      </c>
      <c r="BM95" s="48">
        <f t="shared" si="44"/>
        <v>-3</v>
      </c>
      <c r="BN95" s="39">
        <f>_xll.DBRW($C$2,$BN$1,BN$2,$D$18,$D$3,$D95,$E95,$F95,BN$3)</f>
        <v>0</v>
      </c>
      <c r="BO95" s="25" cm="1">
        <f t="array" ref="BO95">_xll.DBRW($E$2,BN$1,BN$2,$D$18,$D$3,$D95,$E95,$F95,$F$3,BO$3)</f>
        <v>0</v>
      </c>
      <c r="BP95" s="25">
        <f>_xll.DBRW($C$2,$BN$1,BN$2,$D$18,$D$3,$D95,$E95,$F95,BP$3)</f>
        <v>0</v>
      </c>
      <c r="BQ95" s="64">
        <f>_xll.DBRW($C$2,$BN$1,BN$2,$D$18,$D$3,$D95,$E95,$F95,BQ$3)</f>
        <v>0</v>
      </c>
      <c r="BR95" s="58">
        <f>_xll.DBRW($C$2,$BN$1,BN$2,$D$18,$D$3,$D95,$E95,$F95,BR$3)</f>
        <v>0</v>
      </c>
      <c r="BS95" s="48">
        <f t="shared" si="45"/>
        <v>-3</v>
      </c>
      <c r="BT95" s="39">
        <f>_xll.DBRW($C$2,$BT$1,BT$2,$D$18,$D$3,$D95,$E95,$F95,BT$3)</f>
        <v>0</v>
      </c>
      <c r="BU95" s="25" cm="1">
        <f t="array" ref="BU95">_xll.DBRW($E$2,BT$1,BT$2,$D$18,$D$3,$D95,$E95,$F95,$F$3,BU$3)</f>
        <v>0</v>
      </c>
      <c r="BV95" s="25">
        <f>_xll.DBRW($C$2,$BT$1,BT$2,$D$18,$D$3,$D95,$E95,$F95,BV$3)</f>
        <v>0</v>
      </c>
      <c r="BW95" s="64">
        <f>_xll.DBRW($C$2,$BT$1,BT$2,$D$18,$D$3,$D95,$E95,$F95,BW$3)</f>
        <v>0</v>
      </c>
      <c r="BX95" s="58">
        <f>_xll.DBRW($C$2,$BT$1,BT$2,$D$18,$D$3,$D95,$E95,$F95,BX$3)</f>
        <v>0</v>
      </c>
      <c r="BY95" s="48">
        <f t="shared" si="46"/>
        <v>-3</v>
      </c>
      <c r="BZ95" s="39">
        <f>_xll.DBRW($C$2,$BZ$1,BZ$2,$D$18,$D$3,$D95,$E95,$F95,BZ$3)</f>
        <v>0</v>
      </c>
      <c r="CA95" s="25" cm="1">
        <f t="array" ref="CA95">_xll.DBRW($E$2,BZ$1,BZ$2,$D$18,$D$3,$D95,$E95,$F95,$F$3,CA$3)</f>
        <v>0</v>
      </c>
      <c r="CB95" s="25">
        <f>_xll.DBRW($C$2,$BZ$1,BZ$2,$D$18,$D$3,$D95,$E95,$F95,CB$3)</f>
        <v>0</v>
      </c>
      <c r="CC95" s="64">
        <f>_xll.DBRW($C$2,$BZ$1,BZ$2,$D$18,$D$3,$D95,$E95,$F95,CC$3)</f>
        <v>0</v>
      </c>
      <c r="CD95" s="58">
        <f>_xll.DBRW($C$2,$BZ$1,BZ$2,$D$18,$D$3,$D95,$E95,$F95,CD$3)</f>
        <v>0</v>
      </c>
      <c r="CE95" s="48">
        <f t="shared" si="47"/>
        <v>-3</v>
      </c>
    </row>
    <row r="96" spans="1:83" s="23" customFormat="1" outlineLevel="1" thickBot="1" x14ac:dyDescent="0.3">
      <c r="A96" s="91" t="str">
        <f>IF(_xll.TM1RPTELISCONSOLIDATED($F$22,$F96),IF(_xll.TM1RPTELLEV($F$22,$F96)&lt;=5,_xll.TM1RPTELLEV($F$22,$F96),"Default"),"Leaf")</f>
        <v>Leaf</v>
      </c>
      <c r="B96" s="24" t="str">
        <f>_xll.DBRW("TM1-S1_DEV:}ElementAttributes_SP_SKU",$D96,B$1)</f>
        <v>Primary</v>
      </c>
      <c r="C96" s="24" t="str">
        <f>_xll.DBRW("TM1-S1_DEV:}ElementAttributes_SP_SKU",$D96,C$1)</f>
        <v>CHEESE</v>
      </c>
      <c r="D96" s="28" t="s">
        <v>411</v>
      </c>
      <c r="E96" s="28" t="s">
        <v>118</v>
      </c>
      <c r="F96" s="28" t="s">
        <v>101</v>
      </c>
      <c r="G96" s="4">
        <f>_xll.DBRW($C$2,$G$19,G$20,$D$18,$D$3,$D96,$E96,$F96,G$3)</f>
        <v>74</v>
      </c>
      <c r="H96" s="54">
        <f t="shared" si="36"/>
        <v>-5</v>
      </c>
      <c r="I96" s="4"/>
      <c r="J96" s="25">
        <f>_xll.DBRW($C$2,$J$1,J$2,$D$18,$D$3,$D96,$E96,$F96,J$3)</f>
        <v>69</v>
      </c>
      <c r="K96" s="39">
        <f>_xll.DBRW($C$2,$J$1,J$2,$D$18,$D$3,$D96,$E96,$F96,K$3)</f>
        <v>0</v>
      </c>
      <c r="L96" s="25">
        <f>_xll.DBRW($C$2,$J$1,J$2,$D$18,$D$3,$D96,$E96,$F96,L$3)</f>
        <v>0</v>
      </c>
      <c r="M96" s="25">
        <f>_xll.DBRW($C$2,$J$1,J$2,$D$18,$D$3,$D96,$E96,$F96,M$3)</f>
        <v>52</v>
      </c>
      <c r="N96" s="25">
        <f>_xll.DBRW($C$2,$J$1,J$2,$D$18,$D$3,$D96,$E96,$F96,N$3)</f>
        <v>26</v>
      </c>
      <c r="O96" s="64">
        <f>_xll.DBRW($C$2,$J$1,J$2,$D$18,$D$3,$D96,$E96,$F96,O$3)</f>
        <v>1</v>
      </c>
      <c r="P96" s="58">
        <f>_xll.DBRW($C$2,$J$1,J$2,$D$18,$D$3,$D96,$E96,$F96,P$3)</f>
        <v>0</v>
      </c>
      <c r="Q96" s="48">
        <f>_xll.DBRW($C$2,$J$1,J$2,$D$18,$D$3,$D96,$E96,$F96,Q$3)</f>
        <v>95</v>
      </c>
      <c r="R96" s="39">
        <f>_xll.DBRW($C$2,$R$1,R$2,$D$18,$D$3,$D96,$E96,$F96,R$3)</f>
        <v>0</v>
      </c>
      <c r="S96" s="25" cm="1">
        <f t="array" ref="S96">_xll.DBRW($E$2,R$1,R$2,$D$18,$D$3,$D96,$E96,$F96,$F$3,S$3)</f>
        <v>39</v>
      </c>
      <c r="T96" s="25">
        <f>_xll.DBRW($C$2,$R$1,R$2,$D$18,$D$3,$D96,$E96,$F96,T$3)</f>
        <v>0</v>
      </c>
      <c r="U96" s="64">
        <f>_xll.DBRW($C$2,$R$1,R$2,$D$18,$D$3,$D96,$E96,$F96,U$3)</f>
        <v>0</v>
      </c>
      <c r="V96" s="58">
        <f>_xll.DBRW($C$2,$R$1,R$2,$D$18,$D$3,$D96,$E96,$F96,V$3)</f>
        <v>0</v>
      </c>
      <c r="W96" s="48">
        <f t="shared" si="37"/>
        <v>134</v>
      </c>
      <c r="X96" s="39">
        <f>_xll.DBRW($C$2,$X$1,X$2,$D$18,$D$3,$D96,$E96,$F96,X$3)</f>
        <v>0</v>
      </c>
      <c r="Y96" s="25" cm="1">
        <f t="array" ref="Y96">_xll.DBRW($E$2,X$1,X$2,$D$18,$D$3,$D96,$E96,$F96,$F$3,Y$3)</f>
        <v>0</v>
      </c>
      <c r="Z96" s="25">
        <f>_xll.DBRW($C$2,$X$1,X$2,$D$18,$D$3,$D96,$E96,$F96,Z$3)</f>
        <v>24</v>
      </c>
      <c r="AA96" s="64">
        <f>_xll.DBRW($C$2,$X$1,X$2,$D$18,$D$3,$D96,$E96,$F96,AA$3)</f>
        <v>0</v>
      </c>
      <c r="AB96" s="58">
        <f>_xll.DBRW($C$2,$X$1,X$2,$D$18,$D$3,$D96,$E96,$F96,AB$3)</f>
        <v>0</v>
      </c>
      <c r="AC96" s="48">
        <f t="shared" si="38"/>
        <v>110</v>
      </c>
      <c r="AD96" s="39">
        <f>_xll.DBRW($C$2,$AD$1,AD$2,$D$18,$D$3,$D96,$E96,$F96,AD$3)</f>
        <v>0</v>
      </c>
      <c r="AE96" s="25" cm="1">
        <f t="array" ref="AE96">_xll.DBRW($E$2,AD$1,AD$2,$D$18,$D$3,$D96,$E96,$F96,$F$3,AE$3)</f>
        <v>0</v>
      </c>
      <c r="AF96" s="25">
        <f>_xll.DBRW($C$2,$AD$1,AD$2,$D$18,$D$3,$D96,$E96,$F96,AF$3)</f>
        <v>24</v>
      </c>
      <c r="AG96" s="64">
        <f>_xll.DBRW($C$2,$AD$1,AD$2,$D$18,$D$3,$D96,$E96,$F96,AG$3)</f>
        <v>0</v>
      </c>
      <c r="AH96" s="58">
        <f>_xll.DBRW($C$2,$AD$1,AD$2,$D$18,$D$3,$D96,$E96,$F96,AH$3)</f>
        <v>0</v>
      </c>
      <c r="AI96" s="48">
        <f t="shared" si="39"/>
        <v>86</v>
      </c>
      <c r="AJ96" s="39">
        <f>_xll.DBRW($C$2,$AJ$1,AJ$2,$D$18,$D$3,$D96,$E96,$F96,AJ$3)</f>
        <v>0</v>
      </c>
      <c r="AK96" s="25" cm="1">
        <f t="array" ref="AK96">_xll.DBRW($E$2,AJ$1,AJ$2,$D$18,$D$3,$D96,$E96,$F96,$F$3,AK$3)</f>
        <v>0</v>
      </c>
      <c r="AL96" s="25">
        <f>_xll.DBRW($C$2,$AJ$1,AJ$2,$D$18,$D$3,$D96,$E96,$F96,AL$3)</f>
        <v>24</v>
      </c>
      <c r="AM96" s="64">
        <f>_xll.DBRW($C$2,$AJ$1,AJ$2,$D$18,$D$3,$D96,$E96,$F96,AM$3)</f>
        <v>0</v>
      </c>
      <c r="AN96" s="58">
        <f>_xll.DBRW($C$2,$AJ$1,AJ$2,$D$18,$D$3,$D96,$E96,$F96,AN$3)</f>
        <v>0</v>
      </c>
      <c r="AO96" s="48">
        <f t="shared" si="40"/>
        <v>62</v>
      </c>
      <c r="AP96" s="39">
        <f>_xll.DBRW($C$2,$AP$1,AP$2,$D$18,$D$3,$D96,$E96,$F96,AP$3)</f>
        <v>0</v>
      </c>
      <c r="AQ96" s="25" cm="1">
        <f t="array" ref="AQ96">_xll.DBRW($E$2,AP$1,AP$2,$D$18,$D$3,$D96,$E96,$F96,$F$3,AQ$3)</f>
        <v>0</v>
      </c>
      <c r="AR96" s="25">
        <f>_xll.DBRW($C$2,$AP$1,AP$2,$D$18,$D$3,$D96,$E96,$F96,AR$3)</f>
        <v>24</v>
      </c>
      <c r="AS96" s="64">
        <f>_xll.DBRW($C$2,$AP$1,AP$2,$D$18,$D$3,$D96,$E96,$F96,AS$3)</f>
        <v>0</v>
      </c>
      <c r="AT96" s="58">
        <f>_xll.DBRW($C$2,$AP$1,AP$2,$D$18,$D$3,$D96,$E96,$F96,AT$3)</f>
        <v>0</v>
      </c>
      <c r="AU96" s="48">
        <f t="shared" si="41"/>
        <v>38</v>
      </c>
      <c r="AV96" s="39">
        <f>_xll.DBRW($C$2,$AV$1,AV$2,$D$18,$D$3,$D96,$E96,$F96,AV$3)</f>
        <v>0</v>
      </c>
      <c r="AW96" s="25" cm="1">
        <f t="array" ref="AW96">_xll.DBRW($E$2,AV$1,AV$2,$D$18,$D$3,$D96,$E96,$F96,$F$3,AW$3)</f>
        <v>0</v>
      </c>
      <c r="AX96" s="25">
        <f>_xll.DBRW($C$2,$AV$1,AV$2,$D$18,$D$3,$D96,$E96,$F96,AX$3)</f>
        <v>24</v>
      </c>
      <c r="AY96" s="64">
        <f>_xll.DBRW($C$2,$AV$1,AV$2,$D$18,$D$3,$D96,$E96,$F96,AY$3)</f>
        <v>0</v>
      </c>
      <c r="AZ96" s="58">
        <f>_xll.DBRW($C$2,$AV$1,AV$2,$D$18,$D$3,$D96,$E96,$F96,AZ$3)</f>
        <v>0</v>
      </c>
      <c r="BA96" s="48">
        <f t="shared" si="42"/>
        <v>14</v>
      </c>
      <c r="BB96" s="39">
        <f>_xll.DBRW($C$2,$BB$1,BB$2,$D$18,$D$3,$D96,$E96,$F96,BB$3)</f>
        <v>0</v>
      </c>
      <c r="BC96" s="25" cm="1">
        <f t="array" ref="BC96">_xll.DBRW($E$2,BB$1,BB$2,$D$18,$D$3,$D96,$E96,$F96,$F$3,BC$3)</f>
        <v>0</v>
      </c>
      <c r="BD96" s="25">
        <f>_xll.DBRW($C$2,$BB$1,BB$2,$D$18,$D$3,$D96,$E96,$F96,BD$3)</f>
        <v>24</v>
      </c>
      <c r="BE96" s="64">
        <f>_xll.DBRW($C$2,$BB$1,BB$2,$D$18,$D$3,$D96,$E96,$F96,BE$3)</f>
        <v>0</v>
      </c>
      <c r="BF96" s="58">
        <f>_xll.DBRW($C$2,$BB$1,BB$2,$D$18,$D$3,$D96,$E96,$F96,BF$3)</f>
        <v>0</v>
      </c>
      <c r="BG96" s="48">
        <f t="shared" si="43"/>
        <v>-10</v>
      </c>
      <c r="BH96" s="39">
        <f>_xll.DBRW($C$2,$BH$1,BH$2,$D$18,$D$3,$D96,$E96,$F96,BH$3)</f>
        <v>0</v>
      </c>
      <c r="BI96" s="25" cm="1">
        <f t="array" ref="BI96">_xll.DBRW($E$2,BH$1,BH$2,$D$18,$D$3,$D96,$E96,$F96,$F$3,BI$3)</f>
        <v>0</v>
      </c>
      <c r="BJ96" s="25">
        <f>_xll.DBRW($C$2,$BH$1,BH$2,$D$18,$D$3,$D96,$E96,$F96,BJ$3)</f>
        <v>24</v>
      </c>
      <c r="BK96" s="64">
        <f>_xll.DBRW($C$2,$BH$1,BH$2,$D$18,$D$3,$D96,$E96,$F96,BK$3)</f>
        <v>0</v>
      </c>
      <c r="BL96" s="58">
        <f>_xll.DBRW($C$2,$BH$1,BH$2,$D$18,$D$3,$D96,$E96,$F96,BL$3)</f>
        <v>0</v>
      </c>
      <c r="BM96" s="48">
        <f t="shared" si="44"/>
        <v>-34</v>
      </c>
      <c r="BN96" s="39">
        <f>_xll.DBRW($C$2,$BN$1,BN$2,$D$18,$D$3,$D96,$E96,$F96,BN$3)</f>
        <v>0</v>
      </c>
      <c r="BO96" s="25" cm="1">
        <f t="array" ref="BO96">_xll.DBRW($E$2,BN$1,BN$2,$D$18,$D$3,$D96,$E96,$F96,$F$3,BO$3)</f>
        <v>0</v>
      </c>
      <c r="BP96" s="25">
        <f>_xll.DBRW($C$2,$BN$1,BN$2,$D$18,$D$3,$D96,$E96,$F96,BP$3)</f>
        <v>24</v>
      </c>
      <c r="BQ96" s="64">
        <f>_xll.DBRW($C$2,$BN$1,BN$2,$D$18,$D$3,$D96,$E96,$F96,BQ$3)</f>
        <v>0</v>
      </c>
      <c r="BR96" s="58">
        <f>_xll.DBRW($C$2,$BN$1,BN$2,$D$18,$D$3,$D96,$E96,$F96,BR$3)</f>
        <v>0</v>
      </c>
      <c r="BS96" s="48">
        <f t="shared" si="45"/>
        <v>-58</v>
      </c>
      <c r="BT96" s="39">
        <f>_xll.DBRW($C$2,$BT$1,BT$2,$D$18,$D$3,$D96,$E96,$F96,BT$3)</f>
        <v>0</v>
      </c>
      <c r="BU96" s="25" cm="1">
        <f t="array" ref="BU96">_xll.DBRW($E$2,BT$1,BT$2,$D$18,$D$3,$D96,$E96,$F96,$F$3,BU$3)</f>
        <v>0</v>
      </c>
      <c r="BV96" s="25">
        <f>_xll.DBRW($C$2,$BT$1,BT$2,$D$18,$D$3,$D96,$E96,$F96,BV$3)</f>
        <v>24</v>
      </c>
      <c r="BW96" s="64">
        <f>_xll.DBRW($C$2,$BT$1,BT$2,$D$18,$D$3,$D96,$E96,$F96,BW$3)</f>
        <v>0</v>
      </c>
      <c r="BX96" s="58">
        <f>_xll.DBRW($C$2,$BT$1,BT$2,$D$18,$D$3,$D96,$E96,$F96,BX$3)</f>
        <v>0</v>
      </c>
      <c r="BY96" s="48">
        <f t="shared" si="46"/>
        <v>-82</v>
      </c>
      <c r="BZ96" s="39">
        <f>_xll.DBRW($C$2,$BZ$1,BZ$2,$D$18,$D$3,$D96,$E96,$F96,BZ$3)</f>
        <v>0</v>
      </c>
      <c r="CA96" s="25" cm="1">
        <f t="array" ref="CA96">_xll.DBRW($E$2,BZ$1,BZ$2,$D$18,$D$3,$D96,$E96,$F96,$F$3,CA$3)</f>
        <v>0</v>
      </c>
      <c r="CB96" s="25">
        <f>_xll.DBRW($C$2,$BZ$1,BZ$2,$D$18,$D$3,$D96,$E96,$F96,CB$3)</f>
        <v>24</v>
      </c>
      <c r="CC96" s="64">
        <f>_xll.DBRW($C$2,$BZ$1,BZ$2,$D$18,$D$3,$D96,$E96,$F96,CC$3)</f>
        <v>0</v>
      </c>
      <c r="CD96" s="58">
        <f>_xll.DBRW($C$2,$BZ$1,BZ$2,$D$18,$D$3,$D96,$E96,$F96,CD$3)</f>
        <v>0</v>
      </c>
      <c r="CE96" s="48">
        <f t="shared" si="47"/>
        <v>-106</v>
      </c>
    </row>
    <row r="97" spans="1:83" s="23" customFormat="1" outlineLevel="1" thickBot="1" x14ac:dyDescent="0.3">
      <c r="A97" s="91" t="str">
        <f>IF(_xll.TM1RPTELISCONSOLIDATED($F$22,$F97),IF(_xll.TM1RPTELLEV($F$22,$F97)&lt;=5,_xll.TM1RPTELLEV($F$22,$F97),"Default"),"Leaf")</f>
        <v>Leaf</v>
      </c>
      <c r="B97" s="24" t="str">
        <f>_xll.DBRW("TM1-S1_DEV:}ElementAttributes_SP_SKU",$D97,B$1)</f>
        <v>Primary</v>
      </c>
      <c r="C97" s="24" t="str">
        <f>_xll.DBRW("TM1-S1_DEV:}ElementAttributes_SP_SKU",$D97,C$1)</f>
        <v>CONDIMENT</v>
      </c>
      <c r="D97" s="28" t="s">
        <v>412</v>
      </c>
      <c r="E97" s="28" t="s">
        <v>144</v>
      </c>
      <c r="F97" s="28" t="s">
        <v>19</v>
      </c>
      <c r="G97" s="4">
        <f>_xll.DBRW($C$2,$G$19,G$20,$D$18,$D$3,$D97,$E97,$F97,G$3)</f>
        <v>21</v>
      </c>
      <c r="H97" s="54">
        <f t="shared" si="36"/>
        <v>-3</v>
      </c>
      <c r="I97" s="4"/>
      <c r="J97" s="25">
        <f>_xll.DBRW($C$2,$J$1,J$2,$D$18,$D$3,$D97,$E97,$F97,J$3)</f>
        <v>18</v>
      </c>
      <c r="K97" s="39">
        <f>_xll.DBRW($C$2,$J$1,J$2,$D$18,$D$3,$D97,$E97,$F97,K$3)</f>
        <v>0</v>
      </c>
      <c r="L97" s="25">
        <f>_xll.DBRW($C$2,$J$1,J$2,$D$18,$D$3,$D97,$E97,$F97,L$3)</f>
        <v>0</v>
      </c>
      <c r="M97" s="25">
        <f>_xll.DBRW($C$2,$J$1,J$2,$D$18,$D$3,$D97,$E97,$F97,M$3)</f>
        <v>26</v>
      </c>
      <c r="N97" s="25">
        <f>_xll.DBRW($C$2,$J$1,J$2,$D$18,$D$3,$D97,$E97,$F97,N$3)</f>
        <v>5</v>
      </c>
      <c r="O97" s="64">
        <f>_xll.DBRW($C$2,$J$1,J$2,$D$18,$D$3,$D97,$E97,$F97,O$3)</f>
        <v>1</v>
      </c>
      <c r="P97" s="58">
        <f>_xll.DBRW($C$2,$J$1,J$2,$D$18,$D$3,$D97,$E97,$F97,P$3)</f>
        <v>0</v>
      </c>
      <c r="Q97" s="48">
        <f>_xll.DBRW($C$2,$J$1,J$2,$D$18,$D$3,$D97,$E97,$F97,Q$3)</f>
        <v>39</v>
      </c>
      <c r="R97" s="39">
        <f>_xll.DBRW($C$2,$R$1,R$2,$D$18,$D$3,$D97,$E97,$F97,R$3)</f>
        <v>0</v>
      </c>
      <c r="S97" s="25" cm="1">
        <f t="array" ref="S97">_xll.DBRW($E$2,R$1,R$2,$D$18,$D$3,$D97,$E97,$F97,$F$3,S$3)</f>
        <v>0</v>
      </c>
      <c r="T97" s="25">
        <f>_xll.DBRW($C$2,$R$1,R$2,$D$18,$D$3,$D97,$E97,$F97,T$3)</f>
        <v>0</v>
      </c>
      <c r="U97" s="64">
        <f>_xll.DBRW($C$2,$R$1,R$2,$D$18,$D$3,$D97,$E97,$F97,U$3)</f>
        <v>0</v>
      </c>
      <c r="V97" s="58">
        <f>_xll.DBRW($C$2,$R$1,R$2,$D$18,$D$3,$D97,$E97,$F97,V$3)</f>
        <v>0</v>
      </c>
      <c r="W97" s="48">
        <f t="shared" si="37"/>
        <v>39</v>
      </c>
      <c r="X97" s="39">
        <f>_xll.DBRW($C$2,$X$1,X$2,$D$18,$D$3,$D97,$E97,$F97,X$3)</f>
        <v>0</v>
      </c>
      <c r="Y97" s="25" cm="1">
        <f t="array" ref="Y97">_xll.DBRW($E$2,X$1,X$2,$D$18,$D$3,$D97,$E97,$F97,$F$3,Y$3)</f>
        <v>0</v>
      </c>
      <c r="Z97" s="25">
        <f>_xll.DBRW($C$2,$X$1,X$2,$D$18,$D$3,$D97,$E97,$F97,Z$3)</f>
        <v>8</v>
      </c>
      <c r="AA97" s="64">
        <f>_xll.DBRW($C$2,$X$1,X$2,$D$18,$D$3,$D97,$E97,$F97,AA$3)</f>
        <v>0</v>
      </c>
      <c r="AB97" s="58">
        <f>_xll.DBRW($C$2,$X$1,X$2,$D$18,$D$3,$D97,$E97,$F97,AB$3)</f>
        <v>0</v>
      </c>
      <c r="AC97" s="48">
        <f t="shared" si="38"/>
        <v>31</v>
      </c>
      <c r="AD97" s="39">
        <f>_xll.DBRW($C$2,$AD$1,AD$2,$D$18,$D$3,$D97,$E97,$F97,AD$3)</f>
        <v>0</v>
      </c>
      <c r="AE97" s="25" cm="1">
        <f t="array" ref="AE97">_xll.DBRW($E$2,AD$1,AD$2,$D$18,$D$3,$D97,$E97,$F97,$F$3,AE$3)</f>
        <v>0</v>
      </c>
      <c r="AF97" s="25">
        <f>_xll.DBRW($C$2,$AD$1,AD$2,$D$18,$D$3,$D97,$E97,$F97,AF$3)</f>
        <v>8</v>
      </c>
      <c r="AG97" s="64">
        <f>_xll.DBRW($C$2,$AD$1,AD$2,$D$18,$D$3,$D97,$E97,$F97,AG$3)</f>
        <v>0</v>
      </c>
      <c r="AH97" s="58">
        <f>_xll.DBRW($C$2,$AD$1,AD$2,$D$18,$D$3,$D97,$E97,$F97,AH$3)</f>
        <v>0</v>
      </c>
      <c r="AI97" s="48">
        <f t="shared" si="39"/>
        <v>23</v>
      </c>
      <c r="AJ97" s="39">
        <f>_xll.DBRW($C$2,$AJ$1,AJ$2,$D$18,$D$3,$D97,$E97,$F97,AJ$3)</f>
        <v>0</v>
      </c>
      <c r="AK97" s="25" cm="1">
        <f t="array" ref="AK97">_xll.DBRW($E$2,AJ$1,AJ$2,$D$18,$D$3,$D97,$E97,$F97,$F$3,AK$3)</f>
        <v>0</v>
      </c>
      <c r="AL97" s="25">
        <f>_xll.DBRW($C$2,$AJ$1,AJ$2,$D$18,$D$3,$D97,$E97,$F97,AL$3)</f>
        <v>8</v>
      </c>
      <c r="AM97" s="64">
        <f>_xll.DBRW($C$2,$AJ$1,AJ$2,$D$18,$D$3,$D97,$E97,$F97,AM$3)</f>
        <v>0</v>
      </c>
      <c r="AN97" s="58">
        <f>_xll.DBRW($C$2,$AJ$1,AJ$2,$D$18,$D$3,$D97,$E97,$F97,AN$3)</f>
        <v>0</v>
      </c>
      <c r="AO97" s="48">
        <f t="shared" si="40"/>
        <v>15</v>
      </c>
      <c r="AP97" s="39">
        <f>_xll.DBRW($C$2,$AP$1,AP$2,$D$18,$D$3,$D97,$E97,$F97,AP$3)</f>
        <v>0</v>
      </c>
      <c r="AQ97" s="25" cm="1">
        <f t="array" ref="AQ97">_xll.DBRW($E$2,AP$1,AP$2,$D$18,$D$3,$D97,$E97,$F97,$F$3,AQ$3)</f>
        <v>0</v>
      </c>
      <c r="AR97" s="25">
        <f>_xll.DBRW($C$2,$AP$1,AP$2,$D$18,$D$3,$D97,$E97,$F97,AR$3)</f>
        <v>8</v>
      </c>
      <c r="AS97" s="64">
        <f>_xll.DBRW($C$2,$AP$1,AP$2,$D$18,$D$3,$D97,$E97,$F97,AS$3)</f>
        <v>0</v>
      </c>
      <c r="AT97" s="58">
        <f>_xll.DBRW($C$2,$AP$1,AP$2,$D$18,$D$3,$D97,$E97,$F97,AT$3)</f>
        <v>0</v>
      </c>
      <c r="AU97" s="48">
        <f t="shared" si="41"/>
        <v>7</v>
      </c>
      <c r="AV97" s="39">
        <f>_xll.DBRW($C$2,$AV$1,AV$2,$D$18,$D$3,$D97,$E97,$F97,AV$3)</f>
        <v>0</v>
      </c>
      <c r="AW97" s="25" cm="1">
        <f t="array" ref="AW97">_xll.DBRW($E$2,AV$1,AV$2,$D$18,$D$3,$D97,$E97,$F97,$F$3,AW$3)</f>
        <v>0</v>
      </c>
      <c r="AX97" s="25">
        <f>_xll.DBRW($C$2,$AV$1,AV$2,$D$18,$D$3,$D97,$E97,$F97,AX$3)</f>
        <v>8</v>
      </c>
      <c r="AY97" s="64">
        <f>_xll.DBRW($C$2,$AV$1,AV$2,$D$18,$D$3,$D97,$E97,$F97,AY$3)</f>
        <v>0</v>
      </c>
      <c r="AZ97" s="58">
        <f>_xll.DBRW($C$2,$AV$1,AV$2,$D$18,$D$3,$D97,$E97,$F97,AZ$3)</f>
        <v>0</v>
      </c>
      <c r="BA97" s="48">
        <f t="shared" si="42"/>
        <v>-1</v>
      </c>
      <c r="BB97" s="39">
        <f>_xll.DBRW($C$2,$BB$1,BB$2,$D$18,$D$3,$D97,$E97,$F97,BB$3)</f>
        <v>0</v>
      </c>
      <c r="BC97" s="25" cm="1">
        <f t="array" ref="BC97">_xll.DBRW($E$2,BB$1,BB$2,$D$18,$D$3,$D97,$E97,$F97,$F$3,BC$3)</f>
        <v>0</v>
      </c>
      <c r="BD97" s="25">
        <f>_xll.DBRW($C$2,$BB$1,BB$2,$D$18,$D$3,$D97,$E97,$F97,BD$3)</f>
        <v>8</v>
      </c>
      <c r="BE97" s="64">
        <f>_xll.DBRW($C$2,$BB$1,BB$2,$D$18,$D$3,$D97,$E97,$F97,BE$3)</f>
        <v>0</v>
      </c>
      <c r="BF97" s="58">
        <f>_xll.DBRW($C$2,$BB$1,BB$2,$D$18,$D$3,$D97,$E97,$F97,BF$3)</f>
        <v>0</v>
      </c>
      <c r="BG97" s="48">
        <f t="shared" si="43"/>
        <v>-9</v>
      </c>
      <c r="BH97" s="39">
        <f>_xll.DBRW($C$2,$BH$1,BH$2,$D$18,$D$3,$D97,$E97,$F97,BH$3)</f>
        <v>0</v>
      </c>
      <c r="BI97" s="25" cm="1">
        <f t="array" ref="BI97">_xll.DBRW($E$2,BH$1,BH$2,$D$18,$D$3,$D97,$E97,$F97,$F$3,BI$3)</f>
        <v>0</v>
      </c>
      <c r="BJ97" s="25">
        <f>_xll.DBRW($C$2,$BH$1,BH$2,$D$18,$D$3,$D97,$E97,$F97,BJ$3)</f>
        <v>8</v>
      </c>
      <c r="BK97" s="64">
        <f>_xll.DBRW($C$2,$BH$1,BH$2,$D$18,$D$3,$D97,$E97,$F97,BK$3)</f>
        <v>0</v>
      </c>
      <c r="BL97" s="58">
        <f>_xll.DBRW($C$2,$BH$1,BH$2,$D$18,$D$3,$D97,$E97,$F97,BL$3)</f>
        <v>0</v>
      </c>
      <c r="BM97" s="48">
        <f t="shared" si="44"/>
        <v>-17</v>
      </c>
      <c r="BN97" s="39">
        <f>_xll.DBRW($C$2,$BN$1,BN$2,$D$18,$D$3,$D97,$E97,$F97,BN$3)</f>
        <v>0</v>
      </c>
      <c r="BO97" s="25" cm="1">
        <f t="array" ref="BO97">_xll.DBRW($E$2,BN$1,BN$2,$D$18,$D$3,$D97,$E97,$F97,$F$3,BO$3)</f>
        <v>0</v>
      </c>
      <c r="BP97" s="25">
        <f>_xll.DBRW($C$2,$BN$1,BN$2,$D$18,$D$3,$D97,$E97,$F97,BP$3)</f>
        <v>8</v>
      </c>
      <c r="BQ97" s="64">
        <f>_xll.DBRW($C$2,$BN$1,BN$2,$D$18,$D$3,$D97,$E97,$F97,BQ$3)</f>
        <v>0</v>
      </c>
      <c r="BR97" s="58">
        <f>_xll.DBRW($C$2,$BN$1,BN$2,$D$18,$D$3,$D97,$E97,$F97,BR$3)</f>
        <v>0</v>
      </c>
      <c r="BS97" s="48">
        <f t="shared" si="45"/>
        <v>-25</v>
      </c>
      <c r="BT97" s="39">
        <f>_xll.DBRW($C$2,$BT$1,BT$2,$D$18,$D$3,$D97,$E97,$F97,BT$3)</f>
        <v>0</v>
      </c>
      <c r="BU97" s="25" cm="1">
        <f t="array" ref="BU97">_xll.DBRW($E$2,BT$1,BT$2,$D$18,$D$3,$D97,$E97,$F97,$F$3,BU$3)</f>
        <v>0</v>
      </c>
      <c r="BV97" s="25">
        <f>_xll.DBRW($C$2,$BT$1,BT$2,$D$18,$D$3,$D97,$E97,$F97,BV$3)</f>
        <v>8</v>
      </c>
      <c r="BW97" s="64">
        <f>_xll.DBRW($C$2,$BT$1,BT$2,$D$18,$D$3,$D97,$E97,$F97,BW$3)</f>
        <v>0</v>
      </c>
      <c r="BX97" s="58">
        <f>_xll.DBRW($C$2,$BT$1,BT$2,$D$18,$D$3,$D97,$E97,$F97,BX$3)</f>
        <v>0</v>
      </c>
      <c r="BY97" s="48">
        <f t="shared" si="46"/>
        <v>-33</v>
      </c>
      <c r="BZ97" s="39">
        <f>_xll.DBRW($C$2,$BZ$1,BZ$2,$D$18,$D$3,$D97,$E97,$F97,BZ$3)</f>
        <v>0</v>
      </c>
      <c r="CA97" s="25" cm="1">
        <f t="array" ref="CA97">_xll.DBRW($E$2,BZ$1,BZ$2,$D$18,$D$3,$D97,$E97,$F97,$F$3,CA$3)</f>
        <v>0</v>
      </c>
      <c r="CB97" s="25">
        <f>_xll.DBRW($C$2,$BZ$1,BZ$2,$D$18,$D$3,$D97,$E97,$F97,CB$3)</f>
        <v>8</v>
      </c>
      <c r="CC97" s="64">
        <f>_xll.DBRW($C$2,$BZ$1,BZ$2,$D$18,$D$3,$D97,$E97,$F97,CC$3)</f>
        <v>0</v>
      </c>
      <c r="CD97" s="58">
        <f>_xll.DBRW($C$2,$BZ$1,BZ$2,$D$18,$D$3,$D97,$E97,$F97,CD$3)</f>
        <v>0</v>
      </c>
      <c r="CE97" s="48">
        <f t="shared" si="47"/>
        <v>-41</v>
      </c>
    </row>
    <row r="98" spans="1:83" s="23" customFormat="1" outlineLevel="1" thickBot="1" x14ac:dyDescent="0.3">
      <c r="A98" s="91" t="str">
        <f>IF(_xll.TM1RPTELISCONSOLIDATED($F$22,$F98),IF(_xll.TM1RPTELLEV($F$22,$F98)&lt;=5,_xll.TM1RPTELLEV($F$22,$F98),"Default"),"Leaf")</f>
        <v>Leaf</v>
      </c>
      <c r="B98" s="24" t="str">
        <f>_xll.DBRW("TM1-S1_DEV:}ElementAttributes_SP_SKU",$D98,B$1)</f>
        <v>Primary</v>
      </c>
      <c r="C98" s="24" t="str">
        <f>_xll.DBRW("TM1-S1_DEV:}ElementAttributes_SP_SKU",$D98,C$1)</f>
        <v>CHEESE</v>
      </c>
      <c r="D98" s="28" t="s">
        <v>459</v>
      </c>
      <c r="E98" s="28" t="s">
        <v>119</v>
      </c>
      <c r="F98" s="28" t="s">
        <v>101</v>
      </c>
      <c r="G98" s="4">
        <f>_xll.DBRW($C$2,$G$19,G$20,$D$18,$D$3,$D98,$E98,$F98,G$3)</f>
        <v>926</v>
      </c>
      <c r="H98" s="54">
        <f t="shared" si="36"/>
        <v>-207</v>
      </c>
      <c r="I98" s="4"/>
      <c r="J98" s="25">
        <f>_xll.DBRW($C$2,$J$1,J$2,$D$18,$D$3,$D98,$E98,$F98,J$3)</f>
        <v>719</v>
      </c>
      <c r="K98" s="39">
        <f>_xll.DBRW($C$2,$J$1,J$2,$D$18,$D$3,$D98,$E98,$F98,K$3)</f>
        <v>0</v>
      </c>
      <c r="L98" s="25">
        <f>_xll.DBRW($C$2,$J$1,J$2,$D$18,$D$3,$D98,$E98,$F98,L$3)</f>
        <v>0</v>
      </c>
      <c r="M98" s="25">
        <f>_xll.DBRW($C$2,$J$1,J$2,$D$18,$D$3,$D98,$E98,$F98,M$3)</f>
        <v>13</v>
      </c>
      <c r="N98" s="25">
        <f>_xll.DBRW($C$2,$J$1,J$2,$D$18,$D$3,$D98,$E98,$F98,N$3)</f>
        <v>0</v>
      </c>
      <c r="O98" s="64">
        <f>_xll.DBRW($C$2,$J$1,J$2,$D$18,$D$3,$D98,$E98,$F98,O$3)</f>
        <v>0</v>
      </c>
      <c r="P98" s="58">
        <f>_xll.DBRW($C$2,$J$1,J$2,$D$18,$D$3,$D98,$E98,$F98,P$3)</f>
        <v>0</v>
      </c>
      <c r="Q98" s="48">
        <f>_xll.DBRW($C$2,$J$1,J$2,$D$18,$D$3,$D98,$E98,$F98,Q$3)</f>
        <v>732</v>
      </c>
      <c r="R98" s="39">
        <f>_xll.DBRW($C$2,$R$1,R$2,$D$18,$D$3,$D98,$E98,$F98,R$3)</f>
        <v>0</v>
      </c>
      <c r="S98" s="25" cm="1">
        <f t="array" ref="S98">_xll.DBRW($E$2,R$1,R$2,$D$18,$D$3,$D98,$E98,$F98,$F$3,S$3)</f>
        <v>13</v>
      </c>
      <c r="T98" s="25">
        <f>_xll.DBRW($C$2,$R$1,R$2,$D$18,$D$3,$D98,$E98,$F98,T$3)</f>
        <v>0</v>
      </c>
      <c r="U98" s="64">
        <f>_xll.DBRW($C$2,$R$1,R$2,$D$18,$D$3,$D98,$E98,$F98,U$3)</f>
        <v>0</v>
      </c>
      <c r="V98" s="58">
        <f>_xll.DBRW($C$2,$R$1,R$2,$D$18,$D$3,$D98,$E98,$F98,V$3)</f>
        <v>0</v>
      </c>
      <c r="W98" s="48">
        <f t="shared" si="37"/>
        <v>745</v>
      </c>
      <c r="X98" s="39">
        <f>_xll.DBRW($C$2,$X$1,X$2,$D$18,$D$3,$D98,$E98,$F98,X$3)</f>
        <v>0</v>
      </c>
      <c r="Y98" s="25" cm="1">
        <f t="array" ref="Y98">_xll.DBRW($E$2,X$1,X$2,$D$18,$D$3,$D98,$E98,$F98,$F$3,Y$3)</f>
        <v>65</v>
      </c>
      <c r="Z98" s="25">
        <f>_xll.DBRW($C$2,$X$1,X$2,$D$18,$D$3,$D98,$E98,$F98,Z$3)</f>
        <v>0</v>
      </c>
      <c r="AA98" s="64">
        <f>_xll.DBRW($C$2,$X$1,X$2,$D$18,$D$3,$D98,$E98,$F98,AA$3)</f>
        <v>0</v>
      </c>
      <c r="AB98" s="58">
        <f>_xll.DBRW($C$2,$X$1,X$2,$D$18,$D$3,$D98,$E98,$F98,AB$3)</f>
        <v>0</v>
      </c>
      <c r="AC98" s="48">
        <f t="shared" si="38"/>
        <v>810</v>
      </c>
      <c r="AD98" s="39">
        <f>_xll.DBRW($C$2,$AD$1,AD$2,$D$18,$D$3,$D98,$E98,$F98,AD$3)</f>
        <v>0</v>
      </c>
      <c r="AE98" s="25" cm="1">
        <f t="array" ref="AE98">_xll.DBRW($E$2,AD$1,AD$2,$D$18,$D$3,$D98,$E98,$F98,$F$3,AE$3)</f>
        <v>0</v>
      </c>
      <c r="AF98" s="25">
        <f>_xll.DBRW($C$2,$AD$1,AD$2,$D$18,$D$3,$D98,$E98,$F98,AF$3)</f>
        <v>0</v>
      </c>
      <c r="AG98" s="64">
        <f>_xll.DBRW($C$2,$AD$1,AD$2,$D$18,$D$3,$D98,$E98,$F98,AG$3)</f>
        <v>0</v>
      </c>
      <c r="AH98" s="58">
        <f>_xll.DBRW($C$2,$AD$1,AD$2,$D$18,$D$3,$D98,$E98,$F98,AH$3)</f>
        <v>0</v>
      </c>
      <c r="AI98" s="48">
        <f t="shared" si="39"/>
        <v>810</v>
      </c>
      <c r="AJ98" s="39">
        <f>_xll.DBRW($C$2,$AJ$1,AJ$2,$D$18,$D$3,$D98,$E98,$F98,AJ$3)</f>
        <v>0</v>
      </c>
      <c r="AK98" s="25" cm="1">
        <f t="array" ref="AK98">_xll.DBRW($E$2,AJ$1,AJ$2,$D$18,$D$3,$D98,$E98,$F98,$F$3,AK$3)</f>
        <v>0</v>
      </c>
      <c r="AL98" s="25">
        <f>_xll.DBRW($C$2,$AJ$1,AJ$2,$D$18,$D$3,$D98,$E98,$F98,AL$3)</f>
        <v>0</v>
      </c>
      <c r="AM98" s="64">
        <f>_xll.DBRW($C$2,$AJ$1,AJ$2,$D$18,$D$3,$D98,$E98,$F98,AM$3)</f>
        <v>0</v>
      </c>
      <c r="AN98" s="58">
        <f>_xll.DBRW($C$2,$AJ$1,AJ$2,$D$18,$D$3,$D98,$E98,$F98,AN$3)</f>
        <v>0</v>
      </c>
      <c r="AO98" s="48">
        <f t="shared" si="40"/>
        <v>810</v>
      </c>
      <c r="AP98" s="39">
        <f>_xll.DBRW($C$2,$AP$1,AP$2,$D$18,$D$3,$D98,$E98,$F98,AP$3)</f>
        <v>0</v>
      </c>
      <c r="AQ98" s="25" cm="1">
        <f t="array" ref="AQ98">_xll.DBRW($E$2,AP$1,AP$2,$D$18,$D$3,$D98,$E98,$F98,$F$3,AQ$3)</f>
        <v>0</v>
      </c>
      <c r="AR98" s="25">
        <f>_xll.DBRW($C$2,$AP$1,AP$2,$D$18,$D$3,$D98,$E98,$F98,AR$3)</f>
        <v>0</v>
      </c>
      <c r="AS98" s="64">
        <f>_xll.DBRW($C$2,$AP$1,AP$2,$D$18,$D$3,$D98,$E98,$F98,AS$3)</f>
        <v>0</v>
      </c>
      <c r="AT98" s="58">
        <f>_xll.DBRW($C$2,$AP$1,AP$2,$D$18,$D$3,$D98,$E98,$F98,AT$3)</f>
        <v>0</v>
      </c>
      <c r="AU98" s="48">
        <f t="shared" si="41"/>
        <v>810</v>
      </c>
      <c r="AV98" s="39">
        <f>_xll.DBRW($C$2,$AV$1,AV$2,$D$18,$D$3,$D98,$E98,$F98,AV$3)</f>
        <v>0</v>
      </c>
      <c r="AW98" s="25" cm="1">
        <f t="array" ref="AW98">_xll.DBRW($E$2,AV$1,AV$2,$D$18,$D$3,$D98,$E98,$F98,$F$3,AW$3)</f>
        <v>0</v>
      </c>
      <c r="AX98" s="25">
        <f>_xll.DBRW($C$2,$AV$1,AV$2,$D$18,$D$3,$D98,$E98,$F98,AX$3)</f>
        <v>0</v>
      </c>
      <c r="AY98" s="64">
        <f>_xll.DBRW($C$2,$AV$1,AV$2,$D$18,$D$3,$D98,$E98,$F98,AY$3)</f>
        <v>0</v>
      </c>
      <c r="AZ98" s="58">
        <f>_xll.DBRW($C$2,$AV$1,AV$2,$D$18,$D$3,$D98,$E98,$F98,AZ$3)</f>
        <v>0</v>
      </c>
      <c r="BA98" s="48">
        <f t="shared" si="42"/>
        <v>810</v>
      </c>
      <c r="BB98" s="39">
        <f>_xll.DBRW($C$2,$BB$1,BB$2,$D$18,$D$3,$D98,$E98,$F98,BB$3)</f>
        <v>0</v>
      </c>
      <c r="BC98" s="25" cm="1">
        <f t="array" ref="BC98">_xll.DBRW($E$2,BB$1,BB$2,$D$18,$D$3,$D98,$E98,$F98,$F$3,BC$3)</f>
        <v>0</v>
      </c>
      <c r="BD98" s="25">
        <f>_xll.DBRW($C$2,$BB$1,BB$2,$D$18,$D$3,$D98,$E98,$F98,BD$3)</f>
        <v>0</v>
      </c>
      <c r="BE98" s="64">
        <f>_xll.DBRW($C$2,$BB$1,BB$2,$D$18,$D$3,$D98,$E98,$F98,BE$3)</f>
        <v>0</v>
      </c>
      <c r="BF98" s="58">
        <f>_xll.DBRW($C$2,$BB$1,BB$2,$D$18,$D$3,$D98,$E98,$F98,BF$3)</f>
        <v>0</v>
      </c>
      <c r="BG98" s="48">
        <f t="shared" si="43"/>
        <v>810</v>
      </c>
      <c r="BH98" s="39">
        <f>_xll.DBRW($C$2,$BH$1,BH$2,$D$18,$D$3,$D98,$E98,$F98,BH$3)</f>
        <v>0</v>
      </c>
      <c r="BI98" s="25" cm="1">
        <f t="array" ref="BI98">_xll.DBRW($E$2,BH$1,BH$2,$D$18,$D$3,$D98,$E98,$F98,$F$3,BI$3)</f>
        <v>0</v>
      </c>
      <c r="BJ98" s="25">
        <f>_xll.DBRW($C$2,$BH$1,BH$2,$D$18,$D$3,$D98,$E98,$F98,BJ$3)</f>
        <v>0</v>
      </c>
      <c r="BK98" s="64">
        <f>_xll.DBRW($C$2,$BH$1,BH$2,$D$18,$D$3,$D98,$E98,$F98,BK$3)</f>
        <v>0</v>
      </c>
      <c r="BL98" s="58">
        <f>_xll.DBRW($C$2,$BH$1,BH$2,$D$18,$D$3,$D98,$E98,$F98,BL$3)</f>
        <v>0</v>
      </c>
      <c r="BM98" s="48">
        <f t="shared" si="44"/>
        <v>810</v>
      </c>
      <c r="BN98" s="39">
        <f>_xll.DBRW($C$2,$BN$1,BN$2,$D$18,$D$3,$D98,$E98,$F98,BN$3)</f>
        <v>0</v>
      </c>
      <c r="BO98" s="25" cm="1">
        <f t="array" ref="BO98">_xll.DBRW($E$2,BN$1,BN$2,$D$18,$D$3,$D98,$E98,$F98,$F$3,BO$3)</f>
        <v>0</v>
      </c>
      <c r="BP98" s="25">
        <f>_xll.DBRW($C$2,$BN$1,BN$2,$D$18,$D$3,$D98,$E98,$F98,BP$3)</f>
        <v>0</v>
      </c>
      <c r="BQ98" s="64">
        <f>_xll.DBRW($C$2,$BN$1,BN$2,$D$18,$D$3,$D98,$E98,$F98,BQ$3)</f>
        <v>0</v>
      </c>
      <c r="BR98" s="58">
        <f>_xll.DBRW($C$2,$BN$1,BN$2,$D$18,$D$3,$D98,$E98,$F98,BR$3)</f>
        <v>0</v>
      </c>
      <c r="BS98" s="48">
        <f t="shared" si="45"/>
        <v>810</v>
      </c>
      <c r="BT98" s="39">
        <f>_xll.DBRW($C$2,$BT$1,BT$2,$D$18,$D$3,$D98,$E98,$F98,BT$3)</f>
        <v>0</v>
      </c>
      <c r="BU98" s="25" cm="1">
        <f t="array" ref="BU98">_xll.DBRW($E$2,BT$1,BT$2,$D$18,$D$3,$D98,$E98,$F98,$F$3,BU$3)</f>
        <v>0</v>
      </c>
      <c r="BV98" s="25">
        <f>_xll.DBRW($C$2,$BT$1,BT$2,$D$18,$D$3,$D98,$E98,$F98,BV$3)</f>
        <v>0</v>
      </c>
      <c r="BW98" s="64">
        <f>_xll.DBRW($C$2,$BT$1,BT$2,$D$18,$D$3,$D98,$E98,$F98,BW$3)</f>
        <v>0</v>
      </c>
      <c r="BX98" s="58">
        <f>_xll.DBRW($C$2,$BT$1,BT$2,$D$18,$D$3,$D98,$E98,$F98,BX$3)</f>
        <v>0</v>
      </c>
      <c r="BY98" s="48">
        <f t="shared" si="46"/>
        <v>810</v>
      </c>
      <c r="BZ98" s="39">
        <f>_xll.DBRW($C$2,$BZ$1,BZ$2,$D$18,$D$3,$D98,$E98,$F98,BZ$3)</f>
        <v>0</v>
      </c>
      <c r="CA98" s="25" cm="1">
        <f t="array" ref="CA98">_xll.DBRW($E$2,BZ$1,BZ$2,$D$18,$D$3,$D98,$E98,$F98,$F$3,CA$3)</f>
        <v>0</v>
      </c>
      <c r="CB98" s="25">
        <f>_xll.DBRW($C$2,$BZ$1,BZ$2,$D$18,$D$3,$D98,$E98,$F98,CB$3)</f>
        <v>0</v>
      </c>
      <c r="CC98" s="64">
        <f>_xll.DBRW($C$2,$BZ$1,BZ$2,$D$18,$D$3,$D98,$E98,$F98,CC$3)</f>
        <v>0</v>
      </c>
      <c r="CD98" s="58">
        <f>_xll.DBRW($C$2,$BZ$1,BZ$2,$D$18,$D$3,$D98,$E98,$F98,CD$3)</f>
        <v>0</v>
      </c>
      <c r="CE98" s="48">
        <f t="shared" si="47"/>
        <v>810</v>
      </c>
    </row>
    <row r="99" spans="1:83" s="23" customFormat="1" outlineLevel="1" thickBot="1" x14ac:dyDescent="0.3">
      <c r="A99" s="91" t="str">
        <f>IF(_xll.TM1RPTELISCONSOLIDATED($F$22,$F99),IF(_xll.TM1RPTELLEV($F$22,$F99)&lt;=5,_xll.TM1RPTELLEV($F$22,$F99),"Default"),"Leaf")</f>
        <v>Leaf</v>
      </c>
      <c r="B99" s="24" t="str">
        <f>_xll.DBRW("TM1-S1_DEV:}ElementAttributes_SP_SKU",$D99,B$1)</f>
        <v>Primary</v>
      </c>
      <c r="C99" s="24" t="str">
        <f>_xll.DBRW("TM1-S1_DEV:}ElementAttributes_SP_SKU",$D99,C$1)</f>
        <v>CONDIMENT</v>
      </c>
      <c r="D99" s="28" t="s">
        <v>413</v>
      </c>
      <c r="E99" s="28" t="s">
        <v>238</v>
      </c>
      <c r="F99" s="28" t="s">
        <v>19</v>
      </c>
      <c r="G99" s="4">
        <f>_xll.DBRW($C$2,$G$19,G$20,$D$18,$D$3,$D99,$E99,$F99,G$3)</f>
        <v>21</v>
      </c>
      <c r="H99" s="54">
        <f t="shared" si="36"/>
        <v>-3</v>
      </c>
      <c r="I99" s="4"/>
      <c r="J99" s="25">
        <f>_xll.DBRW($C$2,$J$1,J$2,$D$18,$D$3,$D99,$E99,$F99,J$3)</f>
        <v>18</v>
      </c>
      <c r="K99" s="39">
        <f>_xll.DBRW($C$2,$J$1,J$2,$D$18,$D$3,$D99,$E99,$F99,K$3)</f>
        <v>0</v>
      </c>
      <c r="L99" s="25">
        <f>_xll.DBRW($C$2,$J$1,J$2,$D$18,$D$3,$D99,$E99,$F99,L$3)</f>
        <v>0</v>
      </c>
      <c r="M99" s="25">
        <f>_xll.DBRW($C$2,$J$1,J$2,$D$18,$D$3,$D99,$E99,$F99,M$3)</f>
        <v>0</v>
      </c>
      <c r="N99" s="25">
        <f>_xll.DBRW($C$2,$J$1,J$2,$D$18,$D$3,$D99,$E99,$F99,N$3)</f>
        <v>7</v>
      </c>
      <c r="O99" s="64">
        <f>_xll.DBRW($C$2,$J$1,J$2,$D$18,$D$3,$D99,$E99,$F99,O$3)</f>
        <v>1</v>
      </c>
      <c r="P99" s="58">
        <f>_xll.DBRW($C$2,$J$1,J$2,$D$18,$D$3,$D99,$E99,$F99,P$3)</f>
        <v>0</v>
      </c>
      <c r="Q99" s="48">
        <f>_xll.DBRW($C$2,$J$1,J$2,$D$18,$D$3,$D99,$E99,$F99,Q$3)</f>
        <v>11</v>
      </c>
      <c r="R99" s="39">
        <f>_xll.DBRW($C$2,$R$1,R$2,$D$18,$D$3,$D99,$E99,$F99,R$3)</f>
        <v>0</v>
      </c>
      <c r="S99" s="25" cm="1">
        <f t="array" ref="S99">_xll.DBRW($E$2,R$1,R$2,$D$18,$D$3,$D99,$E99,$F99,$F$3,S$3)</f>
        <v>0</v>
      </c>
      <c r="T99" s="25">
        <f>_xll.DBRW($C$2,$R$1,R$2,$D$18,$D$3,$D99,$E99,$F99,T$3)</f>
        <v>0</v>
      </c>
      <c r="U99" s="64">
        <f>_xll.DBRW($C$2,$R$1,R$2,$D$18,$D$3,$D99,$E99,$F99,U$3)</f>
        <v>0</v>
      </c>
      <c r="V99" s="58">
        <f>_xll.DBRW($C$2,$R$1,R$2,$D$18,$D$3,$D99,$E99,$F99,V$3)</f>
        <v>0</v>
      </c>
      <c r="W99" s="48">
        <f t="shared" si="37"/>
        <v>11</v>
      </c>
      <c r="X99" s="39">
        <f>_xll.DBRW($C$2,$X$1,X$2,$D$18,$D$3,$D99,$E99,$F99,X$3)</f>
        <v>0</v>
      </c>
      <c r="Y99" s="25" cm="1">
        <f t="array" ref="Y99">_xll.DBRW($E$2,X$1,X$2,$D$18,$D$3,$D99,$E99,$F99,$F$3,Y$3)</f>
        <v>0</v>
      </c>
      <c r="Z99" s="25">
        <f>_xll.DBRW($C$2,$X$1,X$2,$D$18,$D$3,$D99,$E99,$F99,Z$3)</f>
        <v>1</v>
      </c>
      <c r="AA99" s="64">
        <f>_xll.DBRW($C$2,$X$1,X$2,$D$18,$D$3,$D99,$E99,$F99,AA$3)</f>
        <v>1</v>
      </c>
      <c r="AB99" s="58">
        <f>_xll.DBRW($C$2,$X$1,X$2,$D$18,$D$3,$D99,$E99,$F99,AB$3)</f>
        <v>0</v>
      </c>
      <c r="AC99" s="48">
        <f t="shared" si="38"/>
        <v>10</v>
      </c>
      <c r="AD99" s="39">
        <f>_xll.DBRW($C$2,$AD$1,AD$2,$D$18,$D$3,$D99,$E99,$F99,AD$3)</f>
        <v>0</v>
      </c>
      <c r="AE99" s="25" cm="1">
        <f t="array" ref="AE99">_xll.DBRW($E$2,AD$1,AD$2,$D$18,$D$3,$D99,$E99,$F99,$F$3,AE$3)</f>
        <v>0</v>
      </c>
      <c r="AF99" s="25">
        <f>_xll.DBRW($C$2,$AD$1,AD$2,$D$18,$D$3,$D99,$E99,$F99,AF$3)</f>
        <v>1</v>
      </c>
      <c r="AG99" s="64">
        <f>_xll.DBRW($C$2,$AD$1,AD$2,$D$18,$D$3,$D99,$E99,$F99,AG$3)</f>
        <v>0</v>
      </c>
      <c r="AH99" s="58">
        <f>_xll.DBRW($C$2,$AD$1,AD$2,$D$18,$D$3,$D99,$E99,$F99,AH$3)</f>
        <v>0</v>
      </c>
      <c r="AI99" s="48">
        <f t="shared" si="39"/>
        <v>9</v>
      </c>
      <c r="AJ99" s="39">
        <f>_xll.DBRW($C$2,$AJ$1,AJ$2,$D$18,$D$3,$D99,$E99,$F99,AJ$3)</f>
        <v>0</v>
      </c>
      <c r="AK99" s="25" cm="1">
        <f t="array" ref="AK99">_xll.DBRW($E$2,AJ$1,AJ$2,$D$18,$D$3,$D99,$E99,$F99,$F$3,AK$3)</f>
        <v>0</v>
      </c>
      <c r="AL99" s="25">
        <f>_xll.DBRW($C$2,$AJ$1,AJ$2,$D$18,$D$3,$D99,$E99,$F99,AL$3)</f>
        <v>1</v>
      </c>
      <c r="AM99" s="64">
        <f>_xll.DBRW($C$2,$AJ$1,AJ$2,$D$18,$D$3,$D99,$E99,$F99,AM$3)</f>
        <v>0</v>
      </c>
      <c r="AN99" s="58">
        <f>_xll.DBRW($C$2,$AJ$1,AJ$2,$D$18,$D$3,$D99,$E99,$F99,AN$3)</f>
        <v>0</v>
      </c>
      <c r="AO99" s="48">
        <f t="shared" si="40"/>
        <v>8</v>
      </c>
      <c r="AP99" s="39">
        <f>_xll.DBRW($C$2,$AP$1,AP$2,$D$18,$D$3,$D99,$E99,$F99,AP$3)</f>
        <v>0</v>
      </c>
      <c r="AQ99" s="25" cm="1">
        <f t="array" ref="AQ99">_xll.DBRW($E$2,AP$1,AP$2,$D$18,$D$3,$D99,$E99,$F99,$F$3,AQ$3)</f>
        <v>0</v>
      </c>
      <c r="AR99" s="25">
        <f>_xll.DBRW($C$2,$AP$1,AP$2,$D$18,$D$3,$D99,$E99,$F99,AR$3)</f>
        <v>1</v>
      </c>
      <c r="AS99" s="64">
        <f>_xll.DBRW($C$2,$AP$1,AP$2,$D$18,$D$3,$D99,$E99,$F99,AS$3)</f>
        <v>0</v>
      </c>
      <c r="AT99" s="58">
        <f>_xll.DBRW($C$2,$AP$1,AP$2,$D$18,$D$3,$D99,$E99,$F99,AT$3)</f>
        <v>0</v>
      </c>
      <c r="AU99" s="48">
        <f t="shared" si="41"/>
        <v>7</v>
      </c>
      <c r="AV99" s="39">
        <f>_xll.DBRW($C$2,$AV$1,AV$2,$D$18,$D$3,$D99,$E99,$F99,AV$3)</f>
        <v>0</v>
      </c>
      <c r="AW99" s="25" cm="1">
        <f t="array" ref="AW99">_xll.DBRW($E$2,AV$1,AV$2,$D$18,$D$3,$D99,$E99,$F99,$F$3,AW$3)</f>
        <v>0</v>
      </c>
      <c r="AX99" s="25">
        <f>_xll.DBRW($C$2,$AV$1,AV$2,$D$18,$D$3,$D99,$E99,$F99,AX$3)</f>
        <v>1</v>
      </c>
      <c r="AY99" s="64">
        <f>_xll.DBRW($C$2,$AV$1,AV$2,$D$18,$D$3,$D99,$E99,$F99,AY$3)</f>
        <v>0</v>
      </c>
      <c r="AZ99" s="58">
        <f>_xll.DBRW($C$2,$AV$1,AV$2,$D$18,$D$3,$D99,$E99,$F99,AZ$3)</f>
        <v>0</v>
      </c>
      <c r="BA99" s="48">
        <f t="shared" si="42"/>
        <v>6</v>
      </c>
      <c r="BB99" s="39">
        <f>_xll.DBRW($C$2,$BB$1,BB$2,$D$18,$D$3,$D99,$E99,$F99,BB$3)</f>
        <v>0</v>
      </c>
      <c r="BC99" s="25" cm="1">
        <f t="array" ref="BC99">_xll.DBRW($E$2,BB$1,BB$2,$D$18,$D$3,$D99,$E99,$F99,$F$3,BC$3)</f>
        <v>0</v>
      </c>
      <c r="BD99" s="25">
        <f>_xll.DBRW($C$2,$BB$1,BB$2,$D$18,$D$3,$D99,$E99,$F99,BD$3)</f>
        <v>1</v>
      </c>
      <c r="BE99" s="64">
        <f>_xll.DBRW($C$2,$BB$1,BB$2,$D$18,$D$3,$D99,$E99,$F99,BE$3)</f>
        <v>0</v>
      </c>
      <c r="BF99" s="58">
        <f>_xll.DBRW($C$2,$BB$1,BB$2,$D$18,$D$3,$D99,$E99,$F99,BF$3)</f>
        <v>0</v>
      </c>
      <c r="BG99" s="48">
        <f t="shared" si="43"/>
        <v>5</v>
      </c>
      <c r="BH99" s="39">
        <f>_xll.DBRW($C$2,$BH$1,BH$2,$D$18,$D$3,$D99,$E99,$F99,BH$3)</f>
        <v>0</v>
      </c>
      <c r="BI99" s="25" cm="1">
        <f t="array" ref="BI99">_xll.DBRW($E$2,BH$1,BH$2,$D$18,$D$3,$D99,$E99,$F99,$F$3,BI$3)</f>
        <v>0</v>
      </c>
      <c r="BJ99" s="25">
        <f>_xll.DBRW($C$2,$BH$1,BH$2,$D$18,$D$3,$D99,$E99,$F99,BJ$3)</f>
        <v>1</v>
      </c>
      <c r="BK99" s="64">
        <f>_xll.DBRW($C$2,$BH$1,BH$2,$D$18,$D$3,$D99,$E99,$F99,BK$3)</f>
        <v>0</v>
      </c>
      <c r="BL99" s="58">
        <f>_xll.DBRW($C$2,$BH$1,BH$2,$D$18,$D$3,$D99,$E99,$F99,BL$3)</f>
        <v>0</v>
      </c>
      <c r="BM99" s="48">
        <f t="shared" si="44"/>
        <v>4</v>
      </c>
      <c r="BN99" s="39">
        <f>_xll.DBRW($C$2,$BN$1,BN$2,$D$18,$D$3,$D99,$E99,$F99,BN$3)</f>
        <v>0</v>
      </c>
      <c r="BO99" s="25" cm="1">
        <f t="array" ref="BO99">_xll.DBRW($E$2,BN$1,BN$2,$D$18,$D$3,$D99,$E99,$F99,$F$3,BO$3)</f>
        <v>0</v>
      </c>
      <c r="BP99" s="25">
        <f>_xll.DBRW($C$2,$BN$1,BN$2,$D$18,$D$3,$D99,$E99,$F99,BP$3)</f>
        <v>1</v>
      </c>
      <c r="BQ99" s="64">
        <f>_xll.DBRW($C$2,$BN$1,BN$2,$D$18,$D$3,$D99,$E99,$F99,BQ$3)</f>
        <v>0</v>
      </c>
      <c r="BR99" s="58">
        <f>_xll.DBRW($C$2,$BN$1,BN$2,$D$18,$D$3,$D99,$E99,$F99,BR$3)</f>
        <v>0</v>
      </c>
      <c r="BS99" s="48">
        <f t="shared" si="45"/>
        <v>3</v>
      </c>
      <c r="BT99" s="39">
        <f>_xll.DBRW($C$2,$BT$1,BT$2,$D$18,$D$3,$D99,$E99,$F99,BT$3)</f>
        <v>0</v>
      </c>
      <c r="BU99" s="25" cm="1">
        <f t="array" ref="BU99">_xll.DBRW($E$2,BT$1,BT$2,$D$18,$D$3,$D99,$E99,$F99,$F$3,BU$3)</f>
        <v>0</v>
      </c>
      <c r="BV99" s="25">
        <f>_xll.DBRW($C$2,$BT$1,BT$2,$D$18,$D$3,$D99,$E99,$F99,BV$3)</f>
        <v>1</v>
      </c>
      <c r="BW99" s="64">
        <f>_xll.DBRW($C$2,$BT$1,BT$2,$D$18,$D$3,$D99,$E99,$F99,BW$3)</f>
        <v>0</v>
      </c>
      <c r="BX99" s="58">
        <f>_xll.DBRW($C$2,$BT$1,BT$2,$D$18,$D$3,$D99,$E99,$F99,BX$3)</f>
        <v>0</v>
      </c>
      <c r="BY99" s="48">
        <f t="shared" si="46"/>
        <v>2</v>
      </c>
      <c r="BZ99" s="39">
        <f>_xll.DBRW($C$2,$BZ$1,BZ$2,$D$18,$D$3,$D99,$E99,$F99,BZ$3)</f>
        <v>0</v>
      </c>
      <c r="CA99" s="25" cm="1">
        <f t="array" ref="CA99">_xll.DBRW($E$2,BZ$1,BZ$2,$D$18,$D$3,$D99,$E99,$F99,$F$3,CA$3)</f>
        <v>0</v>
      </c>
      <c r="CB99" s="25">
        <f>_xll.DBRW($C$2,$BZ$1,BZ$2,$D$18,$D$3,$D99,$E99,$F99,CB$3)</f>
        <v>1</v>
      </c>
      <c r="CC99" s="64">
        <f>_xll.DBRW($C$2,$BZ$1,BZ$2,$D$18,$D$3,$D99,$E99,$F99,CC$3)</f>
        <v>0</v>
      </c>
      <c r="CD99" s="58">
        <f>_xll.DBRW($C$2,$BZ$1,BZ$2,$D$18,$D$3,$D99,$E99,$F99,CD$3)</f>
        <v>0</v>
      </c>
      <c r="CE99" s="48">
        <f t="shared" si="47"/>
        <v>1</v>
      </c>
    </row>
    <row r="100" spans="1:83" s="23" customFormat="1" outlineLevel="1" thickBot="1" x14ac:dyDescent="0.3">
      <c r="A100" s="91" t="str">
        <f>IF(_xll.TM1RPTELISCONSOLIDATED($F$22,$F100),IF(_xll.TM1RPTELLEV($F$22,$F100)&lt;=5,_xll.TM1RPTELLEV($F$22,$F100),"Default"),"Leaf")</f>
        <v>Leaf</v>
      </c>
      <c r="B100" s="24" t="str">
        <f>_xll.DBRW("TM1-S1_DEV:}ElementAttributes_SP_SKU",$D100,B$1)</f>
        <v>Primary</v>
      </c>
      <c r="C100" s="24" t="str">
        <f>_xll.DBRW("TM1-S1_DEV:}ElementAttributes_SP_SKU",$D100,C$1)</f>
        <v>INGREDIENT</v>
      </c>
      <c r="D100" s="28" t="s">
        <v>414</v>
      </c>
      <c r="E100" s="28" t="s">
        <v>239</v>
      </c>
      <c r="F100" s="28" t="s">
        <v>44</v>
      </c>
      <c r="G100" s="4">
        <f>_xll.DBRW($C$2,$G$19,G$20,$D$18,$D$3,$D100,$E100,$F100,G$3)</f>
        <v>8</v>
      </c>
      <c r="H100" s="54">
        <f t="shared" si="36"/>
        <v>2</v>
      </c>
      <c r="I100" s="4"/>
      <c r="J100" s="25">
        <f>_xll.DBRW($C$2,$J$1,J$2,$D$18,$D$3,$D100,$E100,$F100,J$3)</f>
        <v>10</v>
      </c>
      <c r="K100" s="39">
        <f>_xll.DBRW($C$2,$J$1,J$2,$D$18,$D$3,$D100,$E100,$F100,K$3)</f>
        <v>0</v>
      </c>
      <c r="L100" s="25">
        <f>_xll.DBRW($C$2,$J$1,J$2,$D$18,$D$3,$D100,$E100,$F100,L$3)</f>
        <v>0</v>
      </c>
      <c r="M100" s="25">
        <f>_xll.DBRW($C$2,$J$1,J$2,$D$18,$D$3,$D100,$E100,$F100,M$3)</f>
        <v>0</v>
      </c>
      <c r="N100" s="25">
        <f>_xll.DBRW($C$2,$J$1,J$2,$D$18,$D$3,$D100,$E100,$F100,N$3)</f>
        <v>3</v>
      </c>
      <c r="O100" s="64">
        <f>_xll.DBRW($C$2,$J$1,J$2,$D$18,$D$3,$D100,$E100,$F100,O$3)</f>
        <v>1</v>
      </c>
      <c r="P100" s="58">
        <f>_xll.DBRW($C$2,$J$1,J$2,$D$18,$D$3,$D100,$E100,$F100,P$3)</f>
        <v>0</v>
      </c>
      <c r="Q100" s="48">
        <f>_xll.DBRW($C$2,$J$1,J$2,$D$18,$D$3,$D100,$E100,$F100,Q$3)</f>
        <v>7</v>
      </c>
      <c r="R100" s="39">
        <f>_xll.DBRW($C$2,$R$1,R$2,$D$18,$D$3,$D100,$E100,$F100,R$3)</f>
        <v>0</v>
      </c>
      <c r="S100" s="25" cm="1">
        <f t="array" ref="S100">_xll.DBRW($E$2,R$1,R$2,$D$18,$D$3,$D100,$E100,$F100,$F$3,S$3)</f>
        <v>0</v>
      </c>
      <c r="T100" s="25">
        <f>_xll.DBRW($C$2,$R$1,R$2,$D$18,$D$3,$D100,$E100,$F100,T$3)</f>
        <v>0</v>
      </c>
      <c r="U100" s="64">
        <f>_xll.DBRW($C$2,$R$1,R$2,$D$18,$D$3,$D100,$E100,$F100,U$3)</f>
        <v>0</v>
      </c>
      <c r="V100" s="58">
        <f>_xll.DBRW($C$2,$R$1,R$2,$D$18,$D$3,$D100,$E100,$F100,V$3)</f>
        <v>0</v>
      </c>
      <c r="W100" s="48">
        <f t="shared" si="37"/>
        <v>7</v>
      </c>
      <c r="X100" s="39">
        <f>_xll.DBRW($C$2,$X$1,X$2,$D$18,$D$3,$D100,$E100,$F100,X$3)</f>
        <v>0</v>
      </c>
      <c r="Y100" s="25" cm="1">
        <f t="array" ref="Y100">_xll.DBRW($E$2,X$1,X$2,$D$18,$D$3,$D100,$E100,$F100,$F$3,Y$3)</f>
        <v>0</v>
      </c>
      <c r="Z100" s="25">
        <f>_xll.DBRW($C$2,$X$1,X$2,$D$18,$D$3,$D100,$E100,$F100,Z$3)</f>
        <v>1</v>
      </c>
      <c r="AA100" s="64">
        <f>_xll.DBRW($C$2,$X$1,X$2,$D$18,$D$3,$D100,$E100,$F100,AA$3)</f>
        <v>0</v>
      </c>
      <c r="AB100" s="58">
        <f>_xll.DBRW($C$2,$X$1,X$2,$D$18,$D$3,$D100,$E100,$F100,AB$3)</f>
        <v>0</v>
      </c>
      <c r="AC100" s="48">
        <f t="shared" si="38"/>
        <v>6</v>
      </c>
      <c r="AD100" s="39">
        <f>_xll.DBRW($C$2,$AD$1,AD$2,$D$18,$D$3,$D100,$E100,$F100,AD$3)</f>
        <v>0</v>
      </c>
      <c r="AE100" s="25" cm="1">
        <f t="array" ref="AE100">_xll.DBRW($E$2,AD$1,AD$2,$D$18,$D$3,$D100,$E100,$F100,$F$3,AE$3)</f>
        <v>0</v>
      </c>
      <c r="AF100" s="25">
        <f>_xll.DBRW($C$2,$AD$1,AD$2,$D$18,$D$3,$D100,$E100,$F100,AF$3)</f>
        <v>1</v>
      </c>
      <c r="AG100" s="64">
        <f>_xll.DBRW($C$2,$AD$1,AD$2,$D$18,$D$3,$D100,$E100,$F100,AG$3)</f>
        <v>0</v>
      </c>
      <c r="AH100" s="58">
        <f>_xll.DBRW($C$2,$AD$1,AD$2,$D$18,$D$3,$D100,$E100,$F100,AH$3)</f>
        <v>0</v>
      </c>
      <c r="AI100" s="48">
        <f t="shared" si="39"/>
        <v>5</v>
      </c>
      <c r="AJ100" s="39">
        <f>_xll.DBRW($C$2,$AJ$1,AJ$2,$D$18,$D$3,$D100,$E100,$F100,AJ$3)</f>
        <v>0</v>
      </c>
      <c r="AK100" s="25" cm="1">
        <f t="array" ref="AK100">_xll.DBRW($E$2,AJ$1,AJ$2,$D$18,$D$3,$D100,$E100,$F100,$F$3,AK$3)</f>
        <v>0</v>
      </c>
      <c r="AL100" s="25">
        <f>_xll.DBRW($C$2,$AJ$1,AJ$2,$D$18,$D$3,$D100,$E100,$F100,AL$3)</f>
        <v>1</v>
      </c>
      <c r="AM100" s="64">
        <f>_xll.DBRW($C$2,$AJ$1,AJ$2,$D$18,$D$3,$D100,$E100,$F100,AM$3)</f>
        <v>0</v>
      </c>
      <c r="AN100" s="58">
        <f>_xll.DBRW($C$2,$AJ$1,AJ$2,$D$18,$D$3,$D100,$E100,$F100,AN$3)</f>
        <v>0</v>
      </c>
      <c r="AO100" s="48">
        <f t="shared" si="40"/>
        <v>4</v>
      </c>
      <c r="AP100" s="39">
        <f>_xll.DBRW($C$2,$AP$1,AP$2,$D$18,$D$3,$D100,$E100,$F100,AP$3)</f>
        <v>0</v>
      </c>
      <c r="AQ100" s="25" cm="1">
        <f t="array" ref="AQ100">_xll.DBRW($E$2,AP$1,AP$2,$D$18,$D$3,$D100,$E100,$F100,$F$3,AQ$3)</f>
        <v>0</v>
      </c>
      <c r="AR100" s="25">
        <f>_xll.DBRW($C$2,$AP$1,AP$2,$D$18,$D$3,$D100,$E100,$F100,AR$3)</f>
        <v>1</v>
      </c>
      <c r="AS100" s="64">
        <f>_xll.DBRW($C$2,$AP$1,AP$2,$D$18,$D$3,$D100,$E100,$F100,AS$3)</f>
        <v>0</v>
      </c>
      <c r="AT100" s="58">
        <f>_xll.DBRW($C$2,$AP$1,AP$2,$D$18,$D$3,$D100,$E100,$F100,AT$3)</f>
        <v>0</v>
      </c>
      <c r="AU100" s="48">
        <f t="shared" si="41"/>
        <v>3</v>
      </c>
      <c r="AV100" s="39">
        <f>_xll.DBRW($C$2,$AV$1,AV$2,$D$18,$D$3,$D100,$E100,$F100,AV$3)</f>
        <v>0</v>
      </c>
      <c r="AW100" s="25" cm="1">
        <f t="array" ref="AW100">_xll.DBRW($E$2,AV$1,AV$2,$D$18,$D$3,$D100,$E100,$F100,$F$3,AW$3)</f>
        <v>0</v>
      </c>
      <c r="AX100" s="25">
        <f>_xll.DBRW($C$2,$AV$1,AV$2,$D$18,$D$3,$D100,$E100,$F100,AX$3)</f>
        <v>1</v>
      </c>
      <c r="AY100" s="64">
        <f>_xll.DBRW($C$2,$AV$1,AV$2,$D$18,$D$3,$D100,$E100,$F100,AY$3)</f>
        <v>0</v>
      </c>
      <c r="AZ100" s="58">
        <f>_xll.DBRW($C$2,$AV$1,AV$2,$D$18,$D$3,$D100,$E100,$F100,AZ$3)</f>
        <v>0</v>
      </c>
      <c r="BA100" s="48">
        <f t="shared" si="42"/>
        <v>2</v>
      </c>
      <c r="BB100" s="39">
        <f>_xll.DBRW($C$2,$BB$1,BB$2,$D$18,$D$3,$D100,$E100,$F100,BB$3)</f>
        <v>0</v>
      </c>
      <c r="BC100" s="25" cm="1">
        <f t="array" ref="BC100">_xll.DBRW($E$2,BB$1,BB$2,$D$18,$D$3,$D100,$E100,$F100,$F$3,BC$3)</f>
        <v>0</v>
      </c>
      <c r="BD100" s="25">
        <f>_xll.DBRW($C$2,$BB$1,BB$2,$D$18,$D$3,$D100,$E100,$F100,BD$3)</f>
        <v>1</v>
      </c>
      <c r="BE100" s="64">
        <f>_xll.DBRW($C$2,$BB$1,BB$2,$D$18,$D$3,$D100,$E100,$F100,BE$3)</f>
        <v>0</v>
      </c>
      <c r="BF100" s="58">
        <f>_xll.DBRW($C$2,$BB$1,BB$2,$D$18,$D$3,$D100,$E100,$F100,BF$3)</f>
        <v>0</v>
      </c>
      <c r="BG100" s="48">
        <f t="shared" si="43"/>
        <v>1</v>
      </c>
      <c r="BH100" s="39">
        <f>_xll.DBRW($C$2,$BH$1,BH$2,$D$18,$D$3,$D100,$E100,$F100,BH$3)</f>
        <v>0</v>
      </c>
      <c r="BI100" s="25" cm="1">
        <f t="array" ref="BI100">_xll.DBRW($E$2,BH$1,BH$2,$D$18,$D$3,$D100,$E100,$F100,$F$3,BI$3)</f>
        <v>0</v>
      </c>
      <c r="BJ100" s="25">
        <f>_xll.DBRW($C$2,$BH$1,BH$2,$D$18,$D$3,$D100,$E100,$F100,BJ$3)</f>
        <v>1</v>
      </c>
      <c r="BK100" s="64">
        <f>_xll.DBRW($C$2,$BH$1,BH$2,$D$18,$D$3,$D100,$E100,$F100,BK$3)</f>
        <v>0</v>
      </c>
      <c r="BL100" s="58">
        <f>_xll.DBRW($C$2,$BH$1,BH$2,$D$18,$D$3,$D100,$E100,$F100,BL$3)</f>
        <v>0</v>
      </c>
      <c r="BM100" s="48">
        <f t="shared" si="44"/>
        <v>0</v>
      </c>
      <c r="BN100" s="39">
        <f>_xll.DBRW($C$2,$BN$1,BN$2,$D$18,$D$3,$D100,$E100,$F100,BN$3)</f>
        <v>0</v>
      </c>
      <c r="BO100" s="25" cm="1">
        <f t="array" ref="BO100">_xll.DBRW($E$2,BN$1,BN$2,$D$18,$D$3,$D100,$E100,$F100,$F$3,BO$3)</f>
        <v>0</v>
      </c>
      <c r="BP100" s="25">
        <f>_xll.DBRW($C$2,$BN$1,BN$2,$D$18,$D$3,$D100,$E100,$F100,BP$3)</f>
        <v>1</v>
      </c>
      <c r="BQ100" s="64">
        <f>_xll.DBRW($C$2,$BN$1,BN$2,$D$18,$D$3,$D100,$E100,$F100,BQ$3)</f>
        <v>0</v>
      </c>
      <c r="BR100" s="58">
        <f>_xll.DBRW($C$2,$BN$1,BN$2,$D$18,$D$3,$D100,$E100,$F100,BR$3)</f>
        <v>0</v>
      </c>
      <c r="BS100" s="48">
        <f t="shared" si="45"/>
        <v>-1</v>
      </c>
      <c r="BT100" s="39">
        <f>_xll.DBRW($C$2,$BT$1,BT$2,$D$18,$D$3,$D100,$E100,$F100,BT$3)</f>
        <v>0</v>
      </c>
      <c r="BU100" s="25" cm="1">
        <f t="array" ref="BU100">_xll.DBRW($E$2,BT$1,BT$2,$D$18,$D$3,$D100,$E100,$F100,$F$3,BU$3)</f>
        <v>0</v>
      </c>
      <c r="BV100" s="25">
        <f>_xll.DBRW($C$2,$BT$1,BT$2,$D$18,$D$3,$D100,$E100,$F100,BV$3)</f>
        <v>1</v>
      </c>
      <c r="BW100" s="64">
        <f>_xll.DBRW($C$2,$BT$1,BT$2,$D$18,$D$3,$D100,$E100,$F100,BW$3)</f>
        <v>0</v>
      </c>
      <c r="BX100" s="58">
        <f>_xll.DBRW($C$2,$BT$1,BT$2,$D$18,$D$3,$D100,$E100,$F100,BX$3)</f>
        <v>0</v>
      </c>
      <c r="BY100" s="48">
        <f t="shared" si="46"/>
        <v>-2</v>
      </c>
      <c r="BZ100" s="39">
        <f>_xll.DBRW($C$2,$BZ$1,BZ$2,$D$18,$D$3,$D100,$E100,$F100,BZ$3)</f>
        <v>0</v>
      </c>
      <c r="CA100" s="25" cm="1">
        <f t="array" ref="CA100">_xll.DBRW($E$2,BZ$1,BZ$2,$D$18,$D$3,$D100,$E100,$F100,$F$3,CA$3)</f>
        <v>0</v>
      </c>
      <c r="CB100" s="25">
        <f>_xll.DBRW($C$2,$BZ$1,BZ$2,$D$18,$D$3,$D100,$E100,$F100,CB$3)</f>
        <v>1</v>
      </c>
      <c r="CC100" s="64">
        <f>_xll.DBRW($C$2,$BZ$1,BZ$2,$D$18,$D$3,$D100,$E100,$F100,CC$3)</f>
        <v>0</v>
      </c>
      <c r="CD100" s="58">
        <f>_xll.DBRW($C$2,$BZ$1,BZ$2,$D$18,$D$3,$D100,$E100,$F100,CD$3)</f>
        <v>0</v>
      </c>
      <c r="CE100" s="48">
        <f t="shared" si="47"/>
        <v>-3</v>
      </c>
    </row>
    <row r="101" spans="1:83" s="23" customFormat="1" outlineLevel="1" thickBot="1" x14ac:dyDescent="0.3">
      <c r="A101" s="91" t="str">
        <f>IF(_xll.TM1RPTELISCONSOLIDATED($F$22,$F101),IF(_xll.TM1RPTELLEV($F$22,$F101)&lt;=5,_xll.TM1RPTELLEV($F$22,$F101),"Default"),"Leaf")</f>
        <v>Leaf</v>
      </c>
      <c r="B101" s="24" t="str">
        <f>_xll.DBRW("TM1-S1_DEV:}ElementAttributes_SP_SKU",$D101,B$1)</f>
        <v>Primary</v>
      </c>
      <c r="C101" s="24" t="str">
        <f>_xll.DBRW("TM1-S1_DEV:}ElementAttributes_SP_SKU",$D101,C$1)</f>
        <v>CONDIMENT</v>
      </c>
      <c r="D101" s="28" t="s">
        <v>415</v>
      </c>
      <c r="E101" s="28" t="s">
        <v>240</v>
      </c>
      <c r="F101" s="28" t="s">
        <v>19</v>
      </c>
      <c r="G101" s="4">
        <f>_xll.DBRW($C$2,$G$19,G$20,$D$18,$D$3,$D101,$E101,$F101,G$3)</f>
        <v>11</v>
      </c>
      <c r="H101" s="54">
        <f t="shared" si="36"/>
        <v>-3</v>
      </c>
      <c r="I101" s="4"/>
      <c r="J101" s="25">
        <f>_xll.DBRW($C$2,$J$1,J$2,$D$18,$D$3,$D101,$E101,$F101,J$3)</f>
        <v>8</v>
      </c>
      <c r="K101" s="39">
        <f>_xll.DBRW($C$2,$J$1,J$2,$D$18,$D$3,$D101,$E101,$F101,K$3)</f>
        <v>0</v>
      </c>
      <c r="L101" s="25">
        <f>_xll.DBRW($C$2,$J$1,J$2,$D$18,$D$3,$D101,$E101,$F101,L$3)</f>
        <v>0</v>
      </c>
      <c r="M101" s="25">
        <f>_xll.DBRW($C$2,$J$1,J$2,$D$18,$D$3,$D101,$E101,$F101,M$3)</f>
        <v>0</v>
      </c>
      <c r="N101" s="25">
        <f>_xll.DBRW($C$2,$J$1,J$2,$D$18,$D$3,$D101,$E101,$F101,N$3)</f>
        <v>5</v>
      </c>
      <c r="O101" s="64">
        <f>_xll.DBRW($C$2,$J$1,J$2,$D$18,$D$3,$D101,$E101,$F101,O$3)</f>
        <v>1</v>
      </c>
      <c r="P101" s="58">
        <f>_xll.DBRW($C$2,$J$1,J$2,$D$18,$D$3,$D101,$E101,$F101,P$3)</f>
        <v>0</v>
      </c>
      <c r="Q101" s="48">
        <f>_xll.DBRW($C$2,$J$1,J$2,$D$18,$D$3,$D101,$E101,$F101,Q$3)</f>
        <v>3</v>
      </c>
      <c r="R101" s="39">
        <f>_xll.DBRW($C$2,$R$1,R$2,$D$18,$D$3,$D101,$E101,$F101,R$3)</f>
        <v>0</v>
      </c>
      <c r="S101" s="25" cm="1">
        <f t="array" ref="S101">_xll.DBRW($E$2,R$1,R$2,$D$18,$D$3,$D101,$E101,$F101,$F$3,S$3)</f>
        <v>0</v>
      </c>
      <c r="T101" s="25">
        <f>_xll.DBRW($C$2,$R$1,R$2,$D$18,$D$3,$D101,$E101,$F101,T$3)</f>
        <v>0</v>
      </c>
      <c r="U101" s="64">
        <f>_xll.DBRW($C$2,$R$1,R$2,$D$18,$D$3,$D101,$E101,$F101,U$3)</f>
        <v>0</v>
      </c>
      <c r="V101" s="58">
        <f>_xll.DBRW($C$2,$R$1,R$2,$D$18,$D$3,$D101,$E101,$F101,V$3)</f>
        <v>0</v>
      </c>
      <c r="W101" s="48">
        <f t="shared" si="37"/>
        <v>3</v>
      </c>
      <c r="X101" s="39">
        <f>_xll.DBRW($C$2,$X$1,X$2,$D$18,$D$3,$D101,$E101,$F101,X$3)</f>
        <v>0</v>
      </c>
      <c r="Y101" s="25" cm="1">
        <f t="array" ref="Y101">_xll.DBRW($E$2,X$1,X$2,$D$18,$D$3,$D101,$E101,$F101,$F$3,Y$3)</f>
        <v>0</v>
      </c>
      <c r="Z101" s="25">
        <f>_xll.DBRW($C$2,$X$1,X$2,$D$18,$D$3,$D101,$E101,$F101,Z$3)</f>
        <v>1</v>
      </c>
      <c r="AA101" s="64">
        <f>_xll.DBRW($C$2,$X$1,X$2,$D$18,$D$3,$D101,$E101,$F101,AA$3)</f>
        <v>1</v>
      </c>
      <c r="AB101" s="58">
        <f>_xll.DBRW($C$2,$X$1,X$2,$D$18,$D$3,$D101,$E101,$F101,AB$3)</f>
        <v>0</v>
      </c>
      <c r="AC101" s="48">
        <f t="shared" si="38"/>
        <v>2</v>
      </c>
      <c r="AD101" s="39">
        <f>_xll.DBRW($C$2,$AD$1,AD$2,$D$18,$D$3,$D101,$E101,$F101,AD$3)</f>
        <v>0</v>
      </c>
      <c r="AE101" s="25" cm="1">
        <f t="array" ref="AE101">_xll.DBRW($E$2,AD$1,AD$2,$D$18,$D$3,$D101,$E101,$F101,$F$3,AE$3)</f>
        <v>0</v>
      </c>
      <c r="AF101" s="25">
        <f>_xll.DBRW($C$2,$AD$1,AD$2,$D$18,$D$3,$D101,$E101,$F101,AF$3)</f>
        <v>1</v>
      </c>
      <c r="AG101" s="64">
        <f>_xll.DBRW($C$2,$AD$1,AD$2,$D$18,$D$3,$D101,$E101,$F101,AG$3)</f>
        <v>0</v>
      </c>
      <c r="AH101" s="58">
        <f>_xll.DBRW($C$2,$AD$1,AD$2,$D$18,$D$3,$D101,$E101,$F101,AH$3)</f>
        <v>0</v>
      </c>
      <c r="AI101" s="48">
        <f t="shared" si="39"/>
        <v>1</v>
      </c>
      <c r="AJ101" s="39">
        <f>_xll.DBRW($C$2,$AJ$1,AJ$2,$D$18,$D$3,$D101,$E101,$F101,AJ$3)</f>
        <v>0</v>
      </c>
      <c r="AK101" s="25" cm="1">
        <f t="array" ref="AK101">_xll.DBRW($E$2,AJ$1,AJ$2,$D$18,$D$3,$D101,$E101,$F101,$F$3,AK$3)</f>
        <v>0</v>
      </c>
      <c r="AL101" s="25">
        <f>_xll.DBRW($C$2,$AJ$1,AJ$2,$D$18,$D$3,$D101,$E101,$F101,AL$3)</f>
        <v>1</v>
      </c>
      <c r="AM101" s="64">
        <f>_xll.DBRW($C$2,$AJ$1,AJ$2,$D$18,$D$3,$D101,$E101,$F101,AM$3)</f>
        <v>0</v>
      </c>
      <c r="AN101" s="58">
        <f>_xll.DBRW($C$2,$AJ$1,AJ$2,$D$18,$D$3,$D101,$E101,$F101,AN$3)</f>
        <v>0</v>
      </c>
      <c r="AO101" s="48">
        <f t="shared" si="40"/>
        <v>0</v>
      </c>
      <c r="AP101" s="39">
        <f>_xll.DBRW($C$2,$AP$1,AP$2,$D$18,$D$3,$D101,$E101,$F101,AP$3)</f>
        <v>0</v>
      </c>
      <c r="AQ101" s="25" cm="1">
        <f t="array" ref="AQ101">_xll.DBRW($E$2,AP$1,AP$2,$D$18,$D$3,$D101,$E101,$F101,$F$3,AQ$3)</f>
        <v>0</v>
      </c>
      <c r="AR101" s="25">
        <f>_xll.DBRW($C$2,$AP$1,AP$2,$D$18,$D$3,$D101,$E101,$F101,AR$3)</f>
        <v>1</v>
      </c>
      <c r="AS101" s="64">
        <f>_xll.DBRW($C$2,$AP$1,AP$2,$D$18,$D$3,$D101,$E101,$F101,AS$3)</f>
        <v>0</v>
      </c>
      <c r="AT101" s="58">
        <f>_xll.DBRW($C$2,$AP$1,AP$2,$D$18,$D$3,$D101,$E101,$F101,AT$3)</f>
        <v>0</v>
      </c>
      <c r="AU101" s="48">
        <f t="shared" si="41"/>
        <v>-1</v>
      </c>
      <c r="AV101" s="39">
        <f>_xll.DBRW($C$2,$AV$1,AV$2,$D$18,$D$3,$D101,$E101,$F101,AV$3)</f>
        <v>0</v>
      </c>
      <c r="AW101" s="25" cm="1">
        <f t="array" ref="AW101">_xll.DBRW($E$2,AV$1,AV$2,$D$18,$D$3,$D101,$E101,$F101,$F$3,AW$3)</f>
        <v>0</v>
      </c>
      <c r="AX101" s="25">
        <f>_xll.DBRW($C$2,$AV$1,AV$2,$D$18,$D$3,$D101,$E101,$F101,AX$3)</f>
        <v>1</v>
      </c>
      <c r="AY101" s="64">
        <f>_xll.DBRW($C$2,$AV$1,AV$2,$D$18,$D$3,$D101,$E101,$F101,AY$3)</f>
        <v>1</v>
      </c>
      <c r="AZ101" s="58">
        <f>_xll.DBRW($C$2,$AV$1,AV$2,$D$18,$D$3,$D101,$E101,$F101,AZ$3)</f>
        <v>0</v>
      </c>
      <c r="BA101" s="48">
        <f t="shared" si="42"/>
        <v>-2</v>
      </c>
      <c r="BB101" s="39">
        <f>_xll.DBRW($C$2,$BB$1,BB$2,$D$18,$D$3,$D101,$E101,$F101,BB$3)</f>
        <v>0</v>
      </c>
      <c r="BC101" s="25" cm="1">
        <f t="array" ref="BC101">_xll.DBRW($E$2,BB$1,BB$2,$D$18,$D$3,$D101,$E101,$F101,$F$3,BC$3)</f>
        <v>0</v>
      </c>
      <c r="BD101" s="25">
        <f>_xll.DBRW($C$2,$BB$1,BB$2,$D$18,$D$3,$D101,$E101,$F101,BD$3)</f>
        <v>1</v>
      </c>
      <c r="BE101" s="64">
        <f>_xll.DBRW($C$2,$BB$1,BB$2,$D$18,$D$3,$D101,$E101,$F101,BE$3)</f>
        <v>0</v>
      </c>
      <c r="BF101" s="58">
        <f>_xll.DBRW($C$2,$BB$1,BB$2,$D$18,$D$3,$D101,$E101,$F101,BF$3)</f>
        <v>0</v>
      </c>
      <c r="BG101" s="48">
        <f t="shared" si="43"/>
        <v>-3</v>
      </c>
      <c r="BH101" s="39">
        <f>_xll.DBRW($C$2,$BH$1,BH$2,$D$18,$D$3,$D101,$E101,$F101,BH$3)</f>
        <v>0</v>
      </c>
      <c r="BI101" s="25" cm="1">
        <f t="array" ref="BI101">_xll.DBRW($E$2,BH$1,BH$2,$D$18,$D$3,$D101,$E101,$F101,$F$3,BI$3)</f>
        <v>0</v>
      </c>
      <c r="BJ101" s="25">
        <f>_xll.DBRW($C$2,$BH$1,BH$2,$D$18,$D$3,$D101,$E101,$F101,BJ$3)</f>
        <v>1</v>
      </c>
      <c r="BK101" s="64">
        <f>_xll.DBRW($C$2,$BH$1,BH$2,$D$18,$D$3,$D101,$E101,$F101,BK$3)</f>
        <v>0</v>
      </c>
      <c r="BL101" s="58">
        <f>_xll.DBRW($C$2,$BH$1,BH$2,$D$18,$D$3,$D101,$E101,$F101,BL$3)</f>
        <v>0</v>
      </c>
      <c r="BM101" s="48">
        <f t="shared" si="44"/>
        <v>-4</v>
      </c>
      <c r="BN101" s="39">
        <f>_xll.DBRW($C$2,$BN$1,BN$2,$D$18,$D$3,$D101,$E101,$F101,BN$3)</f>
        <v>0</v>
      </c>
      <c r="BO101" s="25" cm="1">
        <f t="array" ref="BO101">_xll.DBRW($E$2,BN$1,BN$2,$D$18,$D$3,$D101,$E101,$F101,$F$3,BO$3)</f>
        <v>0</v>
      </c>
      <c r="BP101" s="25">
        <f>_xll.DBRW($C$2,$BN$1,BN$2,$D$18,$D$3,$D101,$E101,$F101,BP$3)</f>
        <v>1</v>
      </c>
      <c r="BQ101" s="64">
        <f>_xll.DBRW($C$2,$BN$1,BN$2,$D$18,$D$3,$D101,$E101,$F101,BQ$3)</f>
        <v>0</v>
      </c>
      <c r="BR101" s="58">
        <f>_xll.DBRW($C$2,$BN$1,BN$2,$D$18,$D$3,$D101,$E101,$F101,BR$3)</f>
        <v>0</v>
      </c>
      <c r="BS101" s="48">
        <f t="shared" si="45"/>
        <v>-5</v>
      </c>
      <c r="BT101" s="39">
        <f>_xll.DBRW($C$2,$BT$1,BT$2,$D$18,$D$3,$D101,$E101,$F101,BT$3)</f>
        <v>0</v>
      </c>
      <c r="BU101" s="25" cm="1">
        <f t="array" ref="BU101">_xll.DBRW($E$2,BT$1,BT$2,$D$18,$D$3,$D101,$E101,$F101,$F$3,BU$3)</f>
        <v>0</v>
      </c>
      <c r="BV101" s="25">
        <f>_xll.DBRW($C$2,$BT$1,BT$2,$D$18,$D$3,$D101,$E101,$F101,BV$3)</f>
        <v>1</v>
      </c>
      <c r="BW101" s="64">
        <f>_xll.DBRW($C$2,$BT$1,BT$2,$D$18,$D$3,$D101,$E101,$F101,BW$3)</f>
        <v>0</v>
      </c>
      <c r="BX101" s="58">
        <f>_xll.DBRW($C$2,$BT$1,BT$2,$D$18,$D$3,$D101,$E101,$F101,BX$3)</f>
        <v>0</v>
      </c>
      <c r="BY101" s="48">
        <f t="shared" si="46"/>
        <v>-6</v>
      </c>
      <c r="BZ101" s="39">
        <f>_xll.DBRW($C$2,$BZ$1,BZ$2,$D$18,$D$3,$D101,$E101,$F101,BZ$3)</f>
        <v>0</v>
      </c>
      <c r="CA101" s="25" cm="1">
        <f t="array" ref="CA101">_xll.DBRW($E$2,BZ$1,BZ$2,$D$18,$D$3,$D101,$E101,$F101,$F$3,CA$3)</f>
        <v>0</v>
      </c>
      <c r="CB101" s="25">
        <f>_xll.DBRW($C$2,$BZ$1,BZ$2,$D$18,$D$3,$D101,$E101,$F101,CB$3)</f>
        <v>1</v>
      </c>
      <c r="CC101" s="64">
        <f>_xll.DBRW($C$2,$BZ$1,BZ$2,$D$18,$D$3,$D101,$E101,$F101,CC$3)</f>
        <v>0</v>
      </c>
      <c r="CD101" s="58">
        <f>_xll.DBRW($C$2,$BZ$1,BZ$2,$D$18,$D$3,$D101,$E101,$F101,CD$3)</f>
        <v>0</v>
      </c>
      <c r="CE101" s="48">
        <f t="shared" si="47"/>
        <v>-7</v>
      </c>
    </row>
    <row r="102" spans="1:83" s="23" customFormat="1" outlineLevel="1" thickBot="1" x14ac:dyDescent="0.3">
      <c r="A102" s="91" t="str">
        <f>IF(_xll.TM1RPTELISCONSOLIDATED($F$22,$F102),IF(_xll.TM1RPTELLEV($F$22,$F102)&lt;=5,_xll.TM1RPTELLEV($F$22,$F102),"Default"),"Leaf")</f>
        <v>Leaf</v>
      </c>
      <c r="B102" s="24" t="str">
        <f>_xll.DBRW("TM1-S1_DEV:}ElementAttributes_SP_SKU",$D102,B$1)</f>
        <v>Primary</v>
      </c>
      <c r="C102" s="24" t="str">
        <f>_xll.DBRW("TM1-S1_DEV:}ElementAttributes_SP_SKU",$D102,C$1)</f>
        <v>CONDIMENT</v>
      </c>
      <c r="D102" s="28" t="s">
        <v>416</v>
      </c>
      <c r="E102" s="28" t="s">
        <v>241</v>
      </c>
      <c r="F102" s="28" t="s">
        <v>19</v>
      </c>
      <c r="G102" s="4">
        <f>_xll.DBRW($C$2,$G$19,G$20,$D$18,$D$3,$D102,$E102,$F102,G$3)</f>
        <v>-3</v>
      </c>
      <c r="H102" s="54">
        <f t="shared" si="36"/>
        <v>29</v>
      </c>
      <c r="I102" s="4"/>
      <c r="J102" s="25">
        <f>_xll.DBRW($C$2,$J$1,J$2,$D$18,$D$3,$D102,$E102,$F102,J$3)</f>
        <v>26</v>
      </c>
      <c r="K102" s="39">
        <f>_xll.DBRW($C$2,$J$1,J$2,$D$18,$D$3,$D102,$E102,$F102,K$3)</f>
        <v>0</v>
      </c>
      <c r="L102" s="25">
        <f>_xll.DBRW($C$2,$J$1,J$2,$D$18,$D$3,$D102,$E102,$F102,L$3)</f>
        <v>0</v>
      </c>
      <c r="M102" s="25">
        <f>_xll.DBRW($C$2,$J$1,J$2,$D$18,$D$3,$D102,$E102,$F102,M$3)</f>
        <v>0</v>
      </c>
      <c r="N102" s="25">
        <f>_xll.DBRW($C$2,$J$1,J$2,$D$18,$D$3,$D102,$E102,$F102,N$3)</f>
        <v>2</v>
      </c>
      <c r="O102" s="64">
        <f>_xll.DBRW($C$2,$J$1,J$2,$D$18,$D$3,$D102,$E102,$F102,O$3)</f>
        <v>1</v>
      </c>
      <c r="P102" s="58">
        <f>_xll.DBRW($C$2,$J$1,J$2,$D$18,$D$3,$D102,$E102,$F102,P$3)</f>
        <v>0</v>
      </c>
      <c r="Q102" s="48">
        <f>_xll.DBRW($C$2,$J$1,J$2,$D$18,$D$3,$D102,$E102,$F102,Q$3)</f>
        <v>24</v>
      </c>
      <c r="R102" s="39">
        <f>_xll.DBRW($C$2,$R$1,R$2,$D$18,$D$3,$D102,$E102,$F102,R$3)</f>
        <v>0</v>
      </c>
      <c r="S102" s="25" cm="1">
        <f t="array" ref="S102">_xll.DBRW($E$2,R$1,R$2,$D$18,$D$3,$D102,$E102,$F102,$F$3,S$3)</f>
        <v>0</v>
      </c>
      <c r="T102" s="25">
        <f>_xll.DBRW($C$2,$R$1,R$2,$D$18,$D$3,$D102,$E102,$F102,T$3)</f>
        <v>0</v>
      </c>
      <c r="U102" s="64">
        <f>_xll.DBRW($C$2,$R$1,R$2,$D$18,$D$3,$D102,$E102,$F102,U$3)</f>
        <v>0</v>
      </c>
      <c r="V102" s="58">
        <f>_xll.DBRW($C$2,$R$1,R$2,$D$18,$D$3,$D102,$E102,$F102,V$3)</f>
        <v>0</v>
      </c>
      <c r="W102" s="48">
        <f t="shared" si="37"/>
        <v>24</v>
      </c>
      <c r="X102" s="39">
        <f>_xll.DBRW($C$2,$X$1,X$2,$D$18,$D$3,$D102,$E102,$F102,X$3)</f>
        <v>0</v>
      </c>
      <c r="Y102" s="25" cm="1">
        <f t="array" ref="Y102">_xll.DBRW($E$2,X$1,X$2,$D$18,$D$3,$D102,$E102,$F102,$F$3,Y$3)</f>
        <v>0</v>
      </c>
      <c r="Z102" s="25">
        <f>_xll.DBRW($C$2,$X$1,X$2,$D$18,$D$3,$D102,$E102,$F102,Z$3)</f>
        <v>2</v>
      </c>
      <c r="AA102" s="64">
        <f>_xll.DBRW($C$2,$X$1,X$2,$D$18,$D$3,$D102,$E102,$F102,AA$3)</f>
        <v>0</v>
      </c>
      <c r="AB102" s="58">
        <f>_xll.DBRW($C$2,$X$1,X$2,$D$18,$D$3,$D102,$E102,$F102,AB$3)</f>
        <v>0</v>
      </c>
      <c r="AC102" s="48">
        <f t="shared" si="38"/>
        <v>22</v>
      </c>
      <c r="AD102" s="39">
        <f>_xll.DBRW($C$2,$AD$1,AD$2,$D$18,$D$3,$D102,$E102,$F102,AD$3)</f>
        <v>0</v>
      </c>
      <c r="AE102" s="25" cm="1">
        <f t="array" ref="AE102">_xll.DBRW($E$2,AD$1,AD$2,$D$18,$D$3,$D102,$E102,$F102,$F$3,AE$3)</f>
        <v>0</v>
      </c>
      <c r="AF102" s="25">
        <f>_xll.DBRW($C$2,$AD$1,AD$2,$D$18,$D$3,$D102,$E102,$F102,AF$3)</f>
        <v>2</v>
      </c>
      <c r="AG102" s="64">
        <f>_xll.DBRW($C$2,$AD$1,AD$2,$D$18,$D$3,$D102,$E102,$F102,AG$3)</f>
        <v>0</v>
      </c>
      <c r="AH102" s="58">
        <f>_xll.DBRW($C$2,$AD$1,AD$2,$D$18,$D$3,$D102,$E102,$F102,AH$3)</f>
        <v>0</v>
      </c>
      <c r="AI102" s="48">
        <f t="shared" si="39"/>
        <v>20</v>
      </c>
      <c r="AJ102" s="39">
        <f>_xll.DBRW($C$2,$AJ$1,AJ$2,$D$18,$D$3,$D102,$E102,$F102,AJ$3)</f>
        <v>0</v>
      </c>
      <c r="AK102" s="25" cm="1">
        <f t="array" ref="AK102">_xll.DBRW($E$2,AJ$1,AJ$2,$D$18,$D$3,$D102,$E102,$F102,$F$3,AK$3)</f>
        <v>0</v>
      </c>
      <c r="AL102" s="25">
        <f>_xll.DBRW($C$2,$AJ$1,AJ$2,$D$18,$D$3,$D102,$E102,$F102,AL$3)</f>
        <v>2</v>
      </c>
      <c r="AM102" s="64">
        <f>_xll.DBRW($C$2,$AJ$1,AJ$2,$D$18,$D$3,$D102,$E102,$F102,AM$3)</f>
        <v>0</v>
      </c>
      <c r="AN102" s="58">
        <f>_xll.DBRW($C$2,$AJ$1,AJ$2,$D$18,$D$3,$D102,$E102,$F102,AN$3)</f>
        <v>0</v>
      </c>
      <c r="AO102" s="48">
        <f t="shared" si="40"/>
        <v>18</v>
      </c>
      <c r="AP102" s="39">
        <f>_xll.DBRW($C$2,$AP$1,AP$2,$D$18,$D$3,$D102,$E102,$F102,AP$3)</f>
        <v>0</v>
      </c>
      <c r="AQ102" s="25" cm="1">
        <f t="array" ref="AQ102">_xll.DBRW($E$2,AP$1,AP$2,$D$18,$D$3,$D102,$E102,$F102,$F$3,AQ$3)</f>
        <v>0</v>
      </c>
      <c r="AR102" s="25">
        <f>_xll.DBRW($C$2,$AP$1,AP$2,$D$18,$D$3,$D102,$E102,$F102,AR$3)</f>
        <v>2</v>
      </c>
      <c r="AS102" s="64">
        <f>_xll.DBRW($C$2,$AP$1,AP$2,$D$18,$D$3,$D102,$E102,$F102,AS$3)</f>
        <v>0</v>
      </c>
      <c r="AT102" s="58">
        <f>_xll.DBRW($C$2,$AP$1,AP$2,$D$18,$D$3,$D102,$E102,$F102,AT$3)</f>
        <v>0</v>
      </c>
      <c r="AU102" s="48">
        <f t="shared" si="41"/>
        <v>16</v>
      </c>
      <c r="AV102" s="39">
        <f>_xll.DBRW($C$2,$AV$1,AV$2,$D$18,$D$3,$D102,$E102,$F102,AV$3)</f>
        <v>0</v>
      </c>
      <c r="AW102" s="25" cm="1">
        <f t="array" ref="AW102">_xll.DBRW($E$2,AV$1,AV$2,$D$18,$D$3,$D102,$E102,$F102,$F$3,AW$3)</f>
        <v>0</v>
      </c>
      <c r="AX102" s="25">
        <f>_xll.DBRW($C$2,$AV$1,AV$2,$D$18,$D$3,$D102,$E102,$F102,AX$3)</f>
        <v>2</v>
      </c>
      <c r="AY102" s="64">
        <f>_xll.DBRW($C$2,$AV$1,AV$2,$D$18,$D$3,$D102,$E102,$F102,AY$3)</f>
        <v>0</v>
      </c>
      <c r="AZ102" s="58">
        <f>_xll.DBRW($C$2,$AV$1,AV$2,$D$18,$D$3,$D102,$E102,$F102,AZ$3)</f>
        <v>0</v>
      </c>
      <c r="BA102" s="48">
        <f t="shared" si="42"/>
        <v>14</v>
      </c>
      <c r="BB102" s="39">
        <f>_xll.DBRW($C$2,$BB$1,BB$2,$D$18,$D$3,$D102,$E102,$F102,BB$3)</f>
        <v>0</v>
      </c>
      <c r="BC102" s="25" cm="1">
        <f t="array" ref="BC102">_xll.DBRW($E$2,BB$1,BB$2,$D$18,$D$3,$D102,$E102,$F102,$F$3,BC$3)</f>
        <v>0</v>
      </c>
      <c r="BD102" s="25">
        <f>_xll.DBRW($C$2,$BB$1,BB$2,$D$18,$D$3,$D102,$E102,$F102,BD$3)</f>
        <v>2</v>
      </c>
      <c r="BE102" s="64">
        <f>_xll.DBRW($C$2,$BB$1,BB$2,$D$18,$D$3,$D102,$E102,$F102,BE$3)</f>
        <v>0</v>
      </c>
      <c r="BF102" s="58">
        <f>_xll.DBRW($C$2,$BB$1,BB$2,$D$18,$D$3,$D102,$E102,$F102,BF$3)</f>
        <v>0</v>
      </c>
      <c r="BG102" s="48">
        <f t="shared" si="43"/>
        <v>12</v>
      </c>
      <c r="BH102" s="39">
        <f>_xll.DBRW($C$2,$BH$1,BH$2,$D$18,$D$3,$D102,$E102,$F102,BH$3)</f>
        <v>0</v>
      </c>
      <c r="BI102" s="25" cm="1">
        <f t="array" ref="BI102">_xll.DBRW($E$2,BH$1,BH$2,$D$18,$D$3,$D102,$E102,$F102,$F$3,BI$3)</f>
        <v>0</v>
      </c>
      <c r="BJ102" s="25">
        <f>_xll.DBRW($C$2,$BH$1,BH$2,$D$18,$D$3,$D102,$E102,$F102,BJ$3)</f>
        <v>2</v>
      </c>
      <c r="BK102" s="64">
        <f>_xll.DBRW($C$2,$BH$1,BH$2,$D$18,$D$3,$D102,$E102,$F102,BK$3)</f>
        <v>0</v>
      </c>
      <c r="BL102" s="58">
        <f>_xll.DBRW($C$2,$BH$1,BH$2,$D$18,$D$3,$D102,$E102,$F102,BL$3)</f>
        <v>0</v>
      </c>
      <c r="BM102" s="48">
        <f t="shared" si="44"/>
        <v>10</v>
      </c>
      <c r="BN102" s="39">
        <f>_xll.DBRW($C$2,$BN$1,BN$2,$D$18,$D$3,$D102,$E102,$F102,BN$3)</f>
        <v>0</v>
      </c>
      <c r="BO102" s="25" cm="1">
        <f t="array" ref="BO102">_xll.DBRW($E$2,BN$1,BN$2,$D$18,$D$3,$D102,$E102,$F102,$F$3,BO$3)</f>
        <v>0</v>
      </c>
      <c r="BP102" s="25">
        <f>_xll.DBRW($C$2,$BN$1,BN$2,$D$18,$D$3,$D102,$E102,$F102,BP$3)</f>
        <v>2</v>
      </c>
      <c r="BQ102" s="64">
        <f>_xll.DBRW($C$2,$BN$1,BN$2,$D$18,$D$3,$D102,$E102,$F102,BQ$3)</f>
        <v>0</v>
      </c>
      <c r="BR102" s="58">
        <f>_xll.DBRW($C$2,$BN$1,BN$2,$D$18,$D$3,$D102,$E102,$F102,BR$3)</f>
        <v>0</v>
      </c>
      <c r="BS102" s="48">
        <f t="shared" si="45"/>
        <v>8</v>
      </c>
      <c r="BT102" s="39">
        <f>_xll.DBRW($C$2,$BT$1,BT$2,$D$18,$D$3,$D102,$E102,$F102,BT$3)</f>
        <v>0</v>
      </c>
      <c r="BU102" s="25" cm="1">
        <f t="array" ref="BU102">_xll.DBRW($E$2,BT$1,BT$2,$D$18,$D$3,$D102,$E102,$F102,$F$3,BU$3)</f>
        <v>0</v>
      </c>
      <c r="BV102" s="25">
        <f>_xll.DBRW($C$2,$BT$1,BT$2,$D$18,$D$3,$D102,$E102,$F102,BV$3)</f>
        <v>2</v>
      </c>
      <c r="BW102" s="64">
        <f>_xll.DBRW($C$2,$BT$1,BT$2,$D$18,$D$3,$D102,$E102,$F102,BW$3)</f>
        <v>0</v>
      </c>
      <c r="BX102" s="58">
        <f>_xll.DBRW($C$2,$BT$1,BT$2,$D$18,$D$3,$D102,$E102,$F102,BX$3)</f>
        <v>0</v>
      </c>
      <c r="BY102" s="48">
        <f t="shared" si="46"/>
        <v>6</v>
      </c>
      <c r="BZ102" s="39">
        <f>_xll.DBRW($C$2,$BZ$1,BZ$2,$D$18,$D$3,$D102,$E102,$F102,BZ$3)</f>
        <v>0</v>
      </c>
      <c r="CA102" s="25" cm="1">
        <f t="array" ref="CA102">_xll.DBRW($E$2,BZ$1,BZ$2,$D$18,$D$3,$D102,$E102,$F102,$F$3,CA$3)</f>
        <v>0</v>
      </c>
      <c r="CB102" s="25">
        <f>_xll.DBRW($C$2,$BZ$1,BZ$2,$D$18,$D$3,$D102,$E102,$F102,CB$3)</f>
        <v>2</v>
      </c>
      <c r="CC102" s="64">
        <f>_xll.DBRW($C$2,$BZ$1,BZ$2,$D$18,$D$3,$D102,$E102,$F102,CC$3)</f>
        <v>0</v>
      </c>
      <c r="CD102" s="58">
        <f>_xll.DBRW($C$2,$BZ$1,BZ$2,$D$18,$D$3,$D102,$E102,$F102,CD$3)</f>
        <v>0</v>
      </c>
      <c r="CE102" s="48">
        <f t="shared" si="47"/>
        <v>4</v>
      </c>
    </row>
    <row r="103" spans="1:83" s="23" customFormat="1" outlineLevel="1" thickBot="1" x14ac:dyDescent="0.3">
      <c r="A103" s="91" t="str">
        <f>IF(_xll.TM1RPTELISCONSOLIDATED($F$22,$F103),IF(_xll.TM1RPTELLEV($F$22,$F103)&lt;=5,_xll.TM1RPTELLEV($F$22,$F103),"Default"),"Leaf")</f>
        <v>Leaf</v>
      </c>
      <c r="B103" s="24" t="str">
        <f>_xll.DBRW("TM1-S1_DEV:}ElementAttributes_SP_SKU",$D103,B$1)</f>
        <v>Primary</v>
      </c>
      <c r="C103" s="24" t="str">
        <f>_xll.DBRW("TM1-S1_DEV:}ElementAttributes_SP_SKU",$D103,C$1)</f>
        <v>COOKIE</v>
      </c>
      <c r="D103" s="28" t="s">
        <v>417</v>
      </c>
      <c r="E103" s="28" t="s">
        <v>120</v>
      </c>
      <c r="F103" s="28" t="s">
        <v>21</v>
      </c>
      <c r="G103" s="4">
        <f>_xll.DBRW($C$2,$G$19,G$20,$D$18,$D$3,$D103,$E103,$F103,G$3)</f>
        <v>60</v>
      </c>
      <c r="H103" s="54">
        <f t="shared" si="36"/>
        <v>10</v>
      </c>
      <c r="I103" s="4"/>
      <c r="J103" s="25">
        <f>_xll.DBRW($C$2,$J$1,J$2,$D$18,$D$3,$D103,$E103,$F103,J$3)</f>
        <v>70</v>
      </c>
      <c r="K103" s="39">
        <f>_xll.DBRW($C$2,$J$1,J$2,$D$18,$D$3,$D103,$E103,$F103,K$3)</f>
        <v>0</v>
      </c>
      <c r="L103" s="25">
        <f>_xll.DBRW($C$2,$J$1,J$2,$D$18,$D$3,$D103,$E103,$F103,L$3)</f>
        <v>0</v>
      </c>
      <c r="M103" s="25">
        <f>_xll.DBRW($C$2,$J$1,J$2,$D$18,$D$3,$D103,$E103,$F103,M$3)</f>
        <v>0</v>
      </c>
      <c r="N103" s="25">
        <f>_xll.DBRW($C$2,$J$1,J$2,$D$18,$D$3,$D103,$E103,$F103,N$3)</f>
        <v>10</v>
      </c>
      <c r="O103" s="64">
        <f>_xll.DBRW($C$2,$J$1,J$2,$D$18,$D$3,$D103,$E103,$F103,O$3)</f>
        <v>1</v>
      </c>
      <c r="P103" s="58">
        <f>_xll.DBRW($C$2,$J$1,J$2,$D$18,$D$3,$D103,$E103,$F103,P$3)</f>
        <v>0</v>
      </c>
      <c r="Q103" s="48">
        <f>_xll.DBRW($C$2,$J$1,J$2,$D$18,$D$3,$D103,$E103,$F103,Q$3)</f>
        <v>60</v>
      </c>
      <c r="R103" s="39">
        <f>_xll.DBRW($C$2,$R$1,R$2,$D$18,$D$3,$D103,$E103,$F103,R$3)</f>
        <v>0</v>
      </c>
      <c r="S103" s="25" cm="1">
        <f t="array" ref="S103">_xll.DBRW($E$2,R$1,R$2,$D$18,$D$3,$D103,$E103,$F103,$F$3,S$3)</f>
        <v>0</v>
      </c>
      <c r="T103" s="25">
        <f>_xll.DBRW($C$2,$R$1,R$2,$D$18,$D$3,$D103,$E103,$F103,T$3)</f>
        <v>0</v>
      </c>
      <c r="U103" s="64">
        <f>_xll.DBRW($C$2,$R$1,R$2,$D$18,$D$3,$D103,$E103,$F103,U$3)</f>
        <v>0</v>
      </c>
      <c r="V103" s="58">
        <f>_xll.DBRW($C$2,$R$1,R$2,$D$18,$D$3,$D103,$E103,$F103,V$3)</f>
        <v>0</v>
      </c>
      <c r="W103" s="48">
        <f t="shared" si="37"/>
        <v>60</v>
      </c>
      <c r="X103" s="39">
        <f>_xll.DBRW($C$2,$X$1,X$2,$D$18,$D$3,$D103,$E103,$F103,X$3)</f>
        <v>0</v>
      </c>
      <c r="Y103" s="25" cm="1">
        <f t="array" ref="Y103">_xll.DBRW($E$2,X$1,X$2,$D$18,$D$3,$D103,$E103,$F103,$F$3,Y$3)</f>
        <v>0</v>
      </c>
      <c r="Z103" s="25">
        <f>_xll.DBRW($C$2,$X$1,X$2,$D$18,$D$3,$D103,$E103,$F103,Z$3)</f>
        <v>10</v>
      </c>
      <c r="AA103" s="64">
        <f>_xll.DBRW($C$2,$X$1,X$2,$D$18,$D$3,$D103,$E103,$F103,AA$3)</f>
        <v>0</v>
      </c>
      <c r="AB103" s="58">
        <f>_xll.DBRW($C$2,$X$1,X$2,$D$18,$D$3,$D103,$E103,$F103,AB$3)</f>
        <v>0</v>
      </c>
      <c r="AC103" s="48">
        <f t="shared" si="38"/>
        <v>50</v>
      </c>
      <c r="AD103" s="39">
        <f>_xll.DBRW($C$2,$AD$1,AD$2,$D$18,$D$3,$D103,$E103,$F103,AD$3)</f>
        <v>0</v>
      </c>
      <c r="AE103" s="25" cm="1">
        <f t="array" ref="AE103">_xll.DBRW($E$2,AD$1,AD$2,$D$18,$D$3,$D103,$E103,$F103,$F$3,AE$3)</f>
        <v>0</v>
      </c>
      <c r="AF103" s="25">
        <f>_xll.DBRW($C$2,$AD$1,AD$2,$D$18,$D$3,$D103,$E103,$F103,AF$3)</f>
        <v>10</v>
      </c>
      <c r="AG103" s="64">
        <f>_xll.DBRW($C$2,$AD$1,AD$2,$D$18,$D$3,$D103,$E103,$F103,AG$3)</f>
        <v>0</v>
      </c>
      <c r="AH103" s="58">
        <f>_xll.DBRW($C$2,$AD$1,AD$2,$D$18,$D$3,$D103,$E103,$F103,AH$3)</f>
        <v>0</v>
      </c>
      <c r="AI103" s="48">
        <f t="shared" si="39"/>
        <v>40</v>
      </c>
      <c r="AJ103" s="39">
        <f>_xll.DBRW($C$2,$AJ$1,AJ$2,$D$18,$D$3,$D103,$E103,$F103,AJ$3)</f>
        <v>0</v>
      </c>
      <c r="AK103" s="25" cm="1">
        <f t="array" ref="AK103">_xll.DBRW($E$2,AJ$1,AJ$2,$D$18,$D$3,$D103,$E103,$F103,$F$3,AK$3)</f>
        <v>0</v>
      </c>
      <c r="AL103" s="25">
        <f>_xll.DBRW($C$2,$AJ$1,AJ$2,$D$18,$D$3,$D103,$E103,$F103,AL$3)</f>
        <v>10</v>
      </c>
      <c r="AM103" s="64">
        <f>_xll.DBRW($C$2,$AJ$1,AJ$2,$D$18,$D$3,$D103,$E103,$F103,AM$3)</f>
        <v>0</v>
      </c>
      <c r="AN103" s="58">
        <f>_xll.DBRW($C$2,$AJ$1,AJ$2,$D$18,$D$3,$D103,$E103,$F103,AN$3)</f>
        <v>0</v>
      </c>
      <c r="AO103" s="48">
        <f t="shared" si="40"/>
        <v>30</v>
      </c>
      <c r="AP103" s="39">
        <f>_xll.DBRW($C$2,$AP$1,AP$2,$D$18,$D$3,$D103,$E103,$F103,AP$3)</f>
        <v>0</v>
      </c>
      <c r="AQ103" s="25" cm="1">
        <f t="array" ref="AQ103">_xll.DBRW($E$2,AP$1,AP$2,$D$18,$D$3,$D103,$E103,$F103,$F$3,AQ$3)</f>
        <v>0</v>
      </c>
      <c r="AR103" s="25">
        <f>_xll.DBRW($C$2,$AP$1,AP$2,$D$18,$D$3,$D103,$E103,$F103,AR$3)</f>
        <v>10</v>
      </c>
      <c r="AS103" s="64">
        <f>_xll.DBRW($C$2,$AP$1,AP$2,$D$18,$D$3,$D103,$E103,$F103,AS$3)</f>
        <v>0</v>
      </c>
      <c r="AT103" s="58">
        <f>_xll.DBRW($C$2,$AP$1,AP$2,$D$18,$D$3,$D103,$E103,$F103,AT$3)</f>
        <v>0</v>
      </c>
      <c r="AU103" s="48">
        <f t="shared" si="41"/>
        <v>20</v>
      </c>
      <c r="AV103" s="39">
        <f>_xll.DBRW($C$2,$AV$1,AV$2,$D$18,$D$3,$D103,$E103,$F103,AV$3)</f>
        <v>0</v>
      </c>
      <c r="AW103" s="25" cm="1">
        <f t="array" ref="AW103">_xll.DBRW($E$2,AV$1,AV$2,$D$18,$D$3,$D103,$E103,$F103,$F$3,AW$3)</f>
        <v>0</v>
      </c>
      <c r="AX103" s="25">
        <f>_xll.DBRW($C$2,$AV$1,AV$2,$D$18,$D$3,$D103,$E103,$F103,AX$3)</f>
        <v>10</v>
      </c>
      <c r="AY103" s="64">
        <f>_xll.DBRW($C$2,$AV$1,AV$2,$D$18,$D$3,$D103,$E103,$F103,AY$3)</f>
        <v>0</v>
      </c>
      <c r="AZ103" s="58">
        <f>_xll.DBRW($C$2,$AV$1,AV$2,$D$18,$D$3,$D103,$E103,$F103,AZ$3)</f>
        <v>0</v>
      </c>
      <c r="BA103" s="48">
        <f t="shared" si="42"/>
        <v>10</v>
      </c>
      <c r="BB103" s="39">
        <f>_xll.DBRW($C$2,$BB$1,BB$2,$D$18,$D$3,$D103,$E103,$F103,BB$3)</f>
        <v>0</v>
      </c>
      <c r="BC103" s="25" cm="1">
        <f t="array" ref="BC103">_xll.DBRW($E$2,BB$1,BB$2,$D$18,$D$3,$D103,$E103,$F103,$F$3,BC$3)</f>
        <v>0</v>
      </c>
      <c r="BD103" s="25">
        <f>_xll.DBRW($C$2,$BB$1,BB$2,$D$18,$D$3,$D103,$E103,$F103,BD$3)</f>
        <v>10</v>
      </c>
      <c r="BE103" s="64">
        <f>_xll.DBRW($C$2,$BB$1,BB$2,$D$18,$D$3,$D103,$E103,$F103,BE$3)</f>
        <v>0</v>
      </c>
      <c r="BF103" s="58">
        <f>_xll.DBRW($C$2,$BB$1,BB$2,$D$18,$D$3,$D103,$E103,$F103,BF$3)</f>
        <v>0</v>
      </c>
      <c r="BG103" s="48">
        <f t="shared" si="43"/>
        <v>0</v>
      </c>
      <c r="BH103" s="39">
        <f>_xll.DBRW($C$2,$BH$1,BH$2,$D$18,$D$3,$D103,$E103,$F103,BH$3)</f>
        <v>0</v>
      </c>
      <c r="BI103" s="25" cm="1">
        <f t="array" ref="BI103">_xll.DBRW($E$2,BH$1,BH$2,$D$18,$D$3,$D103,$E103,$F103,$F$3,BI$3)</f>
        <v>0</v>
      </c>
      <c r="BJ103" s="25">
        <f>_xll.DBRW($C$2,$BH$1,BH$2,$D$18,$D$3,$D103,$E103,$F103,BJ$3)</f>
        <v>10</v>
      </c>
      <c r="BK103" s="64">
        <f>_xll.DBRW($C$2,$BH$1,BH$2,$D$18,$D$3,$D103,$E103,$F103,BK$3)</f>
        <v>0</v>
      </c>
      <c r="BL103" s="58">
        <f>_xll.DBRW($C$2,$BH$1,BH$2,$D$18,$D$3,$D103,$E103,$F103,BL$3)</f>
        <v>0</v>
      </c>
      <c r="BM103" s="48">
        <f t="shared" si="44"/>
        <v>-10</v>
      </c>
      <c r="BN103" s="39">
        <f>_xll.DBRW($C$2,$BN$1,BN$2,$D$18,$D$3,$D103,$E103,$F103,BN$3)</f>
        <v>0</v>
      </c>
      <c r="BO103" s="25" cm="1">
        <f t="array" ref="BO103">_xll.DBRW($E$2,BN$1,BN$2,$D$18,$D$3,$D103,$E103,$F103,$F$3,BO$3)</f>
        <v>0</v>
      </c>
      <c r="BP103" s="25">
        <f>_xll.DBRW($C$2,$BN$1,BN$2,$D$18,$D$3,$D103,$E103,$F103,BP$3)</f>
        <v>10</v>
      </c>
      <c r="BQ103" s="64">
        <f>_xll.DBRW($C$2,$BN$1,BN$2,$D$18,$D$3,$D103,$E103,$F103,BQ$3)</f>
        <v>0</v>
      </c>
      <c r="BR103" s="58">
        <f>_xll.DBRW($C$2,$BN$1,BN$2,$D$18,$D$3,$D103,$E103,$F103,BR$3)</f>
        <v>0</v>
      </c>
      <c r="BS103" s="48">
        <f t="shared" si="45"/>
        <v>-20</v>
      </c>
      <c r="BT103" s="39">
        <f>_xll.DBRW($C$2,$BT$1,BT$2,$D$18,$D$3,$D103,$E103,$F103,BT$3)</f>
        <v>0</v>
      </c>
      <c r="BU103" s="25" cm="1">
        <f t="array" ref="BU103">_xll.DBRW($E$2,BT$1,BT$2,$D$18,$D$3,$D103,$E103,$F103,$F$3,BU$3)</f>
        <v>0</v>
      </c>
      <c r="BV103" s="25">
        <f>_xll.DBRW($C$2,$BT$1,BT$2,$D$18,$D$3,$D103,$E103,$F103,BV$3)</f>
        <v>10</v>
      </c>
      <c r="BW103" s="64">
        <f>_xll.DBRW($C$2,$BT$1,BT$2,$D$18,$D$3,$D103,$E103,$F103,BW$3)</f>
        <v>0</v>
      </c>
      <c r="BX103" s="58">
        <f>_xll.DBRW($C$2,$BT$1,BT$2,$D$18,$D$3,$D103,$E103,$F103,BX$3)</f>
        <v>0</v>
      </c>
      <c r="BY103" s="48">
        <f t="shared" si="46"/>
        <v>-30</v>
      </c>
      <c r="BZ103" s="39">
        <f>_xll.DBRW($C$2,$BZ$1,BZ$2,$D$18,$D$3,$D103,$E103,$F103,BZ$3)</f>
        <v>0</v>
      </c>
      <c r="CA103" s="25" cm="1">
        <f t="array" ref="CA103">_xll.DBRW($E$2,BZ$1,BZ$2,$D$18,$D$3,$D103,$E103,$F103,$F$3,CA$3)</f>
        <v>0</v>
      </c>
      <c r="CB103" s="25">
        <f>_xll.DBRW($C$2,$BZ$1,BZ$2,$D$18,$D$3,$D103,$E103,$F103,CB$3)</f>
        <v>10</v>
      </c>
      <c r="CC103" s="64">
        <f>_xll.DBRW($C$2,$BZ$1,BZ$2,$D$18,$D$3,$D103,$E103,$F103,CC$3)</f>
        <v>0</v>
      </c>
      <c r="CD103" s="58">
        <f>_xll.DBRW($C$2,$BZ$1,BZ$2,$D$18,$D$3,$D103,$E103,$F103,CD$3)</f>
        <v>0</v>
      </c>
      <c r="CE103" s="48">
        <f t="shared" si="47"/>
        <v>-40</v>
      </c>
    </row>
    <row r="104" spans="1:83" s="23" customFormat="1" outlineLevel="1" thickBot="1" x14ac:dyDescent="0.3">
      <c r="A104" s="91" t="str">
        <f>IF(_xll.TM1RPTELISCONSOLIDATED($F$22,$F104),IF(_xll.TM1RPTELLEV($F$22,$F104)&lt;=5,_xll.TM1RPTELLEV($F$22,$F104),"Default"),"Leaf")</f>
        <v>Leaf</v>
      </c>
      <c r="B104" s="24" t="str">
        <f>_xll.DBRW("TM1-S1_DEV:}ElementAttributes_SP_SKU",$D104,B$1)</f>
        <v>Primary</v>
      </c>
      <c r="C104" s="24" t="str">
        <f>_xll.DBRW("TM1-S1_DEV:}ElementAttributes_SP_SKU",$D104,C$1)</f>
        <v>COOKIE</v>
      </c>
      <c r="D104" s="28" t="s">
        <v>418</v>
      </c>
      <c r="E104" s="28" t="s">
        <v>121</v>
      </c>
      <c r="F104" s="28" t="s">
        <v>21</v>
      </c>
      <c r="G104" s="4">
        <f>_xll.DBRW($C$2,$G$19,G$20,$D$18,$D$3,$D104,$E104,$F104,G$3)</f>
        <v>153</v>
      </c>
      <c r="H104" s="54">
        <f t="shared" si="36"/>
        <v>-5</v>
      </c>
      <c r="I104" s="4"/>
      <c r="J104" s="25">
        <f>_xll.DBRW($C$2,$J$1,J$2,$D$18,$D$3,$D104,$E104,$F104,J$3)</f>
        <v>148</v>
      </c>
      <c r="K104" s="39">
        <f>_xll.DBRW($C$2,$J$1,J$2,$D$18,$D$3,$D104,$E104,$F104,K$3)</f>
        <v>0</v>
      </c>
      <c r="L104" s="25">
        <f>_xll.DBRW($C$2,$J$1,J$2,$D$18,$D$3,$D104,$E104,$F104,L$3)</f>
        <v>0</v>
      </c>
      <c r="M104" s="25">
        <f>_xll.DBRW($C$2,$J$1,J$2,$D$18,$D$3,$D104,$E104,$F104,M$3)</f>
        <v>0</v>
      </c>
      <c r="N104" s="25">
        <f>_xll.DBRW($C$2,$J$1,J$2,$D$18,$D$3,$D104,$E104,$F104,N$3)</f>
        <v>11</v>
      </c>
      <c r="O104" s="64">
        <f>_xll.DBRW($C$2,$J$1,J$2,$D$18,$D$3,$D104,$E104,$F104,O$3)</f>
        <v>1</v>
      </c>
      <c r="P104" s="58">
        <f>_xll.DBRW($C$2,$J$1,J$2,$D$18,$D$3,$D104,$E104,$F104,P$3)</f>
        <v>0</v>
      </c>
      <c r="Q104" s="48">
        <f>_xll.DBRW($C$2,$J$1,J$2,$D$18,$D$3,$D104,$E104,$F104,Q$3)</f>
        <v>137</v>
      </c>
      <c r="R104" s="39">
        <f>_xll.DBRW($C$2,$R$1,R$2,$D$18,$D$3,$D104,$E104,$F104,R$3)</f>
        <v>0</v>
      </c>
      <c r="S104" s="25" cm="1">
        <f t="array" ref="S104">_xll.DBRW($E$2,R$1,R$2,$D$18,$D$3,$D104,$E104,$F104,$F$3,S$3)</f>
        <v>0</v>
      </c>
      <c r="T104" s="25">
        <f>_xll.DBRW($C$2,$R$1,R$2,$D$18,$D$3,$D104,$E104,$F104,T$3)</f>
        <v>0</v>
      </c>
      <c r="U104" s="64">
        <f>_xll.DBRW($C$2,$R$1,R$2,$D$18,$D$3,$D104,$E104,$F104,U$3)</f>
        <v>0</v>
      </c>
      <c r="V104" s="58">
        <f>_xll.DBRW($C$2,$R$1,R$2,$D$18,$D$3,$D104,$E104,$F104,V$3)</f>
        <v>0</v>
      </c>
      <c r="W104" s="48">
        <f t="shared" si="37"/>
        <v>137</v>
      </c>
      <c r="X104" s="39">
        <f>_xll.DBRW($C$2,$X$1,X$2,$D$18,$D$3,$D104,$E104,$F104,X$3)</f>
        <v>0</v>
      </c>
      <c r="Y104" s="25" cm="1">
        <f t="array" ref="Y104">_xll.DBRW($E$2,X$1,X$2,$D$18,$D$3,$D104,$E104,$F104,$F$3,Y$3)</f>
        <v>0</v>
      </c>
      <c r="Z104" s="25">
        <f>_xll.DBRW($C$2,$X$1,X$2,$D$18,$D$3,$D104,$E104,$F104,Z$3)</f>
        <v>11</v>
      </c>
      <c r="AA104" s="64">
        <f>_xll.DBRW($C$2,$X$1,X$2,$D$18,$D$3,$D104,$E104,$F104,AA$3)</f>
        <v>0</v>
      </c>
      <c r="AB104" s="58">
        <f>_xll.DBRW($C$2,$X$1,X$2,$D$18,$D$3,$D104,$E104,$F104,AB$3)</f>
        <v>0</v>
      </c>
      <c r="AC104" s="48">
        <f t="shared" si="38"/>
        <v>126</v>
      </c>
      <c r="AD104" s="39">
        <f>_xll.DBRW($C$2,$AD$1,AD$2,$D$18,$D$3,$D104,$E104,$F104,AD$3)</f>
        <v>0</v>
      </c>
      <c r="AE104" s="25" cm="1">
        <f t="array" ref="AE104">_xll.DBRW($E$2,AD$1,AD$2,$D$18,$D$3,$D104,$E104,$F104,$F$3,AE$3)</f>
        <v>0</v>
      </c>
      <c r="AF104" s="25">
        <f>_xll.DBRW($C$2,$AD$1,AD$2,$D$18,$D$3,$D104,$E104,$F104,AF$3)</f>
        <v>11</v>
      </c>
      <c r="AG104" s="64">
        <f>_xll.DBRW($C$2,$AD$1,AD$2,$D$18,$D$3,$D104,$E104,$F104,AG$3)</f>
        <v>0</v>
      </c>
      <c r="AH104" s="58">
        <f>_xll.DBRW($C$2,$AD$1,AD$2,$D$18,$D$3,$D104,$E104,$F104,AH$3)</f>
        <v>0</v>
      </c>
      <c r="AI104" s="48">
        <f t="shared" si="39"/>
        <v>115</v>
      </c>
      <c r="AJ104" s="39">
        <f>_xll.DBRW($C$2,$AJ$1,AJ$2,$D$18,$D$3,$D104,$E104,$F104,AJ$3)</f>
        <v>0</v>
      </c>
      <c r="AK104" s="25" cm="1">
        <f t="array" ref="AK104">_xll.DBRW($E$2,AJ$1,AJ$2,$D$18,$D$3,$D104,$E104,$F104,$F$3,AK$3)</f>
        <v>0</v>
      </c>
      <c r="AL104" s="25">
        <f>_xll.DBRW($C$2,$AJ$1,AJ$2,$D$18,$D$3,$D104,$E104,$F104,AL$3)</f>
        <v>11</v>
      </c>
      <c r="AM104" s="64">
        <f>_xll.DBRW($C$2,$AJ$1,AJ$2,$D$18,$D$3,$D104,$E104,$F104,AM$3)</f>
        <v>0</v>
      </c>
      <c r="AN104" s="58">
        <f>_xll.DBRW($C$2,$AJ$1,AJ$2,$D$18,$D$3,$D104,$E104,$F104,AN$3)</f>
        <v>0</v>
      </c>
      <c r="AO104" s="48">
        <f t="shared" si="40"/>
        <v>104</v>
      </c>
      <c r="AP104" s="39">
        <f>_xll.DBRW($C$2,$AP$1,AP$2,$D$18,$D$3,$D104,$E104,$F104,AP$3)</f>
        <v>0</v>
      </c>
      <c r="AQ104" s="25" cm="1">
        <f t="array" ref="AQ104">_xll.DBRW($E$2,AP$1,AP$2,$D$18,$D$3,$D104,$E104,$F104,$F$3,AQ$3)</f>
        <v>0</v>
      </c>
      <c r="AR104" s="25">
        <f>_xll.DBRW($C$2,$AP$1,AP$2,$D$18,$D$3,$D104,$E104,$F104,AR$3)</f>
        <v>11</v>
      </c>
      <c r="AS104" s="64">
        <f>_xll.DBRW($C$2,$AP$1,AP$2,$D$18,$D$3,$D104,$E104,$F104,AS$3)</f>
        <v>0</v>
      </c>
      <c r="AT104" s="58">
        <f>_xll.DBRW($C$2,$AP$1,AP$2,$D$18,$D$3,$D104,$E104,$F104,AT$3)</f>
        <v>0</v>
      </c>
      <c r="AU104" s="48">
        <f t="shared" si="41"/>
        <v>93</v>
      </c>
      <c r="AV104" s="39">
        <f>_xll.DBRW($C$2,$AV$1,AV$2,$D$18,$D$3,$D104,$E104,$F104,AV$3)</f>
        <v>0</v>
      </c>
      <c r="AW104" s="25" cm="1">
        <f t="array" ref="AW104">_xll.DBRW($E$2,AV$1,AV$2,$D$18,$D$3,$D104,$E104,$F104,$F$3,AW$3)</f>
        <v>0</v>
      </c>
      <c r="AX104" s="25">
        <f>_xll.DBRW($C$2,$AV$1,AV$2,$D$18,$D$3,$D104,$E104,$F104,AX$3)</f>
        <v>11</v>
      </c>
      <c r="AY104" s="64">
        <f>_xll.DBRW($C$2,$AV$1,AV$2,$D$18,$D$3,$D104,$E104,$F104,AY$3)</f>
        <v>0</v>
      </c>
      <c r="AZ104" s="58">
        <f>_xll.DBRW($C$2,$AV$1,AV$2,$D$18,$D$3,$D104,$E104,$F104,AZ$3)</f>
        <v>0</v>
      </c>
      <c r="BA104" s="48">
        <f t="shared" si="42"/>
        <v>82</v>
      </c>
      <c r="BB104" s="39">
        <f>_xll.DBRW($C$2,$BB$1,BB$2,$D$18,$D$3,$D104,$E104,$F104,BB$3)</f>
        <v>0</v>
      </c>
      <c r="BC104" s="25" cm="1">
        <f t="array" ref="BC104">_xll.DBRW($E$2,BB$1,BB$2,$D$18,$D$3,$D104,$E104,$F104,$F$3,BC$3)</f>
        <v>0</v>
      </c>
      <c r="BD104" s="25">
        <f>_xll.DBRW($C$2,$BB$1,BB$2,$D$18,$D$3,$D104,$E104,$F104,BD$3)</f>
        <v>11</v>
      </c>
      <c r="BE104" s="64">
        <f>_xll.DBRW($C$2,$BB$1,BB$2,$D$18,$D$3,$D104,$E104,$F104,BE$3)</f>
        <v>0</v>
      </c>
      <c r="BF104" s="58">
        <f>_xll.DBRW($C$2,$BB$1,BB$2,$D$18,$D$3,$D104,$E104,$F104,BF$3)</f>
        <v>0</v>
      </c>
      <c r="BG104" s="48">
        <f t="shared" si="43"/>
        <v>71</v>
      </c>
      <c r="BH104" s="39">
        <f>_xll.DBRW($C$2,$BH$1,BH$2,$D$18,$D$3,$D104,$E104,$F104,BH$3)</f>
        <v>0</v>
      </c>
      <c r="BI104" s="25" cm="1">
        <f t="array" ref="BI104">_xll.DBRW($E$2,BH$1,BH$2,$D$18,$D$3,$D104,$E104,$F104,$F$3,BI$3)</f>
        <v>0</v>
      </c>
      <c r="BJ104" s="25">
        <f>_xll.DBRW($C$2,$BH$1,BH$2,$D$18,$D$3,$D104,$E104,$F104,BJ$3)</f>
        <v>11</v>
      </c>
      <c r="BK104" s="64">
        <f>_xll.DBRW($C$2,$BH$1,BH$2,$D$18,$D$3,$D104,$E104,$F104,BK$3)</f>
        <v>0</v>
      </c>
      <c r="BL104" s="58">
        <f>_xll.DBRW($C$2,$BH$1,BH$2,$D$18,$D$3,$D104,$E104,$F104,BL$3)</f>
        <v>0</v>
      </c>
      <c r="BM104" s="48">
        <f t="shared" si="44"/>
        <v>60</v>
      </c>
      <c r="BN104" s="39">
        <f>_xll.DBRW($C$2,$BN$1,BN$2,$D$18,$D$3,$D104,$E104,$F104,BN$3)</f>
        <v>0</v>
      </c>
      <c r="BO104" s="25" cm="1">
        <f t="array" ref="BO104">_xll.DBRW($E$2,BN$1,BN$2,$D$18,$D$3,$D104,$E104,$F104,$F$3,BO$3)</f>
        <v>0</v>
      </c>
      <c r="BP104" s="25">
        <f>_xll.DBRW($C$2,$BN$1,BN$2,$D$18,$D$3,$D104,$E104,$F104,BP$3)</f>
        <v>11</v>
      </c>
      <c r="BQ104" s="64">
        <f>_xll.DBRW($C$2,$BN$1,BN$2,$D$18,$D$3,$D104,$E104,$F104,BQ$3)</f>
        <v>0</v>
      </c>
      <c r="BR104" s="58">
        <f>_xll.DBRW($C$2,$BN$1,BN$2,$D$18,$D$3,$D104,$E104,$F104,BR$3)</f>
        <v>0</v>
      </c>
      <c r="BS104" s="48">
        <f t="shared" si="45"/>
        <v>49</v>
      </c>
      <c r="BT104" s="39">
        <f>_xll.DBRW($C$2,$BT$1,BT$2,$D$18,$D$3,$D104,$E104,$F104,BT$3)</f>
        <v>0</v>
      </c>
      <c r="BU104" s="25" cm="1">
        <f t="array" ref="BU104">_xll.DBRW($E$2,BT$1,BT$2,$D$18,$D$3,$D104,$E104,$F104,$F$3,BU$3)</f>
        <v>0</v>
      </c>
      <c r="BV104" s="25">
        <f>_xll.DBRW($C$2,$BT$1,BT$2,$D$18,$D$3,$D104,$E104,$F104,BV$3)</f>
        <v>11</v>
      </c>
      <c r="BW104" s="64">
        <f>_xll.DBRW($C$2,$BT$1,BT$2,$D$18,$D$3,$D104,$E104,$F104,BW$3)</f>
        <v>0</v>
      </c>
      <c r="BX104" s="58">
        <f>_xll.DBRW($C$2,$BT$1,BT$2,$D$18,$D$3,$D104,$E104,$F104,BX$3)</f>
        <v>0</v>
      </c>
      <c r="BY104" s="48">
        <f t="shared" si="46"/>
        <v>38</v>
      </c>
      <c r="BZ104" s="39">
        <f>_xll.DBRW($C$2,$BZ$1,BZ$2,$D$18,$D$3,$D104,$E104,$F104,BZ$3)</f>
        <v>0</v>
      </c>
      <c r="CA104" s="25" cm="1">
        <f t="array" ref="CA104">_xll.DBRW($E$2,BZ$1,BZ$2,$D$18,$D$3,$D104,$E104,$F104,$F$3,CA$3)</f>
        <v>0</v>
      </c>
      <c r="CB104" s="25">
        <f>_xll.DBRW($C$2,$BZ$1,BZ$2,$D$18,$D$3,$D104,$E104,$F104,CB$3)</f>
        <v>11</v>
      </c>
      <c r="CC104" s="64">
        <f>_xll.DBRW($C$2,$BZ$1,BZ$2,$D$18,$D$3,$D104,$E104,$F104,CC$3)</f>
        <v>0</v>
      </c>
      <c r="CD104" s="58">
        <f>_xll.DBRW($C$2,$BZ$1,BZ$2,$D$18,$D$3,$D104,$E104,$F104,CD$3)</f>
        <v>0</v>
      </c>
      <c r="CE104" s="48">
        <f t="shared" si="47"/>
        <v>27</v>
      </c>
    </row>
    <row r="105" spans="1:83" s="23" customFormat="1" outlineLevel="1" thickBot="1" x14ac:dyDescent="0.3">
      <c r="A105" s="91" t="str">
        <f>IF(_xll.TM1RPTELISCONSOLIDATED($F$22,$F105),IF(_xll.TM1RPTELLEV($F$22,$F105)&lt;=5,_xll.TM1RPTELLEV($F$22,$F105),"Default"),"Leaf")</f>
        <v>Leaf</v>
      </c>
      <c r="B105" s="24" t="str">
        <f>_xll.DBRW("TM1-S1_DEV:}ElementAttributes_SP_SKU",$D105,B$1)</f>
        <v>Primary</v>
      </c>
      <c r="C105" s="24" t="str">
        <f>_xll.DBRW("TM1-S1_DEV:}ElementAttributes_SP_SKU",$D105,C$1)</f>
        <v>COOKIE</v>
      </c>
      <c r="D105" s="28" t="s">
        <v>419</v>
      </c>
      <c r="E105" s="28" t="s">
        <v>242</v>
      </c>
      <c r="F105" s="28" t="s">
        <v>21</v>
      </c>
      <c r="G105" s="4">
        <f>_xll.DBRW($C$2,$G$19,G$20,$D$18,$D$3,$D105,$E105,$F105,G$3)</f>
        <v>50</v>
      </c>
      <c r="H105" s="54">
        <f t="shared" si="36"/>
        <v>29</v>
      </c>
      <c r="I105" s="4"/>
      <c r="J105" s="25">
        <f>_xll.DBRW($C$2,$J$1,J$2,$D$18,$D$3,$D105,$E105,$F105,J$3)</f>
        <v>79</v>
      </c>
      <c r="K105" s="39">
        <f>_xll.DBRW($C$2,$J$1,J$2,$D$18,$D$3,$D105,$E105,$F105,K$3)</f>
        <v>0</v>
      </c>
      <c r="L105" s="25">
        <f>_xll.DBRW($C$2,$J$1,J$2,$D$18,$D$3,$D105,$E105,$F105,L$3)</f>
        <v>0</v>
      </c>
      <c r="M105" s="25">
        <f>_xll.DBRW($C$2,$J$1,J$2,$D$18,$D$3,$D105,$E105,$F105,M$3)</f>
        <v>0</v>
      </c>
      <c r="N105" s="25">
        <f>_xll.DBRW($C$2,$J$1,J$2,$D$18,$D$3,$D105,$E105,$F105,N$3)</f>
        <v>12</v>
      </c>
      <c r="O105" s="64">
        <f>_xll.DBRW($C$2,$J$1,J$2,$D$18,$D$3,$D105,$E105,$F105,O$3)</f>
        <v>1</v>
      </c>
      <c r="P105" s="58">
        <f>_xll.DBRW($C$2,$J$1,J$2,$D$18,$D$3,$D105,$E105,$F105,P$3)</f>
        <v>0</v>
      </c>
      <c r="Q105" s="48">
        <f>_xll.DBRW($C$2,$J$1,J$2,$D$18,$D$3,$D105,$E105,$F105,Q$3)</f>
        <v>67</v>
      </c>
      <c r="R105" s="39">
        <f>_xll.DBRW($C$2,$R$1,R$2,$D$18,$D$3,$D105,$E105,$F105,R$3)</f>
        <v>0</v>
      </c>
      <c r="S105" s="25" cm="1">
        <f t="array" ref="S105">_xll.DBRW($E$2,R$1,R$2,$D$18,$D$3,$D105,$E105,$F105,$F$3,S$3)</f>
        <v>0</v>
      </c>
      <c r="T105" s="25">
        <f>_xll.DBRW($C$2,$R$1,R$2,$D$18,$D$3,$D105,$E105,$F105,T$3)</f>
        <v>0</v>
      </c>
      <c r="U105" s="64">
        <f>_xll.DBRW($C$2,$R$1,R$2,$D$18,$D$3,$D105,$E105,$F105,U$3)</f>
        <v>0</v>
      </c>
      <c r="V105" s="58">
        <f>_xll.DBRW($C$2,$R$1,R$2,$D$18,$D$3,$D105,$E105,$F105,V$3)</f>
        <v>0</v>
      </c>
      <c r="W105" s="48">
        <f t="shared" si="37"/>
        <v>67</v>
      </c>
      <c r="X105" s="39">
        <f>_xll.DBRW($C$2,$X$1,X$2,$D$18,$D$3,$D105,$E105,$F105,X$3)</f>
        <v>0</v>
      </c>
      <c r="Y105" s="25" cm="1">
        <f t="array" ref="Y105">_xll.DBRW($E$2,X$1,X$2,$D$18,$D$3,$D105,$E105,$F105,$F$3,Y$3)</f>
        <v>0</v>
      </c>
      <c r="Z105" s="25">
        <f>_xll.DBRW($C$2,$X$1,X$2,$D$18,$D$3,$D105,$E105,$F105,Z$3)</f>
        <v>15</v>
      </c>
      <c r="AA105" s="64">
        <f>_xll.DBRW($C$2,$X$1,X$2,$D$18,$D$3,$D105,$E105,$F105,AA$3)</f>
        <v>0</v>
      </c>
      <c r="AB105" s="58">
        <f>_xll.DBRW($C$2,$X$1,X$2,$D$18,$D$3,$D105,$E105,$F105,AB$3)</f>
        <v>0</v>
      </c>
      <c r="AC105" s="48">
        <f t="shared" si="38"/>
        <v>52</v>
      </c>
      <c r="AD105" s="39">
        <f>_xll.DBRW($C$2,$AD$1,AD$2,$D$18,$D$3,$D105,$E105,$F105,AD$3)</f>
        <v>0</v>
      </c>
      <c r="AE105" s="25" cm="1">
        <f t="array" ref="AE105">_xll.DBRW($E$2,AD$1,AD$2,$D$18,$D$3,$D105,$E105,$F105,$F$3,AE$3)</f>
        <v>0</v>
      </c>
      <c r="AF105" s="25">
        <f>_xll.DBRW($C$2,$AD$1,AD$2,$D$18,$D$3,$D105,$E105,$F105,AF$3)</f>
        <v>15</v>
      </c>
      <c r="AG105" s="64">
        <f>_xll.DBRW($C$2,$AD$1,AD$2,$D$18,$D$3,$D105,$E105,$F105,AG$3)</f>
        <v>0</v>
      </c>
      <c r="AH105" s="58">
        <f>_xll.DBRW($C$2,$AD$1,AD$2,$D$18,$D$3,$D105,$E105,$F105,AH$3)</f>
        <v>0</v>
      </c>
      <c r="AI105" s="48">
        <f t="shared" si="39"/>
        <v>37</v>
      </c>
      <c r="AJ105" s="39">
        <f>_xll.DBRW($C$2,$AJ$1,AJ$2,$D$18,$D$3,$D105,$E105,$F105,AJ$3)</f>
        <v>0</v>
      </c>
      <c r="AK105" s="25" cm="1">
        <f t="array" ref="AK105">_xll.DBRW($E$2,AJ$1,AJ$2,$D$18,$D$3,$D105,$E105,$F105,$F$3,AK$3)</f>
        <v>0</v>
      </c>
      <c r="AL105" s="25">
        <f>_xll.DBRW($C$2,$AJ$1,AJ$2,$D$18,$D$3,$D105,$E105,$F105,AL$3)</f>
        <v>15</v>
      </c>
      <c r="AM105" s="64">
        <f>_xll.DBRW($C$2,$AJ$1,AJ$2,$D$18,$D$3,$D105,$E105,$F105,AM$3)</f>
        <v>0</v>
      </c>
      <c r="AN105" s="58">
        <f>_xll.DBRW($C$2,$AJ$1,AJ$2,$D$18,$D$3,$D105,$E105,$F105,AN$3)</f>
        <v>0</v>
      </c>
      <c r="AO105" s="48">
        <f t="shared" si="40"/>
        <v>22</v>
      </c>
      <c r="AP105" s="39">
        <f>_xll.DBRW($C$2,$AP$1,AP$2,$D$18,$D$3,$D105,$E105,$F105,AP$3)</f>
        <v>0</v>
      </c>
      <c r="AQ105" s="25" cm="1">
        <f t="array" ref="AQ105">_xll.DBRW($E$2,AP$1,AP$2,$D$18,$D$3,$D105,$E105,$F105,$F$3,AQ$3)</f>
        <v>0</v>
      </c>
      <c r="AR105" s="25">
        <f>_xll.DBRW($C$2,$AP$1,AP$2,$D$18,$D$3,$D105,$E105,$F105,AR$3)</f>
        <v>15</v>
      </c>
      <c r="AS105" s="64">
        <f>_xll.DBRW($C$2,$AP$1,AP$2,$D$18,$D$3,$D105,$E105,$F105,AS$3)</f>
        <v>0</v>
      </c>
      <c r="AT105" s="58">
        <f>_xll.DBRW($C$2,$AP$1,AP$2,$D$18,$D$3,$D105,$E105,$F105,AT$3)</f>
        <v>0</v>
      </c>
      <c r="AU105" s="48">
        <f t="shared" si="41"/>
        <v>7</v>
      </c>
      <c r="AV105" s="39">
        <f>_xll.DBRW($C$2,$AV$1,AV$2,$D$18,$D$3,$D105,$E105,$F105,AV$3)</f>
        <v>0</v>
      </c>
      <c r="AW105" s="25" cm="1">
        <f t="array" ref="AW105">_xll.DBRW($E$2,AV$1,AV$2,$D$18,$D$3,$D105,$E105,$F105,$F$3,AW$3)</f>
        <v>0</v>
      </c>
      <c r="AX105" s="25">
        <f>_xll.DBRW($C$2,$AV$1,AV$2,$D$18,$D$3,$D105,$E105,$F105,AX$3)</f>
        <v>15</v>
      </c>
      <c r="AY105" s="64">
        <f>_xll.DBRW($C$2,$AV$1,AV$2,$D$18,$D$3,$D105,$E105,$F105,AY$3)</f>
        <v>0</v>
      </c>
      <c r="AZ105" s="58">
        <f>_xll.DBRW($C$2,$AV$1,AV$2,$D$18,$D$3,$D105,$E105,$F105,AZ$3)</f>
        <v>0</v>
      </c>
      <c r="BA105" s="48">
        <f t="shared" si="42"/>
        <v>-8</v>
      </c>
      <c r="BB105" s="39">
        <f>_xll.DBRW($C$2,$BB$1,BB$2,$D$18,$D$3,$D105,$E105,$F105,BB$3)</f>
        <v>0</v>
      </c>
      <c r="BC105" s="25" cm="1">
        <f t="array" ref="BC105">_xll.DBRW($E$2,BB$1,BB$2,$D$18,$D$3,$D105,$E105,$F105,$F$3,BC$3)</f>
        <v>0</v>
      </c>
      <c r="BD105" s="25">
        <f>_xll.DBRW($C$2,$BB$1,BB$2,$D$18,$D$3,$D105,$E105,$F105,BD$3)</f>
        <v>15</v>
      </c>
      <c r="BE105" s="64">
        <f>_xll.DBRW($C$2,$BB$1,BB$2,$D$18,$D$3,$D105,$E105,$F105,BE$3)</f>
        <v>0</v>
      </c>
      <c r="BF105" s="58">
        <f>_xll.DBRW($C$2,$BB$1,BB$2,$D$18,$D$3,$D105,$E105,$F105,BF$3)</f>
        <v>0</v>
      </c>
      <c r="BG105" s="48">
        <f t="shared" si="43"/>
        <v>-23</v>
      </c>
      <c r="BH105" s="39">
        <f>_xll.DBRW($C$2,$BH$1,BH$2,$D$18,$D$3,$D105,$E105,$F105,BH$3)</f>
        <v>0</v>
      </c>
      <c r="BI105" s="25" cm="1">
        <f t="array" ref="BI105">_xll.DBRW($E$2,BH$1,BH$2,$D$18,$D$3,$D105,$E105,$F105,$F$3,BI$3)</f>
        <v>0</v>
      </c>
      <c r="BJ105" s="25">
        <f>_xll.DBRW($C$2,$BH$1,BH$2,$D$18,$D$3,$D105,$E105,$F105,BJ$3)</f>
        <v>15</v>
      </c>
      <c r="BK105" s="64">
        <f>_xll.DBRW($C$2,$BH$1,BH$2,$D$18,$D$3,$D105,$E105,$F105,BK$3)</f>
        <v>0</v>
      </c>
      <c r="BL105" s="58">
        <f>_xll.DBRW($C$2,$BH$1,BH$2,$D$18,$D$3,$D105,$E105,$F105,BL$3)</f>
        <v>0</v>
      </c>
      <c r="BM105" s="48">
        <f t="shared" si="44"/>
        <v>-38</v>
      </c>
      <c r="BN105" s="39">
        <f>_xll.DBRW($C$2,$BN$1,BN$2,$D$18,$D$3,$D105,$E105,$F105,BN$3)</f>
        <v>0</v>
      </c>
      <c r="BO105" s="25" cm="1">
        <f t="array" ref="BO105">_xll.DBRW($E$2,BN$1,BN$2,$D$18,$D$3,$D105,$E105,$F105,$F$3,BO$3)</f>
        <v>0</v>
      </c>
      <c r="BP105" s="25">
        <f>_xll.DBRW($C$2,$BN$1,BN$2,$D$18,$D$3,$D105,$E105,$F105,BP$3)</f>
        <v>15</v>
      </c>
      <c r="BQ105" s="64">
        <f>_xll.DBRW($C$2,$BN$1,BN$2,$D$18,$D$3,$D105,$E105,$F105,BQ$3)</f>
        <v>0</v>
      </c>
      <c r="BR105" s="58">
        <f>_xll.DBRW($C$2,$BN$1,BN$2,$D$18,$D$3,$D105,$E105,$F105,BR$3)</f>
        <v>0</v>
      </c>
      <c r="BS105" s="48">
        <f t="shared" si="45"/>
        <v>-53</v>
      </c>
      <c r="BT105" s="39">
        <f>_xll.DBRW($C$2,$BT$1,BT$2,$D$18,$D$3,$D105,$E105,$F105,BT$3)</f>
        <v>0</v>
      </c>
      <c r="BU105" s="25" cm="1">
        <f t="array" ref="BU105">_xll.DBRW($E$2,BT$1,BT$2,$D$18,$D$3,$D105,$E105,$F105,$F$3,BU$3)</f>
        <v>0</v>
      </c>
      <c r="BV105" s="25">
        <f>_xll.DBRW($C$2,$BT$1,BT$2,$D$18,$D$3,$D105,$E105,$F105,BV$3)</f>
        <v>15</v>
      </c>
      <c r="BW105" s="64">
        <f>_xll.DBRW($C$2,$BT$1,BT$2,$D$18,$D$3,$D105,$E105,$F105,BW$3)</f>
        <v>0</v>
      </c>
      <c r="BX105" s="58">
        <f>_xll.DBRW($C$2,$BT$1,BT$2,$D$18,$D$3,$D105,$E105,$F105,BX$3)</f>
        <v>0</v>
      </c>
      <c r="BY105" s="48">
        <f t="shared" si="46"/>
        <v>-68</v>
      </c>
      <c r="BZ105" s="39">
        <f>_xll.DBRW($C$2,$BZ$1,BZ$2,$D$18,$D$3,$D105,$E105,$F105,BZ$3)</f>
        <v>0</v>
      </c>
      <c r="CA105" s="25" cm="1">
        <f t="array" ref="CA105">_xll.DBRW($E$2,BZ$1,BZ$2,$D$18,$D$3,$D105,$E105,$F105,$F$3,CA$3)</f>
        <v>0</v>
      </c>
      <c r="CB105" s="25">
        <f>_xll.DBRW($C$2,$BZ$1,BZ$2,$D$18,$D$3,$D105,$E105,$F105,CB$3)</f>
        <v>15</v>
      </c>
      <c r="CC105" s="64">
        <f>_xll.DBRW($C$2,$BZ$1,BZ$2,$D$18,$D$3,$D105,$E105,$F105,CC$3)</f>
        <v>0</v>
      </c>
      <c r="CD105" s="58">
        <f>_xll.DBRW($C$2,$BZ$1,BZ$2,$D$18,$D$3,$D105,$E105,$F105,CD$3)</f>
        <v>0</v>
      </c>
      <c r="CE105" s="48">
        <f t="shared" si="47"/>
        <v>-83</v>
      </c>
    </row>
    <row r="106" spans="1:83" s="23" customFormat="1" outlineLevel="1" thickBot="1" x14ac:dyDescent="0.3">
      <c r="A106" s="91" t="str">
        <f>IF(_xll.TM1RPTELISCONSOLIDATED($F$22,$F106),IF(_xll.TM1RPTELLEV($F$22,$F106)&lt;=5,_xll.TM1RPTELLEV($F$22,$F106),"Default"),"Leaf")</f>
        <v>Leaf</v>
      </c>
      <c r="B106" s="24" t="str">
        <f>_xll.DBRW("TM1-S1_DEV:}ElementAttributes_SP_SKU",$D106,B$1)</f>
        <v>Primary</v>
      </c>
      <c r="C106" s="24" t="str">
        <f>_xll.DBRW("TM1-S1_DEV:}ElementAttributes_SP_SKU",$D106,C$1)</f>
        <v>COOKIE</v>
      </c>
      <c r="D106" s="28" t="s">
        <v>420</v>
      </c>
      <c r="E106" s="28" t="s">
        <v>122</v>
      </c>
      <c r="F106" s="28" t="s">
        <v>21</v>
      </c>
      <c r="G106" s="4">
        <f>_xll.DBRW($C$2,$G$19,G$20,$D$18,$D$3,$D106,$E106,$F106,G$3)</f>
        <v>157</v>
      </c>
      <c r="H106" s="54">
        <f t="shared" si="36"/>
        <v>10</v>
      </c>
      <c r="I106" s="4"/>
      <c r="J106" s="25">
        <f>_xll.DBRW($C$2,$J$1,J$2,$D$18,$D$3,$D106,$E106,$F106,J$3)</f>
        <v>167</v>
      </c>
      <c r="K106" s="39">
        <f>_xll.DBRW($C$2,$J$1,J$2,$D$18,$D$3,$D106,$E106,$F106,K$3)</f>
        <v>0</v>
      </c>
      <c r="L106" s="25">
        <f>_xll.DBRW($C$2,$J$1,J$2,$D$18,$D$3,$D106,$E106,$F106,L$3)</f>
        <v>0</v>
      </c>
      <c r="M106" s="25">
        <f>_xll.DBRW($C$2,$J$1,J$2,$D$18,$D$3,$D106,$E106,$F106,M$3)</f>
        <v>0</v>
      </c>
      <c r="N106" s="25">
        <f>_xll.DBRW($C$2,$J$1,J$2,$D$18,$D$3,$D106,$E106,$F106,N$3)</f>
        <v>18</v>
      </c>
      <c r="O106" s="64">
        <f>_xll.DBRW($C$2,$J$1,J$2,$D$18,$D$3,$D106,$E106,$F106,O$3)</f>
        <v>1</v>
      </c>
      <c r="P106" s="58">
        <f>_xll.DBRW($C$2,$J$1,J$2,$D$18,$D$3,$D106,$E106,$F106,P$3)</f>
        <v>0</v>
      </c>
      <c r="Q106" s="48">
        <f>_xll.DBRW($C$2,$J$1,J$2,$D$18,$D$3,$D106,$E106,$F106,Q$3)</f>
        <v>149</v>
      </c>
      <c r="R106" s="39">
        <f>_xll.DBRW($C$2,$R$1,R$2,$D$18,$D$3,$D106,$E106,$F106,R$3)</f>
        <v>0</v>
      </c>
      <c r="S106" s="25" cm="1">
        <f t="array" ref="S106">_xll.DBRW($E$2,R$1,R$2,$D$18,$D$3,$D106,$E106,$F106,$F$3,S$3)</f>
        <v>0</v>
      </c>
      <c r="T106" s="25">
        <f>_xll.DBRW($C$2,$R$1,R$2,$D$18,$D$3,$D106,$E106,$F106,T$3)</f>
        <v>0</v>
      </c>
      <c r="U106" s="64">
        <f>_xll.DBRW($C$2,$R$1,R$2,$D$18,$D$3,$D106,$E106,$F106,U$3)</f>
        <v>0</v>
      </c>
      <c r="V106" s="58">
        <f>_xll.DBRW($C$2,$R$1,R$2,$D$18,$D$3,$D106,$E106,$F106,V$3)</f>
        <v>0</v>
      </c>
      <c r="W106" s="48">
        <f t="shared" si="37"/>
        <v>149</v>
      </c>
      <c r="X106" s="39">
        <f>_xll.DBRW($C$2,$X$1,X$2,$D$18,$D$3,$D106,$E106,$F106,X$3)</f>
        <v>0</v>
      </c>
      <c r="Y106" s="25" cm="1">
        <f t="array" ref="Y106">_xll.DBRW($E$2,X$1,X$2,$D$18,$D$3,$D106,$E106,$F106,$F$3,Y$3)</f>
        <v>0</v>
      </c>
      <c r="Z106" s="25">
        <f>_xll.DBRW($C$2,$X$1,X$2,$D$18,$D$3,$D106,$E106,$F106,Z$3)</f>
        <v>15</v>
      </c>
      <c r="AA106" s="64">
        <f>_xll.DBRW($C$2,$X$1,X$2,$D$18,$D$3,$D106,$E106,$F106,AA$3)</f>
        <v>0</v>
      </c>
      <c r="AB106" s="58">
        <f>_xll.DBRW($C$2,$X$1,X$2,$D$18,$D$3,$D106,$E106,$F106,AB$3)</f>
        <v>0</v>
      </c>
      <c r="AC106" s="48">
        <f t="shared" si="38"/>
        <v>134</v>
      </c>
      <c r="AD106" s="39">
        <f>_xll.DBRW($C$2,$AD$1,AD$2,$D$18,$D$3,$D106,$E106,$F106,AD$3)</f>
        <v>0</v>
      </c>
      <c r="AE106" s="25" cm="1">
        <f t="array" ref="AE106">_xll.DBRW($E$2,AD$1,AD$2,$D$18,$D$3,$D106,$E106,$F106,$F$3,AE$3)</f>
        <v>0</v>
      </c>
      <c r="AF106" s="25">
        <f>_xll.DBRW($C$2,$AD$1,AD$2,$D$18,$D$3,$D106,$E106,$F106,AF$3)</f>
        <v>15</v>
      </c>
      <c r="AG106" s="64">
        <f>_xll.DBRW($C$2,$AD$1,AD$2,$D$18,$D$3,$D106,$E106,$F106,AG$3)</f>
        <v>0</v>
      </c>
      <c r="AH106" s="58">
        <f>_xll.DBRW($C$2,$AD$1,AD$2,$D$18,$D$3,$D106,$E106,$F106,AH$3)</f>
        <v>0</v>
      </c>
      <c r="AI106" s="48">
        <f t="shared" si="39"/>
        <v>119</v>
      </c>
      <c r="AJ106" s="39">
        <f>_xll.DBRW($C$2,$AJ$1,AJ$2,$D$18,$D$3,$D106,$E106,$F106,AJ$3)</f>
        <v>0</v>
      </c>
      <c r="AK106" s="25" cm="1">
        <f t="array" ref="AK106">_xll.DBRW($E$2,AJ$1,AJ$2,$D$18,$D$3,$D106,$E106,$F106,$F$3,AK$3)</f>
        <v>0</v>
      </c>
      <c r="AL106" s="25">
        <f>_xll.DBRW($C$2,$AJ$1,AJ$2,$D$18,$D$3,$D106,$E106,$F106,AL$3)</f>
        <v>15</v>
      </c>
      <c r="AM106" s="64">
        <f>_xll.DBRW($C$2,$AJ$1,AJ$2,$D$18,$D$3,$D106,$E106,$F106,AM$3)</f>
        <v>0</v>
      </c>
      <c r="AN106" s="58">
        <f>_xll.DBRW($C$2,$AJ$1,AJ$2,$D$18,$D$3,$D106,$E106,$F106,AN$3)</f>
        <v>0</v>
      </c>
      <c r="AO106" s="48">
        <f t="shared" si="40"/>
        <v>104</v>
      </c>
      <c r="AP106" s="39">
        <f>_xll.DBRW($C$2,$AP$1,AP$2,$D$18,$D$3,$D106,$E106,$F106,AP$3)</f>
        <v>0</v>
      </c>
      <c r="AQ106" s="25" cm="1">
        <f t="array" ref="AQ106">_xll.DBRW($E$2,AP$1,AP$2,$D$18,$D$3,$D106,$E106,$F106,$F$3,AQ$3)</f>
        <v>0</v>
      </c>
      <c r="AR106" s="25">
        <f>_xll.DBRW($C$2,$AP$1,AP$2,$D$18,$D$3,$D106,$E106,$F106,AR$3)</f>
        <v>15</v>
      </c>
      <c r="AS106" s="64">
        <f>_xll.DBRW($C$2,$AP$1,AP$2,$D$18,$D$3,$D106,$E106,$F106,AS$3)</f>
        <v>0</v>
      </c>
      <c r="AT106" s="58">
        <f>_xll.DBRW($C$2,$AP$1,AP$2,$D$18,$D$3,$D106,$E106,$F106,AT$3)</f>
        <v>0</v>
      </c>
      <c r="AU106" s="48">
        <f t="shared" si="41"/>
        <v>89</v>
      </c>
      <c r="AV106" s="39">
        <f>_xll.DBRW($C$2,$AV$1,AV$2,$D$18,$D$3,$D106,$E106,$F106,AV$3)</f>
        <v>0</v>
      </c>
      <c r="AW106" s="25" cm="1">
        <f t="array" ref="AW106">_xll.DBRW($E$2,AV$1,AV$2,$D$18,$D$3,$D106,$E106,$F106,$F$3,AW$3)</f>
        <v>0</v>
      </c>
      <c r="AX106" s="25">
        <f>_xll.DBRW($C$2,$AV$1,AV$2,$D$18,$D$3,$D106,$E106,$F106,AX$3)</f>
        <v>15</v>
      </c>
      <c r="AY106" s="64">
        <f>_xll.DBRW($C$2,$AV$1,AV$2,$D$18,$D$3,$D106,$E106,$F106,AY$3)</f>
        <v>0</v>
      </c>
      <c r="AZ106" s="58">
        <f>_xll.DBRW($C$2,$AV$1,AV$2,$D$18,$D$3,$D106,$E106,$F106,AZ$3)</f>
        <v>0</v>
      </c>
      <c r="BA106" s="48">
        <f t="shared" si="42"/>
        <v>74</v>
      </c>
      <c r="BB106" s="39">
        <f>_xll.DBRW($C$2,$BB$1,BB$2,$D$18,$D$3,$D106,$E106,$F106,BB$3)</f>
        <v>0</v>
      </c>
      <c r="BC106" s="25" cm="1">
        <f t="array" ref="BC106">_xll.DBRW($E$2,BB$1,BB$2,$D$18,$D$3,$D106,$E106,$F106,$F$3,BC$3)</f>
        <v>0</v>
      </c>
      <c r="BD106" s="25">
        <f>_xll.DBRW($C$2,$BB$1,BB$2,$D$18,$D$3,$D106,$E106,$F106,BD$3)</f>
        <v>15</v>
      </c>
      <c r="BE106" s="64">
        <f>_xll.DBRW($C$2,$BB$1,BB$2,$D$18,$D$3,$D106,$E106,$F106,BE$3)</f>
        <v>0</v>
      </c>
      <c r="BF106" s="58">
        <f>_xll.DBRW($C$2,$BB$1,BB$2,$D$18,$D$3,$D106,$E106,$F106,BF$3)</f>
        <v>0</v>
      </c>
      <c r="BG106" s="48">
        <f t="shared" si="43"/>
        <v>59</v>
      </c>
      <c r="BH106" s="39">
        <f>_xll.DBRW($C$2,$BH$1,BH$2,$D$18,$D$3,$D106,$E106,$F106,BH$3)</f>
        <v>0</v>
      </c>
      <c r="BI106" s="25" cm="1">
        <f t="array" ref="BI106">_xll.DBRW($E$2,BH$1,BH$2,$D$18,$D$3,$D106,$E106,$F106,$F$3,BI$3)</f>
        <v>0</v>
      </c>
      <c r="BJ106" s="25">
        <f>_xll.DBRW($C$2,$BH$1,BH$2,$D$18,$D$3,$D106,$E106,$F106,BJ$3)</f>
        <v>15</v>
      </c>
      <c r="BK106" s="64">
        <f>_xll.DBRW($C$2,$BH$1,BH$2,$D$18,$D$3,$D106,$E106,$F106,BK$3)</f>
        <v>0</v>
      </c>
      <c r="BL106" s="58">
        <f>_xll.DBRW($C$2,$BH$1,BH$2,$D$18,$D$3,$D106,$E106,$F106,BL$3)</f>
        <v>0</v>
      </c>
      <c r="BM106" s="48">
        <f t="shared" si="44"/>
        <v>44</v>
      </c>
      <c r="BN106" s="39">
        <f>_xll.DBRW($C$2,$BN$1,BN$2,$D$18,$D$3,$D106,$E106,$F106,BN$3)</f>
        <v>0</v>
      </c>
      <c r="BO106" s="25" cm="1">
        <f t="array" ref="BO106">_xll.DBRW($E$2,BN$1,BN$2,$D$18,$D$3,$D106,$E106,$F106,$F$3,BO$3)</f>
        <v>0</v>
      </c>
      <c r="BP106" s="25">
        <f>_xll.DBRW($C$2,$BN$1,BN$2,$D$18,$D$3,$D106,$E106,$F106,BP$3)</f>
        <v>15</v>
      </c>
      <c r="BQ106" s="64">
        <f>_xll.DBRW($C$2,$BN$1,BN$2,$D$18,$D$3,$D106,$E106,$F106,BQ$3)</f>
        <v>0</v>
      </c>
      <c r="BR106" s="58">
        <f>_xll.DBRW($C$2,$BN$1,BN$2,$D$18,$D$3,$D106,$E106,$F106,BR$3)</f>
        <v>0</v>
      </c>
      <c r="BS106" s="48">
        <f t="shared" si="45"/>
        <v>29</v>
      </c>
      <c r="BT106" s="39">
        <f>_xll.DBRW($C$2,$BT$1,BT$2,$D$18,$D$3,$D106,$E106,$F106,BT$3)</f>
        <v>0</v>
      </c>
      <c r="BU106" s="25" cm="1">
        <f t="array" ref="BU106">_xll.DBRW($E$2,BT$1,BT$2,$D$18,$D$3,$D106,$E106,$F106,$F$3,BU$3)</f>
        <v>0</v>
      </c>
      <c r="BV106" s="25">
        <f>_xll.DBRW($C$2,$BT$1,BT$2,$D$18,$D$3,$D106,$E106,$F106,BV$3)</f>
        <v>15</v>
      </c>
      <c r="BW106" s="64">
        <f>_xll.DBRW($C$2,$BT$1,BT$2,$D$18,$D$3,$D106,$E106,$F106,BW$3)</f>
        <v>0</v>
      </c>
      <c r="BX106" s="58">
        <f>_xll.DBRW($C$2,$BT$1,BT$2,$D$18,$D$3,$D106,$E106,$F106,BX$3)</f>
        <v>0</v>
      </c>
      <c r="BY106" s="48">
        <f t="shared" si="46"/>
        <v>14</v>
      </c>
      <c r="BZ106" s="39">
        <f>_xll.DBRW($C$2,$BZ$1,BZ$2,$D$18,$D$3,$D106,$E106,$F106,BZ$3)</f>
        <v>0</v>
      </c>
      <c r="CA106" s="25" cm="1">
        <f t="array" ref="CA106">_xll.DBRW($E$2,BZ$1,BZ$2,$D$18,$D$3,$D106,$E106,$F106,$F$3,CA$3)</f>
        <v>0</v>
      </c>
      <c r="CB106" s="25">
        <f>_xll.DBRW($C$2,$BZ$1,BZ$2,$D$18,$D$3,$D106,$E106,$F106,CB$3)</f>
        <v>15</v>
      </c>
      <c r="CC106" s="64">
        <f>_xll.DBRW($C$2,$BZ$1,BZ$2,$D$18,$D$3,$D106,$E106,$F106,CC$3)</f>
        <v>0</v>
      </c>
      <c r="CD106" s="58">
        <f>_xll.DBRW($C$2,$BZ$1,BZ$2,$D$18,$D$3,$D106,$E106,$F106,CD$3)</f>
        <v>0</v>
      </c>
      <c r="CE106" s="48">
        <f t="shared" si="47"/>
        <v>-1</v>
      </c>
    </row>
    <row r="107" spans="1:83" s="23" customFormat="1" outlineLevel="1" thickBot="1" x14ac:dyDescent="0.3">
      <c r="A107" s="91" t="str">
        <f>IF(_xll.TM1RPTELISCONSOLIDATED($F$22,$F107),IF(_xll.TM1RPTELLEV($F$22,$F107)&lt;=5,_xll.TM1RPTELLEV($F$22,$F107),"Default"),"Leaf")</f>
        <v>Leaf</v>
      </c>
      <c r="B107" s="24" t="str">
        <f>_xll.DBRW("TM1-S1_DEV:}ElementAttributes_SP_SKU",$D107,B$1)</f>
        <v>Primary</v>
      </c>
      <c r="C107" s="24" t="str">
        <f>_xll.DBRW("TM1-S1_DEV:}ElementAttributes_SP_SKU",$D107,C$1)</f>
        <v>SOUP</v>
      </c>
      <c r="D107" s="28" t="s">
        <v>492</v>
      </c>
      <c r="E107" s="28" t="s">
        <v>243</v>
      </c>
      <c r="F107" s="28" t="s">
        <v>100</v>
      </c>
      <c r="G107" s="4">
        <f>_xll.DBRW($C$2,$G$19,G$20,$D$18,$D$3,$D107,$E107,$F107,G$3)</f>
        <v>2</v>
      </c>
      <c r="H107" s="54">
        <f t="shared" si="36"/>
        <v>0</v>
      </c>
      <c r="I107" s="4"/>
      <c r="J107" s="25">
        <f>_xll.DBRW($C$2,$J$1,J$2,$D$18,$D$3,$D107,$E107,$F107,J$3)</f>
        <v>2</v>
      </c>
      <c r="K107" s="39">
        <f>_xll.DBRW($C$2,$J$1,J$2,$D$18,$D$3,$D107,$E107,$F107,K$3)</f>
        <v>0</v>
      </c>
      <c r="L107" s="25">
        <f>_xll.DBRW($C$2,$J$1,J$2,$D$18,$D$3,$D107,$E107,$F107,L$3)</f>
        <v>0</v>
      </c>
      <c r="M107" s="25">
        <f>_xll.DBRW($C$2,$J$1,J$2,$D$18,$D$3,$D107,$E107,$F107,M$3)</f>
        <v>0</v>
      </c>
      <c r="N107" s="25">
        <f>_xll.DBRW($C$2,$J$1,J$2,$D$18,$D$3,$D107,$E107,$F107,N$3)</f>
        <v>0</v>
      </c>
      <c r="O107" s="64">
        <f>_xll.DBRW($C$2,$J$1,J$2,$D$18,$D$3,$D107,$E107,$F107,O$3)</f>
        <v>0</v>
      </c>
      <c r="P107" s="58">
        <f>_xll.DBRW($C$2,$J$1,J$2,$D$18,$D$3,$D107,$E107,$F107,P$3)</f>
        <v>0</v>
      </c>
      <c r="Q107" s="48">
        <f>_xll.DBRW($C$2,$J$1,J$2,$D$18,$D$3,$D107,$E107,$F107,Q$3)</f>
        <v>2</v>
      </c>
      <c r="R107" s="39">
        <f>_xll.DBRW($C$2,$R$1,R$2,$D$18,$D$3,$D107,$E107,$F107,R$3)</f>
        <v>0</v>
      </c>
      <c r="S107" s="25" cm="1">
        <f t="array" ref="S107">_xll.DBRW($E$2,R$1,R$2,$D$18,$D$3,$D107,$E107,$F107,$F$3,S$3)</f>
        <v>0</v>
      </c>
      <c r="T107" s="25">
        <f>_xll.DBRW($C$2,$R$1,R$2,$D$18,$D$3,$D107,$E107,$F107,T$3)</f>
        <v>0</v>
      </c>
      <c r="U107" s="64">
        <f>_xll.DBRW($C$2,$R$1,R$2,$D$18,$D$3,$D107,$E107,$F107,U$3)</f>
        <v>0</v>
      </c>
      <c r="V107" s="58">
        <f>_xll.DBRW($C$2,$R$1,R$2,$D$18,$D$3,$D107,$E107,$F107,V$3)</f>
        <v>0</v>
      </c>
      <c r="W107" s="48">
        <f t="shared" si="37"/>
        <v>2</v>
      </c>
      <c r="X107" s="39">
        <f>_xll.DBRW($C$2,$X$1,X$2,$D$18,$D$3,$D107,$E107,$F107,X$3)</f>
        <v>0</v>
      </c>
      <c r="Y107" s="25" cm="1">
        <f t="array" ref="Y107">_xll.DBRW($E$2,X$1,X$2,$D$18,$D$3,$D107,$E107,$F107,$F$3,Y$3)</f>
        <v>0</v>
      </c>
      <c r="Z107" s="25">
        <f>_xll.DBRW($C$2,$X$1,X$2,$D$18,$D$3,$D107,$E107,$F107,Z$3)</f>
        <v>1</v>
      </c>
      <c r="AA107" s="64">
        <f>_xll.DBRW($C$2,$X$1,X$2,$D$18,$D$3,$D107,$E107,$F107,AA$3)</f>
        <v>0</v>
      </c>
      <c r="AB107" s="58">
        <f>_xll.DBRW($C$2,$X$1,X$2,$D$18,$D$3,$D107,$E107,$F107,AB$3)</f>
        <v>0</v>
      </c>
      <c r="AC107" s="48">
        <f t="shared" si="38"/>
        <v>1</v>
      </c>
      <c r="AD107" s="39">
        <f>_xll.DBRW($C$2,$AD$1,AD$2,$D$18,$D$3,$D107,$E107,$F107,AD$3)</f>
        <v>0</v>
      </c>
      <c r="AE107" s="25" cm="1">
        <f t="array" ref="AE107">_xll.DBRW($E$2,AD$1,AD$2,$D$18,$D$3,$D107,$E107,$F107,$F$3,AE$3)</f>
        <v>0</v>
      </c>
      <c r="AF107" s="25">
        <f>_xll.DBRW($C$2,$AD$1,AD$2,$D$18,$D$3,$D107,$E107,$F107,AF$3)</f>
        <v>1</v>
      </c>
      <c r="AG107" s="64">
        <f>_xll.DBRW($C$2,$AD$1,AD$2,$D$18,$D$3,$D107,$E107,$F107,AG$3)</f>
        <v>1</v>
      </c>
      <c r="AH107" s="58">
        <f>_xll.DBRW($C$2,$AD$1,AD$2,$D$18,$D$3,$D107,$E107,$F107,AH$3)</f>
        <v>0</v>
      </c>
      <c r="AI107" s="48">
        <f t="shared" si="39"/>
        <v>0</v>
      </c>
      <c r="AJ107" s="39">
        <f>_xll.DBRW($C$2,$AJ$1,AJ$2,$D$18,$D$3,$D107,$E107,$F107,AJ$3)</f>
        <v>0</v>
      </c>
      <c r="AK107" s="25" cm="1">
        <f t="array" ref="AK107">_xll.DBRW($E$2,AJ$1,AJ$2,$D$18,$D$3,$D107,$E107,$F107,$F$3,AK$3)</f>
        <v>0</v>
      </c>
      <c r="AL107" s="25">
        <f>_xll.DBRW($C$2,$AJ$1,AJ$2,$D$18,$D$3,$D107,$E107,$F107,AL$3)</f>
        <v>1</v>
      </c>
      <c r="AM107" s="64">
        <f>_xll.DBRW($C$2,$AJ$1,AJ$2,$D$18,$D$3,$D107,$E107,$F107,AM$3)</f>
        <v>0</v>
      </c>
      <c r="AN107" s="58">
        <f>_xll.DBRW($C$2,$AJ$1,AJ$2,$D$18,$D$3,$D107,$E107,$F107,AN$3)</f>
        <v>0</v>
      </c>
      <c r="AO107" s="48">
        <f t="shared" si="40"/>
        <v>-1</v>
      </c>
      <c r="AP107" s="39">
        <f>_xll.DBRW($C$2,$AP$1,AP$2,$D$18,$D$3,$D107,$E107,$F107,AP$3)</f>
        <v>0</v>
      </c>
      <c r="AQ107" s="25" cm="1">
        <f t="array" ref="AQ107">_xll.DBRW($E$2,AP$1,AP$2,$D$18,$D$3,$D107,$E107,$F107,$F$3,AQ$3)</f>
        <v>0</v>
      </c>
      <c r="AR107" s="25">
        <f>_xll.DBRW($C$2,$AP$1,AP$2,$D$18,$D$3,$D107,$E107,$F107,AR$3)</f>
        <v>1</v>
      </c>
      <c r="AS107" s="64">
        <f>_xll.DBRW($C$2,$AP$1,AP$2,$D$18,$D$3,$D107,$E107,$F107,AS$3)</f>
        <v>0</v>
      </c>
      <c r="AT107" s="58">
        <f>_xll.DBRW($C$2,$AP$1,AP$2,$D$18,$D$3,$D107,$E107,$F107,AT$3)</f>
        <v>0</v>
      </c>
      <c r="AU107" s="48">
        <f t="shared" si="41"/>
        <v>-2</v>
      </c>
      <c r="AV107" s="39">
        <f>_xll.DBRW($C$2,$AV$1,AV$2,$D$18,$D$3,$D107,$E107,$F107,AV$3)</f>
        <v>0</v>
      </c>
      <c r="AW107" s="25" cm="1">
        <f t="array" ref="AW107">_xll.DBRW($E$2,AV$1,AV$2,$D$18,$D$3,$D107,$E107,$F107,$F$3,AW$3)</f>
        <v>0</v>
      </c>
      <c r="AX107" s="25">
        <f>_xll.DBRW($C$2,$AV$1,AV$2,$D$18,$D$3,$D107,$E107,$F107,AX$3)</f>
        <v>1</v>
      </c>
      <c r="AY107" s="64">
        <f>_xll.DBRW($C$2,$AV$1,AV$2,$D$18,$D$3,$D107,$E107,$F107,AY$3)</f>
        <v>0</v>
      </c>
      <c r="AZ107" s="58">
        <f>_xll.DBRW($C$2,$AV$1,AV$2,$D$18,$D$3,$D107,$E107,$F107,AZ$3)</f>
        <v>0</v>
      </c>
      <c r="BA107" s="48">
        <f t="shared" si="42"/>
        <v>-3</v>
      </c>
      <c r="BB107" s="39">
        <f>_xll.DBRW($C$2,$BB$1,BB$2,$D$18,$D$3,$D107,$E107,$F107,BB$3)</f>
        <v>0</v>
      </c>
      <c r="BC107" s="25" cm="1">
        <f t="array" ref="BC107">_xll.DBRW($E$2,BB$1,BB$2,$D$18,$D$3,$D107,$E107,$F107,$F$3,BC$3)</f>
        <v>0</v>
      </c>
      <c r="BD107" s="25">
        <f>_xll.DBRW($C$2,$BB$1,BB$2,$D$18,$D$3,$D107,$E107,$F107,BD$3)</f>
        <v>1</v>
      </c>
      <c r="BE107" s="64">
        <f>_xll.DBRW($C$2,$BB$1,BB$2,$D$18,$D$3,$D107,$E107,$F107,BE$3)</f>
        <v>0</v>
      </c>
      <c r="BF107" s="58">
        <f>_xll.DBRW($C$2,$BB$1,BB$2,$D$18,$D$3,$D107,$E107,$F107,BF$3)</f>
        <v>0</v>
      </c>
      <c r="BG107" s="48">
        <f t="shared" si="43"/>
        <v>-4</v>
      </c>
      <c r="BH107" s="39">
        <f>_xll.DBRW($C$2,$BH$1,BH$2,$D$18,$D$3,$D107,$E107,$F107,BH$3)</f>
        <v>0</v>
      </c>
      <c r="BI107" s="25" cm="1">
        <f t="array" ref="BI107">_xll.DBRW($E$2,BH$1,BH$2,$D$18,$D$3,$D107,$E107,$F107,$F$3,BI$3)</f>
        <v>0</v>
      </c>
      <c r="BJ107" s="25">
        <f>_xll.DBRW($C$2,$BH$1,BH$2,$D$18,$D$3,$D107,$E107,$F107,BJ$3)</f>
        <v>1</v>
      </c>
      <c r="BK107" s="64">
        <f>_xll.DBRW($C$2,$BH$1,BH$2,$D$18,$D$3,$D107,$E107,$F107,BK$3)</f>
        <v>0</v>
      </c>
      <c r="BL107" s="58">
        <f>_xll.DBRW($C$2,$BH$1,BH$2,$D$18,$D$3,$D107,$E107,$F107,BL$3)</f>
        <v>0</v>
      </c>
      <c r="BM107" s="48">
        <f t="shared" si="44"/>
        <v>-5</v>
      </c>
      <c r="BN107" s="39">
        <f>_xll.DBRW($C$2,$BN$1,BN$2,$D$18,$D$3,$D107,$E107,$F107,BN$3)</f>
        <v>0</v>
      </c>
      <c r="BO107" s="25" cm="1">
        <f t="array" ref="BO107">_xll.DBRW($E$2,BN$1,BN$2,$D$18,$D$3,$D107,$E107,$F107,$F$3,BO$3)</f>
        <v>0</v>
      </c>
      <c r="BP107" s="25">
        <f>_xll.DBRW($C$2,$BN$1,BN$2,$D$18,$D$3,$D107,$E107,$F107,BP$3)</f>
        <v>1</v>
      </c>
      <c r="BQ107" s="64">
        <f>_xll.DBRW($C$2,$BN$1,BN$2,$D$18,$D$3,$D107,$E107,$F107,BQ$3)</f>
        <v>0</v>
      </c>
      <c r="BR107" s="58">
        <f>_xll.DBRW($C$2,$BN$1,BN$2,$D$18,$D$3,$D107,$E107,$F107,BR$3)</f>
        <v>0</v>
      </c>
      <c r="BS107" s="48">
        <f t="shared" si="45"/>
        <v>-6</v>
      </c>
      <c r="BT107" s="39">
        <f>_xll.DBRW($C$2,$BT$1,BT$2,$D$18,$D$3,$D107,$E107,$F107,BT$3)</f>
        <v>0</v>
      </c>
      <c r="BU107" s="25" cm="1">
        <f t="array" ref="BU107">_xll.DBRW($E$2,BT$1,BT$2,$D$18,$D$3,$D107,$E107,$F107,$F$3,BU$3)</f>
        <v>0</v>
      </c>
      <c r="BV107" s="25">
        <f>_xll.DBRW($C$2,$BT$1,BT$2,$D$18,$D$3,$D107,$E107,$F107,BV$3)</f>
        <v>1</v>
      </c>
      <c r="BW107" s="64">
        <f>_xll.DBRW($C$2,$BT$1,BT$2,$D$18,$D$3,$D107,$E107,$F107,BW$3)</f>
        <v>0</v>
      </c>
      <c r="BX107" s="58">
        <f>_xll.DBRW($C$2,$BT$1,BT$2,$D$18,$D$3,$D107,$E107,$F107,BX$3)</f>
        <v>0</v>
      </c>
      <c r="BY107" s="48">
        <f t="shared" si="46"/>
        <v>-7</v>
      </c>
      <c r="BZ107" s="39">
        <f>_xll.DBRW($C$2,$BZ$1,BZ$2,$D$18,$D$3,$D107,$E107,$F107,BZ$3)</f>
        <v>0</v>
      </c>
      <c r="CA107" s="25" cm="1">
        <f t="array" ref="CA107">_xll.DBRW($E$2,BZ$1,BZ$2,$D$18,$D$3,$D107,$E107,$F107,$F$3,CA$3)</f>
        <v>0</v>
      </c>
      <c r="CB107" s="25">
        <f>_xll.DBRW($C$2,$BZ$1,BZ$2,$D$18,$D$3,$D107,$E107,$F107,CB$3)</f>
        <v>1</v>
      </c>
      <c r="CC107" s="64">
        <f>_xll.DBRW($C$2,$BZ$1,BZ$2,$D$18,$D$3,$D107,$E107,$F107,CC$3)</f>
        <v>0</v>
      </c>
      <c r="CD107" s="58">
        <f>_xll.DBRW($C$2,$BZ$1,BZ$2,$D$18,$D$3,$D107,$E107,$F107,CD$3)</f>
        <v>0</v>
      </c>
      <c r="CE107" s="48">
        <f t="shared" si="47"/>
        <v>-8</v>
      </c>
    </row>
    <row r="108" spans="1:83" s="23" customFormat="1" outlineLevel="1" thickBot="1" x14ac:dyDescent="0.3">
      <c r="A108" s="91" t="str">
        <f>IF(_xll.TM1RPTELISCONSOLIDATED($F$22,$F108),IF(_xll.TM1RPTELLEV($F$22,$F108)&lt;=5,_xll.TM1RPTELLEV($F$22,$F108),"Default"),"Leaf")</f>
        <v>Leaf</v>
      </c>
      <c r="B108" s="24" t="str">
        <f>_xll.DBRW("TM1-S1_DEV:}ElementAttributes_SP_SKU",$D108,B$1)</f>
        <v>Primary</v>
      </c>
      <c r="C108" s="24" t="str">
        <f>_xll.DBRW("TM1-S1_DEV:}ElementAttributes_SP_SKU",$D108,C$1)</f>
        <v>INGREDIENT</v>
      </c>
      <c r="D108" s="28" t="s">
        <v>421</v>
      </c>
      <c r="E108" s="28" t="s">
        <v>244</v>
      </c>
      <c r="F108" s="28" t="s">
        <v>51</v>
      </c>
      <c r="G108" s="4">
        <f>_xll.DBRW($C$2,$G$19,G$20,$D$18,$D$3,$D108,$E108,$F108,G$3)</f>
        <v>38</v>
      </c>
      <c r="H108" s="54">
        <f t="shared" si="36"/>
        <v>-1</v>
      </c>
      <c r="I108" s="4"/>
      <c r="J108" s="25">
        <f>_xll.DBRW($C$2,$J$1,J$2,$D$18,$D$3,$D108,$E108,$F108,J$3)</f>
        <v>37</v>
      </c>
      <c r="K108" s="39">
        <f>_xll.DBRW($C$2,$J$1,J$2,$D$18,$D$3,$D108,$E108,$F108,K$3)</f>
        <v>0</v>
      </c>
      <c r="L108" s="25">
        <f>_xll.DBRW($C$2,$J$1,J$2,$D$18,$D$3,$D108,$E108,$F108,L$3)</f>
        <v>0</v>
      </c>
      <c r="M108" s="25">
        <f>_xll.DBRW($C$2,$J$1,J$2,$D$18,$D$3,$D108,$E108,$F108,M$3)</f>
        <v>0</v>
      </c>
      <c r="N108" s="25">
        <f>_xll.DBRW($C$2,$J$1,J$2,$D$18,$D$3,$D108,$E108,$F108,N$3)</f>
        <v>12</v>
      </c>
      <c r="O108" s="64">
        <f>_xll.DBRW($C$2,$J$1,J$2,$D$18,$D$3,$D108,$E108,$F108,O$3)</f>
        <v>1</v>
      </c>
      <c r="P108" s="58">
        <f>_xll.DBRW($C$2,$J$1,J$2,$D$18,$D$3,$D108,$E108,$F108,P$3)</f>
        <v>0</v>
      </c>
      <c r="Q108" s="48">
        <f>_xll.DBRW($C$2,$J$1,J$2,$D$18,$D$3,$D108,$E108,$F108,Q$3)</f>
        <v>25</v>
      </c>
      <c r="R108" s="39">
        <f>_xll.DBRW($C$2,$R$1,R$2,$D$18,$D$3,$D108,$E108,$F108,R$3)</f>
        <v>0</v>
      </c>
      <c r="S108" s="25" cm="1">
        <f t="array" ref="S108">_xll.DBRW($E$2,R$1,R$2,$D$18,$D$3,$D108,$E108,$F108,$F$3,S$3)</f>
        <v>0</v>
      </c>
      <c r="T108" s="25">
        <f>_xll.DBRW($C$2,$R$1,R$2,$D$18,$D$3,$D108,$E108,$F108,T$3)</f>
        <v>0</v>
      </c>
      <c r="U108" s="64">
        <f>_xll.DBRW($C$2,$R$1,R$2,$D$18,$D$3,$D108,$E108,$F108,U$3)</f>
        <v>0</v>
      </c>
      <c r="V108" s="58">
        <f>_xll.DBRW($C$2,$R$1,R$2,$D$18,$D$3,$D108,$E108,$F108,V$3)</f>
        <v>0</v>
      </c>
      <c r="W108" s="48">
        <f t="shared" si="37"/>
        <v>25</v>
      </c>
      <c r="X108" s="39">
        <f>_xll.DBRW($C$2,$X$1,X$2,$D$18,$D$3,$D108,$E108,$F108,X$3)</f>
        <v>0</v>
      </c>
      <c r="Y108" s="25" cm="1">
        <f t="array" ref="Y108">_xll.DBRW($E$2,X$1,X$2,$D$18,$D$3,$D108,$E108,$F108,$F$3,Y$3)</f>
        <v>0</v>
      </c>
      <c r="Z108" s="25">
        <f>_xll.DBRW($C$2,$X$1,X$2,$D$18,$D$3,$D108,$E108,$F108,Z$3)</f>
        <v>4</v>
      </c>
      <c r="AA108" s="64">
        <f>_xll.DBRW($C$2,$X$1,X$2,$D$18,$D$3,$D108,$E108,$F108,AA$3)</f>
        <v>0</v>
      </c>
      <c r="AB108" s="58">
        <f>_xll.DBRW($C$2,$X$1,X$2,$D$18,$D$3,$D108,$E108,$F108,AB$3)</f>
        <v>0</v>
      </c>
      <c r="AC108" s="48">
        <f t="shared" si="38"/>
        <v>21</v>
      </c>
      <c r="AD108" s="39">
        <f>_xll.DBRW($C$2,$AD$1,AD$2,$D$18,$D$3,$D108,$E108,$F108,AD$3)</f>
        <v>0</v>
      </c>
      <c r="AE108" s="25" cm="1">
        <f t="array" ref="AE108">_xll.DBRW($E$2,AD$1,AD$2,$D$18,$D$3,$D108,$E108,$F108,$F$3,AE$3)</f>
        <v>0</v>
      </c>
      <c r="AF108" s="25">
        <f>_xll.DBRW($C$2,$AD$1,AD$2,$D$18,$D$3,$D108,$E108,$F108,AF$3)</f>
        <v>4</v>
      </c>
      <c r="AG108" s="64">
        <f>_xll.DBRW($C$2,$AD$1,AD$2,$D$18,$D$3,$D108,$E108,$F108,AG$3)</f>
        <v>0</v>
      </c>
      <c r="AH108" s="58">
        <f>_xll.DBRW($C$2,$AD$1,AD$2,$D$18,$D$3,$D108,$E108,$F108,AH$3)</f>
        <v>0</v>
      </c>
      <c r="AI108" s="48">
        <f t="shared" si="39"/>
        <v>17</v>
      </c>
      <c r="AJ108" s="39">
        <f>_xll.DBRW($C$2,$AJ$1,AJ$2,$D$18,$D$3,$D108,$E108,$F108,AJ$3)</f>
        <v>0</v>
      </c>
      <c r="AK108" s="25" cm="1">
        <f t="array" ref="AK108">_xll.DBRW($E$2,AJ$1,AJ$2,$D$18,$D$3,$D108,$E108,$F108,$F$3,AK$3)</f>
        <v>0</v>
      </c>
      <c r="AL108" s="25">
        <f>_xll.DBRW($C$2,$AJ$1,AJ$2,$D$18,$D$3,$D108,$E108,$F108,AL$3)</f>
        <v>4</v>
      </c>
      <c r="AM108" s="64">
        <f>_xll.DBRW($C$2,$AJ$1,AJ$2,$D$18,$D$3,$D108,$E108,$F108,AM$3)</f>
        <v>0</v>
      </c>
      <c r="AN108" s="58">
        <f>_xll.DBRW($C$2,$AJ$1,AJ$2,$D$18,$D$3,$D108,$E108,$F108,AN$3)</f>
        <v>0</v>
      </c>
      <c r="AO108" s="48">
        <f t="shared" si="40"/>
        <v>13</v>
      </c>
      <c r="AP108" s="39">
        <f>_xll.DBRW($C$2,$AP$1,AP$2,$D$18,$D$3,$D108,$E108,$F108,AP$3)</f>
        <v>0</v>
      </c>
      <c r="AQ108" s="25" cm="1">
        <f t="array" ref="AQ108">_xll.DBRW($E$2,AP$1,AP$2,$D$18,$D$3,$D108,$E108,$F108,$F$3,AQ$3)</f>
        <v>0</v>
      </c>
      <c r="AR108" s="25">
        <f>_xll.DBRW($C$2,$AP$1,AP$2,$D$18,$D$3,$D108,$E108,$F108,AR$3)</f>
        <v>4</v>
      </c>
      <c r="AS108" s="64">
        <f>_xll.DBRW($C$2,$AP$1,AP$2,$D$18,$D$3,$D108,$E108,$F108,AS$3)</f>
        <v>0</v>
      </c>
      <c r="AT108" s="58">
        <f>_xll.DBRW($C$2,$AP$1,AP$2,$D$18,$D$3,$D108,$E108,$F108,AT$3)</f>
        <v>0</v>
      </c>
      <c r="AU108" s="48">
        <f t="shared" si="41"/>
        <v>9</v>
      </c>
      <c r="AV108" s="39">
        <f>_xll.DBRW($C$2,$AV$1,AV$2,$D$18,$D$3,$D108,$E108,$F108,AV$3)</f>
        <v>0</v>
      </c>
      <c r="AW108" s="25" cm="1">
        <f t="array" ref="AW108">_xll.DBRW($E$2,AV$1,AV$2,$D$18,$D$3,$D108,$E108,$F108,$F$3,AW$3)</f>
        <v>0</v>
      </c>
      <c r="AX108" s="25">
        <f>_xll.DBRW($C$2,$AV$1,AV$2,$D$18,$D$3,$D108,$E108,$F108,AX$3)</f>
        <v>4</v>
      </c>
      <c r="AY108" s="64">
        <f>_xll.DBRW($C$2,$AV$1,AV$2,$D$18,$D$3,$D108,$E108,$F108,AY$3)</f>
        <v>0</v>
      </c>
      <c r="AZ108" s="58">
        <f>_xll.DBRW($C$2,$AV$1,AV$2,$D$18,$D$3,$D108,$E108,$F108,AZ$3)</f>
        <v>0</v>
      </c>
      <c r="BA108" s="48">
        <f t="shared" si="42"/>
        <v>5</v>
      </c>
      <c r="BB108" s="39">
        <f>_xll.DBRW($C$2,$BB$1,BB$2,$D$18,$D$3,$D108,$E108,$F108,BB$3)</f>
        <v>0</v>
      </c>
      <c r="BC108" s="25" cm="1">
        <f t="array" ref="BC108">_xll.DBRW($E$2,BB$1,BB$2,$D$18,$D$3,$D108,$E108,$F108,$F$3,BC$3)</f>
        <v>0</v>
      </c>
      <c r="BD108" s="25">
        <f>_xll.DBRW($C$2,$BB$1,BB$2,$D$18,$D$3,$D108,$E108,$F108,BD$3)</f>
        <v>4</v>
      </c>
      <c r="BE108" s="64">
        <f>_xll.DBRW($C$2,$BB$1,BB$2,$D$18,$D$3,$D108,$E108,$F108,BE$3)</f>
        <v>0</v>
      </c>
      <c r="BF108" s="58">
        <f>_xll.DBRW($C$2,$BB$1,BB$2,$D$18,$D$3,$D108,$E108,$F108,BF$3)</f>
        <v>0</v>
      </c>
      <c r="BG108" s="48">
        <f t="shared" si="43"/>
        <v>1</v>
      </c>
      <c r="BH108" s="39">
        <f>_xll.DBRW($C$2,$BH$1,BH$2,$D$18,$D$3,$D108,$E108,$F108,BH$3)</f>
        <v>0</v>
      </c>
      <c r="BI108" s="25" cm="1">
        <f t="array" ref="BI108">_xll.DBRW($E$2,BH$1,BH$2,$D$18,$D$3,$D108,$E108,$F108,$F$3,BI$3)</f>
        <v>0</v>
      </c>
      <c r="BJ108" s="25">
        <f>_xll.DBRW($C$2,$BH$1,BH$2,$D$18,$D$3,$D108,$E108,$F108,BJ$3)</f>
        <v>4</v>
      </c>
      <c r="BK108" s="64">
        <f>_xll.DBRW($C$2,$BH$1,BH$2,$D$18,$D$3,$D108,$E108,$F108,BK$3)</f>
        <v>0</v>
      </c>
      <c r="BL108" s="58">
        <f>_xll.DBRW($C$2,$BH$1,BH$2,$D$18,$D$3,$D108,$E108,$F108,BL$3)</f>
        <v>0</v>
      </c>
      <c r="BM108" s="48">
        <f t="shared" si="44"/>
        <v>-3</v>
      </c>
      <c r="BN108" s="39">
        <f>_xll.DBRW($C$2,$BN$1,BN$2,$D$18,$D$3,$D108,$E108,$F108,BN$3)</f>
        <v>0</v>
      </c>
      <c r="BO108" s="25" cm="1">
        <f t="array" ref="BO108">_xll.DBRW($E$2,BN$1,BN$2,$D$18,$D$3,$D108,$E108,$F108,$F$3,BO$3)</f>
        <v>0</v>
      </c>
      <c r="BP108" s="25">
        <f>_xll.DBRW($C$2,$BN$1,BN$2,$D$18,$D$3,$D108,$E108,$F108,BP$3)</f>
        <v>4</v>
      </c>
      <c r="BQ108" s="64">
        <f>_xll.DBRW($C$2,$BN$1,BN$2,$D$18,$D$3,$D108,$E108,$F108,BQ$3)</f>
        <v>0</v>
      </c>
      <c r="BR108" s="58">
        <f>_xll.DBRW($C$2,$BN$1,BN$2,$D$18,$D$3,$D108,$E108,$F108,BR$3)</f>
        <v>0</v>
      </c>
      <c r="BS108" s="48">
        <f t="shared" si="45"/>
        <v>-7</v>
      </c>
      <c r="BT108" s="39">
        <f>_xll.DBRW($C$2,$BT$1,BT$2,$D$18,$D$3,$D108,$E108,$F108,BT$3)</f>
        <v>0</v>
      </c>
      <c r="BU108" s="25" cm="1">
        <f t="array" ref="BU108">_xll.DBRW($E$2,BT$1,BT$2,$D$18,$D$3,$D108,$E108,$F108,$F$3,BU$3)</f>
        <v>0</v>
      </c>
      <c r="BV108" s="25">
        <f>_xll.DBRW($C$2,$BT$1,BT$2,$D$18,$D$3,$D108,$E108,$F108,BV$3)</f>
        <v>4</v>
      </c>
      <c r="BW108" s="64">
        <f>_xll.DBRW($C$2,$BT$1,BT$2,$D$18,$D$3,$D108,$E108,$F108,BW$3)</f>
        <v>0</v>
      </c>
      <c r="BX108" s="58">
        <f>_xll.DBRW($C$2,$BT$1,BT$2,$D$18,$D$3,$D108,$E108,$F108,BX$3)</f>
        <v>0</v>
      </c>
      <c r="BY108" s="48">
        <f t="shared" si="46"/>
        <v>-11</v>
      </c>
      <c r="BZ108" s="39">
        <f>_xll.DBRW($C$2,$BZ$1,BZ$2,$D$18,$D$3,$D108,$E108,$F108,BZ$3)</f>
        <v>0</v>
      </c>
      <c r="CA108" s="25" cm="1">
        <f t="array" ref="CA108">_xll.DBRW($E$2,BZ$1,BZ$2,$D$18,$D$3,$D108,$E108,$F108,$F$3,CA$3)</f>
        <v>0</v>
      </c>
      <c r="CB108" s="25">
        <f>_xll.DBRW($C$2,$BZ$1,BZ$2,$D$18,$D$3,$D108,$E108,$F108,CB$3)</f>
        <v>4</v>
      </c>
      <c r="CC108" s="64">
        <f>_xll.DBRW($C$2,$BZ$1,BZ$2,$D$18,$D$3,$D108,$E108,$F108,CC$3)</f>
        <v>0</v>
      </c>
      <c r="CD108" s="58">
        <f>_xll.DBRW($C$2,$BZ$1,BZ$2,$D$18,$D$3,$D108,$E108,$F108,CD$3)</f>
        <v>0</v>
      </c>
      <c r="CE108" s="48">
        <f t="shared" si="47"/>
        <v>-15</v>
      </c>
    </row>
    <row r="109" spans="1:83" s="23" customFormat="1" outlineLevel="1" thickBot="1" x14ac:dyDescent="0.3">
      <c r="A109" s="91" t="str">
        <f>IF(_xll.TM1RPTELISCONSOLIDATED($F$22,$F109),IF(_xll.TM1RPTELLEV($F$22,$F109)&lt;=5,_xll.TM1RPTELLEV($F$22,$F109),"Default"),"Leaf")</f>
        <v>Leaf</v>
      </c>
      <c r="B109" s="24" t="str">
        <f>_xll.DBRW("TM1-S1_DEV:}ElementAttributes_SP_SKU",$D109,B$1)</f>
        <v>Primary</v>
      </c>
      <c r="C109" s="24" t="str">
        <f>_xll.DBRW("TM1-S1_DEV:}ElementAttributes_SP_SKU",$D109,C$1)</f>
        <v>INGREDIENT</v>
      </c>
      <c r="D109" s="28" t="s">
        <v>493</v>
      </c>
      <c r="E109" s="28" t="s">
        <v>245</v>
      </c>
      <c r="F109" s="28" t="s">
        <v>22</v>
      </c>
      <c r="G109" s="4">
        <f>_xll.DBRW($C$2,$G$19,G$20,$D$18,$D$3,$D109,$E109,$F109,G$3)</f>
        <v>37</v>
      </c>
      <c r="H109" s="54">
        <f t="shared" si="36"/>
        <v>-2</v>
      </c>
      <c r="I109" s="4"/>
      <c r="J109" s="25">
        <f>_xll.DBRW($C$2,$J$1,J$2,$D$18,$D$3,$D109,$E109,$F109,J$3)</f>
        <v>35</v>
      </c>
      <c r="K109" s="39">
        <f>_xll.DBRW($C$2,$J$1,J$2,$D$18,$D$3,$D109,$E109,$F109,K$3)</f>
        <v>0</v>
      </c>
      <c r="L109" s="25">
        <f>_xll.DBRW($C$2,$J$1,J$2,$D$18,$D$3,$D109,$E109,$F109,L$3)</f>
        <v>0</v>
      </c>
      <c r="M109" s="25">
        <f>_xll.DBRW($C$2,$J$1,J$2,$D$18,$D$3,$D109,$E109,$F109,M$3)</f>
        <v>0</v>
      </c>
      <c r="N109" s="25">
        <f>_xll.DBRW($C$2,$J$1,J$2,$D$18,$D$3,$D109,$E109,$F109,N$3)</f>
        <v>0</v>
      </c>
      <c r="O109" s="64">
        <f>_xll.DBRW($C$2,$J$1,J$2,$D$18,$D$3,$D109,$E109,$F109,O$3)</f>
        <v>0</v>
      </c>
      <c r="P109" s="58">
        <f>_xll.DBRW($C$2,$J$1,J$2,$D$18,$D$3,$D109,$E109,$F109,P$3)</f>
        <v>0</v>
      </c>
      <c r="Q109" s="48">
        <f>_xll.DBRW($C$2,$J$1,J$2,$D$18,$D$3,$D109,$E109,$F109,Q$3)</f>
        <v>35</v>
      </c>
      <c r="R109" s="39">
        <f>_xll.DBRW($C$2,$R$1,R$2,$D$18,$D$3,$D109,$E109,$F109,R$3)</f>
        <v>0</v>
      </c>
      <c r="S109" s="25" cm="1">
        <f t="array" ref="S109">_xll.DBRW($E$2,R$1,R$2,$D$18,$D$3,$D109,$E109,$F109,$F$3,S$3)</f>
        <v>0</v>
      </c>
      <c r="T109" s="25">
        <f>_xll.DBRW($C$2,$R$1,R$2,$D$18,$D$3,$D109,$E109,$F109,T$3)</f>
        <v>0</v>
      </c>
      <c r="U109" s="64">
        <f>_xll.DBRW($C$2,$R$1,R$2,$D$18,$D$3,$D109,$E109,$F109,U$3)</f>
        <v>0</v>
      </c>
      <c r="V109" s="58">
        <f>_xll.DBRW($C$2,$R$1,R$2,$D$18,$D$3,$D109,$E109,$F109,V$3)</f>
        <v>0</v>
      </c>
      <c r="W109" s="48">
        <f t="shared" si="37"/>
        <v>35</v>
      </c>
      <c r="X109" s="39">
        <f>_xll.DBRW($C$2,$X$1,X$2,$D$18,$D$3,$D109,$E109,$F109,X$3)</f>
        <v>0</v>
      </c>
      <c r="Y109" s="25" cm="1">
        <f t="array" ref="Y109">_xll.DBRW($E$2,X$1,X$2,$D$18,$D$3,$D109,$E109,$F109,$F$3,Y$3)</f>
        <v>0</v>
      </c>
      <c r="Z109" s="25">
        <f>_xll.DBRW($C$2,$X$1,X$2,$D$18,$D$3,$D109,$E109,$F109,Z$3)</f>
        <v>1</v>
      </c>
      <c r="AA109" s="64">
        <f>_xll.DBRW($C$2,$X$1,X$2,$D$18,$D$3,$D109,$E109,$F109,AA$3)</f>
        <v>0</v>
      </c>
      <c r="AB109" s="58">
        <f>_xll.DBRW($C$2,$X$1,X$2,$D$18,$D$3,$D109,$E109,$F109,AB$3)</f>
        <v>0</v>
      </c>
      <c r="AC109" s="48">
        <f t="shared" si="38"/>
        <v>34</v>
      </c>
      <c r="AD109" s="39">
        <f>_xll.DBRW($C$2,$AD$1,AD$2,$D$18,$D$3,$D109,$E109,$F109,AD$3)</f>
        <v>0</v>
      </c>
      <c r="AE109" s="25" cm="1">
        <f t="array" ref="AE109">_xll.DBRW($E$2,AD$1,AD$2,$D$18,$D$3,$D109,$E109,$F109,$F$3,AE$3)</f>
        <v>0</v>
      </c>
      <c r="AF109" s="25">
        <f>_xll.DBRW($C$2,$AD$1,AD$2,$D$18,$D$3,$D109,$E109,$F109,AF$3)</f>
        <v>1</v>
      </c>
      <c r="AG109" s="64">
        <f>_xll.DBRW($C$2,$AD$1,AD$2,$D$18,$D$3,$D109,$E109,$F109,AG$3)</f>
        <v>0</v>
      </c>
      <c r="AH109" s="58">
        <f>_xll.DBRW($C$2,$AD$1,AD$2,$D$18,$D$3,$D109,$E109,$F109,AH$3)</f>
        <v>0</v>
      </c>
      <c r="AI109" s="48">
        <f t="shared" si="39"/>
        <v>33</v>
      </c>
      <c r="AJ109" s="39">
        <f>_xll.DBRW($C$2,$AJ$1,AJ$2,$D$18,$D$3,$D109,$E109,$F109,AJ$3)</f>
        <v>0</v>
      </c>
      <c r="AK109" s="25" cm="1">
        <f t="array" ref="AK109">_xll.DBRW($E$2,AJ$1,AJ$2,$D$18,$D$3,$D109,$E109,$F109,$F$3,AK$3)</f>
        <v>0</v>
      </c>
      <c r="AL109" s="25">
        <f>_xll.DBRW($C$2,$AJ$1,AJ$2,$D$18,$D$3,$D109,$E109,$F109,AL$3)</f>
        <v>1</v>
      </c>
      <c r="AM109" s="64">
        <f>_xll.DBRW($C$2,$AJ$1,AJ$2,$D$18,$D$3,$D109,$E109,$F109,AM$3)</f>
        <v>0</v>
      </c>
      <c r="AN109" s="58">
        <f>_xll.DBRW($C$2,$AJ$1,AJ$2,$D$18,$D$3,$D109,$E109,$F109,AN$3)</f>
        <v>0</v>
      </c>
      <c r="AO109" s="48">
        <f t="shared" si="40"/>
        <v>32</v>
      </c>
      <c r="AP109" s="39">
        <f>_xll.DBRW($C$2,$AP$1,AP$2,$D$18,$D$3,$D109,$E109,$F109,AP$3)</f>
        <v>0</v>
      </c>
      <c r="AQ109" s="25" cm="1">
        <f t="array" ref="AQ109">_xll.DBRW($E$2,AP$1,AP$2,$D$18,$D$3,$D109,$E109,$F109,$F$3,AQ$3)</f>
        <v>0</v>
      </c>
      <c r="AR109" s="25">
        <f>_xll.DBRW($C$2,$AP$1,AP$2,$D$18,$D$3,$D109,$E109,$F109,AR$3)</f>
        <v>1</v>
      </c>
      <c r="AS109" s="64">
        <f>_xll.DBRW($C$2,$AP$1,AP$2,$D$18,$D$3,$D109,$E109,$F109,AS$3)</f>
        <v>0</v>
      </c>
      <c r="AT109" s="58">
        <f>_xll.DBRW($C$2,$AP$1,AP$2,$D$18,$D$3,$D109,$E109,$F109,AT$3)</f>
        <v>0</v>
      </c>
      <c r="AU109" s="48">
        <f t="shared" si="41"/>
        <v>31</v>
      </c>
      <c r="AV109" s="39">
        <f>_xll.DBRW($C$2,$AV$1,AV$2,$D$18,$D$3,$D109,$E109,$F109,AV$3)</f>
        <v>0</v>
      </c>
      <c r="AW109" s="25" cm="1">
        <f t="array" ref="AW109">_xll.DBRW($E$2,AV$1,AV$2,$D$18,$D$3,$D109,$E109,$F109,$F$3,AW$3)</f>
        <v>0</v>
      </c>
      <c r="AX109" s="25">
        <f>_xll.DBRW($C$2,$AV$1,AV$2,$D$18,$D$3,$D109,$E109,$F109,AX$3)</f>
        <v>1</v>
      </c>
      <c r="AY109" s="64">
        <f>_xll.DBRW($C$2,$AV$1,AV$2,$D$18,$D$3,$D109,$E109,$F109,AY$3)</f>
        <v>0</v>
      </c>
      <c r="AZ109" s="58">
        <f>_xll.DBRW($C$2,$AV$1,AV$2,$D$18,$D$3,$D109,$E109,$F109,AZ$3)</f>
        <v>0</v>
      </c>
      <c r="BA109" s="48">
        <f t="shared" si="42"/>
        <v>30</v>
      </c>
      <c r="BB109" s="39">
        <f>_xll.DBRW($C$2,$BB$1,BB$2,$D$18,$D$3,$D109,$E109,$F109,BB$3)</f>
        <v>0</v>
      </c>
      <c r="BC109" s="25" cm="1">
        <f t="array" ref="BC109">_xll.DBRW($E$2,BB$1,BB$2,$D$18,$D$3,$D109,$E109,$F109,$F$3,BC$3)</f>
        <v>0</v>
      </c>
      <c r="BD109" s="25">
        <f>_xll.DBRW($C$2,$BB$1,BB$2,$D$18,$D$3,$D109,$E109,$F109,BD$3)</f>
        <v>1</v>
      </c>
      <c r="BE109" s="64">
        <f>_xll.DBRW($C$2,$BB$1,BB$2,$D$18,$D$3,$D109,$E109,$F109,BE$3)</f>
        <v>0</v>
      </c>
      <c r="BF109" s="58">
        <f>_xll.DBRW($C$2,$BB$1,BB$2,$D$18,$D$3,$D109,$E109,$F109,BF$3)</f>
        <v>0</v>
      </c>
      <c r="BG109" s="48">
        <f t="shared" si="43"/>
        <v>29</v>
      </c>
      <c r="BH109" s="39">
        <f>_xll.DBRW($C$2,$BH$1,BH$2,$D$18,$D$3,$D109,$E109,$F109,BH$3)</f>
        <v>0</v>
      </c>
      <c r="BI109" s="25" cm="1">
        <f t="array" ref="BI109">_xll.DBRW($E$2,BH$1,BH$2,$D$18,$D$3,$D109,$E109,$F109,$F$3,BI$3)</f>
        <v>0</v>
      </c>
      <c r="BJ109" s="25">
        <f>_xll.DBRW($C$2,$BH$1,BH$2,$D$18,$D$3,$D109,$E109,$F109,BJ$3)</f>
        <v>1</v>
      </c>
      <c r="BK109" s="64">
        <f>_xll.DBRW($C$2,$BH$1,BH$2,$D$18,$D$3,$D109,$E109,$F109,BK$3)</f>
        <v>0</v>
      </c>
      <c r="BL109" s="58">
        <f>_xll.DBRW($C$2,$BH$1,BH$2,$D$18,$D$3,$D109,$E109,$F109,BL$3)</f>
        <v>0</v>
      </c>
      <c r="BM109" s="48">
        <f t="shared" si="44"/>
        <v>28</v>
      </c>
      <c r="BN109" s="39">
        <f>_xll.DBRW($C$2,$BN$1,BN$2,$D$18,$D$3,$D109,$E109,$F109,BN$3)</f>
        <v>0</v>
      </c>
      <c r="BO109" s="25" cm="1">
        <f t="array" ref="BO109">_xll.DBRW($E$2,BN$1,BN$2,$D$18,$D$3,$D109,$E109,$F109,$F$3,BO$3)</f>
        <v>0</v>
      </c>
      <c r="BP109" s="25">
        <f>_xll.DBRW($C$2,$BN$1,BN$2,$D$18,$D$3,$D109,$E109,$F109,BP$3)</f>
        <v>1</v>
      </c>
      <c r="BQ109" s="64">
        <f>_xll.DBRW($C$2,$BN$1,BN$2,$D$18,$D$3,$D109,$E109,$F109,BQ$3)</f>
        <v>0</v>
      </c>
      <c r="BR109" s="58">
        <f>_xll.DBRW($C$2,$BN$1,BN$2,$D$18,$D$3,$D109,$E109,$F109,BR$3)</f>
        <v>0</v>
      </c>
      <c r="BS109" s="48">
        <f t="shared" si="45"/>
        <v>27</v>
      </c>
      <c r="BT109" s="39">
        <f>_xll.DBRW($C$2,$BT$1,BT$2,$D$18,$D$3,$D109,$E109,$F109,BT$3)</f>
        <v>0</v>
      </c>
      <c r="BU109" s="25" cm="1">
        <f t="array" ref="BU109">_xll.DBRW($E$2,BT$1,BT$2,$D$18,$D$3,$D109,$E109,$F109,$F$3,BU$3)</f>
        <v>0</v>
      </c>
      <c r="BV109" s="25">
        <f>_xll.DBRW($C$2,$BT$1,BT$2,$D$18,$D$3,$D109,$E109,$F109,BV$3)</f>
        <v>1</v>
      </c>
      <c r="BW109" s="64">
        <f>_xll.DBRW($C$2,$BT$1,BT$2,$D$18,$D$3,$D109,$E109,$F109,BW$3)</f>
        <v>0</v>
      </c>
      <c r="BX109" s="58">
        <f>_xll.DBRW($C$2,$BT$1,BT$2,$D$18,$D$3,$D109,$E109,$F109,BX$3)</f>
        <v>0</v>
      </c>
      <c r="BY109" s="48">
        <f t="shared" si="46"/>
        <v>26</v>
      </c>
      <c r="BZ109" s="39">
        <f>_xll.DBRW($C$2,$BZ$1,BZ$2,$D$18,$D$3,$D109,$E109,$F109,BZ$3)</f>
        <v>0</v>
      </c>
      <c r="CA109" s="25" cm="1">
        <f t="array" ref="CA109">_xll.DBRW($E$2,BZ$1,BZ$2,$D$18,$D$3,$D109,$E109,$F109,$F$3,CA$3)</f>
        <v>0</v>
      </c>
      <c r="CB109" s="25">
        <f>_xll.DBRW($C$2,$BZ$1,BZ$2,$D$18,$D$3,$D109,$E109,$F109,CB$3)</f>
        <v>1</v>
      </c>
      <c r="CC109" s="64">
        <f>_xll.DBRW($C$2,$BZ$1,BZ$2,$D$18,$D$3,$D109,$E109,$F109,CC$3)</f>
        <v>0</v>
      </c>
      <c r="CD109" s="58">
        <f>_xll.DBRW($C$2,$BZ$1,BZ$2,$D$18,$D$3,$D109,$E109,$F109,CD$3)</f>
        <v>0</v>
      </c>
      <c r="CE109" s="48">
        <f t="shared" si="47"/>
        <v>25</v>
      </c>
    </row>
    <row r="110" spans="1:83" s="23" customFormat="1" outlineLevel="1" thickBot="1" x14ac:dyDescent="0.3">
      <c r="A110" s="91" t="str">
        <f>IF(_xll.TM1RPTELISCONSOLIDATED($F$22,$F110),IF(_xll.TM1RPTELLEV($F$22,$F110)&lt;=5,_xll.TM1RPTELLEV($F$22,$F110),"Default"),"Leaf")</f>
        <v>Leaf</v>
      </c>
      <c r="B110" s="24" t="str">
        <f>_xll.DBRW("TM1-S1_DEV:}ElementAttributes_SP_SKU",$D110,B$1)</f>
        <v>Primary</v>
      </c>
      <c r="C110" s="24" t="str">
        <f>_xll.DBRW("TM1-S1_DEV:}ElementAttributes_SP_SKU",$D110,C$1)</f>
        <v>INGREDIENT</v>
      </c>
      <c r="D110" s="28" t="s">
        <v>460</v>
      </c>
      <c r="E110" s="28" t="s">
        <v>246</v>
      </c>
      <c r="F110" s="28" t="s">
        <v>23</v>
      </c>
      <c r="G110" s="4">
        <f>_xll.DBRW($C$2,$G$19,G$20,$D$18,$D$3,$D110,$E110,$F110,G$3)</f>
        <v>8</v>
      </c>
      <c r="H110" s="54">
        <f t="shared" si="36"/>
        <v>-8</v>
      </c>
      <c r="I110" s="4"/>
      <c r="J110" s="25">
        <f>_xll.DBRW($C$2,$J$1,J$2,$D$18,$D$3,$D110,$E110,$F110,J$3)</f>
        <v>0</v>
      </c>
      <c r="K110" s="39">
        <f>_xll.DBRW($C$2,$J$1,J$2,$D$18,$D$3,$D110,$E110,$F110,K$3)</f>
        <v>0</v>
      </c>
      <c r="L110" s="25">
        <f>_xll.DBRW($C$2,$J$1,J$2,$D$18,$D$3,$D110,$E110,$F110,L$3)</f>
        <v>0</v>
      </c>
      <c r="M110" s="25">
        <f>_xll.DBRW($C$2,$J$1,J$2,$D$18,$D$3,$D110,$E110,$F110,M$3)</f>
        <v>49</v>
      </c>
      <c r="N110" s="25">
        <f>_xll.DBRW($C$2,$J$1,J$2,$D$18,$D$3,$D110,$E110,$F110,N$3)</f>
        <v>0</v>
      </c>
      <c r="O110" s="64">
        <f>_xll.DBRW($C$2,$J$1,J$2,$D$18,$D$3,$D110,$E110,$F110,O$3)</f>
        <v>0</v>
      </c>
      <c r="P110" s="58">
        <f>_xll.DBRW($C$2,$J$1,J$2,$D$18,$D$3,$D110,$E110,$F110,P$3)</f>
        <v>0</v>
      </c>
      <c r="Q110" s="48">
        <f>_xll.DBRW($C$2,$J$1,J$2,$D$18,$D$3,$D110,$E110,$F110,Q$3)</f>
        <v>49</v>
      </c>
      <c r="R110" s="39">
        <f>_xll.DBRW($C$2,$R$1,R$2,$D$18,$D$3,$D110,$E110,$F110,R$3)</f>
        <v>0</v>
      </c>
      <c r="S110" s="25" cm="1">
        <f t="array" ref="S110">_xll.DBRW($E$2,R$1,R$2,$D$18,$D$3,$D110,$E110,$F110,$F$3,S$3)</f>
        <v>0</v>
      </c>
      <c r="T110" s="25">
        <f>_xll.DBRW($C$2,$R$1,R$2,$D$18,$D$3,$D110,$E110,$F110,T$3)</f>
        <v>0</v>
      </c>
      <c r="U110" s="64">
        <f>_xll.DBRW($C$2,$R$1,R$2,$D$18,$D$3,$D110,$E110,$F110,U$3)</f>
        <v>0</v>
      </c>
      <c r="V110" s="58">
        <f>_xll.DBRW($C$2,$R$1,R$2,$D$18,$D$3,$D110,$E110,$F110,V$3)</f>
        <v>0</v>
      </c>
      <c r="W110" s="48">
        <f t="shared" si="37"/>
        <v>49</v>
      </c>
      <c r="X110" s="39">
        <f>_xll.DBRW($C$2,$X$1,X$2,$D$18,$D$3,$D110,$E110,$F110,X$3)</f>
        <v>0</v>
      </c>
      <c r="Y110" s="25" cm="1">
        <f t="array" ref="Y110">_xll.DBRW($E$2,X$1,X$2,$D$18,$D$3,$D110,$E110,$F110,$F$3,Y$3)</f>
        <v>0</v>
      </c>
      <c r="Z110" s="25">
        <f>_xll.DBRW($C$2,$X$1,X$2,$D$18,$D$3,$D110,$E110,$F110,Z$3)</f>
        <v>6</v>
      </c>
      <c r="AA110" s="64">
        <f>_xll.DBRW($C$2,$X$1,X$2,$D$18,$D$3,$D110,$E110,$F110,AA$3)</f>
        <v>0</v>
      </c>
      <c r="AB110" s="58">
        <f>_xll.DBRW($C$2,$X$1,X$2,$D$18,$D$3,$D110,$E110,$F110,AB$3)</f>
        <v>0</v>
      </c>
      <c r="AC110" s="48">
        <f t="shared" si="38"/>
        <v>43</v>
      </c>
      <c r="AD110" s="39">
        <f>_xll.DBRW($C$2,$AD$1,AD$2,$D$18,$D$3,$D110,$E110,$F110,AD$3)</f>
        <v>0</v>
      </c>
      <c r="AE110" s="25" cm="1">
        <f t="array" ref="AE110">_xll.DBRW($E$2,AD$1,AD$2,$D$18,$D$3,$D110,$E110,$F110,$F$3,AE$3)</f>
        <v>0</v>
      </c>
      <c r="AF110" s="25">
        <f>_xll.DBRW($C$2,$AD$1,AD$2,$D$18,$D$3,$D110,$E110,$F110,AF$3)</f>
        <v>6</v>
      </c>
      <c r="AG110" s="64">
        <f>_xll.DBRW($C$2,$AD$1,AD$2,$D$18,$D$3,$D110,$E110,$F110,AG$3)</f>
        <v>0</v>
      </c>
      <c r="AH110" s="58">
        <f>_xll.DBRW($C$2,$AD$1,AD$2,$D$18,$D$3,$D110,$E110,$F110,AH$3)</f>
        <v>0</v>
      </c>
      <c r="AI110" s="48">
        <f t="shared" si="39"/>
        <v>37</v>
      </c>
      <c r="AJ110" s="39">
        <f>_xll.DBRW($C$2,$AJ$1,AJ$2,$D$18,$D$3,$D110,$E110,$F110,AJ$3)</f>
        <v>0</v>
      </c>
      <c r="AK110" s="25" cm="1">
        <f t="array" ref="AK110">_xll.DBRW($E$2,AJ$1,AJ$2,$D$18,$D$3,$D110,$E110,$F110,$F$3,AK$3)</f>
        <v>0</v>
      </c>
      <c r="AL110" s="25">
        <f>_xll.DBRW($C$2,$AJ$1,AJ$2,$D$18,$D$3,$D110,$E110,$F110,AL$3)</f>
        <v>6</v>
      </c>
      <c r="AM110" s="64">
        <f>_xll.DBRW($C$2,$AJ$1,AJ$2,$D$18,$D$3,$D110,$E110,$F110,AM$3)</f>
        <v>0</v>
      </c>
      <c r="AN110" s="58">
        <f>_xll.DBRW($C$2,$AJ$1,AJ$2,$D$18,$D$3,$D110,$E110,$F110,AN$3)</f>
        <v>0</v>
      </c>
      <c r="AO110" s="48">
        <f t="shared" si="40"/>
        <v>31</v>
      </c>
      <c r="AP110" s="39">
        <f>_xll.DBRW($C$2,$AP$1,AP$2,$D$18,$D$3,$D110,$E110,$F110,AP$3)</f>
        <v>0</v>
      </c>
      <c r="AQ110" s="25" cm="1">
        <f t="array" ref="AQ110">_xll.DBRW($E$2,AP$1,AP$2,$D$18,$D$3,$D110,$E110,$F110,$F$3,AQ$3)</f>
        <v>0</v>
      </c>
      <c r="AR110" s="25">
        <f>_xll.DBRW($C$2,$AP$1,AP$2,$D$18,$D$3,$D110,$E110,$F110,AR$3)</f>
        <v>6</v>
      </c>
      <c r="AS110" s="64">
        <f>_xll.DBRW($C$2,$AP$1,AP$2,$D$18,$D$3,$D110,$E110,$F110,AS$3)</f>
        <v>0</v>
      </c>
      <c r="AT110" s="58">
        <f>_xll.DBRW($C$2,$AP$1,AP$2,$D$18,$D$3,$D110,$E110,$F110,AT$3)</f>
        <v>0</v>
      </c>
      <c r="AU110" s="48">
        <f t="shared" si="41"/>
        <v>25</v>
      </c>
      <c r="AV110" s="39">
        <f>_xll.DBRW($C$2,$AV$1,AV$2,$D$18,$D$3,$D110,$E110,$F110,AV$3)</f>
        <v>0</v>
      </c>
      <c r="AW110" s="25" cm="1">
        <f t="array" ref="AW110">_xll.DBRW($E$2,AV$1,AV$2,$D$18,$D$3,$D110,$E110,$F110,$F$3,AW$3)</f>
        <v>0</v>
      </c>
      <c r="AX110" s="25">
        <f>_xll.DBRW($C$2,$AV$1,AV$2,$D$18,$D$3,$D110,$E110,$F110,AX$3)</f>
        <v>6</v>
      </c>
      <c r="AY110" s="64">
        <f>_xll.DBRW($C$2,$AV$1,AV$2,$D$18,$D$3,$D110,$E110,$F110,AY$3)</f>
        <v>0</v>
      </c>
      <c r="AZ110" s="58">
        <f>_xll.DBRW($C$2,$AV$1,AV$2,$D$18,$D$3,$D110,$E110,$F110,AZ$3)</f>
        <v>0</v>
      </c>
      <c r="BA110" s="48">
        <f t="shared" si="42"/>
        <v>19</v>
      </c>
      <c r="BB110" s="39">
        <f>_xll.DBRW($C$2,$BB$1,BB$2,$D$18,$D$3,$D110,$E110,$F110,BB$3)</f>
        <v>0</v>
      </c>
      <c r="BC110" s="25" cm="1">
        <f t="array" ref="BC110">_xll.DBRW($E$2,BB$1,BB$2,$D$18,$D$3,$D110,$E110,$F110,$F$3,BC$3)</f>
        <v>0</v>
      </c>
      <c r="BD110" s="25">
        <f>_xll.DBRW($C$2,$BB$1,BB$2,$D$18,$D$3,$D110,$E110,$F110,BD$3)</f>
        <v>6</v>
      </c>
      <c r="BE110" s="64">
        <f>_xll.DBRW($C$2,$BB$1,BB$2,$D$18,$D$3,$D110,$E110,$F110,BE$3)</f>
        <v>0</v>
      </c>
      <c r="BF110" s="58">
        <f>_xll.DBRW($C$2,$BB$1,BB$2,$D$18,$D$3,$D110,$E110,$F110,BF$3)</f>
        <v>0</v>
      </c>
      <c r="BG110" s="48">
        <f t="shared" si="43"/>
        <v>13</v>
      </c>
      <c r="BH110" s="39">
        <f>_xll.DBRW($C$2,$BH$1,BH$2,$D$18,$D$3,$D110,$E110,$F110,BH$3)</f>
        <v>0</v>
      </c>
      <c r="BI110" s="25" cm="1">
        <f t="array" ref="BI110">_xll.DBRW($E$2,BH$1,BH$2,$D$18,$D$3,$D110,$E110,$F110,$F$3,BI$3)</f>
        <v>0</v>
      </c>
      <c r="BJ110" s="25">
        <f>_xll.DBRW($C$2,$BH$1,BH$2,$D$18,$D$3,$D110,$E110,$F110,BJ$3)</f>
        <v>6</v>
      </c>
      <c r="BK110" s="64">
        <f>_xll.DBRW($C$2,$BH$1,BH$2,$D$18,$D$3,$D110,$E110,$F110,BK$3)</f>
        <v>0</v>
      </c>
      <c r="BL110" s="58">
        <f>_xll.DBRW($C$2,$BH$1,BH$2,$D$18,$D$3,$D110,$E110,$F110,BL$3)</f>
        <v>0</v>
      </c>
      <c r="BM110" s="48">
        <f t="shared" si="44"/>
        <v>7</v>
      </c>
      <c r="BN110" s="39">
        <f>_xll.DBRW($C$2,$BN$1,BN$2,$D$18,$D$3,$D110,$E110,$F110,BN$3)</f>
        <v>0</v>
      </c>
      <c r="BO110" s="25" cm="1">
        <f t="array" ref="BO110">_xll.DBRW($E$2,BN$1,BN$2,$D$18,$D$3,$D110,$E110,$F110,$F$3,BO$3)</f>
        <v>0</v>
      </c>
      <c r="BP110" s="25">
        <f>_xll.DBRW($C$2,$BN$1,BN$2,$D$18,$D$3,$D110,$E110,$F110,BP$3)</f>
        <v>6</v>
      </c>
      <c r="BQ110" s="64">
        <f>_xll.DBRW($C$2,$BN$1,BN$2,$D$18,$D$3,$D110,$E110,$F110,BQ$3)</f>
        <v>0</v>
      </c>
      <c r="BR110" s="58">
        <f>_xll.DBRW($C$2,$BN$1,BN$2,$D$18,$D$3,$D110,$E110,$F110,BR$3)</f>
        <v>0</v>
      </c>
      <c r="BS110" s="48">
        <f t="shared" si="45"/>
        <v>1</v>
      </c>
      <c r="BT110" s="39">
        <f>_xll.DBRW($C$2,$BT$1,BT$2,$D$18,$D$3,$D110,$E110,$F110,BT$3)</f>
        <v>0</v>
      </c>
      <c r="BU110" s="25" cm="1">
        <f t="array" ref="BU110">_xll.DBRW($E$2,BT$1,BT$2,$D$18,$D$3,$D110,$E110,$F110,$F$3,BU$3)</f>
        <v>0</v>
      </c>
      <c r="BV110" s="25">
        <f>_xll.DBRW($C$2,$BT$1,BT$2,$D$18,$D$3,$D110,$E110,$F110,BV$3)</f>
        <v>6</v>
      </c>
      <c r="BW110" s="64">
        <f>_xll.DBRW($C$2,$BT$1,BT$2,$D$18,$D$3,$D110,$E110,$F110,BW$3)</f>
        <v>0</v>
      </c>
      <c r="BX110" s="58">
        <f>_xll.DBRW($C$2,$BT$1,BT$2,$D$18,$D$3,$D110,$E110,$F110,BX$3)</f>
        <v>0</v>
      </c>
      <c r="BY110" s="48">
        <f t="shared" si="46"/>
        <v>-5</v>
      </c>
      <c r="BZ110" s="39">
        <f>_xll.DBRW($C$2,$BZ$1,BZ$2,$D$18,$D$3,$D110,$E110,$F110,BZ$3)</f>
        <v>0</v>
      </c>
      <c r="CA110" s="25" cm="1">
        <f t="array" ref="CA110">_xll.DBRW($E$2,BZ$1,BZ$2,$D$18,$D$3,$D110,$E110,$F110,$F$3,CA$3)</f>
        <v>0</v>
      </c>
      <c r="CB110" s="25">
        <f>_xll.DBRW($C$2,$BZ$1,BZ$2,$D$18,$D$3,$D110,$E110,$F110,CB$3)</f>
        <v>6</v>
      </c>
      <c r="CC110" s="64">
        <f>_xll.DBRW($C$2,$BZ$1,BZ$2,$D$18,$D$3,$D110,$E110,$F110,CC$3)</f>
        <v>0</v>
      </c>
      <c r="CD110" s="58">
        <f>_xll.DBRW($C$2,$BZ$1,BZ$2,$D$18,$D$3,$D110,$E110,$F110,CD$3)</f>
        <v>0</v>
      </c>
      <c r="CE110" s="48">
        <f t="shared" si="47"/>
        <v>-11</v>
      </c>
    </row>
    <row r="111" spans="1:83" s="23" customFormat="1" outlineLevel="1" thickBot="1" x14ac:dyDescent="0.3">
      <c r="A111" s="91" t="str">
        <f>IF(_xll.TM1RPTELISCONSOLIDATED($F$22,$F111),IF(_xll.TM1RPTELLEV($F$22,$F111)&lt;=5,_xll.TM1RPTELLEV($F$22,$F111),"Default"),"Leaf")</f>
        <v>Leaf</v>
      </c>
      <c r="B111" s="24" t="str">
        <f>_xll.DBRW("TM1-S1_DEV:}ElementAttributes_SP_SKU",$D111,B$1)</f>
        <v>Primary</v>
      </c>
      <c r="C111" s="24" t="str">
        <f>_xll.DBRW("TM1-S1_DEV:}ElementAttributes_SP_SKU",$D111,C$1)</f>
        <v>SIDES</v>
      </c>
      <c r="D111" s="28" t="s">
        <v>422</v>
      </c>
      <c r="E111" s="28" t="s">
        <v>247</v>
      </c>
      <c r="F111" s="28" t="s">
        <v>44</v>
      </c>
      <c r="G111" s="4">
        <f>_xll.DBRW($C$2,$G$19,G$20,$D$18,$D$3,$D111,$E111,$F111,G$3)</f>
        <v>1</v>
      </c>
      <c r="H111" s="54">
        <f t="shared" si="36"/>
        <v>2</v>
      </c>
      <c r="I111" s="4"/>
      <c r="J111" s="25">
        <f>_xll.DBRW($C$2,$J$1,J$2,$D$18,$D$3,$D111,$E111,$F111,J$3)</f>
        <v>3</v>
      </c>
      <c r="K111" s="39">
        <f>_xll.DBRW($C$2,$J$1,J$2,$D$18,$D$3,$D111,$E111,$F111,K$3)</f>
        <v>0</v>
      </c>
      <c r="L111" s="25">
        <f>_xll.DBRW($C$2,$J$1,J$2,$D$18,$D$3,$D111,$E111,$F111,L$3)</f>
        <v>0</v>
      </c>
      <c r="M111" s="25">
        <f>_xll.DBRW($C$2,$J$1,J$2,$D$18,$D$3,$D111,$E111,$F111,M$3)</f>
        <v>12</v>
      </c>
      <c r="N111" s="25">
        <f>_xll.DBRW($C$2,$J$1,J$2,$D$18,$D$3,$D111,$E111,$F111,N$3)</f>
        <v>5</v>
      </c>
      <c r="O111" s="64">
        <f>_xll.DBRW($C$2,$J$1,J$2,$D$18,$D$3,$D111,$E111,$F111,O$3)</f>
        <v>1</v>
      </c>
      <c r="P111" s="58">
        <f>_xll.DBRW($C$2,$J$1,J$2,$D$18,$D$3,$D111,$E111,$F111,P$3)</f>
        <v>0</v>
      </c>
      <c r="Q111" s="48">
        <f>_xll.DBRW($C$2,$J$1,J$2,$D$18,$D$3,$D111,$E111,$F111,Q$3)</f>
        <v>10</v>
      </c>
      <c r="R111" s="39">
        <f>_xll.DBRW($C$2,$R$1,R$2,$D$18,$D$3,$D111,$E111,$F111,R$3)</f>
        <v>0</v>
      </c>
      <c r="S111" s="25" cm="1">
        <f t="array" ref="S111">_xll.DBRW($E$2,R$1,R$2,$D$18,$D$3,$D111,$E111,$F111,$F$3,S$3)</f>
        <v>0</v>
      </c>
      <c r="T111" s="25">
        <f>_xll.DBRW($C$2,$R$1,R$2,$D$18,$D$3,$D111,$E111,$F111,T$3)</f>
        <v>0</v>
      </c>
      <c r="U111" s="64">
        <f>_xll.DBRW($C$2,$R$1,R$2,$D$18,$D$3,$D111,$E111,$F111,U$3)</f>
        <v>0</v>
      </c>
      <c r="V111" s="58">
        <f>_xll.DBRW($C$2,$R$1,R$2,$D$18,$D$3,$D111,$E111,$F111,V$3)</f>
        <v>0</v>
      </c>
      <c r="W111" s="48">
        <f t="shared" si="37"/>
        <v>10</v>
      </c>
      <c r="X111" s="39">
        <f>_xll.DBRW($C$2,$X$1,X$2,$D$18,$D$3,$D111,$E111,$F111,X$3)</f>
        <v>0</v>
      </c>
      <c r="Y111" s="25" cm="1">
        <f t="array" ref="Y111">_xll.DBRW($E$2,X$1,X$2,$D$18,$D$3,$D111,$E111,$F111,$F$3,Y$3)</f>
        <v>0</v>
      </c>
      <c r="Z111" s="25">
        <f>_xll.DBRW($C$2,$X$1,X$2,$D$18,$D$3,$D111,$E111,$F111,Z$3)</f>
        <v>6</v>
      </c>
      <c r="AA111" s="64">
        <f>_xll.DBRW($C$2,$X$1,X$2,$D$18,$D$3,$D111,$E111,$F111,AA$3)</f>
        <v>0</v>
      </c>
      <c r="AB111" s="58">
        <f>_xll.DBRW($C$2,$X$1,X$2,$D$18,$D$3,$D111,$E111,$F111,AB$3)</f>
        <v>0</v>
      </c>
      <c r="AC111" s="48">
        <f t="shared" si="38"/>
        <v>4</v>
      </c>
      <c r="AD111" s="39">
        <f>_xll.DBRW($C$2,$AD$1,AD$2,$D$18,$D$3,$D111,$E111,$F111,AD$3)</f>
        <v>0</v>
      </c>
      <c r="AE111" s="25" cm="1">
        <f t="array" ref="AE111">_xll.DBRW($E$2,AD$1,AD$2,$D$18,$D$3,$D111,$E111,$F111,$F$3,AE$3)</f>
        <v>0</v>
      </c>
      <c r="AF111" s="25">
        <f>_xll.DBRW($C$2,$AD$1,AD$2,$D$18,$D$3,$D111,$E111,$F111,AF$3)</f>
        <v>6</v>
      </c>
      <c r="AG111" s="64">
        <f>_xll.DBRW($C$2,$AD$1,AD$2,$D$18,$D$3,$D111,$E111,$F111,AG$3)</f>
        <v>0</v>
      </c>
      <c r="AH111" s="58">
        <f>_xll.DBRW($C$2,$AD$1,AD$2,$D$18,$D$3,$D111,$E111,$F111,AH$3)</f>
        <v>0</v>
      </c>
      <c r="AI111" s="48">
        <f t="shared" si="39"/>
        <v>-2</v>
      </c>
      <c r="AJ111" s="39">
        <f>_xll.DBRW($C$2,$AJ$1,AJ$2,$D$18,$D$3,$D111,$E111,$F111,AJ$3)</f>
        <v>0</v>
      </c>
      <c r="AK111" s="25" cm="1">
        <f t="array" ref="AK111">_xll.DBRW($E$2,AJ$1,AJ$2,$D$18,$D$3,$D111,$E111,$F111,$F$3,AK$3)</f>
        <v>0</v>
      </c>
      <c r="AL111" s="25">
        <f>_xll.DBRW($C$2,$AJ$1,AJ$2,$D$18,$D$3,$D111,$E111,$F111,AL$3)</f>
        <v>6</v>
      </c>
      <c r="AM111" s="64">
        <f>_xll.DBRW($C$2,$AJ$1,AJ$2,$D$18,$D$3,$D111,$E111,$F111,AM$3)</f>
        <v>0</v>
      </c>
      <c r="AN111" s="58">
        <f>_xll.DBRW($C$2,$AJ$1,AJ$2,$D$18,$D$3,$D111,$E111,$F111,AN$3)</f>
        <v>0</v>
      </c>
      <c r="AO111" s="48">
        <f t="shared" si="40"/>
        <v>-8</v>
      </c>
      <c r="AP111" s="39">
        <f>_xll.DBRW($C$2,$AP$1,AP$2,$D$18,$D$3,$D111,$E111,$F111,AP$3)</f>
        <v>0</v>
      </c>
      <c r="AQ111" s="25" cm="1">
        <f t="array" ref="AQ111">_xll.DBRW($E$2,AP$1,AP$2,$D$18,$D$3,$D111,$E111,$F111,$F$3,AQ$3)</f>
        <v>0</v>
      </c>
      <c r="AR111" s="25">
        <f>_xll.DBRW($C$2,$AP$1,AP$2,$D$18,$D$3,$D111,$E111,$F111,AR$3)</f>
        <v>6</v>
      </c>
      <c r="AS111" s="64">
        <f>_xll.DBRW($C$2,$AP$1,AP$2,$D$18,$D$3,$D111,$E111,$F111,AS$3)</f>
        <v>0</v>
      </c>
      <c r="AT111" s="58">
        <f>_xll.DBRW($C$2,$AP$1,AP$2,$D$18,$D$3,$D111,$E111,$F111,AT$3)</f>
        <v>0</v>
      </c>
      <c r="AU111" s="48">
        <f t="shared" si="41"/>
        <v>-14</v>
      </c>
      <c r="AV111" s="39">
        <f>_xll.DBRW($C$2,$AV$1,AV$2,$D$18,$D$3,$D111,$E111,$F111,AV$3)</f>
        <v>0</v>
      </c>
      <c r="AW111" s="25" cm="1">
        <f t="array" ref="AW111">_xll.DBRW($E$2,AV$1,AV$2,$D$18,$D$3,$D111,$E111,$F111,$F$3,AW$3)</f>
        <v>0</v>
      </c>
      <c r="AX111" s="25">
        <f>_xll.DBRW($C$2,$AV$1,AV$2,$D$18,$D$3,$D111,$E111,$F111,AX$3)</f>
        <v>6</v>
      </c>
      <c r="AY111" s="64">
        <f>_xll.DBRW($C$2,$AV$1,AV$2,$D$18,$D$3,$D111,$E111,$F111,AY$3)</f>
        <v>0</v>
      </c>
      <c r="AZ111" s="58">
        <f>_xll.DBRW($C$2,$AV$1,AV$2,$D$18,$D$3,$D111,$E111,$F111,AZ$3)</f>
        <v>0</v>
      </c>
      <c r="BA111" s="48">
        <f t="shared" si="42"/>
        <v>-20</v>
      </c>
      <c r="BB111" s="39">
        <f>_xll.DBRW($C$2,$BB$1,BB$2,$D$18,$D$3,$D111,$E111,$F111,BB$3)</f>
        <v>0</v>
      </c>
      <c r="BC111" s="25" cm="1">
        <f t="array" ref="BC111">_xll.DBRW($E$2,BB$1,BB$2,$D$18,$D$3,$D111,$E111,$F111,$F$3,BC$3)</f>
        <v>0</v>
      </c>
      <c r="BD111" s="25">
        <f>_xll.DBRW($C$2,$BB$1,BB$2,$D$18,$D$3,$D111,$E111,$F111,BD$3)</f>
        <v>6</v>
      </c>
      <c r="BE111" s="64">
        <f>_xll.DBRW($C$2,$BB$1,BB$2,$D$18,$D$3,$D111,$E111,$F111,BE$3)</f>
        <v>0</v>
      </c>
      <c r="BF111" s="58">
        <f>_xll.DBRW($C$2,$BB$1,BB$2,$D$18,$D$3,$D111,$E111,$F111,BF$3)</f>
        <v>0</v>
      </c>
      <c r="BG111" s="48">
        <f t="shared" si="43"/>
        <v>-26</v>
      </c>
      <c r="BH111" s="39">
        <f>_xll.DBRW($C$2,$BH$1,BH$2,$D$18,$D$3,$D111,$E111,$F111,BH$3)</f>
        <v>0</v>
      </c>
      <c r="BI111" s="25" cm="1">
        <f t="array" ref="BI111">_xll.DBRW($E$2,BH$1,BH$2,$D$18,$D$3,$D111,$E111,$F111,$F$3,BI$3)</f>
        <v>0</v>
      </c>
      <c r="BJ111" s="25">
        <f>_xll.DBRW($C$2,$BH$1,BH$2,$D$18,$D$3,$D111,$E111,$F111,BJ$3)</f>
        <v>6</v>
      </c>
      <c r="BK111" s="64">
        <f>_xll.DBRW($C$2,$BH$1,BH$2,$D$18,$D$3,$D111,$E111,$F111,BK$3)</f>
        <v>0</v>
      </c>
      <c r="BL111" s="58">
        <f>_xll.DBRW($C$2,$BH$1,BH$2,$D$18,$D$3,$D111,$E111,$F111,BL$3)</f>
        <v>0</v>
      </c>
      <c r="BM111" s="48">
        <f t="shared" si="44"/>
        <v>-32</v>
      </c>
      <c r="BN111" s="39">
        <f>_xll.DBRW($C$2,$BN$1,BN$2,$D$18,$D$3,$D111,$E111,$F111,BN$3)</f>
        <v>0</v>
      </c>
      <c r="BO111" s="25" cm="1">
        <f t="array" ref="BO111">_xll.DBRW($E$2,BN$1,BN$2,$D$18,$D$3,$D111,$E111,$F111,$F$3,BO$3)</f>
        <v>0</v>
      </c>
      <c r="BP111" s="25">
        <f>_xll.DBRW($C$2,$BN$1,BN$2,$D$18,$D$3,$D111,$E111,$F111,BP$3)</f>
        <v>6</v>
      </c>
      <c r="BQ111" s="64">
        <f>_xll.DBRW($C$2,$BN$1,BN$2,$D$18,$D$3,$D111,$E111,$F111,BQ$3)</f>
        <v>0</v>
      </c>
      <c r="BR111" s="58">
        <f>_xll.DBRW($C$2,$BN$1,BN$2,$D$18,$D$3,$D111,$E111,$F111,BR$3)</f>
        <v>0</v>
      </c>
      <c r="BS111" s="48">
        <f t="shared" si="45"/>
        <v>-38</v>
      </c>
      <c r="BT111" s="39">
        <f>_xll.DBRW($C$2,$BT$1,BT$2,$D$18,$D$3,$D111,$E111,$F111,BT$3)</f>
        <v>0</v>
      </c>
      <c r="BU111" s="25" cm="1">
        <f t="array" ref="BU111">_xll.DBRW($E$2,BT$1,BT$2,$D$18,$D$3,$D111,$E111,$F111,$F$3,BU$3)</f>
        <v>0</v>
      </c>
      <c r="BV111" s="25">
        <f>_xll.DBRW($C$2,$BT$1,BT$2,$D$18,$D$3,$D111,$E111,$F111,BV$3)</f>
        <v>6</v>
      </c>
      <c r="BW111" s="64">
        <f>_xll.DBRW($C$2,$BT$1,BT$2,$D$18,$D$3,$D111,$E111,$F111,BW$3)</f>
        <v>0</v>
      </c>
      <c r="BX111" s="58">
        <f>_xll.DBRW($C$2,$BT$1,BT$2,$D$18,$D$3,$D111,$E111,$F111,BX$3)</f>
        <v>0</v>
      </c>
      <c r="BY111" s="48">
        <f t="shared" si="46"/>
        <v>-44</v>
      </c>
      <c r="BZ111" s="39">
        <f>_xll.DBRW($C$2,$BZ$1,BZ$2,$D$18,$D$3,$D111,$E111,$F111,BZ$3)</f>
        <v>0</v>
      </c>
      <c r="CA111" s="25" cm="1">
        <f t="array" ref="CA111">_xll.DBRW($E$2,BZ$1,BZ$2,$D$18,$D$3,$D111,$E111,$F111,$F$3,CA$3)</f>
        <v>0</v>
      </c>
      <c r="CB111" s="25">
        <f>_xll.DBRW($C$2,$BZ$1,BZ$2,$D$18,$D$3,$D111,$E111,$F111,CB$3)</f>
        <v>6</v>
      </c>
      <c r="CC111" s="64">
        <f>_xll.DBRW($C$2,$BZ$1,BZ$2,$D$18,$D$3,$D111,$E111,$F111,CC$3)</f>
        <v>0</v>
      </c>
      <c r="CD111" s="58">
        <f>_xll.DBRW($C$2,$BZ$1,BZ$2,$D$18,$D$3,$D111,$E111,$F111,CD$3)</f>
        <v>0</v>
      </c>
      <c r="CE111" s="48">
        <f t="shared" si="47"/>
        <v>-50</v>
      </c>
    </row>
    <row r="112" spans="1:83" s="23" customFormat="1" outlineLevel="1" thickBot="1" x14ac:dyDescent="0.3">
      <c r="A112" s="91" t="str">
        <f>IF(_xll.TM1RPTELISCONSOLIDATED($F$22,$F112),IF(_xll.TM1RPTELLEV($F$22,$F112)&lt;=5,_xll.TM1RPTELLEV($F$22,$F112),"Default"),"Leaf")</f>
        <v>Leaf</v>
      </c>
      <c r="B112" s="24" t="str">
        <f>_xll.DBRW("TM1-S1_DEV:}ElementAttributes_SP_SKU",$D112,B$1)</f>
        <v>Primary</v>
      </c>
      <c r="C112" s="24" t="str">
        <f>_xll.DBRW("TM1-S1_DEV:}ElementAttributes_SP_SKU",$D112,C$1)</f>
        <v>CONDIMENT</v>
      </c>
      <c r="D112" s="28" t="s">
        <v>423</v>
      </c>
      <c r="E112" s="28" t="s">
        <v>248</v>
      </c>
      <c r="F112" s="28" t="s">
        <v>44</v>
      </c>
      <c r="G112" s="4">
        <f>_xll.DBRW($C$2,$G$19,G$20,$D$18,$D$3,$D112,$E112,$F112,G$3)</f>
        <v>391</v>
      </c>
      <c r="H112" s="54">
        <f t="shared" si="36"/>
        <v>-61</v>
      </c>
      <c r="I112" s="4"/>
      <c r="J112" s="25">
        <f>_xll.DBRW($C$2,$J$1,J$2,$D$18,$D$3,$D112,$E112,$F112,J$3)</f>
        <v>330</v>
      </c>
      <c r="K112" s="39">
        <f>_xll.DBRW($C$2,$J$1,J$2,$D$18,$D$3,$D112,$E112,$F112,K$3)</f>
        <v>0</v>
      </c>
      <c r="L112" s="25">
        <f>_xll.DBRW($C$2,$J$1,J$2,$D$18,$D$3,$D112,$E112,$F112,L$3)</f>
        <v>0</v>
      </c>
      <c r="M112" s="25">
        <f>_xll.DBRW($C$2,$J$1,J$2,$D$18,$D$3,$D112,$E112,$F112,M$3)</f>
        <v>0</v>
      </c>
      <c r="N112" s="25">
        <f>_xll.DBRW($C$2,$J$1,J$2,$D$18,$D$3,$D112,$E112,$F112,N$3)</f>
        <v>5</v>
      </c>
      <c r="O112" s="64">
        <f>_xll.DBRW($C$2,$J$1,J$2,$D$18,$D$3,$D112,$E112,$F112,O$3)</f>
        <v>1</v>
      </c>
      <c r="P112" s="58">
        <f>_xll.DBRW($C$2,$J$1,J$2,$D$18,$D$3,$D112,$E112,$F112,P$3)</f>
        <v>0</v>
      </c>
      <c r="Q112" s="48">
        <f>_xll.DBRW($C$2,$J$1,J$2,$D$18,$D$3,$D112,$E112,$F112,Q$3)</f>
        <v>325</v>
      </c>
      <c r="R112" s="39">
        <f>_xll.DBRW($C$2,$R$1,R$2,$D$18,$D$3,$D112,$E112,$F112,R$3)</f>
        <v>0</v>
      </c>
      <c r="S112" s="25" cm="1">
        <f t="array" ref="S112">_xll.DBRW($E$2,R$1,R$2,$D$18,$D$3,$D112,$E112,$F112,$F$3,S$3)</f>
        <v>192</v>
      </c>
      <c r="T112" s="25">
        <f>_xll.DBRW($C$2,$R$1,R$2,$D$18,$D$3,$D112,$E112,$F112,T$3)</f>
        <v>0</v>
      </c>
      <c r="U112" s="64">
        <f>_xll.DBRW($C$2,$R$1,R$2,$D$18,$D$3,$D112,$E112,$F112,U$3)</f>
        <v>0</v>
      </c>
      <c r="V112" s="58">
        <f>_xll.DBRW($C$2,$R$1,R$2,$D$18,$D$3,$D112,$E112,$F112,V$3)</f>
        <v>0</v>
      </c>
      <c r="W112" s="48">
        <f t="shared" si="37"/>
        <v>517</v>
      </c>
      <c r="X112" s="39">
        <f>_xll.DBRW($C$2,$X$1,X$2,$D$18,$D$3,$D112,$E112,$F112,X$3)</f>
        <v>0</v>
      </c>
      <c r="Y112" s="25" cm="1">
        <f t="array" ref="Y112">_xll.DBRW($E$2,X$1,X$2,$D$18,$D$3,$D112,$E112,$F112,$F$3,Y$3)</f>
        <v>0</v>
      </c>
      <c r="Z112" s="25">
        <f>_xll.DBRW($C$2,$X$1,X$2,$D$18,$D$3,$D112,$E112,$F112,Z$3)</f>
        <v>18</v>
      </c>
      <c r="AA112" s="64">
        <f>_xll.DBRW($C$2,$X$1,X$2,$D$18,$D$3,$D112,$E112,$F112,AA$3)</f>
        <v>0</v>
      </c>
      <c r="AB112" s="58">
        <f>_xll.DBRW($C$2,$X$1,X$2,$D$18,$D$3,$D112,$E112,$F112,AB$3)</f>
        <v>0</v>
      </c>
      <c r="AC112" s="48">
        <f t="shared" si="38"/>
        <v>499</v>
      </c>
      <c r="AD112" s="39">
        <f>_xll.DBRW($C$2,$AD$1,AD$2,$D$18,$D$3,$D112,$E112,$F112,AD$3)</f>
        <v>0</v>
      </c>
      <c r="AE112" s="25" cm="1">
        <f t="array" ref="AE112">_xll.DBRW($E$2,AD$1,AD$2,$D$18,$D$3,$D112,$E112,$F112,$F$3,AE$3)</f>
        <v>0</v>
      </c>
      <c r="AF112" s="25">
        <f>_xll.DBRW($C$2,$AD$1,AD$2,$D$18,$D$3,$D112,$E112,$F112,AF$3)</f>
        <v>18</v>
      </c>
      <c r="AG112" s="64">
        <f>_xll.DBRW($C$2,$AD$1,AD$2,$D$18,$D$3,$D112,$E112,$F112,AG$3)</f>
        <v>0</v>
      </c>
      <c r="AH112" s="58">
        <f>_xll.DBRW($C$2,$AD$1,AD$2,$D$18,$D$3,$D112,$E112,$F112,AH$3)</f>
        <v>0</v>
      </c>
      <c r="AI112" s="48">
        <f t="shared" si="39"/>
        <v>481</v>
      </c>
      <c r="AJ112" s="39">
        <f>_xll.DBRW($C$2,$AJ$1,AJ$2,$D$18,$D$3,$D112,$E112,$F112,AJ$3)</f>
        <v>0</v>
      </c>
      <c r="AK112" s="25" cm="1">
        <f t="array" ref="AK112">_xll.DBRW($E$2,AJ$1,AJ$2,$D$18,$D$3,$D112,$E112,$F112,$F$3,AK$3)</f>
        <v>0</v>
      </c>
      <c r="AL112" s="25">
        <f>_xll.DBRW($C$2,$AJ$1,AJ$2,$D$18,$D$3,$D112,$E112,$F112,AL$3)</f>
        <v>18</v>
      </c>
      <c r="AM112" s="64">
        <f>_xll.DBRW($C$2,$AJ$1,AJ$2,$D$18,$D$3,$D112,$E112,$F112,AM$3)</f>
        <v>0</v>
      </c>
      <c r="AN112" s="58">
        <f>_xll.DBRW($C$2,$AJ$1,AJ$2,$D$18,$D$3,$D112,$E112,$F112,AN$3)</f>
        <v>0</v>
      </c>
      <c r="AO112" s="48">
        <f t="shared" si="40"/>
        <v>463</v>
      </c>
      <c r="AP112" s="39">
        <f>_xll.DBRW($C$2,$AP$1,AP$2,$D$18,$D$3,$D112,$E112,$F112,AP$3)</f>
        <v>0</v>
      </c>
      <c r="AQ112" s="25" cm="1">
        <f t="array" ref="AQ112">_xll.DBRW($E$2,AP$1,AP$2,$D$18,$D$3,$D112,$E112,$F112,$F$3,AQ$3)</f>
        <v>0</v>
      </c>
      <c r="AR112" s="25">
        <f>_xll.DBRW($C$2,$AP$1,AP$2,$D$18,$D$3,$D112,$E112,$F112,AR$3)</f>
        <v>18</v>
      </c>
      <c r="AS112" s="64">
        <f>_xll.DBRW($C$2,$AP$1,AP$2,$D$18,$D$3,$D112,$E112,$F112,AS$3)</f>
        <v>0</v>
      </c>
      <c r="AT112" s="58">
        <f>_xll.DBRW($C$2,$AP$1,AP$2,$D$18,$D$3,$D112,$E112,$F112,AT$3)</f>
        <v>0</v>
      </c>
      <c r="AU112" s="48">
        <f t="shared" si="41"/>
        <v>445</v>
      </c>
      <c r="AV112" s="39">
        <f>_xll.DBRW($C$2,$AV$1,AV$2,$D$18,$D$3,$D112,$E112,$F112,AV$3)</f>
        <v>0</v>
      </c>
      <c r="AW112" s="25" cm="1">
        <f t="array" ref="AW112">_xll.DBRW($E$2,AV$1,AV$2,$D$18,$D$3,$D112,$E112,$F112,$F$3,AW$3)</f>
        <v>0</v>
      </c>
      <c r="AX112" s="25">
        <f>_xll.DBRW($C$2,$AV$1,AV$2,$D$18,$D$3,$D112,$E112,$F112,AX$3)</f>
        <v>18</v>
      </c>
      <c r="AY112" s="64">
        <f>_xll.DBRW($C$2,$AV$1,AV$2,$D$18,$D$3,$D112,$E112,$F112,AY$3)</f>
        <v>0</v>
      </c>
      <c r="AZ112" s="58">
        <f>_xll.DBRW($C$2,$AV$1,AV$2,$D$18,$D$3,$D112,$E112,$F112,AZ$3)</f>
        <v>0</v>
      </c>
      <c r="BA112" s="48">
        <f t="shared" si="42"/>
        <v>427</v>
      </c>
      <c r="BB112" s="39">
        <f>_xll.DBRW($C$2,$BB$1,BB$2,$D$18,$D$3,$D112,$E112,$F112,BB$3)</f>
        <v>0</v>
      </c>
      <c r="BC112" s="25" cm="1">
        <f t="array" ref="BC112">_xll.DBRW($E$2,BB$1,BB$2,$D$18,$D$3,$D112,$E112,$F112,$F$3,BC$3)</f>
        <v>0</v>
      </c>
      <c r="BD112" s="25">
        <f>_xll.DBRW($C$2,$BB$1,BB$2,$D$18,$D$3,$D112,$E112,$F112,BD$3)</f>
        <v>18</v>
      </c>
      <c r="BE112" s="64">
        <f>_xll.DBRW($C$2,$BB$1,BB$2,$D$18,$D$3,$D112,$E112,$F112,BE$3)</f>
        <v>0</v>
      </c>
      <c r="BF112" s="58">
        <f>_xll.DBRW($C$2,$BB$1,BB$2,$D$18,$D$3,$D112,$E112,$F112,BF$3)</f>
        <v>0</v>
      </c>
      <c r="BG112" s="48">
        <f t="shared" si="43"/>
        <v>409</v>
      </c>
      <c r="BH112" s="39">
        <f>_xll.DBRW($C$2,$BH$1,BH$2,$D$18,$D$3,$D112,$E112,$F112,BH$3)</f>
        <v>0</v>
      </c>
      <c r="BI112" s="25" cm="1">
        <f t="array" ref="BI112">_xll.DBRW($E$2,BH$1,BH$2,$D$18,$D$3,$D112,$E112,$F112,$F$3,BI$3)</f>
        <v>0</v>
      </c>
      <c r="BJ112" s="25">
        <f>_xll.DBRW($C$2,$BH$1,BH$2,$D$18,$D$3,$D112,$E112,$F112,BJ$3)</f>
        <v>18</v>
      </c>
      <c r="BK112" s="64">
        <f>_xll.DBRW($C$2,$BH$1,BH$2,$D$18,$D$3,$D112,$E112,$F112,BK$3)</f>
        <v>0</v>
      </c>
      <c r="BL112" s="58">
        <f>_xll.DBRW($C$2,$BH$1,BH$2,$D$18,$D$3,$D112,$E112,$F112,BL$3)</f>
        <v>0</v>
      </c>
      <c r="BM112" s="48">
        <f t="shared" si="44"/>
        <v>391</v>
      </c>
      <c r="BN112" s="39">
        <f>_xll.DBRW($C$2,$BN$1,BN$2,$D$18,$D$3,$D112,$E112,$F112,BN$3)</f>
        <v>0</v>
      </c>
      <c r="BO112" s="25" cm="1">
        <f t="array" ref="BO112">_xll.DBRW($E$2,BN$1,BN$2,$D$18,$D$3,$D112,$E112,$F112,$F$3,BO$3)</f>
        <v>0</v>
      </c>
      <c r="BP112" s="25">
        <f>_xll.DBRW($C$2,$BN$1,BN$2,$D$18,$D$3,$D112,$E112,$F112,BP$3)</f>
        <v>18</v>
      </c>
      <c r="BQ112" s="64">
        <f>_xll.DBRW($C$2,$BN$1,BN$2,$D$18,$D$3,$D112,$E112,$F112,BQ$3)</f>
        <v>0</v>
      </c>
      <c r="BR112" s="58">
        <f>_xll.DBRW($C$2,$BN$1,BN$2,$D$18,$D$3,$D112,$E112,$F112,BR$3)</f>
        <v>0</v>
      </c>
      <c r="BS112" s="48">
        <f t="shared" si="45"/>
        <v>373</v>
      </c>
      <c r="BT112" s="39">
        <f>_xll.DBRW($C$2,$BT$1,BT$2,$D$18,$D$3,$D112,$E112,$F112,BT$3)</f>
        <v>0</v>
      </c>
      <c r="BU112" s="25" cm="1">
        <f t="array" ref="BU112">_xll.DBRW($E$2,BT$1,BT$2,$D$18,$D$3,$D112,$E112,$F112,$F$3,BU$3)</f>
        <v>0</v>
      </c>
      <c r="BV112" s="25">
        <f>_xll.DBRW($C$2,$BT$1,BT$2,$D$18,$D$3,$D112,$E112,$F112,BV$3)</f>
        <v>18</v>
      </c>
      <c r="BW112" s="64">
        <f>_xll.DBRW($C$2,$BT$1,BT$2,$D$18,$D$3,$D112,$E112,$F112,BW$3)</f>
        <v>0</v>
      </c>
      <c r="BX112" s="58">
        <f>_xll.DBRW($C$2,$BT$1,BT$2,$D$18,$D$3,$D112,$E112,$F112,BX$3)</f>
        <v>0</v>
      </c>
      <c r="BY112" s="48">
        <f t="shared" si="46"/>
        <v>355</v>
      </c>
      <c r="BZ112" s="39">
        <f>_xll.DBRW($C$2,$BZ$1,BZ$2,$D$18,$D$3,$D112,$E112,$F112,BZ$3)</f>
        <v>0</v>
      </c>
      <c r="CA112" s="25" cm="1">
        <f t="array" ref="CA112">_xll.DBRW($E$2,BZ$1,BZ$2,$D$18,$D$3,$D112,$E112,$F112,$F$3,CA$3)</f>
        <v>0</v>
      </c>
      <c r="CB112" s="25">
        <f>_xll.DBRW($C$2,$BZ$1,BZ$2,$D$18,$D$3,$D112,$E112,$F112,CB$3)</f>
        <v>18</v>
      </c>
      <c r="CC112" s="64">
        <f>_xll.DBRW($C$2,$BZ$1,BZ$2,$D$18,$D$3,$D112,$E112,$F112,CC$3)</f>
        <v>0</v>
      </c>
      <c r="CD112" s="58">
        <f>_xll.DBRW($C$2,$BZ$1,BZ$2,$D$18,$D$3,$D112,$E112,$F112,CD$3)</f>
        <v>0</v>
      </c>
      <c r="CE112" s="48">
        <f t="shared" si="47"/>
        <v>337</v>
      </c>
    </row>
    <row r="113" spans="1:83" s="23" customFormat="1" outlineLevel="1" thickBot="1" x14ac:dyDescent="0.3">
      <c r="A113" s="91" t="str">
        <f>IF(_xll.TM1RPTELISCONSOLIDATED($F$22,$F113),IF(_xll.TM1RPTELLEV($F$22,$F113)&lt;=5,_xll.TM1RPTELLEV($F$22,$F113),"Default"),"Leaf")</f>
        <v>Leaf</v>
      </c>
      <c r="B113" s="24" t="str">
        <f>_xll.DBRW("TM1-S1_DEV:}ElementAttributes_SP_SKU",$D113,B$1)</f>
        <v>Primary</v>
      </c>
      <c r="C113" s="24" t="str">
        <f>_xll.DBRW("TM1-S1_DEV:}ElementAttributes_SP_SKU",$D113,C$1)</f>
        <v>INGREDIENT</v>
      </c>
      <c r="D113" s="28" t="s">
        <v>424</v>
      </c>
      <c r="E113" s="28" t="s">
        <v>249</v>
      </c>
      <c r="F113" s="28" t="s">
        <v>45</v>
      </c>
      <c r="G113" s="4">
        <f>_xll.DBRW($C$2,$G$19,G$20,$D$18,$D$3,$D113,$E113,$F113,G$3)</f>
        <v>6</v>
      </c>
      <c r="H113" s="54">
        <f t="shared" si="36"/>
        <v>2</v>
      </c>
      <c r="I113" s="4"/>
      <c r="J113" s="25">
        <f>_xll.DBRW($C$2,$J$1,J$2,$D$18,$D$3,$D113,$E113,$F113,J$3)</f>
        <v>8</v>
      </c>
      <c r="K113" s="39">
        <f>_xll.DBRW($C$2,$J$1,J$2,$D$18,$D$3,$D113,$E113,$F113,K$3)</f>
        <v>0</v>
      </c>
      <c r="L113" s="25">
        <f>_xll.DBRW($C$2,$J$1,J$2,$D$18,$D$3,$D113,$E113,$F113,L$3)</f>
        <v>0</v>
      </c>
      <c r="M113" s="25">
        <f>_xll.DBRW($C$2,$J$1,J$2,$D$18,$D$3,$D113,$E113,$F113,M$3)</f>
        <v>0</v>
      </c>
      <c r="N113" s="25">
        <f>_xll.DBRW($C$2,$J$1,J$2,$D$18,$D$3,$D113,$E113,$F113,N$3)</f>
        <v>2</v>
      </c>
      <c r="O113" s="64">
        <f>_xll.DBRW($C$2,$J$1,J$2,$D$18,$D$3,$D113,$E113,$F113,O$3)</f>
        <v>1</v>
      </c>
      <c r="P113" s="58">
        <f>_xll.DBRW($C$2,$J$1,J$2,$D$18,$D$3,$D113,$E113,$F113,P$3)</f>
        <v>0</v>
      </c>
      <c r="Q113" s="48">
        <f>_xll.DBRW($C$2,$J$1,J$2,$D$18,$D$3,$D113,$E113,$F113,Q$3)</f>
        <v>6</v>
      </c>
      <c r="R113" s="39">
        <f>_xll.DBRW($C$2,$R$1,R$2,$D$18,$D$3,$D113,$E113,$F113,R$3)</f>
        <v>0</v>
      </c>
      <c r="S113" s="25" cm="1">
        <f t="array" ref="S113">_xll.DBRW($E$2,R$1,R$2,$D$18,$D$3,$D113,$E113,$F113,$F$3,S$3)</f>
        <v>0</v>
      </c>
      <c r="T113" s="25">
        <f>_xll.DBRW($C$2,$R$1,R$2,$D$18,$D$3,$D113,$E113,$F113,T$3)</f>
        <v>0</v>
      </c>
      <c r="U113" s="64">
        <f>_xll.DBRW($C$2,$R$1,R$2,$D$18,$D$3,$D113,$E113,$F113,U$3)</f>
        <v>0</v>
      </c>
      <c r="V113" s="58">
        <f>_xll.DBRW($C$2,$R$1,R$2,$D$18,$D$3,$D113,$E113,$F113,V$3)</f>
        <v>0</v>
      </c>
      <c r="W113" s="48">
        <f t="shared" si="37"/>
        <v>6</v>
      </c>
      <c r="X113" s="39">
        <f>_xll.DBRW($C$2,$X$1,X$2,$D$18,$D$3,$D113,$E113,$F113,X$3)</f>
        <v>0</v>
      </c>
      <c r="Y113" s="25" cm="1">
        <f t="array" ref="Y113">_xll.DBRW($E$2,X$1,X$2,$D$18,$D$3,$D113,$E113,$F113,$F$3,Y$3)</f>
        <v>0</v>
      </c>
      <c r="Z113" s="25">
        <f>_xll.DBRW($C$2,$X$1,X$2,$D$18,$D$3,$D113,$E113,$F113,Z$3)</f>
        <v>1</v>
      </c>
      <c r="AA113" s="64">
        <f>_xll.DBRW($C$2,$X$1,X$2,$D$18,$D$3,$D113,$E113,$F113,AA$3)</f>
        <v>1</v>
      </c>
      <c r="AB113" s="58">
        <f>_xll.DBRW($C$2,$X$1,X$2,$D$18,$D$3,$D113,$E113,$F113,AB$3)</f>
        <v>0</v>
      </c>
      <c r="AC113" s="48">
        <f t="shared" si="38"/>
        <v>5</v>
      </c>
      <c r="AD113" s="39">
        <f>_xll.DBRW($C$2,$AD$1,AD$2,$D$18,$D$3,$D113,$E113,$F113,AD$3)</f>
        <v>0</v>
      </c>
      <c r="AE113" s="25" cm="1">
        <f t="array" ref="AE113">_xll.DBRW($E$2,AD$1,AD$2,$D$18,$D$3,$D113,$E113,$F113,$F$3,AE$3)</f>
        <v>0</v>
      </c>
      <c r="AF113" s="25">
        <f>_xll.DBRW($C$2,$AD$1,AD$2,$D$18,$D$3,$D113,$E113,$F113,AF$3)</f>
        <v>1</v>
      </c>
      <c r="AG113" s="64">
        <f>_xll.DBRW($C$2,$AD$1,AD$2,$D$18,$D$3,$D113,$E113,$F113,AG$3)</f>
        <v>0</v>
      </c>
      <c r="AH113" s="58">
        <f>_xll.DBRW($C$2,$AD$1,AD$2,$D$18,$D$3,$D113,$E113,$F113,AH$3)</f>
        <v>0</v>
      </c>
      <c r="AI113" s="48">
        <f t="shared" si="39"/>
        <v>4</v>
      </c>
      <c r="AJ113" s="39">
        <f>_xll.DBRW($C$2,$AJ$1,AJ$2,$D$18,$D$3,$D113,$E113,$F113,AJ$3)</f>
        <v>0</v>
      </c>
      <c r="AK113" s="25" cm="1">
        <f t="array" ref="AK113">_xll.DBRW($E$2,AJ$1,AJ$2,$D$18,$D$3,$D113,$E113,$F113,$F$3,AK$3)</f>
        <v>0</v>
      </c>
      <c r="AL113" s="25">
        <f>_xll.DBRW($C$2,$AJ$1,AJ$2,$D$18,$D$3,$D113,$E113,$F113,AL$3)</f>
        <v>1</v>
      </c>
      <c r="AM113" s="64">
        <f>_xll.DBRW($C$2,$AJ$1,AJ$2,$D$18,$D$3,$D113,$E113,$F113,AM$3)</f>
        <v>0</v>
      </c>
      <c r="AN113" s="58">
        <f>_xll.DBRW($C$2,$AJ$1,AJ$2,$D$18,$D$3,$D113,$E113,$F113,AN$3)</f>
        <v>0</v>
      </c>
      <c r="AO113" s="48">
        <f t="shared" si="40"/>
        <v>3</v>
      </c>
      <c r="AP113" s="39">
        <f>_xll.DBRW($C$2,$AP$1,AP$2,$D$18,$D$3,$D113,$E113,$F113,AP$3)</f>
        <v>0</v>
      </c>
      <c r="AQ113" s="25" cm="1">
        <f t="array" ref="AQ113">_xll.DBRW($E$2,AP$1,AP$2,$D$18,$D$3,$D113,$E113,$F113,$F$3,AQ$3)</f>
        <v>0</v>
      </c>
      <c r="AR113" s="25">
        <f>_xll.DBRW($C$2,$AP$1,AP$2,$D$18,$D$3,$D113,$E113,$F113,AR$3)</f>
        <v>1</v>
      </c>
      <c r="AS113" s="64">
        <f>_xll.DBRW($C$2,$AP$1,AP$2,$D$18,$D$3,$D113,$E113,$F113,AS$3)</f>
        <v>0</v>
      </c>
      <c r="AT113" s="58">
        <f>_xll.DBRW($C$2,$AP$1,AP$2,$D$18,$D$3,$D113,$E113,$F113,AT$3)</f>
        <v>0</v>
      </c>
      <c r="AU113" s="48">
        <f t="shared" si="41"/>
        <v>2</v>
      </c>
      <c r="AV113" s="39">
        <f>_xll.DBRW($C$2,$AV$1,AV$2,$D$18,$D$3,$D113,$E113,$F113,AV$3)</f>
        <v>0</v>
      </c>
      <c r="AW113" s="25" cm="1">
        <f t="array" ref="AW113">_xll.DBRW($E$2,AV$1,AV$2,$D$18,$D$3,$D113,$E113,$F113,$F$3,AW$3)</f>
        <v>0</v>
      </c>
      <c r="AX113" s="25">
        <f>_xll.DBRW($C$2,$AV$1,AV$2,$D$18,$D$3,$D113,$E113,$F113,AX$3)</f>
        <v>2</v>
      </c>
      <c r="AY113" s="64">
        <f>_xll.DBRW($C$2,$AV$1,AV$2,$D$18,$D$3,$D113,$E113,$F113,AY$3)</f>
        <v>1</v>
      </c>
      <c r="AZ113" s="58">
        <f>_xll.DBRW($C$2,$AV$1,AV$2,$D$18,$D$3,$D113,$E113,$F113,AZ$3)</f>
        <v>0</v>
      </c>
      <c r="BA113" s="48">
        <f t="shared" si="42"/>
        <v>0</v>
      </c>
      <c r="BB113" s="39">
        <f>_xll.DBRW($C$2,$BB$1,BB$2,$D$18,$D$3,$D113,$E113,$F113,BB$3)</f>
        <v>0</v>
      </c>
      <c r="BC113" s="25" cm="1">
        <f t="array" ref="BC113">_xll.DBRW($E$2,BB$1,BB$2,$D$18,$D$3,$D113,$E113,$F113,$F$3,BC$3)</f>
        <v>0</v>
      </c>
      <c r="BD113" s="25">
        <f>_xll.DBRW($C$2,$BB$1,BB$2,$D$18,$D$3,$D113,$E113,$F113,BD$3)</f>
        <v>1</v>
      </c>
      <c r="BE113" s="64">
        <f>_xll.DBRW($C$2,$BB$1,BB$2,$D$18,$D$3,$D113,$E113,$F113,BE$3)</f>
        <v>0</v>
      </c>
      <c r="BF113" s="58">
        <f>_xll.DBRW($C$2,$BB$1,BB$2,$D$18,$D$3,$D113,$E113,$F113,BF$3)</f>
        <v>0</v>
      </c>
      <c r="BG113" s="48">
        <f t="shared" si="43"/>
        <v>-1</v>
      </c>
      <c r="BH113" s="39">
        <f>_xll.DBRW($C$2,$BH$1,BH$2,$D$18,$D$3,$D113,$E113,$F113,BH$3)</f>
        <v>0</v>
      </c>
      <c r="BI113" s="25" cm="1">
        <f t="array" ref="BI113">_xll.DBRW($E$2,BH$1,BH$2,$D$18,$D$3,$D113,$E113,$F113,$F$3,BI$3)</f>
        <v>0</v>
      </c>
      <c r="BJ113" s="25">
        <f>_xll.DBRW($C$2,$BH$1,BH$2,$D$18,$D$3,$D113,$E113,$F113,BJ$3)</f>
        <v>1</v>
      </c>
      <c r="BK113" s="64">
        <f>_xll.DBRW($C$2,$BH$1,BH$2,$D$18,$D$3,$D113,$E113,$F113,BK$3)</f>
        <v>0</v>
      </c>
      <c r="BL113" s="58">
        <f>_xll.DBRW($C$2,$BH$1,BH$2,$D$18,$D$3,$D113,$E113,$F113,BL$3)</f>
        <v>0</v>
      </c>
      <c r="BM113" s="48">
        <f t="shared" si="44"/>
        <v>-2</v>
      </c>
      <c r="BN113" s="39">
        <f>_xll.DBRW($C$2,$BN$1,BN$2,$D$18,$D$3,$D113,$E113,$F113,BN$3)</f>
        <v>0</v>
      </c>
      <c r="BO113" s="25" cm="1">
        <f t="array" ref="BO113">_xll.DBRW($E$2,BN$1,BN$2,$D$18,$D$3,$D113,$E113,$F113,$F$3,BO$3)</f>
        <v>0</v>
      </c>
      <c r="BP113" s="25">
        <f>_xll.DBRW($C$2,$BN$1,BN$2,$D$18,$D$3,$D113,$E113,$F113,BP$3)</f>
        <v>1</v>
      </c>
      <c r="BQ113" s="64">
        <f>_xll.DBRW($C$2,$BN$1,BN$2,$D$18,$D$3,$D113,$E113,$F113,BQ$3)</f>
        <v>0</v>
      </c>
      <c r="BR113" s="58">
        <f>_xll.DBRW($C$2,$BN$1,BN$2,$D$18,$D$3,$D113,$E113,$F113,BR$3)</f>
        <v>0</v>
      </c>
      <c r="BS113" s="48">
        <f t="shared" si="45"/>
        <v>-3</v>
      </c>
      <c r="BT113" s="39">
        <f>_xll.DBRW($C$2,$BT$1,BT$2,$D$18,$D$3,$D113,$E113,$F113,BT$3)</f>
        <v>0</v>
      </c>
      <c r="BU113" s="25" cm="1">
        <f t="array" ref="BU113">_xll.DBRW($E$2,BT$1,BT$2,$D$18,$D$3,$D113,$E113,$F113,$F$3,BU$3)</f>
        <v>0</v>
      </c>
      <c r="BV113" s="25">
        <f>_xll.DBRW($C$2,$BT$1,BT$2,$D$18,$D$3,$D113,$E113,$F113,BV$3)</f>
        <v>1</v>
      </c>
      <c r="BW113" s="64">
        <f>_xll.DBRW($C$2,$BT$1,BT$2,$D$18,$D$3,$D113,$E113,$F113,BW$3)</f>
        <v>0</v>
      </c>
      <c r="BX113" s="58">
        <f>_xll.DBRW($C$2,$BT$1,BT$2,$D$18,$D$3,$D113,$E113,$F113,BX$3)</f>
        <v>0</v>
      </c>
      <c r="BY113" s="48">
        <f t="shared" si="46"/>
        <v>-4</v>
      </c>
      <c r="BZ113" s="39">
        <f>_xll.DBRW($C$2,$BZ$1,BZ$2,$D$18,$D$3,$D113,$E113,$F113,BZ$3)</f>
        <v>0</v>
      </c>
      <c r="CA113" s="25" cm="1">
        <f t="array" ref="CA113">_xll.DBRW($E$2,BZ$1,BZ$2,$D$18,$D$3,$D113,$E113,$F113,$F$3,CA$3)</f>
        <v>0</v>
      </c>
      <c r="CB113" s="25">
        <f>_xll.DBRW($C$2,$BZ$1,BZ$2,$D$18,$D$3,$D113,$E113,$F113,CB$3)</f>
        <v>1</v>
      </c>
      <c r="CC113" s="64">
        <f>_xll.DBRW($C$2,$BZ$1,BZ$2,$D$18,$D$3,$D113,$E113,$F113,CC$3)</f>
        <v>0</v>
      </c>
      <c r="CD113" s="58">
        <f>_xll.DBRW($C$2,$BZ$1,BZ$2,$D$18,$D$3,$D113,$E113,$F113,CD$3)</f>
        <v>0</v>
      </c>
      <c r="CE113" s="48">
        <f t="shared" si="47"/>
        <v>-5</v>
      </c>
    </row>
    <row r="114" spans="1:83" s="23" customFormat="1" outlineLevel="1" thickBot="1" x14ac:dyDescent="0.3">
      <c r="A114" s="91" t="str">
        <f>IF(_xll.TM1RPTELISCONSOLIDATED($F$22,$F114),IF(_xll.TM1RPTELLEV($F$22,$F114)&lt;=5,_xll.TM1RPTELLEV($F$22,$F114),"Default"),"Leaf")</f>
        <v>Leaf</v>
      </c>
      <c r="B114" s="24" t="str">
        <f>_xll.DBRW("TM1-S1_DEV:}ElementAttributes_SP_SKU",$D114,B$1)</f>
        <v>Primary</v>
      </c>
      <c r="C114" s="24" t="str">
        <f>_xll.DBRW("TM1-S1_DEV:}ElementAttributes_SP_SKU",$D114,C$1)</f>
        <v>INGREDIENT</v>
      </c>
      <c r="D114" s="28" t="s">
        <v>425</v>
      </c>
      <c r="E114" s="28" t="s">
        <v>250</v>
      </c>
      <c r="F114" s="28" t="s">
        <v>52</v>
      </c>
      <c r="G114" s="4">
        <f>_xll.DBRW($C$2,$G$19,G$20,$D$18,$D$3,$D114,$E114,$F114,G$3)</f>
        <v>5</v>
      </c>
      <c r="H114" s="54">
        <f t="shared" si="36"/>
        <v>2</v>
      </c>
      <c r="I114" s="4"/>
      <c r="J114" s="25">
        <f>_xll.DBRW($C$2,$J$1,J$2,$D$18,$D$3,$D114,$E114,$F114,J$3)</f>
        <v>7</v>
      </c>
      <c r="K114" s="39">
        <f>_xll.DBRW($C$2,$J$1,J$2,$D$18,$D$3,$D114,$E114,$F114,K$3)</f>
        <v>0</v>
      </c>
      <c r="L114" s="25">
        <f>_xll.DBRW($C$2,$J$1,J$2,$D$18,$D$3,$D114,$E114,$F114,L$3)</f>
        <v>0</v>
      </c>
      <c r="M114" s="25">
        <f>_xll.DBRW($C$2,$J$1,J$2,$D$18,$D$3,$D114,$E114,$F114,M$3)</f>
        <v>32</v>
      </c>
      <c r="N114" s="25">
        <f>_xll.DBRW($C$2,$J$1,J$2,$D$18,$D$3,$D114,$E114,$F114,N$3)</f>
        <v>10</v>
      </c>
      <c r="O114" s="64">
        <f>_xll.DBRW($C$2,$J$1,J$2,$D$18,$D$3,$D114,$E114,$F114,O$3)</f>
        <v>1</v>
      </c>
      <c r="P114" s="58">
        <f>_xll.DBRW($C$2,$J$1,J$2,$D$18,$D$3,$D114,$E114,$F114,P$3)</f>
        <v>0</v>
      </c>
      <c r="Q114" s="48">
        <f>_xll.DBRW($C$2,$J$1,J$2,$D$18,$D$3,$D114,$E114,$F114,Q$3)</f>
        <v>29</v>
      </c>
      <c r="R114" s="39">
        <f>_xll.DBRW($C$2,$R$1,R$2,$D$18,$D$3,$D114,$E114,$F114,R$3)</f>
        <v>0</v>
      </c>
      <c r="S114" s="25" cm="1">
        <f t="array" ref="S114">_xll.DBRW($E$2,R$1,R$2,$D$18,$D$3,$D114,$E114,$F114,$F$3,S$3)</f>
        <v>0</v>
      </c>
      <c r="T114" s="25">
        <f>_xll.DBRW($C$2,$R$1,R$2,$D$18,$D$3,$D114,$E114,$F114,T$3)</f>
        <v>0</v>
      </c>
      <c r="U114" s="64">
        <f>_xll.DBRW($C$2,$R$1,R$2,$D$18,$D$3,$D114,$E114,$F114,U$3)</f>
        <v>0</v>
      </c>
      <c r="V114" s="58">
        <f>_xll.DBRW($C$2,$R$1,R$2,$D$18,$D$3,$D114,$E114,$F114,V$3)</f>
        <v>0</v>
      </c>
      <c r="W114" s="48">
        <f t="shared" si="37"/>
        <v>29</v>
      </c>
      <c r="X114" s="39">
        <f>_xll.DBRW($C$2,$X$1,X$2,$D$18,$D$3,$D114,$E114,$F114,X$3)</f>
        <v>0</v>
      </c>
      <c r="Y114" s="25" cm="1">
        <f t="array" ref="Y114">_xll.DBRW($E$2,X$1,X$2,$D$18,$D$3,$D114,$E114,$F114,$F$3,Y$3)</f>
        <v>0</v>
      </c>
      <c r="Z114" s="25">
        <f>_xll.DBRW($C$2,$X$1,X$2,$D$18,$D$3,$D114,$E114,$F114,Z$3)</f>
        <v>10</v>
      </c>
      <c r="AA114" s="64">
        <f>_xll.DBRW($C$2,$X$1,X$2,$D$18,$D$3,$D114,$E114,$F114,AA$3)</f>
        <v>0</v>
      </c>
      <c r="AB114" s="58">
        <f>_xll.DBRW($C$2,$X$1,X$2,$D$18,$D$3,$D114,$E114,$F114,AB$3)</f>
        <v>0</v>
      </c>
      <c r="AC114" s="48">
        <f t="shared" si="38"/>
        <v>19</v>
      </c>
      <c r="AD114" s="39">
        <f>_xll.DBRW($C$2,$AD$1,AD$2,$D$18,$D$3,$D114,$E114,$F114,AD$3)</f>
        <v>0</v>
      </c>
      <c r="AE114" s="25" cm="1">
        <f t="array" ref="AE114">_xll.DBRW($E$2,AD$1,AD$2,$D$18,$D$3,$D114,$E114,$F114,$F$3,AE$3)</f>
        <v>0</v>
      </c>
      <c r="AF114" s="25">
        <f>_xll.DBRW($C$2,$AD$1,AD$2,$D$18,$D$3,$D114,$E114,$F114,AF$3)</f>
        <v>10</v>
      </c>
      <c r="AG114" s="64">
        <f>_xll.DBRW($C$2,$AD$1,AD$2,$D$18,$D$3,$D114,$E114,$F114,AG$3)</f>
        <v>0</v>
      </c>
      <c r="AH114" s="58">
        <f>_xll.DBRW($C$2,$AD$1,AD$2,$D$18,$D$3,$D114,$E114,$F114,AH$3)</f>
        <v>0</v>
      </c>
      <c r="AI114" s="48">
        <f t="shared" si="39"/>
        <v>9</v>
      </c>
      <c r="AJ114" s="39">
        <f>_xll.DBRW($C$2,$AJ$1,AJ$2,$D$18,$D$3,$D114,$E114,$F114,AJ$3)</f>
        <v>0</v>
      </c>
      <c r="AK114" s="25" cm="1">
        <f t="array" ref="AK114">_xll.DBRW($E$2,AJ$1,AJ$2,$D$18,$D$3,$D114,$E114,$F114,$F$3,AK$3)</f>
        <v>0</v>
      </c>
      <c r="AL114" s="25">
        <f>_xll.DBRW($C$2,$AJ$1,AJ$2,$D$18,$D$3,$D114,$E114,$F114,AL$3)</f>
        <v>10</v>
      </c>
      <c r="AM114" s="64">
        <f>_xll.DBRW($C$2,$AJ$1,AJ$2,$D$18,$D$3,$D114,$E114,$F114,AM$3)</f>
        <v>0</v>
      </c>
      <c r="AN114" s="58">
        <f>_xll.DBRW($C$2,$AJ$1,AJ$2,$D$18,$D$3,$D114,$E114,$F114,AN$3)</f>
        <v>0</v>
      </c>
      <c r="AO114" s="48">
        <f t="shared" si="40"/>
        <v>-1</v>
      </c>
      <c r="AP114" s="39">
        <f>_xll.DBRW($C$2,$AP$1,AP$2,$D$18,$D$3,$D114,$E114,$F114,AP$3)</f>
        <v>0</v>
      </c>
      <c r="AQ114" s="25" cm="1">
        <f t="array" ref="AQ114">_xll.DBRW($E$2,AP$1,AP$2,$D$18,$D$3,$D114,$E114,$F114,$F$3,AQ$3)</f>
        <v>0</v>
      </c>
      <c r="AR114" s="25">
        <f>_xll.DBRW($C$2,$AP$1,AP$2,$D$18,$D$3,$D114,$E114,$F114,AR$3)</f>
        <v>10</v>
      </c>
      <c r="AS114" s="64">
        <f>_xll.DBRW($C$2,$AP$1,AP$2,$D$18,$D$3,$D114,$E114,$F114,AS$3)</f>
        <v>0</v>
      </c>
      <c r="AT114" s="58">
        <f>_xll.DBRW($C$2,$AP$1,AP$2,$D$18,$D$3,$D114,$E114,$F114,AT$3)</f>
        <v>0</v>
      </c>
      <c r="AU114" s="48">
        <f t="shared" si="41"/>
        <v>-11</v>
      </c>
      <c r="AV114" s="39">
        <f>_xll.DBRW($C$2,$AV$1,AV$2,$D$18,$D$3,$D114,$E114,$F114,AV$3)</f>
        <v>0</v>
      </c>
      <c r="AW114" s="25" cm="1">
        <f t="array" ref="AW114">_xll.DBRW($E$2,AV$1,AV$2,$D$18,$D$3,$D114,$E114,$F114,$F$3,AW$3)</f>
        <v>0</v>
      </c>
      <c r="AX114" s="25">
        <f>_xll.DBRW($C$2,$AV$1,AV$2,$D$18,$D$3,$D114,$E114,$F114,AX$3)</f>
        <v>10</v>
      </c>
      <c r="AY114" s="64">
        <f>_xll.DBRW($C$2,$AV$1,AV$2,$D$18,$D$3,$D114,$E114,$F114,AY$3)</f>
        <v>0</v>
      </c>
      <c r="AZ114" s="58">
        <f>_xll.DBRW($C$2,$AV$1,AV$2,$D$18,$D$3,$D114,$E114,$F114,AZ$3)</f>
        <v>0</v>
      </c>
      <c r="BA114" s="48">
        <f t="shared" si="42"/>
        <v>-21</v>
      </c>
      <c r="BB114" s="39">
        <f>_xll.DBRW($C$2,$BB$1,BB$2,$D$18,$D$3,$D114,$E114,$F114,BB$3)</f>
        <v>0</v>
      </c>
      <c r="BC114" s="25" cm="1">
        <f t="array" ref="BC114">_xll.DBRW($E$2,BB$1,BB$2,$D$18,$D$3,$D114,$E114,$F114,$F$3,BC$3)</f>
        <v>0</v>
      </c>
      <c r="BD114" s="25">
        <f>_xll.DBRW($C$2,$BB$1,BB$2,$D$18,$D$3,$D114,$E114,$F114,BD$3)</f>
        <v>10</v>
      </c>
      <c r="BE114" s="64">
        <f>_xll.DBRW($C$2,$BB$1,BB$2,$D$18,$D$3,$D114,$E114,$F114,BE$3)</f>
        <v>0</v>
      </c>
      <c r="BF114" s="58">
        <f>_xll.DBRW($C$2,$BB$1,BB$2,$D$18,$D$3,$D114,$E114,$F114,BF$3)</f>
        <v>0</v>
      </c>
      <c r="BG114" s="48">
        <f t="shared" si="43"/>
        <v>-31</v>
      </c>
      <c r="BH114" s="39">
        <f>_xll.DBRW($C$2,$BH$1,BH$2,$D$18,$D$3,$D114,$E114,$F114,BH$3)</f>
        <v>0</v>
      </c>
      <c r="BI114" s="25" cm="1">
        <f t="array" ref="BI114">_xll.DBRW($E$2,BH$1,BH$2,$D$18,$D$3,$D114,$E114,$F114,$F$3,BI$3)</f>
        <v>0</v>
      </c>
      <c r="BJ114" s="25">
        <f>_xll.DBRW($C$2,$BH$1,BH$2,$D$18,$D$3,$D114,$E114,$F114,BJ$3)</f>
        <v>10</v>
      </c>
      <c r="BK114" s="64">
        <f>_xll.DBRW($C$2,$BH$1,BH$2,$D$18,$D$3,$D114,$E114,$F114,BK$3)</f>
        <v>0</v>
      </c>
      <c r="BL114" s="58">
        <f>_xll.DBRW($C$2,$BH$1,BH$2,$D$18,$D$3,$D114,$E114,$F114,BL$3)</f>
        <v>0</v>
      </c>
      <c r="BM114" s="48">
        <f t="shared" si="44"/>
        <v>-41</v>
      </c>
      <c r="BN114" s="39">
        <f>_xll.DBRW($C$2,$BN$1,BN$2,$D$18,$D$3,$D114,$E114,$F114,BN$3)</f>
        <v>0</v>
      </c>
      <c r="BO114" s="25" cm="1">
        <f t="array" ref="BO114">_xll.DBRW($E$2,BN$1,BN$2,$D$18,$D$3,$D114,$E114,$F114,$F$3,BO$3)</f>
        <v>0</v>
      </c>
      <c r="BP114" s="25">
        <f>_xll.DBRW($C$2,$BN$1,BN$2,$D$18,$D$3,$D114,$E114,$F114,BP$3)</f>
        <v>10</v>
      </c>
      <c r="BQ114" s="64">
        <f>_xll.DBRW($C$2,$BN$1,BN$2,$D$18,$D$3,$D114,$E114,$F114,BQ$3)</f>
        <v>0</v>
      </c>
      <c r="BR114" s="58">
        <f>_xll.DBRW($C$2,$BN$1,BN$2,$D$18,$D$3,$D114,$E114,$F114,BR$3)</f>
        <v>0</v>
      </c>
      <c r="BS114" s="48">
        <f t="shared" si="45"/>
        <v>-51</v>
      </c>
      <c r="BT114" s="39">
        <f>_xll.DBRW($C$2,$BT$1,BT$2,$D$18,$D$3,$D114,$E114,$F114,BT$3)</f>
        <v>0</v>
      </c>
      <c r="BU114" s="25" cm="1">
        <f t="array" ref="BU114">_xll.DBRW($E$2,BT$1,BT$2,$D$18,$D$3,$D114,$E114,$F114,$F$3,BU$3)</f>
        <v>0</v>
      </c>
      <c r="BV114" s="25">
        <f>_xll.DBRW($C$2,$BT$1,BT$2,$D$18,$D$3,$D114,$E114,$F114,BV$3)</f>
        <v>10</v>
      </c>
      <c r="BW114" s="64">
        <f>_xll.DBRW($C$2,$BT$1,BT$2,$D$18,$D$3,$D114,$E114,$F114,BW$3)</f>
        <v>0</v>
      </c>
      <c r="BX114" s="58">
        <f>_xll.DBRW($C$2,$BT$1,BT$2,$D$18,$D$3,$D114,$E114,$F114,BX$3)</f>
        <v>0</v>
      </c>
      <c r="BY114" s="48">
        <f t="shared" si="46"/>
        <v>-61</v>
      </c>
      <c r="BZ114" s="39">
        <f>_xll.DBRW($C$2,$BZ$1,BZ$2,$D$18,$D$3,$D114,$E114,$F114,BZ$3)</f>
        <v>0</v>
      </c>
      <c r="CA114" s="25" cm="1">
        <f t="array" ref="CA114">_xll.DBRW($E$2,BZ$1,BZ$2,$D$18,$D$3,$D114,$E114,$F114,$F$3,CA$3)</f>
        <v>0</v>
      </c>
      <c r="CB114" s="25">
        <f>_xll.DBRW($C$2,$BZ$1,BZ$2,$D$18,$D$3,$D114,$E114,$F114,CB$3)</f>
        <v>10</v>
      </c>
      <c r="CC114" s="64">
        <f>_xll.DBRW($C$2,$BZ$1,BZ$2,$D$18,$D$3,$D114,$E114,$F114,CC$3)</f>
        <v>0</v>
      </c>
      <c r="CD114" s="58">
        <f>_xll.DBRW($C$2,$BZ$1,BZ$2,$D$18,$D$3,$D114,$E114,$F114,CD$3)</f>
        <v>0</v>
      </c>
      <c r="CE114" s="48">
        <f t="shared" si="47"/>
        <v>-71</v>
      </c>
    </row>
    <row r="115" spans="1:83" s="23" customFormat="1" outlineLevel="1" thickBot="1" x14ac:dyDescent="0.3">
      <c r="A115" s="91" t="str">
        <f>IF(_xll.TM1RPTELISCONSOLIDATED($F$22,$F115),IF(_xll.TM1RPTELLEV($F$22,$F115)&lt;=5,_xll.TM1RPTELLEV($F$22,$F115),"Default"),"Leaf")</f>
        <v>Leaf</v>
      </c>
      <c r="B115" s="24" t="str">
        <f>_xll.DBRW("TM1-S1_DEV:}ElementAttributes_SP_SKU",$D115,B$1)</f>
        <v>Primary</v>
      </c>
      <c r="C115" s="24" t="str">
        <f>_xll.DBRW("TM1-S1_DEV:}ElementAttributes_SP_SKU",$D115,C$1)</f>
        <v>INGREDIENT</v>
      </c>
      <c r="D115" s="28" t="s">
        <v>494</v>
      </c>
      <c r="E115" s="28" t="s">
        <v>251</v>
      </c>
      <c r="F115" s="28" t="s">
        <v>24</v>
      </c>
      <c r="G115" s="4">
        <f>_xll.DBRW($C$2,$G$19,G$20,$D$18,$D$3,$D115,$E115,$F115,G$3)</f>
        <v>11</v>
      </c>
      <c r="H115" s="54">
        <f t="shared" si="36"/>
        <v>0</v>
      </c>
      <c r="I115" s="4"/>
      <c r="J115" s="25">
        <f>_xll.DBRW($C$2,$J$1,J$2,$D$18,$D$3,$D115,$E115,$F115,J$3)</f>
        <v>11</v>
      </c>
      <c r="K115" s="39">
        <f>_xll.DBRW($C$2,$J$1,J$2,$D$18,$D$3,$D115,$E115,$F115,K$3)</f>
        <v>0</v>
      </c>
      <c r="L115" s="25">
        <f>_xll.DBRW($C$2,$J$1,J$2,$D$18,$D$3,$D115,$E115,$F115,L$3)</f>
        <v>0</v>
      </c>
      <c r="M115" s="25">
        <f>_xll.DBRW($C$2,$J$1,J$2,$D$18,$D$3,$D115,$E115,$F115,M$3)</f>
        <v>0</v>
      </c>
      <c r="N115" s="25">
        <f>_xll.DBRW($C$2,$J$1,J$2,$D$18,$D$3,$D115,$E115,$F115,N$3)</f>
        <v>0</v>
      </c>
      <c r="O115" s="64">
        <f>_xll.DBRW($C$2,$J$1,J$2,$D$18,$D$3,$D115,$E115,$F115,O$3)</f>
        <v>0</v>
      </c>
      <c r="P115" s="58">
        <f>_xll.DBRW($C$2,$J$1,J$2,$D$18,$D$3,$D115,$E115,$F115,P$3)</f>
        <v>0</v>
      </c>
      <c r="Q115" s="48">
        <f>_xll.DBRW($C$2,$J$1,J$2,$D$18,$D$3,$D115,$E115,$F115,Q$3)</f>
        <v>11</v>
      </c>
      <c r="R115" s="39">
        <f>_xll.DBRW($C$2,$R$1,R$2,$D$18,$D$3,$D115,$E115,$F115,R$3)</f>
        <v>0</v>
      </c>
      <c r="S115" s="25" cm="1">
        <f t="array" ref="S115">_xll.DBRW($E$2,R$1,R$2,$D$18,$D$3,$D115,$E115,$F115,$F$3,S$3)</f>
        <v>0</v>
      </c>
      <c r="T115" s="25">
        <f>_xll.DBRW($C$2,$R$1,R$2,$D$18,$D$3,$D115,$E115,$F115,T$3)</f>
        <v>0</v>
      </c>
      <c r="U115" s="64">
        <f>_xll.DBRW($C$2,$R$1,R$2,$D$18,$D$3,$D115,$E115,$F115,U$3)</f>
        <v>0</v>
      </c>
      <c r="V115" s="58">
        <f>_xll.DBRW($C$2,$R$1,R$2,$D$18,$D$3,$D115,$E115,$F115,V$3)</f>
        <v>0</v>
      </c>
      <c r="W115" s="48">
        <f t="shared" si="37"/>
        <v>11</v>
      </c>
      <c r="X115" s="39">
        <f>_xll.DBRW($C$2,$X$1,X$2,$D$18,$D$3,$D115,$E115,$F115,X$3)</f>
        <v>0</v>
      </c>
      <c r="Y115" s="25" cm="1">
        <f t="array" ref="Y115">_xll.DBRW($E$2,X$1,X$2,$D$18,$D$3,$D115,$E115,$F115,$F$3,Y$3)</f>
        <v>0</v>
      </c>
      <c r="Z115" s="25">
        <f>_xll.DBRW($C$2,$X$1,X$2,$D$18,$D$3,$D115,$E115,$F115,Z$3)</f>
        <v>2</v>
      </c>
      <c r="AA115" s="64">
        <f>_xll.DBRW($C$2,$X$1,X$2,$D$18,$D$3,$D115,$E115,$F115,AA$3)</f>
        <v>0</v>
      </c>
      <c r="AB115" s="58">
        <f>_xll.DBRW($C$2,$X$1,X$2,$D$18,$D$3,$D115,$E115,$F115,AB$3)</f>
        <v>0</v>
      </c>
      <c r="AC115" s="48">
        <f t="shared" si="38"/>
        <v>9</v>
      </c>
      <c r="AD115" s="39">
        <f>_xll.DBRW($C$2,$AD$1,AD$2,$D$18,$D$3,$D115,$E115,$F115,AD$3)</f>
        <v>0</v>
      </c>
      <c r="AE115" s="25" cm="1">
        <f t="array" ref="AE115">_xll.DBRW($E$2,AD$1,AD$2,$D$18,$D$3,$D115,$E115,$F115,$F$3,AE$3)</f>
        <v>0</v>
      </c>
      <c r="AF115" s="25">
        <f>_xll.DBRW($C$2,$AD$1,AD$2,$D$18,$D$3,$D115,$E115,$F115,AF$3)</f>
        <v>2</v>
      </c>
      <c r="AG115" s="64">
        <f>_xll.DBRW($C$2,$AD$1,AD$2,$D$18,$D$3,$D115,$E115,$F115,AG$3)</f>
        <v>0</v>
      </c>
      <c r="AH115" s="58">
        <f>_xll.DBRW($C$2,$AD$1,AD$2,$D$18,$D$3,$D115,$E115,$F115,AH$3)</f>
        <v>0</v>
      </c>
      <c r="AI115" s="48">
        <f t="shared" si="39"/>
        <v>7</v>
      </c>
      <c r="AJ115" s="39">
        <f>_xll.DBRW($C$2,$AJ$1,AJ$2,$D$18,$D$3,$D115,$E115,$F115,AJ$3)</f>
        <v>0</v>
      </c>
      <c r="AK115" s="25" cm="1">
        <f t="array" ref="AK115">_xll.DBRW($E$2,AJ$1,AJ$2,$D$18,$D$3,$D115,$E115,$F115,$F$3,AK$3)</f>
        <v>0</v>
      </c>
      <c r="AL115" s="25">
        <f>_xll.DBRW($C$2,$AJ$1,AJ$2,$D$18,$D$3,$D115,$E115,$F115,AL$3)</f>
        <v>2</v>
      </c>
      <c r="AM115" s="64">
        <f>_xll.DBRW($C$2,$AJ$1,AJ$2,$D$18,$D$3,$D115,$E115,$F115,AM$3)</f>
        <v>0</v>
      </c>
      <c r="AN115" s="58">
        <f>_xll.DBRW($C$2,$AJ$1,AJ$2,$D$18,$D$3,$D115,$E115,$F115,AN$3)</f>
        <v>0</v>
      </c>
      <c r="AO115" s="48">
        <f t="shared" si="40"/>
        <v>5</v>
      </c>
      <c r="AP115" s="39">
        <f>_xll.DBRW($C$2,$AP$1,AP$2,$D$18,$D$3,$D115,$E115,$F115,AP$3)</f>
        <v>0</v>
      </c>
      <c r="AQ115" s="25" cm="1">
        <f t="array" ref="AQ115">_xll.DBRW($E$2,AP$1,AP$2,$D$18,$D$3,$D115,$E115,$F115,$F$3,AQ$3)</f>
        <v>0</v>
      </c>
      <c r="AR115" s="25">
        <f>_xll.DBRW($C$2,$AP$1,AP$2,$D$18,$D$3,$D115,$E115,$F115,AR$3)</f>
        <v>2</v>
      </c>
      <c r="AS115" s="64">
        <f>_xll.DBRW($C$2,$AP$1,AP$2,$D$18,$D$3,$D115,$E115,$F115,AS$3)</f>
        <v>0</v>
      </c>
      <c r="AT115" s="58">
        <f>_xll.DBRW($C$2,$AP$1,AP$2,$D$18,$D$3,$D115,$E115,$F115,AT$3)</f>
        <v>0</v>
      </c>
      <c r="AU115" s="48">
        <f t="shared" si="41"/>
        <v>3</v>
      </c>
      <c r="AV115" s="39">
        <f>_xll.DBRW($C$2,$AV$1,AV$2,$D$18,$D$3,$D115,$E115,$F115,AV$3)</f>
        <v>0</v>
      </c>
      <c r="AW115" s="25" cm="1">
        <f t="array" ref="AW115">_xll.DBRW($E$2,AV$1,AV$2,$D$18,$D$3,$D115,$E115,$F115,$F$3,AW$3)</f>
        <v>0</v>
      </c>
      <c r="AX115" s="25">
        <f>_xll.DBRW($C$2,$AV$1,AV$2,$D$18,$D$3,$D115,$E115,$F115,AX$3)</f>
        <v>2</v>
      </c>
      <c r="AY115" s="64">
        <f>_xll.DBRW($C$2,$AV$1,AV$2,$D$18,$D$3,$D115,$E115,$F115,AY$3)</f>
        <v>0</v>
      </c>
      <c r="AZ115" s="58">
        <f>_xll.DBRW($C$2,$AV$1,AV$2,$D$18,$D$3,$D115,$E115,$F115,AZ$3)</f>
        <v>0</v>
      </c>
      <c r="BA115" s="48">
        <f t="shared" si="42"/>
        <v>1</v>
      </c>
      <c r="BB115" s="39">
        <f>_xll.DBRW($C$2,$BB$1,BB$2,$D$18,$D$3,$D115,$E115,$F115,BB$3)</f>
        <v>0</v>
      </c>
      <c r="BC115" s="25" cm="1">
        <f t="array" ref="BC115">_xll.DBRW($E$2,BB$1,BB$2,$D$18,$D$3,$D115,$E115,$F115,$F$3,BC$3)</f>
        <v>0</v>
      </c>
      <c r="BD115" s="25">
        <f>_xll.DBRW($C$2,$BB$1,BB$2,$D$18,$D$3,$D115,$E115,$F115,BD$3)</f>
        <v>2</v>
      </c>
      <c r="BE115" s="64">
        <f>_xll.DBRW($C$2,$BB$1,BB$2,$D$18,$D$3,$D115,$E115,$F115,BE$3)</f>
        <v>0</v>
      </c>
      <c r="BF115" s="58">
        <f>_xll.DBRW($C$2,$BB$1,BB$2,$D$18,$D$3,$D115,$E115,$F115,BF$3)</f>
        <v>0</v>
      </c>
      <c r="BG115" s="48">
        <f t="shared" si="43"/>
        <v>-1</v>
      </c>
      <c r="BH115" s="39">
        <f>_xll.DBRW($C$2,$BH$1,BH$2,$D$18,$D$3,$D115,$E115,$F115,BH$3)</f>
        <v>0</v>
      </c>
      <c r="BI115" s="25" cm="1">
        <f t="array" ref="BI115">_xll.DBRW($E$2,BH$1,BH$2,$D$18,$D$3,$D115,$E115,$F115,$F$3,BI$3)</f>
        <v>0</v>
      </c>
      <c r="BJ115" s="25">
        <f>_xll.DBRW($C$2,$BH$1,BH$2,$D$18,$D$3,$D115,$E115,$F115,BJ$3)</f>
        <v>2</v>
      </c>
      <c r="BK115" s="64">
        <f>_xll.DBRW($C$2,$BH$1,BH$2,$D$18,$D$3,$D115,$E115,$F115,BK$3)</f>
        <v>0</v>
      </c>
      <c r="BL115" s="58">
        <f>_xll.DBRW($C$2,$BH$1,BH$2,$D$18,$D$3,$D115,$E115,$F115,BL$3)</f>
        <v>0</v>
      </c>
      <c r="BM115" s="48">
        <f t="shared" si="44"/>
        <v>-3</v>
      </c>
      <c r="BN115" s="39">
        <f>_xll.DBRW($C$2,$BN$1,BN$2,$D$18,$D$3,$D115,$E115,$F115,BN$3)</f>
        <v>0</v>
      </c>
      <c r="BO115" s="25" cm="1">
        <f t="array" ref="BO115">_xll.DBRW($E$2,BN$1,BN$2,$D$18,$D$3,$D115,$E115,$F115,$F$3,BO$3)</f>
        <v>0</v>
      </c>
      <c r="BP115" s="25">
        <f>_xll.DBRW($C$2,$BN$1,BN$2,$D$18,$D$3,$D115,$E115,$F115,BP$3)</f>
        <v>2</v>
      </c>
      <c r="BQ115" s="64">
        <f>_xll.DBRW($C$2,$BN$1,BN$2,$D$18,$D$3,$D115,$E115,$F115,BQ$3)</f>
        <v>0</v>
      </c>
      <c r="BR115" s="58">
        <f>_xll.DBRW($C$2,$BN$1,BN$2,$D$18,$D$3,$D115,$E115,$F115,BR$3)</f>
        <v>0</v>
      </c>
      <c r="BS115" s="48">
        <f t="shared" si="45"/>
        <v>-5</v>
      </c>
      <c r="BT115" s="39">
        <f>_xll.DBRW($C$2,$BT$1,BT$2,$D$18,$D$3,$D115,$E115,$F115,BT$3)</f>
        <v>0</v>
      </c>
      <c r="BU115" s="25" cm="1">
        <f t="array" ref="BU115">_xll.DBRW($E$2,BT$1,BT$2,$D$18,$D$3,$D115,$E115,$F115,$F$3,BU$3)</f>
        <v>0</v>
      </c>
      <c r="BV115" s="25">
        <f>_xll.DBRW($C$2,$BT$1,BT$2,$D$18,$D$3,$D115,$E115,$F115,BV$3)</f>
        <v>2</v>
      </c>
      <c r="BW115" s="64">
        <f>_xll.DBRW($C$2,$BT$1,BT$2,$D$18,$D$3,$D115,$E115,$F115,BW$3)</f>
        <v>0</v>
      </c>
      <c r="BX115" s="58">
        <f>_xll.DBRW($C$2,$BT$1,BT$2,$D$18,$D$3,$D115,$E115,$F115,BX$3)</f>
        <v>0</v>
      </c>
      <c r="BY115" s="48">
        <f t="shared" si="46"/>
        <v>-7</v>
      </c>
      <c r="BZ115" s="39">
        <f>_xll.DBRW($C$2,$BZ$1,BZ$2,$D$18,$D$3,$D115,$E115,$F115,BZ$3)</f>
        <v>0</v>
      </c>
      <c r="CA115" s="25" cm="1">
        <f t="array" ref="CA115">_xll.DBRW($E$2,BZ$1,BZ$2,$D$18,$D$3,$D115,$E115,$F115,$F$3,CA$3)</f>
        <v>0</v>
      </c>
      <c r="CB115" s="25">
        <f>_xll.DBRW($C$2,$BZ$1,BZ$2,$D$18,$D$3,$D115,$E115,$F115,CB$3)</f>
        <v>2</v>
      </c>
      <c r="CC115" s="64">
        <f>_xll.DBRW($C$2,$BZ$1,BZ$2,$D$18,$D$3,$D115,$E115,$F115,CC$3)</f>
        <v>0</v>
      </c>
      <c r="CD115" s="58">
        <f>_xll.DBRW($C$2,$BZ$1,BZ$2,$D$18,$D$3,$D115,$E115,$F115,CD$3)</f>
        <v>0</v>
      </c>
      <c r="CE115" s="48">
        <f t="shared" si="47"/>
        <v>-9</v>
      </c>
    </row>
    <row r="116" spans="1:83" s="23" customFormat="1" outlineLevel="1" thickBot="1" x14ac:dyDescent="0.3">
      <c r="A116" s="91" t="str">
        <f>IF(_xll.TM1RPTELISCONSOLIDATED($F$22,$F116),IF(_xll.TM1RPTELLEV($F$22,$F116)&lt;=5,_xll.TM1RPTELLEV($F$22,$F116),"Default"),"Leaf")</f>
        <v>Leaf</v>
      </c>
      <c r="B116" s="24" t="str">
        <f>_xll.DBRW("TM1-S1_DEV:}ElementAttributes_SP_SKU",$D116,B$1)</f>
        <v>Primary</v>
      </c>
      <c r="C116" s="24" t="str">
        <f>_xll.DBRW("TM1-S1_DEV:}ElementAttributes_SP_SKU",$D116,C$1)</f>
        <v>INGREDIENT</v>
      </c>
      <c r="D116" s="28" t="s">
        <v>426</v>
      </c>
      <c r="E116" s="28" t="s">
        <v>252</v>
      </c>
      <c r="F116" s="28" t="s">
        <v>62</v>
      </c>
      <c r="G116" s="4">
        <f>_xll.DBRW($C$2,$G$19,G$20,$D$18,$D$3,$D116,$E116,$F116,G$3)</f>
        <v>33</v>
      </c>
      <c r="H116" s="54">
        <f t="shared" si="36"/>
        <v>2</v>
      </c>
      <c r="I116" s="4"/>
      <c r="J116" s="25">
        <f>_xll.DBRW($C$2,$J$1,J$2,$D$18,$D$3,$D116,$E116,$F116,J$3)</f>
        <v>35</v>
      </c>
      <c r="K116" s="39">
        <f>_xll.DBRW($C$2,$J$1,J$2,$D$18,$D$3,$D116,$E116,$F116,K$3)</f>
        <v>0</v>
      </c>
      <c r="L116" s="25">
        <f>_xll.DBRW($C$2,$J$1,J$2,$D$18,$D$3,$D116,$E116,$F116,L$3)</f>
        <v>0</v>
      </c>
      <c r="M116" s="25">
        <f>_xll.DBRW($C$2,$J$1,J$2,$D$18,$D$3,$D116,$E116,$F116,M$3)</f>
        <v>60</v>
      </c>
      <c r="N116" s="25">
        <f>_xll.DBRW($C$2,$J$1,J$2,$D$18,$D$3,$D116,$E116,$F116,N$3)</f>
        <v>19</v>
      </c>
      <c r="O116" s="64">
        <f>_xll.DBRW($C$2,$J$1,J$2,$D$18,$D$3,$D116,$E116,$F116,O$3)</f>
        <v>1</v>
      </c>
      <c r="P116" s="58">
        <f>_xll.DBRW($C$2,$J$1,J$2,$D$18,$D$3,$D116,$E116,$F116,P$3)</f>
        <v>0</v>
      </c>
      <c r="Q116" s="48">
        <f>_xll.DBRW($C$2,$J$1,J$2,$D$18,$D$3,$D116,$E116,$F116,Q$3)</f>
        <v>76</v>
      </c>
      <c r="R116" s="39">
        <f>_xll.DBRW($C$2,$R$1,R$2,$D$18,$D$3,$D116,$E116,$F116,R$3)</f>
        <v>0</v>
      </c>
      <c r="S116" s="25" cm="1">
        <f t="array" ref="S116">_xll.DBRW($E$2,R$1,R$2,$D$18,$D$3,$D116,$E116,$F116,$F$3,S$3)</f>
        <v>0</v>
      </c>
      <c r="T116" s="25">
        <f>_xll.DBRW($C$2,$R$1,R$2,$D$18,$D$3,$D116,$E116,$F116,T$3)</f>
        <v>0</v>
      </c>
      <c r="U116" s="64">
        <f>_xll.DBRW($C$2,$R$1,R$2,$D$18,$D$3,$D116,$E116,$F116,U$3)</f>
        <v>0</v>
      </c>
      <c r="V116" s="58">
        <f>_xll.DBRW($C$2,$R$1,R$2,$D$18,$D$3,$D116,$E116,$F116,V$3)</f>
        <v>0</v>
      </c>
      <c r="W116" s="48">
        <f t="shared" si="37"/>
        <v>76</v>
      </c>
      <c r="X116" s="39">
        <f>_xll.DBRW($C$2,$X$1,X$2,$D$18,$D$3,$D116,$E116,$F116,X$3)</f>
        <v>0</v>
      </c>
      <c r="Y116" s="25" cm="1">
        <f t="array" ref="Y116">_xll.DBRW($E$2,X$1,X$2,$D$18,$D$3,$D116,$E116,$F116,$F$3,Y$3)</f>
        <v>0</v>
      </c>
      <c r="Z116" s="25">
        <f>_xll.DBRW($C$2,$X$1,X$2,$D$18,$D$3,$D116,$E116,$F116,Z$3)</f>
        <v>16</v>
      </c>
      <c r="AA116" s="64">
        <f>_xll.DBRW($C$2,$X$1,X$2,$D$18,$D$3,$D116,$E116,$F116,AA$3)</f>
        <v>0</v>
      </c>
      <c r="AB116" s="58">
        <f>_xll.DBRW($C$2,$X$1,X$2,$D$18,$D$3,$D116,$E116,$F116,AB$3)</f>
        <v>0</v>
      </c>
      <c r="AC116" s="48">
        <f t="shared" si="38"/>
        <v>60</v>
      </c>
      <c r="AD116" s="39">
        <f>_xll.DBRW($C$2,$AD$1,AD$2,$D$18,$D$3,$D116,$E116,$F116,AD$3)</f>
        <v>0</v>
      </c>
      <c r="AE116" s="25" cm="1">
        <f t="array" ref="AE116">_xll.DBRW($E$2,AD$1,AD$2,$D$18,$D$3,$D116,$E116,$F116,$F$3,AE$3)</f>
        <v>0</v>
      </c>
      <c r="AF116" s="25">
        <f>_xll.DBRW($C$2,$AD$1,AD$2,$D$18,$D$3,$D116,$E116,$F116,AF$3)</f>
        <v>16</v>
      </c>
      <c r="AG116" s="64">
        <f>_xll.DBRW($C$2,$AD$1,AD$2,$D$18,$D$3,$D116,$E116,$F116,AG$3)</f>
        <v>0</v>
      </c>
      <c r="AH116" s="58">
        <f>_xll.DBRW($C$2,$AD$1,AD$2,$D$18,$D$3,$D116,$E116,$F116,AH$3)</f>
        <v>0</v>
      </c>
      <c r="AI116" s="48">
        <f t="shared" si="39"/>
        <v>44</v>
      </c>
      <c r="AJ116" s="39">
        <f>_xll.DBRW($C$2,$AJ$1,AJ$2,$D$18,$D$3,$D116,$E116,$F116,AJ$3)</f>
        <v>0</v>
      </c>
      <c r="AK116" s="25" cm="1">
        <f t="array" ref="AK116">_xll.DBRW($E$2,AJ$1,AJ$2,$D$18,$D$3,$D116,$E116,$F116,$F$3,AK$3)</f>
        <v>0</v>
      </c>
      <c r="AL116" s="25">
        <f>_xll.DBRW($C$2,$AJ$1,AJ$2,$D$18,$D$3,$D116,$E116,$F116,AL$3)</f>
        <v>16</v>
      </c>
      <c r="AM116" s="64">
        <f>_xll.DBRW($C$2,$AJ$1,AJ$2,$D$18,$D$3,$D116,$E116,$F116,AM$3)</f>
        <v>0</v>
      </c>
      <c r="AN116" s="58">
        <f>_xll.DBRW($C$2,$AJ$1,AJ$2,$D$18,$D$3,$D116,$E116,$F116,AN$3)</f>
        <v>0</v>
      </c>
      <c r="AO116" s="48">
        <f t="shared" si="40"/>
        <v>28</v>
      </c>
      <c r="AP116" s="39">
        <f>_xll.DBRW($C$2,$AP$1,AP$2,$D$18,$D$3,$D116,$E116,$F116,AP$3)</f>
        <v>0</v>
      </c>
      <c r="AQ116" s="25" cm="1">
        <f t="array" ref="AQ116">_xll.DBRW($E$2,AP$1,AP$2,$D$18,$D$3,$D116,$E116,$F116,$F$3,AQ$3)</f>
        <v>0</v>
      </c>
      <c r="AR116" s="25">
        <f>_xll.DBRW($C$2,$AP$1,AP$2,$D$18,$D$3,$D116,$E116,$F116,AR$3)</f>
        <v>16</v>
      </c>
      <c r="AS116" s="64">
        <f>_xll.DBRW($C$2,$AP$1,AP$2,$D$18,$D$3,$D116,$E116,$F116,AS$3)</f>
        <v>0</v>
      </c>
      <c r="AT116" s="58">
        <f>_xll.DBRW($C$2,$AP$1,AP$2,$D$18,$D$3,$D116,$E116,$F116,AT$3)</f>
        <v>0</v>
      </c>
      <c r="AU116" s="48">
        <f t="shared" si="41"/>
        <v>12</v>
      </c>
      <c r="AV116" s="39">
        <f>_xll.DBRW($C$2,$AV$1,AV$2,$D$18,$D$3,$D116,$E116,$F116,AV$3)</f>
        <v>0</v>
      </c>
      <c r="AW116" s="25" cm="1">
        <f t="array" ref="AW116">_xll.DBRW($E$2,AV$1,AV$2,$D$18,$D$3,$D116,$E116,$F116,$F$3,AW$3)</f>
        <v>0</v>
      </c>
      <c r="AX116" s="25">
        <f>_xll.DBRW($C$2,$AV$1,AV$2,$D$18,$D$3,$D116,$E116,$F116,AX$3)</f>
        <v>16</v>
      </c>
      <c r="AY116" s="64">
        <f>_xll.DBRW($C$2,$AV$1,AV$2,$D$18,$D$3,$D116,$E116,$F116,AY$3)</f>
        <v>0</v>
      </c>
      <c r="AZ116" s="58">
        <f>_xll.DBRW($C$2,$AV$1,AV$2,$D$18,$D$3,$D116,$E116,$F116,AZ$3)</f>
        <v>0</v>
      </c>
      <c r="BA116" s="48">
        <f t="shared" si="42"/>
        <v>-4</v>
      </c>
      <c r="BB116" s="39">
        <f>_xll.DBRW($C$2,$BB$1,BB$2,$D$18,$D$3,$D116,$E116,$F116,BB$3)</f>
        <v>0</v>
      </c>
      <c r="BC116" s="25" cm="1">
        <f t="array" ref="BC116">_xll.DBRW($E$2,BB$1,BB$2,$D$18,$D$3,$D116,$E116,$F116,$F$3,BC$3)</f>
        <v>0</v>
      </c>
      <c r="BD116" s="25">
        <f>_xll.DBRW($C$2,$BB$1,BB$2,$D$18,$D$3,$D116,$E116,$F116,BD$3)</f>
        <v>16</v>
      </c>
      <c r="BE116" s="64">
        <f>_xll.DBRW($C$2,$BB$1,BB$2,$D$18,$D$3,$D116,$E116,$F116,BE$3)</f>
        <v>0</v>
      </c>
      <c r="BF116" s="58">
        <f>_xll.DBRW($C$2,$BB$1,BB$2,$D$18,$D$3,$D116,$E116,$F116,BF$3)</f>
        <v>0</v>
      </c>
      <c r="BG116" s="48">
        <f t="shared" si="43"/>
        <v>-20</v>
      </c>
      <c r="BH116" s="39">
        <f>_xll.DBRW($C$2,$BH$1,BH$2,$D$18,$D$3,$D116,$E116,$F116,BH$3)</f>
        <v>0</v>
      </c>
      <c r="BI116" s="25" cm="1">
        <f t="array" ref="BI116">_xll.DBRW($E$2,BH$1,BH$2,$D$18,$D$3,$D116,$E116,$F116,$F$3,BI$3)</f>
        <v>0</v>
      </c>
      <c r="BJ116" s="25">
        <f>_xll.DBRW($C$2,$BH$1,BH$2,$D$18,$D$3,$D116,$E116,$F116,BJ$3)</f>
        <v>16</v>
      </c>
      <c r="BK116" s="64">
        <f>_xll.DBRW($C$2,$BH$1,BH$2,$D$18,$D$3,$D116,$E116,$F116,BK$3)</f>
        <v>0</v>
      </c>
      <c r="BL116" s="58">
        <f>_xll.DBRW($C$2,$BH$1,BH$2,$D$18,$D$3,$D116,$E116,$F116,BL$3)</f>
        <v>0</v>
      </c>
      <c r="BM116" s="48">
        <f t="shared" si="44"/>
        <v>-36</v>
      </c>
      <c r="BN116" s="39">
        <f>_xll.DBRW($C$2,$BN$1,BN$2,$D$18,$D$3,$D116,$E116,$F116,BN$3)</f>
        <v>0</v>
      </c>
      <c r="BO116" s="25" cm="1">
        <f t="array" ref="BO116">_xll.DBRW($E$2,BN$1,BN$2,$D$18,$D$3,$D116,$E116,$F116,$F$3,BO$3)</f>
        <v>0</v>
      </c>
      <c r="BP116" s="25">
        <f>_xll.DBRW($C$2,$BN$1,BN$2,$D$18,$D$3,$D116,$E116,$F116,BP$3)</f>
        <v>16</v>
      </c>
      <c r="BQ116" s="64">
        <f>_xll.DBRW($C$2,$BN$1,BN$2,$D$18,$D$3,$D116,$E116,$F116,BQ$3)</f>
        <v>0</v>
      </c>
      <c r="BR116" s="58">
        <f>_xll.DBRW($C$2,$BN$1,BN$2,$D$18,$D$3,$D116,$E116,$F116,BR$3)</f>
        <v>0</v>
      </c>
      <c r="BS116" s="48">
        <f t="shared" si="45"/>
        <v>-52</v>
      </c>
      <c r="BT116" s="39">
        <f>_xll.DBRW($C$2,$BT$1,BT$2,$D$18,$D$3,$D116,$E116,$F116,BT$3)</f>
        <v>0</v>
      </c>
      <c r="BU116" s="25" cm="1">
        <f t="array" ref="BU116">_xll.DBRW($E$2,BT$1,BT$2,$D$18,$D$3,$D116,$E116,$F116,$F$3,BU$3)</f>
        <v>0</v>
      </c>
      <c r="BV116" s="25">
        <f>_xll.DBRW($C$2,$BT$1,BT$2,$D$18,$D$3,$D116,$E116,$F116,BV$3)</f>
        <v>16</v>
      </c>
      <c r="BW116" s="64">
        <f>_xll.DBRW($C$2,$BT$1,BT$2,$D$18,$D$3,$D116,$E116,$F116,BW$3)</f>
        <v>0</v>
      </c>
      <c r="BX116" s="58">
        <f>_xll.DBRW($C$2,$BT$1,BT$2,$D$18,$D$3,$D116,$E116,$F116,BX$3)</f>
        <v>0</v>
      </c>
      <c r="BY116" s="48">
        <f t="shared" si="46"/>
        <v>-68</v>
      </c>
      <c r="BZ116" s="39">
        <f>_xll.DBRW($C$2,$BZ$1,BZ$2,$D$18,$D$3,$D116,$E116,$F116,BZ$3)</f>
        <v>0</v>
      </c>
      <c r="CA116" s="25" cm="1">
        <f t="array" ref="CA116">_xll.DBRW($E$2,BZ$1,BZ$2,$D$18,$D$3,$D116,$E116,$F116,$F$3,CA$3)</f>
        <v>0</v>
      </c>
      <c r="CB116" s="25">
        <f>_xll.DBRW($C$2,$BZ$1,BZ$2,$D$18,$D$3,$D116,$E116,$F116,CB$3)</f>
        <v>16</v>
      </c>
      <c r="CC116" s="64">
        <f>_xll.DBRW($C$2,$BZ$1,BZ$2,$D$18,$D$3,$D116,$E116,$F116,CC$3)</f>
        <v>0</v>
      </c>
      <c r="CD116" s="58">
        <f>_xll.DBRW($C$2,$BZ$1,BZ$2,$D$18,$D$3,$D116,$E116,$F116,CD$3)</f>
        <v>0</v>
      </c>
      <c r="CE116" s="48">
        <f t="shared" si="47"/>
        <v>-84</v>
      </c>
    </row>
    <row r="117" spans="1:83" s="23" customFormat="1" outlineLevel="1" thickBot="1" x14ac:dyDescent="0.3">
      <c r="A117" s="91" t="str">
        <f>IF(_xll.TM1RPTELISCONSOLIDATED($F$22,$F117),IF(_xll.TM1RPTELLEV($F$22,$F117)&lt;=5,_xll.TM1RPTELLEV($F$22,$F117),"Default"),"Leaf")</f>
        <v>Leaf</v>
      </c>
      <c r="B117" s="24" t="str">
        <f>_xll.DBRW("TM1-S1_DEV:}ElementAttributes_SP_SKU",$D117,B$1)</f>
        <v>Primary</v>
      </c>
      <c r="C117" s="24" t="str">
        <f>_xll.DBRW("TM1-S1_DEV:}ElementAttributes_SP_SKU",$D117,C$1)</f>
        <v>COOKIE</v>
      </c>
      <c r="D117" s="28" t="s">
        <v>427</v>
      </c>
      <c r="E117" s="28" t="s">
        <v>253</v>
      </c>
      <c r="F117" s="28" t="s">
        <v>21</v>
      </c>
      <c r="G117" s="4">
        <f>_xll.DBRW($C$2,$G$19,G$20,$D$18,$D$3,$D117,$E117,$F117,G$3)</f>
        <v>-1</v>
      </c>
      <c r="H117" s="54">
        <f t="shared" si="36"/>
        <v>2</v>
      </c>
      <c r="I117" s="4"/>
      <c r="J117" s="25">
        <f>_xll.DBRW($C$2,$J$1,J$2,$D$18,$D$3,$D117,$E117,$F117,J$3)</f>
        <v>1</v>
      </c>
      <c r="K117" s="39">
        <f>_xll.DBRW($C$2,$J$1,J$2,$D$18,$D$3,$D117,$E117,$F117,K$3)</f>
        <v>0</v>
      </c>
      <c r="L117" s="25">
        <f>_xll.DBRW($C$2,$J$1,J$2,$D$18,$D$3,$D117,$E117,$F117,L$3)</f>
        <v>0</v>
      </c>
      <c r="M117" s="25">
        <f>_xll.DBRW($C$2,$J$1,J$2,$D$18,$D$3,$D117,$E117,$F117,M$3)</f>
        <v>0</v>
      </c>
      <c r="N117" s="25">
        <f>_xll.DBRW($C$2,$J$1,J$2,$D$18,$D$3,$D117,$E117,$F117,N$3)</f>
        <v>2</v>
      </c>
      <c r="O117" s="64">
        <f>_xll.DBRW($C$2,$J$1,J$2,$D$18,$D$3,$D117,$E117,$F117,O$3)</f>
        <v>1</v>
      </c>
      <c r="P117" s="58">
        <f>_xll.DBRW($C$2,$J$1,J$2,$D$18,$D$3,$D117,$E117,$F117,P$3)</f>
        <v>0</v>
      </c>
      <c r="Q117" s="48">
        <f>_xll.DBRW($C$2,$J$1,J$2,$D$18,$D$3,$D117,$E117,$F117,Q$3)</f>
        <v>-1</v>
      </c>
      <c r="R117" s="39">
        <f>_xll.DBRW($C$2,$R$1,R$2,$D$18,$D$3,$D117,$E117,$F117,R$3)</f>
        <v>0</v>
      </c>
      <c r="S117" s="25" cm="1">
        <f t="array" ref="S117">_xll.DBRW($E$2,R$1,R$2,$D$18,$D$3,$D117,$E117,$F117,$F$3,S$3)</f>
        <v>0</v>
      </c>
      <c r="T117" s="25">
        <f>_xll.DBRW($C$2,$R$1,R$2,$D$18,$D$3,$D117,$E117,$F117,T$3)</f>
        <v>0</v>
      </c>
      <c r="U117" s="64">
        <f>_xll.DBRW($C$2,$R$1,R$2,$D$18,$D$3,$D117,$E117,$F117,U$3)</f>
        <v>0</v>
      </c>
      <c r="V117" s="58">
        <f>_xll.DBRW($C$2,$R$1,R$2,$D$18,$D$3,$D117,$E117,$F117,V$3)</f>
        <v>0</v>
      </c>
      <c r="W117" s="48">
        <f t="shared" si="37"/>
        <v>-1</v>
      </c>
      <c r="X117" s="39">
        <f>_xll.DBRW($C$2,$X$1,X$2,$D$18,$D$3,$D117,$E117,$F117,X$3)</f>
        <v>0</v>
      </c>
      <c r="Y117" s="25" cm="1">
        <f t="array" ref="Y117">_xll.DBRW($E$2,X$1,X$2,$D$18,$D$3,$D117,$E117,$F117,$F$3,Y$3)</f>
        <v>0</v>
      </c>
      <c r="Z117" s="25">
        <f>_xll.DBRW($C$2,$X$1,X$2,$D$18,$D$3,$D117,$E117,$F117,Z$3)</f>
        <v>5</v>
      </c>
      <c r="AA117" s="64">
        <f>_xll.DBRW($C$2,$X$1,X$2,$D$18,$D$3,$D117,$E117,$F117,AA$3)</f>
        <v>0</v>
      </c>
      <c r="AB117" s="58">
        <f>_xll.DBRW($C$2,$X$1,X$2,$D$18,$D$3,$D117,$E117,$F117,AB$3)</f>
        <v>0</v>
      </c>
      <c r="AC117" s="48">
        <f t="shared" si="38"/>
        <v>-6</v>
      </c>
      <c r="AD117" s="39">
        <f>_xll.DBRW($C$2,$AD$1,AD$2,$D$18,$D$3,$D117,$E117,$F117,AD$3)</f>
        <v>0</v>
      </c>
      <c r="AE117" s="25" cm="1">
        <f t="array" ref="AE117">_xll.DBRW($E$2,AD$1,AD$2,$D$18,$D$3,$D117,$E117,$F117,$F$3,AE$3)</f>
        <v>0</v>
      </c>
      <c r="AF117" s="25">
        <f>_xll.DBRW($C$2,$AD$1,AD$2,$D$18,$D$3,$D117,$E117,$F117,AF$3)</f>
        <v>5</v>
      </c>
      <c r="AG117" s="64">
        <f>_xll.DBRW($C$2,$AD$1,AD$2,$D$18,$D$3,$D117,$E117,$F117,AG$3)</f>
        <v>0</v>
      </c>
      <c r="AH117" s="58">
        <f>_xll.DBRW($C$2,$AD$1,AD$2,$D$18,$D$3,$D117,$E117,$F117,AH$3)</f>
        <v>0</v>
      </c>
      <c r="AI117" s="48">
        <f t="shared" si="39"/>
        <v>-11</v>
      </c>
      <c r="AJ117" s="39">
        <f>_xll.DBRW($C$2,$AJ$1,AJ$2,$D$18,$D$3,$D117,$E117,$F117,AJ$3)</f>
        <v>0</v>
      </c>
      <c r="AK117" s="25" cm="1">
        <f t="array" ref="AK117">_xll.DBRW($E$2,AJ$1,AJ$2,$D$18,$D$3,$D117,$E117,$F117,$F$3,AK$3)</f>
        <v>0</v>
      </c>
      <c r="AL117" s="25">
        <f>_xll.DBRW($C$2,$AJ$1,AJ$2,$D$18,$D$3,$D117,$E117,$F117,AL$3)</f>
        <v>5</v>
      </c>
      <c r="AM117" s="64">
        <f>_xll.DBRW($C$2,$AJ$1,AJ$2,$D$18,$D$3,$D117,$E117,$F117,AM$3)</f>
        <v>0</v>
      </c>
      <c r="AN117" s="58">
        <f>_xll.DBRW($C$2,$AJ$1,AJ$2,$D$18,$D$3,$D117,$E117,$F117,AN$3)</f>
        <v>0</v>
      </c>
      <c r="AO117" s="48">
        <f t="shared" si="40"/>
        <v>-16</v>
      </c>
      <c r="AP117" s="39">
        <f>_xll.DBRW($C$2,$AP$1,AP$2,$D$18,$D$3,$D117,$E117,$F117,AP$3)</f>
        <v>0</v>
      </c>
      <c r="AQ117" s="25" cm="1">
        <f t="array" ref="AQ117">_xll.DBRW($E$2,AP$1,AP$2,$D$18,$D$3,$D117,$E117,$F117,$F$3,AQ$3)</f>
        <v>0</v>
      </c>
      <c r="AR117" s="25">
        <f>_xll.DBRW($C$2,$AP$1,AP$2,$D$18,$D$3,$D117,$E117,$F117,AR$3)</f>
        <v>5</v>
      </c>
      <c r="AS117" s="64">
        <f>_xll.DBRW($C$2,$AP$1,AP$2,$D$18,$D$3,$D117,$E117,$F117,AS$3)</f>
        <v>0</v>
      </c>
      <c r="AT117" s="58">
        <f>_xll.DBRW($C$2,$AP$1,AP$2,$D$18,$D$3,$D117,$E117,$F117,AT$3)</f>
        <v>0</v>
      </c>
      <c r="AU117" s="48">
        <f t="shared" si="41"/>
        <v>-21</v>
      </c>
      <c r="AV117" s="39">
        <f>_xll.DBRW($C$2,$AV$1,AV$2,$D$18,$D$3,$D117,$E117,$F117,AV$3)</f>
        <v>0</v>
      </c>
      <c r="AW117" s="25" cm="1">
        <f t="array" ref="AW117">_xll.DBRW($E$2,AV$1,AV$2,$D$18,$D$3,$D117,$E117,$F117,$F$3,AW$3)</f>
        <v>0</v>
      </c>
      <c r="AX117" s="25">
        <f>_xll.DBRW($C$2,$AV$1,AV$2,$D$18,$D$3,$D117,$E117,$F117,AX$3)</f>
        <v>5</v>
      </c>
      <c r="AY117" s="64">
        <f>_xll.DBRW($C$2,$AV$1,AV$2,$D$18,$D$3,$D117,$E117,$F117,AY$3)</f>
        <v>0</v>
      </c>
      <c r="AZ117" s="58">
        <f>_xll.DBRW($C$2,$AV$1,AV$2,$D$18,$D$3,$D117,$E117,$F117,AZ$3)</f>
        <v>0</v>
      </c>
      <c r="BA117" s="48">
        <f t="shared" si="42"/>
        <v>-26</v>
      </c>
      <c r="BB117" s="39">
        <f>_xll.DBRW($C$2,$BB$1,BB$2,$D$18,$D$3,$D117,$E117,$F117,BB$3)</f>
        <v>0</v>
      </c>
      <c r="BC117" s="25" cm="1">
        <f t="array" ref="BC117">_xll.DBRW($E$2,BB$1,BB$2,$D$18,$D$3,$D117,$E117,$F117,$F$3,BC$3)</f>
        <v>0</v>
      </c>
      <c r="BD117" s="25">
        <f>_xll.DBRW($C$2,$BB$1,BB$2,$D$18,$D$3,$D117,$E117,$F117,BD$3)</f>
        <v>5</v>
      </c>
      <c r="BE117" s="64">
        <f>_xll.DBRW($C$2,$BB$1,BB$2,$D$18,$D$3,$D117,$E117,$F117,BE$3)</f>
        <v>0</v>
      </c>
      <c r="BF117" s="58">
        <f>_xll.DBRW($C$2,$BB$1,BB$2,$D$18,$D$3,$D117,$E117,$F117,BF$3)</f>
        <v>0</v>
      </c>
      <c r="BG117" s="48">
        <f t="shared" si="43"/>
        <v>-31</v>
      </c>
      <c r="BH117" s="39">
        <f>_xll.DBRW($C$2,$BH$1,BH$2,$D$18,$D$3,$D117,$E117,$F117,BH$3)</f>
        <v>0</v>
      </c>
      <c r="BI117" s="25" cm="1">
        <f t="array" ref="BI117">_xll.DBRW($E$2,BH$1,BH$2,$D$18,$D$3,$D117,$E117,$F117,$F$3,BI$3)</f>
        <v>0</v>
      </c>
      <c r="BJ117" s="25">
        <f>_xll.DBRW($C$2,$BH$1,BH$2,$D$18,$D$3,$D117,$E117,$F117,BJ$3)</f>
        <v>5</v>
      </c>
      <c r="BK117" s="64">
        <f>_xll.DBRW($C$2,$BH$1,BH$2,$D$18,$D$3,$D117,$E117,$F117,BK$3)</f>
        <v>0</v>
      </c>
      <c r="BL117" s="58">
        <f>_xll.DBRW($C$2,$BH$1,BH$2,$D$18,$D$3,$D117,$E117,$F117,BL$3)</f>
        <v>0</v>
      </c>
      <c r="BM117" s="48">
        <f t="shared" si="44"/>
        <v>-36</v>
      </c>
      <c r="BN117" s="39">
        <f>_xll.DBRW($C$2,$BN$1,BN$2,$D$18,$D$3,$D117,$E117,$F117,BN$3)</f>
        <v>0</v>
      </c>
      <c r="BO117" s="25" cm="1">
        <f t="array" ref="BO117">_xll.DBRW($E$2,BN$1,BN$2,$D$18,$D$3,$D117,$E117,$F117,$F$3,BO$3)</f>
        <v>0</v>
      </c>
      <c r="BP117" s="25">
        <f>_xll.DBRW($C$2,$BN$1,BN$2,$D$18,$D$3,$D117,$E117,$F117,BP$3)</f>
        <v>5</v>
      </c>
      <c r="BQ117" s="64">
        <f>_xll.DBRW($C$2,$BN$1,BN$2,$D$18,$D$3,$D117,$E117,$F117,BQ$3)</f>
        <v>0</v>
      </c>
      <c r="BR117" s="58">
        <f>_xll.DBRW($C$2,$BN$1,BN$2,$D$18,$D$3,$D117,$E117,$F117,BR$3)</f>
        <v>0</v>
      </c>
      <c r="BS117" s="48">
        <f t="shared" si="45"/>
        <v>-41</v>
      </c>
      <c r="BT117" s="39">
        <f>_xll.DBRW($C$2,$BT$1,BT$2,$D$18,$D$3,$D117,$E117,$F117,BT$3)</f>
        <v>0</v>
      </c>
      <c r="BU117" s="25" cm="1">
        <f t="array" ref="BU117">_xll.DBRW($E$2,BT$1,BT$2,$D$18,$D$3,$D117,$E117,$F117,$F$3,BU$3)</f>
        <v>0</v>
      </c>
      <c r="BV117" s="25">
        <f>_xll.DBRW($C$2,$BT$1,BT$2,$D$18,$D$3,$D117,$E117,$F117,BV$3)</f>
        <v>5</v>
      </c>
      <c r="BW117" s="64">
        <f>_xll.DBRW($C$2,$BT$1,BT$2,$D$18,$D$3,$D117,$E117,$F117,BW$3)</f>
        <v>0</v>
      </c>
      <c r="BX117" s="58">
        <f>_xll.DBRW($C$2,$BT$1,BT$2,$D$18,$D$3,$D117,$E117,$F117,BX$3)</f>
        <v>0</v>
      </c>
      <c r="BY117" s="48">
        <f t="shared" si="46"/>
        <v>-46</v>
      </c>
      <c r="BZ117" s="39">
        <f>_xll.DBRW($C$2,$BZ$1,BZ$2,$D$18,$D$3,$D117,$E117,$F117,BZ$3)</f>
        <v>0</v>
      </c>
      <c r="CA117" s="25" cm="1">
        <f t="array" ref="CA117">_xll.DBRW($E$2,BZ$1,BZ$2,$D$18,$D$3,$D117,$E117,$F117,$F$3,CA$3)</f>
        <v>0</v>
      </c>
      <c r="CB117" s="25">
        <f>_xll.DBRW($C$2,$BZ$1,BZ$2,$D$18,$D$3,$D117,$E117,$F117,CB$3)</f>
        <v>5</v>
      </c>
      <c r="CC117" s="64">
        <f>_xll.DBRW($C$2,$BZ$1,BZ$2,$D$18,$D$3,$D117,$E117,$F117,CC$3)</f>
        <v>0</v>
      </c>
      <c r="CD117" s="58">
        <f>_xll.DBRW($C$2,$BZ$1,BZ$2,$D$18,$D$3,$D117,$E117,$F117,CD$3)</f>
        <v>0</v>
      </c>
      <c r="CE117" s="48">
        <f t="shared" si="47"/>
        <v>-51</v>
      </c>
    </row>
    <row r="118" spans="1:83" s="23" customFormat="1" outlineLevel="1" thickBot="1" x14ac:dyDescent="0.3">
      <c r="A118" s="91" t="str">
        <f>IF(_xll.TM1RPTELISCONSOLIDATED($F$22,$F118),IF(_xll.TM1RPTELLEV($F$22,$F118)&lt;=5,_xll.TM1RPTELLEV($F$22,$F118),"Default"),"Leaf")</f>
        <v>Leaf</v>
      </c>
      <c r="B118" s="24" t="str">
        <f>_xll.DBRW("TM1-S1_DEV:}ElementAttributes_SP_SKU",$D118,B$1)</f>
        <v>Primary</v>
      </c>
      <c r="C118" s="24" t="str">
        <f>_xll.DBRW("TM1-S1_DEV:}ElementAttributes_SP_SKU",$D118,C$1)</f>
        <v>COOKIE</v>
      </c>
      <c r="D118" s="28" t="s">
        <v>428</v>
      </c>
      <c r="E118" s="28" t="s">
        <v>254</v>
      </c>
      <c r="F118" s="28" t="s">
        <v>21</v>
      </c>
      <c r="G118" s="4">
        <f>_xll.DBRW($C$2,$G$19,G$20,$D$18,$D$3,$D118,$E118,$F118,G$3)</f>
        <v>1</v>
      </c>
      <c r="H118" s="54">
        <f t="shared" si="36"/>
        <v>0</v>
      </c>
      <c r="I118" s="4"/>
      <c r="J118" s="25">
        <f>_xll.DBRW($C$2,$J$1,J$2,$D$18,$D$3,$D118,$E118,$F118,J$3)</f>
        <v>1</v>
      </c>
      <c r="K118" s="39">
        <f>_xll.DBRW($C$2,$J$1,J$2,$D$18,$D$3,$D118,$E118,$F118,K$3)</f>
        <v>0</v>
      </c>
      <c r="L118" s="25">
        <f>_xll.DBRW($C$2,$J$1,J$2,$D$18,$D$3,$D118,$E118,$F118,L$3)</f>
        <v>0</v>
      </c>
      <c r="M118" s="25">
        <f>_xll.DBRW($C$2,$J$1,J$2,$D$18,$D$3,$D118,$E118,$F118,M$3)</f>
        <v>10</v>
      </c>
      <c r="N118" s="25">
        <f>_xll.DBRW($C$2,$J$1,J$2,$D$18,$D$3,$D118,$E118,$F118,N$3)</f>
        <v>1</v>
      </c>
      <c r="O118" s="64">
        <f>_xll.DBRW($C$2,$J$1,J$2,$D$18,$D$3,$D118,$E118,$F118,O$3)</f>
        <v>1</v>
      </c>
      <c r="P118" s="58">
        <f>_xll.DBRW($C$2,$J$1,J$2,$D$18,$D$3,$D118,$E118,$F118,P$3)</f>
        <v>0</v>
      </c>
      <c r="Q118" s="48">
        <f>_xll.DBRW($C$2,$J$1,J$2,$D$18,$D$3,$D118,$E118,$F118,Q$3)</f>
        <v>10</v>
      </c>
      <c r="R118" s="39">
        <f>_xll.DBRW($C$2,$R$1,R$2,$D$18,$D$3,$D118,$E118,$F118,R$3)</f>
        <v>0</v>
      </c>
      <c r="S118" s="25" cm="1">
        <f t="array" ref="S118">_xll.DBRW($E$2,R$1,R$2,$D$18,$D$3,$D118,$E118,$F118,$F$3,S$3)</f>
        <v>0</v>
      </c>
      <c r="T118" s="25">
        <f>_xll.DBRW($C$2,$R$1,R$2,$D$18,$D$3,$D118,$E118,$F118,T$3)</f>
        <v>0</v>
      </c>
      <c r="U118" s="64">
        <f>_xll.DBRW($C$2,$R$1,R$2,$D$18,$D$3,$D118,$E118,$F118,U$3)</f>
        <v>0</v>
      </c>
      <c r="V118" s="58">
        <f>_xll.DBRW($C$2,$R$1,R$2,$D$18,$D$3,$D118,$E118,$F118,V$3)</f>
        <v>0</v>
      </c>
      <c r="W118" s="48">
        <f t="shared" si="37"/>
        <v>10</v>
      </c>
      <c r="X118" s="39">
        <f>_xll.DBRW($C$2,$X$1,X$2,$D$18,$D$3,$D118,$E118,$F118,X$3)</f>
        <v>0</v>
      </c>
      <c r="Y118" s="25" cm="1">
        <f t="array" ref="Y118">_xll.DBRW($E$2,X$1,X$2,$D$18,$D$3,$D118,$E118,$F118,$F$3,Y$3)</f>
        <v>0</v>
      </c>
      <c r="Z118" s="25">
        <f>_xll.DBRW($C$2,$X$1,X$2,$D$18,$D$3,$D118,$E118,$F118,Z$3)</f>
        <v>4</v>
      </c>
      <c r="AA118" s="64">
        <f>_xll.DBRW($C$2,$X$1,X$2,$D$18,$D$3,$D118,$E118,$F118,AA$3)</f>
        <v>0</v>
      </c>
      <c r="AB118" s="58">
        <f>_xll.DBRW($C$2,$X$1,X$2,$D$18,$D$3,$D118,$E118,$F118,AB$3)</f>
        <v>0</v>
      </c>
      <c r="AC118" s="48">
        <f t="shared" si="38"/>
        <v>6</v>
      </c>
      <c r="AD118" s="39">
        <f>_xll.DBRW($C$2,$AD$1,AD$2,$D$18,$D$3,$D118,$E118,$F118,AD$3)</f>
        <v>0</v>
      </c>
      <c r="AE118" s="25" cm="1">
        <f t="array" ref="AE118">_xll.DBRW($E$2,AD$1,AD$2,$D$18,$D$3,$D118,$E118,$F118,$F$3,AE$3)</f>
        <v>0</v>
      </c>
      <c r="AF118" s="25">
        <f>_xll.DBRW($C$2,$AD$1,AD$2,$D$18,$D$3,$D118,$E118,$F118,AF$3)</f>
        <v>4</v>
      </c>
      <c r="AG118" s="64">
        <f>_xll.DBRW($C$2,$AD$1,AD$2,$D$18,$D$3,$D118,$E118,$F118,AG$3)</f>
        <v>0</v>
      </c>
      <c r="AH118" s="58">
        <f>_xll.DBRW($C$2,$AD$1,AD$2,$D$18,$D$3,$D118,$E118,$F118,AH$3)</f>
        <v>0</v>
      </c>
      <c r="AI118" s="48">
        <f t="shared" si="39"/>
        <v>2</v>
      </c>
      <c r="AJ118" s="39">
        <f>_xll.DBRW($C$2,$AJ$1,AJ$2,$D$18,$D$3,$D118,$E118,$F118,AJ$3)</f>
        <v>0</v>
      </c>
      <c r="AK118" s="25" cm="1">
        <f t="array" ref="AK118">_xll.DBRW($E$2,AJ$1,AJ$2,$D$18,$D$3,$D118,$E118,$F118,$F$3,AK$3)</f>
        <v>0</v>
      </c>
      <c r="AL118" s="25">
        <f>_xll.DBRW($C$2,$AJ$1,AJ$2,$D$18,$D$3,$D118,$E118,$F118,AL$3)</f>
        <v>4</v>
      </c>
      <c r="AM118" s="64">
        <f>_xll.DBRW($C$2,$AJ$1,AJ$2,$D$18,$D$3,$D118,$E118,$F118,AM$3)</f>
        <v>0</v>
      </c>
      <c r="AN118" s="58">
        <f>_xll.DBRW($C$2,$AJ$1,AJ$2,$D$18,$D$3,$D118,$E118,$F118,AN$3)</f>
        <v>0</v>
      </c>
      <c r="AO118" s="48">
        <f t="shared" si="40"/>
        <v>-2</v>
      </c>
      <c r="AP118" s="39">
        <f>_xll.DBRW($C$2,$AP$1,AP$2,$D$18,$D$3,$D118,$E118,$F118,AP$3)</f>
        <v>0</v>
      </c>
      <c r="AQ118" s="25" cm="1">
        <f t="array" ref="AQ118">_xll.DBRW($E$2,AP$1,AP$2,$D$18,$D$3,$D118,$E118,$F118,$F$3,AQ$3)</f>
        <v>0</v>
      </c>
      <c r="AR118" s="25">
        <f>_xll.DBRW($C$2,$AP$1,AP$2,$D$18,$D$3,$D118,$E118,$F118,AR$3)</f>
        <v>4</v>
      </c>
      <c r="AS118" s="64">
        <f>_xll.DBRW($C$2,$AP$1,AP$2,$D$18,$D$3,$D118,$E118,$F118,AS$3)</f>
        <v>0</v>
      </c>
      <c r="AT118" s="58">
        <f>_xll.DBRW($C$2,$AP$1,AP$2,$D$18,$D$3,$D118,$E118,$F118,AT$3)</f>
        <v>0</v>
      </c>
      <c r="AU118" s="48">
        <f t="shared" si="41"/>
        <v>-6</v>
      </c>
      <c r="AV118" s="39">
        <f>_xll.DBRW($C$2,$AV$1,AV$2,$D$18,$D$3,$D118,$E118,$F118,AV$3)</f>
        <v>0</v>
      </c>
      <c r="AW118" s="25" cm="1">
        <f t="array" ref="AW118">_xll.DBRW($E$2,AV$1,AV$2,$D$18,$D$3,$D118,$E118,$F118,$F$3,AW$3)</f>
        <v>0</v>
      </c>
      <c r="AX118" s="25">
        <f>_xll.DBRW($C$2,$AV$1,AV$2,$D$18,$D$3,$D118,$E118,$F118,AX$3)</f>
        <v>4</v>
      </c>
      <c r="AY118" s="64">
        <f>_xll.DBRW($C$2,$AV$1,AV$2,$D$18,$D$3,$D118,$E118,$F118,AY$3)</f>
        <v>0</v>
      </c>
      <c r="AZ118" s="58">
        <f>_xll.DBRW($C$2,$AV$1,AV$2,$D$18,$D$3,$D118,$E118,$F118,AZ$3)</f>
        <v>0</v>
      </c>
      <c r="BA118" s="48">
        <f t="shared" si="42"/>
        <v>-10</v>
      </c>
      <c r="BB118" s="39">
        <f>_xll.DBRW($C$2,$BB$1,BB$2,$D$18,$D$3,$D118,$E118,$F118,BB$3)</f>
        <v>0</v>
      </c>
      <c r="BC118" s="25" cm="1">
        <f t="array" ref="BC118">_xll.DBRW($E$2,BB$1,BB$2,$D$18,$D$3,$D118,$E118,$F118,$F$3,BC$3)</f>
        <v>0</v>
      </c>
      <c r="BD118" s="25">
        <f>_xll.DBRW($C$2,$BB$1,BB$2,$D$18,$D$3,$D118,$E118,$F118,BD$3)</f>
        <v>4</v>
      </c>
      <c r="BE118" s="64">
        <f>_xll.DBRW($C$2,$BB$1,BB$2,$D$18,$D$3,$D118,$E118,$F118,BE$3)</f>
        <v>0</v>
      </c>
      <c r="BF118" s="58">
        <f>_xll.DBRW($C$2,$BB$1,BB$2,$D$18,$D$3,$D118,$E118,$F118,BF$3)</f>
        <v>0</v>
      </c>
      <c r="BG118" s="48">
        <f t="shared" si="43"/>
        <v>-14</v>
      </c>
      <c r="BH118" s="39">
        <f>_xll.DBRW($C$2,$BH$1,BH$2,$D$18,$D$3,$D118,$E118,$F118,BH$3)</f>
        <v>0</v>
      </c>
      <c r="BI118" s="25" cm="1">
        <f t="array" ref="BI118">_xll.DBRW($E$2,BH$1,BH$2,$D$18,$D$3,$D118,$E118,$F118,$F$3,BI$3)</f>
        <v>0</v>
      </c>
      <c r="BJ118" s="25">
        <f>_xll.DBRW($C$2,$BH$1,BH$2,$D$18,$D$3,$D118,$E118,$F118,BJ$3)</f>
        <v>4</v>
      </c>
      <c r="BK118" s="64">
        <f>_xll.DBRW($C$2,$BH$1,BH$2,$D$18,$D$3,$D118,$E118,$F118,BK$3)</f>
        <v>0</v>
      </c>
      <c r="BL118" s="58">
        <f>_xll.DBRW($C$2,$BH$1,BH$2,$D$18,$D$3,$D118,$E118,$F118,BL$3)</f>
        <v>0</v>
      </c>
      <c r="BM118" s="48">
        <f t="shared" si="44"/>
        <v>-18</v>
      </c>
      <c r="BN118" s="39">
        <f>_xll.DBRW($C$2,$BN$1,BN$2,$D$18,$D$3,$D118,$E118,$F118,BN$3)</f>
        <v>0</v>
      </c>
      <c r="BO118" s="25" cm="1">
        <f t="array" ref="BO118">_xll.DBRW($E$2,BN$1,BN$2,$D$18,$D$3,$D118,$E118,$F118,$F$3,BO$3)</f>
        <v>0</v>
      </c>
      <c r="BP118" s="25">
        <f>_xll.DBRW($C$2,$BN$1,BN$2,$D$18,$D$3,$D118,$E118,$F118,BP$3)</f>
        <v>4</v>
      </c>
      <c r="BQ118" s="64">
        <f>_xll.DBRW($C$2,$BN$1,BN$2,$D$18,$D$3,$D118,$E118,$F118,BQ$3)</f>
        <v>0</v>
      </c>
      <c r="BR118" s="58">
        <f>_xll.DBRW($C$2,$BN$1,BN$2,$D$18,$D$3,$D118,$E118,$F118,BR$3)</f>
        <v>0</v>
      </c>
      <c r="BS118" s="48">
        <f t="shared" si="45"/>
        <v>-22</v>
      </c>
      <c r="BT118" s="39">
        <f>_xll.DBRW($C$2,$BT$1,BT$2,$D$18,$D$3,$D118,$E118,$F118,BT$3)</f>
        <v>0</v>
      </c>
      <c r="BU118" s="25" cm="1">
        <f t="array" ref="BU118">_xll.DBRW($E$2,BT$1,BT$2,$D$18,$D$3,$D118,$E118,$F118,$F$3,BU$3)</f>
        <v>0</v>
      </c>
      <c r="BV118" s="25">
        <f>_xll.DBRW($C$2,$BT$1,BT$2,$D$18,$D$3,$D118,$E118,$F118,BV$3)</f>
        <v>4</v>
      </c>
      <c r="BW118" s="64">
        <f>_xll.DBRW($C$2,$BT$1,BT$2,$D$18,$D$3,$D118,$E118,$F118,BW$3)</f>
        <v>0</v>
      </c>
      <c r="BX118" s="58">
        <f>_xll.DBRW($C$2,$BT$1,BT$2,$D$18,$D$3,$D118,$E118,$F118,BX$3)</f>
        <v>0</v>
      </c>
      <c r="BY118" s="48">
        <f t="shared" si="46"/>
        <v>-26</v>
      </c>
      <c r="BZ118" s="39">
        <f>_xll.DBRW($C$2,$BZ$1,BZ$2,$D$18,$D$3,$D118,$E118,$F118,BZ$3)</f>
        <v>0</v>
      </c>
      <c r="CA118" s="25" cm="1">
        <f t="array" ref="CA118">_xll.DBRW($E$2,BZ$1,BZ$2,$D$18,$D$3,$D118,$E118,$F118,$F$3,CA$3)</f>
        <v>0</v>
      </c>
      <c r="CB118" s="25">
        <f>_xll.DBRW($C$2,$BZ$1,BZ$2,$D$18,$D$3,$D118,$E118,$F118,CB$3)</f>
        <v>4</v>
      </c>
      <c r="CC118" s="64">
        <f>_xll.DBRW($C$2,$BZ$1,BZ$2,$D$18,$D$3,$D118,$E118,$F118,CC$3)</f>
        <v>0</v>
      </c>
      <c r="CD118" s="58">
        <f>_xll.DBRW($C$2,$BZ$1,BZ$2,$D$18,$D$3,$D118,$E118,$F118,CD$3)</f>
        <v>0</v>
      </c>
      <c r="CE118" s="48">
        <f t="shared" si="47"/>
        <v>-30</v>
      </c>
    </row>
    <row r="119" spans="1:83" s="23" customFormat="1" outlineLevel="1" thickBot="1" x14ac:dyDescent="0.3">
      <c r="A119" s="91" t="str">
        <f>IF(_xll.TM1RPTELISCONSOLIDATED($F$22,$F119),IF(_xll.TM1RPTELLEV($F$22,$F119)&lt;=5,_xll.TM1RPTELLEV($F$22,$F119),"Default"),"Leaf")</f>
        <v>Leaf</v>
      </c>
      <c r="B119" s="24" t="str">
        <f>_xll.DBRW("TM1-S1_DEV:}ElementAttributes_SP_SKU",$D119,B$1)</f>
        <v>Primary</v>
      </c>
      <c r="C119" s="24" t="str">
        <f>_xll.DBRW("TM1-S1_DEV:}ElementAttributes_SP_SKU",$D119,C$1)</f>
        <v>COOKIE</v>
      </c>
      <c r="D119" s="28" t="s">
        <v>461</v>
      </c>
      <c r="E119" s="28" t="s">
        <v>255</v>
      </c>
      <c r="F119" s="28" t="s">
        <v>21</v>
      </c>
      <c r="G119" s="4">
        <f>_xll.DBRW($C$2,$G$19,G$20,$D$18,$D$3,$D119,$E119,$F119,G$3)</f>
        <v>2</v>
      </c>
      <c r="H119" s="54">
        <f t="shared" si="36"/>
        <v>-2</v>
      </c>
      <c r="I119" s="4"/>
      <c r="J119" s="25">
        <f>_xll.DBRW($C$2,$J$1,J$2,$D$18,$D$3,$D119,$E119,$F119,J$3)</f>
        <v>0</v>
      </c>
      <c r="K119" s="39">
        <f>_xll.DBRW($C$2,$J$1,J$2,$D$18,$D$3,$D119,$E119,$F119,K$3)</f>
        <v>0</v>
      </c>
      <c r="L119" s="25">
        <f>_xll.DBRW($C$2,$J$1,J$2,$D$18,$D$3,$D119,$E119,$F119,L$3)</f>
        <v>0</v>
      </c>
      <c r="M119" s="25">
        <f>_xll.DBRW($C$2,$J$1,J$2,$D$18,$D$3,$D119,$E119,$F119,M$3)</f>
        <v>12</v>
      </c>
      <c r="N119" s="25">
        <f>_xll.DBRW($C$2,$J$1,J$2,$D$18,$D$3,$D119,$E119,$F119,N$3)</f>
        <v>0</v>
      </c>
      <c r="O119" s="64">
        <f>_xll.DBRW($C$2,$J$1,J$2,$D$18,$D$3,$D119,$E119,$F119,O$3)</f>
        <v>0</v>
      </c>
      <c r="P119" s="58">
        <f>_xll.DBRW($C$2,$J$1,J$2,$D$18,$D$3,$D119,$E119,$F119,P$3)</f>
        <v>0</v>
      </c>
      <c r="Q119" s="48">
        <f>_xll.DBRW($C$2,$J$1,J$2,$D$18,$D$3,$D119,$E119,$F119,Q$3)</f>
        <v>12</v>
      </c>
      <c r="R119" s="39">
        <f>_xll.DBRW($C$2,$R$1,R$2,$D$18,$D$3,$D119,$E119,$F119,R$3)</f>
        <v>0</v>
      </c>
      <c r="S119" s="25" cm="1">
        <f t="array" ref="S119">_xll.DBRW($E$2,R$1,R$2,$D$18,$D$3,$D119,$E119,$F119,$F$3,S$3)</f>
        <v>0</v>
      </c>
      <c r="T119" s="25">
        <f>_xll.DBRW($C$2,$R$1,R$2,$D$18,$D$3,$D119,$E119,$F119,T$3)</f>
        <v>0</v>
      </c>
      <c r="U119" s="64">
        <f>_xll.DBRW($C$2,$R$1,R$2,$D$18,$D$3,$D119,$E119,$F119,U$3)</f>
        <v>0</v>
      </c>
      <c r="V119" s="58">
        <f>_xll.DBRW($C$2,$R$1,R$2,$D$18,$D$3,$D119,$E119,$F119,V$3)</f>
        <v>0</v>
      </c>
      <c r="W119" s="48">
        <f t="shared" si="37"/>
        <v>12</v>
      </c>
      <c r="X119" s="39">
        <f>_xll.DBRW($C$2,$X$1,X$2,$D$18,$D$3,$D119,$E119,$F119,X$3)</f>
        <v>0</v>
      </c>
      <c r="Y119" s="25" cm="1">
        <f t="array" ref="Y119">_xll.DBRW($E$2,X$1,X$2,$D$18,$D$3,$D119,$E119,$F119,$F$3,Y$3)</f>
        <v>0</v>
      </c>
      <c r="Z119" s="25">
        <f>_xll.DBRW($C$2,$X$1,X$2,$D$18,$D$3,$D119,$E119,$F119,Z$3)</f>
        <v>4</v>
      </c>
      <c r="AA119" s="64">
        <f>_xll.DBRW($C$2,$X$1,X$2,$D$18,$D$3,$D119,$E119,$F119,AA$3)</f>
        <v>0</v>
      </c>
      <c r="AB119" s="58">
        <f>_xll.DBRW($C$2,$X$1,X$2,$D$18,$D$3,$D119,$E119,$F119,AB$3)</f>
        <v>0</v>
      </c>
      <c r="AC119" s="48">
        <f t="shared" si="38"/>
        <v>8</v>
      </c>
      <c r="AD119" s="39">
        <f>_xll.DBRW($C$2,$AD$1,AD$2,$D$18,$D$3,$D119,$E119,$F119,AD$3)</f>
        <v>0</v>
      </c>
      <c r="AE119" s="25" cm="1">
        <f t="array" ref="AE119">_xll.DBRW($E$2,AD$1,AD$2,$D$18,$D$3,$D119,$E119,$F119,$F$3,AE$3)</f>
        <v>0</v>
      </c>
      <c r="AF119" s="25">
        <f>_xll.DBRW($C$2,$AD$1,AD$2,$D$18,$D$3,$D119,$E119,$F119,AF$3)</f>
        <v>4</v>
      </c>
      <c r="AG119" s="64">
        <f>_xll.DBRW($C$2,$AD$1,AD$2,$D$18,$D$3,$D119,$E119,$F119,AG$3)</f>
        <v>0</v>
      </c>
      <c r="AH119" s="58">
        <f>_xll.DBRW($C$2,$AD$1,AD$2,$D$18,$D$3,$D119,$E119,$F119,AH$3)</f>
        <v>0</v>
      </c>
      <c r="AI119" s="48">
        <f t="shared" si="39"/>
        <v>4</v>
      </c>
      <c r="AJ119" s="39">
        <f>_xll.DBRW($C$2,$AJ$1,AJ$2,$D$18,$D$3,$D119,$E119,$F119,AJ$3)</f>
        <v>0</v>
      </c>
      <c r="AK119" s="25" cm="1">
        <f t="array" ref="AK119">_xll.DBRW($E$2,AJ$1,AJ$2,$D$18,$D$3,$D119,$E119,$F119,$F$3,AK$3)</f>
        <v>0</v>
      </c>
      <c r="AL119" s="25">
        <f>_xll.DBRW($C$2,$AJ$1,AJ$2,$D$18,$D$3,$D119,$E119,$F119,AL$3)</f>
        <v>4</v>
      </c>
      <c r="AM119" s="64">
        <f>_xll.DBRW($C$2,$AJ$1,AJ$2,$D$18,$D$3,$D119,$E119,$F119,AM$3)</f>
        <v>0</v>
      </c>
      <c r="AN119" s="58">
        <f>_xll.DBRW($C$2,$AJ$1,AJ$2,$D$18,$D$3,$D119,$E119,$F119,AN$3)</f>
        <v>0</v>
      </c>
      <c r="AO119" s="48">
        <f t="shared" si="40"/>
        <v>0</v>
      </c>
      <c r="AP119" s="39">
        <f>_xll.DBRW($C$2,$AP$1,AP$2,$D$18,$D$3,$D119,$E119,$F119,AP$3)</f>
        <v>0</v>
      </c>
      <c r="AQ119" s="25" cm="1">
        <f t="array" ref="AQ119">_xll.DBRW($E$2,AP$1,AP$2,$D$18,$D$3,$D119,$E119,$F119,$F$3,AQ$3)</f>
        <v>0</v>
      </c>
      <c r="AR119" s="25">
        <f>_xll.DBRW($C$2,$AP$1,AP$2,$D$18,$D$3,$D119,$E119,$F119,AR$3)</f>
        <v>4</v>
      </c>
      <c r="AS119" s="64">
        <f>_xll.DBRW($C$2,$AP$1,AP$2,$D$18,$D$3,$D119,$E119,$F119,AS$3)</f>
        <v>0</v>
      </c>
      <c r="AT119" s="58">
        <f>_xll.DBRW($C$2,$AP$1,AP$2,$D$18,$D$3,$D119,$E119,$F119,AT$3)</f>
        <v>0</v>
      </c>
      <c r="AU119" s="48">
        <f t="shared" si="41"/>
        <v>-4</v>
      </c>
      <c r="AV119" s="39">
        <f>_xll.DBRW($C$2,$AV$1,AV$2,$D$18,$D$3,$D119,$E119,$F119,AV$3)</f>
        <v>0</v>
      </c>
      <c r="AW119" s="25" cm="1">
        <f t="array" ref="AW119">_xll.DBRW($E$2,AV$1,AV$2,$D$18,$D$3,$D119,$E119,$F119,$F$3,AW$3)</f>
        <v>0</v>
      </c>
      <c r="AX119" s="25">
        <f>_xll.DBRW($C$2,$AV$1,AV$2,$D$18,$D$3,$D119,$E119,$F119,AX$3)</f>
        <v>4</v>
      </c>
      <c r="AY119" s="64">
        <f>_xll.DBRW($C$2,$AV$1,AV$2,$D$18,$D$3,$D119,$E119,$F119,AY$3)</f>
        <v>0</v>
      </c>
      <c r="AZ119" s="58">
        <f>_xll.DBRW($C$2,$AV$1,AV$2,$D$18,$D$3,$D119,$E119,$F119,AZ$3)</f>
        <v>0</v>
      </c>
      <c r="BA119" s="48">
        <f t="shared" si="42"/>
        <v>-8</v>
      </c>
      <c r="BB119" s="39">
        <f>_xll.DBRW($C$2,$BB$1,BB$2,$D$18,$D$3,$D119,$E119,$F119,BB$3)</f>
        <v>0</v>
      </c>
      <c r="BC119" s="25" cm="1">
        <f t="array" ref="BC119">_xll.DBRW($E$2,BB$1,BB$2,$D$18,$D$3,$D119,$E119,$F119,$F$3,BC$3)</f>
        <v>0</v>
      </c>
      <c r="BD119" s="25">
        <f>_xll.DBRW($C$2,$BB$1,BB$2,$D$18,$D$3,$D119,$E119,$F119,BD$3)</f>
        <v>4</v>
      </c>
      <c r="BE119" s="64">
        <f>_xll.DBRW($C$2,$BB$1,BB$2,$D$18,$D$3,$D119,$E119,$F119,BE$3)</f>
        <v>0</v>
      </c>
      <c r="BF119" s="58">
        <f>_xll.DBRW($C$2,$BB$1,BB$2,$D$18,$D$3,$D119,$E119,$F119,BF$3)</f>
        <v>0</v>
      </c>
      <c r="BG119" s="48">
        <f t="shared" si="43"/>
        <v>-12</v>
      </c>
      <c r="BH119" s="39">
        <f>_xll.DBRW($C$2,$BH$1,BH$2,$D$18,$D$3,$D119,$E119,$F119,BH$3)</f>
        <v>0</v>
      </c>
      <c r="BI119" s="25" cm="1">
        <f t="array" ref="BI119">_xll.DBRW($E$2,BH$1,BH$2,$D$18,$D$3,$D119,$E119,$F119,$F$3,BI$3)</f>
        <v>0</v>
      </c>
      <c r="BJ119" s="25">
        <f>_xll.DBRW($C$2,$BH$1,BH$2,$D$18,$D$3,$D119,$E119,$F119,BJ$3)</f>
        <v>4</v>
      </c>
      <c r="BK119" s="64">
        <f>_xll.DBRW($C$2,$BH$1,BH$2,$D$18,$D$3,$D119,$E119,$F119,BK$3)</f>
        <v>0</v>
      </c>
      <c r="BL119" s="58">
        <f>_xll.DBRW($C$2,$BH$1,BH$2,$D$18,$D$3,$D119,$E119,$F119,BL$3)</f>
        <v>0</v>
      </c>
      <c r="BM119" s="48">
        <f t="shared" si="44"/>
        <v>-16</v>
      </c>
      <c r="BN119" s="39">
        <f>_xll.DBRW($C$2,$BN$1,BN$2,$D$18,$D$3,$D119,$E119,$F119,BN$3)</f>
        <v>0</v>
      </c>
      <c r="BO119" s="25" cm="1">
        <f t="array" ref="BO119">_xll.DBRW($E$2,BN$1,BN$2,$D$18,$D$3,$D119,$E119,$F119,$F$3,BO$3)</f>
        <v>0</v>
      </c>
      <c r="BP119" s="25">
        <f>_xll.DBRW($C$2,$BN$1,BN$2,$D$18,$D$3,$D119,$E119,$F119,BP$3)</f>
        <v>4</v>
      </c>
      <c r="BQ119" s="64">
        <f>_xll.DBRW($C$2,$BN$1,BN$2,$D$18,$D$3,$D119,$E119,$F119,BQ$3)</f>
        <v>0</v>
      </c>
      <c r="BR119" s="58">
        <f>_xll.DBRW($C$2,$BN$1,BN$2,$D$18,$D$3,$D119,$E119,$F119,BR$3)</f>
        <v>0</v>
      </c>
      <c r="BS119" s="48">
        <f t="shared" si="45"/>
        <v>-20</v>
      </c>
      <c r="BT119" s="39">
        <f>_xll.DBRW($C$2,$BT$1,BT$2,$D$18,$D$3,$D119,$E119,$F119,BT$3)</f>
        <v>0</v>
      </c>
      <c r="BU119" s="25" cm="1">
        <f t="array" ref="BU119">_xll.DBRW($E$2,BT$1,BT$2,$D$18,$D$3,$D119,$E119,$F119,$F$3,BU$3)</f>
        <v>0</v>
      </c>
      <c r="BV119" s="25">
        <f>_xll.DBRW($C$2,$BT$1,BT$2,$D$18,$D$3,$D119,$E119,$F119,BV$3)</f>
        <v>4</v>
      </c>
      <c r="BW119" s="64">
        <f>_xll.DBRW($C$2,$BT$1,BT$2,$D$18,$D$3,$D119,$E119,$F119,BW$3)</f>
        <v>0</v>
      </c>
      <c r="BX119" s="58">
        <f>_xll.DBRW($C$2,$BT$1,BT$2,$D$18,$D$3,$D119,$E119,$F119,BX$3)</f>
        <v>0</v>
      </c>
      <c r="BY119" s="48">
        <f t="shared" si="46"/>
        <v>-24</v>
      </c>
      <c r="BZ119" s="39">
        <f>_xll.DBRW($C$2,$BZ$1,BZ$2,$D$18,$D$3,$D119,$E119,$F119,BZ$3)</f>
        <v>0</v>
      </c>
      <c r="CA119" s="25" cm="1">
        <f t="array" ref="CA119">_xll.DBRW($E$2,BZ$1,BZ$2,$D$18,$D$3,$D119,$E119,$F119,$F$3,CA$3)</f>
        <v>0</v>
      </c>
      <c r="CB119" s="25">
        <f>_xll.DBRW($C$2,$BZ$1,BZ$2,$D$18,$D$3,$D119,$E119,$F119,CB$3)</f>
        <v>4</v>
      </c>
      <c r="CC119" s="64">
        <f>_xll.DBRW($C$2,$BZ$1,BZ$2,$D$18,$D$3,$D119,$E119,$F119,CC$3)</f>
        <v>0</v>
      </c>
      <c r="CD119" s="58">
        <f>_xll.DBRW($C$2,$BZ$1,BZ$2,$D$18,$D$3,$D119,$E119,$F119,CD$3)</f>
        <v>0</v>
      </c>
      <c r="CE119" s="48">
        <f t="shared" si="47"/>
        <v>-28</v>
      </c>
    </row>
    <row r="120" spans="1:83" s="23" customFormat="1" outlineLevel="1" thickBot="1" x14ac:dyDescent="0.3">
      <c r="A120" s="91" t="str">
        <f>IF(_xll.TM1RPTELISCONSOLIDATED($F$22,$F120),IF(_xll.TM1RPTELLEV($F$22,$F120)&lt;=5,_xll.TM1RPTELLEV($F$22,$F120),"Default"),"Leaf")</f>
        <v>Leaf</v>
      </c>
      <c r="B120" s="24" t="str">
        <f>_xll.DBRW("TM1-S1_DEV:}ElementAttributes_SP_SKU",$D120,B$1)</f>
        <v>Primary</v>
      </c>
      <c r="C120" s="24" t="str">
        <f>_xll.DBRW("TM1-S1_DEV:}ElementAttributes_SP_SKU",$D120,C$1)</f>
        <v>INGREDIENT</v>
      </c>
      <c r="D120" s="28" t="s">
        <v>429</v>
      </c>
      <c r="E120" s="28" t="s">
        <v>123</v>
      </c>
      <c r="F120" s="28" t="s">
        <v>44</v>
      </c>
      <c r="G120" s="4">
        <f>_xll.DBRW($C$2,$G$19,G$20,$D$18,$D$3,$D120,$E120,$F120,G$3)</f>
        <v>5</v>
      </c>
      <c r="H120" s="54">
        <f t="shared" si="36"/>
        <v>3</v>
      </c>
      <c r="I120" s="4"/>
      <c r="J120" s="25">
        <f>_xll.DBRW($C$2,$J$1,J$2,$D$18,$D$3,$D120,$E120,$F120,J$3)</f>
        <v>8</v>
      </c>
      <c r="K120" s="39">
        <f>_xll.DBRW($C$2,$J$1,J$2,$D$18,$D$3,$D120,$E120,$F120,K$3)</f>
        <v>0</v>
      </c>
      <c r="L120" s="25">
        <f>_xll.DBRW($C$2,$J$1,J$2,$D$18,$D$3,$D120,$E120,$F120,L$3)</f>
        <v>0</v>
      </c>
      <c r="M120" s="25">
        <f>_xll.DBRW($C$2,$J$1,J$2,$D$18,$D$3,$D120,$E120,$F120,M$3)</f>
        <v>0</v>
      </c>
      <c r="N120" s="25">
        <f>_xll.DBRW($C$2,$J$1,J$2,$D$18,$D$3,$D120,$E120,$F120,N$3)</f>
        <v>2</v>
      </c>
      <c r="O120" s="64">
        <f>_xll.DBRW($C$2,$J$1,J$2,$D$18,$D$3,$D120,$E120,$F120,O$3)</f>
        <v>1</v>
      </c>
      <c r="P120" s="58">
        <f>_xll.DBRW($C$2,$J$1,J$2,$D$18,$D$3,$D120,$E120,$F120,P$3)</f>
        <v>0</v>
      </c>
      <c r="Q120" s="48">
        <f>_xll.DBRW($C$2,$J$1,J$2,$D$18,$D$3,$D120,$E120,$F120,Q$3)</f>
        <v>6</v>
      </c>
      <c r="R120" s="39">
        <f>_xll.DBRW($C$2,$R$1,R$2,$D$18,$D$3,$D120,$E120,$F120,R$3)</f>
        <v>0</v>
      </c>
      <c r="S120" s="25" cm="1">
        <f t="array" ref="S120">_xll.DBRW($E$2,R$1,R$2,$D$18,$D$3,$D120,$E120,$F120,$F$3,S$3)</f>
        <v>0</v>
      </c>
      <c r="T120" s="25">
        <f>_xll.DBRW($C$2,$R$1,R$2,$D$18,$D$3,$D120,$E120,$F120,T$3)</f>
        <v>0</v>
      </c>
      <c r="U120" s="64">
        <f>_xll.DBRW($C$2,$R$1,R$2,$D$18,$D$3,$D120,$E120,$F120,U$3)</f>
        <v>0</v>
      </c>
      <c r="V120" s="58">
        <f>_xll.DBRW($C$2,$R$1,R$2,$D$18,$D$3,$D120,$E120,$F120,V$3)</f>
        <v>0</v>
      </c>
      <c r="W120" s="48">
        <f t="shared" si="37"/>
        <v>6</v>
      </c>
      <c r="X120" s="39">
        <f>_xll.DBRW($C$2,$X$1,X$2,$D$18,$D$3,$D120,$E120,$F120,X$3)</f>
        <v>0</v>
      </c>
      <c r="Y120" s="25" cm="1">
        <f t="array" ref="Y120">_xll.DBRW($E$2,X$1,X$2,$D$18,$D$3,$D120,$E120,$F120,$F$3,Y$3)</f>
        <v>0</v>
      </c>
      <c r="Z120" s="25">
        <f>_xll.DBRW($C$2,$X$1,X$2,$D$18,$D$3,$D120,$E120,$F120,Z$3)</f>
        <v>2</v>
      </c>
      <c r="AA120" s="64">
        <f>_xll.DBRW($C$2,$X$1,X$2,$D$18,$D$3,$D120,$E120,$F120,AA$3)</f>
        <v>1</v>
      </c>
      <c r="AB120" s="58">
        <f>_xll.DBRW($C$2,$X$1,X$2,$D$18,$D$3,$D120,$E120,$F120,AB$3)</f>
        <v>0</v>
      </c>
      <c r="AC120" s="48">
        <f t="shared" si="38"/>
        <v>4</v>
      </c>
      <c r="AD120" s="39">
        <f>_xll.DBRW($C$2,$AD$1,AD$2,$D$18,$D$3,$D120,$E120,$F120,AD$3)</f>
        <v>0</v>
      </c>
      <c r="AE120" s="25" cm="1">
        <f t="array" ref="AE120">_xll.DBRW($E$2,AD$1,AD$2,$D$18,$D$3,$D120,$E120,$F120,$F$3,AE$3)</f>
        <v>0</v>
      </c>
      <c r="AF120" s="25">
        <f>_xll.DBRW($C$2,$AD$1,AD$2,$D$18,$D$3,$D120,$E120,$F120,AF$3)</f>
        <v>2</v>
      </c>
      <c r="AG120" s="64">
        <f>_xll.DBRW($C$2,$AD$1,AD$2,$D$18,$D$3,$D120,$E120,$F120,AG$3)</f>
        <v>0</v>
      </c>
      <c r="AH120" s="58">
        <f>_xll.DBRW($C$2,$AD$1,AD$2,$D$18,$D$3,$D120,$E120,$F120,AH$3)</f>
        <v>0</v>
      </c>
      <c r="AI120" s="48">
        <f t="shared" si="39"/>
        <v>2</v>
      </c>
      <c r="AJ120" s="39">
        <f>_xll.DBRW($C$2,$AJ$1,AJ$2,$D$18,$D$3,$D120,$E120,$F120,AJ$3)</f>
        <v>0</v>
      </c>
      <c r="AK120" s="25" cm="1">
        <f t="array" ref="AK120">_xll.DBRW($E$2,AJ$1,AJ$2,$D$18,$D$3,$D120,$E120,$F120,$F$3,AK$3)</f>
        <v>0</v>
      </c>
      <c r="AL120" s="25">
        <f>_xll.DBRW($C$2,$AJ$1,AJ$2,$D$18,$D$3,$D120,$E120,$F120,AL$3)</f>
        <v>2</v>
      </c>
      <c r="AM120" s="64">
        <f>_xll.DBRW($C$2,$AJ$1,AJ$2,$D$18,$D$3,$D120,$E120,$F120,AM$3)</f>
        <v>0</v>
      </c>
      <c r="AN120" s="58">
        <f>_xll.DBRW($C$2,$AJ$1,AJ$2,$D$18,$D$3,$D120,$E120,$F120,AN$3)</f>
        <v>0</v>
      </c>
      <c r="AO120" s="48">
        <f t="shared" si="40"/>
        <v>0</v>
      </c>
      <c r="AP120" s="39">
        <f>_xll.DBRW($C$2,$AP$1,AP$2,$D$18,$D$3,$D120,$E120,$F120,AP$3)</f>
        <v>0</v>
      </c>
      <c r="AQ120" s="25" cm="1">
        <f t="array" ref="AQ120">_xll.DBRW($E$2,AP$1,AP$2,$D$18,$D$3,$D120,$E120,$F120,$F$3,AQ$3)</f>
        <v>0</v>
      </c>
      <c r="AR120" s="25">
        <f>_xll.DBRW($C$2,$AP$1,AP$2,$D$18,$D$3,$D120,$E120,$F120,AR$3)</f>
        <v>2</v>
      </c>
      <c r="AS120" s="64">
        <f>_xll.DBRW($C$2,$AP$1,AP$2,$D$18,$D$3,$D120,$E120,$F120,AS$3)</f>
        <v>0</v>
      </c>
      <c r="AT120" s="58">
        <f>_xll.DBRW($C$2,$AP$1,AP$2,$D$18,$D$3,$D120,$E120,$F120,AT$3)</f>
        <v>0</v>
      </c>
      <c r="AU120" s="48">
        <f t="shared" si="41"/>
        <v>-2</v>
      </c>
      <c r="AV120" s="39">
        <f>_xll.DBRW($C$2,$AV$1,AV$2,$D$18,$D$3,$D120,$E120,$F120,AV$3)</f>
        <v>0</v>
      </c>
      <c r="AW120" s="25" cm="1">
        <f t="array" ref="AW120">_xll.DBRW($E$2,AV$1,AV$2,$D$18,$D$3,$D120,$E120,$F120,$F$3,AW$3)</f>
        <v>0</v>
      </c>
      <c r="AX120" s="25">
        <f>_xll.DBRW($C$2,$AV$1,AV$2,$D$18,$D$3,$D120,$E120,$F120,AX$3)</f>
        <v>2</v>
      </c>
      <c r="AY120" s="64">
        <f>_xll.DBRW($C$2,$AV$1,AV$2,$D$18,$D$3,$D120,$E120,$F120,AY$3)</f>
        <v>0</v>
      </c>
      <c r="AZ120" s="58">
        <f>_xll.DBRW($C$2,$AV$1,AV$2,$D$18,$D$3,$D120,$E120,$F120,AZ$3)</f>
        <v>0</v>
      </c>
      <c r="BA120" s="48">
        <f t="shared" si="42"/>
        <v>-4</v>
      </c>
      <c r="BB120" s="39">
        <f>_xll.DBRW($C$2,$BB$1,BB$2,$D$18,$D$3,$D120,$E120,$F120,BB$3)</f>
        <v>0</v>
      </c>
      <c r="BC120" s="25" cm="1">
        <f t="array" ref="BC120">_xll.DBRW($E$2,BB$1,BB$2,$D$18,$D$3,$D120,$E120,$F120,$F$3,BC$3)</f>
        <v>0</v>
      </c>
      <c r="BD120" s="25">
        <f>_xll.DBRW($C$2,$BB$1,BB$2,$D$18,$D$3,$D120,$E120,$F120,BD$3)</f>
        <v>2</v>
      </c>
      <c r="BE120" s="64">
        <f>_xll.DBRW($C$2,$BB$1,BB$2,$D$18,$D$3,$D120,$E120,$F120,BE$3)</f>
        <v>0</v>
      </c>
      <c r="BF120" s="58">
        <f>_xll.DBRW($C$2,$BB$1,BB$2,$D$18,$D$3,$D120,$E120,$F120,BF$3)</f>
        <v>0</v>
      </c>
      <c r="BG120" s="48">
        <f t="shared" si="43"/>
        <v>-6</v>
      </c>
      <c r="BH120" s="39">
        <f>_xll.DBRW($C$2,$BH$1,BH$2,$D$18,$D$3,$D120,$E120,$F120,BH$3)</f>
        <v>0</v>
      </c>
      <c r="BI120" s="25" cm="1">
        <f t="array" ref="BI120">_xll.DBRW($E$2,BH$1,BH$2,$D$18,$D$3,$D120,$E120,$F120,$F$3,BI$3)</f>
        <v>0</v>
      </c>
      <c r="BJ120" s="25">
        <f>_xll.DBRW($C$2,$BH$1,BH$2,$D$18,$D$3,$D120,$E120,$F120,BJ$3)</f>
        <v>2</v>
      </c>
      <c r="BK120" s="64">
        <f>_xll.DBRW($C$2,$BH$1,BH$2,$D$18,$D$3,$D120,$E120,$F120,BK$3)</f>
        <v>0</v>
      </c>
      <c r="BL120" s="58">
        <f>_xll.DBRW($C$2,$BH$1,BH$2,$D$18,$D$3,$D120,$E120,$F120,BL$3)</f>
        <v>0</v>
      </c>
      <c r="BM120" s="48">
        <f t="shared" si="44"/>
        <v>-8</v>
      </c>
      <c r="BN120" s="39">
        <f>_xll.DBRW($C$2,$BN$1,BN$2,$D$18,$D$3,$D120,$E120,$F120,BN$3)</f>
        <v>0</v>
      </c>
      <c r="BO120" s="25" cm="1">
        <f t="array" ref="BO120">_xll.DBRW($E$2,BN$1,BN$2,$D$18,$D$3,$D120,$E120,$F120,$F$3,BO$3)</f>
        <v>0</v>
      </c>
      <c r="BP120" s="25">
        <f>_xll.DBRW($C$2,$BN$1,BN$2,$D$18,$D$3,$D120,$E120,$F120,BP$3)</f>
        <v>2</v>
      </c>
      <c r="BQ120" s="64">
        <f>_xll.DBRW($C$2,$BN$1,BN$2,$D$18,$D$3,$D120,$E120,$F120,BQ$3)</f>
        <v>0</v>
      </c>
      <c r="BR120" s="58">
        <f>_xll.DBRW($C$2,$BN$1,BN$2,$D$18,$D$3,$D120,$E120,$F120,BR$3)</f>
        <v>0</v>
      </c>
      <c r="BS120" s="48">
        <f t="shared" si="45"/>
        <v>-10</v>
      </c>
      <c r="BT120" s="39">
        <f>_xll.DBRW($C$2,$BT$1,BT$2,$D$18,$D$3,$D120,$E120,$F120,BT$3)</f>
        <v>0</v>
      </c>
      <c r="BU120" s="25" cm="1">
        <f t="array" ref="BU120">_xll.DBRW($E$2,BT$1,BT$2,$D$18,$D$3,$D120,$E120,$F120,$F$3,BU$3)</f>
        <v>0</v>
      </c>
      <c r="BV120" s="25">
        <f>_xll.DBRW($C$2,$BT$1,BT$2,$D$18,$D$3,$D120,$E120,$F120,BV$3)</f>
        <v>2</v>
      </c>
      <c r="BW120" s="64">
        <f>_xll.DBRW($C$2,$BT$1,BT$2,$D$18,$D$3,$D120,$E120,$F120,BW$3)</f>
        <v>0</v>
      </c>
      <c r="BX120" s="58">
        <f>_xll.DBRW($C$2,$BT$1,BT$2,$D$18,$D$3,$D120,$E120,$F120,BX$3)</f>
        <v>0</v>
      </c>
      <c r="BY120" s="48">
        <f t="shared" si="46"/>
        <v>-12</v>
      </c>
      <c r="BZ120" s="39">
        <f>_xll.DBRW($C$2,$BZ$1,BZ$2,$D$18,$D$3,$D120,$E120,$F120,BZ$3)</f>
        <v>0</v>
      </c>
      <c r="CA120" s="25" cm="1">
        <f t="array" ref="CA120">_xll.DBRW($E$2,BZ$1,BZ$2,$D$18,$D$3,$D120,$E120,$F120,$F$3,CA$3)</f>
        <v>0</v>
      </c>
      <c r="CB120" s="25">
        <f>_xll.DBRW($C$2,$BZ$1,BZ$2,$D$18,$D$3,$D120,$E120,$F120,CB$3)</f>
        <v>2</v>
      </c>
      <c r="CC120" s="64">
        <f>_xll.DBRW($C$2,$BZ$1,BZ$2,$D$18,$D$3,$D120,$E120,$F120,CC$3)</f>
        <v>0</v>
      </c>
      <c r="CD120" s="58">
        <f>_xll.DBRW($C$2,$BZ$1,BZ$2,$D$18,$D$3,$D120,$E120,$F120,CD$3)</f>
        <v>0</v>
      </c>
      <c r="CE120" s="48">
        <f t="shared" si="47"/>
        <v>-14</v>
      </c>
    </row>
    <row r="121" spans="1:83" s="23" customFormat="1" outlineLevel="1" thickBot="1" x14ac:dyDescent="0.3">
      <c r="A121" s="91" t="str">
        <f>IF(_xll.TM1RPTELISCONSOLIDATED($F$22,$F121),IF(_xll.TM1RPTELLEV($F$22,$F121)&lt;=5,_xll.TM1RPTELLEV($F$22,$F121),"Default"),"Leaf")</f>
        <v>Leaf</v>
      </c>
      <c r="B121" s="24" t="str">
        <f>_xll.DBRW("TM1-S1_DEV:}ElementAttributes_SP_SKU",$D121,B$1)</f>
        <v>Primary</v>
      </c>
      <c r="C121" s="24" t="str">
        <f>_xll.DBRW("TM1-S1_DEV:}ElementAttributes_SP_SKU",$D121,C$1)</f>
        <v>INGREDIENT</v>
      </c>
      <c r="D121" s="28" t="s">
        <v>10</v>
      </c>
      <c r="E121" s="28" t="s">
        <v>256</v>
      </c>
      <c r="F121" s="28" t="s">
        <v>25</v>
      </c>
      <c r="G121" s="4">
        <f>_xll.DBRW($C$2,$G$19,G$20,$D$18,$D$3,$D121,$E121,$F121,G$3)</f>
        <v>16</v>
      </c>
      <c r="H121" s="54">
        <f t="shared" si="36"/>
        <v>-3</v>
      </c>
      <c r="I121" s="4"/>
      <c r="J121" s="25">
        <f>_xll.DBRW($C$2,$J$1,J$2,$D$18,$D$3,$D121,$E121,$F121,J$3)</f>
        <v>13</v>
      </c>
      <c r="K121" s="39">
        <f>_xll.DBRW($C$2,$J$1,J$2,$D$18,$D$3,$D121,$E121,$F121,K$3)</f>
        <v>0</v>
      </c>
      <c r="L121" s="25">
        <f>_xll.DBRW($C$2,$J$1,J$2,$D$18,$D$3,$D121,$E121,$F121,L$3)</f>
        <v>0</v>
      </c>
      <c r="M121" s="25">
        <f>_xll.DBRW($C$2,$J$1,J$2,$D$18,$D$3,$D121,$E121,$F121,M$3)</f>
        <v>24</v>
      </c>
      <c r="N121" s="25">
        <f>_xll.DBRW($C$2,$J$1,J$2,$D$18,$D$3,$D121,$E121,$F121,N$3)</f>
        <v>0</v>
      </c>
      <c r="O121" s="64">
        <f>_xll.DBRW($C$2,$J$1,J$2,$D$18,$D$3,$D121,$E121,$F121,O$3)</f>
        <v>0</v>
      </c>
      <c r="P121" s="58">
        <f>_xll.DBRW($C$2,$J$1,J$2,$D$18,$D$3,$D121,$E121,$F121,P$3)</f>
        <v>0</v>
      </c>
      <c r="Q121" s="48">
        <f>_xll.DBRW($C$2,$J$1,J$2,$D$18,$D$3,$D121,$E121,$F121,Q$3)</f>
        <v>37</v>
      </c>
      <c r="R121" s="39">
        <f>_xll.DBRW($C$2,$R$1,R$2,$D$18,$D$3,$D121,$E121,$F121,R$3)</f>
        <v>0</v>
      </c>
      <c r="S121" s="25" cm="1">
        <f t="array" ref="S121">_xll.DBRW($E$2,R$1,R$2,$D$18,$D$3,$D121,$E121,$F121,$F$3,S$3)</f>
        <v>0</v>
      </c>
      <c r="T121" s="25">
        <f>_xll.DBRW($C$2,$R$1,R$2,$D$18,$D$3,$D121,$E121,$F121,T$3)</f>
        <v>0</v>
      </c>
      <c r="U121" s="64">
        <f>_xll.DBRW($C$2,$R$1,R$2,$D$18,$D$3,$D121,$E121,$F121,U$3)</f>
        <v>0</v>
      </c>
      <c r="V121" s="58">
        <f>_xll.DBRW($C$2,$R$1,R$2,$D$18,$D$3,$D121,$E121,$F121,V$3)</f>
        <v>0</v>
      </c>
      <c r="W121" s="48">
        <f t="shared" si="37"/>
        <v>37</v>
      </c>
      <c r="X121" s="39">
        <f>_xll.DBRW($C$2,$X$1,X$2,$D$18,$D$3,$D121,$E121,$F121,X$3)</f>
        <v>0</v>
      </c>
      <c r="Y121" s="25" cm="1">
        <f t="array" ref="Y121">_xll.DBRW($E$2,X$1,X$2,$D$18,$D$3,$D121,$E121,$F121,$F$3,Y$3)</f>
        <v>0</v>
      </c>
      <c r="Z121" s="25">
        <f>_xll.DBRW($C$2,$X$1,X$2,$D$18,$D$3,$D121,$E121,$F121,Z$3)</f>
        <v>2</v>
      </c>
      <c r="AA121" s="64">
        <f>_xll.DBRW($C$2,$X$1,X$2,$D$18,$D$3,$D121,$E121,$F121,AA$3)</f>
        <v>0</v>
      </c>
      <c r="AB121" s="58">
        <f>_xll.DBRW($C$2,$X$1,X$2,$D$18,$D$3,$D121,$E121,$F121,AB$3)</f>
        <v>0</v>
      </c>
      <c r="AC121" s="48">
        <f t="shared" si="38"/>
        <v>35</v>
      </c>
      <c r="AD121" s="39">
        <f>_xll.DBRW($C$2,$AD$1,AD$2,$D$18,$D$3,$D121,$E121,$F121,AD$3)</f>
        <v>0</v>
      </c>
      <c r="AE121" s="25" cm="1">
        <f t="array" ref="AE121">_xll.DBRW($E$2,AD$1,AD$2,$D$18,$D$3,$D121,$E121,$F121,$F$3,AE$3)</f>
        <v>0</v>
      </c>
      <c r="AF121" s="25">
        <f>_xll.DBRW($C$2,$AD$1,AD$2,$D$18,$D$3,$D121,$E121,$F121,AF$3)</f>
        <v>2</v>
      </c>
      <c r="AG121" s="64">
        <f>_xll.DBRW($C$2,$AD$1,AD$2,$D$18,$D$3,$D121,$E121,$F121,AG$3)</f>
        <v>0</v>
      </c>
      <c r="AH121" s="58">
        <f>_xll.DBRW($C$2,$AD$1,AD$2,$D$18,$D$3,$D121,$E121,$F121,AH$3)</f>
        <v>0</v>
      </c>
      <c r="AI121" s="48">
        <f t="shared" si="39"/>
        <v>33</v>
      </c>
      <c r="AJ121" s="39">
        <f>_xll.DBRW($C$2,$AJ$1,AJ$2,$D$18,$D$3,$D121,$E121,$F121,AJ$3)</f>
        <v>0</v>
      </c>
      <c r="AK121" s="25" cm="1">
        <f t="array" ref="AK121">_xll.DBRW($E$2,AJ$1,AJ$2,$D$18,$D$3,$D121,$E121,$F121,$F$3,AK$3)</f>
        <v>0</v>
      </c>
      <c r="AL121" s="25">
        <f>_xll.DBRW($C$2,$AJ$1,AJ$2,$D$18,$D$3,$D121,$E121,$F121,AL$3)</f>
        <v>2</v>
      </c>
      <c r="AM121" s="64">
        <f>_xll.DBRW($C$2,$AJ$1,AJ$2,$D$18,$D$3,$D121,$E121,$F121,AM$3)</f>
        <v>0</v>
      </c>
      <c r="AN121" s="58">
        <f>_xll.DBRW($C$2,$AJ$1,AJ$2,$D$18,$D$3,$D121,$E121,$F121,AN$3)</f>
        <v>0</v>
      </c>
      <c r="AO121" s="48">
        <f t="shared" si="40"/>
        <v>31</v>
      </c>
      <c r="AP121" s="39">
        <f>_xll.DBRW($C$2,$AP$1,AP$2,$D$18,$D$3,$D121,$E121,$F121,AP$3)</f>
        <v>0</v>
      </c>
      <c r="AQ121" s="25" cm="1">
        <f t="array" ref="AQ121">_xll.DBRW($E$2,AP$1,AP$2,$D$18,$D$3,$D121,$E121,$F121,$F$3,AQ$3)</f>
        <v>0</v>
      </c>
      <c r="AR121" s="25">
        <f>_xll.DBRW($C$2,$AP$1,AP$2,$D$18,$D$3,$D121,$E121,$F121,AR$3)</f>
        <v>2</v>
      </c>
      <c r="AS121" s="64">
        <f>_xll.DBRW($C$2,$AP$1,AP$2,$D$18,$D$3,$D121,$E121,$F121,AS$3)</f>
        <v>0</v>
      </c>
      <c r="AT121" s="58">
        <f>_xll.DBRW($C$2,$AP$1,AP$2,$D$18,$D$3,$D121,$E121,$F121,AT$3)</f>
        <v>0</v>
      </c>
      <c r="AU121" s="48">
        <f t="shared" si="41"/>
        <v>29</v>
      </c>
      <c r="AV121" s="39">
        <f>_xll.DBRW($C$2,$AV$1,AV$2,$D$18,$D$3,$D121,$E121,$F121,AV$3)</f>
        <v>0</v>
      </c>
      <c r="AW121" s="25" cm="1">
        <f t="array" ref="AW121">_xll.DBRW($E$2,AV$1,AV$2,$D$18,$D$3,$D121,$E121,$F121,$F$3,AW$3)</f>
        <v>0</v>
      </c>
      <c r="AX121" s="25">
        <f>_xll.DBRW($C$2,$AV$1,AV$2,$D$18,$D$3,$D121,$E121,$F121,AX$3)</f>
        <v>2</v>
      </c>
      <c r="AY121" s="64">
        <f>_xll.DBRW($C$2,$AV$1,AV$2,$D$18,$D$3,$D121,$E121,$F121,AY$3)</f>
        <v>1</v>
      </c>
      <c r="AZ121" s="58">
        <f>_xll.DBRW($C$2,$AV$1,AV$2,$D$18,$D$3,$D121,$E121,$F121,AZ$3)</f>
        <v>0</v>
      </c>
      <c r="BA121" s="48">
        <f t="shared" si="42"/>
        <v>27</v>
      </c>
      <c r="BB121" s="39">
        <f>_xll.DBRW($C$2,$BB$1,BB$2,$D$18,$D$3,$D121,$E121,$F121,BB$3)</f>
        <v>0</v>
      </c>
      <c r="BC121" s="25" cm="1">
        <f t="array" ref="BC121">_xll.DBRW($E$2,BB$1,BB$2,$D$18,$D$3,$D121,$E121,$F121,$F$3,BC$3)</f>
        <v>0</v>
      </c>
      <c r="BD121" s="25">
        <f>_xll.DBRW($C$2,$BB$1,BB$2,$D$18,$D$3,$D121,$E121,$F121,BD$3)</f>
        <v>2</v>
      </c>
      <c r="BE121" s="64">
        <f>_xll.DBRW($C$2,$BB$1,BB$2,$D$18,$D$3,$D121,$E121,$F121,BE$3)</f>
        <v>0</v>
      </c>
      <c r="BF121" s="58">
        <f>_xll.DBRW($C$2,$BB$1,BB$2,$D$18,$D$3,$D121,$E121,$F121,BF$3)</f>
        <v>0</v>
      </c>
      <c r="BG121" s="48">
        <f t="shared" si="43"/>
        <v>25</v>
      </c>
      <c r="BH121" s="39">
        <f>_xll.DBRW($C$2,$BH$1,BH$2,$D$18,$D$3,$D121,$E121,$F121,BH$3)</f>
        <v>0</v>
      </c>
      <c r="BI121" s="25" cm="1">
        <f t="array" ref="BI121">_xll.DBRW($E$2,BH$1,BH$2,$D$18,$D$3,$D121,$E121,$F121,$F$3,BI$3)</f>
        <v>0</v>
      </c>
      <c r="BJ121" s="25">
        <f>_xll.DBRW($C$2,$BH$1,BH$2,$D$18,$D$3,$D121,$E121,$F121,BJ$3)</f>
        <v>2</v>
      </c>
      <c r="BK121" s="64">
        <f>_xll.DBRW($C$2,$BH$1,BH$2,$D$18,$D$3,$D121,$E121,$F121,BK$3)</f>
        <v>0</v>
      </c>
      <c r="BL121" s="58">
        <f>_xll.DBRW($C$2,$BH$1,BH$2,$D$18,$D$3,$D121,$E121,$F121,BL$3)</f>
        <v>0</v>
      </c>
      <c r="BM121" s="48">
        <f t="shared" si="44"/>
        <v>23</v>
      </c>
      <c r="BN121" s="39">
        <f>_xll.DBRW($C$2,$BN$1,BN$2,$D$18,$D$3,$D121,$E121,$F121,BN$3)</f>
        <v>0</v>
      </c>
      <c r="BO121" s="25" cm="1">
        <f t="array" ref="BO121">_xll.DBRW($E$2,BN$1,BN$2,$D$18,$D$3,$D121,$E121,$F121,$F$3,BO$3)</f>
        <v>0</v>
      </c>
      <c r="BP121" s="25">
        <f>_xll.DBRW($C$2,$BN$1,BN$2,$D$18,$D$3,$D121,$E121,$F121,BP$3)</f>
        <v>2</v>
      </c>
      <c r="BQ121" s="64">
        <f>_xll.DBRW($C$2,$BN$1,BN$2,$D$18,$D$3,$D121,$E121,$F121,BQ$3)</f>
        <v>0</v>
      </c>
      <c r="BR121" s="58">
        <f>_xll.DBRW($C$2,$BN$1,BN$2,$D$18,$D$3,$D121,$E121,$F121,BR$3)</f>
        <v>0</v>
      </c>
      <c r="BS121" s="48">
        <f t="shared" si="45"/>
        <v>21</v>
      </c>
      <c r="BT121" s="39">
        <f>_xll.DBRW($C$2,$BT$1,BT$2,$D$18,$D$3,$D121,$E121,$F121,BT$3)</f>
        <v>0</v>
      </c>
      <c r="BU121" s="25" cm="1">
        <f t="array" ref="BU121">_xll.DBRW($E$2,BT$1,BT$2,$D$18,$D$3,$D121,$E121,$F121,$F$3,BU$3)</f>
        <v>0</v>
      </c>
      <c r="BV121" s="25">
        <f>_xll.DBRW($C$2,$BT$1,BT$2,$D$18,$D$3,$D121,$E121,$F121,BV$3)</f>
        <v>2</v>
      </c>
      <c r="BW121" s="64">
        <f>_xll.DBRW($C$2,$BT$1,BT$2,$D$18,$D$3,$D121,$E121,$F121,BW$3)</f>
        <v>0</v>
      </c>
      <c r="BX121" s="58">
        <f>_xll.DBRW($C$2,$BT$1,BT$2,$D$18,$D$3,$D121,$E121,$F121,BX$3)</f>
        <v>0</v>
      </c>
      <c r="BY121" s="48">
        <f t="shared" si="46"/>
        <v>19</v>
      </c>
      <c r="BZ121" s="39">
        <f>_xll.DBRW($C$2,$BZ$1,BZ$2,$D$18,$D$3,$D121,$E121,$F121,BZ$3)</f>
        <v>0</v>
      </c>
      <c r="CA121" s="25" cm="1">
        <f t="array" ref="CA121">_xll.DBRW($E$2,BZ$1,BZ$2,$D$18,$D$3,$D121,$E121,$F121,$F$3,CA$3)</f>
        <v>0</v>
      </c>
      <c r="CB121" s="25">
        <f>_xll.DBRW($C$2,$BZ$1,BZ$2,$D$18,$D$3,$D121,$E121,$F121,CB$3)</f>
        <v>2</v>
      </c>
      <c r="CC121" s="64">
        <f>_xll.DBRW($C$2,$BZ$1,BZ$2,$D$18,$D$3,$D121,$E121,$F121,CC$3)</f>
        <v>0</v>
      </c>
      <c r="CD121" s="58">
        <f>_xll.DBRW($C$2,$BZ$1,BZ$2,$D$18,$D$3,$D121,$E121,$F121,CD$3)</f>
        <v>0</v>
      </c>
      <c r="CE121" s="48">
        <f t="shared" si="47"/>
        <v>17</v>
      </c>
    </row>
    <row r="122" spans="1:83" s="23" customFormat="1" outlineLevel="1" thickBot="1" x14ac:dyDescent="0.3">
      <c r="A122" s="91" t="str">
        <f>IF(_xll.TM1RPTELISCONSOLIDATED($F$22,$F122),IF(_xll.TM1RPTELLEV($F$22,$F122)&lt;=5,_xll.TM1RPTELLEV($F$22,$F122),"Default"),"Leaf")</f>
        <v>Leaf</v>
      </c>
      <c r="B122" s="24" t="str">
        <f>_xll.DBRW("TM1-S1_DEV:}ElementAttributes_SP_SKU",$D122,B$1)</f>
        <v>Primary</v>
      </c>
      <c r="C122" s="24" t="str">
        <f>_xll.DBRW("TM1-S1_DEV:}ElementAttributes_SP_SKU",$D122,C$1)</f>
        <v>INGREDIENT</v>
      </c>
      <c r="D122" s="28" t="s">
        <v>430</v>
      </c>
      <c r="E122" s="28" t="s">
        <v>257</v>
      </c>
      <c r="F122" s="28" t="s">
        <v>26</v>
      </c>
      <c r="G122" s="4">
        <f>_xll.DBRW($C$2,$G$19,G$20,$D$18,$D$3,$D122,$E122,$F122,G$3)</f>
        <v>6</v>
      </c>
      <c r="H122" s="54">
        <f t="shared" si="36"/>
        <v>-2</v>
      </c>
      <c r="I122" s="4"/>
      <c r="J122" s="25">
        <f>_xll.DBRW($C$2,$J$1,J$2,$D$18,$D$3,$D122,$E122,$F122,J$3)</f>
        <v>4</v>
      </c>
      <c r="K122" s="39">
        <f>_xll.DBRW($C$2,$J$1,J$2,$D$18,$D$3,$D122,$E122,$F122,K$3)</f>
        <v>0</v>
      </c>
      <c r="L122" s="25">
        <f>_xll.DBRW($C$2,$J$1,J$2,$D$18,$D$3,$D122,$E122,$F122,L$3)</f>
        <v>0</v>
      </c>
      <c r="M122" s="25">
        <f>_xll.DBRW($C$2,$J$1,J$2,$D$18,$D$3,$D122,$E122,$F122,M$3)</f>
        <v>0</v>
      </c>
      <c r="N122" s="25">
        <f>_xll.DBRW($C$2,$J$1,J$2,$D$18,$D$3,$D122,$E122,$F122,N$3)</f>
        <v>2</v>
      </c>
      <c r="O122" s="64">
        <f>_xll.DBRW($C$2,$J$1,J$2,$D$18,$D$3,$D122,$E122,$F122,O$3)</f>
        <v>1</v>
      </c>
      <c r="P122" s="58">
        <f>_xll.DBRW($C$2,$J$1,J$2,$D$18,$D$3,$D122,$E122,$F122,P$3)</f>
        <v>0</v>
      </c>
      <c r="Q122" s="48">
        <f>_xll.DBRW($C$2,$J$1,J$2,$D$18,$D$3,$D122,$E122,$F122,Q$3)</f>
        <v>2</v>
      </c>
      <c r="R122" s="39">
        <f>_xll.DBRW($C$2,$R$1,R$2,$D$18,$D$3,$D122,$E122,$F122,R$3)</f>
        <v>0</v>
      </c>
      <c r="S122" s="25" cm="1">
        <f t="array" ref="S122">_xll.DBRW($E$2,R$1,R$2,$D$18,$D$3,$D122,$E122,$F122,$F$3,S$3)</f>
        <v>0</v>
      </c>
      <c r="T122" s="25">
        <f>_xll.DBRW($C$2,$R$1,R$2,$D$18,$D$3,$D122,$E122,$F122,T$3)</f>
        <v>0</v>
      </c>
      <c r="U122" s="64">
        <f>_xll.DBRW($C$2,$R$1,R$2,$D$18,$D$3,$D122,$E122,$F122,U$3)</f>
        <v>0</v>
      </c>
      <c r="V122" s="58">
        <f>_xll.DBRW($C$2,$R$1,R$2,$D$18,$D$3,$D122,$E122,$F122,V$3)</f>
        <v>0</v>
      </c>
      <c r="W122" s="48">
        <f t="shared" si="37"/>
        <v>2</v>
      </c>
      <c r="X122" s="39">
        <f>_xll.DBRW($C$2,$X$1,X$2,$D$18,$D$3,$D122,$E122,$F122,X$3)</f>
        <v>0</v>
      </c>
      <c r="Y122" s="25" cm="1">
        <f t="array" ref="Y122">_xll.DBRW($E$2,X$1,X$2,$D$18,$D$3,$D122,$E122,$F122,$F$3,Y$3)</f>
        <v>0</v>
      </c>
      <c r="Z122" s="25">
        <f>_xll.DBRW($C$2,$X$1,X$2,$D$18,$D$3,$D122,$E122,$F122,Z$3)</f>
        <v>5</v>
      </c>
      <c r="AA122" s="64">
        <f>_xll.DBRW($C$2,$X$1,X$2,$D$18,$D$3,$D122,$E122,$F122,AA$3)</f>
        <v>0</v>
      </c>
      <c r="AB122" s="58">
        <f>_xll.DBRW($C$2,$X$1,X$2,$D$18,$D$3,$D122,$E122,$F122,AB$3)</f>
        <v>0</v>
      </c>
      <c r="AC122" s="48">
        <f t="shared" si="38"/>
        <v>-3</v>
      </c>
      <c r="AD122" s="39">
        <f>_xll.DBRW($C$2,$AD$1,AD$2,$D$18,$D$3,$D122,$E122,$F122,AD$3)</f>
        <v>0</v>
      </c>
      <c r="AE122" s="25" cm="1">
        <f t="array" ref="AE122">_xll.DBRW($E$2,AD$1,AD$2,$D$18,$D$3,$D122,$E122,$F122,$F$3,AE$3)</f>
        <v>0</v>
      </c>
      <c r="AF122" s="25">
        <f>_xll.DBRW($C$2,$AD$1,AD$2,$D$18,$D$3,$D122,$E122,$F122,AF$3)</f>
        <v>5</v>
      </c>
      <c r="AG122" s="64">
        <f>_xll.DBRW($C$2,$AD$1,AD$2,$D$18,$D$3,$D122,$E122,$F122,AG$3)</f>
        <v>0</v>
      </c>
      <c r="AH122" s="58">
        <f>_xll.DBRW($C$2,$AD$1,AD$2,$D$18,$D$3,$D122,$E122,$F122,AH$3)</f>
        <v>0</v>
      </c>
      <c r="AI122" s="48">
        <f t="shared" si="39"/>
        <v>-8</v>
      </c>
      <c r="AJ122" s="39">
        <f>_xll.DBRW($C$2,$AJ$1,AJ$2,$D$18,$D$3,$D122,$E122,$F122,AJ$3)</f>
        <v>0</v>
      </c>
      <c r="AK122" s="25" cm="1">
        <f t="array" ref="AK122">_xll.DBRW($E$2,AJ$1,AJ$2,$D$18,$D$3,$D122,$E122,$F122,$F$3,AK$3)</f>
        <v>0</v>
      </c>
      <c r="AL122" s="25">
        <f>_xll.DBRW($C$2,$AJ$1,AJ$2,$D$18,$D$3,$D122,$E122,$F122,AL$3)</f>
        <v>5</v>
      </c>
      <c r="AM122" s="64">
        <f>_xll.DBRW($C$2,$AJ$1,AJ$2,$D$18,$D$3,$D122,$E122,$F122,AM$3)</f>
        <v>0</v>
      </c>
      <c r="AN122" s="58">
        <f>_xll.DBRW($C$2,$AJ$1,AJ$2,$D$18,$D$3,$D122,$E122,$F122,AN$3)</f>
        <v>0</v>
      </c>
      <c r="AO122" s="48">
        <f t="shared" si="40"/>
        <v>-13</v>
      </c>
      <c r="AP122" s="39">
        <f>_xll.DBRW($C$2,$AP$1,AP$2,$D$18,$D$3,$D122,$E122,$F122,AP$3)</f>
        <v>0</v>
      </c>
      <c r="AQ122" s="25" cm="1">
        <f t="array" ref="AQ122">_xll.DBRW($E$2,AP$1,AP$2,$D$18,$D$3,$D122,$E122,$F122,$F$3,AQ$3)</f>
        <v>0</v>
      </c>
      <c r="AR122" s="25">
        <f>_xll.DBRW($C$2,$AP$1,AP$2,$D$18,$D$3,$D122,$E122,$F122,AR$3)</f>
        <v>5</v>
      </c>
      <c r="AS122" s="64">
        <f>_xll.DBRW($C$2,$AP$1,AP$2,$D$18,$D$3,$D122,$E122,$F122,AS$3)</f>
        <v>0</v>
      </c>
      <c r="AT122" s="58">
        <f>_xll.DBRW($C$2,$AP$1,AP$2,$D$18,$D$3,$D122,$E122,$F122,AT$3)</f>
        <v>0</v>
      </c>
      <c r="AU122" s="48">
        <f t="shared" si="41"/>
        <v>-18</v>
      </c>
      <c r="AV122" s="39">
        <f>_xll.DBRW($C$2,$AV$1,AV$2,$D$18,$D$3,$D122,$E122,$F122,AV$3)</f>
        <v>0</v>
      </c>
      <c r="AW122" s="25" cm="1">
        <f t="array" ref="AW122">_xll.DBRW($E$2,AV$1,AV$2,$D$18,$D$3,$D122,$E122,$F122,$F$3,AW$3)</f>
        <v>0</v>
      </c>
      <c r="AX122" s="25">
        <f>_xll.DBRW($C$2,$AV$1,AV$2,$D$18,$D$3,$D122,$E122,$F122,AX$3)</f>
        <v>5</v>
      </c>
      <c r="AY122" s="64">
        <f>_xll.DBRW($C$2,$AV$1,AV$2,$D$18,$D$3,$D122,$E122,$F122,AY$3)</f>
        <v>0</v>
      </c>
      <c r="AZ122" s="58">
        <f>_xll.DBRW($C$2,$AV$1,AV$2,$D$18,$D$3,$D122,$E122,$F122,AZ$3)</f>
        <v>0</v>
      </c>
      <c r="BA122" s="48">
        <f t="shared" si="42"/>
        <v>-23</v>
      </c>
      <c r="BB122" s="39">
        <f>_xll.DBRW($C$2,$BB$1,BB$2,$D$18,$D$3,$D122,$E122,$F122,BB$3)</f>
        <v>0</v>
      </c>
      <c r="BC122" s="25" cm="1">
        <f t="array" ref="BC122">_xll.DBRW($E$2,BB$1,BB$2,$D$18,$D$3,$D122,$E122,$F122,$F$3,BC$3)</f>
        <v>0</v>
      </c>
      <c r="BD122" s="25">
        <f>_xll.DBRW($C$2,$BB$1,BB$2,$D$18,$D$3,$D122,$E122,$F122,BD$3)</f>
        <v>5</v>
      </c>
      <c r="BE122" s="64">
        <f>_xll.DBRW($C$2,$BB$1,BB$2,$D$18,$D$3,$D122,$E122,$F122,BE$3)</f>
        <v>0</v>
      </c>
      <c r="BF122" s="58">
        <f>_xll.DBRW($C$2,$BB$1,BB$2,$D$18,$D$3,$D122,$E122,$F122,BF$3)</f>
        <v>0</v>
      </c>
      <c r="BG122" s="48">
        <f t="shared" si="43"/>
        <v>-28</v>
      </c>
      <c r="BH122" s="39">
        <f>_xll.DBRW($C$2,$BH$1,BH$2,$D$18,$D$3,$D122,$E122,$F122,BH$3)</f>
        <v>0</v>
      </c>
      <c r="BI122" s="25" cm="1">
        <f t="array" ref="BI122">_xll.DBRW($E$2,BH$1,BH$2,$D$18,$D$3,$D122,$E122,$F122,$F$3,BI$3)</f>
        <v>0</v>
      </c>
      <c r="BJ122" s="25">
        <f>_xll.DBRW($C$2,$BH$1,BH$2,$D$18,$D$3,$D122,$E122,$F122,BJ$3)</f>
        <v>5</v>
      </c>
      <c r="BK122" s="64">
        <f>_xll.DBRW($C$2,$BH$1,BH$2,$D$18,$D$3,$D122,$E122,$F122,BK$3)</f>
        <v>0</v>
      </c>
      <c r="BL122" s="58">
        <f>_xll.DBRW($C$2,$BH$1,BH$2,$D$18,$D$3,$D122,$E122,$F122,BL$3)</f>
        <v>0</v>
      </c>
      <c r="BM122" s="48">
        <f t="shared" si="44"/>
        <v>-33</v>
      </c>
      <c r="BN122" s="39">
        <f>_xll.DBRW($C$2,$BN$1,BN$2,$D$18,$D$3,$D122,$E122,$F122,BN$3)</f>
        <v>0</v>
      </c>
      <c r="BO122" s="25" cm="1">
        <f t="array" ref="BO122">_xll.DBRW($E$2,BN$1,BN$2,$D$18,$D$3,$D122,$E122,$F122,$F$3,BO$3)</f>
        <v>0</v>
      </c>
      <c r="BP122" s="25">
        <f>_xll.DBRW($C$2,$BN$1,BN$2,$D$18,$D$3,$D122,$E122,$F122,BP$3)</f>
        <v>5</v>
      </c>
      <c r="BQ122" s="64">
        <f>_xll.DBRW($C$2,$BN$1,BN$2,$D$18,$D$3,$D122,$E122,$F122,BQ$3)</f>
        <v>0</v>
      </c>
      <c r="BR122" s="58">
        <f>_xll.DBRW($C$2,$BN$1,BN$2,$D$18,$D$3,$D122,$E122,$F122,BR$3)</f>
        <v>0</v>
      </c>
      <c r="BS122" s="48">
        <f t="shared" si="45"/>
        <v>-38</v>
      </c>
      <c r="BT122" s="39">
        <f>_xll.DBRW($C$2,$BT$1,BT$2,$D$18,$D$3,$D122,$E122,$F122,BT$3)</f>
        <v>0</v>
      </c>
      <c r="BU122" s="25" cm="1">
        <f t="array" ref="BU122">_xll.DBRW($E$2,BT$1,BT$2,$D$18,$D$3,$D122,$E122,$F122,$F$3,BU$3)</f>
        <v>0</v>
      </c>
      <c r="BV122" s="25">
        <f>_xll.DBRW($C$2,$BT$1,BT$2,$D$18,$D$3,$D122,$E122,$F122,BV$3)</f>
        <v>5</v>
      </c>
      <c r="BW122" s="64">
        <f>_xll.DBRW($C$2,$BT$1,BT$2,$D$18,$D$3,$D122,$E122,$F122,BW$3)</f>
        <v>0</v>
      </c>
      <c r="BX122" s="58">
        <f>_xll.DBRW($C$2,$BT$1,BT$2,$D$18,$D$3,$D122,$E122,$F122,BX$3)</f>
        <v>0</v>
      </c>
      <c r="BY122" s="48">
        <f t="shared" si="46"/>
        <v>-43</v>
      </c>
      <c r="BZ122" s="39">
        <f>_xll.DBRW($C$2,$BZ$1,BZ$2,$D$18,$D$3,$D122,$E122,$F122,BZ$3)</f>
        <v>0</v>
      </c>
      <c r="CA122" s="25" cm="1">
        <f t="array" ref="CA122">_xll.DBRW($E$2,BZ$1,BZ$2,$D$18,$D$3,$D122,$E122,$F122,$F$3,CA$3)</f>
        <v>0</v>
      </c>
      <c r="CB122" s="25">
        <f>_xll.DBRW($C$2,$BZ$1,BZ$2,$D$18,$D$3,$D122,$E122,$F122,CB$3)</f>
        <v>5</v>
      </c>
      <c r="CC122" s="64">
        <f>_xll.DBRW($C$2,$BZ$1,BZ$2,$D$18,$D$3,$D122,$E122,$F122,CC$3)</f>
        <v>0</v>
      </c>
      <c r="CD122" s="58">
        <f>_xll.DBRW($C$2,$BZ$1,BZ$2,$D$18,$D$3,$D122,$E122,$F122,CD$3)</f>
        <v>0</v>
      </c>
      <c r="CE122" s="48">
        <f t="shared" si="47"/>
        <v>-48</v>
      </c>
    </row>
    <row r="123" spans="1:83" s="23" customFormat="1" outlineLevel="1" thickBot="1" x14ac:dyDescent="0.3">
      <c r="A123" s="91" t="str">
        <f>IF(_xll.TM1RPTELISCONSOLIDATED($F$22,$F123),IF(_xll.TM1RPTELLEV($F$22,$F123)&lt;=5,_xll.TM1RPTELLEV($F$22,$F123),"Default"),"Leaf")</f>
        <v>Leaf</v>
      </c>
      <c r="B123" s="24" t="str">
        <f>_xll.DBRW("TM1-S1_DEV:}ElementAttributes_SP_SKU",$D123,B$1)</f>
        <v>Primary</v>
      </c>
      <c r="C123" s="24" t="str">
        <f>_xll.DBRW("TM1-S1_DEV:}ElementAttributes_SP_SKU",$D123,C$1)</f>
        <v>BOX</v>
      </c>
      <c r="D123" s="28" t="s">
        <v>495</v>
      </c>
      <c r="E123" s="28" t="s">
        <v>258</v>
      </c>
      <c r="F123" s="28" t="s">
        <v>27</v>
      </c>
      <c r="G123" s="4">
        <f>_xll.DBRW($C$2,$G$19,G$20,$D$18,$D$3,$D123,$E123,$F123,G$3)</f>
        <v>3</v>
      </c>
      <c r="H123" s="54">
        <f t="shared" si="36"/>
        <v>0</v>
      </c>
      <c r="I123" s="4"/>
      <c r="J123" s="25">
        <f>_xll.DBRW($C$2,$J$1,J$2,$D$18,$D$3,$D123,$E123,$F123,J$3)</f>
        <v>3</v>
      </c>
      <c r="K123" s="39">
        <f>_xll.DBRW($C$2,$J$1,J$2,$D$18,$D$3,$D123,$E123,$F123,K$3)</f>
        <v>0</v>
      </c>
      <c r="L123" s="25">
        <f>_xll.DBRW($C$2,$J$1,J$2,$D$18,$D$3,$D123,$E123,$F123,L$3)</f>
        <v>0</v>
      </c>
      <c r="M123" s="25">
        <f>_xll.DBRW($C$2,$J$1,J$2,$D$18,$D$3,$D123,$E123,$F123,M$3)</f>
        <v>0</v>
      </c>
      <c r="N123" s="25">
        <f>_xll.DBRW($C$2,$J$1,J$2,$D$18,$D$3,$D123,$E123,$F123,N$3)</f>
        <v>0</v>
      </c>
      <c r="O123" s="64">
        <f>_xll.DBRW($C$2,$J$1,J$2,$D$18,$D$3,$D123,$E123,$F123,O$3)</f>
        <v>0</v>
      </c>
      <c r="P123" s="58">
        <f>_xll.DBRW($C$2,$J$1,J$2,$D$18,$D$3,$D123,$E123,$F123,P$3)</f>
        <v>0</v>
      </c>
      <c r="Q123" s="48">
        <f>_xll.DBRW($C$2,$J$1,J$2,$D$18,$D$3,$D123,$E123,$F123,Q$3)</f>
        <v>3</v>
      </c>
      <c r="R123" s="39">
        <f>_xll.DBRW($C$2,$R$1,R$2,$D$18,$D$3,$D123,$E123,$F123,R$3)</f>
        <v>0</v>
      </c>
      <c r="S123" s="25" cm="1">
        <f t="array" ref="S123">_xll.DBRW($E$2,R$1,R$2,$D$18,$D$3,$D123,$E123,$F123,$F$3,S$3)</f>
        <v>0</v>
      </c>
      <c r="T123" s="25">
        <f>_xll.DBRW($C$2,$R$1,R$2,$D$18,$D$3,$D123,$E123,$F123,T$3)</f>
        <v>0</v>
      </c>
      <c r="U123" s="64">
        <f>_xll.DBRW($C$2,$R$1,R$2,$D$18,$D$3,$D123,$E123,$F123,U$3)</f>
        <v>0</v>
      </c>
      <c r="V123" s="58">
        <f>_xll.DBRW($C$2,$R$1,R$2,$D$18,$D$3,$D123,$E123,$F123,V$3)</f>
        <v>0</v>
      </c>
      <c r="W123" s="48">
        <f t="shared" si="37"/>
        <v>3</v>
      </c>
      <c r="X123" s="39">
        <f>_xll.DBRW($C$2,$X$1,X$2,$D$18,$D$3,$D123,$E123,$F123,X$3)</f>
        <v>0</v>
      </c>
      <c r="Y123" s="25" cm="1">
        <f t="array" ref="Y123">_xll.DBRW($E$2,X$1,X$2,$D$18,$D$3,$D123,$E123,$F123,$F$3,Y$3)</f>
        <v>0</v>
      </c>
      <c r="Z123" s="25">
        <f>_xll.DBRW($C$2,$X$1,X$2,$D$18,$D$3,$D123,$E123,$F123,Z$3)</f>
        <v>0</v>
      </c>
      <c r="AA123" s="64">
        <f>_xll.DBRW($C$2,$X$1,X$2,$D$18,$D$3,$D123,$E123,$F123,AA$3)</f>
        <v>0</v>
      </c>
      <c r="AB123" s="58">
        <f>_xll.DBRW($C$2,$X$1,X$2,$D$18,$D$3,$D123,$E123,$F123,AB$3)</f>
        <v>0</v>
      </c>
      <c r="AC123" s="48">
        <f t="shared" si="38"/>
        <v>3</v>
      </c>
      <c r="AD123" s="39">
        <f>_xll.DBRW($C$2,$AD$1,AD$2,$D$18,$D$3,$D123,$E123,$F123,AD$3)</f>
        <v>0</v>
      </c>
      <c r="AE123" s="25" cm="1">
        <f t="array" ref="AE123">_xll.DBRW($E$2,AD$1,AD$2,$D$18,$D$3,$D123,$E123,$F123,$F$3,AE$3)</f>
        <v>0</v>
      </c>
      <c r="AF123" s="25">
        <f>_xll.DBRW($C$2,$AD$1,AD$2,$D$18,$D$3,$D123,$E123,$F123,AF$3)</f>
        <v>0</v>
      </c>
      <c r="AG123" s="64">
        <f>_xll.DBRW($C$2,$AD$1,AD$2,$D$18,$D$3,$D123,$E123,$F123,AG$3)</f>
        <v>0</v>
      </c>
      <c r="AH123" s="58">
        <f>_xll.DBRW($C$2,$AD$1,AD$2,$D$18,$D$3,$D123,$E123,$F123,AH$3)</f>
        <v>0</v>
      </c>
      <c r="AI123" s="48">
        <f t="shared" si="39"/>
        <v>3</v>
      </c>
      <c r="AJ123" s="39">
        <f>_xll.DBRW($C$2,$AJ$1,AJ$2,$D$18,$D$3,$D123,$E123,$F123,AJ$3)</f>
        <v>0</v>
      </c>
      <c r="AK123" s="25" cm="1">
        <f t="array" ref="AK123">_xll.DBRW($E$2,AJ$1,AJ$2,$D$18,$D$3,$D123,$E123,$F123,$F$3,AK$3)</f>
        <v>0</v>
      </c>
      <c r="AL123" s="25">
        <f>_xll.DBRW($C$2,$AJ$1,AJ$2,$D$18,$D$3,$D123,$E123,$F123,AL$3)</f>
        <v>0</v>
      </c>
      <c r="AM123" s="64">
        <f>_xll.DBRW($C$2,$AJ$1,AJ$2,$D$18,$D$3,$D123,$E123,$F123,AM$3)</f>
        <v>0</v>
      </c>
      <c r="AN123" s="58">
        <f>_xll.DBRW($C$2,$AJ$1,AJ$2,$D$18,$D$3,$D123,$E123,$F123,AN$3)</f>
        <v>0</v>
      </c>
      <c r="AO123" s="48">
        <f t="shared" si="40"/>
        <v>3</v>
      </c>
      <c r="AP123" s="39">
        <f>_xll.DBRW($C$2,$AP$1,AP$2,$D$18,$D$3,$D123,$E123,$F123,AP$3)</f>
        <v>0</v>
      </c>
      <c r="AQ123" s="25" cm="1">
        <f t="array" ref="AQ123">_xll.DBRW($E$2,AP$1,AP$2,$D$18,$D$3,$D123,$E123,$F123,$F$3,AQ$3)</f>
        <v>0</v>
      </c>
      <c r="AR123" s="25">
        <f>_xll.DBRW($C$2,$AP$1,AP$2,$D$18,$D$3,$D123,$E123,$F123,AR$3)</f>
        <v>0</v>
      </c>
      <c r="AS123" s="64">
        <f>_xll.DBRW($C$2,$AP$1,AP$2,$D$18,$D$3,$D123,$E123,$F123,AS$3)</f>
        <v>0</v>
      </c>
      <c r="AT123" s="58">
        <f>_xll.DBRW($C$2,$AP$1,AP$2,$D$18,$D$3,$D123,$E123,$F123,AT$3)</f>
        <v>0</v>
      </c>
      <c r="AU123" s="48">
        <f t="shared" si="41"/>
        <v>3</v>
      </c>
      <c r="AV123" s="39">
        <f>_xll.DBRW($C$2,$AV$1,AV$2,$D$18,$D$3,$D123,$E123,$F123,AV$3)</f>
        <v>0</v>
      </c>
      <c r="AW123" s="25" cm="1">
        <f t="array" ref="AW123">_xll.DBRW($E$2,AV$1,AV$2,$D$18,$D$3,$D123,$E123,$F123,$F$3,AW$3)</f>
        <v>0</v>
      </c>
      <c r="AX123" s="25">
        <f>_xll.DBRW($C$2,$AV$1,AV$2,$D$18,$D$3,$D123,$E123,$F123,AX$3)</f>
        <v>0</v>
      </c>
      <c r="AY123" s="64">
        <f>_xll.DBRW($C$2,$AV$1,AV$2,$D$18,$D$3,$D123,$E123,$F123,AY$3)</f>
        <v>0</v>
      </c>
      <c r="AZ123" s="58">
        <f>_xll.DBRW($C$2,$AV$1,AV$2,$D$18,$D$3,$D123,$E123,$F123,AZ$3)</f>
        <v>0</v>
      </c>
      <c r="BA123" s="48">
        <f t="shared" si="42"/>
        <v>3</v>
      </c>
      <c r="BB123" s="39">
        <f>_xll.DBRW($C$2,$BB$1,BB$2,$D$18,$D$3,$D123,$E123,$F123,BB$3)</f>
        <v>0</v>
      </c>
      <c r="BC123" s="25" cm="1">
        <f t="array" ref="BC123">_xll.DBRW($E$2,BB$1,BB$2,$D$18,$D$3,$D123,$E123,$F123,$F$3,BC$3)</f>
        <v>0</v>
      </c>
      <c r="BD123" s="25">
        <f>_xll.DBRW($C$2,$BB$1,BB$2,$D$18,$D$3,$D123,$E123,$F123,BD$3)</f>
        <v>0</v>
      </c>
      <c r="BE123" s="64">
        <f>_xll.DBRW($C$2,$BB$1,BB$2,$D$18,$D$3,$D123,$E123,$F123,BE$3)</f>
        <v>0</v>
      </c>
      <c r="BF123" s="58">
        <f>_xll.DBRW($C$2,$BB$1,BB$2,$D$18,$D$3,$D123,$E123,$F123,BF$3)</f>
        <v>0</v>
      </c>
      <c r="BG123" s="48">
        <f t="shared" si="43"/>
        <v>3</v>
      </c>
      <c r="BH123" s="39">
        <f>_xll.DBRW($C$2,$BH$1,BH$2,$D$18,$D$3,$D123,$E123,$F123,BH$3)</f>
        <v>0</v>
      </c>
      <c r="BI123" s="25" cm="1">
        <f t="array" ref="BI123">_xll.DBRW($E$2,BH$1,BH$2,$D$18,$D$3,$D123,$E123,$F123,$F$3,BI$3)</f>
        <v>0</v>
      </c>
      <c r="BJ123" s="25">
        <f>_xll.DBRW($C$2,$BH$1,BH$2,$D$18,$D$3,$D123,$E123,$F123,BJ$3)</f>
        <v>0</v>
      </c>
      <c r="BK123" s="64">
        <f>_xll.DBRW($C$2,$BH$1,BH$2,$D$18,$D$3,$D123,$E123,$F123,BK$3)</f>
        <v>0</v>
      </c>
      <c r="BL123" s="58">
        <f>_xll.DBRW($C$2,$BH$1,BH$2,$D$18,$D$3,$D123,$E123,$F123,BL$3)</f>
        <v>0</v>
      </c>
      <c r="BM123" s="48">
        <f t="shared" si="44"/>
        <v>3</v>
      </c>
      <c r="BN123" s="39">
        <f>_xll.DBRW($C$2,$BN$1,BN$2,$D$18,$D$3,$D123,$E123,$F123,BN$3)</f>
        <v>0</v>
      </c>
      <c r="BO123" s="25" cm="1">
        <f t="array" ref="BO123">_xll.DBRW($E$2,BN$1,BN$2,$D$18,$D$3,$D123,$E123,$F123,$F$3,BO$3)</f>
        <v>0</v>
      </c>
      <c r="BP123" s="25">
        <f>_xll.DBRW($C$2,$BN$1,BN$2,$D$18,$D$3,$D123,$E123,$F123,BP$3)</f>
        <v>0</v>
      </c>
      <c r="BQ123" s="64">
        <f>_xll.DBRW($C$2,$BN$1,BN$2,$D$18,$D$3,$D123,$E123,$F123,BQ$3)</f>
        <v>0</v>
      </c>
      <c r="BR123" s="58">
        <f>_xll.DBRW($C$2,$BN$1,BN$2,$D$18,$D$3,$D123,$E123,$F123,BR$3)</f>
        <v>0</v>
      </c>
      <c r="BS123" s="48">
        <f t="shared" si="45"/>
        <v>3</v>
      </c>
      <c r="BT123" s="39">
        <f>_xll.DBRW($C$2,$BT$1,BT$2,$D$18,$D$3,$D123,$E123,$F123,BT$3)</f>
        <v>0</v>
      </c>
      <c r="BU123" s="25" cm="1">
        <f t="array" ref="BU123">_xll.DBRW($E$2,BT$1,BT$2,$D$18,$D$3,$D123,$E123,$F123,$F$3,BU$3)</f>
        <v>0</v>
      </c>
      <c r="BV123" s="25">
        <f>_xll.DBRW($C$2,$BT$1,BT$2,$D$18,$D$3,$D123,$E123,$F123,BV$3)</f>
        <v>0</v>
      </c>
      <c r="BW123" s="64">
        <f>_xll.DBRW($C$2,$BT$1,BT$2,$D$18,$D$3,$D123,$E123,$F123,BW$3)</f>
        <v>0</v>
      </c>
      <c r="BX123" s="58">
        <f>_xll.DBRW($C$2,$BT$1,BT$2,$D$18,$D$3,$D123,$E123,$F123,BX$3)</f>
        <v>0</v>
      </c>
      <c r="BY123" s="48">
        <f t="shared" si="46"/>
        <v>3</v>
      </c>
      <c r="BZ123" s="39">
        <f>_xll.DBRW($C$2,$BZ$1,BZ$2,$D$18,$D$3,$D123,$E123,$F123,BZ$3)</f>
        <v>0</v>
      </c>
      <c r="CA123" s="25" cm="1">
        <f t="array" ref="CA123">_xll.DBRW($E$2,BZ$1,BZ$2,$D$18,$D$3,$D123,$E123,$F123,$F$3,CA$3)</f>
        <v>0</v>
      </c>
      <c r="CB123" s="25">
        <f>_xll.DBRW($C$2,$BZ$1,BZ$2,$D$18,$D$3,$D123,$E123,$F123,CB$3)</f>
        <v>0</v>
      </c>
      <c r="CC123" s="64">
        <f>_xll.DBRW($C$2,$BZ$1,BZ$2,$D$18,$D$3,$D123,$E123,$F123,CC$3)</f>
        <v>0</v>
      </c>
      <c r="CD123" s="58">
        <f>_xll.DBRW($C$2,$BZ$1,BZ$2,$D$18,$D$3,$D123,$E123,$F123,CD$3)</f>
        <v>0</v>
      </c>
      <c r="CE123" s="48">
        <f t="shared" si="47"/>
        <v>3</v>
      </c>
    </row>
    <row r="124" spans="1:83" s="23" customFormat="1" outlineLevel="1" thickBot="1" x14ac:dyDescent="0.3">
      <c r="A124" s="91" t="str">
        <f>IF(_xll.TM1RPTELISCONSOLIDATED($F$22,$F124),IF(_xll.TM1RPTELLEV($F$22,$F124)&lt;=5,_xll.TM1RPTELLEV($F$22,$F124),"Default"),"Leaf")</f>
        <v>Leaf</v>
      </c>
      <c r="B124" s="24" t="str">
        <f>_xll.DBRW("TM1-S1_DEV:}ElementAttributes_SP_SKU",$D124,B$1)</f>
        <v>Primary</v>
      </c>
      <c r="C124" s="24" t="str">
        <f>_xll.DBRW("TM1-S1_DEV:}ElementAttributes_SP_SKU",$D124,C$1)</f>
        <v>TRAY</v>
      </c>
      <c r="D124" s="28" t="s">
        <v>431</v>
      </c>
      <c r="E124" s="28" t="s">
        <v>259</v>
      </c>
      <c r="F124" s="28" t="s">
        <v>30</v>
      </c>
      <c r="G124" s="4">
        <f>_xll.DBRW($C$2,$G$19,G$20,$D$18,$D$3,$D124,$E124,$F124,G$3)</f>
        <v>16</v>
      </c>
      <c r="H124" s="54">
        <f t="shared" si="36"/>
        <v>3</v>
      </c>
      <c r="I124" s="4"/>
      <c r="J124" s="25">
        <f>_xll.DBRW($C$2,$J$1,J$2,$D$18,$D$3,$D124,$E124,$F124,J$3)</f>
        <v>19</v>
      </c>
      <c r="K124" s="39">
        <f>_xll.DBRW($C$2,$J$1,J$2,$D$18,$D$3,$D124,$E124,$F124,K$3)</f>
        <v>0</v>
      </c>
      <c r="L124" s="25">
        <f>_xll.DBRW($C$2,$J$1,J$2,$D$18,$D$3,$D124,$E124,$F124,L$3)</f>
        <v>0</v>
      </c>
      <c r="M124" s="25">
        <f>_xll.DBRW($C$2,$J$1,J$2,$D$18,$D$3,$D124,$E124,$F124,M$3)</f>
        <v>0</v>
      </c>
      <c r="N124" s="25">
        <f>_xll.DBRW($C$2,$J$1,J$2,$D$18,$D$3,$D124,$E124,$F124,N$3)</f>
        <v>1</v>
      </c>
      <c r="O124" s="64">
        <f>_xll.DBRW($C$2,$J$1,J$2,$D$18,$D$3,$D124,$E124,$F124,O$3)</f>
        <v>1</v>
      </c>
      <c r="P124" s="58">
        <f>_xll.DBRW($C$2,$J$1,J$2,$D$18,$D$3,$D124,$E124,$F124,P$3)</f>
        <v>0</v>
      </c>
      <c r="Q124" s="48">
        <f>_xll.DBRW($C$2,$J$1,J$2,$D$18,$D$3,$D124,$E124,$F124,Q$3)</f>
        <v>18</v>
      </c>
      <c r="R124" s="39">
        <f>_xll.DBRW($C$2,$R$1,R$2,$D$18,$D$3,$D124,$E124,$F124,R$3)</f>
        <v>0</v>
      </c>
      <c r="S124" s="25" cm="1">
        <f t="array" ref="S124">_xll.DBRW($E$2,R$1,R$2,$D$18,$D$3,$D124,$E124,$F124,$F$3,S$3)</f>
        <v>0</v>
      </c>
      <c r="T124" s="25">
        <f>_xll.DBRW($C$2,$R$1,R$2,$D$18,$D$3,$D124,$E124,$F124,T$3)</f>
        <v>0</v>
      </c>
      <c r="U124" s="64">
        <f>_xll.DBRW($C$2,$R$1,R$2,$D$18,$D$3,$D124,$E124,$F124,U$3)</f>
        <v>0</v>
      </c>
      <c r="V124" s="58">
        <f>_xll.DBRW($C$2,$R$1,R$2,$D$18,$D$3,$D124,$E124,$F124,V$3)</f>
        <v>0</v>
      </c>
      <c r="W124" s="48">
        <f t="shared" si="37"/>
        <v>18</v>
      </c>
      <c r="X124" s="39">
        <f>_xll.DBRW($C$2,$X$1,X$2,$D$18,$D$3,$D124,$E124,$F124,X$3)</f>
        <v>0</v>
      </c>
      <c r="Y124" s="25" cm="1">
        <f t="array" ref="Y124">_xll.DBRW($E$2,X$1,X$2,$D$18,$D$3,$D124,$E124,$F124,$F$3,Y$3)</f>
        <v>0</v>
      </c>
      <c r="Z124" s="25">
        <f>_xll.DBRW($C$2,$X$1,X$2,$D$18,$D$3,$D124,$E124,$F124,Z$3)</f>
        <v>1</v>
      </c>
      <c r="AA124" s="64">
        <f>_xll.DBRW($C$2,$X$1,X$2,$D$18,$D$3,$D124,$E124,$F124,AA$3)</f>
        <v>1</v>
      </c>
      <c r="AB124" s="58">
        <f>_xll.DBRW($C$2,$X$1,X$2,$D$18,$D$3,$D124,$E124,$F124,AB$3)</f>
        <v>0</v>
      </c>
      <c r="AC124" s="48">
        <f t="shared" si="38"/>
        <v>17</v>
      </c>
      <c r="AD124" s="39">
        <f>_xll.DBRW($C$2,$AD$1,AD$2,$D$18,$D$3,$D124,$E124,$F124,AD$3)</f>
        <v>0</v>
      </c>
      <c r="AE124" s="25" cm="1">
        <f t="array" ref="AE124">_xll.DBRW($E$2,AD$1,AD$2,$D$18,$D$3,$D124,$E124,$F124,$F$3,AE$3)</f>
        <v>0</v>
      </c>
      <c r="AF124" s="25">
        <f>_xll.DBRW($C$2,$AD$1,AD$2,$D$18,$D$3,$D124,$E124,$F124,AF$3)</f>
        <v>1</v>
      </c>
      <c r="AG124" s="64">
        <f>_xll.DBRW($C$2,$AD$1,AD$2,$D$18,$D$3,$D124,$E124,$F124,AG$3)</f>
        <v>1</v>
      </c>
      <c r="AH124" s="58">
        <f>_xll.DBRW($C$2,$AD$1,AD$2,$D$18,$D$3,$D124,$E124,$F124,AH$3)</f>
        <v>0</v>
      </c>
      <c r="AI124" s="48">
        <f t="shared" si="39"/>
        <v>16</v>
      </c>
      <c r="AJ124" s="39">
        <f>_xll.DBRW($C$2,$AJ$1,AJ$2,$D$18,$D$3,$D124,$E124,$F124,AJ$3)</f>
        <v>0</v>
      </c>
      <c r="AK124" s="25" cm="1">
        <f t="array" ref="AK124">_xll.DBRW($E$2,AJ$1,AJ$2,$D$18,$D$3,$D124,$E124,$F124,$F$3,AK$3)</f>
        <v>0</v>
      </c>
      <c r="AL124" s="25">
        <f>_xll.DBRW($C$2,$AJ$1,AJ$2,$D$18,$D$3,$D124,$E124,$F124,AL$3)</f>
        <v>1</v>
      </c>
      <c r="AM124" s="64">
        <f>_xll.DBRW($C$2,$AJ$1,AJ$2,$D$18,$D$3,$D124,$E124,$F124,AM$3)</f>
        <v>1</v>
      </c>
      <c r="AN124" s="58">
        <f>_xll.DBRW($C$2,$AJ$1,AJ$2,$D$18,$D$3,$D124,$E124,$F124,AN$3)</f>
        <v>0</v>
      </c>
      <c r="AO124" s="48">
        <f t="shared" si="40"/>
        <v>15</v>
      </c>
      <c r="AP124" s="39">
        <f>_xll.DBRW($C$2,$AP$1,AP$2,$D$18,$D$3,$D124,$E124,$F124,AP$3)</f>
        <v>0</v>
      </c>
      <c r="AQ124" s="25" cm="1">
        <f t="array" ref="AQ124">_xll.DBRW($E$2,AP$1,AP$2,$D$18,$D$3,$D124,$E124,$F124,$F$3,AQ$3)</f>
        <v>0</v>
      </c>
      <c r="AR124" s="25">
        <f>_xll.DBRW($C$2,$AP$1,AP$2,$D$18,$D$3,$D124,$E124,$F124,AR$3)</f>
        <v>1</v>
      </c>
      <c r="AS124" s="64">
        <f>_xll.DBRW($C$2,$AP$1,AP$2,$D$18,$D$3,$D124,$E124,$F124,AS$3)</f>
        <v>0</v>
      </c>
      <c r="AT124" s="58">
        <f>_xll.DBRW($C$2,$AP$1,AP$2,$D$18,$D$3,$D124,$E124,$F124,AT$3)</f>
        <v>0</v>
      </c>
      <c r="AU124" s="48">
        <f t="shared" si="41"/>
        <v>14</v>
      </c>
      <c r="AV124" s="39">
        <f>_xll.DBRW($C$2,$AV$1,AV$2,$D$18,$D$3,$D124,$E124,$F124,AV$3)</f>
        <v>0</v>
      </c>
      <c r="AW124" s="25" cm="1">
        <f t="array" ref="AW124">_xll.DBRW($E$2,AV$1,AV$2,$D$18,$D$3,$D124,$E124,$F124,$F$3,AW$3)</f>
        <v>0</v>
      </c>
      <c r="AX124" s="25">
        <f>_xll.DBRW($C$2,$AV$1,AV$2,$D$18,$D$3,$D124,$E124,$F124,AX$3)</f>
        <v>1</v>
      </c>
      <c r="AY124" s="64">
        <f>_xll.DBRW($C$2,$AV$1,AV$2,$D$18,$D$3,$D124,$E124,$F124,AY$3)</f>
        <v>1</v>
      </c>
      <c r="AZ124" s="58">
        <f>_xll.DBRW($C$2,$AV$1,AV$2,$D$18,$D$3,$D124,$E124,$F124,AZ$3)</f>
        <v>0</v>
      </c>
      <c r="BA124" s="48">
        <f t="shared" si="42"/>
        <v>13</v>
      </c>
      <c r="BB124" s="39">
        <f>_xll.DBRW($C$2,$BB$1,BB$2,$D$18,$D$3,$D124,$E124,$F124,BB$3)</f>
        <v>0</v>
      </c>
      <c r="BC124" s="25" cm="1">
        <f t="array" ref="BC124">_xll.DBRW($E$2,BB$1,BB$2,$D$18,$D$3,$D124,$E124,$F124,$F$3,BC$3)</f>
        <v>0</v>
      </c>
      <c r="BD124" s="25">
        <f>_xll.DBRW($C$2,$BB$1,BB$2,$D$18,$D$3,$D124,$E124,$F124,BD$3)</f>
        <v>1</v>
      </c>
      <c r="BE124" s="64">
        <f>_xll.DBRW($C$2,$BB$1,BB$2,$D$18,$D$3,$D124,$E124,$F124,BE$3)</f>
        <v>1</v>
      </c>
      <c r="BF124" s="58">
        <f>_xll.DBRW($C$2,$BB$1,BB$2,$D$18,$D$3,$D124,$E124,$F124,BF$3)</f>
        <v>0</v>
      </c>
      <c r="BG124" s="48">
        <f t="shared" si="43"/>
        <v>12</v>
      </c>
      <c r="BH124" s="39">
        <f>_xll.DBRW($C$2,$BH$1,BH$2,$D$18,$D$3,$D124,$E124,$F124,BH$3)</f>
        <v>0</v>
      </c>
      <c r="BI124" s="25" cm="1">
        <f t="array" ref="BI124">_xll.DBRW($E$2,BH$1,BH$2,$D$18,$D$3,$D124,$E124,$F124,$F$3,BI$3)</f>
        <v>0</v>
      </c>
      <c r="BJ124" s="25">
        <f>_xll.DBRW($C$2,$BH$1,BH$2,$D$18,$D$3,$D124,$E124,$F124,BJ$3)</f>
        <v>1</v>
      </c>
      <c r="BK124" s="64">
        <f>_xll.DBRW($C$2,$BH$1,BH$2,$D$18,$D$3,$D124,$E124,$F124,BK$3)</f>
        <v>1</v>
      </c>
      <c r="BL124" s="58">
        <f>_xll.DBRW($C$2,$BH$1,BH$2,$D$18,$D$3,$D124,$E124,$F124,BL$3)</f>
        <v>0</v>
      </c>
      <c r="BM124" s="48">
        <f t="shared" si="44"/>
        <v>11</v>
      </c>
      <c r="BN124" s="39">
        <f>_xll.DBRW($C$2,$BN$1,BN$2,$D$18,$D$3,$D124,$E124,$F124,BN$3)</f>
        <v>0</v>
      </c>
      <c r="BO124" s="25" cm="1">
        <f t="array" ref="BO124">_xll.DBRW($E$2,BN$1,BN$2,$D$18,$D$3,$D124,$E124,$F124,$F$3,BO$3)</f>
        <v>0</v>
      </c>
      <c r="BP124" s="25">
        <f>_xll.DBRW($C$2,$BN$1,BN$2,$D$18,$D$3,$D124,$E124,$F124,BP$3)</f>
        <v>1</v>
      </c>
      <c r="BQ124" s="64">
        <f>_xll.DBRW($C$2,$BN$1,BN$2,$D$18,$D$3,$D124,$E124,$F124,BQ$3)</f>
        <v>0</v>
      </c>
      <c r="BR124" s="58">
        <f>_xll.DBRW($C$2,$BN$1,BN$2,$D$18,$D$3,$D124,$E124,$F124,BR$3)</f>
        <v>0</v>
      </c>
      <c r="BS124" s="48">
        <f t="shared" si="45"/>
        <v>10</v>
      </c>
      <c r="BT124" s="39">
        <f>_xll.DBRW($C$2,$BT$1,BT$2,$D$18,$D$3,$D124,$E124,$F124,BT$3)</f>
        <v>0</v>
      </c>
      <c r="BU124" s="25" cm="1">
        <f t="array" ref="BU124">_xll.DBRW($E$2,BT$1,BT$2,$D$18,$D$3,$D124,$E124,$F124,$F$3,BU$3)</f>
        <v>0</v>
      </c>
      <c r="BV124" s="25">
        <f>_xll.DBRW($C$2,$BT$1,BT$2,$D$18,$D$3,$D124,$E124,$F124,BV$3)</f>
        <v>1</v>
      </c>
      <c r="BW124" s="64">
        <f>_xll.DBRW($C$2,$BT$1,BT$2,$D$18,$D$3,$D124,$E124,$F124,BW$3)</f>
        <v>0</v>
      </c>
      <c r="BX124" s="58">
        <f>_xll.DBRW($C$2,$BT$1,BT$2,$D$18,$D$3,$D124,$E124,$F124,BX$3)</f>
        <v>0</v>
      </c>
      <c r="BY124" s="48">
        <f t="shared" si="46"/>
        <v>9</v>
      </c>
      <c r="BZ124" s="39">
        <f>_xll.DBRW($C$2,$BZ$1,BZ$2,$D$18,$D$3,$D124,$E124,$F124,BZ$3)</f>
        <v>0</v>
      </c>
      <c r="CA124" s="25" cm="1">
        <f t="array" ref="CA124">_xll.DBRW($E$2,BZ$1,BZ$2,$D$18,$D$3,$D124,$E124,$F124,$F$3,CA$3)</f>
        <v>0</v>
      </c>
      <c r="CB124" s="25">
        <f>_xll.DBRW($C$2,$BZ$1,BZ$2,$D$18,$D$3,$D124,$E124,$F124,CB$3)</f>
        <v>1</v>
      </c>
      <c r="CC124" s="64">
        <f>_xll.DBRW($C$2,$BZ$1,BZ$2,$D$18,$D$3,$D124,$E124,$F124,CC$3)</f>
        <v>0</v>
      </c>
      <c r="CD124" s="58">
        <f>_xll.DBRW($C$2,$BZ$1,BZ$2,$D$18,$D$3,$D124,$E124,$F124,CD$3)</f>
        <v>0</v>
      </c>
      <c r="CE124" s="48">
        <f t="shared" si="47"/>
        <v>8</v>
      </c>
    </row>
    <row r="125" spans="1:83" s="23" customFormat="1" outlineLevel="1" thickBot="1" x14ac:dyDescent="0.3">
      <c r="A125" s="91" t="str">
        <f>IF(_xll.TM1RPTELISCONSOLIDATED($F$22,$F125),IF(_xll.TM1RPTELLEV($F$22,$F125)&lt;=5,_xll.TM1RPTELLEV($F$22,$F125),"Default"),"Leaf")</f>
        <v>Leaf</v>
      </c>
      <c r="B125" s="24" t="str">
        <f>_xll.DBRW("TM1-S1_DEV:}ElementAttributes_SP_SKU",$D125,B$1)</f>
        <v>Primary</v>
      </c>
      <c r="C125" s="24" t="str">
        <f>_xll.DBRW("TM1-S1_DEV:}ElementAttributes_SP_SKU",$D125,C$1)</f>
        <v>TRAY</v>
      </c>
      <c r="D125" s="28" t="s">
        <v>432</v>
      </c>
      <c r="E125" s="28" t="s">
        <v>260</v>
      </c>
      <c r="F125" s="28" t="s">
        <v>30</v>
      </c>
      <c r="G125" s="4">
        <f>_xll.DBRW($C$2,$G$19,G$20,$D$18,$D$3,$D125,$E125,$F125,G$3)</f>
        <v>6</v>
      </c>
      <c r="H125" s="54">
        <f t="shared" si="36"/>
        <v>-2</v>
      </c>
      <c r="I125" s="4"/>
      <c r="J125" s="25">
        <f>_xll.DBRW($C$2,$J$1,J$2,$D$18,$D$3,$D125,$E125,$F125,J$3)</f>
        <v>4</v>
      </c>
      <c r="K125" s="39">
        <f>_xll.DBRW($C$2,$J$1,J$2,$D$18,$D$3,$D125,$E125,$F125,K$3)</f>
        <v>0</v>
      </c>
      <c r="L125" s="25">
        <f>_xll.DBRW($C$2,$J$1,J$2,$D$18,$D$3,$D125,$E125,$F125,L$3)</f>
        <v>0</v>
      </c>
      <c r="M125" s="25">
        <f>_xll.DBRW($C$2,$J$1,J$2,$D$18,$D$3,$D125,$E125,$F125,M$3)</f>
        <v>24</v>
      </c>
      <c r="N125" s="25">
        <f>_xll.DBRW($C$2,$J$1,J$2,$D$18,$D$3,$D125,$E125,$F125,N$3)</f>
        <v>1</v>
      </c>
      <c r="O125" s="64">
        <f>_xll.DBRW($C$2,$J$1,J$2,$D$18,$D$3,$D125,$E125,$F125,O$3)</f>
        <v>1</v>
      </c>
      <c r="P125" s="58">
        <f>_xll.DBRW($C$2,$J$1,J$2,$D$18,$D$3,$D125,$E125,$F125,P$3)</f>
        <v>0</v>
      </c>
      <c r="Q125" s="48">
        <f>_xll.DBRW($C$2,$J$1,J$2,$D$18,$D$3,$D125,$E125,$F125,Q$3)</f>
        <v>27</v>
      </c>
      <c r="R125" s="39">
        <f>_xll.DBRW($C$2,$R$1,R$2,$D$18,$D$3,$D125,$E125,$F125,R$3)</f>
        <v>0</v>
      </c>
      <c r="S125" s="25" cm="1">
        <f t="array" ref="S125">_xll.DBRW($E$2,R$1,R$2,$D$18,$D$3,$D125,$E125,$F125,$F$3,S$3)</f>
        <v>0</v>
      </c>
      <c r="T125" s="25">
        <f>_xll.DBRW($C$2,$R$1,R$2,$D$18,$D$3,$D125,$E125,$F125,T$3)</f>
        <v>0</v>
      </c>
      <c r="U125" s="64">
        <f>_xll.DBRW($C$2,$R$1,R$2,$D$18,$D$3,$D125,$E125,$F125,U$3)</f>
        <v>0</v>
      </c>
      <c r="V125" s="58">
        <f>_xll.DBRW($C$2,$R$1,R$2,$D$18,$D$3,$D125,$E125,$F125,V$3)</f>
        <v>0</v>
      </c>
      <c r="W125" s="48">
        <f t="shared" si="37"/>
        <v>27</v>
      </c>
      <c r="X125" s="39">
        <f>_xll.DBRW($C$2,$X$1,X$2,$D$18,$D$3,$D125,$E125,$F125,X$3)</f>
        <v>0</v>
      </c>
      <c r="Y125" s="25" cm="1">
        <f t="array" ref="Y125">_xll.DBRW($E$2,X$1,X$2,$D$18,$D$3,$D125,$E125,$F125,$F$3,Y$3)</f>
        <v>0</v>
      </c>
      <c r="Z125" s="25">
        <f>_xll.DBRW($C$2,$X$1,X$2,$D$18,$D$3,$D125,$E125,$F125,Z$3)</f>
        <v>3</v>
      </c>
      <c r="AA125" s="64">
        <f>_xll.DBRW($C$2,$X$1,X$2,$D$18,$D$3,$D125,$E125,$F125,AA$3)</f>
        <v>0</v>
      </c>
      <c r="AB125" s="58">
        <f>_xll.DBRW($C$2,$X$1,X$2,$D$18,$D$3,$D125,$E125,$F125,AB$3)</f>
        <v>0</v>
      </c>
      <c r="AC125" s="48">
        <f t="shared" si="38"/>
        <v>24</v>
      </c>
      <c r="AD125" s="39">
        <f>_xll.DBRW($C$2,$AD$1,AD$2,$D$18,$D$3,$D125,$E125,$F125,AD$3)</f>
        <v>0</v>
      </c>
      <c r="AE125" s="25" cm="1">
        <f t="array" ref="AE125">_xll.DBRW($E$2,AD$1,AD$2,$D$18,$D$3,$D125,$E125,$F125,$F$3,AE$3)</f>
        <v>0</v>
      </c>
      <c r="AF125" s="25">
        <f>_xll.DBRW($C$2,$AD$1,AD$2,$D$18,$D$3,$D125,$E125,$F125,AF$3)</f>
        <v>3</v>
      </c>
      <c r="AG125" s="64">
        <f>_xll.DBRW($C$2,$AD$1,AD$2,$D$18,$D$3,$D125,$E125,$F125,AG$3)</f>
        <v>0</v>
      </c>
      <c r="AH125" s="58">
        <f>_xll.DBRW($C$2,$AD$1,AD$2,$D$18,$D$3,$D125,$E125,$F125,AH$3)</f>
        <v>0</v>
      </c>
      <c r="AI125" s="48">
        <f t="shared" si="39"/>
        <v>21</v>
      </c>
      <c r="AJ125" s="39">
        <f>_xll.DBRW($C$2,$AJ$1,AJ$2,$D$18,$D$3,$D125,$E125,$F125,AJ$3)</f>
        <v>0</v>
      </c>
      <c r="AK125" s="25" cm="1">
        <f t="array" ref="AK125">_xll.DBRW($E$2,AJ$1,AJ$2,$D$18,$D$3,$D125,$E125,$F125,$F$3,AK$3)</f>
        <v>0</v>
      </c>
      <c r="AL125" s="25">
        <f>_xll.DBRW($C$2,$AJ$1,AJ$2,$D$18,$D$3,$D125,$E125,$F125,AL$3)</f>
        <v>3</v>
      </c>
      <c r="AM125" s="64">
        <f>_xll.DBRW($C$2,$AJ$1,AJ$2,$D$18,$D$3,$D125,$E125,$F125,AM$3)</f>
        <v>0</v>
      </c>
      <c r="AN125" s="58">
        <f>_xll.DBRW($C$2,$AJ$1,AJ$2,$D$18,$D$3,$D125,$E125,$F125,AN$3)</f>
        <v>0</v>
      </c>
      <c r="AO125" s="48">
        <f t="shared" si="40"/>
        <v>18</v>
      </c>
      <c r="AP125" s="39">
        <f>_xll.DBRW($C$2,$AP$1,AP$2,$D$18,$D$3,$D125,$E125,$F125,AP$3)</f>
        <v>0</v>
      </c>
      <c r="AQ125" s="25" cm="1">
        <f t="array" ref="AQ125">_xll.DBRW($E$2,AP$1,AP$2,$D$18,$D$3,$D125,$E125,$F125,$F$3,AQ$3)</f>
        <v>0</v>
      </c>
      <c r="AR125" s="25">
        <f>_xll.DBRW($C$2,$AP$1,AP$2,$D$18,$D$3,$D125,$E125,$F125,AR$3)</f>
        <v>3</v>
      </c>
      <c r="AS125" s="64">
        <f>_xll.DBRW($C$2,$AP$1,AP$2,$D$18,$D$3,$D125,$E125,$F125,AS$3)</f>
        <v>0</v>
      </c>
      <c r="AT125" s="58">
        <f>_xll.DBRW($C$2,$AP$1,AP$2,$D$18,$D$3,$D125,$E125,$F125,AT$3)</f>
        <v>0</v>
      </c>
      <c r="AU125" s="48">
        <f t="shared" si="41"/>
        <v>15</v>
      </c>
      <c r="AV125" s="39">
        <f>_xll.DBRW($C$2,$AV$1,AV$2,$D$18,$D$3,$D125,$E125,$F125,AV$3)</f>
        <v>0</v>
      </c>
      <c r="AW125" s="25" cm="1">
        <f t="array" ref="AW125">_xll.DBRW($E$2,AV$1,AV$2,$D$18,$D$3,$D125,$E125,$F125,$F$3,AW$3)</f>
        <v>0</v>
      </c>
      <c r="AX125" s="25">
        <f>_xll.DBRW($C$2,$AV$1,AV$2,$D$18,$D$3,$D125,$E125,$F125,AX$3)</f>
        <v>3</v>
      </c>
      <c r="AY125" s="64">
        <f>_xll.DBRW($C$2,$AV$1,AV$2,$D$18,$D$3,$D125,$E125,$F125,AY$3)</f>
        <v>0</v>
      </c>
      <c r="AZ125" s="58">
        <f>_xll.DBRW($C$2,$AV$1,AV$2,$D$18,$D$3,$D125,$E125,$F125,AZ$3)</f>
        <v>0</v>
      </c>
      <c r="BA125" s="48">
        <f t="shared" si="42"/>
        <v>12</v>
      </c>
      <c r="BB125" s="39">
        <f>_xll.DBRW($C$2,$BB$1,BB$2,$D$18,$D$3,$D125,$E125,$F125,BB$3)</f>
        <v>0</v>
      </c>
      <c r="BC125" s="25" cm="1">
        <f t="array" ref="BC125">_xll.DBRW($E$2,BB$1,BB$2,$D$18,$D$3,$D125,$E125,$F125,$F$3,BC$3)</f>
        <v>0</v>
      </c>
      <c r="BD125" s="25">
        <f>_xll.DBRW($C$2,$BB$1,BB$2,$D$18,$D$3,$D125,$E125,$F125,BD$3)</f>
        <v>3</v>
      </c>
      <c r="BE125" s="64">
        <f>_xll.DBRW($C$2,$BB$1,BB$2,$D$18,$D$3,$D125,$E125,$F125,BE$3)</f>
        <v>0</v>
      </c>
      <c r="BF125" s="58">
        <f>_xll.DBRW($C$2,$BB$1,BB$2,$D$18,$D$3,$D125,$E125,$F125,BF$3)</f>
        <v>0</v>
      </c>
      <c r="BG125" s="48">
        <f t="shared" si="43"/>
        <v>9</v>
      </c>
      <c r="BH125" s="39">
        <f>_xll.DBRW($C$2,$BH$1,BH$2,$D$18,$D$3,$D125,$E125,$F125,BH$3)</f>
        <v>0</v>
      </c>
      <c r="BI125" s="25" cm="1">
        <f t="array" ref="BI125">_xll.DBRW($E$2,BH$1,BH$2,$D$18,$D$3,$D125,$E125,$F125,$F$3,BI$3)</f>
        <v>0</v>
      </c>
      <c r="BJ125" s="25">
        <f>_xll.DBRW($C$2,$BH$1,BH$2,$D$18,$D$3,$D125,$E125,$F125,BJ$3)</f>
        <v>3</v>
      </c>
      <c r="BK125" s="64">
        <f>_xll.DBRW($C$2,$BH$1,BH$2,$D$18,$D$3,$D125,$E125,$F125,BK$3)</f>
        <v>0</v>
      </c>
      <c r="BL125" s="58">
        <f>_xll.DBRW($C$2,$BH$1,BH$2,$D$18,$D$3,$D125,$E125,$F125,BL$3)</f>
        <v>0</v>
      </c>
      <c r="BM125" s="48">
        <f t="shared" si="44"/>
        <v>6</v>
      </c>
      <c r="BN125" s="39">
        <f>_xll.DBRW($C$2,$BN$1,BN$2,$D$18,$D$3,$D125,$E125,$F125,BN$3)</f>
        <v>0</v>
      </c>
      <c r="BO125" s="25" cm="1">
        <f t="array" ref="BO125">_xll.DBRW($E$2,BN$1,BN$2,$D$18,$D$3,$D125,$E125,$F125,$F$3,BO$3)</f>
        <v>0</v>
      </c>
      <c r="BP125" s="25">
        <f>_xll.DBRW($C$2,$BN$1,BN$2,$D$18,$D$3,$D125,$E125,$F125,BP$3)</f>
        <v>3</v>
      </c>
      <c r="BQ125" s="64">
        <f>_xll.DBRW($C$2,$BN$1,BN$2,$D$18,$D$3,$D125,$E125,$F125,BQ$3)</f>
        <v>0</v>
      </c>
      <c r="BR125" s="58">
        <f>_xll.DBRW($C$2,$BN$1,BN$2,$D$18,$D$3,$D125,$E125,$F125,BR$3)</f>
        <v>0</v>
      </c>
      <c r="BS125" s="48">
        <f t="shared" si="45"/>
        <v>3</v>
      </c>
      <c r="BT125" s="39">
        <f>_xll.DBRW($C$2,$BT$1,BT$2,$D$18,$D$3,$D125,$E125,$F125,BT$3)</f>
        <v>0</v>
      </c>
      <c r="BU125" s="25" cm="1">
        <f t="array" ref="BU125">_xll.DBRW($E$2,BT$1,BT$2,$D$18,$D$3,$D125,$E125,$F125,$F$3,BU$3)</f>
        <v>0</v>
      </c>
      <c r="BV125" s="25">
        <f>_xll.DBRW($C$2,$BT$1,BT$2,$D$18,$D$3,$D125,$E125,$F125,BV$3)</f>
        <v>3</v>
      </c>
      <c r="BW125" s="64">
        <f>_xll.DBRW($C$2,$BT$1,BT$2,$D$18,$D$3,$D125,$E125,$F125,BW$3)</f>
        <v>0</v>
      </c>
      <c r="BX125" s="58">
        <f>_xll.DBRW($C$2,$BT$1,BT$2,$D$18,$D$3,$D125,$E125,$F125,BX$3)</f>
        <v>0</v>
      </c>
      <c r="BY125" s="48">
        <f t="shared" si="46"/>
        <v>0</v>
      </c>
      <c r="BZ125" s="39">
        <f>_xll.DBRW($C$2,$BZ$1,BZ$2,$D$18,$D$3,$D125,$E125,$F125,BZ$3)</f>
        <v>0</v>
      </c>
      <c r="CA125" s="25" cm="1">
        <f t="array" ref="CA125">_xll.DBRW($E$2,BZ$1,BZ$2,$D$18,$D$3,$D125,$E125,$F125,$F$3,CA$3)</f>
        <v>0</v>
      </c>
      <c r="CB125" s="25">
        <f>_xll.DBRW($C$2,$BZ$1,BZ$2,$D$18,$D$3,$D125,$E125,$F125,CB$3)</f>
        <v>3</v>
      </c>
      <c r="CC125" s="64">
        <f>_xll.DBRW($C$2,$BZ$1,BZ$2,$D$18,$D$3,$D125,$E125,$F125,CC$3)</f>
        <v>0</v>
      </c>
      <c r="CD125" s="58">
        <f>_xll.DBRW($C$2,$BZ$1,BZ$2,$D$18,$D$3,$D125,$E125,$F125,CD$3)</f>
        <v>0</v>
      </c>
      <c r="CE125" s="48">
        <f t="shared" si="47"/>
        <v>-3</v>
      </c>
    </row>
    <row r="126" spans="1:83" s="23" customFormat="1" outlineLevel="1" thickBot="1" x14ac:dyDescent="0.3">
      <c r="A126" s="91" t="str">
        <f>IF(_xll.TM1RPTELISCONSOLIDATED($F$22,$F126),IF(_xll.TM1RPTELLEV($F$22,$F126)&lt;=5,_xll.TM1RPTELLEV($F$22,$F126),"Default"),"Leaf")</f>
        <v>Leaf</v>
      </c>
      <c r="B126" s="24" t="str">
        <f>_xll.DBRW("TM1-S1_DEV:}ElementAttributes_SP_SKU",$D126,B$1)</f>
        <v>Primary</v>
      </c>
      <c r="C126" s="24" t="str">
        <f>_xll.DBRW("TM1-S1_DEV:}ElementAttributes_SP_SKU",$D126,C$1)</f>
        <v>TRAY</v>
      </c>
      <c r="D126" s="28" t="s">
        <v>433</v>
      </c>
      <c r="E126" s="28" t="s">
        <v>261</v>
      </c>
      <c r="F126" s="28" t="s">
        <v>30</v>
      </c>
      <c r="G126" s="4">
        <f>_xll.DBRW($C$2,$G$19,G$20,$D$18,$D$3,$D126,$E126,$F126,G$3)</f>
        <v>5</v>
      </c>
      <c r="H126" s="54">
        <f t="shared" si="36"/>
        <v>2</v>
      </c>
      <c r="I126" s="4"/>
      <c r="J126" s="25">
        <f>_xll.DBRW($C$2,$J$1,J$2,$D$18,$D$3,$D126,$E126,$F126,J$3)</f>
        <v>7</v>
      </c>
      <c r="K126" s="39">
        <f>_xll.DBRW($C$2,$J$1,J$2,$D$18,$D$3,$D126,$E126,$F126,K$3)</f>
        <v>0</v>
      </c>
      <c r="L126" s="25">
        <f>_xll.DBRW($C$2,$J$1,J$2,$D$18,$D$3,$D126,$E126,$F126,L$3)</f>
        <v>0</v>
      </c>
      <c r="M126" s="25">
        <f>_xll.DBRW($C$2,$J$1,J$2,$D$18,$D$3,$D126,$E126,$F126,M$3)</f>
        <v>0</v>
      </c>
      <c r="N126" s="25">
        <f>_xll.DBRW($C$2,$J$1,J$2,$D$18,$D$3,$D126,$E126,$F126,N$3)</f>
        <v>5</v>
      </c>
      <c r="O126" s="64">
        <f>_xll.DBRW($C$2,$J$1,J$2,$D$18,$D$3,$D126,$E126,$F126,O$3)</f>
        <v>1</v>
      </c>
      <c r="P126" s="58">
        <f>_xll.DBRW($C$2,$J$1,J$2,$D$18,$D$3,$D126,$E126,$F126,P$3)</f>
        <v>0</v>
      </c>
      <c r="Q126" s="48">
        <f>_xll.DBRW($C$2,$J$1,J$2,$D$18,$D$3,$D126,$E126,$F126,Q$3)</f>
        <v>2</v>
      </c>
      <c r="R126" s="39">
        <f>_xll.DBRW($C$2,$R$1,R$2,$D$18,$D$3,$D126,$E126,$F126,R$3)</f>
        <v>0</v>
      </c>
      <c r="S126" s="25" cm="1">
        <f t="array" ref="S126">_xll.DBRW($E$2,R$1,R$2,$D$18,$D$3,$D126,$E126,$F126,$F$3,S$3)</f>
        <v>0</v>
      </c>
      <c r="T126" s="25">
        <f>_xll.DBRW($C$2,$R$1,R$2,$D$18,$D$3,$D126,$E126,$F126,T$3)</f>
        <v>0</v>
      </c>
      <c r="U126" s="64">
        <f>_xll.DBRW($C$2,$R$1,R$2,$D$18,$D$3,$D126,$E126,$F126,U$3)</f>
        <v>0</v>
      </c>
      <c r="V126" s="58">
        <f>_xll.DBRW($C$2,$R$1,R$2,$D$18,$D$3,$D126,$E126,$F126,V$3)</f>
        <v>0</v>
      </c>
      <c r="W126" s="48">
        <f t="shared" si="37"/>
        <v>2</v>
      </c>
      <c r="X126" s="39">
        <f>_xll.DBRW($C$2,$X$1,X$2,$D$18,$D$3,$D126,$E126,$F126,X$3)</f>
        <v>0</v>
      </c>
      <c r="Y126" s="25" cm="1">
        <f t="array" ref="Y126">_xll.DBRW($E$2,X$1,X$2,$D$18,$D$3,$D126,$E126,$F126,$F$3,Y$3)</f>
        <v>0</v>
      </c>
      <c r="Z126" s="25">
        <f>_xll.DBRW($C$2,$X$1,X$2,$D$18,$D$3,$D126,$E126,$F126,Z$3)</f>
        <v>2</v>
      </c>
      <c r="AA126" s="64">
        <f>_xll.DBRW($C$2,$X$1,X$2,$D$18,$D$3,$D126,$E126,$F126,AA$3)</f>
        <v>0</v>
      </c>
      <c r="AB126" s="58">
        <f>_xll.DBRW($C$2,$X$1,X$2,$D$18,$D$3,$D126,$E126,$F126,AB$3)</f>
        <v>0</v>
      </c>
      <c r="AC126" s="48">
        <f t="shared" si="38"/>
        <v>0</v>
      </c>
      <c r="AD126" s="39">
        <f>_xll.DBRW($C$2,$AD$1,AD$2,$D$18,$D$3,$D126,$E126,$F126,AD$3)</f>
        <v>0</v>
      </c>
      <c r="AE126" s="25" cm="1">
        <f t="array" ref="AE126">_xll.DBRW($E$2,AD$1,AD$2,$D$18,$D$3,$D126,$E126,$F126,$F$3,AE$3)</f>
        <v>0</v>
      </c>
      <c r="AF126" s="25">
        <f>_xll.DBRW($C$2,$AD$1,AD$2,$D$18,$D$3,$D126,$E126,$F126,AF$3)</f>
        <v>2</v>
      </c>
      <c r="AG126" s="64">
        <f>_xll.DBRW($C$2,$AD$1,AD$2,$D$18,$D$3,$D126,$E126,$F126,AG$3)</f>
        <v>0</v>
      </c>
      <c r="AH126" s="58">
        <f>_xll.DBRW($C$2,$AD$1,AD$2,$D$18,$D$3,$D126,$E126,$F126,AH$3)</f>
        <v>0</v>
      </c>
      <c r="AI126" s="48">
        <f t="shared" si="39"/>
        <v>-2</v>
      </c>
      <c r="AJ126" s="39">
        <f>_xll.DBRW($C$2,$AJ$1,AJ$2,$D$18,$D$3,$D126,$E126,$F126,AJ$3)</f>
        <v>0</v>
      </c>
      <c r="AK126" s="25" cm="1">
        <f t="array" ref="AK126">_xll.DBRW($E$2,AJ$1,AJ$2,$D$18,$D$3,$D126,$E126,$F126,$F$3,AK$3)</f>
        <v>0</v>
      </c>
      <c r="AL126" s="25">
        <f>_xll.DBRW($C$2,$AJ$1,AJ$2,$D$18,$D$3,$D126,$E126,$F126,AL$3)</f>
        <v>2</v>
      </c>
      <c r="AM126" s="64">
        <f>_xll.DBRW($C$2,$AJ$1,AJ$2,$D$18,$D$3,$D126,$E126,$F126,AM$3)</f>
        <v>0</v>
      </c>
      <c r="AN126" s="58">
        <f>_xll.DBRW($C$2,$AJ$1,AJ$2,$D$18,$D$3,$D126,$E126,$F126,AN$3)</f>
        <v>0</v>
      </c>
      <c r="AO126" s="48">
        <f t="shared" si="40"/>
        <v>-4</v>
      </c>
      <c r="AP126" s="39">
        <f>_xll.DBRW($C$2,$AP$1,AP$2,$D$18,$D$3,$D126,$E126,$F126,AP$3)</f>
        <v>0</v>
      </c>
      <c r="AQ126" s="25" cm="1">
        <f t="array" ref="AQ126">_xll.DBRW($E$2,AP$1,AP$2,$D$18,$D$3,$D126,$E126,$F126,$F$3,AQ$3)</f>
        <v>0</v>
      </c>
      <c r="AR126" s="25">
        <f>_xll.DBRW($C$2,$AP$1,AP$2,$D$18,$D$3,$D126,$E126,$F126,AR$3)</f>
        <v>2</v>
      </c>
      <c r="AS126" s="64">
        <f>_xll.DBRW($C$2,$AP$1,AP$2,$D$18,$D$3,$D126,$E126,$F126,AS$3)</f>
        <v>0</v>
      </c>
      <c r="AT126" s="58">
        <f>_xll.DBRW($C$2,$AP$1,AP$2,$D$18,$D$3,$D126,$E126,$F126,AT$3)</f>
        <v>0</v>
      </c>
      <c r="AU126" s="48">
        <f t="shared" si="41"/>
        <v>-6</v>
      </c>
      <c r="AV126" s="39">
        <f>_xll.DBRW($C$2,$AV$1,AV$2,$D$18,$D$3,$D126,$E126,$F126,AV$3)</f>
        <v>0</v>
      </c>
      <c r="AW126" s="25" cm="1">
        <f t="array" ref="AW126">_xll.DBRW($E$2,AV$1,AV$2,$D$18,$D$3,$D126,$E126,$F126,$F$3,AW$3)</f>
        <v>0</v>
      </c>
      <c r="AX126" s="25">
        <f>_xll.DBRW($C$2,$AV$1,AV$2,$D$18,$D$3,$D126,$E126,$F126,AX$3)</f>
        <v>2</v>
      </c>
      <c r="AY126" s="64">
        <f>_xll.DBRW($C$2,$AV$1,AV$2,$D$18,$D$3,$D126,$E126,$F126,AY$3)</f>
        <v>0</v>
      </c>
      <c r="AZ126" s="58">
        <f>_xll.DBRW($C$2,$AV$1,AV$2,$D$18,$D$3,$D126,$E126,$F126,AZ$3)</f>
        <v>0</v>
      </c>
      <c r="BA126" s="48">
        <f t="shared" si="42"/>
        <v>-8</v>
      </c>
      <c r="BB126" s="39">
        <f>_xll.DBRW($C$2,$BB$1,BB$2,$D$18,$D$3,$D126,$E126,$F126,BB$3)</f>
        <v>0</v>
      </c>
      <c r="BC126" s="25" cm="1">
        <f t="array" ref="BC126">_xll.DBRW($E$2,BB$1,BB$2,$D$18,$D$3,$D126,$E126,$F126,$F$3,BC$3)</f>
        <v>0</v>
      </c>
      <c r="BD126" s="25">
        <f>_xll.DBRW($C$2,$BB$1,BB$2,$D$18,$D$3,$D126,$E126,$F126,BD$3)</f>
        <v>2</v>
      </c>
      <c r="BE126" s="64">
        <f>_xll.DBRW($C$2,$BB$1,BB$2,$D$18,$D$3,$D126,$E126,$F126,BE$3)</f>
        <v>0</v>
      </c>
      <c r="BF126" s="58">
        <f>_xll.DBRW($C$2,$BB$1,BB$2,$D$18,$D$3,$D126,$E126,$F126,BF$3)</f>
        <v>0</v>
      </c>
      <c r="BG126" s="48">
        <f t="shared" si="43"/>
        <v>-10</v>
      </c>
      <c r="BH126" s="39">
        <f>_xll.DBRW($C$2,$BH$1,BH$2,$D$18,$D$3,$D126,$E126,$F126,BH$3)</f>
        <v>0</v>
      </c>
      <c r="BI126" s="25" cm="1">
        <f t="array" ref="BI126">_xll.DBRW($E$2,BH$1,BH$2,$D$18,$D$3,$D126,$E126,$F126,$F$3,BI$3)</f>
        <v>0</v>
      </c>
      <c r="BJ126" s="25">
        <f>_xll.DBRW($C$2,$BH$1,BH$2,$D$18,$D$3,$D126,$E126,$F126,BJ$3)</f>
        <v>2</v>
      </c>
      <c r="BK126" s="64">
        <f>_xll.DBRW($C$2,$BH$1,BH$2,$D$18,$D$3,$D126,$E126,$F126,BK$3)</f>
        <v>0</v>
      </c>
      <c r="BL126" s="58">
        <f>_xll.DBRW($C$2,$BH$1,BH$2,$D$18,$D$3,$D126,$E126,$F126,BL$3)</f>
        <v>0</v>
      </c>
      <c r="BM126" s="48">
        <f t="shared" si="44"/>
        <v>-12</v>
      </c>
      <c r="BN126" s="39">
        <f>_xll.DBRW($C$2,$BN$1,BN$2,$D$18,$D$3,$D126,$E126,$F126,BN$3)</f>
        <v>0</v>
      </c>
      <c r="BO126" s="25" cm="1">
        <f t="array" ref="BO126">_xll.DBRW($E$2,BN$1,BN$2,$D$18,$D$3,$D126,$E126,$F126,$F$3,BO$3)</f>
        <v>0</v>
      </c>
      <c r="BP126" s="25">
        <f>_xll.DBRW($C$2,$BN$1,BN$2,$D$18,$D$3,$D126,$E126,$F126,BP$3)</f>
        <v>2</v>
      </c>
      <c r="BQ126" s="64">
        <f>_xll.DBRW($C$2,$BN$1,BN$2,$D$18,$D$3,$D126,$E126,$F126,BQ$3)</f>
        <v>0</v>
      </c>
      <c r="BR126" s="58">
        <f>_xll.DBRW($C$2,$BN$1,BN$2,$D$18,$D$3,$D126,$E126,$F126,BR$3)</f>
        <v>0</v>
      </c>
      <c r="BS126" s="48">
        <f t="shared" si="45"/>
        <v>-14</v>
      </c>
      <c r="BT126" s="39">
        <f>_xll.DBRW($C$2,$BT$1,BT$2,$D$18,$D$3,$D126,$E126,$F126,BT$3)</f>
        <v>0</v>
      </c>
      <c r="BU126" s="25" cm="1">
        <f t="array" ref="BU126">_xll.DBRW($E$2,BT$1,BT$2,$D$18,$D$3,$D126,$E126,$F126,$F$3,BU$3)</f>
        <v>0</v>
      </c>
      <c r="BV126" s="25">
        <f>_xll.DBRW($C$2,$BT$1,BT$2,$D$18,$D$3,$D126,$E126,$F126,BV$3)</f>
        <v>2</v>
      </c>
      <c r="BW126" s="64">
        <f>_xll.DBRW($C$2,$BT$1,BT$2,$D$18,$D$3,$D126,$E126,$F126,BW$3)</f>
        <v>0</v>
      </c>
      <c r="BX126" s="58">
        <f>_xll.DBRW($C$2,$BT$1,BT$2,$D$18,$D$3,$D126,$E126,$F126,BX$3)</f>
        <v>0</v>
      </c>
      <c r="BY126" s="48">
        <f t="shared" si="46"/>
        <v>-16</v>
      </c>
      <c r="BZ126" s="39">
        <f>_xll.DBRW($C$2,$BZ$1,BZ$2,$D$18,$D$3,$D126,$E126,$F126,BZ$3)</f>
        <v>0</v>
      </c>
      <c r="CA126" s="25" cm="1">
        <f t="array" ref="CA126">_xll.DBRW($E$2,BZ$1,BZ$2,$D$18,$D$3,$D126,$E126,$F126,$F$3,CA$3)</f>
        <v>0</v>
      </c>
      <c r="CB126" s="25">
        <f>_xll.DBRW($C$2,$BZ$1,BZ$2,$D$18,$D$3,$D126,$E126,$F126,CB$3)</f>
        <v>2</v>
      </c>
      <c r="CC126" s="64">
        <f>_xll.DBRW($C$2,$BZ$1,BZ$2,$D$18,$D$3,$D126,$E126,$F126,CC$3)</f>
        <v>0</v>
      </c>
      <c r="CD126" s="58">
        <f>_xll.DBRW($C$2,$BZ$1,BZ$2,$D$18,$D$3,$D126,$E126,$F126,CD$3)</f>
        <v>0</v>
      </c>
      <c r="CE126" s="48">
        <f t="shared" si="47"/>
        <v>-18</v>
      </c>
    </row>
    <row r="127" spans="1:83" s="23" customFormat="1" outlineLevel="1" thickBot="1" x14ac:dyDescent="0.3">
      <c r="A127" s="91" t="str">
        <f>IF(_xll.TM1RPTELISCONSOLIDATED($F$22,$F127),IF(_xll.TM1RPTELLEV($F$22,$F127)&lt;=5,_xll.TM1RPTELLEV($F$22,$F127),"Default"),"Leaf")</f>
        <v>Leaf</v>
      </c>
      <c r="B127" s="24" t="str">
        <f>_xll.DBRW("TM1-S1_DEV:}ElementAttributes_SP_SKU",$D127,B$1)</f>
        <v>Primary</v>
      </c>
      <c r="C127" s="24" t="str">
        <f>_xll.DBRW("TM1-S1_DEV:}ElementAttributes_SP_SKU",$D127,C$1)</f>
        <v>TRAY</v>
      </c>
      <c r="D127" s="28" t="s">
        <v>434</v>
      </c>
      <c r="E127" s="28" t="s">
        <v>262</v>
      </c>
      <c r="F127" s="28" t="s">
        <v>30</v>
      </c>
      <c r="G127" s="4">
        <f>_xll.DBRW($C$2,$G$19,G$20,$D$18,$D$3,$D127,$E127,$F127,G$3)</f>
        <v>5</v>
      </c>
      <c r="H127" s="54">
        <f t="shared" si="36"/>
        <v>2</v>
      </c>
      <c r="I127" s="4"/>
      <c r="J127" s="25">
        <f>_xll.DBRW($C$2,$J$1,J$2,$D$18,$D$3,$D127,$E127,$F127,J$3)</f>
        <v>7</v>
      </c>
      <c r="K127" s="39">
        <f>_xll.DBRW($C$2,$J$1,J$2,$D$18,$D$3,$D127,$E127,$F127,K$3)</f>
        <v>0</v>
      </c>
      <c r="L127" s="25">
        <f>_xll.DBRW($C$2,$J$1,J$2,$D$18,$D$3,$D127,$E127,$F127,L$3)</f>
        <v>0</v>
      </c>
      <c r="M127" s="25">
        <f>_xll.DBRW($C$2,$J$1,J$2,$D$18,$D$3,$D127,$E127,$F127,M$3)</f>
        <v>0</v>
      </c>
      <c r="N127" s="25">
        <f>_xll.DBRW($C$2,$J$1,J$2,$D$18,$D$3,$D127,$E127,$F127,N$3)</f>
        <v>5</v>
      </c>
      <c r="O127" s="64">
        <f>_xll.DBRW($C$2,$J$1,J$2,$D$18,$D$3,$D127,$E127,$F127,O$3)</f>
        <v>1</v>
      </c>
      <c r="P127" s="58">
        <f>_xll.DBRW($C$2,$J$1,J$2,$D$18,$D$3,$D127,$E127,$F127,P$3)</f>
        <v>0</v>
      </c>
      <c r="Q127" s="48">
        <f>_xll.DBRW($C$2,$J$1,J$2,$D$18,$D$3,$D127,$E127,$F127,Q$3)</f>
        <v>2</v>
      </c>
      <c r="R127" s="39">
        <f>_xll.DBRW($C$2,$R$1,R$2,$D$18,$D$3,$D127,$E127,$F127,R$3)</f>
        <v>0</v>
      </c>
      <c r="S127" s="25" cm="1">
        <f t="array" ref="S127">_xll.DBRW($E$2,R$1,R$2,$D$18,$D$3,$D127,$E127,$F127,$F$3,S$3)</f>
        <v>0</v>
      </c>
      <c r="T127" s="25">
        <f>_xll.DBRW($C$2,$R$1,R$2,$D$18,$D$3,$D127,$E127,$F127,T$3)</f>
        <v>0</v>
      </c>
      <c r="U127" s="64">
        <f>_xll.DBRW($C$2,$R$1,R$2,$D$18,$D$3,$D127,$E127,$F127,U$3)</f>
        <v>0</v>
      </c>
      <c r="V127" s="58">
        <f>_xll.DBRW($C$2,$R$1,R$2,$D$18,$D$3,$D127,$E127,$F127,V$3)</f>
        <v>0</v>
      </c>
      <c r="W127" s="48">
        <f t="shared" si="37"/>
        <v>2</v>
      </c>
      <c r="X127" s="39">
        <f>_xll.DBRW($C$2,$X$1,X$2,$D$18,$D$3,$D127,$E127,$F127,X$3)</f>
        <v>0</v>
      </c>
      <c r="Y127" s="25" cm="1">
        <f t="array" ref="Y127">_xll.DBRW($E$2,X$1,X$2,$D$18,$D$3,$D127,$E127,$F127,$F$3,Y$3)</f>
        <v>0</v>
      </c>
      <c r="Z127" s="25">
        <f>_xll.DBRW($C$2,$X$1,X$2,$D$18,$D$3,$D127,$E127,$F127,Z$3)</f>
        <v>3</v>
      </c>
      <c r="AA127" s="64">
        <f>_xll.DBRW($C$2,$X$1,X$2,$D$18,$D$3,$D127,$E127,$F127,AA$3)</f>
        <v>0</v>
      </c>
      <c r="AB127" s="58">
        <f>_xll.DBRW($C$2,$X$1,X$2,$D$18,$D$3,$D127,$E127,$F127,AB$3)</f>
        <v>0</v>
      </c>
      <c r="AC127" s="48">
        <f t="shared" si="38"/>
        <v>-1</v>
      </c>
      <c r="AD127" s="39">
        <f>_xll.DBRW($C$2,$AD$1,AD$2,$D$18,$D$3,$D127,$E127,$F127,AD$3)</f>
        <v>0</v>
      </c>
      <c r="AE127" s="25" cm="1">
        <f t="array" ref="AE127">_xll.DBRW($E$2,AD$1,AD$2,$D$18,$D$3,$D127,$E127,$F127,$F$3,AE$3)</f>
        <v>0</v>
      </c>
      <c r="AF127" s="25">
        <f>_xll.DBRW($C$2,$AD$1,AD$2,$D$18,$D$3,$D127,$E127,$F127,AF$3)</f>
        <v>3</v>
      </c>
      <c r="AG127" s="64">
        <f>_xll.DBRW($C$2,$AD$1,AD$2,$D$18,$D$3,$D127,$E127,$F127,AG$3)</f>
        <v>0</v>
      </c>
      <c r="AH127" s="58">
        <f>_xll.DBRW($C$2,$AD$1,AD$2,$D$18,$D$3,$D127,$E127,$F127,AH$3)</f>
        <v>0</v>
      </c>
      <c r="AI127" s="48">
        <f t="shared" si="39"/>
        <v>-4</v>
      </c>
      <c r="AJ127" s="39">
        <f>_xll.DBRW($C$2,$AJ$1,AJ$2,$D$18,$D$3,$D127,$E127,$F127,AJ$3)</f>
        <v>0</v>
      </c>
      <c r="AK127" s="25" cm="1">
        <f t="array" ref="AK127">_xll.DBRW($E$2,AJ$1,AJ$2,$D$18,$D$3,$D127,$E127,$F127,$F$3,AK$3)</f>
        <v>0</v>
      </c>
      <c r="AL127" s="25">
        <f>_xll.DBRW($C$2,$AJ$1,AJ$2,$D$18,$D$3,$D127,$E127,$F127,AL$3)</f>
        <v>3</v>
      </c>
      <c r="AM127" s="64">
        <f>_xll.DBRW($C$2,$AJ$1,AJ$2,$D$18,$D$3,$D127,$E127,$F127,AM$3)</f>
        <v>0</v>
      </c>
      <c r="AN127" s="58">
        <f>_xll.DBRW($C$2,$AJ$1,AJ$2,$D$18,$D$3,$D127,$E127,$F127,AN$3)</f>
        <v>0</v>
      </c>
      <c r="AO127" s="48">
        <f t="shared" si="40"/>
        <v>-7</v>
      </c>
      <c r="AP127" s="39">
        <f>_xll.DBRW($C$2,$AP$1,AP$2,$D$18,$D$3,$D127,$E127,$F127,AP$3)</f>
        <v>0</v>
      </c>
      <c r="AQ127" s="25" cm="1">
        <f t="array" ref="AQ127">_xll.DBRW($E$2,AP$1,AP$2,$D$18,$D$3,$D127,$E127,$F127,$F$3,AQ$3)</f>
        <v>0</v>
      </c>
      <c r="AR127" s="25">
        <f>_xll.DBRW($C$2,$AP$1,AP$2,$D$18,$D$3,$D127,$E127,$F127,AR$3)</f>
        <v>3</v>
      </c>
      <c r="AS127" s="64">
        <f>_xll.DBRW($C$2,$AP$1,AP$2,$D$18,$D$3,$D127,$E127,$F127,AS$3)</f>
        <v>0</v>
      </c>
      <c r="AT127" s="58">
        <f>_xll.DBRW($C$2,$AP$1,AP$2,$D$18,$D$3,$D127,$E127,$F127,AT$3)</f>
        <v>0</v>
      </c>
      <c r="AU127" s="48">
        <f t="shared" si="41"/>
        <v>-10</v>
      </c>
      <c r="AV127" s="39">
        <f>_xll.DBRW($C$2,$AV$1,AV$2,$D$18,$D$3,$D127,$E127,$F127,AV$3)</f>
        <v>0</v>
      </c>
      <c r="AW127" s="25" cm="1">
        <f t="array" ref="AW127">_xll.DBRW($E$2,AV$1,AV$2,$D$18,$D$3,$D127,$E127,$F127,$F$3,AW$3)</f>
        <v>0</v>
      </c>
      <c r="AX127" s="25">
        <f>_xll.DBRW($C$2,$AV$1,AV$2,$D$18,$D$3,$D127,$E127,$F127,AX$3)</f>
        <v>3</v>
      </c>
      <c r="AY127" s="64">
        <f>_xll.DBRW($C$2,$AV$1,AV$2,$D$18,$D$3,$D127,$E127,$F127,AY$3)</f>
        <v>0</v>
      </c>
      <c r="AZ127" s="58">
        <f>_xll.DBRW($C$2,$AV$1,AV$2,$D$18,$D$3,$D127,$E127,$F127,AZ$3)</f>
        <v>0</v>
      </c>
      <c r="BA127" s="48">
        <f t="shared" si="42"/>
        <v>-13</v>
      </c>
      <c r="BB127" s="39">
        <f>_xll.DBRW($C$2,$BB$1,BB$2,$D$18,$D$3,$D127,$E127,$F127,BB$3)</f>
        <v>0</v>
      </c>
      <c r="BC127" s="25" cm="1">
        <f t="array" ref="BC127">_xll.DBRW($E$2,BB$1,BB$2,$D$18,$D$3,$D127,$E127,$F127,$F$3,BC$3)</f>
        <v>0</v>
      </c>
      <c r="BD127" s="25">
        <f>_xll.DBRW($C$2,$BB$1,BB$2,$D$18,$D$3,$D127,$E127,$F127,BD$3)</f>
        <v>3</v>
      </c>
      <c r="BE127" s="64">
        <f>_xll.DBRW($C$2,$BB$1,BB$2,$D$18,$D$3,$D127,$E127,$F127,BE$3)</f>
        <v>0</v>
      </c>
      <c r="BF127" s="58">
        <f>_xll.DBRW($C$2,$BB$1,BB$2,$D$18,$D$3,$D127,$E127,$F127,BF$3)</f>
        <v>0</v>
      </c>
      <c r="BG127" s="48">
        <f t="shared" si="43"/>
        <v>-16</v>
      </c>
      <c r="BH127" s="39">
        <f>_xll.DBRW($C$2,$BH$1,BH$2,$D$18,$D$3,$D127,$E127,$F127,BH$3)</f>
        <v>0</v>
      </c>
      <c r="BI127" s="25" cm="1">
        <f t="array" ref="BI127">_xll.DBRW($E$2,BH$1,BH$2,$D$18,$D$3,$D127,$E127,$F127,$F$3,BI$3)</f>
        <v>0</v>
      </c>
      <c r="BJ127" s="25">
        <f>_xll.DBRW($C$2,$BH$1,BH$2,$D$18,$D$3,$D127,$E127,$F127,BJ$3)</f>
        <v>3</v>
      </c>
      <c r="BK127" s="64">
        <f>_xll.DBRW($C$2,$BH$1,BH$2,$D$18,$D$3,$D127,$E127,$F127,BK$3)</f>
        <v>0</v>
      </c>
      <c r="BL127" s="58">
        <f>_xll.DBRW($C$2,$BH$1,BH$2,$D$18,$D$3,$D127,$E127,$F127,BL$3)</f>
        <v>0</v>
      </c>
      <c r="BM127" s="48">
        <f t="shared" si="44"/>
        <v>-19</v>
      </c>
      <c r="BN127" s="39">
        <f>_xll.DBRW($C$2,$BN$1,BN$2,$D$18,$D$3,$D127,$E127,$F127,BN$3)</f>
        <v>0</v>
      </c>
      <c r="BO127" s="25" cm="1">
        <f t="array" ref="BO127">_xll.DBRW($E$2,BN$1,BN$2,$D$18,$D$3,$D127,$E127,$F127,$F$3,BO$3)</f>
        <v>0</v>
      </c>
      <c r="BP127" s="25">
        <f>_xll.DBRW($C$2,$BN$1,BN$2,$D$18,$D$3,$D127,$E127,$F127,BP$3)</f>
        <v>3</v>
      </c>
      <c r="BQ127" s="64">
        <f>_xll.DBRW($C$2,$BN$1,BN$2,$D$18,$D$3,$D127,$E127,$F127,BQ$3)</f>
        <v>0</v>
      </c>
      <c r="BR127" s="58">
        <f>_xll.DBRW($C$2,$BN$1,BN$2,$D$18,$D$3,$D127,$E127,$F127,BR$3)</f>
        <v>0</v>
      </c>
      <c r="BS127" s="48">
        <f t="shared" si="45"/>
        <v>-22</v>
      </c>
      <c r="BT127" s="39">
        <f>_xll.DBRW($C$2,$BT$1,BT$2,$D$18,$D$3,$D127,$E127,$F127,BT$3)</f>
        <v>0</v>
      </c>
      <c r="BU127" s="25" cm="1">
        <f t="array" ref="BU127">_xll.DBRW($E$2,BT$1,BT$2,$D$18,$D$3,$D127,$E127,$F127,$F$3,BU$3)</f>
        <v>0</v>
      </c>
      <c r="BV127" s="25">
        <f>_xll.DBRW($C$2,$BT$1,BT$2,$D$18,$D$3,$D127,$E127,$F127,BV$3)</f>
        <v>3</v>
      </c>
      <c r="BW127" s="64">
        <f>_xll.DBRW($C$2,$BT$1,BT$2,$D$18,$D$3,$D127,$E127,$F127,BW$3)</f>
        <v>0</v>
      </c>
      <c r="BX127" s="58">
        <f>_xll.DBRW($C$2,$BT$1,BT$2,$D$18,$D$3,$D127,$E127,$F127,BX$3)</f>
        <v>0</v>
      </c>
      <c r="BY127" s="48">
        <f t="shared" si="46"/>
        <v>-25</v>
      </c>
      <c r="BZ127" s="39">
        <f>_xll.DBRW($C$2,$BZ$1,BZ$2,$D$18,$D$3,$D127,$E127,$F127,BZ$3)</f>
        <v>0</v>
      </c>
      <c r="CA127" s="25" cm="1">
        <f t="array" ref="CA127">_xll.DBRW($E$2,BZ$1,BZ$2,$D$18,$D$3,$D127,$E127,$F127,$F$3,CA$3)</f>
        <v>0</v>
      </c>
      <c r="CB127" s="25">
        <f>_xll.DBRW($C$2,$BZ$1,BZ$2,$D$18,$D$3,$D127,$E127,$F127,CB$3)</f>
        <v>3</v>
      </c>
      <c r="CC127" s="64">
        <f>_xll.DBRW($C$2,$BZ$1,BZ$2,$D$18,$D$3,$D127,$E127,$F127,CC$3)</f>
        <v>0</v>
      </c>
      <c r="CD127" s="58">
        <f>_xll.DBRW($C$2,$BZ$1,BZ$2,$D$18,$D$3,$D127,$E127,$F127,CD$3)</f>
        <v>0</v>
      </c>
      <c r="CE127" s="48">
        <f t="shared" si="47"/>
        <v>-28</v>
      </c>
    </row>
    <row r="128" spans="1:83" s="23" customFormat="1" outlineLevel="1" thickBot="1" x14ac:dyDescent="0.3">
      <c r="A128" s="91" t="str">
        <f>IF(_xll.TM1RPTELISCONSOLIDATED($F$22,$F128),IF(_xll.TM1RPTELLEV($F$22,$F128)&lt;=5,_xll.TM1RPTELLEV($F$22,$F128),"Default"),"Leaf")</f>
        <v>Leaf</v>
      </c>
      <c r="B128" s="24" t="str">
        <f>_xll.DBRW("TM1-S1_DEV:}ElementAttributes_SP_SKU",$D128,B$1)</f>
        <v>Primary</v>
      </c>
      <c r="C128" s="24" t="str">
        <f>_xll.DBRW("TM1-S1_DEV:}ElementAttributes_SP_SKU",$D128,C$1)</f>
        <v>FOIL</v>
      </c>
      <c r="D128" s="28" t="s">
        <v>435</v>
      </c>
      <c r="E128" s="28" t="s">
        <v>263</v>
      </c>
      <c r="F128" s="28" t="s">
        <v>29</v>
      </c>
      <c r="G128" s="4">
        <f>_xll.DBRW($C$2,$G$19,G$20,$D$18,$D$3,$D128,$E128,$F128,G$3)</f>
        <v>3</v>
      </c>
      <c r="H128" s="54">
        <f t="shared" si="36"/>
        <v>21</v>
      </c>
      <c r="I128" s="4"/>
      <c r="J128" s="25">
        <f>_xll.DBRW($C$2,$J$1,J$2,$D$18,$D$3,$D128,$E128,$F128,J$3)</f>
        <v>24</v>
      </c>
      <c r="K128" s="39">
        <f>_xll.DBRW($C$2,$J$1,J$2,$D$18,$D$3,$D128,$E128,$F128,K$3)</f>
        <v>0</v>
      </c>
      <c r="L128" s="25">
        <f>_xll.DBRW($C$2,$J$1,J$2,$D$18,$D$3,$D128,$E128,$F128,L$3)</f>
        <v>0</v>
      </c>
      <c r="M128" s="25">
        <f>_xll.DBRW($C$2,$J$1,J$2,$D$18,$D$3,$D128,$E128,$F128,M$3)</f>
        <v>0</v>
      </c>
      <c r="N128" s="25">
        <f>_xll.DBRW($C$2,$J$1,J$2,$D$18,$D$3,$D128,$E128,$F128,N$3)</f>
        <v>27</v>
      </c>
      <c r="O128" s="64">
        <f>_xll.DBRW($C$2,$J$1,J$2,$D$18,$D$3,$D128,$E128,$F128,O$3)</f>
        <v>1</v>
      </c>
      <c r="P128" s="58">
        <f>_xll.DBRW($C$2,$J$1,J$2,$D$18,$D$3,$D128,$E128,$F128,P$3)</f>
        <v>0</v>
      </c>
      <c r="Q128" s="48">
        <f>_xll.DBRW($C$2,$J$1,J$2,$D$18,$D$3,$D128,$E128,$F128,Q$3)</f>
        <v>-3</v>
      </c>
      <c r="R128" s="39">
        <f>_xll.DBRW($C$2,$R$1,R$2,$D$18,$D$3,$D128,$E128,$F128,R$3)</f>
        <v>0</v>
      </c>
      <c r="S128" s="25" cm="1">
        <f t="array" ref="S128">_xll.DBRW($E$2,R$1,R$2,$D$18,$D$3,$D128,$E128,$F128,$F$3,S$3)</f>
        <v>0</v>
      </c>
      <c r="T128" s="25">
        <f>_xll.DBRW($C$2,$R$1,R$2,$D$18,$D$3,$D128,$E128,$F128,T$3)</f>
        <v>0</v>
      </c>
      <c r="U128" s="64">
        <f>_xll.DBRW($C$2,$R$1,R$2,$D$18,$D$3,$D128,$E128,$F128,U$3)</f>
        <v>0</v>
      </c>
      <c r="V128" s="58">
        <f>_xll.DBRW($C$2,$R$1,R$2,$D$18,$D$3,$D128,$E128,$F128,V$3)</f>
        <v>0</v>
      </c>
      <c r="W128" s="48">
        <f t="shared" si="37"/>
        <v>-3</v>
      </c>
      <c r="X128" s="39">
        <f>_xll.DBRW($C$2,$X$1,X$2,$D$18,$D$3,$D128,$E128,$F128,X$3)</f>
        <v>0</v>
      </c>
      <c r="Y128" s="25" cm="1">
        <f t="array" ref="Y128">_xll.DBRW($E$2,X$1,X$2,$D$18,$D$3,$D128,$E128,$F128,$F$3,Y$3)</f>
        <v>0</v>
      </c>
      <c r="Z128" s="25">
        <f>_xll.DBRW($C$2,$X$1,X$2,$D$18,$D$3,$D128,$E128,$F128,Z$3)</f>
        <v>1</v>
      </c>
      <c r="AA128" s="64">
        <f>_xll.DBRW($C$2,$X$1,X$2,$D$18,$D$3,$D128,$E128,$F128,AA$3)</f>
        <v>0</v>
      </c>
      <c r="AB128" s="58">
        <f>_xll.DBRW($C$2,$X$1,X$2,$D$18,$D$3,$D128,$E128,$F128,AB$3)</f>
        <v>0</v>
      </c>
      <c r="AC128" s="48">
        <f t="shared" si="38"/>
        <v>-4</v>
      </c>
      <c r="AD128" s="39">
        <f>_xll.DBRW($C$2,$AD$1,AD$2,$D$18,$D$3,$D128,$E128,$F128,AD$3)</f>
        <v>0</v>
      </c>
      <c r="AE128" s="25" cm="1">
        <f t="array" ref="AE128">_xll.DBRW($E$2,AD$1,AD$2,$D$18,$D$3,$D128,$E128,$F128,$F$3,AE$3)</f>
        <v>0</v>
      </c>
      <c r="AF128" s="25">
        <f>_xll.DBRW($C$2,$AD$1,AD$2,$D$18,$D$3,$D128,$E128,$F128,AF$3)</f>
        <v>1</v>
      </c>
      <c r="AG128" s="64">
        <f>_xll.DBRW($C$2,$AD$1,AD$2,$D$18,$D$3,$D128,$E128,$F128,AG$3)</f>
        <v>0</v>
      </c>
      <c r="AH128" s="58">
        <f>_xll.DBRW($C$2,$AD$1,AD$2,$D$18,$D$3,$D128,$E128,$F128,AH$3)</f>
        <v>0</v>
      </c>
      <c r="AI128" s="48">
        <f t="shared" si="39"/>
        <v>-5</v>
      </c>
      <c r="AJ128" s="39">
        <f>_xll.DBRW($C$2,$AJ$1,AJ$2,$D$18,$D$3,$D128,$E128,$F128,AJ$3)</f>
        <v>0</v>
      </c>
      <c r="AK128" s="25" cm="1">
        <f t="array" ref="AK128">_xll.DBRW($E$2,AJ$1,AJ$2,$D$18,$D$3,$D128,$E128,$F128,$F$3,AK$3)</f>
        <v>0</v>
      </c>
      <c r="AL128" s="25">
        <f>_xll.DBRW($C$2,$AJ$1,AJ$2,$D$18,$D$3,$D128,$E128,$F128,AL$3)</f>
        <v>1</v>
      </c>
      <c r="AM128" s="64">
        <f>_xll.DBRW($C$2,$AJ$1,AJ$2,$D$18,$D$3,$D128,$E128,$F128,AM$3)</f>
        <v>0</v>
      </c>
      <c r="AN128" s="58">
        <f>_xll.DBRW($C$2,$AJ$1,AJ$2,$D$18,$D$3,$D128,$E128,$F128,AN$3)</f>
        <v>0</v>
      </c>
      <c r="AO128" s="48">
        <f t="shared" si="40"/>
        <v>-6</v>
      </c>
      <c r="AP128" s="39">
        <f>_xll.DBRW($C$2,$AP$1,AP$2,$D$18,$D$3,$D128,$E128,$F128,AP$3)</f>
        <v>0</v>
      </c>
      <c r="AQ128" s="25" cm="1">
        <f t="array" ref="AQ128">_xll.DBRW($E$2,AP$1,AP$2,$D$18,$D$3,$D128,$E128,$F128,$F$3,AQ$3)</f>
        <v>0</v>
      </c>
      <c r="AR128" s="25">
        <f>_xll.DBRW($C$2,$AP$1,AP$2,$D$18,$D$3,$D128,$E128,$F128,AR$3)</f>
        <v>1</v>
      </c>
      <c r="AS128" s="64">
        <f>_xll.DBRW($C$2,$AP$1,AP$2,$D$18,$D$3,$D128,$E128,$F128,AS$3)</f>
        <v>0</v>
      </c>
      <c r="AT128" s="58">
        <f>_xll.DBRW($C$2,$AP$1,AP$2,$D$18,$D$3,$D128,$E128,$F128,AT$3)</f>
        <v>0</v>
      </c>
      <c r="AU128" s="48">
        <f t="shared" si="41"/>
        <v>-7</v>
      </c>
      <c r="AV128" s="39">
        <f>_xll.DBRW($C$2,$AV$1,AV$2,$D$18,$D$3,$D128,$E128,$F128,AV$3)</f>
        <v>0</v>
      </c>
      <c r="AW128" s="25" cm="1">
        <f t="array" ref="AW128">_xll.DBRW($E$2,AV$1,AV$2,$D$18,$D$3,$D128,$E128,$F128,$F$3,AW$3)</f>
        <v>0</v>
      </c>
      <c r="AX128" s="25">
        <f>_xll.DBRW($C$2,$AV$1,AV$2,$D$18,$D$3,$D128,$E128,$F128,AX$3)</f>
        <v>1</v>
      </c>
      <c r="AY128" s="64">
        <f>_xll.DBRW($C$2,$AV$1,AV$2,$D$18,$D$3,$D128,$E128,$F128,AY$3)</f>
        <v>1</v>
      </c>
      <c r="AZ128" s="58">
        <f>_xll.DBRW($C$2,$AV$1,AV$2,$D$18,$D$3,$D128,$E128,$F128,AZ$3)</f>
        <v>0</v>
      </c>
      <c r="BA128" s="48">
        <f t="shared" si="42"/>
        <v>-8</v>
      </c>
      <c r="BB128" s="39">
        <f>_xll.DBRW($C$2,$BB$1,BB$2,$D$18,$D$3,$D128,$E128,$F128,BB$3)</f>
        <v>0</v>
      </c>
      <c r="BC128" s="25" cm="1">
        <f t="array" ref="BC128">_xll.DBRW($E$2,BB$1,BB$2,$D$18,$D$3,$D128,$E128,$F128,$F$3,BC$3)</f>
        <v>0</v>
      </c>
      <c r="BD128" s="25">
        <f>_xll.DBRW($C$2,$BB$1,BB$2,$D$18,$D$3,$D128,$E128,$F128,BD$3)</f>
        <v>1</v>
      </c>
      <c r="BE128" s="64">
        <f>_xll.DBRW($C$2,$BB$1,BB$2,$D$18,$D$3,$D128,$E128,$F128,BE$3)</f>
        <v>0</v>
      </c>
      <c r="BF128" s="58">
        <f>_xll.DBRW($C$2,$BB$1,BB$2,$D$18,$D$3,$D128,$E128,$F128,BF$3)</f>
        <v>0</v>
      </c>
      <c r="BG128" s="48">
        <f t="shared" si="43"/>
        <v>-9</v>
      </c>
      <c r="BH128" s="39">
        <f>_xll.DBRW($C$2,$BH$1,BH$2,$D$18,$D$3,$D128,$E128,$F128,BH$3)</f>
        <v>0</v>
      </c>
      <c r="BI128" s="25" cm="1">
        <f t="array" ref="BI128">_xll.DBRW($E$2,BH$1,BH$2,$D$18,$D$3,$D128,$E128,$F128,$F$3,BI$3)</f>
        <v>0</v>
      </c>
      <c r="BJ128" s="25">
        <f>_xll.DBRW($C$2,$BH$1,BH$2,$D$18,$D$3,$D128,$E128,$F128,BJ$3)</f>
        <v>1</v>
      </c>
      <c r="BK128" s="64">
        <f>_xll.DBRW($C$2,$BH$1,BH$2,$D$18,$D$3,$D128,$E128,$F128,BK$3)</f>
        <v>0</v>
      </c>
      <c r="BL128" s="58">
        <f>_xll.DBRW($C$2,$BH$1,BH$2,$D$18,$D$3,$D128,$E128,$F128,BL$3)</f>
        <v>0</v>
      </c>
      <c r="BM128" s="48">
        <f t="shared" si="44"/>
        <v>-10</v>
      </c>
      <c r="BN128" s="39">
        <f>_xll.DBRW($C$2,$BN$1,BN$2,$D$18,$D$3,$D128,$E128,$F128,BN$3)</f>
        <v>0</v>
      </c>
      <c r="BO128" s="25" cm="1">
        <f t="array" ref="BO128">_xll.DBRW($E$2,BN$1,BN$2,$D$18,$D$3,$D128,$E128,$F128,$F$3,BO$3)</f>
        <v>0</v>
      </c>
      <c r="BP128" s="25">
        <f>_xll.DBRW($C$2,$BN$1,BN$2,$D$18,$D$3,$D128,$E128,$F128,BP$3)</f>
        <v>1</v>
      </c>
      <c r="BQ128" s="64">
        <f>_xll.DBRW($C$2,$BN$1,BN$2,$D$18,$D$3,$D128,$E128,$F128,BQ$3)</f>
        <v>0</v>
      </c>
      <c r="BR128" s="58">
        <f>_xll.DBRW($C$2,$BN$1,BN$2,$D$18,$D$3,$D128,$E128,$F128,BR$3)</f>
        <v>0</v>
      </c>
      <c r="BS128" s="48">
        <f t="shared" si="45"/>
        <v>-11</v>
      </c>
      <c r="BT128" s="39">
        <f>_xll.DBRW($C$2,$BT$1,BT$2,$D$18,$D$3,$D128,$E128,$F128,BT$3)</f>
        <v>0</v>
      </c>
      <c r="BU128" s="25" cm="1">
        <f t="array" ref="BU128">_xll.DBRW($E$2,BT$1,BT$2,$D$18,$D$3,$D128,$E128,$F128,$F$3,BU$3)</f>
        <v>0</v>
      </c>
      <c r="BV128" s="25">
        <f>_xll.DBRW($C$2,$BT$1,BT$2,$D$18,$D$3,$D128,$E128,$F128,BV$3)</f>
        <v>1</v>
      </c>
      <c r="BW128" s="64">
        <f>_xll.DBRW($C$2,$BT$1,BT$2,$D$18,$D$3,$D128,$E128,$F128,BW$3)</f>
        <v>0</v>
      </c>
      <c r="BX128" s="58">
        <f>_xll.DBRW($C$2,$BT$1,BT$2,$D$18,$D$3,$D128,$E128,$F128,BX$3)</f>
        <v>0</v>
      </c>
      <c r="BY128" s="48">
        <f t="shared" si="46"/>
        <v>-12</v>
      </c>
      <c r="BZ128" s="39">
        <f>_xll.DBRW($C$2,$BZ$1,BZ$2,$D$18,$D$3,$D128,$E128,$F128,BZ$3)</f>
        <v>0</v>
      </c>
      <c r="CA128" s="25" cm="1">
        <f t="array" ref="CA128">_xll.DBRW($E$2,BZ$1,BZ$2,$D$18,$D$3,$D128,$E128,$F128,$F$3,CA$3)</f>
        <v>0</v>
      </c>
      <c r="CB128" s="25">
        <f>_xll.DBRW($C$2,$BZ$1,BZ$2,$D$18,$D$3,$D128,$E128,$F128,CB$3)</f>
        <v>1</v>
      </c>
      <c r="CC128" s="64">
        <f>_xll.DBRW($C$2,$BZ$1,BZ$2,$D$18,$D$3,$D128,$E128,$F128,CC$3)</f>
        <v>0</v>
      </c>
      <c r="CD128" s="58">
        <f>_xll.DBRW($C$2,$BZ$1,BZ$2,$D$18,$D$3,$D128,$E128,$F128,CD$3)</f>
        <v>0</v>
      </c>
      <c r="CE128" s="48">
        <f t="shared" si="47"/>
        <v>-13</v>
      </c>
    </row>
    <row r="129" spans="1:83" s="23" customFormat="1" outlineLevel="1" thickBot="1" x14ac:dyDescent="0.3">
      <c r="A129" s="91" t="str">
        <f>IF(_xll.TM1RPTELISCONSOLIDATED($F$22,$F129),IF(_xll.TM1RPTELLEV($F$22,$F129)&lt;=5,_xll.TM1RPTELLEV($F$22,$F129),"Default"),"Leaf")</f>
        <v>Leaf</v>
      </c>
      <c r="B129" s="24" t="str">
        <f>_xll.DBRW("TM1-S1_DEV:}ElementAttributes_SP_SKU",$D129,B$1)</f>
        <v>Primary</v>
      </c>
      <c r="C129" s="24" t="str">
        <f>_xll.DBRW("TM1-S1_DEV:}ElementAttributes_SP_SKU",$D129,C$1)</f>
        <v>BAG</v>
      </c>
      <c r="D129" s="28" t="s">
        <v>436</v>
      </c>
      <c r="E129" s="28" t="s">
        <v>264</v>
      </c>
      <c r="F129" s="28" t="s">
        <v>28</v>
      </c>
      <c r="G129" s="4">
        <f>_xll.DBRW($C$2,$G$19,G$20,$D$18,$D$3,$D129,$E129,$F129,G$3)</f>
        <v>6</v>
      </c>
      <c r="H129" s="54">
        <f t="shared" si="36"/>
        <v>4</v>
      </c>
      <c r="I129" s="4"/>
      <c r="J129" s="25">
        <f>_xll.DBRW($C$2,$J$1,J$2,$D$18,$D$3,$D129,$E129,$F129,J$3)</f>
        <v>10</v>
      </c>
      <c r="K129" s="39">
        <f>_xll.DBRW($C$2,$J$1,J$2,$D$18,$D$3,$D129,$E129,$F129,K$3)</f>
        <v>0</v>
      </c>
      <c r="L129" s="25">
        <f>_xll.DBRW($C$2,$J$1,J$2,$D$18,$D$3,$D129,$E129,$F129,L$3)</f>
        <v>0</v>
      </c>
      <c r="M129" s="25">
        <f>_xll.DBRW($C$2,$J$1,J$2,$D$18,$D$3,$D129,$E129,$F129,M$3)</f>
        <v>0</v>
      </c>
      <c r="N129" s="25">
        <f>_xll.DBRW($C$2,$J$1,J$2,$D$18,$D$3,$D129,$E129,$F129,N$3)</f>
        <v>5</v>
      </c>
      <c r="O129" s="64">
        <f>_xll.DBRW($C$2,$J$1,J$2,$D$18,$D$3,$D129,$E129,$F129,O$3)</f>
        <v>1</v>
      </c>
      <c r="P129" s="58">
        <f>_xll.DBRW($C$2,$J$1,J$2,$D$18,$D$3,$D129,$E129,$F129,P$3)</f>
        <v>0</v>
      </c>
      <c r="Q129" s="48">
        <f>_xll.DBRW($C$2,$J$1,J$2,$D$18,$D$3,$D129,$E129,$F129,Q$3)</f>
        <v>5</v>
      </c>
      <c r="R129" s="39">
        <f>_xll.DBRW($C$2,$R$1,R$2,$D$18,$D$3,$D129,$E129,$F129,R$3)</f>
        <v>0</v>
      </c>
      <c r="S129" s="25" cm="1">
        <f t="array" ref="S129">_xll.DBRW($E$2,R$1,R$2,$D$18,$D$3,$D129,$E129,$F129,$F$3,S$3)</f>
        <v>0</v>
      </c>
      <c r="T129" s="25">
        <f>_xll.DBRW($C$2,$R$1,R$2,$D$18,$D$3,$D129,$E129,$F129,T$3)</f>
        <v>0</v>
      </c>
      <c r="U129" s="64">
        <f>_xll.DBRW($C$2,$R$1,R$2,$D$18,$D$3,$D129,$E129,$F129,U$3)</f>
        <v>0</v>
      </c>
      <c r="V129" s="58">
        <f>_xll.DBRW($C$2,$R$1,R$2,$D$18,$D$3,$D129,$E129,$F129,V$3)</f>
        <v>0</v>
      </c>
      <c r="W129" s="48">
        <f t="shared" si="37"/>
        <v>5</v>
      </c>
      <c r="X129" s="39">
        <f>_xll.DBRW($C$2,$X$1,X$2,$D$18,$D$3,$D129,$E129,$F129,X$3)</f>
        <v>0</v>
      </c>
      <c r="Y129" s="25" cm="1">
        <f t="array" ref="Y129">_xll.DBRW($E$2,X$1,X$2,$D$18,$D$3,$D129,$E129,$F129,$F$3,Y$3)</f>
        <v>0</v>
      </c>
      <c r="Z129" s="25">
        <f>_xll.DBRW($C$2,$X$1,X$2,$D$18,$D$3,$D129,$E129,$F129,Z$3)</f>
        <v>1</v>
      </c>
      <c r="AA129" s="64">
        <f>_xll.DBRW($C$2,$X$1,X$2,$D$18,$D$3,$D129,$E129,$F129,AA$3)</f>
        <v>0</v>
      </c>
      <c r="AB129" s="58">
        <f>_xll.DBRW($C$2,$X$1,X$2,$D$18,$D$3,$D129,$E129,$F129,AB$3)</f>
        <v>0</v>
      </c>
      <c r="AC129" s="48">
        <f t="shared" si="38"/>
        <v>4</v>
      </c>
      <c r="AD129" s="39">
        <f>_xll.DBRW($C$2,$AD$1,AD$2,$D$18,$D$3,$D129,$E129,$F129,AD$3)</f>
        <v>0</v>
      </c>
      <c r="AE129" s="25" cm="1">
        <f t="array" ref="AE129">_xll.DBRW($E$2,AD$1,AD$2,$D$18,$D$3,$D129,$E129,$F129,$F$3,AE$3)</f>
        <v>0</v>
      </c>
      <c r="AF129" s="25">
        <f>_xll.DBRW($C$2,$AD$1,AD$2,$D$18,$D$3,$D129,$E129,$F129,AF$3)</f>
        <v>1</v>
      </c>
      <c r="AG129" s="64">
        <f>_xll.DBRW($C$2,$AD$1,AD$2,$D$18,$D$3,$D129,$E129,$F129,AG$3)</f>
        <v>0</v>
      </c>
      <c r="AH129" s="58">
        <f>_xll.DBRW($C$2,$AD$1,AD$2,$D$18,$D$3,$D129,$E129,$F129,AH$3)</f>
        <v>0</v>
      </c>
      <c r="AI129" s="48">
        <f t="shared" si="39"/>
        <v>3</v>
      </c>
      <c r="AJ129" s="39">
        <f>_xll.DBRW($C$2,$AJ$1,AJ$2,$D$18,$D$3,$D129,$E129,$F129,AJ$3)</f>
        <v>0</v>
      </c>
      <c r="AK129" s="25" cm="1">
        <f t="array" ref="AK129">_xll.DBRW($E$2,AJ$1,AJ$2,$D$18,$D$3,$D129,$E129,$F129,$F$3,AK$3)</f>
        <v>0</v>
      </c>
      <c r="AL129" s="25">
        <f>_xll.DBRW($C$2,$AJ$1,AJ$2,$D$18,$D$3,$D129,$E129,$F129,AL$3)</f>
        <v>1</v>
      </c>
      <c r="AM129" s="64">
        <f>_xll.DBRW($C$2,$AJ$1,AJ$2,$D$18,$D$3,$D129,$E129,$F129,AM$3)</f>
        <v>0</v>
      </c>
      <c r="AN129" s="58">
        <f>_xll.DBRW($C$2,$AJ$1,AJ$2,$D$18,$D$3,$D129,$E129,$F129,AN$3)</f>
        <v>0</v>
      </c>
      <c r="AO129" s="48">
        <f t="shared" si="40"/>
        <v>2</v>
      </c>
      <c r="AP129" s="39">
        <f>_xll.DBRW($C$2,$AP$1,AP$2,$D$18,$D$3,$D129,$E129,$F129,AP$3)</f>
        <v>0</v>
      </c>
      <c r="AQ129" s="25" cm="1">
        <f t="array" ref="AQ129">_xll.DBRW($E$2,AP$1,AP$2,$D$18,$D$3,$D129,$E129,$F129,$F$3,AQ$3)</f>
        <v>0</v>
      </c>
      <c r="AR129" s="25">
        <f>_xll.DBRW($C$2,$AP$1,AP$2,$D$18,$D$3,$D129,$E129,$F129,AR$3)</f>
        <v>1</v>
      </c>
      <c r="AS129" s="64">
        <f>_xll.DBRW($C$2,$AP$1,AP$2,$D$18,$D$3,$D129,$E129,$F129,AS$3)</f>
        <v>0</v>
      </c>
      <c r="AT129" s="58">
        <f>_xll.DBRW($C$2,$AP$1,AP$2,$D$18,$D$3,$D129,$E129,$F129,AT$3)</f>
        <v>0</v>
      </c>
      <c r="AU129" s="48">
        <f t="shared" si="41"/>
        <v>1</v>
      </c>
      <c r="AV129" s="39">
        <f>_xll.DBRW($C$2,$AV$1,AV$2,$D$18,$D$3,$D129,$E129,$F129,AV$3)</f>
        <v>0</v>
      </c>
      <c r="AW129" s="25" cm="1">
        <f t="array" ref="AW129">_xll.DBRW($E$2,AV$1,AV$2,$D$18,$D$3,$D129,$E129,$F129,$F$3,AW$3)</f>
        <v>0</v>
      </c>
      <c r="AX129" s="25">
        <f>_xll.DBRW($C$2,$AV$1,AV$2,$D$18,$D$3,$D129,$E129,$F129,AX$3)</f>
        <v>1</v>
      </c>
      <c r="AY129" s="64">
        <f>_xll.DBRW($C$2,$AV$1,AV$2,$D$18,$D$3,$D129,$E129,$F129,AY$3)</f>
        <v>0</v>
      </c>
      <c r="AZ129" s="58">
        <f>_xll.DBRW($C$2,$AV$1,AV$2,$D$18,$D$3,$D129,$E129,$F129,AZ$3)</f>
        <v>0</v>
      </c>
      <c r="BA129" s="48">
        <f t="shared" si="42"/>
        <v>0</v>
      </c>
      <c r="BB129" s="39">
        <f>_xll.DBRW($C$2,$BB$1,BB$2,$D$18,$D$3,$D129,$E129,$F129,BB$3)</f>
        <v>0</v>
      </c>
      <c r="BC129" s="25" cm="1">
        <f t="array" ref="BC129">_xll.DBRW($E$2,BB$1,BB$2,$D$18,$D$3,$D129,$E129,$F129,$F$3,BC$3)</f>
        <v>0</v>
      </c>
      <c r="BD129" s="25">
        <f>_xll.DBRW($C$2,$BB$1,BB$2,$D$18,$D$3,$D129,$E129,$F129,BD$3)</f>
        <v>1</v>
      </c>
      <c r="BE129" s="64">
        <f>_xll.DBRW($C$2,$BB$1,BB$2,$D$18,$D$3,$D129,$E129,$F129,BE$3)</f>
        <v>0</v>
      </c>
      <c r="BF129" s="58">
        <f>_xll.DBRW($C$2,$BB$1,BB$2,$D$18,$D$3,$D129,$E129,$F129,BF$3)</f>
        <v>0</v>
      </c>
      <c r="BG129" s="48">
        <f t="shared" si="43"/>
        <v>-1</v>
      </c>
      <c r="BH129" s="39">
        <f>_xll.DBRW($C$2,$BH$1,BH$2,$D$18,$D$3,$D129,$E129,$F129,BH$3)</f>
        <v>0</v>
      </c>
      <c r="BI129" s="25" cm="1">
        <f t="array" ref="BI129">_xll.DBRW($E$2,BH$1,BH$2,$D$18,$D$3,$D129,$E129,$F129,$F$3,BI$3)</f>
        <v>0</v>
      </c>
      <c r="BJ129" s="25">
        <f>_xll.DBRW($C$2,$BH$1,BH$2,$D$18,$D$3,$D129,$E129,$F129,BJ$3)</f>
        <v>1</v>
      </c>
      <c r="BK129" s="64">
        <f>_xll.DBRW($C$2,$BH$1,BH$2,$D$18,$D$3,$D129,$E129,$F129,BK$3)</f>
        <v>0</v>
      </c>
      <c r="BL129" s="58">
        <f>_xll.DBRW($C$2,$BH$1,BH$2,$D$18,$D$3,$D129,$E129,$F129,BL$3)</f>
        <v>0</v>
      </c>
      <c r="BM129" s="48">
        <f t="shared" si="44"/>
        <v>-2</v>
      </c>
      <c r="BN129" s="39">
        <f>_xll.DBRW($C$2,$BN$1,BN$2,$D$18,$D$3,$D129,$E129,$F129,BN$3)</f>
        <v>0</v>
      </c>
      <c r="BO129" s="25" cm="1">
        <f t="array" ref="BO129">_xll.DBRW($E$2,BN$1,BN$2,$D$18,$D$3,$D129,$E129,$F129,$F$3,BO$3)</f>
        <v>0</v>
      </c>
      <c r="BP129" s="25">
        <f>_xll.DBRW($C$2,$BN$1,BN$2,$D$18,$D$3,$D129,$E129,$F129,BP$3)</f>
        <v>1</v>
      </c>
      <c r="BQ129" s="64">
        <f>_xll.DBRW($C$2,$BN$1,BN$2,$D$18,$D$3,$D129,$E129,$F129,BQ$3)</f>
        <v>0</v>
      </c>
      <c r="BR129" s="58">
        <f>_xll.DBRW($C$2,$BN$1,BN$2,$D$18,$D$3,$D129,$E129,$F129,BR$3)</f>
        <v>0</v>
      </c>
      <c r="BS129" s="48">
        <f t="shared" si="45"/>
        <v>-3</v>
      </c>
      <c r="BT129" s="39">
        <f>_xll.DBRW($C$2,$BT$1,BT$2,$D$18,$D$3,$D129,$E129,$F129,BT$3)</f>
        <v>0</v>
      </c>
      <c r="BU129" s="25" cm="1">
        <f t="array" ref="BU129">_xll.DBRW($E$2,BT$1,BT$2,$D$18,$D$3,$D129,$E129,$F129,$F$3,BU$3)</f>
        <v>0</v>
      </c>
      <c r="BV129" s="25">
        <f>_xll.DBRW($C$2,$BT$1,BT$2,$D$18,$D$3,$D129,$E129,$F129,BV$3)</f>
        <v>1</v>
      </c>
      <c r="BW129" s="64">
        <f>_xll.DBRW($C$2,$BT$1,BT$2,$D$18,$D$3,$D129,$E129,$F129,BW$3)</f>
        <v>0</v>
      </c>
      <c r="BX129" s="58">
        <f>_xll.DBRW($C$2,$BT$1,BT$2,$D$18,$D$3,$D129,$E129,$F129,BX$3)</f>
        <v>0</v>
      </c>
      <c r="BY129" s="48">
        <f t="shared" si="46"/>
        <v>-4</v>
      </c>
      <c r="BZ129" s="39">
        <f>_xll.DBRW($C$2,$BZ$1,BZ$2,$D$18,$D$3,$D129,$E129,$F129,BZ$3)</f>
        <v>0</v>
      </c>
      <c r="CA129" s="25" cm="1">
        <f t="array" ref="CA129">_xll.DBRW($E$2,BZ$1,BZ$2,$D$18,$D$3,$D129,$E129,$F129,$F$3,CA$3)</f>
        <v>0</v>
      </c>
      <c r="CB129" s="25">
        <f>_xll.DBRW($C$2,$BZ$1,BZ$2,$D$18,$D$3,$D129,$E129,$F129,CB$3)</f>
        <v>1</v>
      </c>
      <c r="CC129" s="64">
        <f>_xll.DBRW($C$2,$BZ$1,BZ$2,$D$18,$D$3,$D129,$E129,$F129,CC$3)</f>
        <v>0</v>
      </c>
      <c r="CD129" s="58">
        <f>_xll.DBRW($C$2,$BZ$1,BZ$2,$D$18,$D$3,$D129,$E129,$F129,CD$3)</f>
        <v>0</v>
      </c>
      <c r="CE129" s="48">
        <f t="shared" si="47"/>
        <v>-5</v>
      </c>
    </row>
    <row r="130" spans="1:83" s="23" customFormat="1" outlineLevel="1" thickBot="1" x14ac:dyDescent="0.3">
      <c r="A130" s="91" t="str">
        <f>IF(_xll.TM1RPTELISCONSOLIDATED($F$22,$F130),IF(_xll.TM1RPTELLEV($F$22,$F130)&lt;=5,_xll.TM1RPTELLEV($F$22,$F130),"Default"),"Leaf")</f>
        <v>Leaf</v>
      </c>
      <c r="B130" s="24" t="str">
        <f>_xll.DBRW("TM1-S1_DEV:}ElementAttributes_SP_SKU",$D130,B$1)</f>
        <v>Primary</v>
      </c>
      <c r="C130" s="24" t="str">
        <f>_xll.DBRW("TM1-S1_DEV:}ElementAttributes_SP_SKU",$D130,C$1)</f>
        <v>FOIL</v>
      </c>
      <c r="D130" s="28" t="s">
        <v>437</v>
      </c>
      <c r="E130" s="28" t="s">
        <v>265</v>
      </c>
      <c r="F130" s="28" t="s">
        <v>29</v>
      </c>
      <c r="G130" s="4">
        <f>_xll.DBRW($C$2,$G$19,G$20,$D$18,$D$3,$D130,$E130,$F130,G$3)</f>
        <v>53</v>
      </c>
      <c r="H130" s="54">
        <f t="shared" si="36"/>
        <v>4</v>
      </c>
      <c r="I130" s="4"/>
      <c r="J130" s="25">
        <f>_xll.DBRW($C$2,$J$1,J$2,$D$18,$D$3,$D130,$E130,$F130,J$3)</f>
        <v>57</v>
      </c>
      <c r="K130" s="39">
        <f>_xll.DBRW($C$2,$J$1,J$2,$D$18,$D$3,$D130,$E130,$F130,K$3)</f>
        <v>0</v>
      </c>
      <c r="L130" s="25">
        <f>_xll.DBRW($C$2,$J$1,J$2,$D$18,$D$3,$D130,$E130,$F130,L$3)</f>
        <v>0</v>
      </c>
      <c r="M130" s="25">
        <f>_xll.DBRW($C$2,$J$1,J$2,$D$18,$D$3,$D130,$E130,$F130,M$3)</f>
        <v>0</v>
      </c>
      <c r="N130" s="25">
        <f>_xll.DBRW($C$2,$J$1,J$2,$D$18,$D$3,$D130,$E130,$F130,N$3)</f>
        <v>18</v>
      </c>
      <c r="O130" s="64">
        <f>_xll.DBRW($C$2,$J$1,J$2,$D$18,$D$3,$D130,$E130,$F130,O$3)</f>
        <v>1</v>
      </c>
      <c r="P130" s="58">
        <f>_xll.DBRW($C$2,$J$1,J$2,$D$18,$D$3,$D130,$E130,$F130,P$3)</f>
        <v>0</v>
      </c>
      <c r="Q130" s="48">
        <f>_xll.DBRW($C$2,$J$1,J$2,$D$18,$D$3,$D130,$E130,$F130,Q$3)</f>
        <v>39</v>
      </c>
      <c r="R130" s="39">
        <f>_xll.DBRW($C$2,$R$1,R$2,$D$18,$D$3,$D130,$E130,$F130,R$3)</f>
        <v>0</v>
      </c>
      <c r="S130" s="25" cm="1">
        <f t="array" ref="S130">_xll.DBRW($E$2,R$1,R$2,$D$18,$D$3,$D130,$E130,$F130,$F$3,S$3)</f>
        <v>0</v>
      </c>
      <c r="T130" s="25">
        <f>_xll.DBRW($C$2,$R$1,R$2,$D$18,$D$3,$D130,$E130,$F130,T$3)</f>
        <v>0</v>
      </c>
      <c r="U130" s="64">
        <f>_xll.DBRW($C$2,$R$1,R$2,$D$18,$D$3,$D130,$E130,$F130,U$3)</f>
        <v>0</v>
      </c>
      <c r="V130" s="58">
        <f>_xll.DBRW($C$2,$R$1,R$2,$D$18,$D$3,$D130,$E130,$F130,V$3)</f>
        <v>0</v>
      </c>
      <c r="W130" s="48">
        <f t="shared" si="37"/>
        <v>39</v>
      </c>
      <c r="X130" s="39">
        <f>_xll.DBRW($C$2,$X$1,X$2,$D$18,$D$3,$D130,$E130,$F130,X$3)</f>
        <v>0</v>
      </c>
      <c r="Y130" s="25" cm="1">
        <f t="array" ref="Y130">_xll.DBRW($E$2,X$1,X$2,$D$18,$D$3,$D130,$E130,$F130,$F$3,Y$3)</f>
        <v>0</v>
      </c>
      <c r="Z130" s="25">
        <f>_xll.DBRW($C$2,$X$1,X$2,$D$18,$D$3,$D130,$E130,$F130,Z$3)</f>
        <v>1</v>
      </c>
      <c r="AA130" s="64">
        <f>_xll.DBRW($C$2,$X$1,X$2,$D$18,$D$3,$D130,$E130,$F130,AA$3)</f>
        <v>0</v>
      </c>
      <c r="AB130" s="58">
        <f>_xll.DBRW($C$2,$X$1,X$2,$D$18,$D$3,$D130,$E130,$F130,AB$3)</f>
        <v>0</v>
      </c>
      <c r="AC130" s="48">
        <f t="shared" si="38"/>
        <v>38</v>
      </c>
      <c r="AD130" s="39">
        <f>_xll.DBRW($C$2,$AD$1,AD$2,$D$18,$D$3,$D130,$E130,$F130,AD$3)</f>
        <v>0</v>
      </c>
      <c r="AE130" s="25" cm="1">
        <f t="array" ref="AE130">_xll.DBRW($E$2,AD$1,AD$2,$D$18,$D$3,$D130,$E130,$F130,$F$3,AE$3)</f>
        <v>0</v>
      </c>
      <c r="AF130" s="25">
        <f>_xll.DBRW($C$2,$AD$1,AD$2,$D$18,$D$3,$D130,$E130,$F130,AF$3)</f>
        <v>1</v>
      </c>
      <c r="AG130" s="64">
        <f>_xll.DBRW($C$2,$AD$1,AD$2,$D$18,$D$3,$D130,$E130,$F130,AG$3)</f>
        <v>0</v>
      </c>
      <c r="AH130" s="58">
        <f>_xll.DBRW($C$2,$AD$1,AD$2,$D$18,$D$3,$D130,$E130,$F130,AH$3)</f>
        <v>0</v>
      </c>
      <c r="AI130" s="48">
        <f t="shared" si="39"/>
        <v>37</v>
      </c>
      <c r="AJ130" s="39">
        <f>_xll.DBRW($C$2,$AJ$1,AJ$2,$D$18,$D$3,$D130,$E130,$F130,AJ$3)</f>
        <v>0</v>
      </c>
      <c r="AK130" s="25" cm="1">
        <f t="array" ref="AK130">_xll.DBRW($E$2,AJ$1,AJ$2,$D$18,$D$3,$D130,$E130,$F130,$F$3,AK$3)</f>
        <v>0</v>
      </c>
      <c r="AL130" s="25">
        <f>_xll.DBRW($C$2,$AJ$1,AJ$2,$D$18,$D$3,$D130,$E130,$F130,AL$3)</f>
        <v>1</v>
      </c>
      <c r="AM130" s="64">
        <f>_xll.DBRW($C$2,$AJ$1,AJ$2,$D$18,$D$3,$D130,$E130,$F130,AM$3)</f>
        <v>0</v>
      </c>
      <c r="AN130" s="58">
        <f>_xll.DBRW($C$2,$AJ$1,AJ$2,$D$18,$D$3,$D130,$E130,$F130,AN$3)</f>
        <v>0</v>
      </c>
      <c r="AO130" s="48">
        <f t="shared" si="40"/>
        <v>36</v>
      </c>
      <c r="AP130" s="39">
        <f>_xll.DBRW($C$2,$AP$1,AP$2,$D$18,$D$3,$D130,$E130,$F130,AP$3)</f>
        <v>0</v>
      </c>
      <c r="AQ130" s="25" cm="1">
        <f t="array" ref="AQ130">_xll.DBRW($E$2,AP$1,AP$2,$D$18,$D$3,$D130,$E130,$F130,$F$3,AQ$3)</f>
        <v>0</v>
      </c>
      <c r="AR130" s="25">
        <f>_xll.DBRW($C$2,$AP$1,AP$2,$D$18,$D$3,$D130,$E130,$F130,AR$3)</f>
        <v>1</v>
      </c>
      <c r="AS130" s="64">
        <f>_xll.DBRW($C$2,$AP$1,AP$2,$D$18,$D$3,$D130,$E130,$F130,AS$3)</f>
        <v>0</v>
      </c>
      <c r="AT130" s="58">
        <f>_xll.DBRW($C$2,$AP$1,AP$2,$D$18,$D$3,$D130,$E130,$F130,AT$3)</f>
        <v>0</v>
      </c>
      <c r="AU130" s="48">
        <f t="shared" si="41"/>
        <v>35</v>
      </c>
      <c r="AV130" s="39">
        <f>_xll.DBRW($C$2,$AV$1,AV$2,$D$18,$D$3,$D130,$E130,$F130,AV$3)</f>
        <v>0</v>
      </c>
      <c r="AW130" s="25" cm="1">
        <f t="array" ref="AW130">_xll.DBRW($E$2,AV$1,AV$2,$D$18,$D$3,$D130,$E130,$F130,$F$3,AW$3)</f>
        <v>0</v>
      </c>
      <c r="AX130" s="25">
        <f>_xll.DBRW($C$2,$AV$1,AV$2,$D$18,$D$3,$D130,$E130,$F130,AX$3)</f>
        <v>1</v>
      </c>
      <c r="AY130" s="64">
        <f>_xll.DBRW($C$2,$AV$1,AV$2,$D$18,$D$3,$D130,$E130,$F130,AY$3)</f>
        <v>0</v>
      </c>
      <c r="AZ130" s="58">
        <f>_xll.DBRW($C$2,$AV$1,AV$2,$D$18,$D$3,$D130,$E130,$F130,AZ$3)</f>
        <v>0</v>
      </c>
      <c r="BA130" s="48">
        <f t="shared" si="42"/>
        <v>34</v>
      </c>
      <c r="BB130" s="39">
        <f>_xll.DBRW($C$2,$BB$1,BB$2,$D$18,$D$3,$D130,$E130,$F130,BB$3)</f>
        <v>0</v>
      </c>
      <c r="BC130" s="25" cm="1">
        <f t="array" ref="BC130">_xll.DBRW($E$2,BB$1,BB$2,$D$18,$D$3,$D130,$E130,$F130,$F$3,BC$3)</f>
        <v>0</v>
      </c>
      <c r="BD130" s="25">
        <f>_xll.DBRW($C$2,$BB$1,BB$2,$D$18,$D$3,$D130,$E130,$F130,BD$3)</f>
        <v>1</v>
      </c>
      <c r="BE130" s="64">
        <f>_xll.DBRW($C$2,$BB$1,BB$2,$D$18,$D$3,$D130,$E130,$F130,BE$3)</f>
        <v>0</v>
      </c>
      <c r="BF130" s="58">
        <f>_xll.DBRW($C$2,$BB$1,BB$2,$D$18,$D$3,$D130,$E130,$F130,BF$3)</f>
        <v>0</v>
      </c>
      <c r="BG130" s="48">
        <f t="shared" si="43"/>
        <v>33</v>
      </c>
      <c r="BH130" s="39">
        <f>_xll.DBRW($C$2,$BH$1,BH$2,$D$18,$D$3,$D130,$E130,$F130,BH$3)</f>
        <v>0</v>
      </c>
      <c r="BI130" s="25" cm="1">
        <f t="array" ref="BI130">_xll.DBRW($E$2,BH$1,BH$2,$D$18,$D$3,$D130,$E130,$F130,$F$3,BI$3)</f>
        <v>0</v>
      </c>
      <c r="BJ130" s="25">
        <f>_xll.DBRW($C$2,$BH$1,BH$2,$D$18,$D$3,$D130,$E130,$F130,BJ$3)</f>
        <v>1</v>
      </c>
      <c r="BK130" s="64">
        <f>_xll.DBRW($C$2,$BH$1,BH$2,$D$18,$D$3,$D130,$E130,$F130,BK$3)</f>
        <v>0</v>
      </c>
      <c r="BL130" s="58">
        <f>_xll.DBRW($C$2,$BH$1,BH$2,$D$18,$D$3,$D130,$E130,$F130,BL$3)</f>
        <v>0</v>
      </c>
      <c r="BM130" s="48">
        <f t="shared" si="44"/>
        <v>32</v>
      </c>
      <c r="BN130" s="39">
        <f>_xll.DBRW($C$2,$BN$1,BN$2,$D$18,$D$3,$D130,$E130,$F130,BN$3)</f>
        <v>0</v>
      </c>
      <c r="BO130" s="25" cm="1">
        <f t="array" ref="BO130">_xll.DBRW($E$2,BN$1,BN$2,$D$18,$D$3,$D130,$E130,$F130,$F$3,BO$3)</f>
        <v>0</v>
      </c>
      <c r="BP130" s="25">
        <f>_xll.DBRW($C$2,$BN$1,BN$2,$D$18,$D$3,$D130,$E130,$F130,BP$3)</f>
        <v>1</v>
      </c>
      <c r="BQ130" s="64">
        <f>_xll.DBRW($C$2,$BN$1,BN$2,$D$18,$D$3,$D130,$E130,$F130,BQ$3)</f>
        <v>0</v>
      </c>
      <c r="BR130" s="58">
        <f>_xll.DBRW($C$2,$BN$1,BN$2,$D$18,$D$3,$D130,$E130,$F130,BR$3)</f>
        <v>0</v>
      </c>
      <c r="BS130" s="48">
        <f t="shared" si="45"/>
        <v>31</v>
      </c>
      <c r="BT130" s="39">
        <f>_xll.DBRW($C$2,$BT$1,BT$2,$D$18,$D$3,$D130,$E130,$F130,BT$3)</f>
        <v>0</v>
      </c>
      <c r="BU130" s="25" cm="1">
        <f t="array" ref="BU130">_xll.DBRW($E$2,BT$1,BT$2,$D$18,$D$3,$D130,$E130,$F130,$F$3,BU$3)</f>
        <v>0</v>
      </c>
      <c r="BV130" s="25">
        <f>_xll.DBRW($C$2,$BT$1,BT$2,$D$18,$D$3,$D130,$E130,$F130,BV$3)</f>
        <v>1</v>
      </c>
      <c r="BW130" s="64">
        <f>_xll.DBRW($C$2,$BT$1,BT$2,$D$18,$D$3,$D130,$E130,$F130,BW$3)</f>
        <v>0</v>
      </c>
      <c r="BX130" s="58">
        <f>_xll.DBRW($C$2,$BT$1,BT$2,$D$18,$D$3,$D130,$E130,$F130,BX$3)</f>
        <v>0</v>
      </c>
      <c r="BY130" s="48">
        <f t="shared" si="46"/>
        <v>30</v>
      </c>
      <c r="BZ130" s="39">
        <f>_xll.DBRW($C$2,$BZ$1,BZ$2,$D$18,$D$3,$D130,$E130,$F130,BZ$3)</f>
        <v>0</v>
      </c>
      <c r="CA130" s="25" cm="1">
        <f t="array" ref="CA130">_xll.DBRW($E$2,BZ$1,BZ$2,$D$18,$D$3,$D130,$E130,$F130,$F$3,CA$3)</f>
        <v>0</v>
      </c>
      <c r="CB130" s="25">
        <f>_xll.DBRW($C$2,$BZ$1,BZ$2,$D$18,$D$3,$D130,$E130,$F130,CB$3)</f>
        <v>1</v>
      </c>
      <c r="CC130" s="64">
        <f>_xll.DBRW($C$2,$BZ$1,BZ$2,$D$18,$D$3,$D130,$E130,$F130,CC$3)</f>
        <v>0</v>
      </c>
      <c r="CD130" s="58">
        <f>_xll.DBRW($C$2,$BZ$1,BZ$2,$D$18,$D$3,$D130,$E130,$F130,CD$3)</f>
        <v>0</v>
      </c>
      <c r="CE130" s="48">
        <f t="shared" si="47"/>
        <v>29</v>
      </c>
    </row>
    <row r="131" spans="1:83" s="23" customFormat="1" outlineLevel="1" thickBot="1" x14ac:dyDescent="0.3">
      <c r="A131" s="91" t="str">
        <f>IF(_xll.TM1RPTELISCONSOLIDATED($F$22,$F131),IF(_xll.TM1RPTELLEV($F$22,$F131)&lt;=5,_xll.TM1RPTELLEV($F$22,$F131),"Default"),"Leaf")</f>
        <v>Leaf</v>
      </c>
      <c r="B131" s="24" t="str">
        <f>_xll.DBRW("TM1-S1_DEV:}ElementAttributes_SP_SKU",$D131,B$1)</f>
        <v>Primary</v>
      </c>
      <c r="C131" s="24" t="str">
        <f>_xll.DBRW("TM1-S1_DEV:}ElementAttributes_SP_SKU",$D131,C$1)</f>
        <v>FOIL</v>
      </c>
      <c r="D131" s="28" t="s">
        <v>496</v>
      </c>
      <c r="E131" s="28" t="s">
        <v>266</v>
      </c>
      <c r="F131" s="28" t="s">
        <v>29</v>
      </c>
      <c r="G131" s="4">
        <f>_xll.DBRW($C$2,$G$19,G$20,$D$18,$D$3,$D131,$E131,$F131,G$3)</f>
        <v>27</v>
      </c>
      <c r="H131" s="54">
        <f t="shared" si="36"/>
        <v>0</v>
      </c>
      <c r="I131" s="4"/>
      <c r="J131" s="25">
        <f>_xll.DBRW($C$2,$J$1,J$2,$D$18,$D$3,$D131,$E131,$F131,J$3)</f>
        <v>27</v>
      </c>
      <c r="K131" s="39">
        <f>_xll.DBRW($C$2,$J$1,J$2,$D$18,$D$3,$D131,$E131,$F131,K$3)</f>
        <v>0</v>
      </c>
      <c r="L131" s="25">
        <f>_xll.DBRW($C$2,$J$1,J$2,$D$18,$D$3,$D131,$E131,$F131,L$3)</f>
        <v>0</v>
      </c>
      <c r="M131" s="25">
        <f>_xll.DBRW($C$2,$J$1,J$2,$D$18,$D$3,$D131,$E131,$F131,M$3)</f>
        <v>0</v>
      </c>
      <c r="N131" s="25">
        <f>_xll.DBRW($C$2,$J$1,J$2,$D$18,$D$3,$D131,$E131,$F131,N$3)</f>
        <v>0</v>
      </c>
      <c r="O131" s="64">
        <f>_xll.DBRW($C$2,$J$1,J$2,$D$18,$D$3,$D131,$E131,$F131,O$3)</f>
        <v>0</v>
      </c>
      <c r="P131" s="58">
        <f>_xll.DBRW($C$2,$J$1,J$2,$D$18,$D$3,$D131,$E131,$F131,P$3)</f>
        <v>0</v>
      </c>
      <c r="Q131" s="48">
        <f>_xll.DBRW($C$2,$J$1,J$2,$D$18,$D$3,$D131,$E131,$F131,Q$3)</f>
        <v>27</v>
      </c>
      <c r="R131" s="39">
        <f>_xll.DBRW($C$2,$R$1,R$2,$D$18,$D$3,$D131,$E131,$F131,R$3)</f>
        <v>0</v>
      </c>
      <c r="S131" s="25" cm="1">
        <f t="array" ref="S131">_xll.DBRW($E$2,R$1,R$2,$D$18,$D$3,$D131,$E131,$F131,$F$3,S$3)</f>
        <v>0</v>
      </c>
      <c r="T131" s="25">
        <f>_xll.DBRW($C$2,$R$1,R$2,$D$18,$D$3,$D131,$E131,$F131,T$3)</f>
        <v>0</v>
      </c>
      <c r="U131" s="64">
        <f>_xll.DBRW($C$2,$R$1,R$2,$D$18,$D$3,$D131,$E131,$F131,U$3)</f>
        <v>0</v>
      </c>
      <c r="V131" s="58">
        <f>_xll.DBRW($C$2,$R$1,R$2,$D$18,$D$3,$D131,$E131,$F131,V$3)</f>
        <v>0</v>
      </c>
      <c r="W131" s="48">
        <f t="shared" si="37"/>
        <v>27</v>
      </c>
      <c r="X131" s="39">
        <f>_xll.DBRW($C$2,$X$1,X$2,$D$18,$D$3,$D131,$E131,$F131,X$3)</f>
        <v>0</v>
      </c>
      <c r="Y131" s="25" cm="1">
        <f t="array" ref="Y131">_xll.DBRW($E$2,X$1,X$2,$D$18,$D$3,$D131,$E131,$F131,$F$3,Y$3)</f>
        <v>0</v>
      </c>
      <c r="Z131" s="25">
        <f>_xll.DBRW($C$2,$X$1,X$2,$D$18,$D$3,$D131,$E131,$F131,Z$3)</f>
        <v>1</v>
      </c>
      <c r="AA131" s="64">
        <f>_xll.DBRW($C$2,$X$1,X$2,$D$18,$D$3,$D131,$E131,$F131,AA$3)</f>
        <v>0</v>
      </c>
      <c r="AB131" s="58">
        <f>_xll.DBRW($C$2,$X$1,X$2,$D$18,$D$3,$D131,$E131,$F131,AB$3)</f>
        <v>0</v>
      </c>
      <c r="AC131" s="48">
        <f t="shared" si="38"/>
        <v>26</v>
      </c>
      <c r="AD131" s="39">
        <f>_xll.DBRW($C$2,$AD$1,AD$2,$D$18,$D$3,$D131,$E131,$F131,AD$3)</f>
        <v>0</v>
      </c>
      <c r="AE131" s="25" cm="1">
        <f t="array" ref="AE131">_xll.DBRW($E$2,AD$1,AD$2,$D$18,$D$3,$D131,$E131,$F131,$F$3,AE$3)</f>
        <v>0</v>
      </c>
      <c r="AF131" s="25">
        <f>_xll.DBRW($C$2,$AD$1,AD$2,$D$18,$D$3,$D131,$E131,$F131,AF$3)</f>
        <v>1</v>
      </c>
      <c r="AG131" s="64">
        <f>_xll.DBRW($C$2,$AD$1,AD$2,$D$18,$D$3,$D131,$E131,$F131,AG$3)</f>
        <v>0</v>
      </c>
      <c r="AH131" s="58">
        <f>_xll.DBRW($C$2,$AD$1,AD$2,$D$18,$D$3,$D131,$E131,$F131,AH$3)</f>
        <v>0</v>
      </c>
      <c r="AI131" s="48">
        <f t="shared" si="39"/>
        <v>25</v>
      </c>
      <c r="AJ131" s="39">
        <f>_xll.DBRW($C$2,$AJ$1,AJ$2,$D$18,$D$3,$D131,$E131,$F131,AJ$3)</f>
        <v>0</v>
      </c>
      <c r="AK131" s="25" cm="1">
        <f t="array" ref="AK131">_xll.DBRW($E$2,AJ$1,AJ$2,$D$18,$D$3,$D131,$E131,$F131,$F$3,AK$3)</f>
        <v>0</v>
      </c>
      <c r="AL131" s="25">
        <f>_xll.DBRW($C$2,$AJ$1,AJ$2,$D$18,$D$3,$D131,$E131,$F131,AL$3)</f>
        <v>1</v>
      </c>
      <c r="AM131" s="64">
        <f>_xll.DBRW($C$2,$AJ$1,AJ$2,$D$18,$D$3,$D131,$E131,$F131,AM$3)</f>
        <v>0</v>
      </c>
      <c r="AN131" s="58">
        <f>_xll.DBRW($C$2,$AJ$1,AJ$2,$D$18,$D$3,$D131,$E131,$F131,AN$3)</f>
        <v>0</v>
      </c>
      <c r="AO131" s="48">
        <f t="shared" si="40"/>
        <v>24</v>
      </c>
      <c r="AP131" s="39">
        <f>_xll.DBRW($C$2,$AP$1,AP$2,$D$18,$D$3,$D131,$E131,$F131,AP$3)</f>
        <v>0</v>
      </c>
      <c r="AQ131" s="25" cm="1">
        <f t="array" ref="AQ131">_xll.DBRW($E$2,AP$1,AP$2,$D$18,$D$3,$D131,$E131,$F131,$F$3,AQ$3)</f>
        <v>0</v>
      </c>
      <c r="AR131" s="25">
        <f>_xll.DBRW($C$2,$AP$1,AP$2,$D$18,$D$3,$D131,$E131,$F131,AR$3)</f>
        <v>1</v>
      </c>
      <c r="AS131" s="64">
        <f>_xll.DBRW($C$2,$AP$1,AP$2,$D$18,$D$3,$D131,$E131,$F131,AS$3)</f>
        <v>0</v>
      </c>
      <c r="AT131" s="58">
        <f>_xll.DBRW($C$2,$AP$1,AP$2,$D$18,$D$3,$D131,$E131,$F131,AT$3)</f>
        <v>0</v>
      </c>
      <c r="AU131" s="48">
        <f t="shared" si="41"/>
        <v>23</v>
      </c>
      <c r="AV131" s="39">
        <f>_xll.DBRW($C$2,$AV$1,AV$2,$D$18,$D$3,$D131,$E131,$F131,AV$3)</f>
        <v>0</v>
      </c>
      <c r="AW131" s="25" cm="1">
        <f t="array" ref="AW131">_xll.DBRW($E$2,AV$1,AV$2,$D$18,$D$3,$D131,$E131,$F131,$F$3,AW$3)</f>
        <v>0</v>
      </c>
      <c r="AX131" s="25">
        <f>_xll.DBRW($C$2,$AV$1,AV$2,$D$18,$D$3,$D131,$E131,$F131,AX$3)</f>
        <v>1</v>
      </c>
      <c r="AY131" s="64">
        <f>_xll.DBRW($C$2,$AV$1,AV$2,$D$18,$D$3,$D131,$E131,$F131,AY$3)</f>
        <v>0</v>
      </c>
      <c r="AZ131" s="58">
        <f>_xll.DBRW($C$2,$AV$1,AV$2,$D$18,$D$3,$D131,$E131,$F131,AZ$3)</f>
        <v>0</v>
      </c>
      <c r="BA131" s="48">
        <f t="shared" si="42"/>
        <v>22</v>
      </c>
      <c r="BB131" s="39">
        <f>_xll.DBRW($C$2,$BB$1,BB$2,$D$18,$D$3,$D131,$E131,$F131,BB$3)</f>
        <v>0</v>
      </c>
      <c r="BC131" s="25" cm="1">
        <f t="array" ref="BC131">_xll.DBRW($E$2,BB$1,BB$2,$D$18,$D$3,$D131,$E131,$F131,$F$3,BC$3)</f>
        <v>0</v>
      </c>
      <c r="BD131" s="25">
        <f>_xll.DBRW($C$2,$BB$1,BB$2,$D$18,$D$3,$D131,$E131,$F131,BD$3)</f>
        <v>1</v>
      </c>
      <c r="BE131" s="64">
        <f>_xll.DBRW($C$2,$BB$1,BB$2,$D$18,$D$3,$D131,$E131,$F131,BE$3)</f>
        <v>0</v>
      </c>
      <c r="BF131" s="58">
        <f>_xll.DBRW($C$2,$BB$1,BB$2,$D$18,$D$3,$D131,$E131,$F131,BF$3)</f>
        <v>0</v>
      </c>
      <c r="BG131" s="48">
        <f t="shared" si="43"/>
        <v>21</v>
      </c>
      <c r="BH131" s="39">
        <f>_xll.DBRW($C$2,$BH$1,BH$2,$D$18,$D$3,$D131,$E131,$F131,BH$3)</f>
        <v>0</v>
      </c>
      <c r="BI131" s="25" cm="1">
        <f t="array" ref="BI131">_xll.DBRW($E$2,BH$1,BH$2,$D$18,$D$3,$D131,$E131,$F131,$F$3,BI$3)</f>
        <v>0</v>
      </c>
      <c r="BJ131" s="25">
        <f>_xll.DBRW($C$2,$BH$1,BH$2,$D$18,$D$3,$D131,$E131,$F131,BJ$3)</f>
        <v>1</v>
      </c>
      <c r="BK131" s="64">
        <f>_xll.DBRW($C$2,$BH$1,BH$2,$D$18,$D$3,$D131,$E131,$F131,BK$3)</f>
        <v>0</v>
      </c>
      <c r="BL131" s="58">
        <f>_xll.DBRW($C$2,$BH$1,BH$2,$D$18,$D$3,$D131,$E131,$F131,BL$3)</f>
        <v>0</v>
      </c>
      <c r="BM131" s="48">
        <f t="shared" si="44"/>
        <v>20</v>
      </c>
      <c r="BN131" s="39">
        <f>_xll.DBRW($C$2,$BN$1,BN$2,$D$18,$D$3,$D131,$E131,$F131,BN$3)</f>
        <v>0</v>
      </c>
      <c r="BO131" s="25" cm="1">
        <f t="array" ref="BO131">_xll.DBRW($E$2,BN$1,BN$2,$D$18,$D$3,$D131,$E131,$F131,$F$3,BO$3)</f>
        <v>0</v>
      </c>
      <c r="BP131" s="25">
        <f>_xll.DBRW($C$2,$BN$1,BN$2,$D$18,$D$3,$D131,$E131,$F131,BP$3)</f>
        <v>1</v>
      </c>
      <c r="BQ131" s="64">
        <f>_xll.DBRW($C$2,$BN$1,BN$2,$D$18,$D$3,$D131,$E131,$F131,BQ$3)</f>
        <v>0</v>
      </c>
      <c r="BR131" s="58">
        <f>_xll.DBRW($C$2,$BN$1,BN$2,$D$18,$D$3,$D131,$E131,$F131,BR$3)</f>
        <v>0</v>
      </c>
      <c r="BS131" s="48">
        <f t="shared" si="45"/>
        <v>19</v>
      </c>
      <c r="BT131" s="39">
        <f>_xll.DBRW($C$2,$BT$1,BT$2,$D$18,$D$3,$D131,$E131,$F131,BT$3)</f>
        <v>0</v>
      </c>
      <c r="BU131" s="25" cm="1">
        <f t="array" ref="BU131">_xll.DBRW($E$2,BT$1,BT$2,$D$18,$D$3,$D131,$E131,$F131,$F$3,BU$3)</f>
        <v>0</v>
      </c>
      <c r="BV131" s="25">
        <f>_xll.DBRW($C$2,$BT$1,BT$2,$D$18,$D$3,$D131,$E131,$F131,BV$3)</f>
        <v>1</v>
      </c>
      <c r="BW131" s="64">
        <f>_xll.DBRW($C$2,$BT$1,BT$2,$D$18,$D$3,$D131,$E131,$F131,BW$3)</f>
        <v>0</v>
      </c>
      <c r="BX131" s="58">
        <f>_xll.DBRW($C$2,$BT$1,BT$2,$D$18,$D$3,$D131,$E131,$F131,BX$3)</f>
        <v>0</v>
      </c>
      <c r="BY131" s="48">
        <f t="shared" si="46"/>
        <v>18</v>
      </c>
      <c r="BZ131" s="39">
        <f>_xll.DBRW($C$2,$BZ$1,BZ$2,$D$18,$D$3,$D131,$E131,$F131,BZ$3)</f>
        <v>0</v>
      </c>
      <c r="CA131" s="25" cm="1">
        <f t="array" ref="CA131">_xll.DBRW($E$2,BZ$1,BZ$2,$D$18,$D$3,$D131,$E131,$F131,$F$3,CA$3)</f>
        <v>0</v>
      </c>
      <c r="CB131" s="25">
        <f>_xll.DBRW($C$2,$BZ$1,BZ$2,$D$18,$D$3,$D131,$E131,$F131,CB$3)</f>
        <v>1</v>
      </c>
      <c r="CC131" s="64">
        <f>_xll.DBRW($C$2,$BZ$1,BZ$2,$D$18,$D$3,$D131,$E131,$F131,CC$3)</f>
        <v>0</v>
      </c>
      <c r="CD131" s="58">
        <f>_xll.DBRW($C$2,$BZ$1,BZ$2,$D$18,$D$3,$D131,$E131,$F131,CD$3)</f>
        <v>0</v>
      </c>
      <c r="CE131" s="48">
        <f t="shared" si="47"/>
        <v>17</v>
      </c>
    </row>
    <row r="132" spans="1:83" s="23" customFormat="1" outlineLevel="1" thickBot="1" x14ac:dyDescent="0.3">
      <c r="A132" s="91" t="str">
        <f>IF(_xll.TM1RPTELISCONSOLIDATED($F$22,$F132),IF(_xll.TM1RPTELLEV($F$22,$F132)&lt;=5,_xll.TM1RPTELLEV($F$22,$F132),"Default"),"Leaf")</f>
        <v>Leaf</v>
      </c>
      <c r="B132" s="24" t="str">
        <f>_xll.DBRW("TM1-S1_DEV:}ElementAttributes_SP_SKU",$D132,B$1)</f>
        <v>Primary</v>
      </c>
      <c r="C132" s="24" t="str">
        <f>_xll.DBRW("TM1-S1_DEV:}ElementAttributes_SP_SKU",$D132,C$1)</f>
        <v>BAG</v>
      </c>
      <c r="D132" s="28" t="s">
        <v>438</v>
      </c>
      <c r="E132" s="28" t="s">
        <v>267</v>
      </c>
      <c r="F132" s="28" t="s">
        <v>28</v>
      </c>
      <c r="G132" s="4">
        <f>_xll.DBRW($C$2,$G$19,G$20,$D$18,$D$3,$D132,$E132,$F132,G$3)</f>
        <v>19</v>
      </c>
      <c r="H132" s="54">
        <f t="shared" si="36"/>
        <v>4</v>
      </c>
      <c r="I132" s="4"/>
      <c r="J132" s="25">
        <f>_xll.DBRW($C$2,$J$1,J$2,$D$18,$D$3,$D132,$E132,$F132,J$3)</f>
        <v>23</v>
      </c>
      <c r="K132" s="39">
        <f>_xll.DBRW($C$2,$J$1,J$2,$D$18,$D$3,$D132,$E132,$F132,K$3)</f>
        <v>0</v>
      </c>
      <c r="L132" s="25">
        <f>_xll.DBRW($C$2,$J$1,J$2,$D$18,$D$3,$D132,$E132,$F132,L$3)</f>
        <v>0</v>
      </c>
      <c r="M132" s="25">
        <f>_xll.DBRW($C$2,$J$1,J$2,$D$18,$D$3,$D132,$E132,$F132,M$3)</f>
        <v>0</v>
      </c>
      <c r="N132" s="25">
        <f>_xll.DBRW($C$2,$J$1,J$2,$D$18,$D$3,$D132,$E132,$F132,N$3)</f>
        <v>10</v>
      </c>
      <c r="O132" s="64">
        <f>_xll.DBRW($C$2,$J$1,J$2,$D$18,$D$3,$D132,$E132,$F132,O$3)</f>
        <v>1</v>
      </c>
      <c r="P132" s="58">
        <f>_xll.DBRW($C$2,$J$1,J$2,$D$18,$D$3,$D132,$E132,$F132,P$3)</f>
        <v>0</v>
      </c>
      <c r="Q132" s="48">
        <f>_xll.DBRW($C$2,$J$1,J$2,$D$18,$D$3,$D132,$E132,$F132,Q$3)</f>
        <v>13</v>
      </c>
      <c r="R132" s="39">
        <f>_xll.DBRW($C$2,$R$1,R$2,$D$18,$D$3,$D132,$E132,$F132,R$3)</f>
        <v>0</v>
      </c>
      <c r="S132" s="25" cm="1">
        <f t="array" ref="S132">_xll.DBRW($E$2,R$1,R$2,$D$18,$D$3,$D132,$E132,$F132,$F$3,S$3)</f>
        <v>0</v>
      </c>
      <c r="T132" s="25">
        <f>_xll.DBRW($C$2,$R$1,R$2,$D$18,$D$3,$D132,$E132,$F132,T$3)</f>
        <v>0</v>
      </c>
      <c r="U132" s="64">
        <f>_xll.DBRW($C$2,$R$1,R$2,$D$18,$D$3,$D132,$E132,$F132,U$3)</f>
        <v>0</v>
      </c>
      <c r="V132" s="58">
        <f>_xll.DBRW($C$2,$R$1,R$2,$D$18,$D$3,$D132,$E132,$F132,V$3)</f>
        <v>0</v>
      </c>
      <c r="W132" s="48">
        <f t="shared" si="37"/>
        <v>13</v>
      </c>
      <c r="X132" s="39">
        <f>_xll.DBRW($C$2,$X$1,X$2,$D$18,$D$3,$D132,$E132,$F132,X$3)</f>
        <v>0</v>
      </c>
      <c r="Y132" s="25" cm="1">
        <f t="array" ref="Y132">_xll.DBRW($E$2,X$1,X$2,$D$18,$D$3,$D132,$E132,$F132,$F$3,Y$3)</f>
        <v>0</v>
      </c>
      <c r="Z132" s="25">
        <f>_xll.DBRW($C$2,$X$1,X$2,$D$18,$D$3,$D132,$E132,$F132,Z$3)</f>
        <v>1</v>
      </c>
      <c r="AA132" s="64">
        <f>_xll.DBRW($C$2,$X$1,X$2,$D$18,$D$3,$D132,$E132,$F132,AA$3)</f>
        <v>1</v>
      </c>
      <c r="AB132" s="58">
        <f>_xll.DBRW($C$2,$X$1,X$2,$D$18,$D$3,$D132,$E132,$F132,AB$3)</f>
        <v>0</v>
      </c>
      <c r="AC132" s="48">
        <f t="shared" si="38"/>
        <v>12</v>
      </c>
      <c r="AD132" s="39">
        <f>_xll.DBRW($C$2,$AD$1,AD$2,$D$18,$D$3,$D132,$E132,$F132,AD$3)</f>
        <v>0</v>
      </c>
      <c r="AE132" s="25" cm="1">
        <f t="array" ref="AE132">_xll.DBRW($E$2,AD$1,AD$2,$D$18,$D$3,$D132,$E132,$F132,$F$3,AE$3)</f>
        <v>0</v>
      </c>
      <c r="AF132" s="25">
        <f>_xll.DBRW($C$2,$AD$1,AD$2,$D$18,$D$3,$D132,$E132,$F132,AF$3)</f>
        <v>1</v>
      </c>
      <c r="AG132" s="64">
        <f>_xll.DBRW($C$2,$AD$1,AD$2,$D$18,$D$3,$D132,$E132,$F132,AG$3)</f>
        <v>0</v>
      </c>
      <c r="AH132" s="58">
        <f>_xll.DBRW($C$2,$AD$1,AD$2,$D$18,$D$3,$D132,$E132,$F132,AH$3)</f>
        <v>0</v>
      </c>
      <c r="AI132" s="48">
        <f t="shared" si="39"/>
        <v>11</v>
      </c>
      <c r="AJ132" s="39">
        <f>_xll.DBRW($C$2,$AJ$1,AJ$2,$D$18,$D$3,$D132,$E132,$F132,AJ$3)</f>
        <v>0</v>
      </c>
      <c r="AK132" s="25" cm="1">
        <f t="array" ref="AK132">_xll.DBRW($E$2,AJ$1,AJ$2,$D$18,$D$3,$D132,$E132,$F132,$F$3,AK$3)</f>
        <v>0</v>
      </c>
      <c r="AL132" s="25">
        <f>_xll.DBRW($C$2,$AJ$1,AJ$2,$D$18,$D$3,$D132,$E132,$F132,AL$3)</f>
        <v>1</v>
      </c>
      <c r="AM132" s="64">
        <f>_xll.DBRW($C$2,$AJ$1,AJ$2,$D$18,$D$3,$D132,$E132,$F132,AM$3)</f>
        <v>0</v>
      </c>
      <c r="AN132" s="58">
        <f>_xll.DBRW($C$2,$AJ$1,AJ$2,$D$18,$D$3,$D132,$E132,$F132,AN$3)</f>
        <v>0</v>
      </c>
      <c r="AO132" s="48">
        <f t="shared" si="40"/>
        <v>10</v>
      </c>
      <c r="AP132" s="39">
        <f>_xll.DBRW($C$2,$AP$1,AP$2,$D$18,$D$3,$D132,$E132,$F132,AP$3)</f>
        <v>0</v>
      </c>
      <c r="AQ132" s="25" cm="1">
        <f t="array" ref="AQ132">_xll.DBRW($E$2,AP$1,AP$2,$D$18,$D$3,$D132,$E132,$F132,$F$3,AQ$3)</f>
        <v>0</v>
      </c>
      <c r="AR132" s="25">
        <f>_xll.DBRW($C$2,$AP$1,AP$2,$D$18,$D$3,$D132,$E132,$F132,AR$3)</f>
        <v>1</v>
      </c>
      <c r="AS132" s="64">
        <f>_xll.DBRW($C$2,$AP$1,AP$2,$D$18,$D$3,$D132,$E132,$F132,AS$3)</f>
        <v>0</v>
      </c>
      <c r="AT132" s="58">
        <f>_xll.DBRW($C$2,$AP$1,AP$2,$D$18,$D$3,$D132,$E132,$F132,AT$3)</f>
        <v>0</v>
      </c>
      <c r="AU132" s="48">
        <f t="shared" si="41"/>
        <v>9</v>
      </c>
      <c r="AV132" s="39">
        <f>_xll.DBRW($C$2,$AV$1,AV$2,$D$18,$D$3,$D132,$E132,$F132,AV$3)</f>
        <v>0</v>
      </c>
      <c r="AW132" s="25" cm="1">
        <f t="array" ref="AW132">_xll.DBRW($E$2,AV$1,AV$2,$D$18,$D$3,$D132,$E132,$F132,$F$3,AW$3)</f>
        <v>0</v>
      </c>
      <c r="AX132" s="25">
        <f>_xll.DBRW($C$2,$AV$1,AV$2,$D$18,$D$3,$D132,$E132,$F132,AX$3)</f>
        <v>2</v>
      </c>
      <c r="AY132" s="64">
        <f>_xll.DBRW($C$2,$AV$1,AV$2,$D$18,$D$3,$D132,$E132,$F132,AY$3)</f>
        <v>1</v>
      </c>
      <c r="AZ132" s="58">
        <f>_xll.DBRW($C$2,$AV$1,AV$2,$D$18,$D$3,$D132,$E132,$F132,AZ$3)</f>
        <v>0</v>
      </c>
      <c r="BA132" s="48">
        <f t="shared" si="42"/>
        <v>7</v>
      </c>
      <c r="BB132" s="39">
        <f>_xll.DBRW($C$2,$BB$1,BB$2,$D$18,$D$3,$D132,$E132,$F132,BB$3)</f>
        <v>0</v>
      </c>
      <c r="BC132" s="25" cm="1">
        <f t="array" ref="BC132">_xll.DBRW($E$2,BB$1,BB$2,$D$18,$D$3,$D132,$E132,$F132,$F$3,BC$3)</f>
        <v>0</v>
      </c>
      <c r="BD132" s="25">
        <f>_xll.DBRW($C$2,$BB$1,BB$2,$D$18,$D$3,$D132,$E132,$F132,BD$3)</f>
        <v>1</v>
      </c>
      <c r="BE132" s="64">
        <f>_xll.DBRW($C$2,$BB$1,BB$2,$D$18,$D$3,$D132,$E132,$F132,BE$3)</f>
        <v>1</v>
      </c>
      <c r="BF132" s="58">
        <f>_xll.DBRW($C$2,$BB$1,BB$2,$D$18,$D$3,$D132,$E132,$F132,BF$3)</f>
        <v>0</v>
      </c>
      <c r="BG132" s="48">
        <f t="shared" si="43"/>
        <v>6</v>
      </c>
      <c r="BH132" s="39">
        <f>_xll.DBRW($C$2,$BH$1,BH$2,$D$18,$D$3,$D132,$E132,$F132,BH$3)</f>
        <v>0</v>
      </c>
      <c r="BI132" s="25" cm="1">
        <f t="array" ref="BI132">_xll.DBRW($E$2,BH$1,BH$2,$D$18,$D$3,$D132,$E132,$F132,$F$3,BI$3)</f>
        <v>0</v>
      </c>
      <c r="BJ132" s="25">
        <f>_xll.DBRW($C$2,$BH$1,BH$2,$D$18,$D$3,$D132,$E132,$F132,BJ$3)</f>
        <v>1</v>
      </c>
      <c r="BK132" s="64">
        <f>_xll.DBRW($C$2,$BH$1,BH$2,$D$18,$D$3,$D132,$E132,$F132,BK$3)</f>
        <v>0</v>
      </c>
      <c r="BL132" s="58">
        <f>_xll.DBRW($C$2,$BH$1,BH$2,$D$18,$D$3,$D132,$E132,$F132,BL$3)</f>
        <v>0</v>
      </c>
      <c r="BM132" s="48">
        <f t="shared" si="44"/>
        <v>5</v>
      </c>
      <c r="BN132" s="39">
        <f>_xll.DBRW($C$2,$BN$1,BN$2,$D$18,$D$3,$D132,$E132,$F132,BN$3)</f>
        <v>0</v>
      </c>
      <c r="BO132" s="25" cm="1">
        <f t="array" ref="BO132">_xll.DBRW($E$2,BN$1,BN$2,$D$18,$D$3,$D132,$E132,$F132,$F$3,BO$3)</f>
        <v>0</v>
      </c>
      <c r="BP132" s="25">
        <f>_xll.DBRW($C$2,$BN$1,BN$2,$D$18,$D$3,$D132,$E132,$F132,BP$3)</f>
        <v>1</v>
      </c>
      <c r="BQ132" s="64">
        <f>_xll.DBRW($C$2,$BN$1,BN$2,$D$18,$D$3,$D132,$E132,$F132,BQ$3)</f>
        <v>0</v>
      </c>
      <c r="BR132" s="58">
        <f>_xll.DBRW($C$2,$BN$1,BN$2,$D$18,$D$3,$D132,$E132,$F132,BR$3)</f>
        <v>0</v>
      </c>
      <c r="BS132" s="48">
        <f t="shared" si="45"/>
        <v>4</v>
      </c>
      <c r="BT132" s="39">
        <f>_xll.DBRW($C$2,$BT$1,BT$2,$D$18,$D$3,$D132,$E132,$F132,BT$3)</f>
        <v>0</v>
      </c>
      <c r="BU132" s="25" cm="1">
        <f t="array" ref="BU132">_xll.DBRW($E$2,BT$1,BT$2,$D$18,$D$3,$D132,$E132,$F132,$F$3,BU$3)</f>
        <v>0</v>
      </c>
      <c r="BV132" s="25">
        <f>_xll.DBRW($C$2,$BT$1,BT$2,$D$18,$D$3,$D132,$E132,$F132,BV$3)</f>
        <v>1</v>
      </c>
      <c r="BW132" s="64">
        <f>_xll.DBRW($C$2,$BT$1,BT$2,$D$18,$D$3,$D132,$E132,$F132,BW$3)</f>
        <v>0</v>
      </c>
      <c r="BX132" s="58">
        <f>_xll.DBRW($C$2,$BT$1,BT$2,$D$18,$D$3,$D132,$E132,$F132,BX$3)</f>
        <v>0</v>
      </c>
      <c r="BY132" s="48">
        <f t="shared" si="46"/>
        <v>3</v>
      </c>
      <c r="BZ132" s="39">
        <f>_xll.DBRW($C$2,$BZ$1,BZ$2,$D$18,$D$3,$D132,$E132,$F132,BZ$3)</f>
        <v>0</v>
      </c>
      <c r="CA132" s="25" cm="1">
        <f t="array" ref="CA132">_xll.DBRW($E$2,BZ$1,BZ$2,$D$18,$D$3,$D132,$E132,$F132,$F$3,CA$3)</f>
        <v>0</v>
      </c>
      <c r="CB132" s="25">
        <f>_xll.DBRW($C$2,$BZ$1,BZ$2,$D$18,$D$3,$D132,$E132,$F132,CB$3)</f>
        <v>1</v>
      </c>
      <c r="CC132" s="64">
        <f>_xll.DBRW($C$2,$BZ$1,BZ$2,$D$18,$D$3,$D132,$E132,$F132,CC$3)</f>
        <v>0</v>
      </c>
      <c r="CD132" s="58">
        <f>_xll.DBRW($C$2,$BZ$1,BZ$2,$D$18,$D$3,$D132,$E132,$F132,CD$3)</f>
        <v>0</v>
      </c>
      <c r="CE132" s="48">
        <f t="shared" si="47"/>
        <v>2</v>
      </c>
    </row>
    <row r="133" spans="1:83" s="23" customFormat="1" outlineLevel="1" thickBot="1" x14ac:dyDescent="0.3">
      <c r="A133" s="91" t="str">
        <f>IF(_xll.TM1RPTELISCONSOLIDATED($F$22,$F133),IF(_xll.TM1RPTELLEV($F$22,$F133)&lt;=5,_xll.TM1RPTELLEV($F$22,$F133),"Default"),"Leaf")</f>
        <v>Leaf</v>
      </c>
      <c r="B133" s="24" t="str">
        <f>_xll.DBRW("TM1-S1_DEV:}ElementAttributes_SP_SKU",$D133,B$1)</f>
        <v>Primary</v>
      </c>
      <c r="C133" s="24" t="str">
        <f>_xll.DBRW("TM1-S1_DEV:}ElementAttributes_SP_SKU",$D133,C$1)</f>
        <v>BAG</v>
      </c>
      <c r="D133" s="28" t="s">
        <v>439</v>
      </c>
      <c r="E133" s="28" t="s">
        <v>268</v>
      </c>
      <c r="F133" s="28" t="s">
        <v>28</v>
      </c>
      <c r="G133" s="4">
        <f>_xll.DBRW($C$2,$G$19,G$20,$D$18,$D$3,$D133,$E133,$F133,G$3)</f>
        <v>37</v>
      </c>
      <c r="H133" s="54">
        <f t="shared" si="36"/>
        <v>12</v>
      </c>
      <c r="I133" s="4"/>
      <c r="J133" s="25">
        <f>_xll.DBRW($C$2,$J$1,J$2,$D$18,$D$3,$D133,$E133,$F133,J$3)</f>
        <v>49</v>
      </c>
      <c r="K133" s="39">
        <f>_xll.DBRW($C$2,$J$1,J$2,$D$18,$D$3,$D133,$E133,$F133,K$3)</f>
        <v>0</v>
      </c>
      <c r="L133" s="25">
        <f>_xll.DBRW($C$2,$J$1,J$2,$D$18,$D$3,$D133,$E133,$F133,L$3)</f>
        <v>0</v>
      </c>
      <c r="M133" s="25">
        <f>_xll.DBRW($C$2,$J$1,J$2,$D$18,$D$3,$D133,$E133,$F133,M$3)</f>
        <v>0</v>
      </c>
      <c r="N133" s="25">
        <f>_xll.DBRW($C$2,$J$1,J$2,$D$18,$D$3,$D133,$E133,$F133,N$3)</f>
        <v>28</v>
      </c>
      <c r="O133" s="64">
        <f>_xll.DBRW($C$2,$J$1,J$2,$D$18,$D$3,$D133,$E133,$F133,O$3)</f>
        <v>1</v>
      </c>
      <c r="P133" s="58">
        <f>_xll.DBRW($C$2,$J$1,J$2,$D$18,$D$3,$D133,$E133,$F133,P$3)</f>
        <v>0</v>
      </c>
      <c r="Q133" s="48">
        <f>_xll.DBRW($C$2,$J$1,J$2,$D$18,$D$3,$D133,$E133,$F133,Q$3)</f>
        <v>21</v>
      </c>
      <c r="R133" s="39">
        <f>_xll.DBRW($C$2,$R$1,R$2,$D$18,$D$3,$D133,$E133,$F133,R$3)</f>
        <v>0</v>
      </c>
      <c r="S133" s="25" cm="1">
        <f t="array" ref="S133">_xll.DBRW($E$2,R$1,R$2,$D$18,$D$3,$D133,$E133,$F133,$F$3,S$3)</f>
        <v>0</v>
      </c>
      <c r="T133" s="25">
        <f>_xll.DBRW($C$2,$R$1,R$2,$D$18,$D$3,$D133,$E133,$F133,T$3)</f>
        <v>0</v>
      </c>
      <c r="U133" s="64">
        <f>_xll.DBRW($C$2,$R$1,R$2,$D$18,$D$3,$D133,$E133,$F133,U$3)</f>
        <v>0</v>
      </c>
      <c r="V133" s="58">
        <f>_xll.DBRW($C$2,$R$1,R$2,$D$18,$D$3,$D133,$E133,$F133,V$3)</f>
        <v>0</v>
      </c>
      <c r="W133" s="48">
        <f t="shared" si="37"/>
        <v>21</v>
      </c>
      <c r="X133" s="39">
        <f>_xll.DBRW($C$2,$X$1,X$2,$D$18,$D$3,$D133,$E133,$F133,X$3)</f>
        <v>0</v>
      </c>
      <c r="Y133" s="25" cm="1">
        <f t="array" ref="Y133">_xll.DBRW($E$2,X$1,X$2,$D$18,$D$3,$D133,$E133,$F133,$F$3,Y$3)</f>
        <v>0</v>
      </c>
      <c r="Z133" s="25">
        <f>_xll.DBRW($C$2,$X$1,X$2,$D$18,$D$3,$D133,$E133,$F133,Z$3)</f>
        <v>2</v>
      </c>
      <c r="AA133" s="64">
        <f>_xll.DBRW($C$2,$X$1,X$2,$D$18,$D$3,$D133,$E133,$F133,AA$3)</f>
        <v>0</v>
      </c>
      <c r="AB133" s="58">
        <f>_xll.DBRW($C$2,$X$1,X$2,$D$18,$D$3,$D133,$E133,$F133,AB$3)</f>
        <v>0</v>
      </c>
      <c r="AC133" s="48">
        <f t="shared" si="38"/>
        <v>19</v>
      </c>
      <c r="AD133" s="39">
        <f>_xll.DBRW($C$2,$AD$1,AD$2,$D$18,$D$3,$D133,$E133,$F133,AD$3)</f>
        <v>0</v>
      </c>
      <c r="AE133" s="25" cm="1">
        <f t="array" ref="AE133">_xll.DBRW($E$2,AD$1,AD$2,$D$18,$D$3,$D133,$E133,$F133,$F$3,AE$3)</f>
        <v>0</v>
      </c>
      <c r="AF133" s="25">
        <f>_xll.DBRW($C$2,$AD$1,AD$2,$D$18,$D$3,$D133,$E133,$F133,AF$3)</f>
        <v>2</v>
      </c>
      <c r="AG133" s="64">
        <f>_xll.DBRW($C$2,$AD$1,AD$2,$D$18,$D$3,$D133,$E133,$F133,AG$3)</f>
        <v>0</v>
      </c>
      <c r="AH133" s="58">
        <f>_xll.DBRW($C$2,$AD$1,AD$2,$D$18,$D$3,$D133,$E133,$F133,AH$3)</f>
        <v>0</v>
      </c>
      <c r="AI133" s="48">
        <f t="shared" si="39"/>
        <v>17</v>
      </c>
      <c r="AJ133" s="39">
        <f>_xll.DBRW($C$2,$AJ$1,AJ$2,$D$18,$D$3,$D133,$E133,$F133,AJ$3)</f>
        <v>0</v>
      </c>
      <c r="AK133" s="25" cm="1">
        <f t="array" ref="AK133">_xll.DBRW($E$2,AJ$1,AJ$2,$D$18,$D$3,$D133,$E133,$F133,$F$3,AK$3)</f>
        <v>0</v>
      </c>
      <c r="AL133" s="25">
        <f>_xll.DBRW($C$2,$AJ$1,AJ$2,$D$18,$D$3,$D133,$E133,$F133,AL$3)</f>
        <v>2</v>
      </c>
      <c r="AM133" s="64">
        <f>_xll.DBRW($C$2,$AJ$1,AJ$2,$D$18,$D$3,$D133,$E133,$F133,AM$3)</f>
        <v>0</v>
      </c>
      <c r="AN133" s="58">
        <f>_xll.DBRW($C$2,$AJ$1,AJ$2,$D$18,$D$3,$D133,$E133,$F133,AN$3)</f>
        <v>0</v>
      </c>
      <c r="AO133" s="48">
        <f t="shared" si="40"/>
        <v>15</v>
      </c>
      <c r="AP133" s="39">
        <f>_xll.DBRW($C$2,$AP$1,AP$2,$D$18,$D$3,$D133,$E133,$F133,AP$3)</f>
        <v>0</v>
      </c>
      <c r="AQ133" s="25" cm="1">
        <f t="array" ref="AQ133">_xll.DBRW($E$2,AP$1,AP$2,$D$18,$D$3,$D133,$E133,$F133,$F$3,AQ$3)</f>
        <v>0</v>
      </c>
      <c r="AR133" s="25">
        <f>_xll.DBRW($C$2,$AP$1,AP$2,$D$18,$D$3,$D133,$E133,$F133,AR$3)</f>
        <v>2</v>
      </c>
      <c r="AS133" s="64">
        <f>_xll.DBRW($C$2,$AP$1,AP$2,$D$18,$D$3,$D133,$E133,$F133,AS$3)</f>
        <v>0</v>
      </c>
      <c r="AT133" s="58">
        <f>_xll.DBRW($C$2,$AP$1,AP$2,$D$18,$D$3,$D133,$E133,$F133,AT$3)</f>
        <v>0</v>
      </c>
      <c r="AU133" s="48">
        <f t="shared" si="41"/>
        <v>13</v>
      </c>
      <c r="AV133" s="39">
        <f>_xll.DBRW($C$2,$AV$1,AV$2,$D$18,$D$3,$D133,$E133,$F133,AV$3)</f>
        <v>0</v>
      </c>
      <c r="AW133" s="25" cm="1">
        <f t="array" ref="AW133">_xll.DBRW($E$2,AV$1,AV$2,$D$18,$D$3,$D133,$E133,$F133,$F$3,AW$3)</f>
        <v>0</v>
      </c>
      <c r="AX133" s="25">
        <f>_xll.DBRW($C$2,$AV$1,AV$2,$D$18,$D$3,$D133,$E133,$F133,AX$3)</f>
        <v>2</v>
      </c>
      <c r="AY133" s="64">
        <f>_xll.DBRW($C$2,$AV$1,AV$2,$D$18,$D$3,$D133,$E133,$F133,AY$3)</f>
        <v>0</v>
      </c>
      <c r="AZ133" s="58">
        <f>_xll.DBRW($C$2,$AV$1,AV$2,$D$18,$D$3,$D133,$E133,$F133,AZ$3)</f>
        <v>0</v>
      </c>
      <c r="BA133" s="48">
        <f t="shared" si="42"/>
        <v>11</v>
      </c>
      <c r="BB133" s="39">
        <f>_xll.DBRW($C$2,$BB$1,BB$2,$D$18,$D$3,$D133,$E133,$F133,BB$3)</f>
        <v>0</v>
      </c>
      <c r="BC133" s="25" cm="1">
        <f t="array" ref="BC133">_xll.DBRW($E$2,BB$1,BB$2,$D$18,$D$3,$D133,$E133,$F133,$F$3,BC$3)</f>
        <v>0</v>
      </c>
      <c r="BD133" s="25">
        <f>_xll.DBRW($C$2,$BB$1,BB$2,$D$18,$D$3,$D133,$E133,$F133,BD$3)</f>
        <v>2</v>
      </c>
      <c r="BE133" s="64">
        <f>_xll.DBRW($C$2,$BB$1,BB$2,$D$18,$D$3,$D133,$E133,$F133,BE$3)</f>
        <v>0</v>
      </c>
      <c r="BF133" s="58">
        <f>_xll.DBRW($C$2,$BB$1,BB$2,$D$18,$D$3,$D133,$E133,$F133,BF$3)</f>
        <v>0</v>
      </c>
      <c r="BG133" s="48">
        <f t="shared" si="43"/>
        <v>9</v>
      </c>
      <c r="BH133" s="39">
        <f>_xll.DBRW($C$2,$BH$1,BH$2,$D$18,$D$3,$D133,$E133,$F133,BH$3)</f>
        <v>0</v>
      </c>
      <c r="BI133" s="25" cm="1">
        <f t="array" ref="BI133">_xll.DBRW($E$2,BH$1,BH$2,$D$18,$D$3,$D133,$E133,$F133,$F$3,BI$3)</f>
        <v>0</v>
      </c>
      <c r="BJ133" s="25">
        <f>_xll.DBRW($C$2,$BH$1,BH$2,$D$18,$D$3,$D133,$E133,$F133,BJ$3)</f>
        <v>2</v>
      </c>
      <c r="BK133" s="64">
        <f>_xll.DBRW($C$2,$BH$1,BH$2,$D$18,$D$3,$D133,$E133,$F133,BK$3)</f>
        <v>0</v>
      </c>
      <c r="BL133" s="58">
        <f>_xll.DBRW($C$2,$BH$1,BH$2,$D$18,$D$3,$D133,$E133,$F133,BL$3)</f>
        <v>0</v>
      </c>
      <c r="BM133" s="48">
        <f t="shared" si="44"/>
        <v>7</v>
      </c>
      <c r="BN133" s="39">
        <f>_xll.DBRW($C$2,$BN$1,BN$2,$D$18,$D$3,$D133,$E133,$F133,BN$3)</f>
        <v>0</v>
      </c>
      <c r="BO133" s="25" cm="1">
        <f t="array" ref="BO133">_xll.DBRW($E$2,BN$1,BN$2,$D$18,$D$3,$D133,$E133,$F133,$F$3,BO$3)</f>
        <v>0</v>
      </c>
      <c r="BP133" s="25">
        <f>_xll.DBRW($C$2,$BN$1,BN$2,$D$18,$D$3,$D133,$E133,$F133,BP$3)</f>
        <v>2</v>
      </c>
      <c r="BQ133" s="64">
        <f>_xll.DBRW($C$2,$BN$1,BN$2,$D$18,$D$3,$D133,$E133,$F133,BQ$3)</f>
        <v>0</v>
      </c>
      <c r="BR133" s="58">
        <f>_xll.DBRW($C$2,$BN$1,BN$2,$D$18,$D$3,$D133,$E133,$F133,BR$3)</f>
        <v>0</v>
      </c>
      <c r="BS133" s="48">
        <f t="shared" si="45"/>
        <v>5</v>
      </c>
      <c r="BT133" s="39">
        <f>_xll.DBRW($C$2,$BT$1,BT$2,$D$18,$D$3,$D133,$E133,$F133,BT$3)</f>
        <v>0</v>
      </c>
      <c r="BU133" s="25" cm="1">
        <f t="array" ref="BU133">_xll.DBRW($E$2,BT$1,BT$2,$D$18,$D$3,$D133,$E133,$F133,$F$3,BU$3)</f>
        <v>0</v>
      </c>
      <c r="BV133" s="25">
        <f>_xll.DBRW($C$2,$BT$1,BT$2,$D$18,$D$3,$D133,$E133,$F133,BV$3)</f>
        <v>2</v>
      </c>
      <c r="BW133" s="64">
        <f>_xll.DBRW($C$2,$BT$1,BT$2,$D$18,$D$3,$D133,$E133,$F133,BW$3)</f>
        <v>0</v>
      </c>
      <c r="BX133" s="58">
        <f>_xll.DBRW($C$2,$BT$1,BT$2,$D$18,$D$3,$D133,$E133,$F133,BX$3)</f>
        <v>0</v>
      </c>
      <c r="BY133" s="48">
        <f t="shared" si="46"/>
        <v>3</v>
      </c>
      <c r="BZ133" s="39">
        <f>_xll.DBRW($C$2,$BZ$1,BZ$2,$D$18,$D$3,$D133,$E133,$F133,BZ$3)</f>
        <v>0</v>
      </c>
      <c r="CA133" s="25" cm="1">
        <f t="array" ref="CA133">_xll.DBRW($E$2,BZ$1,BZ$2,$D$18,$D$3,$D133,$E133,$F133,$F$3,CA$3)</f>
        <v>0</v>
      </c>
      <c r="CB133" s="25">
        <f>_xll.DBRW($C$2,$BZ$1,BZ$2,$D$18,$D$3,$D133,$E133,$F133,CB$3)</f>
        <v>2</v>
      </c>
      <c r="CC133" s="64">
        <f>_xll.DBRW($C$2,$BZ$1,BZ$2,$D$18,$D$3,$D133,$E133,$F133,CC$3)</f>
        <v>0</v>
      </c>
      <c r="CD133" s="58">
        <f>_xll.DBRW($C$2,$BZ$1,BZ$2,$D$18,$D$3,$D133,$E133,$F133,CD$3)</f>
        <v>0</v>
      </c>
      <c r="CE133" s="48">
        <f t="shared" si="47"/>
        <v>1</v>
      </c>
    </row>
    <row r="134" spans="1:83" s="23" customFormat="1" outlineLevel="1" thickBot="1" x14ac:dyDescent="0.3">
      <c r="A134" s="91" t="str">
        <f>IF(_xll.TM1RPTELISCONSOLIDATED($F$22,$F134),IF(_xll.TM1RPTELLEV($F$22,$F134)&lt;=5,_xll.TM1RPTELLEV($F$22,$F134),"Default"),"Leaf")</f>
        <v>Leaf</v>
      </c>
      <c r="B134" s="24" t="str">
        <f>_xll.DBRW("TM1-S1_DEV:}ElementAttributes_SP_SKU",$D134,B$1)</f>
        <v>Primary</v>
      </c>
      <c r="C134" s="24" t="str">
        <f>_xll.DBRW("TM1-S1_DEV:}ElementAttributes_SP_SKU",$D134,C$1)</f>
        <v>BAG</v>
      </c>
      <c r="D134" s="28" t="s">
        <v>440</v>
      </c>
      <c r="E134" s="28" t="s">
        <v>269</v>
      </c>
      <c r="F134" s="28" t="s">
        <v>28</v>
      </c>
      <c r="G134" s="4">
        <f>_xll.DBRW($C$2,$G$19,G$20,$D$18,$D$3,$D134,$E134,$F134,G$3)</f>
        <v>10</v>
      </c>
      <c r="H134" s="54">
        <f t="shared" si="36"/>
        <v>-2</v>
      </c>
      <c r="I134" s="4"/>
      <c r="J134" s="25">
        <f>_xll.DBRW($C$2,$J$1,J$2,$D$18,$D$3,$D134,$E134,$F134,J$3)</f>
        <v>8</v>
      </c>
      <c r="K134" s="39">
        <f>_xll.DBRW($C$2,$J$1,J$2,$D$18,$D$3,$D134,$E134,$F134,K$3)</f>
        <v>0</v>
      </c>
      <c r="L134" s="25">
        <f>_xll.DBRW($C$2,$J$1,J$2,$D$18,$D$3,$D134,$E134,$F134,L$3)</f>
        <v>0</v>
      </c>
      <c r="M134" s="25">
        <f>_xll.DBRW($C$2,$J$1,J$2,$D$18,$D$3,$D134,$E134,$F134,M$3)</f>
        <v>0</v>
      </c>
      <c r="N134" s="25">
        <f>_xll.DBRW($C$2,$J$1,J$2,$D$18,$D$3,$D134,$E134,$F134,N$3)</f>
        <v>3</v>
      </c>
      <c r="O134" s="64">
        <f>_xll.DBRW($C$2,$J$1,J$2,$D$18,$D$3,$D134,$E134,$F134,O$3)</f>
        <v>1</v>
      </c>
      <c r="P134" s="58">
        <f>_xll.DBRW($C$2,$J$1,J$2,$D$18,$D$3,$D134,$E134,$F134,P$3)</f>
        <v>0</v>
      </c>
      <c r="Q134" s="48">
        <f>_xll.DBRW($C$2,$J$1,J$2,$D$18,$D$3,$D134,$E134,$F134,Q$3)</f>
        <v>5</v>
      </c>
      <c r="R134" s="39">
        <f>_xll.DBRW($C$2,$R$1,R$2,$D$18,$D$3,$D134,$E134,$F134,R$3)</f>
        <v>0</v>
      </c>
      <c r="S134" s="25" cm="1">
        <f t="array" ref="S134">_xll.DBRW($E$2,R$1,R$2,$D$18,$D$3,$D134,$E134,$F134,$F$3,S$3)</f>
        <v>0</v>
      </c>
      <c r="T134" s="25">
        <f>_xll.DBRW($C$2,$R$1,R$2,$D$18,$D$3,$D134,$E134,$F134,T$3)</f>
        <v>0</v>
      </c>
      <c r="U134" s="64">
        <f>_xll.DBRW($C$2,$R$1,R$2,$D$18,$D$3,$D134,$E134,$F134,U$3)</f>
        <v>0</v>
      </c>
      <c r="V134" s="58">
        <f>_xll.DBRW($C$2,$R$1,R$2,$D$18,$D$3,$D134,$E134,$F134,V$3)</f>
        <v>0</v>
      </c>
      <c r="W134" s="48">
        <f t="shared" si="37"/>
        <v>5</v>
      </c>
      <c r="X134" s="39">
        <f>_xll.DBRW($C$2,$X$1,X$2,$D$18,$D$3,$D134,$E134,$F134,X$3)</f>
        <v>0</v>
      </c>
      <c r="Y134" s="25" cm="1">
        <f t="array" ref="Y134">_xll.DBRW($E$2,X$1,X$2,$D$18,$D$3,$D134,$E134,$F134,$F$3,Y$3)</f>
        <v>0</v>
      </c>
      <c r="Z134" s="25">
        <f>_xll.DBRW($C$2,$X$1,X$2,$D$18,$D$3,$D134,$E134,$F134,Z$3)</f>
        <v>2</v>
      </c>
      <c r="AA134" s="64">
        <f>_xll.DBRW($C$2,$X$1,X$2,$D$18,$D$3,$D134,$E134,$F134,AA$3)</f>
        <v>0</v>
      </c>
      <c r="AB134" s="58">
        <f>_xll.DBRW($C$2,$X$1,X$2,$D$18,$D$3,$D134,$E134,$F134,AB$3)</f>
        <v>0</v>
      </c>
      <c r="AC134" s="48">
        <f t="shared" si="38"/>
        <v>3</v>
      </c>
      <c r="AD134" s="39">
        <f>_xll.DBRW($C$2,$AD$1,AD$2,$D$18,$D$3,$D134,$E134,$F134,AD$3)</f>
        <v>0</v>
      </c>
      <c r="AE134" s="25" cm="1">
        <f t="array" ref="AE134">_xll.DBRW($E$2,AD$1,AD$2,$D$18,$D$3,$D134,$E134,$F134,$F$3,AE$3)</f>
        <v>0</v>
      </c>
      <c r="AF134" s="25">
        <f>_xll.DBRW($C$2,$AD$1,AD$2,$D$18,$D$3,$D134,$E134,$F134,AF$3)</f>
        <v>2</v>
      </c>
      <c r="AG134" s="64">
        <f>_xll.DBRW($C$2,$AD$1,AD$2,$D$18,$D$3,$D134,$E134,$F134,AG$3)</f>
        <v>0</v>
      </c>
      <c r="AH134" s="58">
        <f>_xll.DBRW($C$2,$AD$1,AD$2,$D$18,$D$3,$D134,$E134,$F134,AH$3)</f>
        <v>0</v>
      </c>
      <c r="AI134" s="48">
        <f t="shared" si="39"/>
        <v>1</v>
      </c>
      <c r="AJ134" s="39">
        <f>_xll.DBRW($C$2,$AJ$1,AJ$2,$D$18,$D$3,$D134,$E134,$F134,AJ$3)</f>
        <v>0</v>
      </c>
      <c r="AK134" s="25" cm="1">
        <f t="array" ref="AK134">_xll.DBRW($E$2,AJ$1,AJ$2,$D$18,$D$3,$D134,$E134,$F134,$F$3,AK$3)</f>
        <v>0</v>
      </c>
      <c r="AL134" s="25">
        <f>_xll.DBRW($C$2,$AJ$1,AJ$2,$D$18,$D$3,$D134,$E134,$F134,AL$3)</f>
        <v>2</v>
      </c>
      <c r="AM134" s="64">
        <f>_xll.DBRW($C$2,$AJ$1,AJ$2,$D$18,$D$3,$D134,$E134,$F134,AM$3)</f>
        <v>0</v>
      </c>
      <c r="AN134" s="58">
        <f>_xll.DBRW($C$2,$AJ$1,AJ$2,$D$18,$D$3,$D134,$E134,$F134,AN$3)</f>
        <v>0</v>
      </c>
      <c r="AO134" s="48">
        <f t="shared" si="40"/>
        <v>-1</v>
      </c>
      <c r="AP134" s="39">
        <f>_xll.DBRW($C$2,$AP$1,AP$2,$D$18,$D$3,$D134,$E134,$F134,AP$3)</f>
        <v>0</v>
      </c>
      <c r="AQ134" s="25" cm="1">
        <f t="array" ref="AQ134">_xll.DBRW($E$2,AP$1,AP$2,$D$18,$D$3,$D134,$E134,$F134,$F$3,AQ$3)</f>
        <v>0</v>
      </c>
      <c r="AR134" s="25">
        <f>_xll.DBRW($C$2,$AP$1,AP$2,$D$18,$D$3,$D134,$E134,$F134,AR$3)</f>
        <v>2</v>
      </c>
      <c r="AS134" s="64">
        <f>_xll.DBRW($C$2,$AP$1,AP$2,$D$18,$D$3,$D134,$E134,$F134,AS$3)</f>
        <v>0</v>
      </c>
      <c r="AT134" s="58">
        <f>_xll.DBRW($C$2,$AP$1,AP$2,$D$18,$D$3,$D134,$E134,$F134,AT$3)</f>
        <v>0</v>
      </c>
      <c r="AU134" s="48">
        <f t="shared" si="41"/>
        <v>-3</v>
      </c>
      <c r="AV134" s="39">
        <f>_xll.DBRW($C$2,$AV$1,AV$2,$D$18,$D$3,$D134,$E134,$F134,AV$3)</f>
        <v>0</v>
      </c>
      <c r="AW134" s="25" cm="1">
        <f t="array" ref="AW134">_xll.DBRW($E$2,AV$1,AV$2,$D$18,$D$3,$D134,$E134,$F134,$F$3,AW$3)</f>
        <v>0</v>
      </c>
      <c r="AX134" s="25">
        <f>_xll.DBRW($C$2,$AV$1,AV$2,$D$18,$D$3,$D134,$E134,$F134,AX$3)</f>
        <v>2</v>
      </c>
      <c r="AY134" s="64">
        <f>_xll.DBRW($C$2,$AV$1,AV$2,$D$18,$D$3,$D134,$E134,$F134,AY$3)</f>
        <v>1</v>
      </c>
      <c r="AZ134" s="58">
        <f>_xll.DBRW($C$2,$AV$1,AV$2,$D$18,$D$3,$D134,$E134,$F134,AZ$3)</f>
        <v>0</v>
      </c>
      <c r="BA134" s="48">
        <f t="shared" si="42"/>
        <v>-5</v>
      </c>
      <c r="BB134" s="39">
        <f>_xll.DBRW($C$2,$BB$1,BB$2,$D$18,$D$3,$D134,$E134,$F134,BB$3)</f>
        <v>0</v>
      </c>
      <c r="BC134" s="25" cm="1">
        <f t="array" ref="BC134">_xll.DBRW($E$2,BB$1,BB$2,$D$18,$D$3,$D134,$E134,$F134,$F$3,BC$3)</f>
        <v>0</v>
      </c>
      <c r="BD134" s="25">
        <f>_xll.DBRW($C$2,$BB$1,BB$2,$D$18,$D$3,$D134,$E134,$F134,BD$3)</f>
        <v>2</v>
      </c>
      <c r="BE134" s="64">
        <f>_xll.DBRW($C$2,$BB$1,BB$2,$D$18,$D$3,$D134,$E134,$F134,BE$3)</f>
        <v>0</v>
      </c>
      <c r="BF134" s="58">
        <f>_xll.DBRW($C$2,$BB$1,BB$2,$D$18,$D$3,$D134,$E134,$F134,BF$3)</f>
        <v>0</v>
      </c>
      <c r="BG134" s="48">
        <f t="shared" si="43"/>
        <v>-7</v>
      </c>
      <c r="BH134" s="39">
        <f>_xll.DBRW($C$2,$BH$1,BH$2,$D$18,$D$3,$D134,$E134,$F134,BH$3)</f>
        <v>0</v>
      </c>
      <c r="BI134" s="25" cm="1">
        <f t="array" ref="BI134">_xll.DBRW($E$2,BH$1,BH$2,$D$18,$D$3,$D134,$E134,$F134,$F$3,BI$3)</f>
        <v>0</v>
      </c>
      <c r="BJ134" s="25">
        <f>_xll.DBRW($C$2,$BH$1,BH$2,$D$18,$D$3,$D134,$E134,$F134,BJ$3)</f>
        <v>2</v>
      </c>
      <c r="BK134" s="64">
        <f>_xll.DBRW($C$2,$BH$1,BH$2,$D$18,$D$3,$D134,$E134,$F134,BK$3)</f>
        <v>0</v>
      </c>
      <c r="BL134" s="58">
        <f>_xll.DBRW($C$2,$BH$1,BH$2,$D$18,$D$3,$D134,$E134,$F134,BL$3)</f>
        <v>0</v>
      </c>
      <c r="BM134" s="48">
        <f t="shared" si="44"/>
        <v>-9</v>
      </c>
      <c r="BN134" s="39">
        <f>_xll.DBRW($C$2,$BN$1,BN$2,$D$18,$D$3,$D134,$E134,$F134,BN$3)</f>
        <v>0</v>
      </c>
      <c r="BO134" s="25" cm="1">
        <f t="array" ref="BO134">_xll.DBRW($E$2,BN$1,BN$2,$D$18,$D$3,$D134,$E134,$F134,$F$3,BO$3)</f>
        <v>0</v>
      </c>
      <c r="BP134" s="25">
        <f>_xll.DBRW($C$2,$BN$1,BN$2,$D$18,$D$3,$D134,$E134,$F134,BP$3)</f>
        <v>2</v>
      </c>
      <c r="BQ134" s="64">
        <f>_xll.DBRW($C$2,$BN$1,BN$2,$D$18,$D$3,$D134,$E134,$F134,BQ$3)</f>
        <v>0</v>
      </c>
      <c r="BR134" s="58">
        <f>_xll.DBRW($C$2,$BN$1,BN$2,$D$18,$D$3,$D134,$E134,$F134,BR$3)</f>
        <v>0</v>
      </c>
      <c r="BS134" s="48">
        <f t="shared" si="45"/>
        <v>-11</v>
      </c>
      <c r="BT134" s="39">
        <f>_xll.DBRW($C$2,$BT$1,BT$2,$D$18,$D$3,$D134,$E134,$F134,BT$3)</f>
        <v>0</v>
      </c>
      <c r="BU134" s="25" cm="1">
        <f t="array" ref="BU134">_xll.DBRW($E$2,BT$1,BT$2,$D$18,$D$3,$D134,$E134,$F134,$F$3,BU$3)</f>
        <v>0</v>
      </c>
      <c r="BV134" s="25">
        <f>_xll.DBRW($C$2,$BT$1,BT$2,$D$18,$D$3,$D134,$E134,$F134,BV$3)</f>
        <v>2</v>
      </c>
      <c r="BW134" s="64">
        <f>_xll.DBRW($C$2,$BT$1,BT$2,$D$18,$D$3,$D134,$E134,$F134,BW$3)</f>
        <v>0</v>
      </c>
      <c r="BX134" s="58">
        <f>_xll.DBRW($C$2,$BT$1,BT$2,$D$18,$D$3,$D134,$E134,$F134,BX$3)</f>
        <v>0</v>
      </c>
      <c r="BY134" s="48">
        <f t="shared" si="46"/>
        <v>-13</v>
      </c>
      <c r="BZ134" s="39">
        <f>_xll.DBRW($C$2,$BZ$1,BZ$2,$D$18,$D$3,$D134,$E134,$F134,BZ$3)</f>
        <v>0</v>
      </c>
      <c r="CA134" s="25" cm="1">
        <f t="array" ref="CA134">_xll.DBRW($E$2,BZ$1,BZ$2,$D$18,$D$3,$D134,$E134,$F134,$F$3,CA$3)</f>
        <v>0</v>
      </c>
      <c r="CB134" s="25">
        <f>_xll.DBRW($C$2,$BZ$1,BZ$2,$D$18,$D$3,$D134,$E134,$F134,CB$3)</f>
        <v>2</v>
      </c>
      <c r="CC134" s="64">
        <f>_xll.DBRW($C$2,$BZ$1,BZ$2,$D$18,$D$3,$D134,$E134,$F134,CC$3)</f>
        <v>0</v>
      </c>
      <c r="CD134" s="58">
        <f>_xll.DBRW($C$2,$BZ$1,BZ$2,$D$18,$D$3,$D134,$E134,$F134,CD$3)</f>
        <v>0</v>
      </c>
      <c r="CE134" s="48">
        <f t="shared" si="47"/>
        <v>-15</v>
      </c>
    </row>
    <row r="135" spans="1:83" s="23" customFormat="1" outlineLevel="1" thickBot="1" x14ac:dyDescent="0.3">
      <c r="A135" s="91" t="str">
        <f>IF(_xll.TM1RPTELISCONSOLIDATED($F$22,$F135),IF(_xll.TM1RPTELLEV($F$22,$F135)&lt;=5,_xll.TM1RPTELLEV($F$22,$F135),"Default"),"Leaf")</f>
        <v>Leaf</v>
      </c>
      <c r="B135" s="24" t="str">
        <f>_xll.DBRW("TM1-S1_DEV:}ElementAttributes_SP_SKU",$D135,B$1)</f>
        <v>Primary</v>
      </c>
      <c r="C135" s="24" t="str">
        <f>_xll.DBRW("TM1-S1_DEV:}ElementAttributes_SP_SKU",$D135,C$1)</f>
        <v>BOX</v>
      </c>
      <c r="D135" s="28" t="s">
        <v>497</v>
      </c>
      <c r="E135" s="28" t="s">
        <v>145</v>
      </c>
      <c r="F135" s="28" t="s">
        <v>53</v>
      </c>
      <c r="G135" s="4">
        <f>_xll.DBRW($C$2,$G$19,G$20,$D$18,$D$3,$D135,$E135,$F135,G$3)</f>
        <v>78</v>
      </c>
      <c r="H135" s="54">
        <f t="shared" si="36"/>
        <v>-35</v>
      </c>
      <c r="I135" s="4"/>
      <c r="J135" s="25">
        <f>_xll.DBRW($C$2,$J$1,J$2,$D$18,$D$3,$D135,$E135,$F135,J$3)</f>
        <v>43</v>
      </c>
      <c r="K135" s="39">
        <f>_xll.DBRW($C$2,$J$1,J$2,$D$18,$D$3,$D135,$E135,$F135,K$3)</f>
        <v>0</v>
      </c>
      <c r="L135" s="25">
        <f>_xll.DBRW($C$2,$J$1,J$2,$D$18,$D$3,$D135,$E135,$F135,L$3)</f>
        <v>0</v>
      </c>
      <c r="M135" s="25">
        <f>_xll.DBRW($C$2,$J$1,J$2,$D$18,$D$3,$D135,$E135,$F135,M$3)</f>
        <v>0</v>
      </c>
      <c r="N135" s="25">
        <f>_xll.DBRW($C$2,$J$1,J$2,$D$18,$D$3,$D135,$E135,$F135,N$3)</f>
        <v>0</v>
      </c>
      <c r="O135" s="64">
        <f>_xll.DBRW($C$2,$J$1,J$2,$D$18,$D$3,$D135,$E135,$F135,O$3)</f>
        <v>0</v>
      </c>
      <c r="P135" s="58">
        <f>_xll.DBRW($C$2,$J$1,J$2,$D$18,$D$3,$D135,$E135,$F135,P$3)</f>
        <v>0</v>
      </c>
      <c r="Q135" s="48">
        <f>_xll.DBRW($C$2,$J$1,J$2,$D$18,$D$3,$D135,$E135,$F135,Q$3)</f>
        <v>43</v>
      </c>
      <c r="R135" s="39">
        <f>_xll.DBRW($C$2,$R$1,R$2,$D$18,$D$3,$D135,$E135,$F135,R$3)</f>
        <v>0</v>
      </c>
      <c r="S135" s="25" cm="1">
        <f t="array" ref="S135">_xll.DBRW($E$2,R$1,R$2,$D$18,$D$3,$D135,$E135,$F135,$F$3,S$3)</f>
        <v>0</v>
      </c>
      <c r="T135" s="25">
        <f>_xll.DBRW($C$2,$R$1,R$2,$D$18,$D$3,$D135,$E135,$F135,T$3)</f>
        <v>0</v>
      </c>
      <c r="U135" s="64">
        <f>_xll.DBRW($C$2,$R$1,R$2,$D$18,$D$3,$D135,$E135,$F135,U$3)</f>
        <v>0</v>
      </c>
      <c r="V135" s="58">
        <f>_xll.DBRW($C$2,$R$1,R$2,$D$18,$D$3,$D135,$E135,$F135,V$3)</f>
        <v>0</v>
      </c>
      <c r="W135" s="48">
        <f t="shared" si="37"/>
        <v>43</v>
      </c>
      <c r="X135" s="39">
        <f>_xll.DBRW($C$2,$X$1,X$2,$D$18,$D$3,$D135,$E135,$F135,X$3)</f>
        <v>0</v>
      </c>
      <c r="Y135" s="25" cm="1">
        <f t="array" ref="Y135">_xll.DBRW($E$2,X$1,X$2,$D$18,$D$3,$D135,$E135,$F135,$F$3,Y$3)</f>
        <v>0</v>
      </c>
      <c r="Z135" s="25">
        <f>_xll.DBRW($C$2,$X$1,X$2,$D$18,$D$3,$D135,$E135,$F135,Z$3)</f>
        <v>0</v>
      </c>
      <c r="AA135" s="64">
        <f>_xll.DBRW($C$2,$X$1,X$2,$D$18,$D$3,$D135,$E135,$F135,AA$3)</f>
        <v>0</v>
      </c>
      <c r="AB135" s="58">
        <f>_xll.DBRW($C$2,$X$1,X$2,$D$18,$D$3,$D135,$E135,$F135,AB$3)</f>
        <v>0</v>
      </c>
      <c r="AC135" s="48">
        <f t="shared" si="38"/>
        <v>43</v>
      </c>
      <c r="AD135" s="39">
        <f>_xll.DBRW($C$2,$AD$1,AD$2,$D$18,$D$3,$D135,$E135,$F135,AD$3)</f>
        <v>0</v>
      </c>
      <c r="AE135" s="25" cm="1">
        <f t="array" ref="AE135">_xll.DBRW($E$2,AD$1,AD$2,$D$18,$D$3,$D135,$E135,$F135,$F$3,AE$3)</f>
        <v>0</v>
      </c>
      <c r="AF135" s="25">
        <f>_xll.DBRW($C$2,$AD$1,AD$2,$D$18,$D$3,$D135,$E135,$F135,AF$3)</f>
        <v>0</v>
      </c>
      <c r="AG135" s="64">
        <f>_xll.DBRW($C$2,$AD$1,AD$2,$D$18,$D$3,$D135,$E135,$F135,AG$3)</f>
        <v>0</v>
      </c>
      <c r="AH135" s="58">
        <f>_xll.DBRW($C$2,$AD$1,AD$2,$D$18,$D$3,$D135,$E135,$F135,AH$3)</f>
        <v>0</v>
      </c>
      <c r="AI135" s="48">
        <f t="shared" si="39"/>
        <v>43</v>
      </c>
      <c r="AJ135" s="39">
        <f>_xll.DBRW($C$2,$AJ$1,AJ$2,$D$18,$D$3,$D135,$E135,$F135,AJ$3)</f>
        <v>0</v>
      </c>
      <c r="AK135" s="25" cm="1">
        <f t="array" ref="AK135">_xll.DBRW($E$2,AJ$1,AJ$2,$D$18,$D$3,$D135,$E135,$F135,$F$3,AK$3)</f>
        <v>0</v>
      </c>
      <c r="AL135" s="25">
        <f>_xll.DBRW($C$2,$AJ$1,AJ$2,$D$18,$D$3,$D135,$E135,$F135,AL$3)</f>
        <v>0</v>
      </c>
      <c r="AM135" s="64">
        <f>_xll.DBRW($C$2,$AJ$1,AJ$2,$D$18,$D$3,$D135,$E135,$F135,AM$3)</f>
        <v>0</v>
      </c>
      <c r="AN135" s="58">
        <f>_xll.DBRW($C$2,$AJ$1,AJ$2,$D$18,$D$3,$D135,$E135,$F135,AN$3)</f>
        <v>0</v>
      </c>
      <c r="AO135" s="48">
        <f t="shared" si="40"/>
        <v>43</v>
      </c>
      <c r="AP135" s="39">
        <f>_xll.DBRW($C$2,$AP$1,AP$2,$D$18,$D$3,$D135,$E135,$F135,AP$3)</f>
        <v>0</v>
      </c>
      <c r="AQ135" s="25" cm="1">
        <f t="array" ref="AQ135">_xll.DBRW($E$2,AP$1,AP$2,$D$18,$D$3,$D135,$E135,$F135,$F$3,AQ$3)</f>
        <v>0</v>
      </c>
      <c r="AR135" s="25">
        <f>_xll.DBRW($C$2,$AP$1,AP$2,$D$18,$D$3,$D135,$E135,$F135,AR$3)</f>
        <v>0</v>
      </c>
      <c r="AS135" s="64">
        <f>_xll.DBRW($C$2,$AP$1,AP$2,$D$18,$D$3,$D135,$E135,$F135,AS$3)</f>
        <v>0</v>
      </c>
      <c r="AT135" s="58">
        <f>_xll.DBRW($C$2,$AP$1,AP$2,$D$18,$D$3,$D135,$E135,$F135,AT$3)</f>
        <v>0</v>
      </c>
      <c r="AU135" s="48">
        <f t="shared" si="41"/>
        <v>43</v>
      </c>
      <c r="AV135" s="39">
        <f>_xll.DBRW($C$2,$AV$1,AV$2,$D$18,$D$3,$D135,$E135,$F135,AV$3)</f>
        <v>0</v>
      </c>
      <c r="AW135" s="25" cm="1">
        <f t="array" ref="AW135">_xll.DBRW($E$2,AV$1,AV$2,$D$18,$D$3,$D135,$E135,$F135,$F$3,AW$3)</f>
        <v>0</v>
      </c>
      <c r="AX135" s="25">
        <f>_xll.DBRW($C$2,$AV$1,AV$2,$D$18,$D$3,$D135,$E135,$F135,AX$3)</f>
        <v>0</v>
      </c>
      <c r="AY135" s="64">
        <f>_xll.DBRW($C$2,$AV$1,AV$2,$D$18,$D$3,$D135,$E135,$F135,AY$3)</f>
        <v>0</v>
      </c>
      <c r="AZ135" s="58">
        <f>_xll.DBRW($C$2,$AV$1,AV$2,$D$18,$D$3,$D135,$E135,$F135,AZ$3)</f>
        <v>0</v>
      </c>
      <c r="BA135" s="48">
        <f t="shared" si="42"/>
        <v>43</v>
      </c>
      <c r="BB135" s="39">
        <f>_xll.DBRW($C$2,$BB$1,BB$2,$D$18,$D$3,$D135,$E135,$F135,BB$3)</f>
        <v>0</v>
      </c>
      <c r="BC135" s="25" cm="1">
        <f t="array" ref="BC135">_xll.DBRW($E$2,BB$1,BB$2,$D$18,$D$3,$D135,$E135,$F135,$F$3,BC$3)</f>
        <v>0</v>
      </c>
      <c r="BD135" s="25">
        <f>_xll.DBRW($C$2,$BB$1,BB$2,$D$18,$D$3,$D135,$E135,$F135,BD$3)</f>
        <v>0</v>
      </c>
      <c r="BE135" s="64">
        <f>_xll.DBRW($C$2,$BB$1,BB$2,$D$18,$D$3,$D135,$E135,$F135,BE$3)</f>
        <v>0</v>
      </c>
      <c r="BF135" s="58">
        <f>_xll.DBRW($C$2,$BB$1,BB$2,$D$18,$D$3,$D135,$E135,$F135,BF$3)</f>
        <v>0</v>
      </c>
      <c r="BG135" s="48">
        <f t="shared" si="43"/>
        <v>43</v>
      </c>
      <c r="BH135" s="39">
        <f>_xll.DBRW($C$2,$BH$1,BH$2,$D$18,$D$3,$D135,$E135,$F135,BH$3)</f>
        <v>0</v>
      </c>
      <c r="BI135" s="25" cm="1">
        <f t="array" ref="BI135">_xll.DBRW($E$2,BH$1,BH$2,$D$18,$D$3,$D135,$E135,$F135,$F$3,BI$3)</f>
        <v>0</v>
      </c>
      <c r="BJ135" s="25">
        <f>_xll.DBRW($C$2,$BH$1,BH$2,$D$18,$D$3,$D135,$E135,$F135,BJ$3)</f>
        <v>0</v>
      </c>
      <c r="BK135" s="64">
        <f>_xll.DBRW($C$2,$BH$1,BH$2,$D$18,$D$3,$D135,$E135,$F135,BK$3)</f>
        <v>0</v>
      </c>
      <c r="BL135" s="58">
        <f>_xll.DBRW($C$2,$BH$1,BH$2,$D$18,$D$3,$D135,$E135,$F135,BL$3)</f>
        <v>0</v>
      </c>
      <c r="BM135" s="48">
        <f t="shared" si="44"/>
        <v>43</v>
      </c>
      <c r="BN135" s="39">
        <f>_xll.DBRW($C$2,$BN$1,BN$2,$D$18,$D$3,$D135,$E135,$F135,BN$3)</f>
        <v>0</v>
      </c>
      <c r="BO135" s="25" cm="1">
        <f t="array" ref="BO135">_xll.DBRW($E$2,BN$1,BN$2,$D$18,$D$3,$D135,$E135,$F135,$F$3,BO$3)</f>
        <v>0</v>
      </c>
      <c r="BP135" s="25">
        <f>_xll.DBRW($C$2,$BN$1,BN$2,$D$18,$D$3,$D135,$E135,$F135,BP$3)</f>
        <v>0</v>
      </c>
      <c r="BQ135" s="64">
        <f>_xll.DBRW($C$2,$BN$1,BN$2,$D$18,$D$3,$D135,$E135,$F135,BQ$3)</f>
        <v>0</v>
      </c>
      <c r="BR135" s="58">
        <f>_xll.DBRW($C$2,$BN$1,BN$2,$D$18,$D$3,$D135,$E135,$F135,BR$3)</f>
        <v>0</v>
      </c>
      <c r="BS135" s="48">
        <f t="shared" si="45"/>
        <v>43</v>
      </c>
      <c r="BT135" s="39">
        <f>_xll.DBRW($C$2,$BT$1,BT$2,$D$18,$D$3,$D135,$E135,$F135,BT$3)</f>
        <v>0</v>
      </c>
      <c r="BU135" s="25" cm="1">
        <f t="array" ref="BU135">_xll.DBRW($E$2,BT$1,BT$2,$D$18,$D$3,$D135,$E135,$F135,$F$3,BU$3)</f>
        <v>0</v>
      </c>
      <c r="BV135" s="25">
        <f>_xll.DBRW($C$2,$BT$1,BT$2,$D$18,$D$3,$D135,$E135,$F135,BV$3)</f>
        <v>0</v>
      </c>
      <c r="BW135" s="64">
        <f>_xll.DBRW($C$2,$BT$1,BT$2,$D$18,$D$3,$D135,$E135,$F135,BW$3)</f>
        <v>0</v>
      </c>
      <c r="BX135" s="58">
        <f>_xll.DBRW($C$2,$BT$1,BT$2,$D$18,$D$3,$D135,$E135,$F135,BX$3)</f>
        <v>0</v>
      </c>
      <c r="BY135" s="48">
        <f t="shared" si="46"/>
        <v>43</v>
      </c>
      <c r="BZ135" s="39">
        <f>_xll.DBRW($C$2,$BZ$1,BZ$2,$D$18,$D$3,$D135,$E135,$F135,BZ$3)</f>
        <v>0</v>
      </c>
      <c r="CA135" s="25" cm="1">
        <f t="array" ref="CA135">_xll.DBRW($E$2,BZ$1,BZ$2,$D$18,$D$3,$D135,$E135,$F135,$F$3,CA$3)</f>
        <v>0</v>
      </c>
      <c r="CB135" s="25">
        <f>_xll.DBRW($C$2,$BZ$1,BZ$2,$D$18,$D$3,$D135,$E135,$F135,CB$3)</f>
        <v>0</v>
      </c>
      <c r="CC135" s="64">
        <f>_xll.DBRW($C$2,$BZ$1,BZ$2,$D$18,$D$3,$D135,$E135,$F135,CC$3)</f>
        <v>0</v>
      </c>
      <c r="CD135" s="58">
        <f>_xll.DBRW($C$2,$BZ$1,BZ$2,$D$18,$D$3,$D135,$E135,$F135,CD$3)</f>
        <v>0</v>
      </c>
      <c r="CE135" s="48">
        <f t="shared" si="47"/>
        <v>43</v>
      </c>
    </row>
    <row r="136" spans="1:83" s="23" customFormat="1" outlineLevel="1" thickBot="1" x14ac:dyDescent="0.3">
      <c r="A136" s="91" t="str">
        <f>IF(_xll.TM1RPTELISCONSOLIDATED($F$22,$F136),IF(_xll.TM1RPTELLEV($F$22,$F136)&lt;=5,_xll.TM1RPTELLEV($F$22,$F136),"Default"),"Leaf")</f>
        <v>Leaf</v>
      </c>
      <c r="B136" s="24" t="str">
        <f>_xll.DBRW("TM1-S1_DEV:}ElementAttributes_SP_SKU",$D136,B$1)</f>
        <v>Primary</v>
      </c>
      <c r="C136" s="24" t="str">
        <f>_xll.DBRW("TM1-S1_DEV:}ElementAttributes_SP_SKU",$D136,C$1)</f>
        <v>FOIL</v>
      </c>
      <c r="D136" s="28" t="s">
        <v>498</v>
      </c>
      <c r="E136" s="28" t="s">
        <v>270</v>
      </c>
      <c r="F136" s="28" t="s">
        <v>29</v>
      </c>
      <c r="G136" s="4">
        <f>_xll.DBRW($C$2,$G$19,G$20,$D$18,$D$3,$D136,$E136,$F136,G$3)</f>
        <v>66</v>
      </c>
      <c r="H136" s="54">
        <f t="shared" si="36"/>
        <v>-16</v>
      </c>
      <c r="I136" s="4"/>
      <c r="J136" s="25">
        <f>_xll.DBRW($C$2,$J$1,J$2,$D$18,$D$3,$D136,$E136,$F136,J$3)</f>
        <v>50</v>
      </c>
      <c r="K136" s="39">
        <f>_xll.DBRW($C$2,$J$1,J$2,$D$18,$D$3,$D136,$E136,$F136,K$3)</f>
        <v>0</v>
      </c>
      <c r="L136" s="25">
        <f>_xll.DBRW($C$2,$J$1,J$2,$D$18,$D$3,$D136,$E136,$F136,L$3)</f>
        <v>0</v>
      </c>
      <c r="M136" s="25">
        <f>_xll.DBRW($C$2,$J$1,J$2,$D$18,$D$3,$D136,$E136,$F136,M$3)</f>
        <v>0</v>
      </c>
      <c r="N136" s="25">
        <f>_xll.DBRW($C$2,$J$1,J$2,$D$18,$D$3,$D136,$E136,$F136,N$3)</f>
        <v>0</v>
      </c>
      <c r="O136" s="64">
        <f>_xll.DBRW($C$2,$J$1,J$2,$D$18,$D$3,$D136,$E136,$F136,O$3)</f>
        <v>0</v>
      </c>
      <c r="P136" s="58">
        <f>_xll.DBRW($C$2,$J$1,J$2,$D$18,$D$3,$D136,$E136,$F136,P$3)</f>
        <v>0</v>
      </c>
      <c r="Q136" s="48">
        <f>_xll.DBRW($C$2,$J$1,J$2,$D$18,$D$3,$D136,$E136,$F136,Q$3)</f>
        <v>50</v>
      </c>
      <c r="R136" s="39">
        <f>_xll.DBRW($C$2,$R$1,R$2,$D$18,$D$3,$D136,$E136,$F136,R$3)</f>
        <v>0</v>
      </c>
      <c r="S136" s="25" cm="1">
        <f t="array" ref="S136">_xll.DBRW($E$2,R$1,R$2,$D$18,$D$3,$D136,$E136,$F136,$F$3,S$3)</f>
        <v>0</v>
      </c>
      <c r="T136" s="25">
        <f>_xll.DBRW($C$2,$R$1,R$2,$D$18,$D$3,$D136,$E136,$F136,T$3)</f>
        <v>0</v>
      </c>
      <c r="U136" s="64">
        <f>_xll.DBRW($C$2,$R$1,R$2,$D$18,$D$3,$D136,$E136,$F136,U$3)</f>
        <v>0</v>
      </c>
      <c r="V136" s="58">
        <f>_xll.DBRW($C$2,$R$1,R$2,$D$18,$D$3,$D136,$E136,$F136,V$3)</f>
        <v>0</v>
      </c>
      <c r="W136" s="48">
        <f t="shared" si="37"/>
        <v>50</v>
      </c>
      <c r="X136" s="39">
        <f>_xll.DBRW($C$2,$X$1,X$2,$D$18,$D$3,$D136,$E136,$F136,X$3)</f>
        <v>0</v>
      </c>
      <c r="Y136" s="25" cm="1">
        <f t="array" ref="Y136">_xll.DBRW($E$2,X$1,X$2,$D$18,$D$3,$D136,$E136,$F136,$F$3,Y$3)</f>
        <v>0</v>
      </c>
      <c r="Z136" s="25">
        <f>_xll.DBRW($C$2,$X$1,X$2,$D$18,$D$3,$D136,$E136,$F136,Z$3)</f>
        <v>0</v>
      </c>
      <c r="AA136" s="64">
        <f>_xll.DBRW($C$2,$X$1,X$2,$D$18,$D$3,$D136,$E136,$F136,AA$3)</f>
        <v>0</v>
      </c>
      <c r="AB136" s="58">
        <f>_xll.DBRW($C$2,$X$1,X$2,$D$18,$D$3,$D136,$E136,$F136,AB$3)</f>
        <v>0</v>
      </c>
      <c r="AC136" s="48">
        <f t="shared" si="38"/>
        <v>50</v>
      </c>
      <c r="AD136" s="39">
        <f>_xll.DBRW($C$2,$AD$1,AD$2,$D$18,$D$3,$D136,$E136,$F136,AD$3)</f>
        <v>0</v>
      </c>
      <c r="AE136" s="25" cm="1">
        <f t="array" ref="AE136">_xll.DBRW($E$2,AD$1,AD$2,$D$18,$D$3,$D136,$E136,$F136,$F$3,AE$3)</f>
        <v>0</v>
      </c>
      <c r="AF136" s="25">
        <f>_xll.DBRW($C$2,$AD$1,AD$2,$D$18,$D$3,$D136,$E136,$F136,AF$3)</f>
        <v>0</v>
      </c>
      <c r="AG136" s="64">
        <f>_xll.DBRW($C$2,$AD$1,AD$2,$D$18,$D$3,$D136,$E136,$F136,AG$3)</f>
        <v>0</v>
      </c>
      <c r="AH136" s="58">
        <f>_xll.DBRW($C$2,$AD$1,AD$2,$D$18,$D$3,$D136,$E136,$F136,AH$3)</f>
        <v>0</v>
      </c>
      <c r="AI136" s="48">
        <f t="shared" si="39"/>
        <v>50</v>
      </c>
      <c r="AJ136" s="39">
        <f>_xll.DBRW($C$2,$AJ$1,AJ$2,$D$18,$D$3,$D136,$E136,$F136,AJ$3)</f>
        <v>0</v>
      </c>
      <c r="AK136" s="25" cm="1">
        <f t="array" ref="AK136">_xll.DBRW($E$2,AJ$1,AJ$2,$D$18,$D$3,$D136,$E136,$F136,$F$3,AK$3)</f>
        <v>0</v>
      </c>
      <c r="AL136" s="25">
        <f>_xll.DBRW($C$2,$AJ$1,AJ$2,$D$18,$D$3,$D136,$E136,$F136,AL$3)</f>
        <v>0</v>
      </c>
      <c r="AM136" s="64">
        <f>_xll.DBRW($C$2,$AJ$1,AJ$2,$D$18,$D$3,$D136,$E136,$F136,AM$3)</f>
        <v>0</v>
      </c>
      <c r="AN136" s="58">
        <f>_xll.DBRW($C$2,$AJ$1,AJ$2,$D$18,$D$3,$D136,$E136,$F136,AN$3)</f>
        <v>0</v>
      </c>
      <c r="AO136" s="48">
        <f t="shared" si="40"/>
        <v>50</v>
      </c>
      <c r="AP136" s="39">
        <f>_xll.DBRW($C$2,$AP$1,AP$2,$D$18,$D$3,$D136,$E136,$F136,AP$3)</f>
        <v>0</v>
      </c>
      <c r="AQ136" s="25" cm="1">
        <f t="array" ref="AQ136">_xll.DBRW($E$2,AP$1,AP$2,$D$18,$D$3,$D136,$E136,$F136,$F$3,AQ$3)</f>
        <v>0</v>
      </c>
      <c r="AR136" s="25">
        <f>_xll.DBRW($C$2,$AP$1,AP$2,$D$18,$D$3,$D136,$E136,$F136,AR$3)</f>
        <v>0</v>
      </c>
      <c r="AS136" s="64">
        <f>_xll.DBRW($C$2,$AP$1,AP$2,$D$18,$D$3,$D136,$E136,$F136,AS$3)</f>
        <v>0</v>
      </c>
      <c r="AT136" s="58">
        <f>_xll.DBRW($C$2,$AP$1,AP$2,$D$18,$D$3,$D136,$E136,$F136,AT$3)</f>
        <v>0</v>
      </c>
      <c r="AU136" s="48">
        <f t="shared" si="41"/>
        <v>50</v>
      </c>
      <c r="AV136" s="39">
        <f>_xll.DBRW($C$2,$AV$1,AV$2,$D$18,$D$3,$D136,$E136,$F136,AV$3)</f>
        <v>0</v>
      </c>
      <c r="AW136" s="25" cm="1">
        <f t="array" ref="AW136">_xll.DBRW($E$2,AV$1,AV$2,$D$18,$D$3,$D136,$E136,$F136,$F$3,AW$3)</f>
        <v>0</v>
      </c>
      <c r="AX136" s="25">
        <f>_xll.DBRW($C$2,$AV$1,AV$2,$D$18,$D$3,$D136,$E136,$F136,AX$3)</f>
        <v>0</v>
      </c>
      <c r="AY136" s="64">
        <f>_xll.DBRW($C$2,$AV$1,AV$2,$D$18,$D$3,$D136,$E136,$F136,AY$3)</f>
        <v>0</v>
      </c>
      <c r="AZ136" s="58">
        <f>_xll.DBRW($C$2,$AV$1,AV$2,$D$18,$D$3,$D136,$E136,$F136,AZ$3)</f>
        <v>0</v>
      </c>
      <c r="BA136" s="48">
        <f t="shared" si="42"/>
        <v>50</v>
      </c>
      <c r="BB136" s="39">
        <f>_xll.DBRW($C$2,$BB$1,BB$2,$D$18,$D$3,$D136,$E136,$F136,BB$3)</f>
        <v>0</v>
      </c>
      <c r="BC136" s="25" cm="1">
        <f t="array" ref="BC136">_xll.DBRW($E$2,BB$1,BB$2,$D$18,$D$3,$D136,$E136,$F136,$F$3,BC$3)</f>
        <v>0</v>
      </c>
      <c r="BD136" s="25">
        <f>_xll.DBRW($C$2,$BB$1,BB$2,$D$18,$D$3,$D136,$E136,$F136,BD$3)</f>
        <v>0</v>
      </c>
      <c r="BE136" s="64">
        <f>_xll.DBRW($C$2,$BB$1,BB$2,$D$18,$D$3,$D136,$E136,$F136,BE$3)</f>
        <v>0</v>
      </c>
      <c r="BF136" s="58">
        <f>_xll.DBRW($C$2,$BB$1,BB$2,$D$18,$D$3,$D136,$E136,$F136,BF$3)</f>
        <v>0</v>
      </c>
      <c r="BG136" s="48">
        <f t="shared" si="43"/>
        <v>50</v>
      </c>
      <c r="BH136" s="39">
        <f>_xll.DBRW($C$2,$BH$1,BH$2,$D$18,$D$3,$D136,$E136,$F136,BH$3)</f>
        <v>0</v>
      </c>
      <c r="BI136" s="25" cm="1">
        <f t="array" ref="BI136">_xll.DBRW($E$2,BH$1,BH$2,$D$18,$D$3,$D136,$E136,$F136,$F$3,BI$3)</f>
        <v>0</v>
      </c>
      <c r="BJ136" s="25">
        <f>_xll.DBRW($C$2,$BH$1,BH$2,$D$18,$D$3,$D136,$E136,$F136,BJ$3)</f>
        <v>0</v>
      </c>
      <c r="BK136" s="64">
        <f>_xll.DBRW($C$2,$BH$1,BH$2,$D$18,$D$3,$D136,$E136,$F136,BK$3)</f>
        <v>0</v>
      </c>
      <c r="BL136" s="58">
        <f>_xll.DBRW($C$2,$BH$1,BH$2,$D$18,$D$3,$D136,$E136,$F136,BL$3)</f>
        <v>0</v>
      </c>
      <c r="BM136" s="48">
        <f t="shared" si="44"/>
        <v>50</v>
      </c>
      <c r="BN136" s="39">
        <f>_xll.DBRW($C$2,$BN$1,BN$2,$D$18,$D$3,$D136,$E136,$F136,BN$3)</f>
        <v>0</v>
      </c>
      <c r="BO136" s="25" cm="1">
        <f t="array" ref="BO136">_xll.DBRW($E$2,BN$1,BN$2,$D$18,$D$3,$D136,$E136,$F136,$F$3,BO$3)</f>
        <v>0</v>
      </c>
      <c r="BP136" s="25">
        <f>_xll.DBRW($C$2,$BN$1,BN$2,$D$18,$D$3,$D136,$E136,$F136,BP$3)</f>
        <v>0</v>
      </c>
      <c r="BQ136" s="64">
        <f>_xll.DBRW($C$2,$BN$1,BN$2,$D$18,$D$3,$D136,$E136,$F136,BQ$3)</f>
        <v>0</v>
      </c>
      <c r="BR136" s="58">
        <f>_xll.DBRW($C$2,$BN$1,BN$2,$D$18,$D$3,$D136,$E136,$F136,BR$3)</f>
        <v>0</v>
      </c>
      <c r="BS136" s="48">
        <f t="shared" si="45"/>
        <v>50</v>
      </c>
      <c r="BT136" s="39">
        <f>_xll.DBRW($C$2,$BT$1,BT$2,$D$18,$D$3,$D136,$E136,$F136,BT$3)</f>
        <v>0</v>
      </c>
      <c r="BU136" s="25" cm="1">
        <f t="array" ref="BU136">_xll.DBRW($E$2,BT$1,BT$2,$D$18,$D$3,$D136,$E136,$F136,$F$3,BU$3)</f>
        <v>0</v>
      </c>
      <c r="BV136" s="25">
        <f>_xll.DBRW($C$2,$BT$1,BT$2,$D$18,$D$3,$D136,$E136,$F136,BV$3)</f>
        <v>0</v>
      </c>
      <c r="BW136" s="64">
        <f>_xll.DBRW($C$2,$BT$1,BT$2,$D$18,$D$3,$D136,$E136,$F136,BW$3)</f>
        <v>0</v>
      </c>
      <c r="BX136" s="58">
        <f>_xll.DBRW($C$2,$BT$1,BT$2,$D$18,$D$3,$D136,$E136,$F136,BX$3)</f>
        <v>0</v>
      </c>
      <c r="BY136" s="48">
        <f t="shared" si="46"/>
        <v>50</v>
      </c>
      <c r="BZ136" s="39">
        <f>_xll.DBRW($C$2,$BZ$1,BZ$2,$D$18,$D$3,$D136,$E136,$F136,BZ$3)</f>
        <v>0</v>
      </c>
      <c r="CA136" s="25" cm="1">
        <f t="array" ref="CA136">_xll.DBRW($E$2,BZ$1,BZ$2,$D$18,$D$3,$D136,$E136,$F136,$F$3,CA$3)</f>
        <v>0</v>
      </c>
      <c r="CB136" s="25">
        <f>_xll.DBRW($C$2,$BZ$1,BZ$2,$D$18,$D$3,$D136,$E136,$F136,CB$3)</f>
        <v>0</v>
      </c>
      <c r="CC136" s="64">
        <f>_xll.DBRW($C$2,$BZ$1,BZ$2,$D$18,$D$3,$D136,$E136,$F136,CC$3)</f>
        <v>0</v>
      </c>
      <c r="CD136" s="58">
        <f>_xll.DBRW($C$2,$BZ$1,BZ$2,$D$18,$D$3,$D136,$E136,$F136,CD$3)</f>
        <v>0</v>
      </c>
      <c r="CE136" s="48">
        <f t="shared" si="47"/>
        <v>50</v>
      </c>
    </row>
    <row r="137" spans="1:83" s="23" customFormat="1" outlineLevel="1" thickBot="1" x14ac:dyDescent="0.3">
      <c r="A137" s="91" t="str">
        <f>IF(_xll.TM1RPTELISCONSOLIDATED($F$22,$F137),IF(_xll.TM1RPTELLEV($F$22,$F137)&lt;=5,_xll.TM1RPTELLEV($F$22,$F137),"Default"),"Leaf")</f>
        <v>Leaf</v>
      </c>
      <c r="B137" s="24" t="str">
        <f>_xll.DBRW("TM1-S1_DEV:}ElementAttributes_SP_SKU",$D137,B$1)</f>
        <v>Primary</v>
      </c>
      <c r="C137" s="24" t="str">
        <f>_xll.DBRW("TM1-S1_DEV:}ElementAttributes_SP_SKU",$D137,C$1)</f>
        <v>TRAY</v>
      </c>
      <c r="D137" s="28" t="s">
        <v>441</v>
      </c>
      <c r="E137" s="28" t="s">
        <v>271</v>
      </c>
      <c r="F137" s="28" t="s">
        <v>30</v>
      </c>
      <c r="G137" s="4">
        <f>_xll.DBRW($C$2,$G$19,G$20,$D$18,$D$3,$D137,$E137,$F137,G$3)</f>
        <v>9</v>
      </c>
      <c r="H137" s="54">
        <f t="shared" si="36"/>
        <v>0</v>
      </c>
      <c r="I137" s="4"/>
      <c r="J137" s="25">
        <f>_xll.DBRW($C$2,$J$1,J$2,$D$18,$D$3,$D137,$E137,$F137,J$3)</f>
        <v>9</v>
      </c>
      <c r="K137" s="39">
        <f>_xll.DBRW($C$2,$J$1,J$2,$D$18,$D$3,$D137,$E137,$F137,K$3)</f>
        <v>0</v>
      </c>
      <c r="L137" s="25">
        <f>_xll.DBRW($C$2,$J$1,J$2,$D$18,$D$3,$D137,$E137,$F137,L$3)</f>
        <v>0</v>
      </c>
      <c r="M137" s="25">
        <f>_xll.DBRW($C$2,$J$1,J$2,$D$18,$D$3,$D137,$E137,$F137,M$3)</f>
        <v>0</v>
      </c>
      <c r="N137" s="25">
        <f>_xll.DBRW($C$2,$J$1,J$2,$D$18,$D$3,$D137,$E137,$F137,N$3)</f>
        <v>3</v>
      </c>
      <c r="O137" s="64">
        <f>_xll.DBRW($C$2,$J$1,J$2,$D$18,$D$3,$D137,$E137,$F137,O$3)</f>
        <v>1</v>
      </c>
      <c r="P137" s="58">
        <f>_xll.DBRW($C$2,$J$1,J$2,$D$18,$D$3,$D137,$E137,$F137,P$3)</f>
        <v>0</v>
      </c>
      <c r="Q137" s="48">
        <f>_xll.DBRW($C$2,$J$1,J$2,$D$18,$D$3,$D137,$E137,$F137,Q$3)</f>
        <v>6</v>
      </c>
      <c r="R137" s="39">
        <f>_xll.DBRW($C$2,$R$1,R$2,$D$18,$D$3,$D137,$E137,$F137,R$3)</f>
        <v>0</v>
      </c>
      <c r="S137" s="25" cm="1">
        <f t="array" ref="S137">_xll.DBRW($E$2,R$1,R$2,$D$18,$D$3,$D137,$E137,$F137,$F$3,S$3)</f>
        <v>0</v>
      </c>
      <c r="T137" s="25">
        <f>_xll.DBRW($C$2,$R$1,R$2,$D$18,$D$3,$D137,$E137,$F137,T$3)</f>
        <v>0</v>
      </c>
      <c r="U137" s="64">
        <f>_xll.DBRW($C$2,$R$1,R$2,$D$18,$D$3,$D137,$E137,$F137,U$3)</f>
        <v>0</v>
      </c>
      <c r="V137" s="58">
        <f>_xll.DBRW($C$2,$R$1,R$2,$D$18,$D$3,$D137,$E137,$F137,V$3)</f>
        <v>0</v>
      </c>
      <c r="W137" s="48">
        <f t="shared" si="37"/>
        <v>6</v>
      </c>
      <c r="X137" s="39">
        <f>_xll.DBRW($C$2,$X$1,X$2,$D$18,$D$3,$D137,$E137,$F137,X$3)</f>
        <v>0</v>
      </c>
      <c r="Y137" s="25" cm="1">
        <f t="array" ref="Y137">_xll.DBRW($E$2,X$1,X$2,$D$18,$D$3,$D137,$E137,$F137,$F$3,Y$3)</f>
        <v>0</v>
      </c>
      <c r="Z137" s="25">
        <f>_xll.DBRW($C$2,$X$1,X$2,$D$18,$D$3,$D137,$E137,$F137,Z$3)</f>
        <v>1</v>
      </c>
      <c r="AA137" s="64">
        <f>_xll.DBRW($C$2,$X$1,X$2,$D$18,$D$3,$D137,$E137,$F137,AA$3)</f>
        <v>1</v>
      </c>
      <c r="AB137" s="58">
        <f>_xll.DBRW($C$2,$X$1,X$2,$D$18,$D$3,$D137,$E137,$F137,AB$3)</f>
        <v>0</v>
      </c>
      <c r="AC137" s="48">
        <f t="shared" si="38"/>
        <v>5</v>
      </c>
      <c r="AD137" s="39">
        <f>_xll.DBRW($C$2,$AD$1,AD$2,$D$18,$D$3,$D137,$E137,$F137,AD$3)</f>
        <v>0</v>
      </c>
      <c r="AE137" s="25" cm="1">
        <f t="array" ref="AE137">_xll.DBRW($E$2,AD$1,AD$2,$D$18,$D$3,$D137,$E137,$F137,$F$3,AE$3)</f>
        <v>0</v>
      </c>
      <c r="AF137" s="25">
        <f>_xll.DBRW($C$2,$AD$1,AD$2,$D$18,$D$3,$D137,$E137,$F137,AF$3)</f>
        <v>1</v>
      </c>
      <c r="AG137" s="64">
        <f>_xll.DBRW($C$2,$AD$1,AD$2,$D$18,$D$3,$D137,$E137,$F137,AG$3)</f>
        <v>1</v>
      </c>
      <c r="AH137" s="58">
        <f>_xll.DBRW($C$2,$AD$1,AD$2,$D$18,$D$3,$D137,$E137,$F137,AH$3)</f>
        <v>0</v>
      </c>
      <c r="AI137" s="48">
        <f t="shared" si="39"/>
        <v>4</v>
      </c>
      <c r="AJ137" s="39">
        <f>_xll.DBRW($C$2,$AJ$1,AJ$2,$D$18,$D$3,$D137,$E137,$F137,AJ$3)</f>
        <v>0</v>
      </c>
      <c r="AK137" s="25" cm="1">
        <f t="array" ref="AK137">_xll.DBRW($E$2,AJ$1,AJ$2,$D$18,$D$3,$D137,$E137,$F137,$F$3,AK$3)</f>
        <v>0</v>
      </c>
      <c r="AL137" s="25">
        <f>_xll.DBRW($C$2,$AJ$1,AJ$2,$D$18,$D$3,$D137,$E137,$F137,AL$3)</f>
        <v>1</v>
      </c>
      <c r="AM137" s="64">
        <f>_xll.DBRW($C$2,$AJ$1,AJ$2,$D$18,$D$3,$D137,$E137,$F137,AM$3)</f>
        <v>1</v>
      </c>
      <c r="AN137" s="58">
        <f>_xll.DBRW($C$2,$AJ$1,AJ$2,$D$18,$D$3,$D137,$E137,$F137,AN$3)</f>
        <v>0</v>
      </c>
      <c r="AO137" s="48">
        <f t="shared" si="40"/>
        <v>3</v>
      </c>
      <c r="AP137" s="39">
        <f>_xll.DBRW($C$2,$AP$1,AP$2,$D$18,$D$3,$D137,$E137,$F137,AP$3)</f>
        <v>0</v>
      </c>
      <c r="AQ137" s="25" cm="1">
        <f t="array" ref="AQ137">_xll.DBRW($E$2,AP$1,AP$2,$D$18,$D$3,$D137,$E137,$F137,$F$3,AQ$3)</f>
        <v>0</v>
      </c>
      <c r="AR137" s="25">
        <f>_xll.DBRW($C$2,$AP$1,AP$2,$D$18,$D$3,$D137,$E137,$F137,AR$3)</f>
        <v>1</v>
      </c>
      <c r="AS137" s="64">
        <f>_xll.DBRW($C$2,$AP$1,AP$2,$D$18,$D$3,$D137,$E137,$F137,AS$3)</f>
        <v>0</v>
      </c>
      <c r="AT137" s="58">
        <f>_xll.DBRW($C$2,$AP$1,AP$2,$D$18,$D$3,$D137,$E137,$F137,AT$3)</f>
        <v>0</v>
      </c>
      <c r="AU137" s="48">
        <f t="shared" si="41"/>
        <v>2</v>
      </c>
      <c r="AV137" s="39">
        <f>_xll.DBRW($C$2,$AV$1,AV$2,$D$18,$D$3,$D137,$E137,$F137,AV$3)</f>
        <v>0</v>
      </c>
      <c r="AW137" s="25" cm="1">
        <f t="array" ref="AW137">_xll.DBRW($E$2,AV$1,AV$2,$D$18,$D$3,$D137,$E137,$F137,$F$3,AW$3)</f>
        <v>0</v>
      </c>
      <c r="AX137" s="25">
        <f>_xll.DBRW($C$2,$AV$1,AV$2,$D$18,$D$3,$D137,$E137,$F137,AX$3)</f>
        <v>1</v>
      </c>
      <c r="AY137" s="64">
        <f>_xll.DBRW($C$2,$AV$1,AV$2,$D$18,$D$3,$D137,$E137,$F137,AY$3)</f>
        <v>0</v>
      </c>
      <c r="AZ137" s="58">
        <f>_xll.DBRW($C$2,$AV$1,AV$2,$D$18,$D$3,$D137,$E137,$F137,AZ$3)</f>
        <v>0</v>
      </c>
      <c r="BA137" s="48">
        <f t="shared" si="42"/>
        <v>1</v>
      </c>
      <c r="BB137" s="39">
        <f>_xll.DBRW($C$2,$BB$1,BB$2,$D$18,$D$3,$D137,$E137,$F137,BB$3)</f>
        <v>0</v>
      </c>
      <c r="BC137" s="25" cm="1">
        <f t="array" ref="BC137">_xll.DBRW($E$2,BB$1,BB$2,$D$18,$D$3,$D137,$E137,$F137,$F$3,BC$3)</f>
        <v>0</v>
      </c>
      <c r="BD137" s="25">
        <f>_xll.DBRW($C$2,$BB$1,BB$2,$D$18,$D$3,$D137,$E137,$F137,BD$3)</f>
        <v>1</v>
      </c>
      <c r="BE137" s="64">
        <f>_xll.DBRW($C$2,$BB$1,BB$2,$D$18,$D$3,$D137,$E137,$F137,BE$3)</f>
        <v>0</v>
      </c>
      <c r="BF137" s="58">
        <f>_xll.DBRW($C$2,$BB$1,BB$2,$D$18,$D$3,$D137,$E137,$F137,BF$3)</f>
        <v>0</v>
      </c>
      <c r="BG137" s="48">
        <f t="shared" si="43"/>
        <v>0</v>
      </c>
      <c r="BH137" s="39">
        <f>_xll.DBRW($C$2,$BH$1,BH$2,$D$18,$D$3,$D137,$E137,$F137,BH$3)</f>
        <v>0</v>
      </c>
      <c r="BI137" s="25" cm="1">
        <f t="array" ref="BI137">_xll.DBRW($E$2,BH$1,BH$2,$D$18,$D$3,$D137,$E137,$F137,$F$3,BI$3)</f>
        <v>0</v>
      </c>
      <c r="BJ137" s="25">
        <f>_xll.DBRW($C$2,$BH$1,BH$2,$D$18,$D$3,$D137,$E137,$F137,BJ$3)</f>
        <v>1</v>
      </c>
      <c r="BK137" s="64">
        <f>_xll.DBRW($C$2,$BH$1,BH$2,$D$18,$D$3,$D137,$E137,$F137,BK$3)</f>
        <v>1</v>
      </c>
      <c r="BL137" s="58">
        <f>_xll.DBRW($C$2,$BH$1,BH$2,$D$18,$D$3,$D137,$E137,$F137,BL$3)</f>
        <v>0</v>
      </c>
      <c r="BM137" s="48">
        <f t="shared" si="44"/>
        <v>-1</v>
      </c>
      <c r="BN137" s="39">
        <f>_xll.DBRW($C$2,$BN$1,BN$2,$D$18,$D$3,$D137,$E137,$F137,BN$3)</f>
        <v>0</v>
      </c>
      <c r="BO137" s="25" cm="1">
        <f t="array" ref="BO137">_xll.DBRW($E$2,BN$1,BN$2,$D$18,$D$3,$D137,$E137,$F137,$F$3,BO$3)</f>
        <v>0</v>
      </c>
      <c r="BP137" s="25">
        <f>_xll.DBRW($C$2,$BN$1,BN$2,$D$18,$D$3,$D137,$E137,$F137,BP$3)</f>
        <v>1</v>
      </c>
      <c r="BQ137" s="64">
        <f>_xll.DBRW($C$2,$BN$1,BN$2,$D$18,$D$3,$D137,$E137,$F137,BQ$3)</f>
        <v>0</v>
      </c>
      <c r="BR137" s="58">
        <f>_xll.DBRW($C$2,$BN$1,BN$2,$D$18,$D$3,$D137,$E137,$F137,BR$3)</f>
        <v>0</v>
      </c>
      <c r="BS137" s="48">
        <f t="shared" si="45"/>
        <v>-2</v>
      </c>
      <c r="BT137" s="39">
        <f>_xll.DBRW($C$2,$BT$1,BT$2,$D$18,$D$3,$D137,$E137,$F137,BT$3)</f>
        <v>0</v>
      </c>
      <c r="BU137" s="25" cm="1">
        <f t="array" ref="BU137">_xll.DBRW($E$2,BT$1,BT$2,$D$18,$D$3,$D137,$E137,$F137,$F$3,BU$3)</f>
        <v>0</v>
      </c>
      <c r="BV137" s="25">
        <f>_xll.DBRW($C$2,$BT$1,BT$2,$D$18,$D$3,$D137,$E137,$F137,BV$3)</f>
        <v>1</v>
      </c>
      <c r="BW137" s="64">
        <f>_xll.DBRW($C$2,$BT$1,BT$2,$D$18,$D$3,$D137,$E137,$F137,BW$3)</f>
        <v>0</v>
      </c>
      <c r="BX137" s="58">
        <f>_xll.DBRW($C$2,$BT$1,BT$2,$D$18,$D$3,$D137,$E137,$F137,BX$3)</f>
        <v>0</v>
      </c>
      <c r="BY137" s="48">
        <f t="shared" si="46"/>
        <v>-3</v>
      </c>
      <c r="BZ137" s="39">
        <f>_xll.DBRW($C$2,$BZ$1,BZ$2,$D$18,$D$3,$D137,$E137,$F137,BZ$3)</f>
        <v>0</v>
      </c>
      <c r="CA137" s="25" cm="1">
        <f t="array" ref="CA137">_xll.DBRW($E$2,BZ$1,BZ$2,$D$18,$D$3,$D137,$E137,$F137,$F$3,CA$3)</f>
        <v>0</v>
      </c>
      <c r="CB137" s="25">
        <f>_xll.DBRW($C$2,$BZ$1,BZ$2,$D$18,$D$3,$D137,$E137,$F137,CB$3)</f>
        <v>1</v>
      </c>
      <c r="CC137" s="64">
        <f>_xll.DBRW($C$2,$BZ$1,BZ$2,$D$18,$D$3,$D137,$E137,$F137,CC$3)</f>
        <v>0</v>
      </c>
      <c r="CD137" s="58">
        <f>_xll.DBRW($C$2,$BZ$1,BZ$2,$D$18,$D$3,$D137,$E137,$F137,CD$3)</f>
        <v>0</v>
      </c>
      <c r="CE137" s="48">
        <f t="shared" si="47"/>
        <v>-4</v>
      </c>
    </row>
    <row r="138" spans="1:83" s="23" customFormat="1" outlineLevel="1" thickBot="1" x14ac:dyDescent="0.3">
      <c r="A138" s="91" t="str">
        <f>IF(_xll.TM1RPTELISCONSOLIDATED($F$22,$F138),IF(_xll.TM1RPTELLEV($F$22,$F138)&lt;=5,_xll.TM1RPTELLEV($F$22,$F138),"Default"),"Leaf")</f>
        <v>Leaf</v>
      </c>
      <c r="B138" s="24" t="str">
        <f>_xll.DBRW("TM1-S1_DEV:}ElementAttributes_SP_SKU",$D138,B$1)</f>
        <v>Primary</v>
      </c>
      <c r="C138" s="24" t="str">
        <f>_xll.DBRW("TM1-S1_DEV:}ElementAttributes_SP_SKU",$D138,C$1)</f>
        <v>TRAY</v>
      </c>
      <c r="D138" s="28" t="s">
        <v>442</v>
      </c>
      <c r="E138" s="28" t="s">
        <v>272</v>
      </c>
      <c r="F138" s="28" t="s">
        <v>30</v>
      </c>
      <c r="G138" s="4">
        <f>_xll.DBRW($C$2,$G$19,G$20,$D$18,$D$3,$D138,$E138,$F138,G$3)</f>
        <v>15</v>
      </c>
      <c r="H138" s="54">
        <f t="shared" si="36"/>
        <v>0</v>
      </c>
      <c r="I138" s="4"/>
      <c r="J138" s="25">
        <f>_xll.DBRW($C$2,$J$1,J$2,$D$18,$D$3,$D138,$E138,$F138,J$3)</f>
        <v>15</v>
      </c>
      <c r="K138" s="39">
        <f>_xll.DBRW($C$2,$J$1,J$2,$D$18,$D$3,$D138,$E138,$F138,K$3)</f>
        <v>0</v>
      </c>
      <c r="L138" s="25">
        <f>_xll.DBRW($C$2,$J$1,J$2,$D$18,$D$3,$D138,$E138,$F138,L$3)</f>
        <v>0</v>
      </c>
      <c r="M138" s="25">
        <f>_xll.DBRW($C$2,$J$1,J$2,$D$18,$D$3,$D138,$E138,$F138,M$3)</f>
        <v>0</v>
      </c>
      <c r="N138" s="25">
        <f>_xll.DBRW($C$2,$J$1,J$2,$D$18,$D$3,$D138,$E138,$F138,N$3)</f>
        <v>5</v>
      </c>
      <c r="O138" s="64">
        <f>_xll.DBRW($C$2,$J$1,J$2,$D$18,$D$3,$D138,$E138,$F138,O$3)</f>
        <v>1</v>
      </c>
      <c r="P138" s="58">
        <f>_xll.DBRW($C$2,$J$1,J$2,$D$18,$D$3,$D138,$E138,$F138,P$3)</f>
        <v>0</v>
      </c>
      <c r="Q138" s="48">
        <f>_xll.DBRW($C$2,$J$1,J$2,$D$18,$D$3,$D138,$E138,$F138,Q$3)</f>
        <v>10</v>
      </c>
      <c r="R138" s="39">
        <f>_xll.DBRW($C$2,$R$1,R$2,$D$18,$D$3,$D138,$E138,$F138,R$3)</f>
        <v>0</v>
      </c>
      <c r="S138" s="25" cm="1">
        <f t="array" ref="S138">_xll.DBRW($E$2,R$1,R$2,$D$18,$D$3,$D138,$E138,$F138,$F$3,S$3)</f>
        <v>0</v>
      </c>
      <c r="T138" s="25">
        <f>_xll.DBRW($C$2,$R$1,R$2,$D$18,$D$3,$D138,$E138,$F138,T$3)</f>
        <v>0</v>
      </c>
      <c r="U138" s="64">
        <f>_xll.DBRW($C$2,$R$1,R$2,$D$18,$D$3,$D138,$E138,$F138,U$3)</f>
        <v>0</v>
      </c>
      <c r="V138" s="58">
        <f>_xll.DBRW($C$2,$R$1,R$2,$D$18,$D$3,$D138,$E138,$F138,V$3)</f>
        <v>0</v>
      </c>
      <c r="W138" s="48">
        <f t="shared" si="37"/>
        <v>10</v>
      </c>
      <c r="X138" s="39">
        <f>_xll.DBRW($C$2,$X$1,X$2,$D$18,$D$3,$D138,$E138,$F138,X$3)</f>
        <v>0</v>
      </c>
      <c r="Y138" s="25" cm="1">
        <f t="array" ref="Y138">_xll.DBRW($E$2,X$1,X$2,$D$18,$D$3,$D138,$E138,$F138,$F$3,Y$3)</f>
        <v>0</v>
      </c>
      <c r="Z138" s="25">
        <f>_xll.DBRW($C$2,$X$1,X$2,$D$18,$D$3,$D138,$E138,$F138,Z$3)</f>
        <v>2</v>
      </c>
      <c r="AA138" s="64">
        <f>_xll.DBRW($C$2,$X$1,X$2,$D$18,$D$3,$D138,$E138,$F138,AA$3)</f>
        <v>0</v>
      </c>
      <c r="AB138" s="58">
        <f>_xll.DBRW($C$2,$X$1,X$2,$D$18,$D$3,$D138,$E138,$F138,AB$3)</f>
        <v>0</v>
      </c>
      <c r="AC138" s="48">
        <f t="shared" si="38"/>
        <v>8</v>
      </c>
      <c r="AD138" s="39">
        <f>_xll.DBRW($C$2,$AD$1,AD$2,$D$18,$D$3,$D138,$E138,$F138,AD$3)</f>
        <v>0</v>
      </c>
      <c r="AE138" s="25" cm="1">
        <f t="array" ref="AE138">_xll.DBRW($E$2,AD$1,AD$2,$D$18,$D$3,$D138,$E138,$F138,$F$3,AE$3)</f>
        <v>0</v>
      </c>
      <c r="AF138" s="25">
        <f>_xll.DBRW($C$2,$AD$1,AD$2,$D$18,$D$3,$D138,$E138,$F138,AF$3)</f>
        <v>2</v>
      </c>
      <c r="AG138" s="64">
        <f>_xll.DBRW($C$2,$AD$1,AD$2,$D$18,$D$3,$D138,$E138,$F138,AG$3)</f>
        <v>0</v>
      </c>
      <c r="AH138" s="58">
        <f>_xll.DBRW($C$2,$AD$1,AD$2,$D$18,$D$3,$D138,$E138,$F138,AH$3)</f>
        <v>0</v>
      </c>
      <c r="AI138" s="48">
        <f t="shared" si="39"/>
        <v>6</v>
      </c>
      <c r="AJ138" s="39">
        <f>_xll.DBRW($C$2,$AJ$1,AJ$2,$D$18,$D$3,$D138,$E138,$F138,AJ$3)</f>
        <v>0</v>
      </c>
      <c r="AK138" s="25" cm="1">
        <f t="array" ref="AK138">_xll.DBRW($E$2,AJ$1,AJ$2,$D$18,$D$3,$D138,$E138,$F138,$F$3,AK$3)</f>
        <v>0</v>
      </c>
      <c r="AL138" s="25">
        <f>_xll.DBRW($C$2,$AJ$1,AJ$2,$D$18,$D$3,$D138,$E138,$F138,AL$3)</f>
        <v>2</v>
      </c>
      <c r="AM138" s="64">
        <f>_xll.DBRW($C$2,$AJ$1,AJ$2,$D$18,$D$3,$D138,$E138,$F138,AM$3)</f>
        <v>0</v>
      </c>
      <c r="AN138" s="58">
        <f>_xll.DBRW($C$2,$AJ$1,AJ$2,$D$18,$D$3,$D138,$E138,$F138,AN$3)</f>
        <v>0</v>
      </c>
      <c r="AO138" s="48">
        <f t="shared" si="40"/>
        <v>4</v>
      </c>
      <c r="AP138" s="39">
        <f>_xll.DBRW($C$2,$AP$1,AP$2,$D$18,$D$3,$D138,$E138,$F138,AP$3)</f>
        <v>0</v>
      </c>
      <c r="AQ138" s="25" cm="1">
        <f t="array" ref="AQ138">_xll.DBRW($E$2,AP$1,AP$2,$D$18,$D$3,$D138,$E138,$F138,$F$3,AQ$3)</f>
        <v>0</v>
      </c>
      <c r="AR138" s="25">
        <f>_xll.DBRW($C$2,$AP$1,AP$2,$D$18,$D$3,$D138,$E138,$F138,AR$3)</f>
        <v>2</v>
      </c>
      <c r="AS138" s="64">
        <f>_xll.DBRW($C$2,$AP$1,AP$2,$D$18,$D$3,$D138,$E138,$F138,AS$3)</f>
        <v>0</v>
      </c>
      <c r="AT138" s="58">
        <f>_xll.DBRW($C$2,$AP$1,AP$2,$D$18,$D$3,$D138,$E138,$F138,AT$3)</f>
        <v>0</v>
      </c>
      <c r="AU138" s="48">
        <f t="shared" si="41"/>
        <v>2</v>
      </c>
      <c r="AV138" s="39">
        <f>_xll.DBRW($C$2,$AV$1,AV$2,$D$18,$D$3,$D138,$E138,$F138,AV$3)</f>
        <v>0</v>
      </c>
      <c r="AW138" s="25" cm="1">
        <f t="array" ref="AW138">_xll.DBRW($E$2,AV$1,AV$2,$D$18,$D$3,$D138,$E138,$F138,$F$3,AW$3)</f>
        <v>0</v>
      </c>
      <c r="AX138" s="25">
        <f>_xll.DBRW($C$2,$AV$1,AV$2,$D$18,$D$3,$D138,$E138,$F138,AX$3)</f>
        <v>2</v>
      </c>
      <c r="AY138" s="64">
        <f>_xll.DBRW($C$2,$AV$1,AV$2,$D$18,$D$3,$D138,$E138,$F138,AY$3)</f>
        <v>0</v>
      </c>
      <c r="AZ138" s="58">
        <f>_xll.DBRW($C$2,$AV$1,AV$2,$D$18,$D$3,$D138,$E138,$F138,AZ$3)</f>
        <v>0</v>
      </c>
      <c r="BA138" s="48">
        <f t="shared" si="42"/>
        <v>0</v>
      </c>
      <c r="BB138" s="39">
        <f>_xll.DBRW($C$2,$BB$1,BB$2,$D$18,$D$3,$D138,$E138,$F138,BB$3)</f>
        <v>0</v>
      </c>
      <c r="BC138" s="25" cm="1">
        <f t="array" ref="BC138">_xll.DBRW($E$2,BB$1,BB$2,$D$18,$D$3,$D138,$E138,$F138,$F$3,BC$3)</f>
        <v>0</v>
      </c>
      <c r="BD138" s="25">
        <f>_xll.DBRW($C$2,$BB$1,BB$2,$D$18,$D$3,$D138,$E138,$F138,BD$3)</f>
        <v>2</v>
      </c>
      <c r="BE138" s="64">
        <f>_xll.DBRW($C$2,$BB$1,BB$2,$D$18,$D$3,$D138,$E138,$F138,BE$3)</f>
        <v>0</v>
      </c>
      <c r="BF138" s="58">
        <f>_xll.DBRW($C$2,$BB$1,BB$2,$D$18,$D$3,$D138,$E138,$F138,BF$3)</f>
        <v>0</v>
      </c>
      <c r="BG138" s="48">
        <f t="shared" si="43"/>
        <v>-2</v>
      </c>
      <c r="BH138" s="39">
        <f>_xll.DBRW($C$2,$BH$1,BH$2,$D$18,$D$3,$D138,$E138,$F138,BH$3)</f>
        <v>0</v>
      </c>
      <c r="BI138" s="25" cm="1">
        <f t="array" ref="BI138">_xll.DBRW($E$2,BH$1,BH$2,$D$18,$D$3,$D138,$E138,$F138,$F$3,BI$3)</f>
        <v>0</v>
      </c>
      <c r="BJ138" s="25">
        <f>_xll.DBRW($C$2,$BH$1,BH$2,$D$18,$D$3,$D138,$E138,$F138,BJ$3)</f>
        <v>2</v>
      </c>
      <c r="BK138" s="64">
        <f>_xll.DBRW($C$2,$BH$1,BH$2,$D$18,$D$3,$D138,$E138,$F138,BK$3)</f>
        <v>0</v>
      </c>
      <c r="BL138" s="58">
        <f>_xll.DBRW($C$2,$BH$1,BH$2,$D$18,$D$3,$D138,$E138,$F138,BL$3)</f>
        <v>0</v>
      </c>
      <c r="BM138" s="48">
        <f t="shared" si="44"/>
        <v>-4</v>
      </c>
      <c r="BN138" s="39">
        <f>_xll.DBRW($C$2,$BN$1,BN$2,$D$18,$D$3,$D138,$E138,$F138,BN$3)</f>
        <v>0</v>
      </c>
      <c r="BO138" s="25" cm="1">
        <f t="array" ref="BO138">_xll.DBRW($E$2,BN$1,BN$2,$D$18,$D$3,$D138,$E138,$F138,$F$3,BO$3)</f>
        <v>0</v>
      </c>
      <c r="BP138" s="25">
        <f>_xll.DBRW($C$2,$BN$1,BN$2,$D$18,$D$3,$D138,$E138,$F138,BP$3)</f>
        <v>2</v>
      </c>
      <c r="BQ138" s="64">
        <f>_xll.DBRW($C$2,$BN$1,BN$2,$D$18,$D$3,$D138,$E138,$F138,BQ$3)</f>
        <v>0</v>
      </c>
      <c r="BR138" s="58">
        <f>_xll.DBRW($C$2,$BN$1,BN$2,$D$18,$D$3,$D138,$E138,$F138,BR$3)</f>
        <v>0</v>
      </c>
      <c r="BS138" s="48">
        <f t="shared" si="45"/>
        <v>-6</v>
      </c>
      <c r="BT138" s="39">
        <f>_xll.DBRW($C$2,$BT$1,BT$2,$D$18,$D$3,$D138,$E138,$F138,BT$3)</f>
        <v>0</v>
      </c>
      <c r="BU138" s="25" cm="1">
        <f t="array" ref="BU138">_xll.DBRW($E$2,BT$1,BT$2,$D$18,$D$3,$D138,$E138,$F138,$F$3,BU$3)</f>
        <v>0</v>
      </c>
      <c r="BV138" s="25">
        <f>_xll.DBRW($C$2,$BT$1,BT$2,$D$18,$D$3,$D138,$E138,$F138,BV$3)</f>
        <v>2</v>
      </c>
      <c r="BW138" s="64">
        <f>_xll.DBRW($C$2,$BT$1,BT$2,$D$18,$D$3,$D138,$E138,$F138,BW$3)</f>
        <v>0</v>
      </c>
      <c r="BX138" s="58">
        <f>_xll.DBRW($C$2,$BT$1,BT$2,$D$18,$D$3,$D138,$E138,$F138,BX$3)</f>
        <v>0</v>
      </c>
      <c r="BY138" s="48">
        <f t="shared" si="46"/>
        <v>-8</v>
      </c>
      <c r="BZ138" s="39">
        <f>_xll.DBRW($C$2,$BZ$1,BZ$2,$D$18,$D$3,$D138,$E138,$F138,BZ$3)</f>
        <v>0</v>
      </c>
      <c r="CA138" s="25" cm="1">
        <f t="array" ref="CA138">_xll.DBRW($E$2,BZ$1,BZ$2,$D$18,$D$3,$D138,$E138,$F138,$F$3,CA$3)</f>
        <v>0</v>
      </c>
      <c r="CB138" s="25">
        <f>_xll.DBRW($C$2,$BZ$1,BZ$2,$D$18,$D$3,$D138,$E138,$F138,CB$3)</f>
        <v>2</v>
      </c>
      <c r="CC138" s="64">
        <f>_xll.DBRW($C$2,$BZ$1,BZ$2,$D$18,$D$3,$D138,$E138,$F138,CC$3)</f>
        <v>0</v>
      </c>
      <c r="CD138" s="58">
        <f>_xll.DBRW($C$2,$BZ$1,BZ$2,$D$18,$D$3,$D138,$E138,$F138,CD$3)</f>
        <v>0</v>
      </c>
      <c r="CE138" s="48">
        <f t="shared" si="47"/>
        <v>-10</v>
      </c>
    </row>
    <row r="139" spans="1:83" s="23" customFormat="1" outlineLevel="1" thickBot="1" x14ac:dyDescent="0.3">
      <c r="A139" s="91" t="str">
        <f>IF(_xll.TM1RPTELISCONSOLIDATED($F$22,$F139),IF(_xll.TM1RPTELLEV($F$22,$F139)&lt;=5,_xll.TM1RPTELLEV($F$22,$F139),"Default"),"Leaf")</f>
        <v>Leaf</v>
      </c>
      <c r="B139" s="24" t="str">
        <f>_xll.DBRW("TM1-S1_DEV:}ElementAttributes_SP_SKU",$D139,B$1)</f>
        <v>Primary</v>
      </c>
      <c r="C139" s="24" t="str">
        <f>_xll.DBRW("TM1-S1_DEV:}ElementAttributes_SP_SKU",$D139,C$1)</f>
        <v>BOWL</v>
      </c>
      <c r="D139" s="28" t="s">
        <v>443</v>
      </c>
      <c r="E139" s="28" t="s">
        <v>273</v>
      </c>
      <c r="F139" s="28" t="s">
        <v>30</v>
      </c>
      <c r="G139" s="4">
        <f>_xll.DBRW($C$2,$G$19,G$20,$D$18,$D$3,$D139,$E139,$F139,G$3)</f>
        <v>8</v>
      </c>
      <c r="H139" s="54">
        <f t="shared" si="36"/>
        <v>6</v>
      </c>
      <c r="I139" s="4"/>
      <c r="J139" s="25">
        <f>_xll.DBRW($C$2,$J$1,J$2,$D$18,$D$3,$D139,$E139,$F139,J$3)</f>
        <v>14</v>
      </c>
      <c r="K139" s="39">
        <f>_xll.DBRW($C$2,$J$1,J$2,$D$18,$D$3,$D139,$E139,$F139,K$3)</f>
        <v>0</v>
      </c>
      <c r="L139" s="25">
        <f>_xll.DBRW($C$2,$J$1,J$2,$D$18,$D$3,$D139,$E139,$F139,L$3)</f>
        <v>0</v>
      </c>
      <c r="M139" s="25">
        <f>_xll.DBRW($C$2,$J$1,J$2,$D$18,$D$3,$D139,$E139,$F139,M$3)</f>
        <v>0</v>
      </c>
      <c r="N139" s="25">
        <f>_xll.DBRW($C$2,$J$1,J$2,$D$18,$D$3,$D139,$E139,$F139,N$3)</f>
        <v>4</v>
      </c>
      <c r="O139" s="64">
        <f>_xll.DBRW($C$2,$J$1,J$2,$D$18,$D$3,$D139,$E139,$F139,O$3)</f>
        <v>1</v>
      </c>
      <c r="P139" s="58">
        <f>_xll.DBRW($C$2,$J$1,J$2,$D$18,$D$3,$D139,$E139,$F139,P$3)</f>
        <v>0</v>
      </c>
      <c r="Q139" s="48">
        <f>_xll.DBRW($C$2,$J$1,J$2,$D$18,$D$3,$D139,$E139,$F139,Q$3)</f>
        <v>10</v>
      </c>
      <c r="R139" s="39">
        <f>_xll.DBRW($C$2,$R$1,R$2,$D$18,$D$3,$D139,$E139,$F139,R$3)</f>
        <v>0</v>
      </c>
      <c r="S139" s="25" cm="1">
        <f t="array" ref="S139">_xll.DBRW($E$2,R$1,R$2,$D$18,$D$3,$D139,$E139,$F139,$F$3,S$3)</f>
        <v>0</v>
      </c>
      <c r="T139" s="25">
        <f>_xll.DBRW($C$2,$R$1,R$2,$D$18,$D$3,$D139,$E139,$F139,T$3)</f>
        <v>0</v>
      </c>
      <c r="U139" s="64">
        <f>_xll.DBRW($C$2,$R$1,R$2,$D$18,$D$3,$D139,$E139,$F139,U$3)</f>
        <v>0</v>
      </c>
      <c r="V139" s="58">
        <f>_xll.DBRW($C$2,$R$1,R$2,$D$18,$D$3,$D139,$E139,$F139,V$3)</f>
        <v>0</v>
      </c>
      <c r="W139" s="48">
        <f t="shared" si="37"/>
        <v>10</v>
      </c>
      <c r="X139" s="39">
        <f>_xll.DBRW($C$2,$X$1,X$2,$D$18,$D$3,$D139,$E139,$F139,X$3)</f>
        <v>0</v>
      </c>
      <c r="Y139" s="25" cm="1">
        <f t="array" ref="Y139">_xll.DBRW($E$2,X$1,X$2,$D$18,$D$3,$D139,$E139,$F139,$F$3,Y$3)</f>
        <v>0</v>
      </c>
      <c r="Z139" s="25">
        <f>_xll.DBRW($C$2,$X$1,X$2,$D$18,$D$3,$D139,$E139,$F139,Z$3)</f>
        <v>2</v>
      </c>
      <c r="AA139" s="64">
        <f>_xll.DBRW($C$2,$X$1,X$2,$D$18,$D$3,$D139,$E139,$F139,AA$3)</f>
        <v>1</v>
      </c>
      <c r="AB139" s="58">
        <f>_xll.DBRW($C$2,$X$1,X$2,$D$18,$D$3,$D139,$E139,$F139,AB$3)</f>
        <v>0</v>
      </c>
      <c r="AC139" s="48">
        <f t="shared" si="38"/>
        <v>8</v>
      </c>
      <c r="AD139" s="39">
        <f>_xll.DBRW($C$2,$AD$1,AD$2,$D$18,$D$3,$D139,$E139,$F139,AD$3)</f>
        <v>0</v>
      </c>
      <c r="AE139" s="25" cm="1">
        <f t="array" ref="AE139">_xll.DBRW($E$2,AD$1,AD$2,$D$18,$D$3,$D139,$E139,$F139,$F$3,AE$3)</f>
        <v>0</v>
      </c>
      <c r="AF139" s="25">
        <f>_xll.DBRW($C$2,$AD$1,AD$2,$D$18,$D$3,$D139,$E139,$F139,AF$3)</f>
        <v>1</v>
      </c>
      <c r="AG139" s="64">
        <f>_xll.DBRW($C$2,$AD$1,AD$2,$D$18,$D$3,$D139,$E139,$F139,AG$3)</f>
        <v>0</v>
      </c>
      <c r="AH139" s="58">
        <f>_xll.DBRW($C$2,$AD$1,AD$2,$D$18,$D$3,$D139,$E139,$F139,AH$3)</f>
        <v>0</v>
      </c>
      <c r="AI139" s="48">
        <f t="shared" si="39"/>
        <v>7</v>
      </c>
      <c r="AJ139" s="39">
        <f>_xll.DBRW($C$2,$AJ$1,AJ$2,$D$18,$D$3,$D139,$E139,$F139,AJ$3)</f>
        <v>0</v>
      </c>
      <c r="AK139" s="25" cm="1">
        <f t="array" ref="AK139">_xll.DBRW($E$2,AJ$1,AJ$2,$D$18,$D$3,$D139,$E139,$F139,$F$3,AK$3)</f>
        <v>0</v>
      </c>
      <c r="AL139" s="25">
        <f>_xll.DBRW($C$2,$AJ$1,AJ$2,$D$18,$D$3,$D139,$E139,$F139,AL$3)</f>
        <v>1</v>
      </c>
      <c r="AM139" s="64">
        <f>_xll.DBRW($C$2,$AJ$1,AJ$2,$D$18,$D$3,$D139,$E139,$F139,AM$3)</f>
        <v>1</v>
      </c>
      <c r="AN139" s="58">
        <f>_xll.DBRW($C$2,$AJ$1,AJ$2,$D$18,$D$3,$D139,$E139,$F139,AN$3)</f>
        <v>0</v>
      </c>
      <c r="AO139" s="48">
        <f t="shared" si="40"/>
        <v>6</v>
      </c>
      <c r="AP139" s="39">
        <f>_xll.DBRW($C$2,$AP$1,AP$2,$D$18,$D$3,$D139,$E139,$F139,AP$3)</f>
        <v>0</v>
      </c>
      <c r="AQ139" s="25" cm="1">
        <f t="array" ref="AQ139">_xll.DBRW($E$2,AP$1,AP$2,$D$18,$D$3,$D139,$E139,$F139,$F$3,AQ$3)</f>
        <v>0</v>
      </c>
      <c r="AR139" s="25">
        <f>_xll.DBRW($C$2,$AP$1,AP$2,$D$18,$D$3,$D139,$E139,$F139,AR$3)</f>
        <v>1</v>
      </c>
      <c r="AS139" s="64">
        <f>_xll.DBRW($C$2,$AP$1,AP$2,$D$18,$D$3,$D139,$E139,$F139,AS$3)</f>
        <v>0</v>
      </c>
      <c r="AT139" s="58">
        <f>_xll.DBRW($C$2,$AP$1,AP$2,$D$18,$D$3,$D139,$E139,$F139,AT$3)</f>
        <v>0</v>
      </c>
      <c r="AU139" s="48">
        <f t="shared" si="41"/>
        <v>5</v>
      </c>
      <c r="AV139" s="39">
        <f>_xll.DBRW($C$2,$AV$1,AV$2,$D$18,$D$3,$D139,$E139,$F139,AV$3)</f>
        <v>0</v>
      </c>
      <c r="AW139" s="25" cm="1">
        <f t="array" ref="AW139">_xll.DBRW($E$2,AV$1,AV$2,$D$18,$D$3,$D139,$E139,$F139,$F$3,AW$3)</f>
        <v>0</v>
      </c>
      <c r="AX139" s="25">
        <f>_xll.DBRW($C$2,$AV$1,AV$2,$D$18,$D$3,$D139,$E139,$F139,AX$3)</f>
        <v>1</v>
      </c>
      <c r="AY139" s="64">
        <f>_xll.DBRW($C$2,$AV$1,AV$2,$D$18,$D$3,$D139,$E139,$F139,AY$3)</f>
        <v>1</v>
      </c>
      <c r="AZ139" s="58">
        <f>_xll.DBRW($C$2,$AV$1,AV$2,$D$18,$D$3,$D139,$E139,$F139,AZ$3)</f>
        <v>0</v>
      </c>
      <c r="BA139" s="48">
        <f t="shared" si="42"/>
        <v>4</v>
      </c>
      <c r="BB139" s="39">
        <f>_xll.DBRW($C$2,$BB$1,BB$2,$D$18,$D$3,$D139,$E139,$F139,BB$3)</f>
        <v>0</v>
      </c>
      <c r="BC139" s="25" cm="1">
        <f t="array" ref="BC139">_xll.DBRW($E$2,BB$1,BB$2,$D$18,$D$3,$D139,$E139,$F139,$F$3,BC$3)</f>
        <v>0</v>
      </c>
      <c r="BD139" s="25">
        <f>_xll.DBRW($C$2,$BB$1,BB$2,$D$18,$D$3,$D139,$E139,$F139,BD$3)</f>
        <v>1</v>
      </c>
      <c r="BE139" s="64">
        <f>_xll.DBRW($C$2,$BB$1,BB$2,$D$18,$D$3,$D139,$E139,$F139,BE$3)</f>
        <v>0</v>
      </c>
      <c r="BF139" s="58">
        <f>_xll.DBRW($C$2,$BB$1,BB$2,$D$18,$D$3,$D139,$E139,$F139,BF$3)</f>
        <v>0</v>
      </c>
      <c r="BG139" s="48">
        <f t="shared" si="43"/>
        <v>3</v>
      </c>
      <c r="BH139" s="39">
        <f>_xll.DBRW($C$2,$BH$1,BH$2,$D$18,$D$3,$D139,$E139,$F139,BH$3)</f>
        <v>0</v>
      </c>
      <c r="BI139" s="25" cm="1">
        <f t="array" ref="BI139">_xll.DBRW($E$2,BH$1,BH$2,$D$18,$D$3,$D139,$E139,$F139,$F$3,BI$3)</f>
        <v>0</v>
      </c>
      <c r="BJ139" s="25">
        <f>_xll.DBRW($C$2,$BH$1,BH$2,$D$18,$D$3,$D139,$E139,$F139,BJ$3)</f>
        <v>1</v>
      </c>
      <c r="BK139" s="64">
        <f>_xll.DBRW($C$2,$BH$1,BH$2,$D$18,$D$3,$D139,$E139,$F139,BK$3)</f>
        <v>0</v>
      </c>
      <c r="BL139" s="58">
        <f>_xll.DBRW($C$2,$BH$1,BH$2,$D$18,$D$3,$D139,$E139,$F139,BL$3)</f>
        <v>0</v>
      </c>
      <c r="BM139" s="48">
        <f t="shared" si="44"/>
        <v>2</v>
      </c>
      <c r="BN139" s="39">
        <f>_xll.DBRW($C$2,$BN$1,BN$2,$D$18,$D$3,$D139,$E139,$F139,BN$3)</f>
        <v>0</v>
      </c>
      <c r="BO139" s="25" cm="1">
        <f t="array" ref="BO139">_xll.DBRW($E$2,BN$1,BN$2,$D$18,$D$3,$D139,$E139,$F139,$F$3,BO$3)</f>
        <v>0</v>
      </c>
      <c r="BP139" s="25">
        <f>_xll.DBRW($C$2,$BN$1,BN$2,$D$18,$D$3,$D139,$E139,$F139,BP$3)</f>
        <v>1</v>
      </c>
      <c r="BQ139" s="64">
        <f>_xll.DBRW($C$2,$BN$1,BN$2,$D$18,$D$3,$D139,$E139,$F139,BQ$3)</f>
        <v>0</v>
      </c>
      <c r="BR139" s="58">
        <f>_xll.DBRW($C$2,$BN$1,BN$2,$D$18,$D$3,$D139,$E139,$F139,BR$3)</f>
        <v>0</v>
      </c>
      <c r="BS139" s="48">
        <f t="shared" si="45"/>
        <v>1</v>
      </c>
      <c r="BT139" s="39">
        <f>_xll.DBRW($C$2,$BT$1,BT$2,$D$18,$D$3,$D139,$E139,$F139,BT$3)</f>
        <v>0</v>
      </c>
      <c r="BU139" s="25" cm="1">
        <f t="array" ref="BU139">_xll.DBRW($E$2,BT$1,BT$2,$D$18,$D$3,$D139,$E139,$F139,$F$3,BU$3)</f>
        <v>0</v>
      </c>
      <c r="BV139" s="25">
        <f>_xll.DBRW($C$2,$BT$1,BT$2,$D$18,$D$3,$D139,$E139,$F139,BV$3)</f>
        <v>1</v>
      </c>
      <c r="BW139" s="64">
        <f>_xll.DBRW($C$2,$BT$1,BT$2,$D$18,$D$3,$D139,$E139,$F139,BW$3)</f>
        <v>0</v>
      </c>
      <c r="BX139" s="58">
        <f>_xll.DBRW($C$2,$BT$1,BT$2,$D$18,$D$3,$D139,$E139,$F139,BX$3)</f>
        <v>0</v>
      </c>
      <c r="BY139" s="48">
        <f t="shared" si="46"/>
        <v>0</v>
      </c>
      <c r="BZ139" s="39">
        <f>_xll.DBRW($C$2,$BZ$1,BZ$2,$D$18,$D$3,$D139,$E139,$F139,BZ$3)</f>
        <v>0</v>
      </c>
      <c r="CA139" s="25" cm="1">
        <f t="array" ref="CA139">_xll.DBRW($E$2,BZ$1,BZ$2,$D$18,$D$3,$D139,$E139,$F139,$F$3,CA$3)</f>
        <v>0</v>
      </c>
      <c r="CB139" s="25">
        <f>_xll.DBRW($C$2,$BZ$1,BZ$2,$D$18,$D$3,$D139,$E139,$F139,CB$3)</f>
        <v>1</v>
      </c>
      <c r="CC139" s="64">
        <f>_xll.DBRW($C$2,$BZ$1,BZ$2,$D$18,$D$3,$D139,$E139,$F139,CC$3)</f>
        <v>0</v>
      </c>
      <c r="CD139" s="58">
        <f>_xll.DBRW($C$2,$BZ$1,BZ$2,$D$18,$D$3,$D139,$E139,$F139,CD$3)</f>
        <v>0</v>
      </c>
      <c r="CE139" s="48">
        <f t="shared" si="47"/>
        <v>-1</v>
      </c>
    </row>
    <row r="140" spans="1:83" s="23" customFormat="1" outlineLevel="1" thickBot="1" x14ac:dyDescent="0.3">
      <c r="A140" s="91" t="str">
        <f>IF(_xll.TM1RPTELISCONSOLIDATED($F$22,$F140),IF(_xll.TM1RPTELLEV($F$22,$F140)&lt;=5,_xll.TM1RPTELLEV($F$22,$F140),"Default"),"Leaf")</f>
        <v>Leaf</v>
      </c>
      <c r="B140" s="24" t="str">
        <f>_xll.DBRW("TM1-S1_DEV:}ElementAttributes_SP_SKU",$D140,B$1)</f>
        <v>Primary</v>
      </c>
      <c r="C140" s="24" t="str">
        <f>_xll.DBRW("TM1-S1_DEV:}ElementAttributes_SP_SKU",$D140,C$1)</f>
        <v>BOWL</v>
      </c>
      <c r="D140" s="28" t="s">
        <v>499</v>
      </c>
      <c r="E140" s="28" t="s">
        <v>274</v>
      </c>
      <c r="F140" s="28" t="s">
        <v>30</v>
      </c>
      <c r="G140" s="4">
        <f>_xll.DBRW($C$2,$G$19,G$20,$D$18,$D$3,$D140,$E140,$F140,G$3)</f>
        <v>2</v>
      </c>
      <c r="H140" s="54">
        <f t="shared" si="36"/>
        <v>4</v>
      </c>
      <c r="I140" s="4"/>
      <c r="J140" s="25">
        <f>_xll.DBRW($C$2,$J$1,J$2,$D$18,$D$3,$D140,$E140,$F140,J$3)</f>
        <v>6</v>
      </c>
      <c r="K140" s="39">
        <f>_xll.DBRW($C$2,$J$1,J$2,$D$18,$D$3,$D140,$E140,$F140,K$3)</f>
        <v>0</v>
      </c>
      <c r="L140" s="25">
        <f>_xll.DBRW($C$2,$J$1,J$2,$D$18,$D$3,$D140,$E140,$F140,L$3)</f>
        <v>0</v>
      </c>
      <c r="M140" s="25">
        <f>_xll.DBRW($C$2,$J$1,J$2,$D$18,$D$3,$D140,$E140,$F140,M$3)</f>
        <v>0</v>
      </c>
      <c r="N140" s="25">
        <f>_xll.DBRW($C$2,$J$1,J$2,$D$18,$D$3,$D140,$E140,$F140,N$3)</f>
        <v>0</v>
      </c>
      <c r="O140" s="64">
        <f>_xll.DBRW($C$2,$J$1,J$2,$D$18,$D$3,$D140,$E140,$F140,O$3)</f>
        <v>0</v>
      </c>
      <c r="P140" s="58">
        <f>_xll.DBRW($C$2,$J$1,J$2,$D$18,$D$3,$D140,$E140,$F140,P$3)</f>
        <v>0</v>
      </c>
      <c r="Q140" s="48">
        <f>_xll.DBRW($C$2,$J$1,J$2,$D$18,$D$3,$D140,$E140,$F140,Q$3)</f>
        <v>6</v>
      </c>
      <c r="R140" s="39">
        <f>_xll.DBRW($C$2,$R$1,R$2,$D$18,$D$3,$D140,$E140,$F140,R$3)</f>
        <v>0</v>
      </c>
      <c r="S140" s="25" cm="1">
        <f t="array" ref="S140">_xll.DBRW($E$2,R$1,R$2,$D$18,$D$3,$D140,$E140,$F140,$F$3,S$3)</f>
        <v>0</v>
      </c>
      <c r="T140" s="25">
        <f>_xll.DBRW($C$2,$R$1,R$2,$D$18,$D$3,$D140,$E140,$F140,T$3)</f>
        <v>0</v>
      </c>
      <c r="U140" s="64">
        <f>_xll.DBRW($C$2,$R$1,R$2,$D$18,$D$3,$D140,$E140,$F140,U$3)</f>
        <v>0</v>
      </c>
      <c r="V140" s="58">
        <f>_xll.DBRW($C$2,$R$1,R$2,$D$18,$D$3,$D140,$E140,$F140,V$3)</f>
        <v>0</v>
      </c>
      <c r="W140" s="48">
        <f t="shared" si="37"/>
        <v>6</v>
      </c>
      <c r="X140" s="39">
        <f>_xll.DBRW($C$2,$X$1,X$2,$D$18,$D$3,$D140,$E140,$F140,X$3)</f>
        <v>0</v>
      </c>
      <c r="Y140" s="25" cm="1">
        <f t="array" ref="Y140">_xll.DBRW($E$2,X$1,X$2,$D$18,$D$3,$D140,$E140,$F140,$F$3,Y$3)</f>
        <v>0</v>
      </c>
      <c r="Z140" s="25">
        <f>_xll.DBRW($C$2,$X$1,X$2,$D$18,$D$3,$D140,$E140,$F140,Z$3)</f>
        <v>2</v>
      </c>
      <c r="AA140" s="64">
        <f>_xll.DBRW($C$2,$X$1,X$2,$D$18,$D$3,$D140,$E140,$F140,AA$3)</f>
        <v>1</v>
      </c>
      <c r="AB140" s="58">
        <f>_xll.DBRW($C$2,$X$1,X$2,$D$18,$D$3,$D140,$E140,$F140,AB$3)</f>
        <v>0</v>
      </c>
      <c r="AC140" s="48">
        <f t="shared" si="38"/>
        <v>4</v>
      </c>
      <c r="AD140" s="39">
        <f>_xll.DBRW($C$2,$AD$1,AD$2,$D$18,$D$3,$D140,$E140,$F140,AD$3)</f>
        <v>0</v>
      </c>
      <c r="AE140" s="25" cm="1">
        <f t="array" ref="AE140">_xll.DBRW($E$2,AD$1,AD$2,$D$18,$D$3,$D140,$E140,$F140,$F$3,AE$3)</f>
        <v>0</v>
      </c>
      <c r="AF140" s="25">
        <f>_xll.DBRW($C$2,$AD$1,AD$2,$D$18,$D$3,$D140,$E140,$F140,AF$3)</f>
        <v>2</v>
      </c>
      <c r="AG140" s="64">
        <f>_xll.DBRW($C$2,$AD$1,AD$2,$D$18,$D$3,$D140,$E140,$F140,AG$3)</f>
        <v>0</v>
      </c>
      <c r="AH140" s="58">
        <f>_xll.DBRW($C$2,$AD$1,AD$2,$D$18,$D$3,$D140,$E140,$F140,AH$3)</f>
        <v>0</v>
      </c>
      <c r="AI140" s="48">
        <f t="shared" si="39"/>
        <v>2</v>
      </c>
      <c r="AJ140" s="39">
        <f>_xll.DBRW($C$2,$AJ$1,AJ$2,$D$18,$D$3,$D140,$E140,$F140,AJ$3)</f>
        <v>0</v>
      </c>
      <c r="AK140" s="25" cm="1">
        <f t="array" ref="AK140">_xll.DBRW($E$2,AJ$1,AJ$2,$D$18,$D$3,$D140,$E140,$F140,$F$3,AK$3)</f>
        <v>0</v>
      </c>
      <c r="AL140" s="25">
        <f>_xll.DBRW($C$2,$AJ$1,AJ$2,$D$18,$D$3,$D140,$E140,$F140,AL$3)</f>
        <v>2</v>
      </c>
      <c r="AM140" s="64">
        <f>_xll.DBRW($C$2,$AJ$1,AJ$2,$D$18,$D$3,$D140,$E140,$F140,AM$3)</f>
        <v>0</v>
      </c>
      <c r="AN140" s="58">
        <f>_xll.DBRW($C$2,$AJ$1,AJ$2,$D$18,$D$3,$D140,$E140,$F140,AN$3)</f>
        <v>0</v>
      </c>
      <c r="AO140" s="48">
        <f t="shared" si="40"/>
        <v>0</v>
      </c>
      <c r="AP140" s="39">
        <f>_xll.DBRW($C$2,$AP$1,AP$2,$D$18,$D$3,$D140,$E140,$F140,AP$3)</f>
        <v>0</v>
      </c>
      <c r="AQ140" s="25" cm="1">
        <f t="array" ref="AQ140">_xll.DBRW($E$2,AP$1,AP$2,$D$18,$D$3,$D140,$E140,$F140,$F$3,AQ$3)</f>
        <v>0</v>
      </c>
      <c r="AR140" s="25">
        <f>_xll.DBRW($C$2,$AP$1,AP$2,$D$18,$D$3,$D140,$E140,$F140,AR$3)</f>
        <v>2</v>
      </c>
      <c r="AS140" s="64">
        <f>_xll.DBRW($C$2,$AP$1,AP$2,$D$18,$D$3,$D140,$E140,$F140,AS$3)</f>
        <v>0</v>
      </c>
      <c r="AT140" s="58">
        <f>_xll.DBRW($C$2,$AP$1,AP$2,$D$18,$D$3,$D140,$E140,$F140,AT$3)</f>
        <v>0</v>
      </c>
      <c r="AU140" s="48">
        <f t="shared" si="41"/>
        <v>-2</v>
      </c>
      <c r="AV140" s="39">
        <f>_xll.DBRW($C$2,$AV$1,AV$2,$D$18,$D$3,$D140,$E140,$F140,AV$3)</f>
        <v>0</v>
      </c>
      <c r="AW140" s="25" cm="1">
        <f t="array" ref="AW140">_xll.DBRW($E$2,AV$1,AV$2,$D$18,$D$3,$D140,$E140,$F140,$F$3,AW$3)</f>
        <v>0</v>
      </c>
      <c r="AX140" s="25">
        <f>_xll.DBRW($C$2,$AV$1,AV$2,$D$18,$D$3,$D140,$E140,$F140,AX$3)</f>
        <v>2</v>
      </c>
      <c r="AY140" s="64">
        <f>_xll.DBRW($C$2,$AV$1,AV$2,$D$18,$D$3,$D140,$E140,$F140,AY$3)</f>
        <v>0</v>
      </c>
      <c r="AZ140" s="58">
        <f>_xll.DBRW($C$2,$AV$1,AV$2,$D$18,$D$3,$D140,$E140,$F140,AZ$3)</f>
        <v>0</v>
      </c>
      <c r="BA140" s="48">
        <f t="shared" si="42"/>
        <v>-4</v>
      </c>
      <c r="BB140" s="39">
        <f>_xll.DBRW($C$2,$BB$1,BB$2,$D$18,$D$3,$D140,$E140,$F140,BB$3)</f>
        <v>0</v>
      </c>
      <c r="BC140" s="25" cm="1">
        <f t="array" ref="BC140">_xll.DBRW($E$2,BB$1,BB$2,$D$18,$D$3,$D140,$E140,$F140,$F$3,BC$3)</f>
        <v>0</v>
      </c>
      <c r="BD140" s="25">
        <f>_xll.DBRW($C$2,$BB$1,BB$2,$D$18,$D$3,$D140,$E140,$F140,BD$3)</f>
        <v>2</v>
      </c>
      <c r="BE140" s="64">
        <f>_xll.DBRW($C$2,$BB$1,BB$2,$D$18,$D$3,$D140,$E140,$F140,BE$3)</f>
        <v>0</v>
      </c>
      <c r="BF140" s="58">
        <f>_xll.DBRW($C$2,$BB$1,BB$2,$D$18,$D$3,$D140,$E140,$F140,BF$3)</f>
        <v>0</v>
      </c>
      <c r="BG140" s="48">
        <f t="shared" si="43"/>
        <v>-6</v>
      </c>
      <c r="BH140" s="39">
        <f>_xll.DBRW($C$2,$BH$1,BH$2,$D$18,$D$3,$D140,$E140,$F140,BH$3)</f>
        <v>0</v>
      </c>
      <c r="BI140" s="25" cm="1">
        <f t="array" ref="BI140">_xll.DBRW($E$2,BH$1,BH$2,$D$18,$D$3,$D140,$E140,$F140,$F$3,BI$3)</f>
        <v>0</v>
      </c>
      <c r="BJ140" s="25">
        <f>_xll.DBRW($C$2,$BH$1,BH$2,$D$18,$D$3,$D140,$E140,$F140,BJ$3)</f>
        <v>2</v>
      </c>
      <c r="BK140" s="64">
        <f>_xll.DBRW($C$2,$BH$1,BH$2,$D$18,$D$3,$D140,$E140,$F140,BK$3)</f>
        <v>0</v>
      </c>
      <c r="BL140" s="58">
        <f>_xll.DBRW($C$2,$BH$1,BH$2,$D$18,$D$3,$D140,$E140,$F140,BL$3)</f>
        <v>0</v>
      </c>
      <c r="BM140" s="48">
        <f t="shared" si="44"/>
        <v>-8</v>
      </c>
      <c r="BN140" s="39">
        <f>_xll.DBRW($C$2,$BN$1,BN$2,$D$18,$D$3,$D140,$E140,$F140,BN$3)</f>
        <v>0</v>
      </c>
      <c r="BO140" s="25" cm="1">
        <f t="array" ref="BO140">_xll.DBRW($E$2,BN$1,BN$2,$D$18,$D$3,$D140,$E140,$F140,$F$3,BO$3)</f>
        <v>0</v>
      </c>
      <c r="BP140" s="25">
        <f>_xll.DBRW($C$2,$BN$1,BN$2,$D$18,$D$3,$D140,$E140,$F140,BP$3)</f>
        <v>2</v>
      </c>
      <c r="BQ140" s="64">
        <f>_xll.DBRW($C$2,$BN$1,BN$2,$D$18,$D$3,$D140,$E140,$F140,BQ$3)</f>
        <v>0</v>
      </c>
      <c r="BR140" s="58">
        <f>_xll.DBRW($C$2,$BN$1,BN$2,$D$18,$D$3,$D140,$E140,$F140,BR$3)</f>
        <v>0</v>
      </c>
      <c r="BS140" s="48">
        <f t="shared" si="45"/>
        <v>-10</v>
      </c>
      <c r="BT140" s="39">
        <f>_xll.DBRW($C$2,$BT$1,BT$2,$D$18,$D$3,$D140,$E140,$F140,BT$3)</f>
        <v>0</v>
      </c>
      <c r="BU140" s="25" cm="1">
        <f t="array" ref="BU140">_xll.DBRW($E$2,BT$1,BT$2,$D$18,$D$3,$D140,$E140,$F140,$F$3,BU$3)</f>
        <v>0</v>
      </c>
      <c r="BV140" s="25">
        <f>_xll.DBRW($C$2,$BT$1,BT$2,$D$18,$D$3,$D140,$E140,$F140,BV$3)</f>
        <v>2</v>
      </c>
      <c r="BW140" s="64">
        <f>_xll.DBRW($C$2,$BT$1,BT$2,$D$18,$D$3,$D140,$E140,$F140,BW$3)</f>
        <v>0</v>
      </c>
      <c r="BX140" s="58">
        <f>_xll.DBRW($C$2,$BT$1,BT$2,$D$18,$D$3,$D140,$E140,$F140,BX$3)</f>
        <v>0</v>
      </c>
      <c r="BY140" s="48">
        <f t="shared" si="46"/>
        <v>-12</v>
      </c>
      <c r="BZ140" s="39">
        <f>_xll.DBRW($C$2,$BZ$1,BZ$2,$D$18,$D$3,$D140,$E140,$F140,BZ$3)</f>
        <v>0</v>
      </c>
      <c r="CA140" s="25" cm="1">
        <f t="array" ref="CA140">_xll.DBRW($E$2,BZ$1,BZ$2,$D$18,$D$3,$D140,$E140,$F140,$F$3,CA$3)</f>
        <v>0</v>
      </c>
      <c r="CB140" s="25">
        <f>_xll.DBRW($C$2,$BZ$1,BZ$2,$D$18,$D$3,$D140,$E140,$F140,CB$3)</f>
        <v>2</v>
      </c>
      <c r="CC140" s="64">
        <f>_xll.DBRW($C$2,$BZ$1,BZ$2,$D$18,$D$3,$D140,$E140,$F140,CC$3)</f>
        <v>0</v>
      </c>
      <c r="CD140" s="58">
        <f>_xll.DBRW($C$2,$BZ$1,BZ$2,$D$18,$D$3,$D140,$E140,$F140,CD$3)</f>
        <v>0</v>
      </c>
      <c r="CE140" s="48">
        <f t="shared" si="47"/>
        <v>-14</v>
      </c>
    </row>
    <row r="141" spans="1:83" s="23" customFormat="1" outlineLevel="1" thickBot="1" x14ac:dyDescent="0.3">
      <c r="A141" s="91" t="str">
        <f>IF(_xll.TM1RPTELISCONSOLIDATED($F$22,$F141),IF(_xll.TM1RPTELLEV($F$22,$F141)&lt;=5,_xll.TM1RPTELLEV($F$22,$F141),"Default"),"Leaf")</f>
        <v>Leaf</v>
      </c>
      <c r="B141" s="24" t="str">
        <f>_xll.DBRW("TM1-S1_DEV:}ElementAttributes_SP_SKU",$D141,B$1)</f>
        <v>Primary</v>
      </c>
      <c r="C141" s="24" t="str">
        <f>_xll.DBRW("TM1-S1_DEV:}ElementAttributes_SP_SKU",$D141,C$1)</f>
        <v>UTENSIL</v>
      </c>
      <c r="D141" s="28" t="s">
        <v>465</v>
      </c>
      <c r="E141" s="28" t="s">
        <v>151</v>
      </c>
      <c r="F141" s="28" t="s">
        <v>30</v>
      </c>
      <c r="G141" s="4">
        <f>_xll.DBRW($C$2,$G$19,G$20,$D$18,$D$3,$D141,$E141,$F141,G$3)</f>
        <v>6</v>
      </c>
      <c r="H141" s="54">
        <f t="shared" si="36"/>
        <v>-2</v>
      </c>
      <c r="I141" s="4"/>
      <c r="J141" s="25">
        <f>_xll.DBRW($C$2,$J$1,J$2,$D$18,$D$3,$D141,$E141,$F141,J$3)</f>
        <v>4</v>
      </c>
      <c r="K141" s="39">
        <f>_xll.DBRW($C$2,$J$1,J$2,$D$18,$D$3,$D141,$E141,$F141,K$3)</f>
        <v>0</v>
      </c>
      <c r="L141" s="25">
        <f>_xll.DBRW($C$2,$J$1,J$2,$D$18,$D$3,$D141,$E141,$F141,L$3)</f>
        <v>0</v>
      </c>
      <c r="M141" s="25">
        <f>_xll.DBRW($C$2,$J$1,J$2,$D$18,$D$3,$D141,$E141,$F141,M$3)</f>
        <v>0</v>
      </c>
      <c r="N141" s="25">
        <f>_xll.DBRW($C$2,$J$1,J$2,$D$18,$D$3,$D141,$E141,$F141,N$3)</f>
        <v>0</v>
      </c>
      <c r="O141" s="64">
        <f>_xll.DBRW($C$2,$J$1,J$2,$D$18,$D$3,$D141,$E141,$F141,O$3)</f>
        <v>0</v>
      </c>
      <c r="P141" s="58">
        <f>_xll.DBRW($C$2,$J$1,J$2,$D$18,$D$3,$D141,$E141,$F141,P$3)</f>
        <v>0</v>
      </c>
      <c r="Q141" s="48">
        <f>_xll.DBRW($C$2,$J$1,J$2,$D$18,$D$3,$D141,$E141,$F141,Q$3)</f>
        <v>4</v>
      </c>
      <c r="R141" s="39">
        <f>_xll.DBRW($C$2,$R$1,R$2,$D$18,$D$3,$D141,$E141,$F141,R$3)</f>
        <v>0</v>
      </c>
      <c r="S141" s="25" cm="1">
        <f t="array" ref="S141">_xll.DBRW($E$2,R$1,R$2,$D$18,$D$3,$D141,$E141,$F141,$F$3,S$3)</f>
        <v>50</v>
      </c>
      <c r="T141" s="25">
        <f>_xll.DBRW($C$2,$R$1,R$2,$D$18,$D$3,$D141,$E141,$F141,T$3)</f>
        <v>0</v>
      </c>
      <c r="U141" s="64">
        <f>_xll.DBRW($C$2,$R$1,R$2,$D$18,$D$3,$D141,$E141,$F141,U$3)</f>
        <v>0</v>
      </c>
      <c r="V141" s="58">
        <f>_xll.DBRW($C$2,$R$1,R$2,$D$18,$D$3,$D141,$E141,$F141,V$3)</f>
        <v>0</v>
      </c>
      <c r="W141" s="48">
        <f t="shared" si="37"/>
        <v>54</v>
      </c>
      <c r="X141" s="39">
        <f>_xll.DBRW($C$2,$X$1,X$2,$D$18,$D$3,$D141,$E141,$F141,X$3)</f>
        <v>0</v>
      </c>
      <c r="Y141" s="25" cm="1">
        <f t="array" ref="Y141">_xll.DBRW($E$2,X$1,X$2,$D$18,$D$3,$D141,$E141,$F141,$F$3,Y$3)</f>
        <v>0</v>
      </c>
      <c r="Z141" s="25">
        <f>_xll.DBRW($C$2,$X$1,X$2,$D$18,$D$3,$D141,$E141,$F141,Z$3)</f>
        <v>1</v>
      </c>
      <c r="AA141" s="64">
        <f>_xll.DBRW($C$2,$X$1,X$2,$D$18,$D$3,$D141,$E141,$F141,AA$3)</f>
        <v>1</v>
      </c>
      <c r="AB141" s="58">
        <f>_xll.DBRW($C$2,$X$1,X$2,$D$18,$D$3,$D141,$E141,$F141,AB$3)</f>
        <v>0</v>
      </c>
      <c r="AC141" s="48">
        <f t="shared" si="38"/>
        <v>53</v>
      </c>
      <c r="AD141" s="39">
        <f>_xll.DBRW($C$2,$AD$1,AD$2,$D$18,$D$3,$D141,$E141,$F141,AD$3)</f>
        <v>0</v>
      </c>
      <c r="AE141" s="25" cm="1">
        <f t="array" ref="AE141">_xll.DBRW($E$2,AD$1,AD$2,$D$18,$D$3,$D141,$E141,$F141,$F$3,AE$3)</f>
        <v>0</v>
      </c>
      <c r="AF141" s="25">
        <f>_xll.DBRW($C$2,$AD$1,AD$2,$D$18,$D$3,$D141,$E141,$F141,AF$3)</f>
        <v>1</v>
      </c>
      <c r="AG141" s="64">
        <f>_xll.DBRW($C$2,$AD$1,AD$2,$D$18,$D$3,$D141,$E141,$F141,AG$3)</f>
        <v>1</v>
      </c>
      <c r="AH141" s="58">
        <f>_xll.DBRW($C$2,$AD$1,AD$2,$D$18,$D$3,$D141,$E141,$F141,AH$3)</f>
        <v>0</v>
      </c>
      <c r="AI141" s="48">
        <f t="shared" si="39"/>
        <v>52</v>
      </c>
      <c r="AJ141" s="39">
        <f>_xll.DBRW($C$2,$AJ$1,AJ$2,$D$18,$D$3,$D141,$E141,$F141,AJ$3)</f>
        <v>0</v>
      </c>
      <c r="AK141" s="25" cm="1">
        <f t="array" ref="AK141">_xll.DBRW($E$2,AJ$1,AJ$2,$D$18,$D$3,$D141,$E141,$F141,$F$3,AK$3)</f>
        <v>0</v>
      </c>
      <c r="AL141" s="25">
        <f>_xll.DBRW($C$2,$AJ$1,AJ$2,$D$18,$D$3,$D141,$E141,$F141,AL$3)</f>
        <v>1</v>
      </c>
      <c r="AM141" s="64">
        <f>_xll.DBRW($C$2,$AJ$1,AJ$2,$D$18,$D$3,$D141,$E141,$F141,AM$3)</f>
        <v>0</v>
      </c>
      <c r="AN141" s="58">
        <f>_xll.DBRW($C$2,$AJ$1,AJ$2,$D$18,$D$3,$D141,$E141,$F141,AN$3)</f>
        <v>0</v>
      </c>
      <c r="AO141" s="48">
        <f t="shared" si="40"/>
        <v>51</v>
      </c>
      <c r="AP141" s="39">
        <f>_xll.DBRW($C$2,$AP$1,AP$2,$D$18,$D$3,$D141,$E141,$F141,AP$3)</f>
        <v>0</v>
      </c>
      <c r="AQ141" s="25" cm="1">
        <f t="array" ref="AQ141">_xll.DBRW($E$2,AP$1,AP$2,$D$18,$D$3,$D141,$E141,$F141,$F$3,AQ$3)</f>
        <v>0</v>
      </c>
      <c r="AR141" s="25">
        <f>_xll.DBRW($C$2,$AP$1,AP$2,$D$18,$D$3,$D141,$E141,$F141,AR$3)</f>
        <v>1</v>
      </c>
      <c r="AS141" s="64">
        <f>_xll.DBRW($C$2,$AP$1,AP$2,$D$18,$D$3,$D141,$E141,$F141,AS$3)</f>
        <v>0</v>
      </c>
      <c r="AT141" s="58">
        <f>_xll.DBRW($C$2,$AP$1,AP$2,$D$18,$D$3,$D141,$E141,$F141,AT$3)</f>
        <v>0</v>
      </c>
      <c r="AU141" s="48">
        <f t="shared" si="41"/>
        <v>50</v>
      </c>
      <c r="AV141" s="39">
        <f>_xll.DBRW($C$2,$AV$1,AV$2,$D$18,$D$3,$D141,$E141,$F141,AV$3)</f>
        <v>0</v>
      </c>
      <c r="AW141" s="25" cm="1">
        <f t="array" ref="AW141">_xll.DBRW($E$2,AV$1,AV$2,$D$18,$D$3,$D141,$E141,$F141,$F$3,AW$3)</f>
        <v>0</v>
      </c>
      <c r="AX141" s="25">
        <f>_xll.DBRW($C$2,$AV$1,AV$2,$D$18,$D$3,$D141,$E141,$F141,AX$3)</f>
        <v>1</v>
      </c>
      <c r="AY141" s="64">
        <f>_xll.DBRW($C$2,$AV$1,AV$2,$D$18,$D$3,$D141,$E141,$F141,AY$3)</f>
        <v>1</v>
      </c>
      <c r="AZ141" s="58">
        <f>_xll.DBRW($C$2,$AV$1,AV$2,$D$18,$D$3,$D141,$E141,$F141,AZ$3)</f>
        <v>0</v>
      </c>
      <c r="BA141" s="48">
        <f t="shared" si="42"/>
        <v>49</v>
      </c>
      <c r="BB141" s="39">
        <f>_xll.DBRW($C$2,$BB$1,BB$2,$D$18,$D$3,$D141,$E141,$F141,BB$3)</f>
        <v>0</v>
      </c>
      <c r="BC141" s="25" cm="1">
        <f t="array" ref="BC141">_xll.DBRW($E$2,BB$1,BB$2,$D$18,$D$3,$D141,$E141,$F141,$F$3,BC$3)</f>
        <v>0</v>
      </c>
      <c r="BD141" s="25">
        <f>_xll.DBRW($C$2,$BB$1,BB$2,$D$18,$D$3,$D141,$E141,$F141,BD$3)</f>
        <v>1</v>
      </c>
      <c r="BE141" s="64">
        <f>_xll.DBRW($C$2,$BB$1,BB$2,$D$18,$D$3,$D141,$E141,$F141,BE$3)</f>
        <v>0</v>
      </c>
      <c r="BF141" s="58">
        <f>_xll.DBRW($C$2,$BB$1,BB$2,$D$18,$D$3,$D141,$E141,$F141,BF$3)</f>
        <v>0</v>
      </c>
      <c r="BG141" s="48">
        <f t="shared" si="43"/>
        <v>48</v>
      </c>
      <c r="BH141" s="39">
        <f>_xll.DBRW($C$2,$BH$1,BH$2,$D$18,$D$3,$D141,$E141,$F141,BH$3)</f>
        <v>0</v>
      </c>
      <c r="BI141" s="25" cm="1">
        <f t="array" ref="BI141">_xll.DBRW($E$2,BH$1,BH$2,$D$18,$D$3,$D141,$E141,$F141,$F$3,BI$3)</f>
        <v>0</v>
      </c>
      <c r="BJ141" s="25">
        <f>_xll.DBRW($C$2,$BH$1,BH$2,$D$18,$D$3,$D141,$E141,$F141,BJ$3)</f>
        <v>1</v>
      </c>
      <c r="BK141" s="64">
        <f>_xll.DBRW($C$2,$BH$1,BH$2,$D$18,$D$3,$D141,$E141,$F141,BK$3)</f>
        <v>0</v>
      </c>
      <c r="BL141" s="58">
        <f>_xll.DBRW($C$2,$BH$1,BH$2,$D$18,$D$3,$D141,$E141,$F141,BL$3)</f>
        <v>0</v>
      </c>
      <c r="BM141" s="48">
        <f t="shared" si="44"/>
        <v>47</v>
      </c>
      <c r="BN141" s="39">
        <f>_xll.DBRW($C$2,$BN$1,BN$2,$D$18,$D$3,$D141,$E141,$F141,BN$3)</f>
        <v>0</v>
      </c>
      <c r="BO141" s="25" cm="1">
        <f t="array" ref="BO141">_xll.DBRW($E$2,BN$1,BN$2,$D$18,$D$3,$D141,$E141,$F141,$F$3,BO$3)</f>
        <v>0</v>
      </c>
      <c r="BP141" s="25">
        <f>_xll.DBRW($C$2,$BN$1,BN$2,$D$18,$D$3,$D141,$E141,$F141,BP$3)</f>
        <v>1</v>
      </c>
      <c r="BQ141" s="64">
        <f>_xll.DBRW($C$2,$BN$1,BN$2,$D$18,$D$3,$D141,$E141,$F141,BQ$3)</f>
        <v>0</v>
      </c>
      <c r="BR141" s="58">
        <f>_xll.DBRW($C$2,$BN$1,BN$2,$D$18,$D$3,$D141,$E141,$F141,BR$3)</f>
        <v>0</v>
      </c>
      <c r="BS141" s="48">
        <f t="shared" si="45"/>
        <v>46</v>
      </c>
      <c r="BT141" s="39">
        <f>_xll.DBRW($C$2,$BT$1,BT$2,$D$18,$D$3,$D141,$E141,$F141,BT$3)</f>
        <v>0</v>
      </c>
      <c r="BU141" s="25" cm="1">
        <f t="array" ref="BU141">_xll.DBRW($E$2,BT$1,BT$2,$D$18,$D$3,$D141,$E141,$F141,$F$3,BU$3)</f>
        <v>0</v>
      </c>
      <c r="BV141" s="25">
        <f>_xll.DBRW($C$2,$BT$1,BT$2,$D$18,$D$3,$D141,$E141,$F141,BV$3)</f>
        <v>1</v>
      </c>
      <c r="BW141" s="64">
        <f>_xll.DBRW($C$2,$BT$1,BT$2,$D$18,$D$3,$D141,$E141,$F141,BW$3)</f>
        <v>0</v>
      </c>
      <c r="BX141" s="58">
        <f>_xll.DBRW($C$2,$BT$1,BT$2,$D$18,$D$3,$D141,$E141,$F141,BX$3)</f>
        <v>0</v>
      </c>
      <c r="BY141" s="48">
        <f t="shared" si="46"/>
        <v>45</v>
      </c>
      <c r="BZ141" s="39">
        <f>_xll.DBRW($C$2,$BZ$1,BZ$2,$D$18,$D$3,$D141,$E141,$F141,BZ$3)</f>
        <v>0</v>
      </c>
      <c r="CA141" s="25" cm="1">
        <f t="array" ref="CA141">_xll.DBRW($E$2,BZ$1,BZ$2,$D$18,$D$3,$D141,$E141,$F141,$F$3,CA$3)</f>
        <v>0</v>
      </c>
      <c r="CB141" s="25">
        <f>_xll.DBRW($C$2,$BZ$1,BZ$2,$D$18,$D$3,$D141,$E141,$F141,CB$3)</f>
        <v>1</v>
      </c>
      <c r="CC141" s="64">
        <f>_xll.DBRW($C$2,$BZ$1,BZ$2,$D$18,$D$3,$D141,$E141,$F141,CC$3)</f>
        <v>0</v>
      </c>
      <c r="CD141" s="58">
        <f>_xll.DBRW($C$2,$BZ$1,BZ$2,$D$18,$D$3,$D141,$E141,$F141,CD$3)</f>
        <v>0</v>
      </c>
      <c r="CE141" s="48">
        <f t="shared" si="47"/>
        <v>44</v>
      </c>
    </row>
    <row r="142" spans="1:83" s="23" customFormat="1" outlineLevel="1" thickBot="1" x14ac:dyDescent="0.3">
      <c r="A142" s="91" t="str">
        <f>IF(_xll.TM1RPTELISCONSOLIDATED($F$22,$F142),IF(_xll.TM1RPTELLEV($F$22,$F142)&lt;=5,_xll.TM1RPTELLEV($F$22,$F142),"Default"),"Leaf")</f>
        <v>Leaf</v>
      </c>
      <c r="B142" s="24" t="str">
        <f>_xll.DBRW("TM1-S1_DEV:}ElementAttributes_SP_SKU",$D142,B$1)</f>
        <v>Primary</v>
      </c>
      <c r="C142" s="24" t="str">
        <f>_xll.DBRW("TM1-S1_DEV:}ElementAttributes_SP_SKU",$D142,C$1)</f>
        <v>UTENSIL</v>
      </c>
      <c r="D142" s="28" t="s">
        <v>444</v>
      </c>
      <c r="E142" s="28" t="s">
        <v>275</v>
      </c>
      <c r="F142" s="28" t="s">
        <v>30</v>
      </c>
      <c r="G142" s="4">
        <f>_xll.DBRW($C$2,$G$19,G$20,$D$18,$D$3,$D142,$E142,$F142,G$3)</f>
        <v>19</v>
      </c>
      <c r="H142" s="54">
        <f t="shared" si="36"/>
        <v>-4</v>
      </c>
      <c r="I142" s="4"/>
      <c r="J142" s="25">
        <f>_xll.DBRW($C$2,$J$1,J$2,$D$18,$D$3,$D142,$E142,$F142,J$3)</f>
        <v>15</v>
      </c>
      <c r="K142" s="39">
        <f>_xll.DBRW($C$2,$J$1,J$2,$D$18,$D$3,$D142,$E142,$F142,K$3)</f>
        <v>0</v>
      </c>
      <c r="L142" s="25">
        <f>_xll.DBRW($C$2,$J$1,J$2,$D$18,$D$3,$D142,$E142,$F142,L$3)</f>
        <v>0</v>
      </c>
      <c r="M142" s="25">
        <f>_xll.DBRW($C$2,$J$1,J$2,$D$18,$D$3,$D142,$E142,$F142,M$3)</f>
        <v>16</v>
      </c>
      <c r="N142" s="25">
        <f>_xll.DBRW($C$2,$J$1,J$2,$D$18,$D$3,$D142,$E142,$F142,N$3)</f>
        <v>4</v>
      </c>
      <c r="O142" s="64">
        <f>_xll.DBRW($C$2,$J$1,J$2,$D$18,$D$3,$D142,$E142,$F142,O$3)</f>
        <v>1</v>
      </c>
      <c r="P142" s="58">
        <f>_xll.DBRW($C$2,$J$1,J$2,$D$18,$D$3,$D142,$E142,$F142,P$3)</f>
        <v>0</v>
      </c>
      <c r="Q142" s="48">
        <f>_xll.DBRW($C$2,$J$1,J$2,$D$18,$D$3,$D142,$E142,$F142,Q$3)</f>
        <v>27</v>
      </c>
      <c r="R142" s="39">
        <f>_xll.DBRW($C$2,$R$1,R$2,$D$18,$D$3,$D142,$E142,$F142,R$3)</f>
        <v>0</v>
      </c>
      <c r="S142" s="25" cm="1">
        <f t="array" ref="S142">_xll.DBRW($E$2,R$1,R$2,$D$18,$D$3,$D142,$E142,$F142,$F$3,S$3)</f>
        <v>0</v>
      </c>
      <c r="T142" s="25">
        <f>_xll.DBRW($C$2,$R$1,R$2,$D$18,$D$3,$D142,$E142,$F142,T$3)</f>
        <v>0</v>
      </c>
      <c r="U142" s="64">
        <f>_xll.DBRW($C$2,$R$1,R$2,$D$18,$D$3,$D142,$E142,$F142,U$3)</f>
        <v>0</v>
      </c>
      <c r="V142" s="58">
        <f>_xll.DBRW($C$2,$R$1,R$2,$D$18,$D$3,$D142,$E142,$F142,V$3)</f>
        <v>0</v>
      </c>
      <c r="W142" s="48">
        <f t="shared" si="37"/>
        <v>27</v>
      </c>
      <c r="X142" s="39">
        <f>_xll.DBRW($C$2,$X$1,X$2,$D$18,$D$3,$D142,$E142,$F142,X$3)</f>
        <v>0</v>
      </c>
      <c r="Y142" s="25" cm="1">
        <f t="array" ref="Y142">_xll.DBRW($E$2,X$1,X$2,$D$18,$D$3,$D142,$E142,$F142,$F$3,Y$3)</f>
        <v>0</v>
      </c>
      <c r="Z142" s="25">
        <f>_xll.DBRW($C$2,$X$1,X$2,$D$18,$D$3,$D142,$E142,$F142,Z$3)</f>
        <v>3</v>
      </c>
      <c r="AA142" s="64">
        <f>_xll.DBRW($C$2,$X$1,X$2,$D$18,$D$3,$D142,$E142,$F142,AA$3)</f>
        <v>1</v>
      </c>
      <c r="AB142" s="58">
        <f>_xll.DBRW($C$2,$X$1,X$2,$D$18,$D$3,$D142,$E142,$F142,AB$3)</f>
        <v>0</v>
      </c>
      <c r="AC142" s="48">
        <f t="shared" si="38"/>
        <v>24</v>
      </c>
      <c r="AD142" s="39">
        <f>_xll.DBRW($C$2,$AD$1,AD$2,$D$18,$D$3,$D142,$E142,$F142,AD$3)</f>
        <v>0</v>
      </c>
      <c r="AE142" s="25" cm="1">
        <f t="array" ref="AE142">_xll.DBRW($E$2,AD$1,AD$2,$D$18,$D$3,$D142,$E142,$F142,$F$3,AE$3)</f>
        <v>0</v>
      </c>
      <c r="AF142" s="25">
        <f>_xll.DBRW($C$2,$AD$1,AD$2,$D$18,$D$3,$D142,$E142,$F142,AF$3)</f>
        <v>3</v>
      </c>
      <c r="AG142" s="64">
        <f>_xll.DBRW($C$2,$AD$1,AD$2,$D$18,$D$3,$D142,$E142,$F142,AG$3)</f>
        <v>0</v>
      </c>
      <c r="AH142" s="58">
        <f>_xll.DBRW($C$2,$AD$1,AD$2,$D$18,$D$3,$D142,$E142,$F142,AH$3)</f>
        <v>0</v>
      </c>
      <c r="AI142" s="48">
        <f t="shared" si="39"/>
        <v>21</v>
      </c>
      <c r="AJ142" s="39">
        <f>_xll.DBRW($C$2,$AJ$1,AJ$2,$D$18,$D$3,$D142,$E142,$F142,AJ$3)</f>
        <v>0</v>
      </c>
      <c r="AK142" s="25" cm="1">
        <f t="array" ref="AK142">_xll.DBRW($E$2,AJ$1,AJ$2,$D$18,$D$3,$D142,$E142,$F142,$F$3,AK$3)</f>
        <v>0</v>
      </c>
      <c r="AL142" s="25">
        <f>_xll.DBRW($C$2,$AJ$1,AJ$2,$D$18,$D$3,$D142,$E142,$F142,AL$3)</f>
        <v>3</v>
      </c>
      <c r="AM142" s="64">
        <f>_xll.DBRW($C$2,$AJ$1,AJ$2,$D$18,$D$3,$D142,$E142,$F142,AM$3)</f>
        <v>0</v>
      </c>
      <c r="AN142" s="58">
        <f>_xll.DBRW($C$2,$AJ$1,AJ$2,$D$18,$D$3,$D142,$E142,$F142,AN$3)</f>
        <v>0</v>
      </c>
      <c r="AO142" s="48">
        <f t="shared" si="40"/>
        <v>18</v>
      </c>
      <c r="AP142" s="39">
        <f>_xll.DBRW($C$2,$AP$1,AP$2,$D$18,$D$3,$D142,$E142,$F142,AP$3)</f>
        <v>0</v>
      </c>
      <c r="AQ142" s="25" cm="1">
        <f t="array" ref="AQ142">_xll.DBRW($E$2,AP$1,AP$2,$D$18,$D$3,$D142,$E142,$F142,$F$3,AQ$3)</f>
        <v>0</v>
      </c>
      <c r="AR142" s="25">
        <f>_xll.DBRW($C$2,$AP$1,AP$2,$D$18,$D$3,$D142,$E142,$F142,AR$3)</f>
        <v>3</v>
      </c>
      <c r="AS142" s="64">
        <f>_xll.DBRW($C$2,$AP$1,AP$2,$D$18,$D$3,$D142,$E142,$F142,AS$3)</f>
        <v>0</v>
      </c>
      <c r="AT142" s="58">
        <f>_xll.DBRW($C$2,$AP$1,AP$2,$D$18,$D$3,$D142,$E142,$F142,AT$3)</f>
        <v>0</v>
      </c>
      <c r="AU142" s="48">
        <f t="shared" si="41"/>
        <v>15</v>
      </c>
      <c r="AV142" s="39">
        <f>_xll.DBRW($C$2,$AV$1,AV$2,$D$18,$D$3,$D142,$E142,$F142,AV$3)</f>
        <v>0</v>
      </c>
      <c r="AW142" s="25" cm="1">
        <f t="array" ref="AW142">_xll.DBRW($E$2,AV$1,AV$2,$D$18,$D$3,$D142,$E142,$F142,$F$3,AW$3)</f>
        <v>0</v>
      </c>
      <c r="AX142" s="25">
        <f>_xll.DBRW($C$2,$AV$1,AV$2,$D$18,$D$3,$D142,$E142,$F142,AX$3)</f>
        <v>3</v>
      </c>
      <c r="AY142" s="64">
        <f>_xll.DBRW($C$2,$AV$1,AV$2,$D$18,$D$3,$D142,$E142,$F142,AY$3)</f>
        <v>0</v>
      </c>
      <c r="AZ142" s="58">
        <f>_xll.DBRW($C$2,$AV$1,AV$2,$D$18,$D$3,$D142,$E142,$F142,AZ$3)</f>
        <v>0</v>
      </c>
      <c r="BA142" s="48">
        <f t="shared" si="42"/>
        <v>12</v>
      </c>
      <c r="BB142" s="39">
        <f>_xll.DBRW($C$2,$BB$1,BB$2,$D$18,$D$3,$D142,$E142,$F142,BB$3)</f>
        <v>0</v>
      </c>
      <c r="BC142" s="25" cm="1">
        <f t="array" ref="BC142">_xll.DBRW($E$2,BB$1,BB$2,$D$18,$D$3,$D142,$E142,$F142,$F$3,BC$3)</f>
        <v>0</v>
      </c>
      <c r="BD142" s="25">
        <f>_xll.DBRW($C$2,$BB$1,BB$2,$D$18,$D$3,$D142,$E142,$F142,BD$3)</f>
        <v>3</v>
      </c>
      <c r="BE142" s="64">
        <f>_xll.DBRW($C$2,$BB$1,BB$2,$D$18,$D$3,$D142,$E142,$F142,BE$3)</f>
        <v>0</v>
      </c>
      <c r="BF142" s="58">
        <f>_xll.DBRW($C$2,$BB$1,BB$2,$D$18,$D$3,$D142,$E142,$F142,BF$3)</f>
        <v>0</v>
      </c>
      <c r="BG142" s="48">
        <f t="shared" si="43"/>
        <v>9</v>
      </c>
      <c r="BH142" s="39">
        <f>_xll.DBRW($C$2,$BH$1,BH$2,$D$18,$D$3,$D142,$E142,$F142,BH$3)</f>
        <v>0</v>
      </c>
      <c r="BI142" s="25" cm="1">
        <f t="array" ref="BI142">_xll.DBRW($E$2,BH$1,BH$2,$D$18,$D$3,$D142,$E142,$F142,$F$3,BI$3)</f>
        <v>0</v>
      </c>
      <c r="BJ142" s="25">
        <f>_xll.DBRW($C$2,$BH$1,BH$2,$D$18,$D$3,$D142,$E142,$F142,BJ$3)</f>
        <v>3</v>
      </c>
      <c r="BK142" s="64">
        <f>_xll.DBRW($C$2,$BH$1,BH$2,$D$18,$D$3,$D142,$E142,$F142,BK$3)</f>
        <v>0</v>
      </c>
      <c r="BL142" s="58">
        <f>_xll.DBRW($C$2,$BH$1,BH$2,$D$18,$D$3,$D142,$E142,$F142,BL$3)</f>
        <v>0</v>
      </c>
      <c r="BM142" s="48">
        <f t="shared" si="44"/>
        <v>6</v>
      </c>
      <c r="BN142" s="39">
        <f>_xll.DBRW($C$2,$BN$1,BN$2,$D$18,$D$3,$D142,$E142,$F142,BN$3)</f>
        <v>0</v>
      </c>
      <c r="BO142" s="25" cm="1">
        <f t="array" ref="BO142">_xll.DBRW($E$2,BN$1,BN$2,$D$18,$D$3,$D142,$E142,$F142,$F$3,BO$3)</f>
        <v>0</v>
      </c>
      <c r="BP142" s="25">
        <f>_xll.DBRW($C$2,$BN$1,BN$2,$D$18,$D$3,$D142,$E142,$F142,BP$3)</f>
        <v>3</v>
      </c>
      <c r="BQ142" s="64">
        <f>_xll.DBRW($C$2,$BN$1,BN$2,$D$18,$D$3,$D142,$E142,$F142,BQ$3)</f>
        <v>0</v>
      </c>
      <c r="BR142" s="58">
        <f>_xll.DBRW($C$2,$BN$1,BN$2,$D$18,$D$3,$D142,$E142,$F142,BR$3)</f>
        <v>0</v>
      </c>
      <c r="BS142" s="48">
        <f t="shared" si="45"/>
        <v>3</v>
      </c>
      <c r="BT142" s="39">
        <f>_xll.DBRW($C$2,$BT$1,BT$2,$D$18,$D$3,$D142,$E142,$F142,BT$3)</f>
        <v>0</v>
      </c>
      <c r="BU142" s="25" cm="1">
        <f t="array" ref="BU142">_xll.DBRW($E$2,BT$1,BT$2,$D$18,$D$3,$D142,$E142,$F142,$F$3,BU$3)</f>
        <v>0</v>
      </c>
      <c r="BV142" s="25">
        <f>_xll.DBRW($C$2,$BT$1,BT$2,$D$18,$D$3,$D142,$E142,$F142,BV$3)</f>
        <v>3</v>
      </c>
      <c r="BW142" s="64">
        <f>_xll.DBRW($C$2,$BT$1,BT$2,$D$18,$D$3,$D142,$E142,$F142,BW$3)</f>
        <v>0</v>
      </c>
      <c r="BX142" s="58">
        <f>_xll.DBRW($C$2,$BT$1,BT$2,$D$18,$D$3,$D142,$E142,$F142,BX$3)</f>
        <v>0</v>
      </c>
      <c r="BY142" s="48">
        <f t="shared" si="46"/>
        <v>0</v>
      </c>
      <c r="BZ142" s="39">
        <f>_xll.DBRW($C$2,$BZ$1,BZ$2,$D$18,$D$3,$D142,$E142,$F142,BZ$3)</f>
        <v>0</v>
      </c>
      <c r="CA142" s="25" cm="1">
        <f t="array" ref="CA142">_xll.DBRW($E$2,BZ$1,BZ$2,$D$18,$D$3,$D142,$E142,$F142,$F$3,CA$3)</f>
        <v>0</v>
      </c>
      <c r="CB142" s="25">
        <f>_xll.DBRW($C$2,$BZ$1,BZ$2,$D$18,$D$3,$D142,$E142,$F142,CB$3)</f>
        <v>3</v>
      </c>
      <c r="CC142" s="64">
        <f>_xll.DBRW($C$2,$BZ$1,BZ$2,$D$18,$D$3,$D142,$E142,$F142,CC$3)</f>
        <v>0</v>
      </c>
      <c r="CD142" s="58">
        <f>_xll.DBRW($C$2,$BZ$1,BZ$2,$D$18,$D$3,$D142,$E142,$F142,CD$3)</f>
        <v>0</v>
      </c>
      <c r="CE142" s="48">
        <f t="shared" si="47"/>
        <v>-3</v>
      </c>
    </row>
    <row r="143" spans="1:83" s="23" customFormat="1" outlineLevel="1" thickBot="1" x14ac:dyDescent="0.3">
      <c r="A143" s="91" t="str">
        <f>IF(_xll.TM1RPTELISCONSOLIDATED($F$22,$F143),IF(_xll.TM1RPTELLEV($F$22,$F143)&lt;=5,_xll.TM1RPTELLEV($F$22,$F143),"Default"),"Leaf")</f>
        <v>Leaf</v>
      </c>
      <c r="B143" s="24" t="str">
        <f>_xll.DBRW("TM1-S1_DEV:}ElementAttributes_SP_SKU",$D143,B$1)</f>
        <v>Primary</v>
      </c>
      <c r="C143" s="24" t="str">
        <f>_xll.DBRW("TM1-S1_DEV:}ElementAttributes_SP_SKU",$D143,C$1)</f>
        <v>BAG</v>
      </c>
      <c r="D143" s="28" t="s">
        <v>500</v>
      </c>
      <c r="E143" s="28" t="s">
        <v>276</v>
      </c>
      <c r="F143" s="28" t="s">
        <v>28</v>
      </c>
      <c r="G143" s="4">
        <f>_xll.DBRW($C$2,$G$19,G$20,$D$18,$D$3,$D143,$E143,$F143,G$3)</f>
        <v>29</v>
      </c>
      <c r="H143" s="54">
        <f t="shared" si="36"/>
        <v>-2</v>
      </c>
      <c r="I143" s="4"/>
      <c r="J143" s="25">
        <f>_xll.DBRW($C$2,$J$1,J$2,$D$18,$D$3,$D143,$E143,$F143,J$3)</f>
        <v>27</v>
      </c>
      <c r="K143" s="39">
        <f>_xll.DBRW($C$2,$J$1,J$2,$D$18,$D$3,$D143,$E143,$F143,K$3)</f>
        <v>0</v>
      </c>
      <c r="L143" s="25">
        <f>_xll.DBRW($C$2,$J$1,J$2,$D$18,$D$3,$D143,$E143,$F143,L$3)</f>
        <v>0</v>
      </c>
      <c r="M143" s="25">
        <f>_xll.DBRW($C$2,$J$1,J$2,$D$18,$D$3,$D143,$E143,$F143,M$3)</f>
        <v>0</v>
      </c>
      <c r="N143" s="25">
        <f>_xll.DBRW($C$2,$J$1,J$2,$D$18,$D$3,$D143,$E143,$F143,N$3)</f>
        <v>0</v>
      </c>
      <c r="O143" s="64">
        <f>_xll.DBRW($C$2,$J$1,J$2,$D$18,$D$3,$D143,$E143,$F143,O$3)</f>
        <v>0</v>
      </c>
      <c r="P143" s="58">
        <f>_xll.DBRW($C$2,$J$1,J$2,$D$18,$D$3,$D143,$E143,$F143,P$3)</f>
        <v>0</v>
      </c>
      <c r="Q143" s="48">
        <f>_xll.DBRW($C$2,$J$1,J$2,$D$18,$D$3,$D143,$E143,$F143,Q$3)</f>
        <v>27</v>
      </c>
      <c r="R143" s="39">
        <f>_xll.DBRW($C$2,$R$1,R$2,$D$18,$D$3,$D143,$E143,$F143,R$3)</f>
        <v>0</v>
      </c>
      <c r="S143" s="25" cm="1">
        <f t="array" ref="S143">_xll.DBRW($E$2,R$1,R$2,$D$18,$D$3,$D143,$E143,$F143,$F$3,S$3)</f>
        <v>0</v>
      </c>
      <c r="T143" s="25">
        <f>_xll.DBRW($C$2,$R$1,R$2,$D$18,$D$3,$D143,$E143,$F143,T$3)</f>
        <v>0</v>
      </c>
      <c r="U143" s="64">
        <f>_xll.DBRW($C$2,$R$1,R$2,$D$18,$D$3,$D143,$E143,$F143,U$3)</f>
        <v>0</v>
      </c>
      <c r="V143" s="58">
        <f>_xll.DBRW($C$2,$R$1,R$2,$D$18,$D$3,$D143,$E143,$F143,V$3)</f>
        <v>0</v>
      </c>
      <c r="W143" s="48">
        <f t="shared" si="37"/>
        <v>27</v>
      </c>
      <c r="X143" s="39">
        <f>_xll.DBRW($C$2,$X$1,X$2,$D$18,$D$3,$D143,$E143,$F143,X$3)</f>
        <v>0</v>
      </c>
      <c r="Y143" s="25" cm="1">
        <f t="array" ref="Y143">_xll.DBRW($E$2,X$1,X$2,$D$18,$D$3,$D143,$E143,$F143,$F$3,Y$3)</f>
        <v>0</v>
      </c>
      <c r="Z143" s="25">
        <f>_xll.DBRW($C$2,$X$1,X$2,$D$18,$D$3,$D143,$E143,$F143,Z$3)</f>
        <v>1</v>
      </c>
      <c r="AA143" s="64">
        <f>_xll.DBRW($C$2,$X$1,X$2,$D$18,$D$3,$D143,$E143,$F143,AA$3)</f>
        <v>1</v>
      </c>
      <c r="AB143" s="58">
        <f>_xll.DBRW($C$2,$X$1,X$2,$D$18,$D$3,$D143,$E143,$F143,AB$3)</f>
        <v>0</v>
      </c>
      <c r="AC143" s="48">
        <f t="shared" si="38"/>
        <v>26</v>
      </c>
      <c r="AD143" s="39">
        <f>_xll.DBRW($C$2,$AD$1,AD$2,$D$18,$D$3,$D143,$E143,$F143,AD$3)</f>
        <v>0</v>
      </c>
      <c r="AE143" s="25" cm="1">
        <f t="array" ref="AE143">_xll.DBRW($E$2,AD$1,AD$2,$D$18,$D$3,$D143,$E143,$F143,$F$3,AE$3)</f>
        <v>0</v>
      </c>
      <c r="AF143" s="25">
        <f>_xll.DBRW($C$2,$AD$1,AD$2,$D$18,$D$3,$D143,$E143,$F143,AF$3)</f>
        <v>1</v>
      </c>
      <c r="AG143" s="64">
        <f>_xll.DBRW($C$2,$AD$1,AD$2,$D$18,$D$3,$D143,$E143,$F143,AG$3)</f>
        <v>1</v>
      </c>
      <c r="AH143" s="58">
        <f>_xll.DBRW($C$2,$AD$1,AD$2,$D$18,$D$3,$D143,$E143,$F143,AH$3)</f>
        <v>0</v>
      </c>
      <c r="AI143" s="48">
        <f t="shared" si="39"/>
        <v>25</v>
      </c>
      <c r="AJ143" s="39">
        <f>_xll.DBRW($C$2,$AJ$1,AJ$2,$D$18,$D$3,$D143,$E143,$F143,AJ$3)</f>
        <v>0</v>
      </c>
      <c r="AK143" s="25" cm="1">
        <f t="array" ref="AK143">_xll.DBRW($E$2,AJ$1,AJ$2,$D$18,$D$3,$D143,$E143,$F143,$F$3,AK$3)</f>
        <v>0</v>
      </c>
      <c r="AL143" s="25">
        <f>_xll.DBRW($C$2,$AJ$1,AJ$2,$D$18,$D$3,$D143,$E143,$F143,AL$3)</f>
        <v>1</v>
      </c>
      <c r="AM143" s="64">
        <f>_xll.DBRW($C$2,$AJ$1,AJ$2,$D$18,$D$3,$D143,$E143,$F143,AM$3)</f>
        <v>1</v>
      </c>
      <c r="AN143" s="58">
        <f>_xll.DBRW($C$2,$AJ$1,AJ$2,$D$18,$D$3,$D143,$E143,$F143,AN$3)</f>
        <v>0</v>
      </c>
      <c r="AO143" s="48">
        <f t="shared" si="40"/>
        <v>24</v>
      </c>
      <c r="AP143" s="39">
        <f>_xll.DBRW($C$2,$AP$1,AP$2,$D$18,$D$3,$D143,$E143,$F143,AP$3)</f>
        <v>0</v>
      </c>
      <c r="AQ143" s="25" cm="1">
        <f t="array" ref="AQ143">_xll.DBRW($E$2,AP$1,AP$2,$D$18,$D$3,$D143,$E143,$F143,$F$3,AQ$3)</f>
        <v>0</v>
      </c>
      <c r="AR143" s="25">
        <f>_xll.DBRW($C$2,$AP$1,AP$2,$D$18,$D$3,$D143,$E143,$F143,AR$3)</f>
        <v>1</v>
      </c>
      <c r="AS143" s="64">
        <f>_xll.DBRW($C$2,$AP$1,AP$2,$D$18,$D$3,$D143,$E143,$F143,AS$3)</f>
        <v>0</v>
      </c>
      <c r="AT143" s="58">
        <f>_xll.DBRW($C$2,$AP$1,AP$2,$D$18,$D$3,$D143,$E143,$F143,AT$3)</f>
        <v>0</v>
      </c>
      <c r="AU143" s="48">
        <f t="shared" si="41"/>
        <v>23</v>
      </c>
      <c r="AV143" s="39">
        <f>_xll.DBRW($C$2,$AV$1,AV$2,$D$18,$D$3,$D143,$E143,$F143,AV$3)</f>
        <v>0</v>
      </c>
      <c r="AW143" s="25" cm="1">
        <f t="array" ref="AW143">_xll.DBRW($E$2,AV$1,AV$2,$D$18,$D$3,$D143,$E143,$F143,$F$3,AW$3)</f>
        <v>0</v>
      </c>
      <c r="AX143" s="25">
        <f>_xll.DBRW($C$2,$AV$1,AV$2,$D$18,$D$3,$D143,$E143,$F143,AX$3)</f>
        <v>1</v>
      </c>
      <c r="AY143" s="64">
        <f>_xll.DBRW($C$2,$AV$1,AV$2,$D$18,$D$3,$D143,$E143,$F143,AY$3)</f>
        <v>1</v>
      </c>
      <c r="AZ143" s="58">
        <f>_xll.DBRW($C$2,$AV$1,AV$2,$D$18,$D$3,$D143,$E143,$F143,AZ$3)</f>
        <v>0</v>
      </c>
      <c r="BA143" s="48">
        <f t="shared" si="42"/>
        <v>22</v>
      </c>
      <c r="BB143" s="39">
        <f>_xll.DBRW($C$2,$BB$1,BB$2,$D$18,$D$3,$D143,$E143,$F143,BB$3)</f>
        <v>0</v>
      </c>
      <c r="BC143" s="25" cm="1">
        <f t="array" ref="BC143">_xll.DBRW($E$2,BB$1,BB$2,$D$18,$D$3,$D143,$E143,$F143,$F$3,BC$3)</f>
        <v>0</v>
      </c>
      <c r="BD143" s="25">
        <f>_xll.DBRW($C$2,$BB$1,BB$2,$D$18,$D$3,$D143,$E143,$F143,BD$3)</f>
        <v>1</v>
      </c>
      <c r="BE143" s="64">
        <f>_xll.DBRW($C$2,$BB$1,BB$2,$D$18,$D$3,$D143,$E143,$F143,BE$3)</f>
        <v>1</v>
      </c>
      <c r="BF143" s="58">
        <f>_xll.DBRW($C$2,$BB$1,BB$2,$D$18,$D$3,$D143,$E143,$F143,BF$3)</f>
        <v>0</v>
      </c>
      <c r="BG143" s="48">
        <f t="shared" si="43"/>
        <v>21</v>
      </c>
      <c r="BH143" s="39">
        <f>_xll.DBRW($C$2,$BH$1,BH$2,$D$18,$D$3,$D143,$E143,$F143,BH$3)</f>
        <v>0</v>
      </c>
      <c r="BI143" s="25" cm="1">
        <f t="array" ref="BI143">_xll.DBRW($E$2,BH$1,BH$2,$D$18,$D$3,$D143,$E143,$F143,$F$3,BI$3)</f>
        <v>0</v>
      </c>
      <c r="BJ143" s="25">
        <f>_xll.DBRW($C$2,$BH$1,BH$2,$D$18,$D$3,$D143,$E143,$F143,BJ$3)</f>
        <v>1</v>
      </c>
      <c r="BK143" s="64">
        <f>_xll.DBRW($C$2,$BH$1,BH$2,$D$18,$D$3,$D143,$E143,$F143,BK$3)</f>
        <v>1</v>
      </c>
      <c r="BL143" s="58">
        <f>_xll.DBRW($C$2,$BH$1,BH$2,$D$18,$D$3,$D143,$E143,$F143,BL$3)</f>
        <v>0</v>
      </c>
      <c r="BM143" s="48">
        <f t="shared" si="44"/>
        <v>20</v>
      </c>
      <c r="BN143" s="39">
        <f>_xll.DBRW($C$2,$BN$1,BN$2,$D$18,$D$3,$D143,$E143,$F143,BN$3)</f>
        <v>0</v>
      </c>
      <c r="BO143" s="25" cm="1">
        <f t="array" ref="BO143">_xll.DBRW($E$2,BN$1,BN$2,$D$18,$D$3,$D143,$E143,$F143,$F$3,BO$3)</f>
        <v>0</v>
      </c>
      <c r="BP143" s="25">
        <f>_xll.DBRW($C$2,$BN$1,BN$2,$D$18,$D$3,$D143,$E143,$F143,BP$3)</f>
        <v>1</v>
      </c>
      <c r="BQ143" s="64">
        <f>_xll.DBRW($C$2,$BN$1,BN$2,$D$18,$D$3,$D143,$E143,$F143,BQ$3)</f>
        <v>0</v>
      </c>
      <c r="BR143" s="58">
        <f>_xll.DBRW($C$2,$BN$1,BN$2,$D$18,$D$3,$D143,$E143,$F143,BR$3)</f>
        <v>0</v>
      </c>
      <c r="BS143" s="48">
        <f t="shared" si="45"/>
        <v>19</v>
      </c>
      <c r="BT143" s="39">
        <f>_xll.DBRW($C$2,$BT$1,BT$2,$D$18,$D$3,$D143,$E143,$F143,BT$3)</f>
        <v>0</v>
      </c>
      <c r="BU143" s="25" cm="1">
        <f t="array" ref="BU143">_xll.DBRW($E$2,BT$1,BT$2,$D$18,$D$3,$D143,$E143,$F143,$F$3,BU$3)</f>
        <v>0</v>
      </c>
      <c r="BV143" s="25">
        <f>_xll.DBRW($C$2,$BT$1,BT$2,$D$18,$D$3,$D143,$E143,$F143,BV$3)</f>
        <v>1</v>
      </c>
      <c r="BW143" s="64">
        <f>_xll.DBRW($C$2,$BT$1,BT$2,$D$18,$D$3,$D143,$E143,$F143,BW$3)</f>
        <v>0</v>
      </c>
      <c r="BX143" s="58">
        <f>_xll.DBRW($C$2,$BT$1,BT$2,$D$18,$D$3,$D143,$E143,$F143,BX$3)</f>
        <v>0</v>
      </c>
      <c r="BY143" s="48">
        <f t="shared" si="46"/>
        <v>18</v>
      </c>
      <c r="BZ143" s="39">
        <f>_xll.DBRW($C$2,$BZ$1,BZ$2,$D$18,$D$3,$D143,$E143,$F143,BZ$3)</f>
        <v>0</v>
      </c>
      <c r="CA143" s="25" cm="1">
        <f t="array" ref="CA143">_xll.DBRW($E$2,BZ$1,BZ$2,$D$18,$D$3,$D143,$E143,$F143,$F$3,CA$3)</f>
        <v>0</v>
      </c>
      <c r="CB143" s="25">
        <f>_xll.DBRW($C$2,$BZ$1,BZ$2,$D$18,$D$3,$D143,$E143,$F143,CB$3)</f>
        <v>1</v>
      </c>
      <c r="CC143" s="64">
        <f>_xll.DBRW($C$2,$BZ$1,BZ$2,$D$18,$D$3,$D143,$E143,$F143,CC$3)</f>
        <v>0</v>
      </c>
      <c r="CD143" s="58">
        <f>_xll.DBRW($C$2,$BZ$1,BZ$2,$D$18,$D$3,$D143,$E143,$F143,CD$3)</f>
        <v>0</v>
      </c>
      <c r="CE143" s="48">
        <f t="shared" si="47"/>
        <v>17</v>
      </c>
    </row>
    <row r="144" spans="1:83" s="23" customFormat="1" outlineLevel="1" thickBot="1" x14ac:dyDescent="0.3">
      <c r="A144" s="91" t="str">
        <f>IF(_xll.TM1RPTELISCONSOLIDATED($F$22,$F144),IF(_xll.TM1RPTELLEV($F$22,$F144)&lt;=5,_xll.TM1RPTELLEV($F$22,$F144),"Default"),"Leaf")</f>
        <v>Leaf</v>
      </c>
      <c r="B144" s="24" t="str">
        <f>_xll.DBRW("TM1-S1_DEV:}ElementAttributes_SP_SKU",$D144,B$1)</f>
        <v>Primary</v>
      </c>
      <c r="C144" s="24" t="str">
        <f>_xll.DBRW("TM1-S1_DEV:}ElementAttributes_SP_SKU",$D144,C$1)</f>
        <v>BOX</v>
      </c>
      <c r="D144" s="28" t="s">
        <v>501</v>
      </c>
      <c r="E144" s="28" t="s">
        <v>277</v>
      </c>
      <c r="F144" s="28" t="s">
        <v>27</v>
      </c>
      <c r="G144" s="4">
        <f>_xll.DBRW($C$2,$G$19,G$20,$D$18,$D$3,$D144,$E144,$F144,G$3)</f>
        <v>4</v>
      </c>
      <c r="H144" s="54">
        <f t="shared" si="36"/>
        <v>0</v>
      </c>
      <c r="I144" s="4"/>
      <c r="J144" s="25">
        <f>_xll.DBRW($C$2,$J$1,J$2,$D$18,$D$3,$D144,$E144,$F144,J$3)</f>
        <v>4</v>
      </c>
      <c r="K144" s="39">
        <f>_xll.DBRW($C$2,$J$1,J$2,$D$18,$D$3,$D144,$E144,$F144,K$3)</f>
        <v>0</v>
      </c>
      <c r="L144" s="25">
        <f>_xll.DBRW($C$2,$J$1,J$2,$D$18,$D$3,$D144,$E144,$F144,L$3)</f>
        <v>0</v>
      </c>
      <c r="M144" s="25">
        <f>_xll.DBRW($C$2,$J$1,J$2,$D$18,$D$3,$D144,$E144,$F144,M$3)</f>
        <v>0</v>
      </c>
      <c r="N144" s="25">
        <f>_xll.DBRW($C$2,$J$1,J$2,$D$18,$D$3,$D144,$E144,$F144,N$3)</f>
        <v>0</v>
      </c>
      <c r="O144" s="64">
        <f>_xll.DBRW($C$2,$J$1,J$2,$D$18,$D$3,$D144,$E144,$F144,O$3)</f>
        <v>0</v>
      </c>
      <c r="P144" s="58">
        <f>_xll.DBRW($C$2,$J$1,J$2,$D$18,$D$3,$D144,$E144,$F144,P$3)</f>
        <v>0</v>
      </c>
      <c r="Q144" s="48">
        <f>_xll.DBRW($C$2,$J$1,J$2,$D$18,$D$3,$D144,$E144,$F144,Q$3)</f>
        <v>4</v>
      </c>
      <c r="R144" s="39">
        <f>_xll.DBRW($C$2,$R$1,R$2,$D$18,$D$3,$D144,$E144,$F144,R$3)</f>
        <v>0</v>
      </c>
      <c r="S144" s="25" cm="1">
        <f t="array" ref="S144">_xll.DBRW($E$2,R$1,R$2,$D$18,$D$3,$D144,$E144,$F144,$F$3,S$3)</f>
        <v>0</v>
      </c>
      <c r="T144" s="25">
        <f>_xll.DBRW($C$2,$R$1,R$2,$D$18,$D$3,$D144,$E144,$F144,T$3)</f>
        <v>0</v>
      </c>
      <c r="U144" s="64">
        <f>_xll.DBRW($C$2,$R$1,R$2,$D$18,$D$3,$D144,$E144,$F144,U$3)</f>
        <v>0</v>
      </c>
      <c r="V144" s="58">
        <f>_xll.DBRW($C$2,$R$1,R$2,$D$18,$D$3,$D144,$E144,$F144,V$3)</f>
        <v>0</v>
      </c>
      <c r="W144" s="48">
        <f t="shared" si="37"/>
        <v>4</v>
      </c>
      <c r="X144" s="39">
        <f>_xll.DBRW($C$2,$X$1,X$2,$D$18,$D$3,$D144,$E144,$F144,X$3)</f>
        <v>0</v>
      </c>
      <c r="Y144" s="25" cm="1">
        <f t="array" ref="Y144">_xll.DBRW($E$2,X$1,X$2,$D$18,$D$3,$D144,$E144,$F144,$F$3,Y$3)</f>
        <v>0</v>
      </c>
      <c r="Z144" s="25">
        <f>_xll.DBRW($C$2,$X$1,X$2,$D$18,$D$3,$D144,$E144,$F144,Z$3)</f>
        <v>1</v>
      </c>
      <c r="AA144" s="64">
        <f>_xll.DBRW($C$2,$X$1,X$2,$D$18,$D$3,$D144,$E144,$F144,AA$3)</f>
        <v>0</v>
      </c>
      <c r="AB144" s="58">
        <f>_xll.DBRW($C$2,$X$1,X$2,$D$18,$D$3,$D144,$E144,$F144,AB$3)</f>
        <v>0</v>
      </c>
      <c r="AC144" s="48">
        <f t="shared" si="38"/>
        <v>3</v>
      </c>
      <c r="AD144" s="39">
        <f>_xll.DBRW($C$2,$AD$1,AD$2,$D$18,$D$3,$D144,$E144,$F144,AD$3)</f>
        <v>0</v>
      </c>
      <c r="AE144" s="25" cm="1">
        <f t="array" ref="AE144">_xll.DBRW($E$2,AD$1,AD$2,$D$18,$D$3,$D144,$E144,$F144,$F$3,AE$3)</f>
        <v>0</v>
      </c>
      <c r="AF144" s="25">
        <f>_xll.DBRW($C$2,$AD$1,AD$2,$D$18,$D$3,$D144,$E144,$F144,AF$3)</f>
        <v>1</v>
      </c>
      <c r="AG144" s="64">
        <f>_xll.DBRW($C$2,$AD$1,AD$2,$D$18,$D$3,$D144,$E144,$F144,AG$3)</f>
        <v>0</v>
      </c>
      <c r="AH144" s="58">
        <f>_xll.DBRW($C$2,$AD$1,AD$2,$D$18,$D$3,$D144,$E144,$F144,AH$3)</f>
        <v>0</v>
      </c>
      <c r="AI144" s="48">
        <f t="shared" si="39"/>
        <v>2</v>
      </c>
      <c r="AJ144" s="39">
        <f>_xll.DBRW($C$2,$AJ$1,AJ$2,$D$18,$D$3,$D144,$E144,$F144,AJ$3)</f>
        <v>0</v>
      </c>
      <c r="AK144" s="25" cm="1">
        <f t="array" ref="AK144">_xll.DBRW($E$2,AJ$1,AJ$2,$D$18,$D$3,$D144,$E144,$F144,$F$3,AK$3)</f>
        <v>0</v>
      </c>
      <c r="AL144" s="25">
        <f>_xll.DBRW($C$2,$AJ$1,AJ$2,$D$18,$D$3,$D144,$E144,$F144,AL$3)</f>
        <v>1</v>
      </c>
      <c r="AM144" s="64">
        <f>_xll.DBRW($C$2,$AJ$1,AJ$2,$D$18,$D$3,$D144,$E144,$F144,AM$3)</f>
        <v>0</v>
      </c>
      <c r="AN144" s="58">
        <f>_xll.DBRW($C$2,$AJ$1,AJ$2,$D$18,$D$3,$D144,$E144,$F144,AN$3)</f>
        <v>0</v>
      </c>
      <c r="AO144" s="48">
        <f t="shared" si="40"/>
        <v>1</v>
      </c>
      <c r="AP144" s="39">
        <f>_xll.DBRW($C$2,$AP$1,AP$2,$D$18,$D$3,$D144,$E144,$F144,AP$3)</f>
        <v>0</v>
      </c>
      <c r="AQ144" s="25" cm="1">
        <f t="array" ref="AQ144">_xll.DBRW($E$2,AP$1,AP$2,$D$18,$D$3,$D144,$E144,$F144,$F$3,AQ$3)</f>
        <v>0</v>
      </c>
      <c r="AR144" s="25">
        <f>_xll.DBRW($C$2,$AP$1,AP$2,$D$18,$D$3,$D144,$E144,$F144,AR$3)</f>
        <v>1</v>
      </c>
      <c r="AS144" s="64">
        <f>_xll.DBRW($C$2,$AP$1,AP$2,$D$18,$D$3,$D144,$E144,$F144,AS$3)</f>
        <v>0</v>
      </c>
      <c r="AT144" s="58">
        <f>_xll.DBRW($C$2,$AP$1,AP$2,$D$18,$D$3,$D144,$E144,$F144,AT$3)</f>
        <v>0</v>
      </c>
      <c r="AU144" s="48">
        <f t="shared" si="41"/>
        <v>0</v>
      </c>
      <c r="AV144" s="39">
        <f>_xll.DBRW($C$2,$AV$1,AV$2,$D$18,$D$3,$D144,$E144,$F144,AV$3)</f>
        <v>0</v>
      </c>
      <c r="AW144" s="25" cm="1">
        <f t="array" ref="AW144">_xll.DBRW($E$2,AV$1,AV$2,$D$18,$D$3,$D144,$E144,$F144,$F$3,AW$3)</f>
        <v>0</v>
      </c>
      <c r="AX144" s="25">
        <f>_xll.DBRW($C$2,$AV$1,AV$2,$D$18,$D$3,$D144,$E144,$F144,AX$3)</f>
        <v>1</v>
      </c>
      <c r="AY144" s="64">
        <f>_xll.DBRW($C$2,$AV$1,AV$2,$D$18,$D$3,$D144,$E144,$F144,AY$3)</f>
        <v>0</v>
      </c>
      <c r="AZ144" s="58">
        <f>_xll.DBRW($C$2,$AV$1,AV$2,$D$18,$D$3,$D144,$E144,$F144,AZ$3)</f>
        <v>0</v>
      </c>
      <c r="BA144" s="48">
        <f t="shared" si="42"/>
        <v>-1</v>
      </c>
      <c r="BB144" s="39">
        <f>_xll.DBRW($C$2,$BB$1,BB$2,$D$18,$D$3,$D144,$E144,$F144,BB$3)</f>
        <v>0</v>
      </c>
      <c r="BC144" s="25" cm="1">
        <f t="array" ref="BC144">_xll.DBRW($E$2,BB$1,BB$2,$D$18,$D$3,$D144,$E144,$F144,$F$3,BC$3)</f>
        <v>0</v>
      </c>
      <c r="BD144" s="25">
        <f>_xll.DBRW($C$2,$BB$1,BB$2,$D$18,$D$3,$D144,$E144,$F144,BD$3)</f>
        <v>1</v>
      </c>
      <c r="BE144" s="64">
        <f>_xll.DBRW($C$2,$BB$1,BB$2,$D$18,$D$3,$D144,$E144,$F144,BE$3)</f>
        <v>0</v>
      </c>
      <c r="BF144" s="58">
        <f>_xll.DBRW($C$2,$BB$1,BB$2,$D$18,$D$3,$D144,$E144,$F144,BF$3)</f>
        <v>0</v>
      </c>
      <c r="BG144" s="48">
        <f t="shared" si="43"/>
        <v>-2</v>
      </c>
      <c r="BH144" s="39">
        <f>_xll.DBRW($C$2,$BH$1,BH$2,$D$18,$D$3,$D144,$E144,$F144,BH$3)</f>
        <v>0</v>
      </c>
      <c r="BI144" s="25" cm="1">
        <f t="array" ref="BI144">_xll.DBRW($E$2,BH$1,BH$2,$D$18,$D$3,$D144,$E144,$F144,$F$3,BI$3)</f>
        <v>0</v>
      </c>
      <c r="BJ144" s="25">
        <f>_xll.DBRW($C$2,$BH$1,BH$2,$D$18,$D$3,$D144,$E144,$F144,BJ$3)</f>
        <v>1</v>
      </c>
      <c r="BK144" s="64">
        <f>_xll.DBRW($C$2,$BH$1,BH$2,$D$18,$D$3,$D144,$E144,$F144,BK$3)</f>
        <v>0</v>
      </c>
      <c r="BL144" s="58">
        <f>_xll.DBRW($C$2,$BH$1,BH$2,$D$18,$D$3,$D144,$E144,$F144,BL$3)</f>
        <v>0</v>
      </c>
      <c r="BM144" s="48">
        <f t="shared" si="44"/>
        <v>-3</v>
      </c>
      <c r="BN144" s="39">
        <f>_xll.DBRW($C$2,$BN$1,BN$2,$D$18,$D$3,$D144,$E144,$F144,BN$3)</f>
        <v>0</v>
      </c>
      <c r="BO144" s="25" cm="1">
        <f t="array" ref="BO144">_xll.DBRW($E$2,BN$1,BN$2,$D$18,$D$3,$D144,$E144,$F144,$F$3,BO$3)</f>
        <v>0</v>
      </c>
      <c r="BP144" s="25">
        <f>_xll.DBRW($C$2,$BN$1,BN$2,$D$18,$D$3,$D144,$E144,$F144,BP$3)</f>
        <v>1</v>
      </c>
      <c r="BQ144" s="64">
        <f>_xll.DBRW($C$2,$BN$1,BN$2,$D$18,$D$3,$D144,$E144,$F144,BQ$3)</f>
        <v>0</v>
      </c>
      <c r="BR144" s="58">
        <f>_xll.DBRW($C$2,$BN$1,BN$2,$D$18,$D$3,$D144,$E144,$F144,BR$3)</f>
        <v>0</v>
      </c>
      <c r="BS144" s="48">
        <f t="shared" si="45"/>
        <v>-4</v>
      </c>
      <c r="BT144" s="39">
        <f>_xll.DBRW($C$2,$BT$1,BT$2,$D$18,$D$3,$D144,$E144,$F144,BT$3)</f>
        <v>0</v>
      </c>
      <c r="BU144" s="25" cm="1">
        <f t="array" ref="BU144">_xll.DBRW($E$2,BT$1,BT$2,$D$18,$D$3,$D144,$E144,$F144,$F$3,BU$3)</f>
        <v>0</v>
      </c>
      <c r="BV144" s="25">
        <f>_xll.DBRW($C$2,$BT$1,BT$2,$D$18,$D$3,$D144,$E144,$F144,BV$3)</f>
        <v>1</v>
      </c>
      <c r="BW144" s="64">
        <f>_xll.DBRW($C$2,$BT$1,BT$2,$D$18,$D$3,$D144,$E144,$F144,BW$3)</f>
        <v>0</v>
      </c>
      <c r="BX144" s="58">
        <f>_xll.DBRW($C$2,$BT$1,BT$2,$D$18,$D$3,$D144,$E144,$F144,BX$3)</f>
        <v>0</v>
      </c>
      <c r="BY144" s="48">
        <f t="shared" si="46"/>
        <v>-5</v>
      </c>
      <c r="BZ144" s="39">
        <f>_xll.DBRW($C$2,$BZ$1,BZ$2,$D$18,$D$3,$D144,$E144,$F144,BZ$3)</f>
        <v>0</v>
      </c>
      <c r="CA144" s="25" cm="1">
        <f t="array" ref="CA144">_xll.DBRW($E$2,BZ$1,BZ$2,$D$18,$D$3,$D144,$E144,$F144,$F$3,CA$3)</f>
        <v>0</v>
      </c>
      <c r="CB144" s="25">
        <f>_xll.DBRW($C$2,$BZ$1,BZ$2,$D$18,$D$3,$D144,$E144,$F144,CB$3)</f>
        <v>1</v>
      </c>
      <c r="CC144" s="64">
        <f>_xll.DBRW($C$2,$BZ$1,BZ$2,$D$18,$D$3,$D144,$E144,$F144,CC$3)</f>
        <v>0</v>
      </c>
      <c r="CD144" s="58">
        <f>_xll.DBRW($C$2,$BZ$1,BZ$2,$D$18,$D$3,$D144,$E144,$F144,CD$3)</f>
        <v>0</v>
      </c>
      <c r="CE144" s="48">
        <f t="shared" si="47"/>
        <v>-6</v>
      </c>
    </row>
    <row r="145" spans="1:83" s="23" customFormat="1" outlineLevel="1" thickBot="1" x14ac:dyDescent="0.3">
      <c r="A145" s="91" t="str">
        <f>IF(_xll.TM1RPTELISCONSOLIDATED($F$22,$F145),IF(_xll.TM1RPTELLEV($F$22,$F145)&lt;=5,_xll.TM1RPTELLEV($F$22,$F145),"Default"),"Leaf")</f>
        <v>Leaf</v>
      </c>
      <c r="B145" s="24" t="str">
        <f>_xll.DBRW("TM1-S1_DEV:}ElementAttributes_SP_SKU",$D145,B$1)</f>
        <v>Primary</v>
      </c>
      <c r="C145" s="24" t="str">
        <f>_xll.DBRW("TM1-S1_DEV:}ElementAttributes_SP_SKU",$D145,C$1)</f>
        <v>BOX</v>
      </c>
      <c r="D145" s="28" t="s">
        <v>502</v>
      </c>
      <c r="E145" s="28" t="s">
        <v>278</v>
      </c>
      <c r="F145" s="28" t="s">
        <v>27</v>
      </c>
      <c r="G145" s="4">
        <f>_xll.DBRW($C$2,$G$19,G$20,$D$18,$D$3,$D145,$E145,$F145,G$3)</f>
        <v>19</v>
      </c>
      <c r="H145" s="54">
        <f t="shared" si="36"/>
        <v>0</v>
      </c>
      <c r="I145" s="4"/>
      <c r="J145" s="25">
        <f>_xll.DBRW($C$2,$J$1,J$2,$D$18,$D$3,$D145,$E145,$F145,J$3)</f>
        <v>19</v>
      </c>
      <c r="K145" s="39">
        <f>_xll.DBRW($C$2,$J$1,J$2,$D$18,$D$3,$D145,$E145,$F145,K$3)</f>
        <v>0</v>
      </c>
      <c r="L145" s="25">
        <f>_xll.DBRW($C$2,$J$1,J$2,$D$18,$D$3,$D145,$E145,$F145,L$3)</f>
        <v>0</v>
      </c>
      <c r="M145" s="25">
        <f>_xll.DBRW($C$2,$J$1,J$2,$D$18,$D$3,$D145,$E145,$F145,M$3)</f>
        <v>0</v>
      </c>
      <c r="N145" s="25">
        <f>_xll.DBRW($C$2,$J$1,J$2,$D$18,$D$3,$D145,$E145,$F145,N$3)</f>
        <v>0</v>
      </c>
      <c r="O145" s="64">
        <f>_xll.DBRW($C$2,$J$1,J$2,$D$18,$D$3,$D145,$E145,$F145,O$3)</f>
        <v>0</v>
      </c>
      <c r="P145" s="58">
        <f>_xll.DBRW($C$2,$J$1,J$2,$D$18,$D$3,$D145,$E145,$F145,P$3)</f>
        <v>0</v>
      </c>
      <c r="Q145" s="48">
        <f>_xll.DBRW($C$2,$J$1,J$2,$D$18,$D$3,$D145,$E145,$F145,Q$3)</f>
        <v>19</v>
      </c>
      <c r="R145" s="39">
        <f>_xll.DBRW($C$2,$R$1,R$2,$D$18,$D$3,$D145,$E145,$F145,R$3)</f>
        <v>0</v>
      </c>
      <c r="S145" s="25" cm="1">
        <f t="array" ref="S145">_xll.DBRW($E$2,R$1,R$2,$D$18,$D$3,$D145,$E145,$F145,$F$3,S$3)</f>
        <v>0</v>
      </c>
      <c r="T145" s="25">
        <f>_xll.DBRW($C$2,$R$1,R$2,$D$18,$D$3,$D145,$E145,$F145,T$3)</f>
        <v>0</v>
      </c>
      <c r="U145" s="64">
        <f>_xll.DBRW($C$2,$R$1,R$2,$D$18,$D$3,$D145,$E145,$F145,U$3)</f>
        <v>0</v>
      </c>
      <c r="V145" s="58">
        <f>_xll.DBRW($C$2,$R$1,R$2,$D$18,$D$3,$D145,$E145,$F145,V$3)</f>
        <v>0</v>
      </c>
      <c r="W145" s="48">
        <f t="shared" si="37"/>
        <v>19</v>
      </c>
      <c r="X145" s="39">
        <f>_xll.DBRW($C$2,$X$1,X$2,$D$18,$D$3,$D145,$E145,$F145,X$3)</f>
        <v>0</v>
      </c>
      <c r="Y145" s="25" cm="1">
        <f t="array" ref="Y145">_xll.DBRW($E$2,X$1,X$2,$D$18,$D$3,$D145,$E145,$F145,$F$3,Y$3)</f>
        <v>0</v>
      </c>
      <c r="Z145" s="25">
        <f>_xll.DBRW($C$2,$X$1,X$2,$D$18,$D$3,$D145,$E145,$F145,Z$3)</f>
        <v>0</v>
      </c>
      <c r="AA145" s="64">
        <f>_xll.DBRW($C$2,$X$1,X$2,$D$18,$D$3,$D145,$E145,$F145,AA$3)</f>
        <v>0</v>
      </c>
      <c r="AB145" s="58">
        <f>_xll.DBRW($C$2,$X$1,X$2,$D$18,$D$3,$D145,$E145,$F145,AB$3)</f>
        <v>0</v>
      </c>
      <c r="AC145" s="48">
        <f t="shared" si="38"/>
        <v>19</v>
      </c>
      <c r="AD145" s="39">
        <f>_xll.DBRW($C$2,$AD$1,AD$2,$D$18,$D$3,$D145,$E145,$F145,AD$3)</f>
        <v>0</v>
      </c>
      <c r="AE145" s="25" cm="1">
        <f t="array" ref="AE145">_xll.DBRW($E$2,AD$1,AD$2,$D$18,$D$3,$D145,$E145,$F145,$F$3,AE$3)</f>
        <v>0</v>
      </c>
      <c r="AF145" s="25">
        <f>_xll.DBRW($C$2,$AD$1,AD$2,$D$18,$D$3,$D145,$E145,$F145,AF$3)</f>
        <v>0</v>
      </c>
      <c r="AG145" s="64">
        <f>_xll.DBRW($C$2,$AD$1,AD$2,$D$18,$D$3,$D145,$E145,$F145,AG$3)</f>
        <v>0</v>
      </c>
      <c r="AH145" s="58">
        <f>_xll.DBRW($C$2,$AD$1,AD$2,$D$18,$D$3,$D145,$E145,$F145,AH$3)</f>
        <v>0</v>
      </c>
      <c r="AI145" s="48">
        <f t="shared" si="39"/>
        <v>19</v>
      </c>
      <c r="AJ145" s="39">
        <f>_xll.DBRW($C$2,$AJ$1,AJ$2,$D$18,$D$3,$D145,$E145,$F145,AJ$3)</f>
        <v>0</v>
      </c>
      <c r="AK145" s="25" cm="1">
        <f t="array" ref="AK145">_xll.DBRW($E$2,AJ$1,AJ$2,$D$18,$D$3,$D145,$E145,$F145,$F$3,AK$3)</f>
        <v>0</v>
      </c>
      <c r="AL145" s="25">
        <f>_xll.DBRW($C$2,$AJ$1,AJ$2,$D$18,$D$3,$D145,$E145,$F145,AL$3)</f>
        <v>0</v>
      </c>
      <c r="AM145" s="64">
        <f>_xll.DBRW($C$2,$AJ$1,AJ$2,$D$18,$D$3,$D145,$E145,$F145,AM$3)</f>
        <v>0</v>
      </c>
      <c r="AN145" s="58">
        <f>_xll.DBRW($C$2,$AJ$1,AJ$2,$D$18,$D$3,$D145,$E145,$F145,AN$3)</f>
        <v>0</v>
      </c>
      <c r="AO145" s="48">
        <f t="shared" si="40"/>
        <v>19</v>
      </c>
      <c r="AP145" s="39">
        <f>_xll.DBRW($C$2,$AP$1,AP$2,$D$18,$D$3,$D145,$E145,$F145,AP$3)</f>
        <v>0</v>
      </c>
      <c r="AQ145" s="25" cm="1">
        <f t="array" ref="AQ145">_xll.DBRW($E$2,AP$1,AP$2,$D$18,$D$3,$D145,$E145,$F145,$F$3,AQ$3)</f>
        <v>0</v>
      </c>
      <c r="AR145" s="25">
        <f>_xll.DBRW($C$2,$AP$1,AP$2,$D$18,$D$3,$D145,$E145,$F145,AR$3)</f>
        <v>0</v>
      </c>
      <c r="AS145" s="64">
        <f>_xll.DBRW($C$2,$AP$1,AP$2,$D$18,$D$3,$D145,$E145,$F145,AS$3)</f>
        <v>0</v>
      </c>
      <c r="AT145" s="58">
        <f>_xll.DBRW($C$2,$AP$1,AP$2,$D$18,$D$3,$D145,$E145,$F145,AT$3)</f>
        <v>0</v>
      </c>
      <c r="AU145" s="48">
        <f t="shared" si="41"/>
        <v>19</v>
      </c>
      <c r="AV145" s="39">
        <f>_xll.DBRW($C$2,$AV$1,AV$2,$D$18,$D$3,$D145,$E145,$F145,AV$3)</f>
        <v>0</v>
      </c>
      <c r="AW145" s="25" cm="1">
        <f t="array" ref="AW145">_xll.DBRW($E$2,AV$1,AV$2,$D$18,$D$3,$D145,$E145,$F145,$F$3,AW$3)</f>
        <v>0</v>
      </c>
      <c r="AX145" s="25">
        <f>_xll.DBRW($C$2,$AV$1,AV$2,$D$18,$D$3,$D145,$E145,$F145,AX$3)</f>
        <v>0</v>
      </c>
      <c r="AY145" s="64">
        <f>_xll.DBRW($C$2,$AV$1,AV$2,$D$18,$D$3,$D145,$E145,$F145,AY$3)</f>
        <v>0</v>
      </c>
      <c r="AZ145" s="58">
        <f>_xll.DBRW($C$2,$AV$1,AV$2,$D$18,$D$3,$D145,$E145,$F145,AZ$3)</f>
        <v>0</v>
      </c>
      <c r="BA145" s="48">
        <f t="shared" si="42"/>
        <v>19</v>
      </c>
      <c r="BB145" s="39">
        <f>_xll.DBRW($C$2,$BB$1,BB$2,$D$18,$D$3,$D145,$E145,$F145,BB$3)</f>
        <v>0</v>
      </c>
      <c r="BC145" s="25" cm="1">
        <f t="array" ref="BC145">_xll.DBRW($E$2,BB$1,BB$2,$D$18,$D$3,$D145,$E145,$F145,$F$3,BC$3)</f>
        <v>0</v>
      </c>
      <c r="BD145" s="25">
        <f>_xll.DBRW($C$2,$BB$1,BB$2,$D$18,$D$3,$D145,$E145,$F145,BD$3)</f>
        <v>0</v>
      </c>
      <c r="BE145" s="64">
        <f>_xll.DBRW($C$2,$BB$1,BB$2,$D$18,$D$3,$D145,$E145,$F145,BE$3)</f>
        <v>0</v>
      </c>
      <c r="BF145" s="58">
        <f>_xll.DBRW($C$2,$BB$1,BB$2,$D$18,$D$3,$D145,$E145,$F145,BF$3)</f>
        <v>0</v>
      </c>
      <c r="BG145" s="48">
        <f t="shared" si="43"/>
        <v>19</v>
      </c>
      <c r="BH145" s="39">
        <f>_xll.DBRW($C$2,$BH$1,BH$2,$D$18,$D$3,$D145,$E145,$F145,BH$3)</f>
        <v>0</v>
      </c>
      <c r="BI145" s="25" cm="1">
        <f t="array" ref="BI145">_xll.DBRW($E$2,BH$1,BH$2,$D$18,$D$3,$D145,$E145,$F145,$F$3,BI$3)</f>
        <v>0</v>
      </c>
      <c r="BJ145" s="25">
        <f>_xll.DBRW($C$2,$BH$1,BH$2,$D$18,$D$3,$D145,$E145,$F145,BJ$3)</f>
        <v>0</v>
      </c>
      <c r="BK145" s="64">
        <f>_xll.DBRW($C$2,$BH$1,BH$2,$D$18,$D$3,$D145,$E145,$F145,BK$3)</f>
        <v>0</v>
      </c>
      <c r="BL145" s="58">
        <f>_xll.DBRW($C$2,$BH$1,BH$2,$D$18,$D$3,$D145,$E145,$F145,BL$3)</f>
        <v>0</v>
      </c>
      <c r="BM145" s="48">
        <f t="shared" si="44"/>
        <v>19</v>
      </c>
      <c r="BN145" s="39">
        <f>_xll.DBRW($C$2,$BN$1,BN$2,$D$18,$D$3,$D145,$E145,$F145,BN$3)</f>
        <v>0</v>
      </c>
      <c r="BO145" s="25" cm="1">
        <f t="array" ref="BO145">_xll.DBRW($E$2,BN$1,BN$2,$D$18,$D$3,$D145,$E145,$F145,$F$3,BO$3)</f>
        <v>0</v>
      </c>
      <c r="BP145" s="25">
        <f>_xll.DBRW($C$2,$BN$1,BN$2,$D$18,$D$3,$D145,$E145,$F145,BP$3)</f>
        <v>0</v>
      </c>
      <c r="BQ145" s="64">
        <f>_xll.DBRW($C$2,$BN$1,BN$2,$D$18,$D$3,$D145,$E145,$F145,BQ$3)</f>
        <v>0</v>
      </c>
      <c r="BR145" s="58">
        <f>_xll.DBRW($C$2,$BN$1,BN$2,$D$18,$D$3,$D145,$E145,$F145,BR$3)</f>
        <v>0</v>
      </c>
      <c r="BS145" s="48">
        <f t="shared" si="45"/>
        <v>19</v>
      </c>
      <c r="BT145" s="39">
        <f>_xll.DBRW($C$2,$BT$1,BT$2,$D$18,$D$3,$D145,$E145,$F145,BT$3)</f>
        <v>0</v>
      </c>
      <c r="BU145" s="25" cm="1">
        <f t="array" ref="BU145">_xll.DBRW($E$2,BT$1,BT$2,$D$18,$D$3,$D145,$E145,$F145,$F$3,BU$3)</f>
        <v>0</v>
      </c>
      <c r="BV145" s="25">
        <f>_xll.DBRW($C$2,$BT$1,BT$2,$D$18,$D$3,$D145,$E145,$F145,BV$3)</f>
        <v>0</v>
      </c>
      <c r="BW145" s="64">
        <f>_xll.DBRW($C$2,$BT$1,BT$2,$D$18,$D$3,$D145,$E145,$F145,BW$3)</f>
        <v>0</v>
      </c>
      <c r="BX145" s="58">
        <f>_xll.DBRW($C$2,$BT$1,BT$2,$D$18,$D$3,$D145,$E145,$F145,BX$3)</f>
        <v>0</v>
      </c>
      <c r="BY145" s="48">
        <f t="shared" si="46"/>
        <v>19</v>
      </c>
      <c r="BZ145" s="39">
        <f>_xll.DBRW($C$2,$BZ$1,BZ$2,$D$18,$D$3,$D145,$E145,$F145,BZ$3)</f>
        <v>0</v>
      </c>
      <c r="CA145" s="25" cm="1">
        <f t="array" ref="CA145">_xll.DBRW($E$2,BZ$1,BZ$2,$D$18,$D$3,$D145,$E145,$F145,$F$3,CA$3)</f>
        <v>0</v>
      </c>
      <c r="CB145" s="25">
        <f>_xll.DBRW($C$2,$BZ$1,BZ$2,$D$18,$D$3,$D145,$E145,$F145,CB$3)</f>
        <v>0</v>
      </c>
      <c r="CC145" s="64">
        <f>_xll.DBRW($C$2,$BZ$1,BZ$2,$D$18,$D$3,$D145,$E145,$F145,CC$3)</f>
        <v>0</v>
      </c>
      <c r="CD145" s="58">
        <f>_xll.DBRW($C$2,$BZ$1,BZ$2,$D$18,$D$3,$D145,$E145,$F145,CD$3)</f>
        <v>0</v>
      </c>
      <c r="CE145" s="48">
        <f t="shared" si="47"/>
        <v>19</v>
      </c>
    </row>
    <row r="146" spans="1:83" s="23" customFormat="1" outlineLevel="1" thickBot="1" x14ac:dyDescent="0.3">
      <c r="A146" s="91" t="str">
        <f>IF(_xll.TM1RPTELISCONSOLIDATED($F$22,$F146),IF(_xll.TM1RPTELLEV($F$22,$F146)&lt;=5,_xll.TM1RPTELLEV($F$22,$F146),"Default"),"Leaf")</f>
        <v>Leaf</v>
      </c>
      <c r="B146" s="24" t="str">
        <f>_xll.DBRW("TM1-S1_DEV:}ElementAttributes_SP_SKU",$D146,B$1)</f>
        <v>Primary</v>
      </c>
      <c r="C146" s="24" t="str">
        <f>_xll.DBRW("TM1-S1_DEV:}ElementAttributes_SP_SKU",$D146,C$1)</f>
        <v>BOX</v>
      </c>
      <c r="D146" s="28" t="s">
        <v>503</v>
      </c>
      <c r="E146" s="28" t="s">
        <v>279</v>
      </c>
      <c r="F146" s="28" t="s">
        <v>27</v>
      </c>
      <c r="G146" s="4">
        <f>_xll.DBRW($C$2,$G$19,G$20,$D$18,$D$3,$D146,$E146,$F146,G$3)</f>
        <v>24</v>
      </c>
      <c r="H146" s="54">
        <f t="shared" si="36"/>
        <v>2</v>
      </c>
      <c r="I146" s="4"/>
      <c r="J146" s="25">
        <f>_xll.DBRW($C$2,$J$1,J$2,$D$18,$D$3,$D146,$E146,$F146,J$3)</f>
        <v>26</v>
      </c>
      <c r="K146" s="39">
        <f>_xll.DBRW($C$2,$J$1,J$2,$D$18,$D$3,$D146,$E146,$F146,K$3)</f>
        <v>0</v>
      </c>
      <c r="L146" s="25">
        <f>_xll.DBRW($C$2,$J$1,J$2,$D$18,$D$3,$D146,$E146,$F146,L$3)</f>
        <v>0</v>
      </c>
      <c r="M146" s="25">
        <f>_xll.DBRW($C$2,$J$1,J$2,$D$18,$D$3,$D146,$E146,$F146,M$3)</f>
        <v>0</v>
      </c>
      <c r="N146" s="25">
        <f>_xll.DBRW($C$2,$J$1,J$2,$D$18,$D$3,$D146,$E146,$F146,N$3)</f>
        <v>0</v>
      </c>
      <c r="O146" s="64">
        <f>_xll.DBRW($C$2,$J$1,J$2,$D$18,$D$3,$D146,$E146,$F146,O$3)</f>
        <v>0</v>
      </c>
      <c r="P146" s="58">
        <f>_xll.DBRW($C$2,$J$1,J$2,$D$18,$D$3,$D146,$E146,$F146,P$3)</f>
        <v>0</v>
      </c>
      <c r="Q146" s="48">
        <f>_xll.DBRW($C$2,$J$1,J$2,$D$18,$D$3,$D146,$E146,$F146,Q$3)</f>
        <v>26</v>
      </c>
      <c r="R146" s="39">
        <f>_xll.DBRW($C$2,$R$1,R$2,$D$18,$D$3,$D146,$E146,$F146,R$3)</f>
        <v>0</v>
      </c>
      <c r="S146" s="25" cm="1">
        <f t="array" ref="S146">_xll.DBRW($E$2,R$1,R$2,$D$18,$D$3,$D146,$E146,$F146,$F$3,S$3)</f>
        <v>0</v>
      </c>
      <c r="T146" s="25">
        <f>_xll.DBRW($C$2,$R$1,R$2,$D$18,$D$3,$D146,$E146,$F146,T$3)</f>
        <v>0</v>
      </c>
      <c r="U146" s="64">
        <f>_xll.DBRW($C$2,$R$1,R$2,$D$18,$D$3,$D146,$E146,$F146,U$3)</f>
        <v>0</v>
      </c>
      <c r="V146" s="58">
        <f>_xll.DBRW($C$2,$R$1,R$2,$D$18,$D$3,$D146,$E146,$F146,V$3)</f>
        <v>0</v>
      </c>
      <c r="W146" s="48">
        <f t="shared" si="37"/>
        <v>26</v>
      </c>
      <c r="X146" s="39">
        <f>_xll.DBRW($C$2,$X$1,X$2,$D$18,$D$3,$D146,$E146,$F146,X$3)</f>
        <v>0</v>
      </c>
      <c r="Y146" s="25" cm="1">
        <f t="array" ref="Y146">_xll.DBRW($E$2,X$1,X$2,$D$18,$D$3,$D146,$E146,$F146,$F$3,Y$3)</f>
        <v>0</v>
      </c>
      <c r="Z146" s="25">
        <f>_xll.DBRW($C$2,$X$1,X$2,$D$18,$D$3,$D146,$E146,$F146,Z$3)</f>
        <v>0</v>
      </c>
      <c r="AA146" s="64">
        <f>_xll.DBRW($C$2,$X$1,X$2,$D$18,$D$3,$D146,$E146,$F146,AA$3)</f>
        <v>0</v>
      </c>
      <c r="AB146" s="58">
        <f>_xll.DBRW($C$2,$X$1,X$2,$D$18,$D$3,$D146,$E146,$F146,AB$3)</f>
        <v>0</v>
      </c>
      <c r="AC146" s="48">
        <f t="shared" si="38"/>
        <v>26</v>
      </c>
      <c r="AD146" s="39">
        <f>_xll.DBRW($C$2,$AD$1,AD$2,$D$18,$D$3,$D146,$E146,$F146,AD$3)</f>
        <v>0</v>
      </c>
      <c r="AE146" s="25" cm="1">
        <f t="array" ref="AE146">_xll.DBRW($E$2,AD$1,AD$2,$D$18,$D$3,$D146,$E146,$F146,$F$3,AE$3)</f>
        <v>0</v>
      </c>
      <c r="AF146" s="25">
        <f>_xll.DBRW($C$2,$AD$1,AD$2,$D$18,$D$3,$D146,$E146,$F146,AF$3)</f>
        <v>0</v>
      </c>
      <c r="AG146" s="64">
        <f>_xll.DBRW($C$2,$AD$1,AD$2,$D$18,$D$3,$D146,$E146,$F146,AG$3)</f>
        <v>0</v>
      </c>
      <c r="AH146" s="58">
        <f>_xll.DBRW($C$2,$AD$1,AD$2,$D$18,$D$3,$D146,$E146,$F146,AH$3)</f>
        <v>0</v>
      </c>
      <c r="AI146" s="48">
        <f t="shared" si="39"/>
        <v>26</v>
      </c>
      <c r="AJ146" s="39">
        <f>_xll.DBRW($C$2,$AJ$1,AJ$2,$D$18,$D$3,$D146,$E146,$F146,AJ$3)</f>
        <v>0</v>
      </c>
      <c r="AK146" s="25" cm="1">
        <f t="array" ref="AK146">_xll.DBRW($E$2,AJ$1,AJ$2,$D$18,$D$3,$D146,$E146,$F146,$F$3,AK$3)</f>
        <v>0</v>
      </c>
      <c r="AL146" s="25">
        <f>_xll.DBRW($C$2,$AJ$1,AJ$2,$D$18,$D$3,$D146,$E146,$F146,AL$3)</f>
        <v>0</v>
      </c>
      <c r="AM146" s="64">
        <f>_xll.DBRW($C$2,$AJ$1,AJ$2,$D$18,$D$3,$D146,$E146,$F146,AM$3)</f>
        <v>0</v>
      </c>
      <c r="AN146" s="58">
        <f>_xll.DBRW($C$2,$AJ$1,AJ$2,$D$18,$D$3,$D146,$E146,$F146,AN$3)</f>
        <v>0</v>
      </c>
      <c r="AO146" s="48">
        <f t="shared" si="40"/>
        <v>26</v>
      </c>
      <c r="AP146" s="39">
        <f>_xll.DBRW($C$2,$AP$1,AP$2,$D$18,$D$3,$D146,$E146,$F146,AP$3)</f>
        <v>0</v>
      </c>
      <c r="AQ146" s="25" cm="1">
        <f t="array" ref="AQ146">_xll.DBRW($E$2,AP$1,AP$2,$D$18,$D$3,$D146,$E146,$F146,$F$3,AQ$3)</f>
        <v>0</v>
      </c>
      <c r="AR146" s="25">
        <f>_xll.DBRW($C$2,$AP$1,AP$2,$D$18,$D$3,$D146,$E146,$F146,AR$3)</f>
        <v>0</v>
      </c>
      <c r="AS146" s="64">
        <f>_xll.DBRW($C$2,$AP$1,AP$2,$D$18,$D$3,$D146,$E146,$F146,AS$3)</f>
        <v>0</v>
      </c>
      <c r="AT146" s="58">
        <f>_xll.DBRW($C$2,$AP$1,AP$2,$D$18,$D$3,$D146,$E146,$F146,AT$3)</f>
        <v>0</v>
      </c>
      <c r="AU146" s="48">
        <f t="shared" si="41"/>
        <v>26</v>
      </c>
      <c r="AV146" s="39">
        <f>_xll.DBRW($C$2,$AV$1,AV$2,$D$18,$D$3,$D146,$E146,$F146,AV$3)</f>
        <v>0</v>
      </c>
      <c r="AW146" s="25" cm="1">
        <f t="array" ref="AW146">_xll.DBRW($E$2,AV$1,AV$2,$D$18,$D$3,$D146,$E146,$F146,$F$3,AW$3)</f>
        <v>0</v>
      </c>
      <c r="AX146" s="25">
        <f>_xll.DBRW($C$2,$AV$1,AV$2,$D$18,$D$3,$D146,$E146,$F146,AX$3)</f>
        <v>0</v>
      </c>
      <c r="AY146" s="64">
        <f>_xll.DBRW($C$2,$AV$1,AV$2,$D$18,$D$3,$D146,$E146,$F146,AY$3)</f>
        <v>0</v>
      </c>
      <c r="AZ146" s="58">
        <f>_xll.DBRW($C$2,$AV$1,AV$2,$D$18,$D$3,$D146,$E146,$F146,AZ$3)</f>
        <v>0</v>
      </c>
      <c r="BA146" s="48">
        <f t="shared" si="42"/>
        <v>26</v>
      </c>
      <c r="BB146" s="39">
        <f>_xll.DBRW($C$2,$BB$1,BB$2,$D$18,$D$3,$D146,$E146,$F146,BB$3)</f>
        <v>0</v>
      </c>
      <c r="BC146" s="25" cm="1">
        <f t="array" ref="BC146">_xll.DBRW($E$2,BB$1,BB$2,$D$18,$D$3,$D146,$E146,$F146,$F$3,BC$3)</f>
        <v>0</v>
      </c>
      <c r="BD146" s="25">
        <f>_xll.DBRW($C$2,$BB$1,BB$2,$D$18,$D$3,$D146,$E146,$F146,BD$3)</f>
        <v>0</v>
      </c>
      <c r="BE146" s="64">
        <f>_xll.DBRW($C$2,$BB$1,BB$2,$D$18,$D$3,$D146,$E146,$F146,BE$3)</f>
        <v>0</v>
      </c>
      <c r="BF146" s="58">
        <f>_xll.DBRW($C$2,$BB$1,BB$2,$D$18,$D$3,$D146,$E146,$F146,BF$3)</f>
        <v>0</v>
      </c>
      <c r="BG146" s="48">
        <f t="shared" si="43"/>
        <v>26</v>
      </c>
      <c r="BH146" s="39">
        <f>_xll.DBRW($C$2,$BH$1,BH$2,$D$18,$D$3,$D146,$E146,$F146,BH$3)</f>
        <v>0</v>
      </c>
      <c r="BI146" s="25" cm="1">
        <f t="array" ref="BI146">_xll.DBRW($E$2,BH$1,BH$2,$D$18,$D$3,$D146,$E146,$F146,$F$3,BI$3)</f>
        <v>0</v>
      </c>
      <c r="BJ146" s="25">
        <f>_xll.DBRW($C$2,$BH$1,BH$2,$D$18,$D$3,$D146,$E146,$F146,BJ$3)</f>
        <v>0</v>
      </c>
      <c r="BK146" s="64">
        <f>_xll.DBRW($C$2,$BH$1,BH$2,$D$18,$D$3,$D146,$E146,$F146,BK$3)</f>
        <v>0</v>
      </c>
      <c r="BL146" s="58">
        <f>_xll.DBRW($C$2,$BH$1,BH$2,$D$18,$D$3,$D146,$E146,$F146,BL$3)</f>
        <v>0</v>
      </c>
      <c r="BM146" s="48">
        <f t="shared" si="44"/>
        <v>26</v>
      </c>
      <c r="BN146" s="39">
        <f>_xll.DBRW($C$2,$BN$1,BN$2,$D$18,$D$3,$D146,$E146,$F146,BN$3)</f>
        <v>0</v>
      </c>
      <c r="BO146" s="25" cm="1">
        <f t="array" ref="BO146">_xll.DBRW($E$2,BN$1,BN$2,$D$18,$D$3,$D146,$E146,$F146,$F$3,BO$3)</f>
        <v>0</v>
      </c>
      <c r="BP146" s="25">
        <f>_xll.DBRW($C$2,$BN$1,BN$2,$D$18,$D$3,$D146,$E146,$F146,BP$3)</f>
        <v>0</v>
      </c>
      <c r="BQ146" s="64">
        <f>_xll.DBRW($C$2,$BN$1,BN$2,$D$18,$D$3,$D146,$E146,$F146,BQ$3)</f>
        <v>0</v>
      </c>
      <c r="BR146" s="58">
        <f>_xll.DBRW($C$2,$BN$1,BN$2,$D$18,$D$3,$D146,$E146,$F146,BR$3)</f>
        <v>0</v>
      </c>
      <c r="BS146" s="48">
        <f t="shared" si="45"/>
        <v>26</v>
      </c>
      <c r="BT146" s="39">
        <f>_xll.DBRW($C$2,$BT$1,BT$2,$D$18,$D$3,$D146,$E146,$F146,BT$3)</f>
        <v>0</v>
      </c>
      <c r="BU146" s="25" cm="1">
        <f t="array" ref="BU146">_xll.DBRW($E$2,BT$1,BT$2,$D$18,$D$3,$D146,$E146,$F146,$F$3,BU$3)</f>
        <v>0</v>
      </c>
      <c r="BV146" s="25">
        <f>_xll.DBRW($C$2,$BT$1,BT$2,$D$18,$D$3,$D146,$E146,$F146,BV$3)</f>
        <v>0</v>
      </c>
      <c r="BW146" s="64">
        <f>_xll.DBRW($C$2,$BT$1,BT$2,$D$18,$D$3,$D146,$E146,$F146,BW$3)</f>
        <v>0</v>
      </c>
      <c r="BX146" s="58">
        <f>_xll.DBRW($C$2,$BT$1,BT$2,$D$18,$D$3,$D146,$E146,$F146,BX$3)</f>
        <v>0</v>
      </c>
      <c r="BY146" s="48">
        <f t="shared" si="46"/>
        <v>26</v>
      </c>
      <c r="BZ146" s="39">
        <f>_xll.DBRW($C$2,$BZ$1,BZ$2,$D$18,$D$3,$D146,$E146,$F146,BZ$3)</f>
        <v>0</v>
      </c>
      <c r="CA146" s="25" cm="1">
        <f t="array" ref="CA146">_xll.DBRW($E$2,BZ$1,BZ$2,$D$18,$D$3,$D146,$E146,$F146,$F$3,CA$3)</f>
        <v>0</v>
      </c>
      <c r="CB146" s="25">
        <f>_xll.DBRW($C$2,$BZ$1,BZ$2,$D$18,$D$3,$D146,$E146,$F146,CB$3)</f>
        <v>0</v>
      </c>
      <c r="CC146" s="64">
        <f>_xll.DBRW($C$2,$BZ$1,BZ$2,$D$18,$D$3,$D146,$E146,$F146,CC$3)</f>
        <v>0</v>
      </c>
      <c r="CD146" s="58">
        <f>_xll.DBRW($C$2,$BZ$1,BZ$2,$D$18,$D$3,$D146,$E146,$F146,CD$3)</f>
        <v>0</v>
      </c>
      <c r="CE146" s="48">
        <f t="shared" si="47"/>
        <v>26</v>
      </c>
    </row>
    <row r="147" spans="1:83" s="23" customFormat="1" outlineLevel="1" thickBot="1" x14ac:dyDescent="0.3">
      <c r="A147" s="91" t="str">
        <f>IF(_xll.TM1RPTELISCONSOLIDATED($F$22,$F147),IF(_xll.TM1RPTELLEV($F$22,$F147)&lt;=5,_xll.TM1RPTELLEV($F$22,$F147),"Default"),"Leaf")</f>
        <v>Leaf</v>
      </c>
      <c r="B147" s="24" t="str">
        <f>_xll.DBRW("TM1-S1_DEV:}ElementAttributes_SP_SKU",$D147,B$1)</f>
        <v>Primary</v>
      </c>
      <c r="C147" s="24" t="str">
        <f>_xll.DBRW("TM1-S1_DEV:}ElementAttributes_SP_SKU",$D147,C$1)</f>
        <v>BOWL</v>
      </c>
      <c r="D147" s="28" t="s">
        <v>504</v>
      </c>
      <c r="E147" s="28" t="s">
        <v>280</v>
      </c>
      <c r="F147" s="28" t="s">
        <v>30</v>
      </c>
      <c r="G147" s="4">
        <f>_xll.DBRW($C$2,$G$19,G$20,$D$18,$D$3,$D147,$E147,$F147,G$3)</f>
        <v>8</v>
      </c>
      <c r="H147" s="54">
        <f t="shared" si="36"/>
        <v>0</v>
      </c>
      <c r="I147" s="4"/>
      <c r="J147" s="25">
        <f>_xll.DBRW($C$2,$J$1,J$2,$D$18,$D$3,$D147,$E147,$F147,J$3)</f>
        <v>8</v>
      </c>
      <c r="K147" s="39">
        <f>_xll.DBRW($C$2,$J$1,J$2,$D$18,$D$3,$D147,$E147,$F147,K$3)</f>
        <v>0</v>
      </c>
      <c r="L147" s="25">
        <f>_xll.DBRW($C$2,$J$1,J$2,$D$18,$D$3,$D147,$E147,$F147,L$3)</f>
        <v>0</v>
      </c>
      <c r="M147" s="25">
        <f>_xll.DBRW($C$2,$J$1,J$2,$D$18,$D$3,$D147,$E147,$F147,M$3)</f>
        <v>0</v>
      </c>
      <c r="N147" s="25">
        <f>_xll.DBRW($C$2,$J$1,J$2,$D$18,$D$3,$D147,$E147,$F147,N$3)</f>
        <v>0</v>
      </c>
      <c r="O147" s="64">
        <f>_xll.DBRW($C$2,$J$1,J$2,$D$18,$D$3,$D147,$E147,$F147,O$3)</f>
        <v>0</v>
      </c>
      <c r="P147" s="58">
        <f>_xll.DBRW($C$2,$J$1,J$2,$D$18,$D$3,$D147,$E147,$F147,P$3)</f>
        <v>0</v>
      </c>
      <c r="Q147" s="48">
        <f>_xll.DBRW($C$2,$J$1,J$2,$D$18,$D$3,$D147,$E147,$F147,Q$3)</f>
        <v>8</v>
      </c>
      <c r="R147" s="39">
        <f>_xll.DBRW($C$2,$R$1,R$2,$D$18,$D$3,$D147,$E147,$F147,R$3)</f>
        <v>0</v>
      </c>
      <c r="S147" s="25" cm="1">
        <f t="array" ref="S147">_xll.DBRW($E$2,R$1,R$2,$D$18,$D$3,$D147,$E147,$F147,$F$3,S$3)</f>
        <v>0</v>
      </c>
      <c r="T147" s="25">
        <f>_xll.DBRW($C$2,$R$1,R$2,$D$18,$D$3,$D147,$E147,$F147,T$3)</f>
        <v>0</v>
      </c>
      <c r="U147" s="64">
        <f>_xll.DBRW($C$2,$R$1,R$2,$D$18,$D$3,$D147,$E147,$F147,U$3)</f>
        <v>0</v>
      </c>
      <c r="V147" s="58">
        <f>_xll.DBRW($C$2,$R$1,R$2,$D$18,$D$3,$D147,$E147,$F147,V$3)</f>
        <v>0</v>
      </c>
      <c r="W147" s="48">
        <f t="shared" si="37"/>
        <v>8</v>
      </c>
      <c r="X147" s="39">
        <f>_xll.DBRW($C$2,$X$1,X$2,$D$18,$D$3,$D147,$E147,$F147,X$3)</f>
        <v>0</v>
      </c>
      <c r="Y147" s="25" cm="1">
        <f t="array" ref="Y147">_xll.DBRW($E$2,X$1,X$2,$D$18,$D$3,$D147,$E147,$F147,$F$3,Y$3)</f>
        <v>0</v>
      </c>
      <c r="Z147" s="25">
        <f>_xll.DBRW($C$2,$X$1,X$2,$D$18,$D$3,$D147,$E147,$F147,Z$3)</f>
        <v>1</v>
      </c>
      <c r="AA147" s="64">
        <f>_xll.DBRW($C$2,$X$1,X$2,$D$18,$D$3,$D147,$E147,$F147,AA$3)</f>
        <v>1</v>
      </c>
      <c r="AB147" s="58">
        <f>_xll.DBRW($C$2,$X$1,X$2,$D$18,$D$3,$D147,$E147,$F147,AB$3)</f>
        <v>0</v>
      </c>
      <c r="AC147" s="48">
        <f t="shared" si="38"/>
        <v>7</v>
      </c>
      <c r="AD147" s="39">
        <f>_xll.DBRW($C$2,$AD$1,AD$2,$D$18,$D$3,$D147,$E147,$F147,AD$3)</f>
        <v>0</v>
      </c>
      <c r="AE147" s="25" cm="1">
        <f t="array" ref="AE147">_xll.DBRW($E$2,AD$1,AD$2,$D$18,$D$3,$D147,$E147,$F147,$F$3,AE$3)</f>
        <v>0</v>
      </c>
      <c r="AF147" s="25">
        <f>_xll.DBRW($C$2,$AD$1,AD$2,$D$18,$D$3,$D147,$E147,$F147,AF$3)</f>
        <v>1</v>
      </c>
      <c r="AG147" s="64">
        <f>_xll.DBRW($C$2,$AD$1,AD$2,$D$18,$D$3,$D147,$E147,$F147,AG$3)</f>
        <v>0</v>
      </c>
      <c r="AH147" s="58">
        <f>_xll.DBRW($C$2,$AD$1,AD$2,$D$18,$D$3,$D147,$E147,$F147,AH$3)</f>
        <v>0</v>
      </c>
      <c r="AI147" s="48">
        <f t="shared" si="39"/>
        <v>6</v>
      </c>
      <c r="AJ147" s="39">
        <f>_xll.DBRW($C$2,$AJ$1,AJ$2,$D$18,$D$3,$D147,$E147,$F147,AJ$3)</f>
        <v>0</v>
      </c>
      <c r="AK147" s="25" cm="1">
        <f t="array" ref="AK147">_xll.DBRW($E$2,AJ$1,AJ$2,$D$18,$D$3,$D147,$E147,$F147,$F$3,AK$3)</f>
        <v>0</v>
      </c>
      <c r="AL147" s="25">
        <f>_xll.DBRW($C$2,$AJ$1,AJ$2,$D$18,$D$3,$D147,$E147,$F147,AL$3)</f>
        <v>1</v>
      </c>
      <c r="AM147" s="64">
        <f>_xll.DBRW($C$2,$AJ$1,AJ$2,$D$18,$D$3,$D147,$E147,$F147,AM$3)</f>
        <v>1</v>
      </c>
      <c r="AN147" s="58">
        <f>_xll.DBRW($C$2,$AJ$1,AJ$2,$D$18,$D$3,$D147,$E147,$F147,AN$3)</f>
        <v>0</v>
      </c>
      <c r="AO147" s="48">
        <f t="shared" si="40"/>
        <v>5</v>
      </c>
      <c r="AP147" s="39">
        <f>_xll.DBRW($C$2,$AP$1,AP$2,$D$18,$D$3,$D147,$E147,$F147,AP$3)</f>
        <v>0</v>
      </c>
      <c r="AQ147" s="25" cm="1">
        <f t="array" ref="AQ147">_xll.DBRW($E$2,AP$1,AP$2,$D$18,$D$3,$D147,$E147,$F147,$F$3,AQ$3)</f>
        <v>0</v>
      </c>
      <c r="AR147" s="25">
        <f>_xll.DBRW($C$2,$AP$1,AP$2,$D$18,$D$3,$D147,$E147,$F147,AR$3)</f>
        <v>1</v>
      </c>
      <c r="AS147" s="64">
        <f>_xll.DBRW($C$2,$AP$1,AP$2,$D$18,$D$3,$D147,$E147,$F147,AS$3)</f>
        <v>0</v>
      </c>
      <c r="AT147" s="58">
        <f>_xll.DBRW($C$2,$AP$1,AP$2,$D$18,$D$3,$D147,$E147,$F147,AT$3)</f>
        <v>0</v>
      </c>
      <c r="AU147" s="48">
        <f t="shared" si="41"/>
        <v>4</v>
      </c>
      <c r="AV147" s="39">
        <f>_xll.DBRW($C$2,$AV$1,AV$2,$D$18,$D$3,$D147,$E147,$F147,AV$3)</f>
        <v>0</v>
      </c>
      <c r="AW147" s="25" cm="1">
        <f t="array" ref="AW147">_xll.DBRW($E$2,AV$1,AV$2,$D$18,$D$3,$D147,$E147,$F147,$F$3,AW$3)</f>
        <v>0</v>
      </c>
      <c r="AX147" s="25">
        <f>_xll.DBRW($C$2,$AV$1,AV$2,$D$18,$D$3,$D147,$E147,$F147,AX$3)</f>
        <v>1</v>
      </c>
      <c r="AY147" s="64">
        <f>_xll.DBRW($C$2,$AV$1,AV$2,$D$18,$D$3,$D147,$E147,$F147,AY$3)</f>
        <v>0</v>
      </c>
      <c r="AZ147" s="58">
        <f>_xll.DBRW($C$2,$AV$1,AV$2,$D$18,$D$3,$D147,$E147,$F147,AZ$3)</f>
        <v>0</v>
      </c>
      <c r="BA147" s="48">
        <f t="shared" si="42"/>
        <v>3</v>
      </c>
      <c r="BB147" s="39">
        <f>_xll.DBRW($C$2,$BB$1,BB$2,$D$18,$D$3,$D147,$E147,$F147,BB$3)</f>
        <v>0</v>
      </c>
      <c r="BC147" s="25" cm="1">
        <f t="array" ref="BC147">_xll.DBRW($E$2,BB$1,BB$2,$D$18,$D$3,$D147,$E147,$F147,$F$3,BC$3)</f>
        <v>0</v>
      </c>
      <c r="BD147" s="25">
        <f>_xll.DBRW($C$2,$BB$1,BB$2,$D$18,$D$3,$D147,$E147,$F147,BD$3)</f>
        <v>1</v>
      </c>
      <c r="BE147" s="64">
        <f>_xll.DBRW($C$2,$BB$1,BB$2,$D$18,$D$3,$D147,$E147,$F147,BE$3)</f>
        <v>1</v>
      </c>
      <c r="BF147" s="58">
        <f>_xll.DBRW($C$2,$BB$1,BB$2,$D$18,$D$3,$D147,$E147,$F147,BF$3)</f>
        <v>0</v>
      </c>
      <c r="BG147" s="48">
        <f t="shared" si="43"/>
        <v>2</v>
      </c>
      <c r="BH147" s="39">
        <f>_xll.DBRW($C$2,$BH$1,BH$2,$D$18,$D$3,$D147,$E147,$F147,BH$3)</f>
        <v>0</v>
      </c>
      <c r="BI147" s="25" cm="1">
        <f t="array" ref="BI147">_xll.DBRW($E$2,BH$1,BH$2,$D$18,$D$3,$D147,$E147,$F147,$F$3,BI$3)</f>
        <v>0</v>
      </c>
      <c r="BJ147" s="25">
        <f>_xll.DBRW($C$2,$BH$1,BH$2,$D$18,$D$3,$D147,$E147,$F147,BJ$3)</f>
        <v>1</v>
      </c>
      <c r="BK147" s="64">
        <f>_xll.DBRW($C$2,$BH$1,BH$2,$D$18,$D$3,$D147,$E147,$F147,BK$3)</f>
        <v>0</v>
      </c>
      <c r="BL147" s="58">
        <f>_xll.DBRW($C$2,$BH$1,BH$2,$D$18,$D$3,$D147,$E147,$F147,BL$3)</f>
        <v>0</v>
      </c>
      <c r="BM147" s="48">
        <f t="shared" si="44"/>
        <v>1</v>
      </c>
      <c r="BN147" s="39">
        <f>_xll.DBRW($C$2,$BN$1,BN$2,$D$18,$D$3,$D147,$E147,$F147,BN$3)</f>
        <v>0</v>
      </c>
      <c r="BO147" s="25" cm="1">
        <f t="array" ref="BO147">_xll.DBRW($E$2,BN$1,BN$2,$D$18,$D$3,$D147,$E147,$F147,$F$3,BO$3)</f>
        <v>0</v>
      </c>
      <c r="BP147" s="25">
        <f>_xll.DBRW($C$2,$BN$1,BN$2,$D$18,$D$3,$D147,$E147,$F147,BP$3)</f>
        <v>1</v>
      </c>
      <c r="BQ147" s="64">
        <f>_xll.DBRW($C$2,$BN$1,BN$2,$D$18,$D$3,$D147,$E147,$F147,BQ$3)</f>
        <v>0</v>
      </c>
      <c r="BR147" s="58">
        <f>_xll.DBRW($C$2,$BN$1,BN$2,$D$18,$D$3,$D147,$E147,$F147,BR$3)</f>
        <v>0</v>
      </c>
      <c r="BS147" s="48">
        <f t="shared" si="45"/>
        <v>0</v>
      </c>
      <c r="BT147" s="39">
        <f>_xll.DBRW($C$2,$BT$1,BT$2,$D$18,$D$3,$D147,$E147,$F147,BT$3)</f>
        <v>0</v>
      </c>
      <c r="BU147" s="25" cm="1">
        <f t="array" ref="BU147">_xll.DBRW($E$2,BT$1,BT$2,$D$18,$D$3,$D147,$E147,$F147,$F$3,BU$3)</f>
        <v>0</v>
      </c>
      <c r="BV147" s="25">
        <f>_xll.DBRW($C$2,$BT$1,BT$2,$D$18,$D$3,$D147,$E147,$F147,BV$3)</f>
        <v>1</v>
      </c>
      <c r="BW147" s="64">
        <f>_xll.DBRW($C$2,$BT$1,BT$2,$D$18,$D$3,$D147,$E147,$F147,BW$3)</f>
        <v>0</v>
      </c>
      <c r="BX147" s="58">
        <f>_xll.DBRW($C$2,$BT$1,BT$2,$D$18,$D$3,$D147,$E147,$F147,BX$3)</f>
        <v>0</v>
      </c>
      <c r="BY147" s="48">
        <f t="shared" si="46"/>
        <v>-1</v>
      </c>
      <c r="BZ147" s="39">
        <f>_xll.DBRW($C$2,$BZ$1,BZ$2,$D$18,$D$3,$D147,$E147,$F147,BZ$3)</f>
        <v>0</v>
      </c>
      <c r="CA147" s="25" cm="1">
        <f t="array" ref="CA147">_xll.DBRW($E$2,BZ$1,BZ$2,$D$18,$D$3,$D147,$E147,$F147,$F$3,CA$3)</f>
        <v>0</v>
      </c>
      <c r="CB147" s="25">
        <f>_xll.DBRW($C$2,$BZ$1,BZ$2,$D$18,$D$3,$D147,$E147,$F147,CB$3)</f>
        <v>1</v>
      </c>
      <c r="CC147" s="64">
        <f>_xll.DBRW($C$2,$BZ$1,BZ$2,$D$18,$D$3,$D147,$E147,$F147,CC$3)</f>
        <v>0</v>
      </c>
      <c r="CD147" s="58">
        <f>_xll.DBRW($C$2,$BZ$1,BZ$2,$D$18,$D$3,$D147,$E147,$F147,CD$3)</f>
        <v>0</v>
      </c>
      <c r="CE147" s="48">
        <f t="shared" si="47"/>
        <v>-2</v>
      </c>
    </row>
    <row r="148" spans="1:83" s="23" customFormat="1" outlineLevel="1" thickBot="1" x14ac:dyDescent="0.3">
      <c r="A148" s="91" t="str">
        <f>IF(_xll.TM1RPTELISCONSOLIDATED($F$22,$F148),IF(_xll.TM1RPTELLEV($F$22,$F148)&lt;=5,_xll.TM1RPTELLEV($F$22,$F148),"Default"),"Leaf")</f>
        <v>Leaf</v>
      </c>
      <c r="B148" s="24" t="str">
        <f>_xll.DBRW("TM1-S1_DEV:}ElementAttributes_SP_SKU",$D148,B$1)</f>
        <v>Primary</v>
      </c>
      <c r="C148" s="24" t="str">
        <f>_xll.DBRW("TM1-S1_DEV:}ElementAttributes_SP_SKU",$D148,C$1)</f>
        <v>BAG</v>
      </c>
      <c r="D148" s="28" t="s">
        <v>445</v>
      </c>
      <c r="E148" s="28" t="s">
        <v>281</v>
      </c>
      <c r="F148" s="28" t="s">
        <v>28</v>
      </c>
      <c r="G148" s="4">
        <f>_xll.DBRW($C$2,$G$19,G$20,$D$18,$D$3,$D148,$E148,$F148,G$3)</f>
        <v>14</v>
      </c>
      <c r="H148" s="54">
        <f t="shared" si="36"/>
        <v>2</v>
      </c>
      <c r="I148" s="4"/>
      <c r="J148" s="25">
        <f>_xll.DBRW($C$2,$J$1,J$2,$D$18,$D$3,$D148,$E148,$F148,J$3)</f>
        <v>16</v>
      </c>
      <c r="K148" s="39">
        <f>_xll.DBRW($C$2,$J$1,J$2,$D$18,$D$3,$D148,$E148,$F148,K$3)</f>
        <v>0</v>
      </c>
      <c r="L148" s="25">
        <f>_xll.DBRW($C$2,$J$1,J$2,$D$18,$D$3,$D148,$E148,$F148,L$3)</f>
        <v>0</v>
      </c>
      <c r="M148" s="25">
        <f>_xll.DBRW($C$2,$J$1,J$2,$D$18,$D$3,$D148,$E148,$F148,M$3)</f>
        <v>0</v>
      </c>
      <c r="N148" s="25">
        <f>_xll.DBRW($C$2,$J$1,J$2,$D$18,$D$3,$D148,$E148,$F148,N$3)</f>
        <v>6</v>
      </c>
      <c r="O148" s="64">
        <f>_xll.DBRW($C$2,$J$1,J$2,$D$18,$D$3,$D148,$E148,$F148,O$3)</f>
        <v>1</v>
      </c>
      <c r="P148" s="58">
        <f>_xll.DBRW($C$2,$J$1,J$2,$D$18,$D$3,$D148,$E148,$F148,P$3)</f>
        <v>0</v>
      </c>
      <c r="Q148" s="48">
        <f>_xll.DBRW($C$2,$J$1,J$2,$D$18,$D$3,$D148,$E148,$F148,Q$3)</f>
        <v>10</v>
      </c>
      <c r="R148" s="39">
        <f>_xll.DBRW($C$2,$R$1,R$2,$D$18,$D$3,$D148,$E148,$F148,R$3)</f>
        <v>0</v>
      </c>
      <c r="S148" s="25" cm="1">
        <f t="array" ref="S148">_xll.DBRW($E$2,R$1,R$2,$D$18,$D$3,$D148,$E148,$F148,$F$3,S$3)</f>
        <v>0</v>
      </c>
      <c r="T148" s="25">
        <f>_xll.DBRW($C$2,$R$1,R$2,$D$18,$D$3,$D148,$E148,$F148,T$3)</f>
        <v>0</v>
      </c>
      <c r="U148" s="64">
        <f>_xll.DBRW($C$2,$R$1,R$2,$D$18,$D$3,$D148,$E148,$F148,U$3)</f>
        <v>0</v>
      </c>
      <c r="V148" s="58">
        <f>_xll.DBRW($C$2,$R$1,R$2,$D$18,$D$3,$D148,$E148,$F148,V$3)</f>
        <v>0</v>
      </c>
      <c r="W148" s="48">
        <f t="shared" si="37"/>
        <v>10</v>
      </c>
      <c r="X148" s="39">
        <f>_xll.DBRW($C$2,$X$1,X$2,$D$18,$D$3,$D148,$E148,$F148,X$3)</f>
        <v>0</v>
      </c>
      <c r="Y148" s="25" cm="1">
        <f t="array" ref="Y148">_xll.DBRW($E$2,X$1,X$2,$D$18,$D$3,$D148,$E148,$F148,$F$3,Y$3)</f>
        <v>0</v>
      </c>
      <c r="Z148" s="25">
        <f>_xll.DBRW($C$2,$X$1,X$2,$D$18,$D$3,$D148,$E148,$F148,Z$3)</f>
        <v>2</v>
      </c>
      <c r="AA148" s="64">
        <f>_xll.DBRW($C$2,$X$1,X$2,$D$18,$D$3,$D148,$E148,$F148,AA$3)</f>
        <v>0</v>
      </c>
      <c r="AB148" s="58">
        <f>_xll.DBRW($C$2,$X$1,X$2,$D$18,$D$3,$D148,$E148,$F148,AB$3)</f>
        <v>0</v>
      </c>
      <c r="AC148" s="48">
        <f t="shared" si="38"/>
        <v>8</v>
      </c>
      <c r="AD148" s="39">
        <f>_xll.DBRW($C$2,$AD$1,AD$2,$D$18,$D$3,$D148,$E148,$F148,AD$3)</f>
        <v>0</v>
      </c>
      <c r="AE148" s="25" cm="1">
        <f t="array" ref="AE148">_xll.DBRW($E$2,AD$1,AD$2,$D$18,$D$3,$D148,$E148,$F148,$F$3,AE$3)</f>
        <v>0</v>
      </c>
      <c r="AF148" s="25">
        <f>_xll.DBRW($C$2,$AD$1,AD$2,$D$18,$D$3,$D148,$E148,$F148,AF$3)</f>
        <v>2</v>
      </c>
      <c r="AG148" s="64">
        <f>_xll.DBRW($C$2,$AD$1,AD$2,$D$18,$D$3,$D148,$E148,$F148,AG$3)</f>
        <v>0</v>
      </c>
      <c r="AH148" s="58">
        <f>_xll.DBRW($C$2,$AD$1,AD$2,$D$18,$D$3,$D148,$E148,$F148,AH$3)</f>
        <v>0</v>
      </c>
      <c r="AI148" s="48">
        <f t="shared" si="39"/>
        <v>6</v>
      </c>
      <c r="AJ148" s="39">
        <f>_xll.DBRW($C$2,$AJ$1,AJ$2,$D$18,$D$3,$D148,$E148,$F148,AJ$3)</f>
        <v>0</v>
      </c>
      <c r="AK148" s="25" cm="1">
        <f t="array" ref="AK148">_xll.DBRW($E$2,AJ$1,AJ$2,$D$18,$D$3,$D148,$E148,$F148,$F$3,AK$3)</f>
        <v>0</v>
      </c>
      <c r="AL148" s="25">
        <f>_xll.DBRW($C$2,$AJ$1,AJ$2,$D$18,$D$3,$D148,$E148,$F148,AL$3)</f>
        <v>2</v>
      </c>
      <c r="AM148" s="64">
        <f>_xll.DBRW($C$2,$AJ$1,AJ$2,$D$18,$D$3,$D148,$E148,$F148,AM$3)</f>
        <v>0</v>
      </c>
      <c r="AN148" s="58">
        <f>_xll.DBRW($C$2,$AJ$1,AJ$2,$D$18,$D$3,$D148,$E148,$F148,AN$3)</f>
        <v>0</v>
      </c>
      <c r="AO148" s="48">
        <f t="shared" si="40"/>
        <v>4</v>
      </c>
      <c r="AP148" s="39">
        <f>_xll.DBRW($C$2,$AP$1,AP$2,$D$18,$D$3,$D148,$E148,$F148,AP$3)</f>
        <v>0</v>
      </c>
      <c r="AQ148" s="25" cm="1">
        <f t="array" ref="AQ148">_xll.DBRW($E$2,AP$1,AP$2,$D$18,$D$3,$D148,$E148,$F148,$F$3,AQ$3)</f>
        <v>0</v>
      </c>
      <c r="AR148" s="25">
        <f>_xll.DBRW($C$2,$AP$1,AP$2,$D$18,$D$3,$D148,$E148,$F148,AR$3)</f>
        <v>2</v>
      </c>
      <c r="AS148" s="64">
        <f>_xll.DBRW($C$2,$AP$1,AP$2,$D$18,$D$3,$D148,$E148,$F148,AS$3)</f>
        <v>0</v>
      </c>
      <c r="AT148" s="58">
        <f>_xll.DBRW($C$2,$AP$1,AP$2,$D$18,$D$3,$D148,$E148,$F148,AT$3)</f>
        <v>0</v>
      </c>
      <c r="AU148" s="48">
        <f t="shared" si="41"/>
        <v>2</v>
      </c>
      <c r="AV148" s="39">
        <f>_xll.DBRW($C$2,$AV$1,AV$2,$D$18,$D$3,$D148,$E148,$F148,AV$3)</f>
        <v>0</v>
      </c>
      <c r="AW148" s="25" cm="1">
        <f t="array" ref="AW148">_xll.DBRW($E$2,AV$1,AV$2,$D$18,$D$3,$D148,$E148,$F148,$F$3,AW$3)</f>
        <v>0</v>
      </c>
      <c r="AX148" s="25">
        <f>_xll.DBRW($C$2,$AV$1,AV$2,$D$18,$D$3,$D148,$E148,$F148,AX$3)</f>
        <v>2</v>
      </c>
      <c r="AY148" s="64">
        <f>_xll.DBRW($C$2,$AV$1,AV$2,$D$18,$D$3,$D148,$E148,$F148,AY$3)</f>
        <v>0</v>
      </c>
      <c r="AZ148" s="58">
        <f>_xll.DBRW($C$2,$AV$1,AV$2,$D$18,$D$3,$D148,$E148,$F148,AZ$3)</f>
        <v>0</v>
      </c>
      <c r="BA148" s="48">
        <f t="shared" si="42"/>
        <v>0</v>
      </c>
      <c r="BB148" s="39">
        <f>_xll.DBRW($C$2,$BB$1,BB$2,$D$18,$D$3,$D148,$E148,$F148,BB$3)</f>
        <v>0</v>
      </c>
      <c r="BC148" s="25" cm="1">
        <f t="array" ref="BC148">_xll.DBRW($E$2,BB$1,BB$2,$D$18,$D$3,$D148,$E148,$F148,$F$3,BC$3)</f>
        <v>0</v>
      </c>
      <c r="BD148" s="25">
        <f>_xll.DBRW($C$2,$BB$1,BB$2,$D$18,$D$3,$D148,$E148,$F148,BD$3)</f>
        <v>2</v>
      </c>
      <c r="BE148" s="64">
        <f>_xll.DBRW($C$2,$BB$1,BB$2,$D$18,$D$3,$D148,$E148,$F148,BE$3)</f>
        <v>0</v>
      </c>
      <c r="BF148" s="58">
        <f>_xll.DBRW($C$2,$BB$1,BB$2,$D$18,$D$3,$D148,$E148,$F148,BF$3)</f>
        <v>0</v>
      </c>
      <c r="BG148" s="48">
        <f t="shared" si="43"/>
        <v>-2</v>
      </c>
      <c r="BH148" s="39">
        <f>_xll.DBRW($C$2,$BH$1,BH$2,$D$18,$D$3,$D148,$E148,$F148,BH$3)</f>
        <v>0</v>
      </c>
      <c r="BI148" s="25" cm="1">
        <f t="array" ref="BI148">_xll.DBRW($E$2,BH$1,BH$2,$D$18,$D$3,$D148,$E148,$F148,$F$3,BI$3)</f>
        <v>0</v>
      </c>
      <c r="BJ148" s="25">
        <f>_xll.DBRW($C$2,$BH$1,BH$2,$D$18,$D$3,$D148,$E148,$F148,BJ$3)</f>
        <v>2</v>
      </c>
      <c r="BK148" s="64">
        <f>_xll.DBRW($C$2,$BH$1,BH$2,$D$18,$D$3,$D148,$E148,$F148,BK$3)</f>
        <v>0</v>
      </c>
      <c r="BL148" s="58">
        <f>_xll.DBRW($C$2,$BH$1,BH$2,$D$18,$D$3,$D148,$E148,$F148,BL$3)</f>
        <v>0</v>
      </c>
      <c r="BM148" s="48">
        <f t="shared" si="44"/>
        <v>-4</v>
      </c>
      <c r="BN148" s="39">
        <f>_xll.DBRW($C$2,$BN$1,BN$2,$D$18,$D$3,$D148,$E148,$F148,BN$3)</f>
        <v>0</v>
      </c>
      <c r="BO148" s="25" cm="1">
        <f t="array" ref="BO148">_xll.DBRW($E$2,BN$1,BN$2,$D$18,$D$3,$D148,$E148,$F148,$F$3,BO$3)</f>
        <v>0</v>
      </c>
      <c r="BP148" s="25">
        <f>_xll.DBRW($C$2,$BN$1,BN$2,$D$18,$D$3,$D148,$E148,$F148,BP$3)</f>
        <v>2</v>
      </c>
      <c r="BQ148" s="64">
        <f>_xll.DBRW($C$2,$BN$1,BN$2,$D$18,$D$3,$D148,$E148,$F148,BQ$3)</f>
        <v>0</v>
      </c>
      <c r="BR148" s="58">
        <f>_xll.DBRW($C$2,$BN$1,BN$2,$D$18,$D$3,$D148,$E148,$F148,BR$3)</f>
        <v>0</v>
      </c>
      <c r="BS148" s="48">
        <f t="shared" si="45"/>
        <v>-6</v>
      </c>
      <c r="BT148" s="39">
        <f>_xll.DBRW($C$2,$BT$1,BT$2,$D$18,$D$3,$D148,$E148,$F148,BT$3)</f>
        <v>0</v>
      </c>
      <c r="BU148" s="25" cm="1">
        <f t="array" ref="BU148">_xll.DBRW($E$2,BT$1,BT$2,$D$18,$D$3,$D148,$E148,$F148,$F$3,BU$3)</f>
        <v>0</v>
      </c>
      <c r="BV148" s="25">
        <f>_xll.DBRW($C$2,$BT$1,BT$2,$D$18,$D$3,$D148,$E148,$F148,BV$3)</f>
        <v>2</v>
      </c>
      <c r="BW148" s="64">
        <f>_xll.DBRW($C$2,$BT$1,BT$2,$D$18,$D$3,$D148,$E148,$F148,BW$3)</f>
        <v>0</v>
      </c>
      <c r="BX148" s="58">
        <f>_xll.DBRW($C$2,$BT$1,BT$2,$D$18,$D$3,$D148,$E148,$F148,BX$3)</f>
        <v>0</v>
      </c>
      <c r="BY148" s="48">
        <f t="shared" si="46"/>
        <v>-8</v>
      </c>
      <c r="BZ148" s="39">
        <f>_xll.DBRW($C$2,$BZ$1,BZ$2,$D$18,$D$3,$D148,$E148,$F148,BZ$3)</f>
        <v>0</v>
      </c>
      <c r="CA148" s="25" cm="1">
        <f t="array" ref="CA148">_xll.DBRW($E$2,BZ$1,BZ$2,$D$18,$D$3,$D148,$E148,$F148,$F$3,CA$3)</f>
        <v>0</v>
      </c>
      <c r="CB148" s="25">
        <f>_xll.DBRW($C$2,$BZ$1,BZ$2,$D$18,$D$3,$D148,$E148,$F148,CB$3)</f>
        <v>2</v>
      </c>
      <c r="CC148" s="64">
        <f>_xll.DBRW($C$2,$BZ$1,BZ$2,$D$18,$D$3,$D148,$E148,$F148,CC$3)</f>
        <v>0</v>
      </c>
      <c r="CD148" s="58">
        <f>_xll.DBRW($C$2,$BZ$1,BZ$2,$D$18,$D$3,$D148,$E148,$F148,CD$3)</f>
        <v>0</v>
      </c>
      <c r="CE148" s="48">
        <f t="shared" si="47"/>
        <v>-10</v>
      </c>
    </row>
    <row r="149" spans="1:83" s="23" customFormat="1" outlineLevel="1" thickBot="1" x14ac:dyDescent="0.3">
      <c r="A149" s="91" t="str">
        <f>IF(_xll.TM1RPTELISCONSOLIDATED($F$22,$F149),IF(_xll.TM1RPTELLEV($F$22,$F149)&lt;=5,_xll.TM1RPTELLEV($F$22,$F149),"Default"),"Leaf")</f>
        <v>Leaf</v>
      </c>
      <c r="B149" s="24" t="str">
        <f>_xll.DBRW("TM1-S1_DEV:}ElementAttributes_SP_SKU",$D149,B$1)</f>
        <v>Primary</v>
      </c>
      <c r="C149" s="24" t="str">
        <f>_xll.DBRW("TM1-S1_DEV:}ElementAttributes_SP_SKU",$D149,C$1)</f>
        <v>CUP</v>
      </c>
      <c r="D149" s="28" t="s">
        <v>505</v>
      </c>
      <c r="E149" s="28" t="s">
        <v>282</v>
      </c>
      <c r="F149" s="28" t="s">
        <v>56</v>
      </c>
      <c r="G149" s="4">
        <f>_xll.DBRW($C$2,$G$19,G$20,$D$18,$D$3,$D149,$E149,$F149,G$3)</f>
        <v>11</v>
      </c>
      <c r="H149" s="54">
        <f t="shared" si="36"/>
        <v>-1</v>
      </c>
      <c r="I149" s="4"/>
      <c r="J149" s="25">
        <f>_xll.DBRW($C$2,$J$1,J$2,$D$18,$D$3,$D149,$E149,$F149,J$3)</f>
        <v>10</v>
      </c>
      <c r="K149" s="39">
        <f>_xll.DBRW($C$2,$J$1,J$2,$D$18,$D$3,$D149,$E149,$F149,K$3)</f>
        <v>0</v>
      </c>
      <c r="L149" s="25">
        <f>_xll.DBRW($C$2,$J$1,J$2,$D$18,$D$3,$D149,$E149,$F149,L$3)</f>
        <v>0</v>
      </c>
      <c r="M149" s="25">
        <f>_xll.DBRW($C$2,$J$1,J$2,$D$18,$D$3,$D149,$E149,$F149,M$3)</f>
        <v>0</v>
      </c>
      <c r="N149" s="25">
        <f>_xll.DBRW($C$2,$J$1,J$2,$D$18,$D$3,$D149,$E149,$F149,N$3)</f>
        <v>0</v>
      </c>
      <c r="O149" s="64">
        <f>_xll.DBRW($C$2,$J$1,J$2,$D$18,$D$3,$D149,$E149,$F149,O$3)</f>
        <v>0</v>
      </c>
      <c r="P149" s="58">
        <f>_xll.DBRW($C$2,$J$1,J$2,$D$18,$D$3,$D149,$E149,$F149,P$3)</f>
        <v>0</v>
      </c>
      <c r="Q149" s="48">
        <f>_xll.DBRW($C$2,$J$1,J$2,$D$18,$D$3,$D149,$E149,$F149,Q$3)</f>
        <v>10</v>
      </c>
      <c r="R149" s="39">
        <f>_xll.DBRW($C$2,$R$1,R$2,$D$18,$D$3,$D149,$E149,$F149,R$3)</f>
        <v>0</v>
      </c>
      <c r="S149" s="25" cm="1">
        <f t="array" ref="S149">_xll.DBRW($E$2,R$1,R$2,$D$18,$D$3,$D149,$E149,$F149,$F$3,S$3)</f>
        <v>0</v>
      </c>
      <c r="T149" s="25">
        <f>_xll.DBRW($C$2,$R$1,R$2,$D$18,$D$3,$D149,$E149,$F149,T$3)</f>
        <v>0</v>
      </c>
      <c r="U149" s="64">
        <f>_xll.DBRW($C$2,$R$1,R$2,$D$18,$D$3,$D149,$E149,$F149,U$3)</f>
        <v>0</v>
      </c>
      <c r="V149" s="58">
        <f>_xll.DBRW($C$2,$R$1,R$2,$D$18,$D$3,$D149,$E149,$F149,V$3)</f>
        <v>0</v>
      </c>
      <c r="W149" s="48">
        <f t="shared" si="37"/>
        <v>10</v>
      </c>
      <c r="X149" s="39">
        <f>_xll.DBRW($C$2,$X$1,X$2,$D$18,$D$3,$D149,$E149,$F149,X$3)</f>
        <v>0</v>
      </c>
      <c r="Y149" s="25" cm="1">
        <f t="array" ref="Y149">_xll.DBRW($E$2,X$1,X$2,$D$18,$D$3,$D149,$E149,$F149,$F$3,Y$3)</f>
        <v>0</v>
      </c>
      <c r="Z149" s="25">
        <f>_xll.DBRW($C$2,$X$1,X$2,$D$18,$D$3,$D149,$E149,$F149,Z$3)</f>
        <v>2</v>
      </c>
      <c r="AA149" s="64">
        <f>_xll.DBRW($C$2,$X$1,X$2,$D$18,$D$3,$D149,$E149,$F149,AA$3)</f>
        <v>0</v>
      </c>
      <c r="AB149" s="58">
        <f>_xll.DBRW($C$2,$X$1,X$2,$D$18,$D$3,$D149,$E149,$F149,AB$3)</f>
        <v>0</v>
      </c>
      <c r="AC149" s="48">
        <f t="shared" si="38"/>
        <v>8</v>
      </c>
      <c r="AD149" s="39">
        <f>_xll.DBRW($C$2,$AD$1,AD$2,$D$18,$D$3,$D149,$E149,$F149,AD$3)</f>
        <v>0</v>
      </c>
      <c r="AE149" s="25" cm="1">
        <f t="array" ref="AE149">_xll.DBRW($E$2,AD$1,AD$2,$D$18,$D$3,$D149,$E149,$F149,$F$3,AE$3)</f>
        <v>0</v>
      </c>
      <c r="AF149" s="25">
        <f>_xll.DBRW($C$2,$AD$1,AD$2,$D$18,$D$3,$D149,$E149,$F149,AF$3)</f>
        <v>2</v>
      </c>
      <c r="AG149" s="64">
        <f>_xll.DBRW($C$2,$AD$1,AD$2,$D$18,$D$3,$D149,$E149,$F149,AG$3)</f>
        <v>0</v>
      </c>
      <c r="AH149" s="58">
        <f>_xll.DBRW($C$2,$AD$1,AD$2,$D$18,$D$3,$D149,$E149,$F149,AH$3)</f>
        <v>0</v>
      </c>
      <c r="AI149" s="48">
        <f t="shared" si="39"/>
        <v>6</v>
      </c>
      <c r="AJ149" s="39">
        <f>_xll.DBRW($C$2,$AJ$1,AJ$2,$D$18,$D$3,$D149,$E149,$F149,AJ$3)</f>
        <v>0</v>
      </c>
      <c r="AK149" s="25" cm="1">
        <f t="array" ref="AK149">_xll.DBRW($E$2,AJ$1,AJ$2,$D$18,$D$3,$D149,$E149,$F149,$F$3,AK$3)</f>
        <v>0</v>
      </c>
      <c r="AL149" s="25">
        <f>_xll.DBRW($C$2,$AJ$1,AJ$2,$D$18,$D$3,$D149,$E149,$F149,AL$3)</f>
        <v>2</v>
      </c>
      <c r="AM149" s="64">
        <f>_xll.DBRW($C$2,$AJ$1,AJ$2,$D$18,$D$3,$D149,$E149,$F149,AM$3)</f>
        <v>0</v>
      </c>
      <c r="AN149" s="58">
        <f>_xll.DBRW($C$2,$AJ$1,AJ$2,$D$18,$D$3,$D149,$E149,$F149,AN$3)</f>
        <v>0</v>
      </c>
      <c r="AO149" s="48">
        <f t="shared" si="40"/>
        <v>4</v>
      </c>
      <c r="AP149" s="39">
        <f>_xll.DBRW($C$2,$AP$1,AP$2,$D$18,$D$3,$D149,$E149,$F149,AP$3)</f>
        <v>0</v>
      </c>
      <c r="AQ149" s="25" cm="1">
        <f t="array" ref="AQ149">_xll.DBRW($E$2,AP$1,AP$2,$D$18,$D$3,$D149,$E149,$F149,$F$3,AQ$3)</f>
        <v>0</v>
      </c>
      <c r="AR149" s="25">
        <f>_xll.DBRW($C$2,$AP$1,AP$2,$D$18,$D$3,$D149,$E149,$F149,AR$3)</f>
        <v>2</v>
      </c>
      <c r="AS149" s="64">
        <f>_xll.DBRW($C$2,$AP$1,AP$2,$D$18,$D$3,$D149,$E149,$F149,AS$3)</f>
        <v>0</v>
      </c>
      <c r="AT149" s="58">
        <f>_xll.DBRW($C$2,$AP$1,AP$2,$D$18,$D$3,$D149,$E149,$F149,AT$3)</f>
        <v>0</v>
      </c>
      <c r="AU149" s="48">
        <f t="shared" si="41"/>
        <v>2</v>
      </c>
      <c r="AV149" s="39">
        <f>_xll.DBRW($C$2,$AV$1,AV$2,$D$18,$D$3,$D149,$E149,$F149,AV$3)</f>
        <v>0</v>
      </c>
      <c r="AW149" s="25" cm="1">
        <f t="array" ref="AW149">_xll.DBRW($E$2,AV$1,AV$2,$D$18,$D$3,$D149,$E149,$F149,$F$3,AW$3)</f>
        <v>0</v>
      </c>
      <c r="AX149" s="25">
        <f>_xll.DBRW($C$2,$AV$1,AV$2,$D$18,$D$3,$D149,$E149,$F149,AX$3)</f>
        <v>2</v>
      </c>
      <c r="AY149" s="64">
        <f>_xll.DBRW($C$2,$AV$1,AV$2,$D$18,$D$3,$D149,$E149,$F149,AY$3)</f>
        <v>0</v>
      </c>
      <c r="AZ149" s="58">
        <f>_xll.DBRW($C$2,$AV$1,AV$2,$D$18,$D$3,$D149,$E149,$F149,AZ$3)</f>
        <v>0</v>
      </c>
      <c r="BA149" s="48">
        <f t="shared" si="42"/>
        <v>0</v>
      </c>
      <c r="BB149" s="39">
        <f>_xll.DBRW($C$2,$BB$1,BB$2,$D$18,$D$3,$D149,$E149,$F149,BB$3)</f>
        <v>0</v>
      </c>
      <c r="BC149" s="25" cm="1">
        <f t="array" ref="BC149">_xll.DBRW($E$2,BB$1,BB$2,$D$18,$D$3,$D149,$E149,$F149,$F$3,BC$3)</f>
        <v>0</v>
      </c>
      <c r="BD149" s="25">
        <f>_xll.DBRW($C$2,$BB$1,BB$2,$D$18,$D$3,$D149,$E149,$F149,BD$3)</f>
        <v>2</v>
      </c>
      <c r="BE149" s="64">
        <f>_xll.DBRW($C$2,$BB$1,BB$2,$D$18,$D$3,$D149,$E149,$F149,BE$3)</f>
        <v>0</v>
      </c>
      <c r="BF149" s="58">
        <f>_xll.DBRW($C$2,$BB$1,BB$2,$D$18,$D$3,$D149,$E149,$F149,BF$3)</f>
        <v>0</v>
      </c>
      <c r="BG149" s="48">
        <f t="shared" si="43"/>
        <v>-2</v>
      </c>
      <c r="BH149" s="39">
        <f>_xll.DBRW($C$2,$BH$1,BH$2,$D$18,$D$3,$D149,$E149,$F149,BH$3)</f>
        <v>0</v>
      </c>
      <c r="BI149" s="25" cm="1">
        <f t="array" ref="BI149">_xll.DBRW($E$2,BH$1,BH$2,$D$18,$D$3,$D149,$E149,$F149,$F$3,BI$3)</f>
        <v>0</v>
      </c>
      <c r="BJ149" s="25">
        <f>_xll.DBRW($C$2,$BH$1,BH$2,$D$18,$D$3,$D149,$E149,$F149,BJ$3)</f>
        <v>2</v>
      </c>
      <c r="BK149" s="64">
        <f>_xll.DBRW($C$2,$BH$1,BH$2,$D$18,$D$3,$D149,$E149,$F149,BK$3)</f>
        <v>0</v>
      </c>
      <c r="BL149" s="58">
        <f>_xll.DBRW($C$2,$BH$1,BH$2,$D$18,$D$3,$D149,$E149,$F149,BL$3)</f>
        <v>0</v>
      </c>
      <c r="BM149" s="48">
        <f t="shared" si="44"/>
        <v>-4</v>
      </c>
      <c r="BN149" s="39">
        <f>_xll.DBRW($C$2,$BN$1,BN$2,$D$18,$D$3,$D149,$E149,$F149,BN$3)</f>
        <v>0</v>
      </c>
      <c r="BO149" s="25" cm="1">
        <f t="array" ref="BO149">_xll.DBRW($E$2,BN$1,BN$2,$D$18,$D$3,$D149,$E149,$F149,$F$3,BO$3)</f>
        <v>0</v>
      </c>
      <c r="BP149" s="25">
        <f>_xll.DBRW($C$2,$BN$1,BN$2,$D$18,$D$3,$D149,$E149,$F149,BP$3)</f>
        <v>2</v>
      </c>
      <c r="BQ149" s="64">
        <f>_xll.DBRW($C$2,$BN$1,BN$2,$D$18,$D$3,$D149,$E149,$F149,BQ$3)</f>
        <v>0</v>
      </c>
      <c r="BR149" s="58">
        <f>_xll.DBRW($C$2,$BN$1,BN$2,$D$18,$D$3,$D149,$E149,$F149,BR$3)</f>
        <v>0</v>
      </c>
      <c r="BS149" s="48">
        <f t="shared" si="45"/>
        <v>-6</v>
      </c>
      <c r="BT149" s="39">
        <f>_xll.DBRW($C$2,$BT$1,BT$2,$D$18,$D$3,$D149,$E149,$F149,BT$3)</f>
        <v>0</v>
      </c>
      <c r="BU149" s="25" cm="1">
        <f t="array" ref="BU149">_xll.DBRW($E$2,BT$1,BT$2,$D$18,$D$3,$D149,$E149,$F149,$F$3,BU$3)</f>
        <v>0</v>
      </c>
      <c r="BV149" s="25">
        <f>_xll.DBRW($C$2,$BT$1,BT$2,$D$18,$D$3,$D149,$E149,$F149,BV$3)</f>
        <v>2</v>
      </c>
      <c r="BW149" s="64">
        <f>_xll.DBRW($C$2,$BT$1,BT$2,$D$18,$D$3,$D149,$E149,$F149,BW$3)</f>
        <v>0</v>
      </c>
      <c r="BX149" s="58">
        <f>_xll.DBRW($C$2,$BT$1,BT$2,$D$18,$D$3,$D149,$E149,$F149,BX$3)</f>
        <v>0</v>
      </c>
      <c r="BY149" s="48">
        <f t="shared" si="46"/>
        <v>-8</v>
      </c>
      <c r="BZ149" s="39">
        <f>_xll.DBRW($C$2,$BZ$1,BZ$2,$D$18,$D$3,$D149,$E149,$F149,BZ$3)</f>
        <v>0</v>
      </c>
      <c r="CA149" s="25" cm="1">
        <f t="array" ref="CA149">_xll.DBRW($E$2,BZ$1,BZ$2,$D$18,$D$3,$D149,$E149,$F149,$F$3,CA$3)</f>
        <v>0</v>
      </c>
      <c r="CB149" s="25">
        <f>_xll.DBRW($C$2,$BZ$1,BZ$2,$D$18,$D$3,$D149,$E149,$F149,CB$3)</f>
        <v>2</v>
      </c>
      <c r="CC149" s="64">
        <f>_xll.DBRW($C$2,$BZ$1,BZ$2,$D$18,$D$3,$D149,$E149,$F149,CC$3)</f>
        <v>0</v>
      </c>
      <c r="CD149" s="58">
        <f>_xll.DBRW($C$2,$BZ$1,BZ$2,$D$18,$D$3,$D149,$E149,$F149,CD$3)</f>
        <v>0</v>
      </c>
      <c r="CE149" s="48">
        <f t="shared" si="47"/>
        <v>-10</v>
      </c>
    </row>
    <row r="150" spans="1:83" s="23" customFormat="1" outlineLevel="1" thickBot="1" x14ac:dyDescent="0.3">
      <c r="A150" s="91" t="str">
        <f>IF(_xll.TM1RPTELISCONSOLIDATED($F$22,$F150),IF(_xll.TM1RPTELLEV($F$22,$F150)&lt;=5,_xll.TM1RPTELLEV($F$22,$F150),"Default"),"Leaf")</f>
        <v>Leaf</v>
      </c>
      <c r="B150" s="24" t="str">
        <f>_xll.DBRW("TM1-S1_DEV:}ElementAttributes_SP_SKU",$D150,B$1)</f>
        <v>Primary</v>
      </c>
      <c r="C150" s="24" t="str">
        <f>_xll.DBRW("TM1-S1_DEV:}ElementAttributes_SP_SKU",$D150,C$1)</f>
        <v>CUP</v>
      </c>
      <c r="D150" s="28" t="s">
        <v>506</v>
      </c>
      <c r="E150" s="28" t="s">
        <v>283</v>
      </c>
      <c r="F150" s="28" t="s">
        <v>56</v>
      </c>
      <c r="G150" s="4">
        <f>_xll.DBRW($C$2,$G$19,G$20,$D$18,$D$3,$D150,$E150,$F150,G$3)</f>
        <v>12</v>
      </c>
      <c r="H150" s="54">
        <f t="shared" si="36"/>
        <v>4</v>
      </c>
      <c r="I150" s="4"/>
      <c r="J150" s="25">
        <f>_xll.DBRW($C$2,$J$1,J$2,$D$18,$D$3,$D150,$E150,$F150,J$3)</f>
        <v>16</v>
      </c>
      <c r="K150" s="39">
        <f>_xll.DBRW($C$2,$J$1,J$2,$D$18,$D$3,$D150,$E150,$F150,K$3)</f>
        <v>0</v>
      </c>
      <c r="L150" s="25">
        <f>_xll.DBRW($C$2,$J$1,J$2,$D$18,$D$3,$D150,$E150,$F150,L$3)</f>
        <v>0</v>
      </c>
      <c r="M150" s="25">
        <f>_xll.DBRW($C$2,$J$1,J$2,$D$18,$D$3,$D150,$E150,$F150,M$3)</f>
        <v>0</v>
      </c>
      <c r="N150" s="25">
        <f>_xll.DBRW($C$2,$J$1,J$2,$D$18,$D$3,$D150,$E150,$F150,N$3)</f>
        <v>0</v>
      </c>
      <c r="O150" s="64">
        <f>_xll.DBRW($C$2,$J$1,J$2,$D$18,$D$3,$D150,$E150,$F150,O$3)</f>
        <v>0</v>
      </c>
      <c r="P150" s="58">
        <f>_xll.DBRW($C$2,$J$1,J$2,$D$18,$D$3,$D150,$E150,$F150,P$3)</f>
        <v>0</v>
      </c>
      <c r="Q150" s="48">
        <f>_xll.DBRW($C$2,$J$1,J$2,$D$18,$D$3,$D150,$E150,$F150,Q$3)</f>
        <v>16</v>
      </c>
      <c r="R150" s="39">
        <f>_xll.DBRW($C$2,$R$1,R$2,$D$18,$D$3,$D150,$E150,$F150,R$3)</f>
        <v>0</v>
      </c>
      <c r="S150" s="25" cm="1">
        <f t="array" ref="S150">_xll.DBRW($E$2,R$1,R$2,$D$18,$D$3,$D150,$E150,$F150,$F$3,S$3)</f>
        <v>0</v>
      </c>
      <c r="T150" s="25">
        <f>_xll.DBRW($C$2,$R$1,R$2,$D$18,$D$3,$D150,$E150,$F150,T$3)</f>
        <v>0</v>
      </c>
      <c r="U150" s="64">
        <f>_xll.DBRW($C$2,$R$1,R$2,$D$18,$D$3,$D150,$E150,$F150,U$3)</f>
        <v>0</v>
      </c>
      <c r="V150" s="58">
        <f>_xll.DBRW($C$2,$R$1,R$2,$D$18,$D$3,$D150,$E150,$F150,V$3)</f>
        <v>0</v>
      </c>
      <c r="W150" s="48">
        <f t="shared" si="37"/>
        <v>16</v>
      </c>
      <c r="X150" s="39">
        <f>_xll.DBRW($C$2,$X$1,X$2,$D$18,$D$3,$D150,$E150,$F150,X$3)</f>
        <v>0</v>
      </c>
      <c r="Y150" s="25" cm="1">
        <f t="array" ref="Y150">_xll.DBRW($E$2,X$1,X$2,$D$18,$D$3,$D150,$E150,$F150,$F$3,Y$3)</f>
        <v>0</v>
      </c>
      <c r="Z150" s="25">
        <f>_xll.DBRW($C$2,$X$1,X$2,$D$18,$D$3,$D150,$E150,$F150,Z$3)</f>
        <v>1</v>
      </c>
      <c r="AA150" s="64">
        <f>_xll.DBRW($C$2,$X$1,X$2,$D$18,$D$3,$D150,$E150,$F150,AA$3)</f>
        <v>0</v>
      </c>
      <c r="AB150" s="58">
        <f>_xll.DBRW($C$2,$X$1,X$2,$D$18,$D$3,$D150,$E150,$F150,AB$3)</f>
        <v>0</v>
      </c>
      <c r="AC150" s="48">
        <f t="shared" si="38"/>
        <v>15</v>
      </c>
      <c r="AD150" s="39">
        <f>_xll.DBRW($C$2,$AD$1,AD$2,$D$18,$D$3,$D150,$E150,$F150,AD$3)</f>
        <v>0</v>
      </c>
      <c r="AE150" s="25" cm="1">
        <f t="array" ref="AE150">_xll.DBRW($E$2,AD$1,AD$2,$D$18,$D$3,$D150,$E150,$F150,$F$3,AE$3)</f>
        <v>0</v>
      </c>
      <c r="AF150" s="25">
        <f>_xll.DBRW($C$2,$AD$1,AD$2,$D$18,$D$3,$D150,$E150,$F150,AF$3)</f>
        <v>1</v>
      </c>
      <c r="AG150" s="64">
        <f>_xll.DBRW($C$2,$AD$1,AD$2,$D$18,$D$3,$D150,$E150,$F150,AG$3)</f>
        <v>1</v>
      </c>
      <c r="AH150" s="58">
        <f>_xll.DBRW($C$2,$AD$1,AD$2,$D$18,$D$3,$D150,$E150,$F150,AH$3)</f>
        <v>0</v>
      </c>
      <c r="AI150" s="48">
        <f t="shared" si="39"/>
        <v>14</v>
      </c>
      <c r="AJ150" s="39">
        <f>_xll.DBRW($C$2,$AJ$1,AJ$2,$D$18,$D$3,$D150,$E150,$F150,AJ$3)</f>
        <v>0</v>
      </c>
      <c r="AK150" s="25" cm="1">
        <f t="array" ref="AK150">_xll.DBRW($E$2,AJ$1,AJ$2,$D$18,$D$3,$D150,$E150,$F150,$F$3,AK$3)</f>
        <v>0</v>
      </c>
      <c r="AL150" s="25">
        <f>_xll.DBRW($C$2,$AJ$1,AJ$2,$D$18,$D$3,$D150,$E150,$F150,AL$3)</f>
        <v>1</v>
      </c>
      <c r="AM150" s="64">
        <f>_xll.DBRW($C$2,$AJ$1,AJ$2,$D$18,$D$3,$D150,$E150,$F150,AM$3)</f>
        <v>0</v>
      </c>
      <c r="AN150" s="58">
        <f>_xll.DBRW($C$2,$AJ$1,AJ$2,$D$18,$D$3,$D150,$E150,$F150,AN$3)</f>
        <v>0</v>
      </c>
      <c r="AO150" s="48">
        <f t="shared" si="40"/>
        <v>13</v>
      </c>
      <c r="AP150" s="39">
        <f>_xll.DBRW($C$2,$AP$1,AP$2,$D$18,$D$3,$D150,$E150,$F150,AP$3)</f>
        <v>0</v>
      </c>
      <c r="AQ150" s="25" cm="1">
        <f t="array" ref="AQ150">_xll.DBRW($E$2,AP$1,AP$2,$D$18,$D$3,$D150,$E150,$F150,$F$3,AQ$3)</f>
        <v>0</v>
      </c>
      <c r="AR150" s="25">
        <f>_xll.DBRW($C$2,$AP$1,AP$2,$D$18,$D$3,$D150,$E150,$F150,AR$3)</f>
        <v>1</v>
      </c>
      <c r="AS150" s="64">
        <f>_xll.DBRW($C$2,$AP$1,AP$2,$D$18,$D$3,$D150,$E150,$F150,AS$3)</f>
        <v>0</v>
      </c>
      <c r="AT150" s="58">
        <f>_xll.DBRW($C$2,$AP$1,AP$2,$D$18,$D$3,$D150,$E150,$F150,AT$3)</f>
        <v>0</v>
      </c>
      <c r="AU150" s="48">
        <f t="shared" si="41"/>
        <v>12</v>
      </c>
      <c r="AV150" s="39">
        <f>_xll.DBRW($C$2,$AV$1,AV$2,$D$18,$D$3,$D150,$E150,$F150,AV$3)</f>
        <v>0</v>
      </c>
      <c r="AW150" s="25" cm="1">
        <f t="array" ref="AW150">_xll.DBRW($E$2,AV$1,AV$2,$D$18,$D$3,$D150,$E150,$F150,$F$3,AW$3)</f>
        <v>0</v>
      </c>
      <c r="AX150" s="25">
        <f>_xll.DBRW($C$2,$AV$1,AV$2,$D$18,$D$3,$D150,$E150,$F150,AX$3)</f>
        <v>1</v>
      </c>
      <c r="AY150" s="64">
        <f>_xll.DBRW($C$2,$AV$1,AV$2,$D$18,$D$3,$D150,$E150,$F150,AY$3)</f>
        <v>1</v>
      </c>
      <c r="AZ150" s="58">
        <f>_xll.DBRW($C$2,$AV$1,AV$2,$D$18,$D$3,$D150,$E150,$F150,AZ$3)</f>
        <v>0</v>
      </c>
      <c r="BA150" s="48">
        <f t="shared" si="42"/>
        <v>11</v>
      </c>
      <c r="BB150" s="39">
        <f>_xll.DBRW($C$2,$BB$1,BB$2,$D$18,$D$3,$D150,$E150,$F150,BB$3)</f>
        <v>0</v>
      </c>
      <c r="BC150" s="25" cm="1">
        <f t="array" ref="BC150">_xll.DBRW($E$2,BB$1,BB$2,$D$18,$D$3,$D150,$E150,$F150,$F$3,BC$3)</f>
        <v>0</v>
      </c>
      <c r="BD150" s="25">
        <f>_xll.DBRW($C$2,$BB$1,BB$2,$D$18,$D$3,$D150,$E150,$F150,BD$3)</f>
        <v>1</v>
      </c>
      <c r="BE150" s="64">
        <f>_xll.DBRW($C$2,$BB$1,BB$2,$D$18,$D$3,$D150,$E150,$F150,BE$3)</f>
        <v>0</v>
      </c>
      <c r="BF150" s="58">
        <f>_xll.DBRW($C$2,$BB$1,BB$2,$D$18,$D$3,$D150,$E150,$F150,BF$3)</f>
        <v>0</v>
      </c>
      <c r="BG150" s="48">
        <f t="shared" si="43"/>
        <v>10</v>
      </c>
      <c r="BH150" s="39">
        <f>_xll.DBRW($C$2,$BH$1,BH$2,$D$18,$D$3,$D150,$E150,$F150,BH$3)</f>
        <v>0</v>
      </c>
      <c r="BI150" s="25" cm="1">
        <f t="array" ref="BI150">_xll.DBRW($E$2,BH$1,BH$2,$D$18,$D$3,$D150,$E150,$F150,$F$3,BI$3)</f>
        <v>0</v>
      </c>
      <c r="BJ150" s="25">
        <f>_xll.DBRW($C$2,$BH$1,BH$2,$D$18,$D$3,$D150,$E150,$F150,BJ$3)</f>
        <v>1</v>
      </c>
      <c r="BK150" s="64">
        <f>_xll.DBRW($C$2,$BH$1,BH$2,$D$18,$D$3,$D150,$E150,$F150,BK$3)</f>
        <v>0</v>
      </c>
      <c r="BL150" s="58">
        <f>_xll.DBRW($C$2,$BH$1,BH$2,$D$18,$D$3,$D150,$E150,$F150,BL$3)</f>
        <v>0</v>
      </c>
      <c r="BM150" s="48">
        <f t="shared" si="44"/>
        <v>9</v>
      </c>
      <c r="BN150" s="39">
        <f>_xll.DBRW($C$2,$BN$1,BN$2,$D$18,$D$3,$D150,$E150,$F150,BN$3)</f>
        <v>0</v>
      </c>
      <c r="BO150" s="25" cm="1">
        <f t="array" ref="BO150">_xll.DBRW($E$2,BN$1,BN$2,$D$18,$D$3,$D150,$E150,$F150,$F$3,BO$3)</f>
        <v>0</v>
      </c>
      <c r="BP150" s="25">
        <f>_xll.DBRW($C$2,$BN$1,BN$2,$D$18,$D$3,$D150,$E150,$F150,BP$3)</f>
        <v>1</v>
      </c>
      <c r="BQ150" s="64">
        <f>_xll.DBRW($C$2,$BN$1,BN$2,$D$18,$D$3,$D150,$E150,$F150,BQ$3)</f>
        <v>0</v>
      </c>
      <c r="BR150" s="58">
        <f>_xll.DBRW($C$2,$BN$1,BN$2,$D$18,$D$3,$D150,$E150,$F150,BR$3)</f>
        <v>0</v>
      </c>
      <c r="BS150" s="48">
        <f t="shared" si="45"/>
        <v>8</v>
      </c>
      <c r="BT150" s="39">
        <f>_xll.DBRW($C$2,$BT$1,BT$2,$D$18,$D$3,$D150,$E150,$F150,BT$3)</f>
        <v>0</v>
      </c>
      <c r="BU150" s="25" cm="1">
        <f t="array" ref="BU150">_xll.DBRW($E$2,BT$1,BT$2,$D$18,$D$3,$D150,$E150,$F150,$F$3,BU$3)</f>
        <v>0</v>
      </c>
      <c r="BV150" s="25">
        <f>_xll.DBRW($C$2,$BT$1,BT$2,$D$18,$D$3,$D150,$E150,$F150,BV$3)</f>
        <v>1</v>
      </c>
      <c r="BW150" s="64">
        <f>_xll.DBRW($C$2,$BT$1,BT$2,$D$18,$D$3,$D150,$E150,$F150,BW$3)</f>
        <v>0</v>
      </c>
      <c r="BX150" s="58">
        <f>_xll.DBRW($C$2,$BT$1,BT$2,$D$18,$D$3,$D150,$E150,$F150,BX$3)</f>
        <v>0</v>
      </c>
      <c r="BY150" s="48">
        <f t="shared" si="46"/>
        <v>7</v>
      </c>
      <c r="BZ150" s="39">
        <f>_xll.DBRW($C$2,$BZ$1,BZ$2,$D$18,$D$3,$D150,$E150,$F150,BZ$3)</f>
        <v>0</v>
      </c>
      <c r="CA150" s="25" cm="1">
        <f t="array" ref="CA150">_xll.DBRW($E$2,BZ$1,BZ$2,$D$18,$D$3,$D150,$E150,$F150,$F$3,CA$3)</f>
        <v>0</v>
      </c>
      <c r="CB150" s="25">
        <f>_xll.DBRW($C$2,$BZ$1,BZ$2,$D$18,$D$3,$D150,$E150,$F150,CB$3)</f>
        <v>1</v>
      </c>
      <c r="CC150" s="64">
        <f>_xll.DBRW($C$2,$BZ$1,BZ$2,$D$18,$D$3,$D150,$E150,$F150,CC$3)</f>
        <v>0</v>
      </c>
      <c r="CD150" s="58">
        <f>_xll.DBRW($C$2,$BZ$1,BZ$2,$D$18,$D$3,$D150,$E150,$F150,CD$3)</f>
        <v>0</v>
      </c>
      <c r="CE150" s="48">
        <f t="shared" si="47"/>
        <v>6</v>
      </c>
    </row>
    <row r="151" spans="1:83" s="23" customFormat="1" outlineLevel="1" thickBot="1" x14ac:dyDescent="0.3">
      <c r="A151" s="91" t="str">
        <f>IF(_xll.TM1RPTELISCONSOLIDATED($F$22,$F151),IF(_xll.TM1RPTELLEV($F$22,$F151)&lt;=5,_xll.TM1RPTELLEV($F$22,$F151),"Default"),"Leaf")</f>
        <v>Leaf</v>
      </c>
      <c r="B151" s="24" t="str">
        <f>_xll.DBRW("TM1-S1_DEV:}ElementAttributes_SP_SKU",$D151,B$1)</f>
        <v>Primary</v>
      </c>
      <c r="C151" s="24" t="str">
        <f>_xll.DBRW("TM1-S1_DEV:}ElementAttributes_SP_SKU",$D151,C$1)</f>
        <v>PROTEIN</v>
      </c>
      <c r="D151" s="28" t="s">
        <v>446</v>
      </c>
      <c r="E151" s="28" t="s">
        <v>146</v>
      </c>
      <c r="F151" s="28" t="s">
        <v>31</v>
      </c>
      <c r="G151" s="4">
        <f>_xll.DBRW($C$2,$G$19,G$20,$D$18,$D$3,$D151,$E151,$F151,G$3)</f>
        <v>189</v>
      </c>
      <c r="H151" s="54">
        <f t="shared" ref="H151:H206" si="48">J151-G151</f>
        <v>18</v>
      </c>
      <c r="I151" s="4"/>
      <c r="J151" s="25">
        <f>_xll.DBRW($C$2,$J$1,J$2,$D$18,$D$3,$D151,$E151,$F151,J$3)</f>
        <v>207</v>
      </c>
      <c r="K151" s="39">
        <f>_xll.DBRW($C$2,$J$1,J$2,$D$18,$D$3,$D151,$E151,$F151,K$3)</f>
        <v>0</v>
      </c>
      <c r="L151" s="25">
        <f>_xll.DBRW($C$2,$J$1,J$2,$D$18,$D$3,$D151,$E151,$F151,L$3)</f>
        <v>0</v>
      </c>
      <c r="M151" s="25">
        <f>_xll.DBRW($C$2,$J$1,J$2,$D$18,$D$3,$D151,$E151,$F151,M$3)</f>
        <v>51</v>
      </c>
      <c r="N151" s="25">
        <f>_xll.DBRW($C$2,$J$1,J$2,$D$18,$D$3,$D151,$E151,$F151,N$3)</f>
        <v>63</v>
      </c>
      <c r="O151" s="64">
        <f>_xll.DBRW($C$2,$J$1,J$2,$D$18,$D$3,$D151,$E151,$F151,O$3)</f>
        <v>1</v>
      </c>
      <c r="P151" s="58">
        <f>_xll.DBRW($C$2,$J$1,J$2,$D$18,$D$3,$D151,$E151,$F151,P$3)</f>
        <v>0</v>
      </c>
      <c r="Q151" s="48">
        <f>_xll.DBRW($C$2,$J$1,J$2,$D$18,$D$3,$D151,$E151,$F151,Q$3)</f>
        <v>195</v>
      </c>
      <c r="R151" s="39">
        <f>_xll.DBRW($C$2,$R$1,R$2,$D$18,$D$3,$D151,$E151,$F151,R$3)</f>
        <v>0</v>
      </c>
      <c r="S151" s="25" cm="1">
        <f t="array" ref="S151">_xll.DBRW($E$2,R$1,R$2,$D$18,$D$3,$D151,$E151,$F151,$F$3,S$3)</f>
        <v>0</v>
      </c>
      <c r="T151" s="25">
        <f>_xll.DBRW($C$2,$R$1,R$2,$D$18,$D$3,$D151,$E151,$F151,T$3)</f>
        <v>0</v>
      </c>
      <c r="U151" s="64">
        <f>_xll.DBRW($C$2,$R$1,R$2,$D$18,$D$3,$D151,$E151,$F151,U$3)</f>
        <v>0</v>
      </c>
      <c r="V151" s="58">
        <f>_xll.DBRW($C$2,$R$1,R$2,$D$18,$D$3,$D151,$E151,$F151,V$3)</f>
        <v>0</v>
      </c>
      <c r="W151" s="48">
        <f t="shared" ref="W151:W206" si="49">Q151+R151+S151-T151+V151</f>
        <v>195</v>
      </c>
      <c r="X151" s="39">
        <f>_xll.DBRW($C$2,$X$1,X$2,$D$18,$D$3,$D151,$E151,$F151,X$3)</f>
        <v>0</v>
      </c>
      <c r="Y151" s="25" cm="1">
        <f t="array" ref="Y151">_xll.DBRW($E$2,X$1,X$2,$D$18,$D$3,$D151,$E151,$F151,$F$3,Y$3)</f>
        <v>0</v>
      </c>
      <c r="Z151" s="25">
        <f>_xll.DBRW($C$2,$X$1,X$2,$D$18,$D$3,$D151,$E151,$F151,Z$3)</f>
        <v>22</v>
      </c>
      <c r="AA151" s="64">
        <f>_xll.DBRW($C$2,$X$1,X$2,$D$18,$D$3,$D151,$E151,$F151,AA$3)</f>
        <v>0</v>
      </c>
      <c r="AB151" s="58">
        <f>_xll.DBRW($C$2,$X$1,X$2,$D$18,$D$3,$D151,$E151,$F151,AB$3)</f>
        <v>0</v>
      </c>
      <c r="AC151" s="48">
        <f t="shared" ref="AC151:AC206" si="50">W151+X151+Y151-Z151+AB151</f>
        <v>173</v>
      </c>
      <c r="AD151" s="39">
        <f>_xll.DBRW($C$2,$AD$1,AD$2,$D$18,$D$3,$D151,$E151,$F151,AD$3)</f>
        <v>0</v>
      </c>
      <c r="AE151" s="25" cm="1">
        <f t="array" ref="AE151">_xll.DBRW($E$2,AD$1,AD$2,$D$18,$D$3,$D151,$E151,$F151,$F$3,AE$3)</f>
        <v>0</v>
      </c>
      <c r="AF151" s="25">
        <f>_xll.DBRW($C$2,$AD$1,AD$2,$D$18,$D$3,$D151,$E151,$F151,AF$3)</f>
        <v>22</v>
      </c>
      <c r="AG151" s="64">
        <f>_xll.DBRW($C$2,$AD$1,AD$2,$D$18,$D$3,$D151,$E151,$F151,AG$3)</f>
        <v>0</v>
      </c>
      <c r="AH151" s="58">
        <f>_xll.DBRW($C$2,$AD$1,AD$2,$D$18,$D$3,$D151,$E151,$F151,AH$3)</f>
        <v>0</v>
      </c>
      <c r="AI151" s="48">
        <f t="shared" ref="AI151:AI206" si="51">AC151+AD151+AE151-AF151+AH151</f>
        <v>151</v>
      </c>
      <c r="AJ151" s="39">
        <f>_xll.DBRW($C$2,$AJ$1,AJ$2,$D$18,$D$3,$D151,$E151,$F151,AJ$3)</f>
        <v>0</v>
      </c>
      <c r="AK151" s="25" cm="1">
        <f t="array" ref="AK151">_xll.DBRW($E$2,AJ$1,AJ$2,$D$18,$D$3,$D151,$E151,$F151,$F$3,AK$3)</f>
        <v>0</v>
      </c>
      <c r="AL151" s="25">
        <f>_xll.DBRW($C$2,$AJ$1,AJ$2,$D$18,$D$3,$D151,$E151,$F151,AL$3)</f>
        <v>22</v>
      </c>
      <c r="AM151" s="64">
        <f>_xll.DBRW($C$2,$AJ$1,AJ$2,$D$18,$D$3,$D151,$E151,$F151,AM$3)</f>
        <v>0</v>
      </c>
      <c r="AN151" s="58">
        <f>_xll.DBRW($C$2,$AJ$1,AJ$2,$D$18,$D$3,$D151,$E151,$F151,AN$3)</f>
        <v>0</v>
      </c>
      <c r="AO151" s="48">
        <f t="shared" ref="AO151:AO206" si="52">AI151+AJ151+AK151-AL151+AN151</f>
        <v>129</v>
      </c>
      <c r="AP151" s="39">
        <f>_xll.DBRW($C$2,$AP$1,AP$2,$D$18,$D$3,$D151,$E151,$F151,AP$3)</f>
        <v>0</v>
      </c>
      <c r="AQ151" s="25" cm="1">
        <f t="array" ref="AQ151">_xll.DBRW($E$2,AP$1,AP$2,$D$18,$D$3,$D151,$E151,$F151,$F$3,AQ$3)</f>
        <v>0</v>
      </c>
      <c r="AR151" s="25">
        <f>_xll.DBRW($C$2,$AP$1,AP$2,$D$18,$D$3,$D151,$E151,$F151,AR$3)</f>
        <v>22</v>
      </c>
      <c r="AS151" s="64">
        <f>_xll.DBRW($C$2,$AP$1,AP$2,$D$18,$D$3,$D151,$E151,$F151,AS$3)</f>
        <v>0</v>
      </c>
      <c r="AT151" s="58">
        <f>_xll.DBRW($C$2,$AP$1,AP$2,$D$18,$D$3,$D151,$E151,$F151,AT$3)</f>
        <v>0</v>
      </c>
      <c r="AU151" s="48">
        <f t="shared" ref="AU151:AU206" si="53">AO151+AP151+AQ151-AR151+AT151</f>
        <v>107</v>
      </c>
      <c r="AV151" s="39">
        <f>_xll.DBRW($C$2,$AV$1,AV$2,$D$18,$D$3,$D151,$E151,$F151,AV$3)</f>
        <v>0</v>
      </c>
      <c r="AW151" s="25" cm="1">
        <f t="array" ref="AW151">_xll.DBRW($E$2,AV$1,AV$2,$D$18,$D$3,$D151,$E151,$F151,$F$3,AW$3)</f>
        <v>0</v>
      </c>
      <c r="AX151" s="25">
        <f>_xll.DBRW($C$2,$AV$1,AV$2,$D$18,$D$3,$D151,$E151,$F151,AX$3)</f>
        <v>22</v>
      </c>
      <c r="AY151" s="64">
        <f>_xll.DBRW($C$2,$AV$1,AV$2,$D$18,$D$3,$D151,$E151,$F151,AY$3)</f>
        <v>0</v>
      </c>
      <c r="AZ151" s="58">
        <f>_xll.DBRW($C$2,$AV$1,AV$2,$D$18,$D$3,$D151,$E151,$F151,AZ$3)</f>
        <v>0</v>
      </c>
      <c r="BA151" s="48">
        <f t="shared" ref="BA151:BA206" si="54">AU151+AV151+AW151-AX151+AZ151</f>
        <v>85</v>
      </c>
      <c r="BB151" s="39">
        <f>_xll.DBRW($C$2,$BB$1,BB$2,$D$18,$D$3,$D151,$E151,$F151,BB$3)</f>
        <v>0</v>
      </c>
      <c r="BC151" s="25" cm="1">
        <f t="array" ref="BC151">_xll.DBRW($E$2,BB$1,BB$2,$D$18,$D$3,$D151,$E151,$F151,$F$3,BC$3)</f>
        <v>0</v>
      </c>
      <c r="BD151" s="25">
        <f>_xll.DBRW($C$2,$BB$1,BB$2,$D$18,$D$3,$D151,$E151,$F151,BD$3)</f>
        <v>22</v>
      </c>
      <c r="BE151" s="64">
        <f>_xll.DBRW($C$2,$BB$1,BB$2,$D$18,$D$3,$D151,$E151,$F151,BE$3)</f>
        <v>0</v>
      </c>
      <c r="BF151" s="58">
        <f>_xll.DBRW($C$2,$BB$1,BB$2,$D$18,$D$3,$D151,$E151,$F151,BF$3)</f>
        <v>0</v>
      </c>
      <c r="BG151" s="48">
        <f t="shared" ref="BG151:BG206" si="55">BA151+BB151+BC151-BD151+BF151</f>
        <v>63</v>
      </c>
      <c r="BH151" s="39">
        <f>_xll.DBRW($C$2,$BH$1,BH$2,$D$18,$D$3,$D151,$E151,$F151,BH$3)</f>
        <v>0</v>
      </c>
      <c r="BI151" s="25" cm="1">
        <f t="array" ref="BI151">_xll.DBRW($E$2,BH$1,BH$2,$D$18,$D$3,$D151,$E151,$F151,$F$3,BI$3)</f>
        <v>0</v>
      </c>
      <c r="BJ151" s="25">
        <f>_xll.DBRW($C$2,$BH$1,BH$2,$D$18,$D$3,$D151,$E151,$F151,BJ$3)</f>
        <v>22</v>
      </c>
      <c r="BK151" s="64">
        <f>_xll.DBRW($C$2,$BH$1,BH$2,$D$18,$D$3,$D151,$E151,$F151,BK$3)</f>
        <v>0</v>
      </c>
      <c r="BL151" s="58">
        <f>_xll.DBRW($C$2,$BH$1,BH$2,$D$18,$D$3,$D151,$E151,$F151,BL$3)</f>
        <v>0</v>
      </c>
      <c r="BM151" s="48">
        <f t="shared" ref="BM151:BM206" si="56">BG151+BH151+BI151-BJ151+BL151</f>
        <v>41</v>
      </c>
      <c r="BN151" s="39">
        <f>_xll.DBRW($C$2,$BN$1,BN$2,$D$18,$D$3,$D151,$E151,$F151,BN$3)</f>
        <v>0</v>
      </c>
      <c r="BO151" s="25" cm="1">
        <f t="array" ref="BO151">_xll.DBRW($E$2,BN$1,BN$2,$D$18,$D$3,$D151,$E151,$F151,$F$3,BO$3)</f>
        <v>0</v>
      </c>
      <c r="BP151" s="25">
        <f>_xll.DBRW($C$2,$BN$1,BN$2,$D$18,$D$3,$D151,$E151,$F151,BP$3)</f>
        <v>22</v>
      </c>
      <c r="BQ151" s="64">
        <f>_xll.DBRW($C$2,$BN$1,BN$2,$D$18,$D$3,$D151,$E151,$F151,BQ$3)</f>
        <v>0</v>
      </c>
      <c r="BR151" s="58">
        <f>_xll.DBRW($C$2,$BN$1,BN$2,$D$18,$D$3,$D151,$E151,$F151,BR$3)</f>
        <v>0</v>
      </c>
      <c r="BS151" s="48">
        <f t="shared" ref="BS151:BS206" si="57">BM151+BN151+BO151-BP151+BR151</f>
        <v>19</v>
      </c>
      <c r="BT151" s="39">
        <f>_xll.DBRW($C$2,$BT$1,BT$2,$D$18,$D$3,$D151,$E151,$F151,BT$3)</f>
        <v>0</v>
      </c>
      <c r="BU151" s="25" cm="1">
        <f t="array" ref="BU151">_xll.DBRW($E$2,BT$1,BT$2,$D$18,$D$3,$D151,$E151,$F151,$F$3,BU$3)</f>
        <v>0</v>
      </c>
      <c r="BV151" s="25">
        <f>_xll.DBRW($C$2,$BT$1,BT$2,$D$18,$D$3,$D151,$E151,$F151,BV$3)</f>
        <v>22</v>
      </c>
      <c r="BW151" s="64">
        <f>_xll.DBRW($C$2,$BT$1,BT$2,$D$18,$D$3,$D151,$E151,$F151,BW$3)</f>
        <v>0</v>
      </c>
      <c r="BX151" s="58">
        <f>_xll.DBRW($C$2,$BT$1,BT$2,$D$18,$D$3,$D151,$E151,$F151,BX$3)</f>
        <v>0</v>
      </c>
      <c r="BY151" s="48">
        <f t="shared" ref="BY151:BY206" si="58">BS151+BT151+BU151-BV151+BX151</f>
        <v>-3</v>
      </c>
      <c r="BZ151" s="39">
        <f>_xll.DBRW($C$2,$BZ$1,BZ$2,$D$18,$D$3,$D151,$E151,$F151,BZ$3)</f>
        <v>0</v>
      </c>
      <c r="CA151" s="25" cm="1">
        <f t="array" ref="CA151">_xll.DBRW($E$2,BZ$1,BZ$2,$D$18,$D$3,$D151,$E151,$F151,$F$3,CA$3)</f>
        <v>0</v>
      </c>
      <c r="CB151" s="25">
        <f>_xll.DBRW($C$2,$BZ$1,BZ$2,$D$18,$D$3,$D151,$E151,$F151,CB$3)</f>
        <v>22</v>
      </c>
      <c r="CC151" s="64">
        <f>_xll.DBRW($C$2,$BZ$1,BZ$2,$D$18,$D$3,$D151,$E151,$F151,CC$3)</f>
        <v>0</v>
      </c>
      <c r="CD151" s="58">
        <f>_xll.DBRW($C$2,$BZ$1,BZ$2,$D$18,$D$3,$D151,$E151,$F151,CD$3)</f>
        <v>0</v>
      </c>
      <c r="CE151" s="48">
        <f t="shared" ref="CE151:CE206" si="59">BY151+BZ151+CA151-CB151+CD151</f>
        <v>-25</v>
      </c>
    </row>
    <row r="152" spans="1:83" s="23" customFormat="1" outlineLevel="1" thickBot="1" x14ac:dyDescent="0.3">
      <c r="A152" s="91" t="str">
        <f>IF(_xll.TM1RPTELISCONSOLIDATED($F$22,$F152),IF(_xll.TM1RPTELLEV($F$22,$F152)&lt;=5,_xll.TM1RPTELLEV($F$22,$F152),"Default"),"Leaf")</f>
        <v>Leaf</v>
      </c>
      <c r="B152" s="24" t="str">
        <f>_xll.DBRW("TM1-S1_DEV:}ElementAttributes_SP_SKU",$D152,B$1)</f>
        <v>Primary</v>
      </c>
      <c r="C152" s="24" t="str">
        <f>_xll.DBRW("TM1-S1_DEV:}ElementAttributes_SP_SKU",$D152,C$1)</f>
        <v>TRAY</v>
      </c>
      <c r="D152" s="28" t="s">
        <v>447</v>
      </c>
      <c r="E152" s="28" t="s">
        <v>284</v>
      </c>
      <c r="F152" s="28" t="s">
        <v>46</v>
      </c>
      <c r="G152" s="4">
        <f>_xll.DBRW($C$2,$G$19,G$20,$D$18,$D$3,$D152,$E152,$F152,G$3)</f>
        <v>11</v>
      </c>
      <c r="H152" s="54">
        <f t="shared" si="48"/>
        <v>2</v>
      </c>
      <c r="I152" s="4"/>
      <c r="J152" s="25">
        <f>_xll.DBRW($C$2,$J$1,J$2,$D$18,$D$3,$D152,$E152,$F152,J$3)</f>
        <v>13</v>
      </c>
      <c r="K152" s="39">
        <f>_xll.DBRW($C$2,$J$1,J$2,$D$18,$D$3,$D152,$E152,$F152,K$3)</f>
        <v>0</v>
      </c>
      <c r="L152" s="25">
        <f>_xll.DBRW($C$2,$J$1,J$2,$D$18,$D$3,$D152,$E152,$F152,L$3)</f>
        <v>0</v>
      </c>
      <c r="M152" s="25">
        <f>_xll.DBRW($C$2,$J$1,J$2,$D$18,$D$3,$D152,$E152,$F152,M$3)</f>
        <v>0</v>
      </c>
      <c r="N152" s="25">
        <f>_xll.DBRW($C$2,$J$1,J$2,$D$18,$D$3,$D152,$E152,$F152,N$3)</f>
        <v>1</v>
      </c>
      <c r="O152" s="64">
        <f>_xll.DBRW($C$2,$J$1,J$2,$D$18,$D$3,$D152,$E152,$F152,O$3)</f>
        <v>1</v>
      </c>
      <c r="P152" s="58">
        <f>_xll.DBRW($C$2,$J$1,J$2,$D$18,$D$3,$D152,$E152,$F152,P$3)</f>
        <v>0</v>
      </c>
      <c r="Q152" s="48">
        <f>_xll.DBRW($C$2,$J$1,J$2,$D$18,$D$3,$D152,$E152,$F152,Q$3)</f>
        <v>12</v>
      </c>
      <c r="R152" s="39">
        <f>_xll.DBRW($C$2,$R$1,R$2,$D$18,$D$3,$D152,$E152,$F152,R$3)</f>
        <v>0</v>
      </c>
      <c r="S152" s="25" cm="1">
        <f t="array" ref="S152">_xll.DBRW($E$2,R$1,R$2,$D$18,$D$3,$D152,$E152,$F152,$F$3,S$3)</f>
        <v>0</v>
      </c>
      <c r="T152" s="25">
        <f>_xll.DBRW($C$2,$R$1,R$2,$D$18,$D$3,$D152,$E152,$F152,T$3)</f>
        <v>0</v>
      </c>
      <c r="U152" s="64">
        <f>_xll.DBRW($C$2,$R$1,R$2,$D$18,$D$3,$D152,$E152,$F152,U$3)</f>
        <v>0</v>
      </c>
      <c r="V152" s="58">
        <f>_xll.DBRW($C$2,$R$1,R$2,$D$18,$D$3,$D152,$E152,$F152,V$3)</f>
        <v>0</v>
      </c>
      <c r="W152" s="48">
        <f t="shared" si="49"/>
        <v>12</v>
      </c>
      <c r="X152" s="39">
        <f>_xll.DBRW($C$2,$X$1,X$2,$D$18,$D$3,$D152,$E152,$F152,X$3)</f>
        <v>0</v>
      </c>
      <c r="Y152" s="25" cm="1">
        <f t="array" ref="Y152">_xll.DBRW($E$2,X$1,X$2,$D$18,$D$3,$D152,$E152,$F152,$F$3,Y$3)</f>
        <v>0</v>
      </c>
      <c r="Z152" s="25">
        <f>_xll.DBRW($C$2,$X$1,X$2,$D$18,$D$3,$D152,$E152,$F152,Z$3)</f>
        <v>1</v>
      </c>
      <c r="AA152" s="64">
        <f>_xll.DBRW($C$2,$X$1,X$2,$D$18,$D$3,$D152,$E152,$F152,AA$3)</f>
        <v>0</v>
      </c>
      <c r="AB152" s="58">
        <f>_xll.DBRW($C$2,$X$1,X$2,$D$18,$D$3,$D152,$E152,$F152,AB$3)</f>
        <v>0</v>
      </c>
      <c r="AC152" s="48">
        <f t="shared" si="50"/>
        <v>11</v>
      </c>
      <c r="AD152" s="39">
        <f>_xll.DBRW($C$2,$AD$1,AD$2,$D$18,$D$3,$D152,$E152,$F152,AD$3)</f>
        <v>0</v>
      </c>
      <c r="AE152" s="25" cm="1">
        <f t="array" ref="AE152">_xll.DBRW($E$2,AD$1,AD$2,$D$18,$D$3,$D152,$E152,$F152,$F$3,AE$3)</f>
        <v>0</v>
      </c>
      <c r="AF152" s="25">
        <f>_xll.DBRW($C$2,$AD$1,AD$2,$D$18,$D$3,$D152,$E152,$F152,AF$3)</f>
        <v>1</v>
      </c>
      <c r="AG152" s="64">
        <f>_xll.DBRW($C$2,$AD$1,AD$2,$D$18,$D$3,$D152,$E152,$F152,AG$3)</f>
        <v>0</v>
      </c>
      <c r="AH152" s="58">
        <f>_xll.DBRW($C$2,$AD$1,AD$2,$D$18,$D$3,$D152,$E152,$F152,AH$3)</f>
        <v>0</v>
      </c>
      <c r="AI152" s="48">
        <f t="shared" si="51"/>
        <v>10</v>
      </c>
      <c r="AJ152" s="39">
        <f>_xll.DBRW($C$2,$AJ$1,AJ$2,$D$18,$D$3,$D152,$E152,$F152,AJ$3)</f>
        <v>0</v>
      </c>
      <c r="AK152" s="25" cm="1">
        <f t="array" ref="AK152">_xll.DBRW($E$2,AJ$1,AJ$2,$D$18,$D$3,$D152,$E152,$F152,$F$3,AK$3)</f>
        <v>0</v>
      </c>
      <c r="AL152" s="25">
        <f>_xll.DBRW($C$2,$AJ$1,AJ$2,$D$18,$D$3,$D152,$E152,$F152,AL$3)</f>
        <v>1</v>
      </c>
      <c r="AM152" s="64">
        <f>_xll.DBRW($C$2,$AJ$1,AJ$2,$D$18,$D$3,$D152,$E152,$F152,AM$3)</f>
        <v>0</v>
      </c>
      <c r="AN152" s="58">
        <f>_xll.DBRW($C$2,$AJ$1,AJ$2,$D$18,$D$3,$D152,$E152,$F152,AN$3)</f>
        <v>0</v>
      </c>
      <c r="AO152" s="48">
        <f t="shared" si="52"/>
        <v>9</v>
      </c>
      <c r="AP152" s="39">
        <f>_xll.DBRW($C$2,$AP$1,AP$2,$D$18,$D$3,$D152,$E152,$F152,AP$3)</f>
        <v>0</v>
      </c>
      <c r="AQ152" s="25" cm="1">
        <f t="array" ref="AQ152">_xll.DBRW($E$2,AP$1,AP$2,$D$18,$D$3,$D152,$E152,$F152,$F$3,AQ$3)</f>
        <v>0</v>
      </c>
      <c r="AR152" s="25">
        <f>_xll.DBRW($C$2,$AP$1,AP$2,$D$18,$D$3,$D152,$E152,$F152,AR$3)</f>
        <v>1</v>
      </c>
      <c r="AS152" s="64">
        <f>_xll.DBRW($C$2,$AP$1,AP$2,$D$18,$D$3,$D152,$E152,$F152,AS$3)</f>
        <v>0</v>
      </c>
      <c r="AT152" s="58">
        <f>_xll.DBRW($C$2,$AP$1,AP$2,$D$18,$D$3,$D152,$E152,$F152,AT$3)</f>
        <v>0</v>
      </c>
      <c r="AU152" s="48">
        <f t="shared" si="53"/>
        <v>8</v>
      </c>
      <c r="AV152" s="39">
        <f>_xll.DBRW($C$2,$AV$1,AV$2,$D$18,$D$3,$D152,$E152,$F152,AV$3)</f>
        <v>0</v>
      </c>
      <c r="AW152" s="25" cm="1">
        <f t="array" ref="AW152">_xll.DBRW($E$2,AV$1,AV$2,$D$18,$D$3,$D152,$E152,$F152,$F$3,AW$3)</f>
        <v>0</v>
      </c>
      <c r="AX152" s="25">
        <f>_xll.DBRW($C$2,$AV$1,AV$2,$D$18,$D$3,$D152,$E152,$F152,AX$3)</f>
        <v>1</v>
      </c>
      <c r="AY152" s="64">
        <f>_xll.DBRW($C$2,$AV$1,AV$2,$D$18,$D$3,$D152,$E152,$F152,AY$3)</f>
        <v>0</v>
      </c>
      <c r="AZ152" s="58">
        <f>_xll.DBRW($C$2,$AV$1,AV$2,$D$18,$D$3,$D152,$E152,$F152,AZ$3)</f>
        <v>0</v>
      </c>
      <c r="BA152" s="48">
        <f t="shared" si="54"/>
        <v>7</v>
      </c>
      <c r="BB152" s="39">
        <f>_xll.DBRW($C$2,$BB$1,BB$2,$D$18,$D$3,$D152,$E152,$F152,BB$3)</f>
        <v>0</v>
      </c>
      <c r="BC152" s="25" cm="1">
        <f t="array" ref="BC152">_xll.DBRW($E$2,BB$1,BB$2,$D$18,$D$3,$D152,$E152,$F152,$F$3,BC$3)</f>
        <v>0</v>
      </c>
      <c r="BD152" s="25">
        <f>_xll.DBRW($C$2,$BB$1,BB$2,$D$18,$D$3,$D152,$E152,$F152,BD$3)</f>
        <v>1</v>
      </c>
      <c r="BE152" s="64">
        <f>_xll.DBRW($C$2,$BB$1,BB$2,$D$18,$D$3,$D152,$E152,$F152,BE$3)</f>
        <v>0</v>
      </c>
      <c r="BF152" s="58">
        <f>_xll.DBRW($C$2,$BB$1,BB$2,$D$18,$D$3,$D152,$E152,$F152,BF$3)</f>
        <v>0</v>
      </c>
      <c r="BG152" s="48">
        <f t="shared" si="55"/>
        <v>6</v>
      </c>
      <c r="BH152" s="39">
        <f>_xll.DBRW($C$2,$BH$1,BH$2,$D$18,$D$3,$D152,$E152,$F152,BH$3)</f>
        <v>0</v>
      </c>
      <c r="BI152" s="25" cm="1">
        <f t="array" ref="BI152">_xll.DBRW($E$2,BH$1,BH$2,$D$18,$D$3,$D152,$E152,$F152,$F$3,BI$3)</f>
        <v>0</v>
      </c>
      <c r="BJ152" s="25">
        <f>_xll.DBRW($C$2,$BH$1,BH$2,$D$18,$D$3,$D152,$E152,$F152,BJ$3)</f>
        <v>1</v>
      </c>
      <c r="BK152" s="64">
        <f>_xll.DBRW($C$2,$BH$1,BH$2,$D$18,$D$3,$D152,$E152,$F152,BK$3)</f>
        <v>0</v>
      </c>
      <c r="BL152" s="58">
        <f>_xll.DBRW($C$2,$BH$1,BH$2,$D$18,$D$3,$D152,$E152,$F152,BL$3)</f>
        <v>0</v>
      </c>
      <c r="BM152" s="48">
        <f t="shared" si="56"/>
        <v>5</v>
      </c>
      <c r="BN152" s="39">
        <f>_xll.DBRW($C$2,$BN$1,BN$2,$D$18,$D$3,$D152,$E152,$F152,BN$3)</f>
        <v>0</v>
      </c>
      <c r="BO152" s="25" cm="1">
        <f t="array" ref="BO152">_xll.DBRW($E$2,BN$1,BN$2,$D$18,$D$3,$D152,$E152,$F152,$F$3,BO$3)</f>
        <v>0</v>
      </c>
      <c r="BP152" s="25">
        <f>_xll.DBRW($C$2,$BN$1,BN$2,$D$18,$D$3,$D152,$E152,$F152,BP$3)</f>
        <v>1</v>
      </c>
      <c r="BQ152" s="64">
        <f>_xll.DBRW($C$2,$BN$1,BN$2,$D$18,$D$3,$D152,$E152,$F152,BQ$3)</f>
        <v>0</v>
      </c>
      <c r="BR152" s="58">
        <f>_xll.DBRW($C$2,$BN$1,BN$2,$D$18,$D$3,$D152,$E152,$F152,BR$3)</f>
        <v>0</v>
      </c>
      <c r="BS152" s="48">
        <f t="shared" si="57"/>
        <v>4</v>
      </c>
      <c r="BT152" s="39">
        <f>_xll.DBRW($C$2,$BT$1,BT$2,$D$18,$D$3,$D152,$E152,$F152,BT$3)</f>
        <v>0</v>
      </c>
      <c r="BU152" s="25" cm="1">
        <f t="array" ref="BU152">_xll.DBRW($E$2,BT$1,BT$2,$D$18,$D$3,$D152,$E152,$F152,$F$3,BU$3)</f>
        <v>0</v>
      </c>
      <c r="BV152" s="25">
        <f>_xll.DBRW($C$2,$BT$1,BT$2,$D$18,$D$3,$D152,$E152,$F152,BV$3)</f>
        <v>1</v>
      </c>
      <c r="BW152" s="64">
        <f>_xll.DBRW($C$2,$BT$1,BT$2,$D$18,$D$3,$D152,$E152,$F152,BW$3)</f>
        <v>0</v>
      </c>
      <c r="BX152" s="58">
        <f>_xll.DBRW($C$2,$BT$1,BT$2,$D$18,$D$3,$D152,$E152,$F152,BX$3)</f>
        <v>0</v>
      </c>
      <c r="BY152" s="48">
        <f t="shared" si="58"/>
        <v>3</v>
      </c>
      <c r="BZ152" s="39">
        <f>_xll.DBRW($C$2,$BZ$1,BZ$2,$D$18,$D$3,$D152,$E152,$F152,BZ$3)</f>
        <v>0</v>
      </c>
      <c r="CA152" s="25" cm="1">
        <f t="array" ref="CA152">_xll.DBRW($E$2,BZ$1,BZ$2,$D$18,$D$3,$D152,$E152,$F152,$F$3,CA$3)</f>
        <v>0</v>
      </c>
      <c r="CB152" s="25">
        <f>_xll.DBRW($C$2,$BZ$1,BZ$2,$D$18,$D$3,$D152,$E152,$F152,CB$3)</f>
        <v>1</v>
      </c>
      <c r="CC152" s="64">
        <f>_xll.DBRW($C$2,$BZ$1,BZ$2,$D$18,$D$3,$D152,$E152,$F152,CC$3)</f>
        <v>0</v>
      </c>
      <c r="CD152" s="58">
        <f>_xll.DBRW($C$2,$BZ$1,BZ$2,$D$18,$D$3,$D152,$E152,$F152,CD$3)</f>
        <v>0</v>
      </c>
      <c r="CE152" s="48">
        <f t="shared" si="59"/>
        <v>2</v>
      </c>
    </row>
    <row r="153" spans="1:83" s="23" customFormat="1" outlineLevel="1" thickBot="1" x14ac:dyDescent="0.3">
      <c r="A153" s="91" t="str">
        <f>IF(_xll.TM1RPTELISCONSOLIDATED($F$22,$F153),IF(_xll.TM1RPTELLEV($F$22,$F153)&lt;=5,_xll.TM1RPTELLEV($F$22,$F153),"Default"),"Leaf")</f>
        <v>Leaf</v>
      </c>
      <c r="B153" s="24" t="str">
        <f>_xll.DBRW("TM1-S1_DEV:}ElementAttributes_SP_SKU",$D153,B$1)</f>
        <v>Primary</v>
      </c>
      <c r="C153" s="24" t="str">
        <f>_xll.DBRW("TM1-S1_DEV:}ElementAttributes_SP_SKU",$D153,C$1)</f>
        <v>TRAY</v>
      </c>
      <c r="D153" s="28" t="s">
        <v>448</v>
      </c>
      <c r="E153" s="28" t="s">
        <v>285</v>
      </c>
      <c r="F153" s="28" t="s">
        <v>46</v>
      </c>
      <c r="G153" s="4">
        <f>_xll.DBRW($C$2,$G$19,G$20,$D$18,$D$3,$D153,$E153,$F153,G$3)</f>
        <v>7</v>
      </c>
      <c r="H153" s="54">
        <f t="shared" si="48"/>
        <v>1</v>
      </c>
      <c r="I153" s="4"/>
      <c r="J153" s="25">
        <f>_xll.DBRW($C$2,$J$1,J$2,$D$18,$D$3,$D153,$E153,$F153,J$3)</f>
        <v>8</v>
      </c>
      <c r="K153" s="39">
        <f>_xll.DBRW($C$2,$J$1,J$2,$D$18,$D$3,$D153,$E153,$F153,K$3)</f>
        <v>0</v>
      </c>
      <c r="L153" s="25">
        <f>_xll.DBRW($C$2,$J$1,J$2,$D$18,$D$3,$D153,$E153,$F153,L$3)</f>
        <v>0</v>
      </c>
      <c r="M153" s="25">
        <f>_xll.DBRW($C$2,$J$1,J$2,$D$18,$D$3,$D153,$E153,$F153,M$3)</f>
        <v>0</v>
      </c>
      <c r="N153" s="25">
        <f>_xll.DBRW($C$2,$J$1,J$2,$D$18,$D$3,$D153,$E153,$F153,N$3)</f>
        <v>1</v>
      </c>
      <c r="O153" s="64">
        <f>_xll.DBRW($C$2,$J$1,J$2,$D$18,$D$3,$D153,$E153,$F153,O$3)</f>
        <v>1</v>
      </c>
      <c r="P153" s="58">
        <f>_xll.DBRW($C$2,$J$1,J$2,$D$18,$D$3,$D153,$E153,$F153,P$3)</f>
        <v>0</v>
      </c>
      <c r="Q153" s="48">
        <f>_xll.DBRW($C$2,$J$1,J$2,$D$18,$D$3,$D153,$E153,$F153,Q$3)</f>
        <v>7</v>
      </c>
      <c r="R153" s="39">
        <f>_xll.DBRW($C$2,$R$1,R$2,$D$18,$D$3,$D153,$E153,$F153,R$3)</f>
        <v>0</v>
      </c>
      <c r="S153" s="25" cm="1">
        <f t="array" ref="S153">_xll.DBRW($E$2,R$1,R$2,$D$18,$D$3,$D153,$E153,$F153,$F$3,S$3)</f>
        <v>0</v>
      </c>
      <c r="T153" s="25">
        <f>_xll.DBRW($C$2,$R$1,R$2,$D$18,$D$3,$D153,$E153,$F153,T$3)</f>
        <v>0</v>
      </c>
      <c r="U153" s="64">
        <f>_xll.DBRW($C$2,$R$1,R$2,$D$18,$D$3,$D153,$E153,$F153,U$3)</f>
        <v>0</v>
      </c>
      <c r="V153" s="58">
        <f>_xll.DBRW($C$2,$R$1,R$2,$D$18,$D$3,$D153,$E153,$F153,V$3)</f>
        <v>0</v>
      </c>
      <c r="W153" s="48">
        <f t="shared" si="49"/>
        <v>7</v>
      </c>
      <c r="X153" s="39">
        <f>_xll.DBRW($C$2,$X$1,X$2,$D$18,$D$3,$D153,$E153,$F153,X$3)</f>
        <v>0</v>
      </c>
      <c r="Y153" s="25" cm="1">
        <f t="array" ref="Y153">_xll.DBRW($E$2,X$1,X$2,$D$18,$D$3,$D153,$E153,$F153,$F$3,Y$3)</f>
        <v>0</v>
      </c>
      <c r="Z153" s="25">
        <f>_xll.DBRW($C$2,$X$1,X$2,$D$18,$D$3,$D153,$E153,$F153,Z$3)</f>
        <v>1</v>
      </c>
      <c r="AA153" s="64">
        <f>_xll.DBRW($C$2,$X$1,X$2,$D$18,$D$3,$D153,$E153,$F153,AA$3)</f>
        <v>0</v>
      </c>
      <c r="AB153" s="58">
        <f>_xll.DBRW($C$2,$X$1,X$2,$D$18,$D$3,$D153,$E153,$F153,AB$3)</f>
        <v>0</v>
      </c>
      <c r="AC153" s="48">
        <f t="shared" si="50"/>
        <v>6</v>
      </c>
      <c r="AD153" s="39">
        <f>_xll.DBRW($C$2,$AD$1,AD$2,$D$18,$D$3,$D153,$E153,$F153,AD$3)</f>
        <v>0</v>
      </c>
      <c r="AE153" s="25" cm="1">
        <f t="array" ref="AE153">_xll.DBRW($E$2,AD$1,AD$2,$D$18,$D$3,$D153,$E153,$F153,$F$3,AE$3)</f>
        <v>0</v>
      </c>
      <c r="AF153" s="25">
        <f>_xll.DBRW($C$2,$AD$1,AD$2,$D$18,$D$3,$D153,$E153,$F153,AF$3)</f>
        <v>1</v>
      </c>
      <c r="AG153" s="64">
        <f>_xll.DBRW($C$2,$AD$1,AD$2,$D$18,$D$3,$D153,$E153,$F153,AG$3)</f>
        <v>0</v>
      </c>
      <c r="AH153" s="58">
        <f>_xll.DBRW($C$2,$AD$1,AD$2,$D$18,$D$3,$D153,$E153,$F153,AH$3)</f>
        <v>0</v>
      </c>
      <c r="AI153" s="48">
        <f t="shared" si="51"/>
        <v>5</v>
      </c>
      <c r="AJ153" s="39">
        <f>_xll.DBRW($C$2,$AJ$1,AJ$2,$D$18,$D$3,$D153,$E153,$F153,AJ$3)</f>
        <v>0</v>
      </c>
      <c r="AK153" s="25" cm="1">
        <f t="array" ref="AK153">_xll.DBRW($E$2,AJ$1,AJ$2,$D$18,$D$3,$D153,$E153,$F153,$F$3,AK$3)</f>
        <v>0</v>
      </c>
      <c r="AL153" s="25">
        <f>_xll.DBRW($C$2,$AJ$1,AJ$2,$D$18,$D$3,$D153,$E153,$F153,AL$3)</f>
        <v>1</v>
      </c>
      <c r="AM153" s="64">
        <f>_xll.DBRW($C$2,$AJ$1,AJ$2,$D$18,$D$3,$D153,$E153,$F153,AM$3)</f>
        <v>0</v>
      </c>
      <c r="AN153" s="58">
        <f>_xll.DBRW($C$2,$AJ$1,AJ$2,$D$18,$D$3,$D153,$E153,$F153,AN$3)</f>
        <v>0</v>
      </c>
      <c r="AO153" s="48">
        <f t="shared" si="52"/>
        <v>4</v>
      </c>
      <c r="AP153" s="39">
        <f>_xll.DBRW($C$2,$AP$1,AP$2,$D$18,$D$3,$D153,$E153,$F153,AP$3)</f>
        <v>0</v>
      </c>
      <c r="AQ153" s="25" cm="1">
        <f t="array" ref="AQ153">_xll.DBRW($E$2,AP$1,AP$2,$D$18,$D$3,$D153,$E153,$F153,$F$3,AQ$3)</f>
        <v>0</v>
      </c>
      <c r="AR153" s="25">
        <f>_xll.DBRW($C$2,$AP$1,AP$2,$D$18,$D$3,$D153,$E153,$F153,AR$3)</f>
        <v>1</v>
      </c>
      <c r="AS153" s="64">
        <f>_xll.DBRW($C$2,$AP$1,AP$2,$D$18,$D$3,$D153,$E153,$F153,AS$3)</f>
        <v>0</v>
      </c>
      <c r="AT153" s="58">
        <f>_xll.DBRW($C$2,$AP$1,AP$2,$D$18,$D$3,$D153,$E153,$F153,AT$3)</f>
        <v>0</v>
      </c>
      <c r="AU153" s="48">
        <f t="shared" si="53"/>
        <v>3</v>
      </c>
      <c r="AV153" s="39">
        <f>_xll.DBRW($C$2,$AV$1,AV$2,$D$18,$D$3,$D153,$E153,$F153,AV$3)</f>
        <v>0</v>
      </c>
      <c r="AW153" s="25" cm="1">
        <f t="array" ref="AW153">_xll.DBRW($E$2,AV$1,AV$2,$D$18,$D$3,$D153,$E153,$F153,$F$3,AW$3)</f>
        <v>0</v>
      </c>
      <c r="AX153" s="25">
        <f>_xll.DBRW($C$2,$AV$1,AV$2,$D$18,$D$3,$D153,$E153,$F153,AX$3)</f>
        <v>1</v>
      </c>
      <c r="AY153" s="64">
        <f>_xll.DBRW($C$2,$AV$1,AV$2,$D$18,$D$3,$D153,$E153,$F153,AY$3)</f>
        <v>0</v>
      </c>
      <c r="AZ153" s="58">
        <f>_xll.DBRW($C$2,$AV$1,AV$2,$D$18,$D$3,$D153,$E153,$F153,AZ$3)</f>
        <v>0</v>
      </c>
      <c r="BA153" s="48">
        <f t="shared" si="54"/>
        <v>2</v>
      </c>
      <c r="BB153" s="39">
        <f>_xll.DBRW($C$2,$BB$1,BB$2,$D$18,$D$3,$D153,$E153,$F153,BB$3)</f>
        <v>0</v>
      </c>
      <c r="BC153" s="25" cm="1">
        <f t="array" ref="BC153">_xll.DBRW($E$2,BB$1,BB$2,$D$18,$D$3,$D153,$E153,$F153,$F$3,BC$3)</f>
        <v>0</v>
      </c>
      <c r="BD153" s="25">
        <f>_xll.DBRW($C$2,$BB$1,BB$2,$D$18,$D$3,$D153,$E153,$F153,BD$3)</f>
        <v>1</v>
      </c>
      <c r="BE153" s="64">
        <f>_xll.DBRW($C$2,$BB$1,BB$2,$D$18,$D$3,$D153,$E153,$F153,BE$3)</f>
        <v>0</v>
      </c>
      <c r="BF153" s="58">
        <f>_xll.DBRW($C$2,$BB$1,BB$2,$D$18,$D$3,$D153,$E153,$F153,BF$3)</f>
        <v>0</v>
      </c>
      <c r="BG153" s="48">
        <f t="shared" si="55"/>
        <v>1</v>
      </c>
      <c r="BH153" s="39">
        <f>_xll.DBRW($C$2,$BH$1,BH$2,$D$18,$D$3,$D153,$E153,$F153,BH$3)</f>
        <v>0</v>
      </c>
      <c r="BI153" s="25" cm="1">
        <f t="array" ref="BI153">_xll.DBRW($E$2,BH$1,BH$2,$D$18,$D$3,$D153,$E153,$F153,$F$3,BI$3)</f>
        <v>0</v>
      </c>
      <c r="BJ153" s="25">
        <f>_xll.DBRW($C$2,$BH$1,BH$2,$D$18,$D$3,$D153,$E153,$F153,BJ$3)</f>
        <v>1</v>
      </c>
      <c r="BK153" s="64">
        <f>_xll.DBRW($C$2,$BH$1,BH$2,$D$18,$D$3,$D153,$E153,$F153,BK$3)</f>
        <v>0</v>
      </c>
      <c r="BL153" s="58">
        <f>_xll.DBRW($C$2,$BH$1,BH$2,$D$18,$D$3,$D153,$E153,$F153,BL$3)</f>
        <v>0</v>
      </c>
      <c r="BM153" s="48">
        <f t="shared" si="56"/>
        <v>0</v>
      </c>
      <c r="BN153" s="39">
        <f>_xll.DBRW($C$2,$BN$1,BN$2,$D$18,$D$3,$D153,$E153,$F153,BN$3)</f>
        <v>0</v>
      </c>
      <c r="BO153" s="25" cm="1">
        <f t="array" ref="BO153">_xll.DBRW($E$2,BN$1,BN$2,$D$18,$D$3,$D153,$E153,$F153,$F$3,BO$3)</f>
        <v>0</v>
      </c>
      <c r="BP153" s="25">
        <f>_xll.DBRW($C$2,$BN$1,BN$2,$D$18,$D$3,$D153,$E153,$F153,BP$3)</f>
        <v>1</v>
      </c>
      <c r="BQ153" s="64">
        <f>_xll.DBRW($C$2,$BN$1,BN$2,$D$18,$D$3,$D153,$E153,$F153,BQ$3)</f>
        <v>0</v>
      </c>
      <c r="BR153" s="58">
        <f>_xll.DBRW($C$2,$BN$1,BN$2,$D$18,$D$3,$D153,$E153,$F153,BR$3)</f>
        <v>0</v>
      </c>
      <c r="BS153" s="48">
        <f t="shared" si="57"/>
        <v>-1</v>
      </c>
      <c r="BT153" s="39">
        <f>_xll.DBRW($C$2,$BT$1,BT$2,$D$18,$D$3,$D153,$E153,$F153,BT$3)</f>
        <v>0</v>
      </c>
      <c r="BU153" s="25" cm="1">
        <f t="array" ref="BU153">_xll.DBRW($E$2,BT$1,BT$2,$D$18,$D$3,$D153,$E153,$F153,$F$3,BU$3)</f>
        <v>0</v>
      </c>
      <c r="BV153" s="25">
        <f>_xll.DBRW($C$2,$BT$1,BT$2,$D$18,$D$3,$D153,$E153,$F153,BV$3)</f>
        <v>1</v>
      </c>
      <c r="BW153" s="64">
        <f>_xll.DBRW($C$2,$BT$1,BT$2,$D$18,$D$3,$D153,$E153,$F153,BW$3)</f>
        <v>0</v>
      </c>
      <c r="BX153" s="58">
        <f>_xll.DBRW($C$2,$BT$1,BT$2,$D$18,$D$3,$D153,$E153,$F153,BX$3)</f>
        <v>0</v>
      </c>
      <c r="BY153" s="48">
        <f t="shared" si="58"/>
        <v>-2</v>
      </c>
      <c r="BZ153" s="39">
        <f>_xll.DBRW($C$2,$BZ$1,BZ$2,$D$18,$D$3,$D153,$E153,$F153,BZ$3)</f>
        <v>0</v>
      </c>
      <c r="CA153" s="25" cm="1">
        <f t="array" ref="CA153">_xll.DBRW($E$2,BZ$1,BZ$2,$D$18,$D$3,$D153,$E153,$F153,$F$3,CA$3)</f>
        <v>0</v>
      </c>
      <c r="CB153" s="25">
        <f>_xll.DBRW($C$2,$BZ$1,BZ$2,$D$18,$D$3,$D153,$E153,$F153,CB$3)</f>
        <v>1</v>
      </c>
      <c r="CC153" s="64">
        <f>_xll.DBRW($C$2,$BZ$1,BZ$2,$D$18,$D$3,$D153,$E153,$F153,CC$3)</f>
        <v>0</v>
      </c>
      <c r="CD153" s="58">
        <f>_xll.DBRW($C$2,$BZ$1,BZ$2,$D$18,$D$3,$D153,$E153,$F153,CD$3)</f>
        <v>0</v>
      </c>
      <c r="CE153" s="48">
        <f t="shared" si="59"/>
        <v>-3</v>
      </c>
    </row>
    <row r="154" spans="1:83" s="23" customFormat="1" outlineLevel="1" thickBot="1" x14ac:dyDescent="0.3">
      <c r="A154" s="91" t="str">
        <f>IF(_xll.TM1RPTELISCONSOLIDATED($F$22,$F154),IF(_xll.TM1RPTELLEV($F$22,$F154)&lt;=5,_xll.TM1RPTELLEV($F$22,$F154),"Default"),"Leaf")</f>
        <v>Leaf</v>
      </c>
      <c r="B154" s="24" t="str">
        <f>_xll.DBRW("TM1-S1_DEV:}ElementAttributes_SP_SKU",$D154,B$1)</f>
        <v>Primary</v>
      </c>
      <c r="C154" s="24" t="str">
        <f>_xll.DBRW("TM1-S1_DEV:}ElementAttributes_SP_SKU",$D154,C$1)</f>
        <v>BOWL</v>
      </c>
      <c r="D154" s="28" t="s">
        <v>507</v>
      </c>
      <c r="E154" s="28" t="s">
        <v>286</v>
      </c>
      <c r="F154" s="28" t="s">
        <v>30</v>
      </c>
      <c r="G154" s="4">
        <f>_xll.DBRW($C$2,$G$19,G$20,$D$18,$D$3,$D154,$E154,$F154,G$3)</f>
        <v>10</v>
      </c>
      <c r="H154" s="54">
        <f t="shared" si="48"/>
        <v>0</v>
      </c>
      <c r="I154" s="4"/>
      <c r="J154" s="25">
        <f>_xll.DBRW($C$2,$J$1,J$2,$D$18,$D$3,$D154,$E154,$F154,J$3)</f>
        <v>10</v>
      </c>
      <c r="K154" s="39">
        <f>_xll.DBRW($C$2,$J$1,J$2,$D$18,$D$3,$D154,$E154,$F154,K$3)</f>
        <v>0</v>
      </c>
      <c r="L154" s="25">
        <f>_xll.DBRW($C$2,$J$1,J$2,$D$18,$D$3,$D154,$E154,$F154,L$3)</f>
        <v>0</v>
      </c>
      <c r="M154" s="25">
        <f>_xll.DBRW($C$2,$J$1,J$2,$D$18,$D$3,$D154,$E154,$F154,M$3)</f>
        <v>0</v>
      </c>
      <c r="N154" s="25">
        <f>_xll.DBRW($C$2,$J$1,J$2,$D$18,$D$3,$D154,$E154,$F154,N$3)</f>
        <v>0</v>
      </c>
      <c r="O154" s="64">
        <f>_xll.DBRW($C$2,$J$1,J$2,$D$18,$D$3,$D154,$E154,$F154,O$3)</f>
        <v>0</v>
      </c>
      <c r="P154" s="58">
        <f>_xll.DBRW($C$2,$J$1,J$2,$D$18,$D$3,$D154,$E154,$F154,P$3)</f>
        <v>0</v>
      </c>
      <c r="Q154" s="48">
        <f>_xll.DBRW($C$2,$J$1,J$2,$D$18,$D$3,$D154,$E154,$F154,Q$3)</f>
        <v>10</v>
      </c>
      <c r="R154" s="39">
        <f>_xll.DBRW($C$2,$R$1,R$2,$D$18,$D$3,$D154,$E154,$F154,R$3)</f>
        <v>0</v>
      </c>
      <c r="S154" s="25" cm="1">
        <f t="array" ref="S154">_xll.DBRW($E$2,R$1,R$2,$D$18,$D$3,$D154,$E154,$F154,$F$3,S$3)</f>
        <v>0</v>
      </c>
      <c r="T154" s="25">
        <f>_xll.DBRW($C$2,$R$1,R$2,$D$18,$D$3,$D154,$E154,$F154,T$3)</f>
        <v>0</v>
      </c>
      <c r="U154" s="64">
        <f>_xll.DBRW($C$2,$R$1,R$2,$D$18,$D$3,$D154,$E154,$F154,U$3)</f>
        <v>0</v>
      </c>
      <c r="V154" s="58">
        <f>_xll.DBRW($C$2,$R$1,R$2,$D$18,$D$3,$D154,$E154,$F154,V$3)</f>
        <v>0</v>
      </c>
      <c r="W154" s="48">
        <f t="shared" si="49"/>
        <v>10</v>
      </c>
      <c r="X154" s="39">
        <f>_xll.DBRW($C$2,$X$1,X$2,$D$18,$D$3,$D154,$E154,$F154,X$3)</f>
        <v>0</v>
      </c>
      <c r="Y154" s="25" cm="1">
        <f t="array" ref="Y154">_xll.DBRW($E$2,X$1,X$2,$D$18,$D$3,$D154,$E154,$F154,$F$3,Y$3)</f>
        <v>0</v>
      </c>
      <c r="Z154" s="25">
        <f>_xll.DBRW($C$2,$X$1,X$2,$D$18,$D$3,$D154,$E154,$F154,Z$3)</f>
        <v>1</v>
      </c>
      <c r="AA154" s="64">
        <f>_xll.DBRW($C$2,$X$1,X$2,$D$18,$D$3,$D154,$E154,$F154,AA$3)</f>
        <v>0</v>
      </c>
      <c r="AB154" s="58">
        <f>_xll.DBRW($C$2,$X$1,X$2,$D$18,$D$3,$D154,$E154,$F154,AB$3)</f>
        <v>0</v>
      </c>
      <c r="AC154" s="48">
        <f t="shared" si="50"/>
        <v>9</v>
      </c>
      <c r="AD154" s="39">
        <f>_xll.DBRW($C$2,$AD$1,AD$2,$D$18,$D$3,$D154,$E154,$F154,AD$3)</f>
        <v>0</v>
      </c>
      <c r="AE154" s="25" cm="1">
        <f t="array" ref="AE154">_xll.DBRW($E$2,AD$1,AD$2,$D$18,$D$3,$D154,$E154,$F154,$F$3,AE$3)</f>
        <v>0</v>
      </c>
      <c r="AF154" s="25">
        <f>_xll.DBRW($C$2,$AD$1,AD$2,$D$18,$D$3,$D154,$E154,$F154,AF$3)</f>
        <v>1</v>
      </c>
      <c r="AG154" s="64">
        <f>_xll.DBRW($C$2,$AD$1,AD$2,$D$18,$D$3,$D154,$E154,$F154,AG$3)</f>
        <v>0</v>
      </c>
      <c r="AH154" s="58">
        <f>_xll.DBRW($C$2,$AD$1,AD$2,$D$18,$D$3,$D154,$E154,$F154,AH$3)</f>
        <v>0</v>
      </c>
      <c r="AI154" s="48">
        <f t="shared" si="51"/>
        <v>8</v>
      </c>
      <c r="AJ154" s="39">
        <f>_xll.DBRW($C$2,$AJ$1,AJ$2,$D$18,$D$3,$D154,$E154,$F154,AJ$3)</f>
        <v>0</v>
      </c>
      <c r="AK154" s="25" cm="1">
        <f t="array" ref="AK154">_xll.DBRW($E$2,AJ$1,AJ$2,$D$18,$D$3,$D154,$E154,$F154,$F$3,AK$3)</f>
        <v>0</v>
      </c>
      <c r="AL154" s="25">
        <f>_xll.DBRW($C$2,$AJ$1,AJ$2,$D$18,$D$3,$D154,$E154,$F154,AL$3)</f>
        <v>1</v>
      </c>
      <c r="AM154" s="64">
        <f>_xll.DBRW($C$2,$AJ$1,AJ$2,$D$18,$D$3,$D154,$E154,$F154,AM$3)</f>
        <v>0</v>
      </c>
      <c r="AN154" s="58">
        <f>_xll.DBRW($C$2,$AJ$1,AJ$2,$D$18,$D$3,$D154,$E154,$F154,AN$3)</f>
        <v>0</v>
      </c>
      <c r="AO154" s="48">
        <f t="shared" si="52"/>
        <v>7</v>
      </c>
      <c r="AP154" s="39">
        <f>_xll.DBRW($C$2,$AP$1,AP$2,$D$18,$D$3,$D154,$E154,$F154,AP$3)</f>
        <v>0</v>
      </c>
      <c r="AQ154" s="25" cm="1">
        <f t="array" ref="AQ154">_xll.DBRW($E$2,AP$1,AP$2,$D$18,$D$3,$D154,$E154,$F154,$F$3,AQ$3)</f>
        <v>0</v>
      </c>
      <c r="AR154" s="25">
        <f>_xll.DBRW($C$2,$AP$1,AP$2,$D$18,$D$3,$D154,$E154,$F154,AR$3)</f>
        <v>1</v>
      </c>
      <c r="AS154" s="64">
        <f>_xll.DBRW($C$2,$AP$1,AP$2,$D$18,$D$3,$D154,$E154,$F154,AS$3)</f>
        <v>0</v>
      </c>
      <c r="AT154" s="58">
        <f>_xll.DBRW($C$2,$AP$1,AP$2,$D$18,$D$3,$D154,$E154,$F154,AT$3)</f>
        <v>0</v>
      </c>
      <c r="AU154" s="48">
        <f t="shared" si="53"/>
        <v>6</v>
      </c>
      <c r="AV154" s="39">
        <f>_xll.DBRW($C$2,$AV$1,AV$2,$D$18,$D$3,$D154,$E154,$F154,AV$3)</f>
        <v>0</v>
      </c>
      <c r="AW154" s="25" cm="1">
        <f t="array" ref="AW154">_xll.DBRW($E$2,AV$1,AV$2,$D$18,$D$3,$D154,$E154,$F154,$F$3,AW$3)</f>
        <v>0</v>
      </c>
      <c r="AX154" s="25">
        <f>_xll.DBRW($C$2,$AV$1,AV$2,$D$18,$D$3,$D154,$E154,$F154,AX$3)</f>
        <v>1</v>
      </c>
      <c r="AY154" s="64">
        <f>_xll.DBRW($C$2,$AV$1,AV$2,$D$18,$D$3,$D154,$E154,$F154,AY$3)</f>
        <v>0</v>
      </c>
      <c r="AZ154" s="58">
        <f>_xll.DBRW($C$2,$AV$1,AV$2,$D$18,$D$3,$D154,$E154,$F154,AZ$3)</f>
        <v>0</v>
      </c>
      <c r="BA154" s="48">
        <f t="shared" si="54"/>
        <v>5</v>
      </c>
      <c r="BB154" s="39">
        <f>_xll.DBRW($C$2,$BB$1,BB$2,$D$18,$D$3,$D154,$E154,$F154,BB$3)</f>
        <v>0</v>
      </c>
      <c r="BC154" s="25" cm="1">
        <f t="array" ref="BC154">_xll.DBRW($E$2,BB$1,BB$2,$D$18,$D$3,$D154,$E154,$F154,$F$3,BC$3)</f>
        <v>0</v>
      </c>
      <c r="BD154" s="25">
        <f>_xll.DBRW($C$2,$BB$1,BB$2,$D$18,$D$3,$D154,$E154,$F154,BD$3)</f>
        <v>1</v>
      </c>
      <c r="BE154" s="64">
        <f>_xll.DBRW($C$2,$BB$1,BB$2,$D$18,$D$3,$D154,$E154,$F154,BE$3)</f>
        <v>0</v>
      </c>
      <c r="BF154" s="58">
        <f>_xll.DBRW($C$2,$BB$1,BB$2,$D$18,$D$3,$D154,$E154,$F154,BF$3)</f>
        <v>0</v>
      </c>
      <c r="BG154" s="48">
        <f t="shared" si="55"/>
        <v>4</v>
      </c>
      <c r="BH154" s="39">
        <f>_xll.DBRW($C$2,$BH$1,BH$2,$D$18,$D$3,$D154,$E154,$F154,BH$3)</f>
        <v>0</v>
      </c>
      <c r="BI154" s="25" cm="1">
        <f t="array" ref="BI154">_xll.DBRW($E$2,BH$1,BH$2,$D$18,$D$3,$D154,$E154,$F154,$F$3,BI$3)</f>
        <v>0</v>
      </c>
      <c r="BJ154" s="25">
        <f>_xll.DBRW($C$2,$BH$1,BH$2,$D$18,$D$3,$D154,$E154,$F154,BJ$3)</f>
        <v>1</v>
      </c>
      <c r="BK154" s="64">
        <f>_xll.DBRW($C$2,$BH$1,BH$2,$D$18,$D$3,$D154,$E154,$F154,BK$3)</f>
        <v>0</v>
      </c>
      <c r="BL154" s="58">
        <f>_xll.DBRW($C$2,$BH$1,BH$2,$D$18,$D$3,$D154,$E154,$F154,BL$3)</f>
        <v>0</v>
      </c>
      <c r="BM154" s="48">
        <f t="shared" si="56"/>
        <v>3</v>
      </c>
      <c r="BN154" s="39">
        <f>_xll.DBRW($C$2,$BN$1,BN$2,$D$18,$D$3,$D154,$E154,$F154,BN$3)</f>
        <v>0</v>
      </c>
      <c r="BO154" s="25" cm="1">
        <f t="array" ref="BO154">_xll.DBRW($E$2,BN$1,BN$2,$D$18,$D$3,$D154,$E154,$F154,$F$3,BO$3)</f>
        <v>0</v>
      </c>
      <c r="BP154" s="25">
        <f>_xll.DBRW($C$2,$BN$1,BN$2,$D$18,$D$3,$D154,$E154,$F154,BP$3)</f>
        <v>1</v>
      </c>
      <c r="BQ154" s="64">
        <f>_xll.DBRW($C$2,$BN$1,BN$2,$D$18,$D$3,$D154,$E154,$F154,BQ$3)</f>
        <v>0</v>
      </c>
      <c r="BR154" s="58">
        <f>_xll.DBRW($C$2,$BN$1,BN$2,$D$18,$D$3,$D154,$E154,$F154,BR$3)</f>
        <v>0</v>
      </c>
      <c r="BS154" s="48">
        <f t="shared" si="57"/>
        <v>2</v>
      </c>
      <c r="BT154" s="39">
        <f>_xll.DBRW($C$2,$BT$1,BT$2,$D$18,$D$3,$D154,$E154,$F154,BT$3)</f>
        <v>0</v>
      </c>
      <c r="BU154" s="25" cm="1">
        <f t="array" ref="BU154">_xll.DBRW($E$2,BT$1,BT$2,$D$18,$D$3,$D154,$E154,$F154,$F$3,BU$3)</f>
        <v>0</v>
      </c>
      <c r="BV154" s="25">
        <f>_xll.DBRW($C$2,$BT$1,BT$2,$D$18,$D$3,$D154,$E154,$F154,BV$3)</f>
        <v>1</v>
      </c>
      <c r="BW154" s="64">
        <f>_xll.DBRW($C$2,$BT$1,BT$2,$D$18,$D$3,$D154,$E154,$F154,BW$3)</f>
        <v>0</v>
      </c>
      <c r="BX154" s="58">
        <f>_xll.DBRW($C$2,$BT$1,BT$2,$D$18,$D$3,$D154,$E154,$F154,BX$3)</f>
        <v>0</v>
      </c>
      <c r="BY154" s="48">
        <f t="shared" si="58"/>
        <v>1</v>
      </c>
      <c r="BZ154" s="39">
        <f>_xll.DBRW($C$2,$BZ$1,BZ$2,$D$18,$D$3,$D154,$E154,$F154,BZ$3)</f>
        <v>0</v>
      </c>
      <c r="CA154" s="25" cm="1">
        <f t="array" ref="CA154">_xll.DBRW($E$2,BZ$1,BZ$2,$D$18,$D$3,$D154,$E154,$F154,$F$3,CA$3)</f>
        <v>0</v>
      </c>
      <c r="CB154" s="25">
        <f>_xll.DBRW($C$2,$BZ$1,BZ$2,$D$18,$D$3,$D154,$E154,$F154,CB$3)</f>
        <v>1</v>
      </c>
      <c r="CC154" s="64">
        <f>_xll.DBRW($C$2,$BZ$1,BZ$2,$D$18,$D$3,$D154,$E154,$F154,CC$3)</f>
        <v>0</v>
      </c>
      <c r="CD154" s="58">
        <f>_xll.DBRW($C$2,$BZ$1,BZ$2,$D$18,$D$3,$D154,$E154,$F154,CD$3)</f>
        <v>0</v>
      </c>
      <c r="CE154" s="48">
        <f t="shared" si="59"/>
        <v>0</v>
      </c>
    </row>
    <row r="155" spans="1:83" s="23" customFormat="1" outlineLevel="1" thickBot="1" x14ac:dyDescent="0.3">
      <c r="A155" s="91" t="str">
        <f>IF(_xll.TM1RPTELISCONSOLIDATED($F$22,$F155),IF(_xll.TM1RPTELLEV($F$22,$F155)&lt;=5,_xll.TM1RPTELLEV($F$22,$F155),"Default"),"Leaf")</f>
        <v>Leaf</v>
      </c>
      <c r="B155" s="24" t="str">
        <f>_xll.DBRW("TM1-S1_DEV:}ElementAttributes_SP_SKU",$D155,B$1)</f>
        <v>Primary</v>
      </c>
      <c r="C155" s="24" t="str">
        <f>_xll.DBRW("TM1-S1_DEV:}ElementAttributes_SP_SKU",$D155,C$1)</f>
        <v>GEL</v>
      </c>
      <c r="D155" s="28" t="s">
        <v>508</v>
      </c>
      <c r="E155" s="28" t="s">
        <v>287</v>
      </c>
      <c r="F155" s="28" t="s">
        <v>102</v>
      </c>
      <c r="G155" s="4">
        <f>_xll.DBRW($C$2,$G$19,G$20,$D$18,$D$3,$D155,$E155,$F155,G$3)</f>
        <v>-3</v>
      </c>
      <c r="H155" s="54">
        <f t="shared" si="48"/>
        <v>3</v>
      </c>
      <c r="I155" s="4"/>
      <c r="J155" s="25">
        <f>_xll.DBRW($C$2,$J$1,J$2,$D$18,$D$3,$D155,$E155,$F155,J$3)</f>
        <v>0</v>
      </c>
      <c r="K155" s="39">
        <f>_xll.DBRW($C$2,$J$1,J$2,$D$18,$D$3,$D155,$E155,$F155,K$3)</f>
        <v>0</v>
      </c>
      <c r="L155" s="25">
        <f>_xll.DBRW($C$2,$J$1,J$2,$D$18,$D$3,$D155,$E155,$F155,L$3)</f>
        <v>0</v>
      </c>
      <c r="M155" s="25">
        <f>_xll.DBRW($C$2,$J$1,J$2,$D$18,$D$3,$D155,$E155,$F155,M$3)</f>
        <v>0</v>
      </c>
      <c r="N155" s="25">
        <f>_xll.DBRW($C$2,$J$1,J$2,$D$18,$D$3,$D155,$E155,$F155,N$3)</f>
        <v>0</v>
      </c>
      <c r="O155" s="64">
        <f>_xll.DBRW($C$2,$J$1,J$2,$D$18,$D$3,$D155,$E155,$F155,O$3)</f>
        <v>0</v>
      </c>
      <c r="P155" s="58">
        <f>_xll.DBRW($C$2,$J$1,J$2,$D$18,$D$3,$D155,$E155,$F155,P$3)</f>
        <v>0</v>
      </c>
      <c r="Q155" s="48">
        <f>_xll.DBRW($C$2,$J$1,J$2,$D$18,$D$3,$D155,$E155,$F155,Q$3)</f>
        <v>0</v>
      </c>
      <c r="R155" s="39">
        <f>_xll.DBRW($C$2,$R$1,R$2,$D$18,$D$3,$D155,$E155,$F155,R$3)</f>
        <v>0</v>
      </c>
      <c r="S155" s="25" cm="1">
        <f t="array" ref="S155">_xll.DBRW($E$2,R$1,R$2,$D$18,$D$3,$D155,$E155,$F155,$F$3,S$3)</f>
        <v>0</v>
      </c>
      <c r="T155" s="25">
        <f>_xll.DBRW($C$2,$R$1,R$2,$D$18,$D$3,$D155,$E155,$F155,T$3)</f>
        <v>0</v>
      </c>
      <c r="U155" s="64">
        <f>_xll.DBRW($C$2,$R$1,R$2,$D$18,$D$3,$D155,$E155,$F155,U$3)</f>
        <v>0</v>
      </c>
      <c r="V155" s="58">
        <f>_xll.DBRW($C$2,$R$1,R$2,$D$18,$D$3,$D155,$E155,$F155,V$3)</f>
        <v>0</v>
      </c>
      <c r="W155" s="48">
        <f t="shared" si="49"/>
        <v>0</v>
      </c>
      <c r="X155" s="39">
        <f>_xll.DBRW($C$2,$X$1,X$2,$D$18,$D$3,$D155,$E155,$F155,X$3)</f>
        <v>0</v>
      </c>
      <c r="Y155" s="25" cm="1">
        <f t="array" ref="Y155">_xll.DBRW($E$2,X$1,X$2,$D$18,$D$3,$D155,$E155,$F155,$F$3,Y$3)</f>
        <v>0</v>
      </c>
      <c r="Z155" s="25">
        <f>_xll.DBRW($C$2,$X$1,X$2,$D$18,$D$3,$D155,$E155,$F155,Z$3)</f>
        <v>0</v>
      </c>
      <c r="AA155" s="64">
        <f>_xll.DBRW($C$2,$X$1,X$2,$D$18,$D$3,$D155,$E155,$F155,AA$3)</f>
        <v>0</v>
      </c>
      <c r="AB155" s="58">
        <f>_xll.DBRW($C$2,$X$1,X$2,$D$18,$D$3,$D155,$E155,$F155,AB$3)</f>
        <v>0</v>
      </c>
      <c r="AC155" s="48">
        <f t="shared" si="50"/>
        <v>0</v>
      </c>
      <c r="AD155" s="39">
        <f>_xll.DBRW($C$2,$AD$1,AD$2,$D$18,$D$3,$D155,$E155,$F155,AD$3)</f>
        <v>0</v>
      </c>
      <c r="AE155" s="25" cm="1">
        <f t="array" ref="AE155">_xll.DBRW($E$2,AD$1,AD$2,$D$18,$D$3,$D155,$E155,$F155,$F$3,AE$3)</f>
        <v>0</v>
      </c>
      <c r="AF155" s="25">
        <f>_xll.DBRW($C$2,$AD$1,AD$2,$D$18,$D$3,$D155,$E155,$F155,AF$3)</f>
        <v>0</v>
      </c>
      <c r="AG155" s="64">
        <f>_xll.DBRW($C$2,$AD$1,AD$2,$D$18,$D$3,$D155,$E155,$F155,AG$3)</f>
        <v>0</v>
      </c>
      <c r="AH155" s="58">
        <f>_xll.DBRW($C$2,$AD$1,AD$2,$D$18,$D$3,$D155,$E155,$F155,AH$3)</f>
        <v>0</v>
      </c>
      <c r="AI155" s="48">
        <f t="shared" si="51"/>
        <v>0</v>
      </c>
      <c r="AJ155" s="39">
        <f>_xll.DBRW($C$2,$AJ$1,AJ$2,$D$18,$D$3,$D155,$E155,$F155,AJ$3)</f>
        <v>0</v>
      </c>
      <c r="AK155" s="25" cm="1">
        <f t="array" ref="AK155">_xll.DBRW($E$2,AJ$1,AJ$2,$D$18,$D$3,$D155,$E155,$F155,$F$3,AK$3)</f>
        <v>0</v>
      </c>
      <c r="AL155" s="25">
        <f>_xll.DBRW($C$2,$AJ$1,AJ$2,$D$18,$D$3,$D155,$E155,$F155,AL$3)</f>
        <v>0</v>
      </c>
      <c r="AM155" s="64">
        <f>_xll.DBRW($C$2,$AJ$1,AJ$2,$D$18,$D$3,$D155,$E155,$F155,AM$3)</f>
        <v>0</v>
      </c>
      <c r="AN155" s="58">
        <f>_xll.DBRW($C$2,$AJ$1,AJ$2,$D$18,$D$3,$D155,$E155,$F155,AN$3)</f>
        <v>0</v>
      </c>
      <c r="AO155" s="48">
        <f t="shared" si="52"/>
        <v>0</v>
      </c>
      <c r="AP155" s="39">
        <f>_xll.DBRW($C$2,$AP$1,AP$2,$D$18,$D$3,$D155,$E155,$F155,AP$3)</f>
        <v>0</v>
      </c>
      <c r="AQ155" s="25" cm="1">
        <f t="array" ref="AQ155">_xll.DBRW($E$2,AP$1,AP$2,$D$18,$D$3,$D155,$E155,$F155,$F$3,AQ$3)</f>
        <v>0</v>
      </c>
      <c r="AR155" s="25">
        <f>_xll.DBRW($C$2,$AP$1,AP$2,$D$18,$D$3,$D155,$E155,$F155,AR$3)</f>
        <v>0</v>
      </c>
      <c r="AS155" s="64">
        <f>_xll.DBRW($C$2,$AP$1,AP$2,$D$18,$D$3,$D155,$E155,$F155,AS$3)</f>
        <v>0</v>
      </c>
      <c r="AT155" s="58">
        <f>_xll.DBRW($C$2,$AP$1,AP$2,$D$18,$D$3,$D155,$E155,$F155,AT$3)</f>
        <v>0</v>
      </c>
      <c r="AU155" s="48">
        <f t="shared" si="53"/>
        <v>0</v>
      </c>
      <c r="AV155" s="39">
        <f>_xll.DBRW($C$2,$AV$1,AV$2,$D$18,$D$3,$D155,$E155,$F155,AV$3)</f>
        <v>0</v>
      </c>
      <c r="AW155" s="25" cm="1">
        <f t="array" ref="AW155">_xll.DBRW($E$2,AV$1,AV$2,$D$18,$D$3,$D155,$E155,$F155,$F$3,AW$3)</f>
        <v>0</v>
      </c>
      <c r="AX155" s="25">
        <f>_xll.DBRW($C$2,$AV$1,AV$2,$D$18,$D$3,$D155,$E155,$F155,AX$3)</f>
        <v>0</v>
      </c>
      <c r="AY155" s="64">
        <f>_xll.DBRW($C$2,$AV$1,AV$2,$D$18,$D$3,$D155,$E155,$F155,AY$3)</f>
        <v>0</v>
      </c>
      <c r="AZ155" s="58">
        <f>_xll.DBRW($C$2,$AV$1,AV$2,$D$18,$D$3,$D155,$E155,$F155,AZ$3)</f>
        <v>0</v>
      </c>
      <c r="BA155" s="48">
        <f t="shared" si="54"/>
        <v>0</v>
      </c>
      <c r="BB155" s="39">
        <f>_xll.DBRW($C$2,$BB$1,BB$2,$D$18,$D$3,$D155,$E155,$F155,BB$3)</f>
        <v>0</v>
      </c>
      <c r="BC155" s="25" cm="1">
        <f t="array" ref="BC155">_xll.DBRW($E$2,BB$1,BB$2,$D$18,$D$3,$D155,$E155,$F155,$F$3,BC$3)</f>
        <v>0</v>
      </c>
      <c r="BD155" s="25">
        <f>_xll.DBRW($C$2,$BB$1,BB$2,$D$18,$D$3,$D155,$E155,$F155,BD$3)</f>
        <v>0</v>
      </c>
      <c r="BE155" s="64">
        <f>_xll.DBRW($C$2,$BB$1,BB$2,$D$18,$D$3,$D155,$E155,$F155,BE$3)</f>
        <v>0</v>
      </c>
      <c r="BF155" s="58">
        <f>_xll.DBRW($C$2,$BB$1,BB$2,$D$18,$D$3,$D155,$E155,$F155,BF$3)</f>
        <v>0</v>
      </c>
      <c r="BG155" s="48">
        <f t="shared" si="55"/>
        <v>0</v>
      </c>
      <c r="BH155" s="39">
        <f>_xll.DBRW($C$2,$BH$1,BH$2,$D$18,$D$3,$D155,$E155,$F155,BH$3)</f>
        <v>0</v>
      </c>
      <c r="BI155" s="25" cm="1">
        <f t="array" ref="BI155">_xll.DBRW($E$2,BH$1,BH$2,$D$18,$D$3,$D155,$E155,$F155,$F$3,BI$3)</f>
        <v>0</v>
      </c>
      <c r="BJ155" s="25">
        <f>_xll.DBRW($C$2,$BH$1,BH$2,$D$18,$D$3,$D155,$E155,$F155,BJ$3)</f>
        <v>0</v>
      </c>
      <c r="BK155" s="64">
        <f>_xll.DBRW($C$2,$BH$1,BH$2,$D$18,$D$3,$D155,$E155,$F155,BK$3)</f>
        <v>0</v>
      </c>
      <c r="BL155" s="58">
        <f>_xll.DBRW($C$2,$BH$1,BH$2,$D$18,$D$3,$D155,$E155,$F155,BL$3)</f>
        <v>0</v>
      </c>
      <c r="BM155" s="48">
        <f t="shared" si="56"/>
        <v>0</v>
      </c>
      <c r="BN155" s="39">
        <f>_xll.DBRW($C$2,$BN$1,BN$2,$D$18,$D$3,$D155,$E155,$F155,BN$3)</f>
        <v>0</v>
      </c>
      <c r="BO155" s="25" cm="1">
        <f t="array" ref="BO155">_xll.DBRW($E$2,BN$1,BN$2,$D$18,$D$3,$D155,$E155,$F155,$F$3,BO$3)</f>
        <v>0</v>
      </c>
      <c r="BP155" s="25">
        <f>_xll.DBRW($C$2,$BN$1,BN$2,$D$18,$D$3,$D155,$E155,$F155,BP$3)</f>
        <v>0</v>
      </c>
      <c r="BQ155" s="64">
        <f>_xll.DBRW($C$2,$BN$1,BN$2,$D$18,$D$3,$D155,$E155,$F155,BQ$3)</f>
        <v>0</v>
      </c>
      <c r="BR155" s="58">
        <f>_xll.DBRW($C$2,$BN$1,BN$2,$D$18,$D$3,$D155,$E155,$F155,BR$3)</f>
        <v>0</v>
      </c>
      <c r="BS155" s="48">
        <f t="shared" si="57"/>
        <v>0</v>
      </c>
      <c r="BT155" s="39">
        <f>_xll.DBRW($C$2,$BT$1,BT$2,$D$18,$D$3,$D155,$E155,$F155,BT$3)</f>
        <v>0</v>
      </c>
      <c r="BU155" s="25" cm="1">
        <f t="array" ref="BU155">_xll.DBRW($E$2,BT$1,BT$2,$D$18,$D$3,$D155,$E155,$F155,$F$3,BU$3)</f>
        <v>0</v>
      </c>
      <c r="BV155" s="25">
        <f>_xll.DBRW($C$2,$BT$1,BT$2,$D$18,$D$3,$D155,$E155,$F155,BV$3)</f>
        <v>0</v>
      </c>
      <c r="BW155" s="64">
        <f>_xll.DBRW($C$2,$BT$1,BT$2,$D$18,$D$3,$D155,$E155,$F155,BW$3)</f>
        <v>0</v>
      </c>
      <c r="BX155" s="58">
        <f>_xll.DBRW($C$2,$BT$1,BT$2,$D$18,$D$3,$D155,$E155,$F155,BX$3)</f>
        <v>0</v>
      </c>
      <c r="BY155" s="48">
        <f t="shared" si="58"/>
        <v>0</v>
      </c>
      <c r="BZ155" s="39">
        <f>_xll.DBRW($C$2,$BZ$1,BZ$2,$D$18,$D$3,$D155,$E155,$F155,BZ$3)</f>
        <v>0</v>
      </c>
      <c r="CA155" s="25" cm="1">
        <f t="array" ref="CA155">_xll.DBRW($E$2,BZ$1,BZ$2,$D$18,$D$3,$D155,$E155,$F155,$F$3,CA$3)</f>
        <v>0</v>
      </c>
      <c r="CB155" s="25">
        <f>_xll.DBRW($C$2,$BZ$1,BZ$2,$D$18,$D$3,$D155,$E155,$F155,CB$3)</f>
        <v>0</v>
      </c>
      <c r="CC155" s="64">
        <f>_xll.DBRW($C$2,$BZ$1,BZ$2,$D$18,$D$3,$D155,$E155,$F155,CC$3)</f>
        <v>0</v>
      </c>
      <c r="CD155" s="58">
        <f>_xll.DBRW($C$2,$BZ$1,BZ$2,$D$18,$D$3,$D155,$E155,$F155,CD$3)</f>
        <v>0</v>
      </c>
      <c r="CE155" s="48">
        <f t="shared" si="59"/>
        <v>0</v>
      </c>
    </row>
    <row r="156" spans="1:83" s="23" customFormat="1" outlineLevel="1" thickBot="1" x14ac:dyDescent="0.3">
      <c r="A156" s="91" t="str">
        <f>IF(_xll.TM1RPTELISCONSOLIDATED($F$22,$F156),IF(_xll.TM1RPTELLEV($F$22,$F156)&lt;=5,_xll.TM1RPTELLEV($F$22,$F156),"Default"),"Leaf")</f>
        <v>Leaf</v>
      </c>
      <c r="B156" s="24" t="str">
        <f>_xll.DBRW("TM1-S1_DEV:}ElementAttributes_SP_SKU",$D156,B$1)</f>
        <v>Primary</v>
      </c>
      <c r="C156" s="24" t="str">
        <f>_xll.DBRW("TM1-S1_DEV:}ElementAttributes_SP_SKU",$D156,C$1)</f>
        <v>BREAD</v>
      </c>
      <c r="D156" s="28" t="s">
        <v>509</v>
      </c>
      <c r="E156" s="28" t="s">
        <v>288</v>
      </c>
      <c r="F156" s="28" t="s">
        <v>54</v>
      </c>
      <c r="G156" s="4">
        <f>_xll.DBRW($C$2,$G$19,G$20,$D$18,$D$3,$D156,$E156,$F156,G$3)</f>
        <v>-1</v>
      </c>
      <c r="H156" s="54">
        <f t="shared" si="48"/>
        <v>1</v>
      </c>
      <c r="I156" s="4"/>
      <c r="J156" s="25">
        <f>_xll.DBRW($C$2,$J$1,J$2,$D$18,$D$3,$D156,$E156,$F156,J$3)</f>
        <v>0</v>
      </c>
      <c r="K156" s="39">
        <f>_xll.DBRW($C$2,$J$1,J$2,$D$18,$D$3,$D156,$E156,$F156,K$3)</f>
        <v>0</v>
      </c>
      <c r="L156" s="25">
        <f>_xll.DBRW($C$2,$J$1,J$2,$D$18,$D$3,$D156,$E156,$F156,L$3)</f>
        <v>0</v>
      </c>
      <c r="M156" s="25">
        <f>_xll.DBRW($C$2,$J$1,J$2,$D$18,$D$3,$D156,$E156,$F156,M$3)</f>
        <v>0</v>
      </c>
      <c r="N156" s="25">
        <f>_xll.DBRW($C$2,$J$1,J$2,$D$18,$D$3,$D156,$E156,$F156,N$3)</f>
        <v>0</v>
      </c>
      <c r="O156" s="64">
        <f>_xll.DBRW($C$2,$J$1,J$2,$D$18,$D$3,$D156,$E156,$F156,O$3)</f>
        <v>0</v>
      </c>
      <c r="P156" s="58">
        <f>_xll.DBRW($C$2,$J$1,J$2,$D$18,$D$3,$D156,$E156,$F156,P$3)</f>
        <v>0</v>
      </c>
      <c r="Q156" s="48">
        <f>_xll.DBRW($C$2,$J$1,J$2,$D$18,$D$3,$D156,$E156,$F156,Q$3)</f>
        <v>0</v>
      </c>
      <c r="R156" s="39">
        <f>_xll.DBRW($C$2,$R$1,R$2,$D$18,$D$3,$D156,$E156,$F156,R$3)</f>
        <v>0</v>
      </c>
      <c r="S156" s="25" cm="1">
        <f t="array" ref="S156">_xll.DBRW($E$2,R$1,R$2,$D$18,$D$3,$D156,$E156,$F156,$F$3,S$3)</f>
        <v>0</v>
      </c>
      <c r="T156" s="25">
        <f>_xll.DBRW($C$2,$R$1,R$2,$D$18,$D$3,$D156,$E156,$F156,T$3)</f>
        <v>0</v>
      </c>
      <c r="U156" s="64">
        <f>_xll.DBRW($C$2,$R$1,R$2,$D$18,$D$3,$D156,$E156,$F156,U$3)</f>
        <v>0</v>
      </c>
      <c r="V156" s="58">
        <f>_xll.DBRW($C$2,$R$1,R$2,$D$18,$D$3,$D156,$E156,$F156,V$3)</f>
        <v>0</v>
      </c>
      <c r="W156" s="48">
        <f t="shared" si="49"/>
        <v>0</v>
      </c>
      <c r="X156" s="39">
        <f>_xll.DBRW($C$2,$X$1,X$2,$D$18,$D$3,$D156,$E156,$F156,X$3)</f>
        <v>0</v>
      </c>
      <c r="Y156" s="25" cm="1">
        <f t="array" ref="Y156">_xll.DBRW($E$2,X$1,X$2,$D$18,$D$3,$D156,$E156,$F156,$F$3,Y$3)</f>
        <v>0</v>
      </c>
      <c r="Z156" s="25">
        <f>_xll.DBRW($C$2,$X$1,X$2,$D$18,$D$3,$D156,$E156,$F156,Z$3)</f>
        <v>2</v>
      </c>
      <c r="AA156" s="64">
        <f>_xll.DBRW($C$2,$X$1,X$2,$D$18,$D$3,$D156,$E156,$F156,AA$3)</f>
        <v>0</v>
      </c>
      <c r="AB156" s="58">
        <f>_xll.DBRW($C$2,$X$1,X$2,$D$18,$D$3,$D156,$E156,$F156,AB$3)</f>
        <v>0</v>
      </c>
      <c r="AC156" s="48">
        <f t="shared" si="50"/>
        <v>-2</v>
      </c>
      <c r="AD156" s="39">
        <f>_xll.DBRW($C$2,$AD$1,AD$2,$D$18,$D$3,$D156,$E156,$F156,AD$3)</f>
        <v>0</v>
      </c>
      <c r="AE156" s="25" cm="1">
        <f t="array" ref="AE156">_xll.DBRW($E$2,AD$1,AD$2,$D$18,$D$3,$D156,$E156,$F156,$F$3,AE$3)</f>
        <v>0</v>
      </c>
      <c r="AF156" s="25">
        <f>_xll.DBRW($C$2,$AD$1,AD$2,$D$18,$D$3,$D156,$E156,$F156,AF$3)</f>
        <v>2</v>
      </c>
      <c r="AG156" s="64">
        <f>_xll.DBRW($C$2,$AD$1,AD$2,$D$18,$D$3,$D156,$E156,$F156,AG$3)</f>
        <v>0</v>
      </c>
      <c r="AH156" s="58">
        <f>_xll.DBRW($C$2,$AD$1,AD$2,$D$18,$D$3,$D156,$E156,$F156,AH$3)</f>
        <v>0</v>
      </c>
      <c r="AI156" s="48">
        <f t="shared" si="51"/>
        <v>-4</v>
      </c>
      <c r="AJ156" s="39">
        <f>_xll.DBRW($C$2,$AJ$1,AJ$2,$D$18,$D$3,$D156,$E156,$F156,AJ$3)</f>
        <v>0</v>
      </c>
      <c r="AK156" s="25" cm="1">
        <f t="array" ref="AK156">_xll.DBRW($E$2,AJ$1,AJ$2,$D$18,$D$3,$D156,$E156,$F156,$F$3,AK$3)</f>
        <v>0</v>
      </c>
      <c r="AL156" s="25">
        <f>_xll.DBRW($C$2,$AJ$1,AJ$2,$D$18,$D$3,$D156,$E156,$F156,AL$3)</f>
        <v>2</v>
      </c>
      <c r="AM156" s="64">
        <f>_xll.DBRW($C$2,$AJ$1,AJ$2,$D$18,$D$3,$D156,$E156,$F156,AM$3)</f>
        <v>0</v>
      </c>
      <c r="AN156" s="58">
        <f>_xll.DBRW($C$2,$AJ$1,AJ$2,$D$18,$D$3,$D156,$E156,$F156,AN$3)</f>
        <v>0</v>
      </c>
      <c r="AO156" s="48">
        <f t="shared" si="52"/>
        <v>-6</v>
      </c>
      <c r="AP156" s="39">
        <f>_xll.DBRW($C$2,$AP$1,AP$2,$D$18,$D$3,$D156,$E156,$F156,AP$3)</f>
        <v>0</v>
      </c>
      <c r="AQ156" s="25" cm="1">
        <f t="array" ref="AQ156">_xll.DBRW($E$2,AP$1,AP$2,$D$18,$D$3,$D156,$E156,$F156,$F$3,AQ$3)</f>
        <v>0</v>
      </c>
      <c r="AR156" s="25">
        <f>_xll.DBRW($C$2,$AP$1,AP$2,$D$18,$D$3,$D156,$E156,$F156,AR$3)</f>
        <v>2</v>
      </c>
      <c r="AS156" s="64">
        <f>_xll.DBRW($C$2,$AP$1,AP$2,$D$18,$D$3,$D156,$E156,$F156,AS$3)</f>
        <v>0</v>
      </c>
      <c r="AT156" s="58">
        <f>_xll.DBRW($C$2,$AP$1,AP$2,$D$18,$D$3,$D156,$E156,$F156,AT$3)</f>
        <v>0</v>
      </c>
      <c r="AU156" s="48">
        <f t="shared" si="53"/>
        <v>-8</v>
      </c>
      <c r="AV156" s="39">
        <f>_xll.DBRW($C$2,$AV$1,AV$2,$D$18,$D$3,$D156,$E156,$F156,AV$3)</f>
        <v>0</v>
      </c>
      <c r="AW156" s="25" cm="1">
        <f t="array" ref="AW156">_xll.DBRW($E$2,AV$1,AV$2,$D$18,$D$3,$D156,$E156,$F156,$F$3,AW$3)</f>
        <v>0</v>
      </c>
      <c r="AX156" s="25">
        <f>_xll.DBRW($C$2,$AV$1,AV$2,$D$18,$D$3,$D156,$E156,$F156,AX$3)</f>
        <v>2</v>
      </c>
      <c r="AY156" s="64">
        <f>_xll.DBRW($C$2,$AV$1,AV$2,$D$18,$D$3,$D156,$E156,$F156,AY$3)</f>
        <v>0</v>
      </c>
      <c r="AZ156" s="58">
        <f>_xll.DBRW($C$2,$AV$1,AV$2,$D$18,$D$3,$D156,$E156,$F156,AZ$3)</f>
        <v>0</v>
      </c>
      <c r="BA156" s="48">
        <f t="shared" si="54"/>
        <v>-10</v>
      </c>
      <c r="BB156" s="39">
        <f>_xll.DBRW($C$2,$BB$1,BB$2,$D$18,$D$3,$D156,$E156,$F156,BB$3)</f>
        <v>0</v>
      </c>
      <c r="BC156" s="25" cm="1">
        <f t="array" ref="BC156">_xll.DBRW($E$2,BB$1,BB$2,$D$18,$D$3,$D156,$E156,$F156,$F$3,BC$3)</f>
        <v>0</v>
      </c>
      <c r="BD156" s="25">
        <f>_xll.DBRW($C$2,$BB$1,BB$2,$D$18,$D$3,$D156,$E156,$F156,BD$3)</f>
        <v>2</v>
      </c>
      <c r="BE156" s="64">
        <f>_xll.DBRW($C$2,$BB$1,BB$2,$D$18,$D$3,$D156,$E156,$F156,BE$3)</f>
        <v>0</v>
      </c>
      <c r="BF156" s="58">
        <f>_xll.DBRW($C$2,$BB$1,BB$2,$D$18,$D$3,$D156,$E156,$F156,BF$3)</f>
        <v>0</v>
      </c>
      <c r="BG156" s="48">
        <f t="shared" si="55"/>
        <v>-12</v>
      </c>
      <c r="BH156" s="39">
        <f>_xll.DBRW($C$2,$BH$1,BH$2,$D$18,$D$3,$D156,$E156,$F156,BH$3)</f>
        <v>0</v>
      </c>
      <c r="BI156" s="25" cm="1">
        <f t="array" ref="BI156">_xll.DBRW($E$2,BH$1,BH$2,$D$18,$D$3,$D156,$E156,$F156,$F$3,BI$3)</f>
        <v>0</v>
      </c>
      <c r="BJ156" s="25">
        <f>_xll.DBRW($C$2,$BH$1,BH$2,$D$18,$D$3,$D156,$E156,$F156,BJ$3)</f>
        <v>2</v>
      </c>
      <c r="BK156" s="64">
        <f>_xll.DBRW($C$2,$BH$1,BH$2,$D$18,$D$3,$D156,$E156,$F156,BK$3)</f>
        <v>0</v>
      </c>
      <c r="BL156" s="58">
        <f>_xll.DBRW($C$2,$BH$1,BH$2,$D$18,$D$3,$D156,$E156,$F156,BL$3)</f>
        <v>0</v>
      </c>
      <c r="BM156" s="48">
        <f t="shared" si="56"/>
        <v>-14</v>
      </c>
      <c r="BN156" s="39">
        <f>_xll.DBRW($C$2,$BN$1,BN$2,$D$18,$D$3,$D156,$E156,$F156,BN$3)</f>
        <v>0</v>
      </c>
      <c r="BO156" s="25" cm="1">
        <f t="array" ref="BO156">_xll.DBRW($E$2,BN$1,BN$2,$D$18,$D$3,$D156,$E156,$F156,$F$3,BO$3)</f>
        <v>0</v>
      </c>
      <c r="BP156" s="25">
        <f>_xll.DBRW($C$2,$BN$1,BN$2,$D$18,$D$3,$D156,$E156,$F156,BP$3)</f>
        <v>2</v>
      </c>
      <c r="BQ156" s="64">
        <f>_xll.DBRW($C$2,$BN$1,BN$2,$D$18,$D$3,$D156,$E156,$F156,BQ$3)</f>
        <v>0</v>
      </c>
      <c r="BR156" s="58">
        <f>_xll.DBRW($C$2,$BN$1,BN$2,$D$18,$D$3,$D156,$E156,$F156,BR$3)</f>
        <v>0</v>
      </c>
      <c r="BS156" s="48">
        <f t="shared" si="57"/>
        <v>-16</v>
      </c>
      <c r="BT156" s="39">
        <f>_xll.DBRW($C$2,$BT$1,BT$2,$D$18,$D$3,$D156,$E156,$F156,BT$3)</f>
        <v>0</v>
      </c>
      <c r="BU156" s="25" cm="1">
        <f t="array" ref="BU156">_xll.DBRW($E$2,BT$1,BT$2,$D$18,$D$3,$D156,$E156,$F156,$F$3,BU$3)</f>
        <v>0</v>
      </c>
      <c r="BV156" s="25">
        <f>_xll.DBRW($C$2,$BT$1,BT$2,$D$18,$D$3,$D156,$E156,$F156,BV$3)</f>
        <v>2</v>
      </c>
      <c r="BW156" s="64">
        <f>_xll.DBRW($C$2,$BT$1,BT$2,$D$18,$D$3,$D156,$E156,$F156,BW$3)</f>
        <v>0</v>
      </c>
      <c r="BX156" s="58">
        <f>_xll.DBRW($C$2,$BT$1,BT$2,$D$18,$D$3,$D156,$E156,$F156,BX$3)</f>
        <v>0</v>
      </c>
      <c r="BY156" s="48">
        <f t="shared" si="58"/>
        <v>-18</v>
      </c>
      <c r="BZ156" s="39">
        <f>_xll.DBRW($C$2,$BZ$1,BZ$2,$D$18,$D$3,$D156,$E156,$F156,BZ$3)</f>
        <v>0</v>
      </c>
      <c r="CA156" s="25" cm="1">
        <f t="array" ref="CA156">_xll.DBRW($E$2,BZ$1,BZ$2,$D$18,$D$3,$D156,$E156,$F156,$F$3,CA$3)</f>
        <v>0</v>
      </c>
      <c r="CB156" s="25">
        <f>_xll.DBRW($C$2,$BZ$1,BZ$2,$D$18,$D$3,$D156,$E156,$F156,CB$3)</f>
        <v>2</v>
      </c>
      <c r="CC156" s="64">
        <f>_xll.DBRW($C$2,$BZ$1,BZ$2,$D$18,$D$3,$D156,$E156,$F156,CC$3)</f>
        <v>0</v>
      </c>
      <c r="CD156" s="58">
        <f>_xll.DBRW($C$2,$BZ$1,BZ$2,$D$18,$D$3,$D156,$E156,$F156,CD$3)</f>
        <v>0</v>
      </c>
      <c r="CE156" s="48">
        <f t="shared" si="59"/>
        <v>-20</v>
      </c>
    </row>
    <row r="157" spans="1:83" s="23" customFormat="1" outlineLevel="1" thickBot="1" x14ac:dyDescent="0.3">
      <c r="A157" s="91" t="str">
        <f>IF(_xll.TM1RPTELISCONSOLIDATED($F$22,$F157),IF(_xll.TM1RPTELLEV($F$22,$F157)&lt;=5,_xll.TM1RPTELLEV($F$22,$F157),"Default"),"Leaf")</f>
        <v>Leaf</v>
      </c>
      <c r="B157" s="24" t="str">
        <f>_xll.DBRW("TM1-S1_DEV:}ElementAttributes_SP_SKU",$D157,B$1)</f>
        <v>Primary</v>
      </c>
      <c r="C157" s="24" t="str">
        <f>_xll.DBRW("TM1-S1_DEV:}ElementAttributes_SP_SKU",$D157,C$1)</f>
        <v>TRAY</v>
      </c>
      <c r="D157" s="28" t="s">
        <v>449</v>
      </c>
      <c r="E157" s="28" t="s">
        <v>289</v>
      </c>
      <c r="F157" s="28" t="s">
        <v>32</v>
      </c>
      <c r="G157" s="4">
        <f>_xll.DBRW($C$2,$G$19,G$20,$D$18,$D$3,$D157,$E157,$F157,G$3)</f>
        <v>20</v>
      </c>
      <c r="H157" s="54">
        <f t="shared" si="48"/>
        <v>1</v>
      </c>
      <c r="I157" s="4"/>
      <c r="J157" s="25">
        <f>_xll.DBRW($C$2,$J$1,J$2,$D$18,$D$3,$D157,$E157,$F157,J$3)</f>
        <v>21</v>
      </c>
      <c r="K157" s="39">
        <f>_xll.DBRW($C$2,$J$1,J$2,$D$18,$D$3,$D157,$E157,$F157,K$3)</f>
        <v>0</v>
      </c>
      <c r="L157" s="25">
        <f>_xll.DBRW($C$2,$J$1,J$2,$D$18,$D$3,$D157,$E157,$F157,L$3)</f>
        <v>0</v>
      </c>
      <c r="M157" s="25">
        <f>_xll.DBRW($C$2,$J$1,J$2,$D$18,$D$3,$D157,$E157,$F157,M$3)</f>
        <v>0</v>
      </c>
      <c r="N157" s="25">
        <f>_xll.DBRW($C$2,$J$1,J$2,$D$18,$D$3,$D157,$E157,$F157,N$3)</f>
        <v>8</v>
      </c>
      <c r="O157" s="64">
        <f>_xll.DBRW($C$2,$J$1,J$2,$D$18,$D$3,$D157,$E157,$F157,O$3)</f>
        <v>1</v>
      </c>
      <c r="P157" s="58">
        <f>_xll.DBRW($C$2,$J$1,J$2,$D$18,$D$3,$D157,$E157,$F157,P$3)</f>
        <v>0</v>
      </c>
      <c r="Q157" s="48">
        <f>_xll.DBRW($C$2,$J$1,J$2,$D$18,$D$3,$D157,$E157,$F157,Q$3)</f>
        <v>13</v>
      </c>
      <c r="R157" s="39">
        <f>_xll.DBRW($C$2,$R$1,R$2,$D$18,$D$3,$D157,$E157,$F157,R$3)</f>
        <v>0</v>
      </c>
      <c r="S157" s="25" cm="1">
        <f t="array" ref="S157">_xll.DBRW($E$2,R$1,R$2,$D$18,$D$3,$D157,$E157,$F157,$F$3,S$3)</f>
        <v>0</v>
      </c>
      <c r="T157" s="25">
        <f>_xll.DBRW($C$2,$R$1,R$2,$D$18,$D$3,$D157,$E157,$F157,T$3)</f>
        <v>0</v>
      </c>
      <c r="U157" s="64">
        <f>_xll.DBRW($C$2,$R$1,R$2,$D$18,$D$3,$D157,$E157,$F157,U$3)</f>
        <v>0</v>
      </c>
      <c r="V157" s="58">
        <f>_xll.DBRW($C$2,$R$1,R$2,$D$18,$D$3,$D157,$E157,$F157,V$3)</f>
        <v>0</v>
      </c>
      <c r="W157" s="48">
        <f t="shared" si="49"/>
        <v>13</v>
      </c>
      <c r="X157" s="39">
        <f>_xll.DBRW($C$2,$X$1,X$2,$D$18,$D$3,$D157,$E157,$F157,X$3)</f>
        <v>0</v>
      </c>
      <c r="Y157" s="25" cm="1">
        <f t="array" ref="Y157">_xll.DBRW($E$2,X$1,X$2,$D$18,$D$3,$D157,$E157,$F157,$F$3,Y$3)</f>
        <v>0</v>
      </c>
      <c r="Z157" s="25">
        <f>_xll.DBRW($C$2,$X$1,X$2,$D$18,$D$3,$D157,$E157,$F157,Z$3)</f>
        <v>2</v>
      </c>
      <c r="AA157" s="64">
        <f>_xll.DBRW($C$2,$X$1,X$2,$D$18,$D$3,$D157,$E157,$F157,AA$3)</f>
        <v>0</v>
      </c>
      <c r="AB157" s="58">
        <f>_xll.DBRW($C$2,$X$1,X$2,$D$18,$D$3,$D157,$E157,$F157,AB$3)</f>
        <v>0</v>
      </c>
      <c r="AC157" s="48">
        <f t="shared" si="50"/>
        <v>11</v>
      </c>
      <c r="AD157" s="39">
        <f>_xll.DBRW($C$2,$AD$1,AD$2,$D$18,$D$3,$D157,$E157,$F157,AD$3)</f>
        <v>0</v>
      </c>
      <c r="AE157" s="25" cm="1">
        <f t="array" ref="AE157">_xll.DBRW($E$2,AD$1,AD$2,$D$18,$D$3,$D157,$E157,$F157,$F$3,AE$3)</f>
        <v>0</v>
      </c>
      <c r="AF157" s="25">
        <f>_xll.DBRW($C$2,$AD$1,AD$2,$D$18,$D$3,$D157,$E157,$F157,AF$3)</f>
        <v>2</v>
      </c>
      <c r="AG157" s="64">
        <f>_xll.DBRW($C$2,$AD$1,AD$2,$D$18,$D$3,$D157,$E157,$F157,AG$3)</f>
        <v>0</v>
      </c>
      <c r="AH157" s="58">
        <f>_xll.DBRW($C$2,$AD$1,AD$2,$D$18,$D$3,$D157,$E157,$F157,AH$3)</f>
        <v>0</v>
      </c>
      <c r="AI157" s="48">
        <f t="shared" si="51"/>
        <v>9</v>
      </c>
      <c r="AJ157" s="39">
        <f>_xll.DBRW($C$2,$AJ$1,AJ$2,$D$18,$D$3,$D157,$E157,$F157,AJ$3)</f>
        <v>0</v>
      </c>
      <c r="AK157" s="25" cm="1">
        <f t="array" ref="AK157">_xll.DBRW($E$2,AJ$1,AJ$2,$D$18,$D$3,$D157,$E157,$F157,$F$3,AK$3)</f>
        <v>0</v>
      </c>
      <c r="AL157" s="25">
        <f>_xll.DBRW($C$2,$AJ$1,AJ$2,$D$18,$D$3,$D157,$E157,$F157,AL$3)</f>
        <v>2</v>
      </c>
      <c r="AM157" s="64">
        <f>_xll.DBRW($C$2,$AJ$1,AJ$2,$D$18,$D$3,$D157,$E157,$F157,AM$3)</f>
        <v>0</v>
      </c>
      <c r="AN157" s="58">
        <f>_xll.DBRW($C$2,$AJ$1,AJ$2,$D$18,$D$3,$D157,$E157,$F157,AN$3)</f>
        <v>0</v>
      </c>
      <c r="AO157" s="48">
        <f t="shared" si="52"/>
        <v>7</v>
      </c>
      <c r="AP157" s="39">
        <f>_xll.DBRW($C$2,$AP$1,AP$2,$D$18,$D$3,$D157,$E157,$F157,AP$3)</f>
        <v>0</v>
      </c>
      <c r="AQ157" s="25" cm="1">
        <f t="array" ref="AQ157">_xll.DBRW($E$2,AP$1,AP$2,$D$18,$D$3,$D157,$E157,$F157,$F$3,AQ$3)</f>
        <v>0</v>
      </c>
      <c r="AR157" s="25">
        <f>_xll.DBRW($C$2,$AP$1,AP$2,$D$18,$D$3,$D157,$E157,$F157,AR$3)</f>
        <v>2</v>
      </c>
      <c r="AS157" s="64">
        <f>_xll.DBRW($C$2,$AP$1,AP$2,$D$18,$D$3,$D157,$E157,$F157,AS$3)</f>
        <v>0</v>
      </c>
      <c r="AT157" s="58">
        <f>_xll.DBRW($C$2,$AP$1,AP$2,$D$18,$D$3,$D157,$E157,$F157,AT$3)</f>
        <v>0</v>
      </c>
      <c r="AU157" s="48">
        <f t="shared" si="53"/>
        <v>5</v>
      </c>
      <c r="AV157" s="39">
        <f>_xll.DBRW($C$2,$AV$1,AV$2,$D$18,$D$3,$D157,$E157,$F157,AV$3)</f>
        <v>0</v>
      </c>
      <c r="AW157" s="25" cm="1">
        <f t="array" ref="AW157">_xll.DBRW($E$2,AV$1,AV$2,$D$18,$D$3,$D157,$E157,$F157,$F$3,AW$3)</f>
        <v>0</v>
      </c>
      <c r="AX157" s="25">
        <f>_xll.DBRW($C$2,$AV$1,AV$2,$D$18,$D$3,$D157,$E157,$F157,AX$3)</f>
        <v>2</v>
      </c>
      <c r="AY157" s="64">
        <f>_xll.DBRW($C$2,$AV$1,AV$2,$D$18,$D$3,$D157,$E157,$F157,AY$3)</f>
        <v>0</v>
      </c>
      <c r="AZ157" s="58">
        <f>_xll.DBRW($C$2,$AV$1,AV$2,$D$18,$D$3,$D157,$E157,$F157,AZ$3)</f>
        <v>0</v>
      </c>
      <c r="BA157" s="48">
        <f t="shared" si="54"/>
        <v>3</v>
      </c>
      <c r="BB157" s="39">
        <f>_xll.DBRW($C$2,$BB$1,BB$2,$D$18,$D$3,$D157,$E157,$F157,BB$3)</f>
        <v>0</v>
      </c>
      <c r="BC157" s="25" cm="1">
        <f t="array" ref="BC157">_xll.DBRW($E$2,BB$1,BB$2,$D$18,$D$3,$D157,$E157,$F157,$F$3,BC$3)</f>
        <v>0</v>
      </c>
      <c r="BD157" s="25">
        <f>_xll.DBRW($C$2,$BB$1,BB$2,$D$18,$D$3,$D157,$E157,$F157,BD$3)</f>
        <v>2</v>
      </c>
      <c r="BE157" s="64">
        <f>_xll.DBRW($C$2,$BB$1,BB$2,$D$18,$D$3,$D157,$E157,$F157,BE$3)</f>
        <v>0</v>
      </c>
      <c r="BF157" s="58">
        <f>_xll.DBRW($C$2,$BB$1,BB$2,$D$18,$D$3,$D157,$E157,$F157,BF$3)</f>
        <v>0</v>
      </c>
      <c r="BG157" s="48">
        <f t="shared" si="55"/>
        <v>1</v>
      </c>
      <c r="BH157" s="39">
        <f>_xll.DBRW($C$2,$BH$1,BH$2,$D$18,$D$3,$D157,$E157,$F157,BH$3)</f>
        <v>0</v>
      </c>
      <c r="BI157" s="25" cm="1">
        <f t="array" ref="BI157">_xll.DBRW($E$2,BH$1,BH$2,$D$18,$D$3,$D157,$E157,$F157,$F$3,BI$3)</f>
        <v>0</v>
      </c>
      <c r="BJ157" s="25">
        <f>_xll.DBRW($C$2,$BH$1,BH$2,$D$18,$D$3,$D157,$E157,$F157,BJ$3)</f>
        <v>2</v>
      </c>
      <c r="BK157" s="64">
        <f>_xll.DBRW($C$2,$BH$1,BH$2,$D$18,$D$3,$D157,$E157,$F157,BK$3)</f>
        <v>0</v>
      </c>
      <c r="BL157" s="58">
        <f>_xll.DBRW($C$2,$BH$1,BH$2,$D$18,$D$3,$D157,$E157,$F157,BL$3)</f>
        <v>0</v>
      </c>
      <c r="BM157" s="48">
        <f t="shared" si="56"/>
        <v>-1</v>
      </c>
      <c r="BN157" s="39">
        <f>_xll.DBRW($C$2,$BN$1,BN$2,$D$18,$D$3,$D157,$E157,$F157,BN$3)</f>
        <v>0</v>
      </c>
      <c r="BO157" s="25" cm="1">
        <f t="array" ref="BO157">_xll.DBRW($E$2,BN$1,BN$2,$D$18,$D$3,$D157,$E157,$F157,$F$3,BO$3)</f>
        <v>0</v>
      </c>
      <c r="BP157" s="25">
        <f>_xll.DBRW($C$2,$BN$1,BN$2,$D$18,$D$3,$D157,$E157,$F157,BP$3)</f>
        <v>2</v>
      </c>
      <c r="BQ157" s="64">
        <f>_xll.DBRW($C$2,$BN$1,BN$2,$D$18,$D$3,$D157,$E157,$F157,BQ$3)</f>
        <v>0</v>
      </c>
      <c r="BR157" s="58">
        <f>_xll.DBRW($C$2,$BN$1,BN$2,$D$18,$D$3,$D157,$E157,$F157,BR$3)</f>
        <v>0</v>
      </c>
      <c r="BS157" s="48">
        <f t="shared" si="57"/>
        <v>-3</v>
      </c>
      <c r="BT157" s="39">
        <f>_xll.DBRW($C$2,$BT$1,BT$2,$D$18,$D$3,$D157,$E157,$F157,BT$3)</f>
        <v>0</v>
      </c>
      <c r="BU157" s="25" cm="1">
        <f t="array" ref="BU157">_xll.DBRW($E$2,BT$1,BT$2,$D$18,$D$3,$D157,$E157,$F157,$F$3,BU$3)</f>
        <v>0</v>
      </c>
      <c r="BV157" s="25">
        <f>_xll.DBRW($C$2,$BT$1,BT$2,$D$18,$D$3,$D157,$E157,$F157,BV$3)</f>
        <v>2</v>
      </c>
      <c r="BW157" s="64">
        <f>_xll.DBRW($C$2,$BT$1,BT$2,$D$18,$D$3,$D157,$E157,$F157,BW$3)</f>
        <v>0</v>
      </c>
      <c r="BX157" s="58">
        <f>_xll.DBRW($C$2,$BT$1,BT$2,$D$18,$D$3,$D157,$E157,$F157,BX$3)</f>
        <v>0</v>
      </c>
      <c r="BY157" s="48">
        <f t="shared" si="58"/>
        <v>-5</v>
      </c>
      <c r="BZ157" s="39">
        <f>_xll.DBRW($C$2,$BZ$1,BZ$2,$D$18,$D$3,$D157,$E157,$F157,BZ$3)</f>
        <v>0</v>
      </c>
      <c r="CA157" s="25" cm="1">
        <f t="array" ref="CA157">_xll.DBRW($E$2,BZ$1,BZ$2,$D$18,$D$3,$D157,$E157,$F157,$F$3,CA$3)</f>
        <v>0</v>
      </c>
      <c r="CB157" s="25">
        <f>_xll.DBRW($C$2,$BZ$1,BZ$2,$D$18,$D$3,$D157,$E157,$F157,CB$3)</f>
        <v>2</v>
      </c>
      <c r="CC157" s="64">
        <f>_xll.DBRW($C$2,$BZ$1,BZ$2,$D$18,$D$3,$D157,$E157,$F157,CC$3)</f>
        <v>0</v>
      </c>
      <c r="CD157" s="58">
        <f>_xll.DBRW($C$2,$BZ$1,BZ$2,$D$18,$D$3,$D157,$E157,$F157,CD$3)</f>
        <v>0</v>
      </c>
      <c r="CE157" s="48">
        <f t="shared" si="59"/>
        <v>-7</v>
      </c>
    </row>
    <row r="158" spans="1:83" s="23" customFormat="1" outlineLevel="1" thickBot="1" x14ac:dyDescent="0.3">
      <c r="A158" s="91" t="str">
        <f>IF(_xll.TM1RPTELISCONSOLIDATED($F$22,$F158),IF(_xll.TM1RPTELLEV($F$22,$F158)&lt;=5,_xll.TM1RPTELLEV($F$22,$F158),"Default"),"Leaf")</f>
        <v>Leaf</v>
      </c>
      <c r="B158" s="24" t="str">
        <f>_xll.DBRW("TM1-S1_DEV:}ElementAttributes_SP_SKU",$D158,B$1)</f>
        <v>Primary</v>
      </c>
      <c r="C158" s="24" t="str">
        <f>_xll.DBRW("TM1-S1_DEV:}ElementAttributes_SP_SKU",$D158,C$1)</f>
        <v>BAG</v>
      </c>
      <c r="D158" s="28" t="s">
        <v>450</v>
      </c>
      <c r="E158" s="28" t="s">
        <v>290</v>
      </c>
      <c r="F158" s="28" t="s">
        <v>323</v>
      </c>
      <c r="G158" s="4">
        <f>_xll.DBRW($C$2,$G$19,G$20,$D$18,$D$3,$D158,$E158,$F158,G$3)</f>
        <v>65</v>
      </c>
      <c r="H158" s="54">
        <f t="shared" si="48"/>
        <v>5</v>
      </c>
      <c r="I158" s="4"/>
      <c r="J158" s="25">
        <f>_xll.DBRW($C$2,$J$1,J$2,$D$18,$D$3,$D158,$E158,$F158,J$3)</f>
        <v>70</v>
      </c>
      <c r="K158" s="39">
        <f>_xll.DBRW($C$2,$J$1,J$2,$D$18,$D$3,$D158,$E158,$F158,K$3)</f>
        <v>0</v>
      </c>
      <c r="L158" s="25">
        <f>_xll.DBRW($C$2,$J$1,J$2,$D$18,$D$3,$D158,$E158,$F158,L$3)</f>
        <v>0</v>
      </c>
      <c r="M158" s="25">
        <f>_xll.DBRW($C$2,$J$1,J$2,$D$18,$D$3,$D158,$E158,$F158,M$3)</f>
        <v>0</v>
      </c>
      <c r="N158" s="25">
        <f>_xll.DBRW($C$2,$J$1,J$2,$D$18,$D$3,$D158,$E158,$F158,N$3)</f>
        <v>7</v>
      </c>
      <c r="O158" s="64">
        <f>_xll.DBRW($C$2,$J$1,J$2,$D$18,$D$3,$D158,$E158,$F158,O$3)</f>
        <v>1</v>
      </c>
      <c r="P158" s="58">
        <f>_xll.DBRW($C$2,$J$1,J$2,$D$18,$D$3,$D158,$E158,$F158,P$3)</f>
        <v>0</v>
      </c>
      <c r="Q158" s="48">
        <f>_xll.DBRW($C$2,$J$1,J$2,$D$18,$D$3,$D158,$E158,$F158,Q$3)</f>
        <v>63</v>
      </c>
      <c r="R158" s="39">
        <f>_xll.DBRW($C$2,$R$1,R$2,$D$18,$D$3,$D158,$E158,$F158,R$3)</f>
        <v>0</v>
      </c>
      <c r="S158" s="25" cm="1">
        <f t="array" ref="S158">_xll.DBRW($E$2,R$1,R$2,$D$18,$D$3,$D158,$E158,$F158,$F$3,S$3)</f>
        <v>0</v>
      </c>
      <c r="T158" s="25">
        <f>_xll.DBRW($C$2,$R$1,R$2,$D$18,$D$3,$D158,$E158,$F158,T$3)</f>
        <v>0</v>
      </c>
      <c r="U158" s="64">
        <f>_xll.DBRW($C$2,$R$1,R$2,$D$18,$D$3,$D158,$E158,$F158,U$3)</f>
        <v>0</v>
      </c>
      <c r="V158" s="58">
        <f>_xll.DBRW($C$2,$R$1,R$2,$D$18,$D$3,$D158,$E158,$F158,V$3)</f>
        <v>0</v>
      </c>
      <c r="W158" s="48">
        <f t="shared" si="49"/>
        <v>63</v>
      </c>
      <c r="X158" s="39">
        <f>_xll.DBRW($C$2,$X$1,X$2,$D$18,$D$3,$D158,$E158,$F158,X$3)</f>
        <v>0</v>
      </c>
      <c r="Y158" s="25" cm="1">
        <f t="array" ref="Y158">_xll.DBRW($E$2,X$1,X$2,$D$18,$D$3,$D158,$E158,$F158,$F$3,Y$3)</f>
        <v>0</v>
      </c>
      <c r="Z158" s="25">
        <f>_xll.DBRW($C$2,$X$1,X$2,$D$18,$D$3,$D158,$E158,$F158,Z$3)</f>
        <v>1</v>
      </c>
      <c r="AA158" s="64">
        <f>_xll.DBRW($C$2,$X$1,X$2,$D$18,$D$3,$D158,$E158,$F158,AA$3)</f>
        <v>0</v>
      </c>
      <c r="AB158" s="58">
        <f>_xll.DBRW($C$2,$X$1,X$2,$D$18,$D$3,$D158,$E158,$F158,AB$3)</f>
        <v>0</v>
      </c>
      <c r="AC158" s="48">
        <f t="shared" si="50"/>
        <v>62</v>
      </c>
      <c r="AD158" s="39">
        <f>_xll.DBRW($C$2,$AD$1,AD$2,$D$18,$D$3,$D158,$E158,$F158,AD$3)</f>
        <v>0</v>
      </c>
      <c r="AE158" s="25" cm="1">
        <f t="array" ref="AE158">_xll.DBRW($E$2,AD$1,AD$2,$D$18,$D$3,$D158,$E158,$F158,$F$3,AE$3)</f>
        <v>0</v>
      </c>
      <c r="AF158" s="25">
        <f>_xll.DBRW($C$2,$AD$1,AD$2,$D$18,$D$3,$D158,$E158,$F158,AF$3)</f>
        <v>1</v>
      </c>
      <c r="AG158" s="64">
        <f>_xll.DBRW($C$2,$AD$1,AD$2,$D$18,$D$3,$D158,$E158,$F158,AG$3)</f>
        <v>0</v>
      </c>
      <c r="AH158" s="58">
        <f>_xll.DBRW($C$2,$AD$1,AD$2,$D$18,$D$3,$D158,$E158,$F158,AH$3)</f>
        <v>0</v>
      </c>
      <c r="AI158" s="48">
        <f t="shared" si="51"/>
        <v>61</v>
      </c>
      <c r="AJ158" s="39">
        <f>_xll.DBRW($C$2,$AJ$1,AJ$2,$D$18,$D$3,$D158,$E158,$F158,AJ$3)</f>
        <v>0</v>
      </c>
      <c r="AK158" s="25" cm="1">
        <f t="array" ref="AK158">_xll.DBRW($E$2,AJ$1,AJ$2,$D$18,$D$3,$D158,$E158,$F158,$F$3,AK$3)</f>
        <v>0</v>
      </c>
      <c r="AL158" s="25">
        <f>_xll.DBRW($C$2,$AJ$1,AJ$2,$D$18,$D$3,$D158,$E158,$F158,AL$3)</f>
        <v>1</v>
      </c>
      <c r="AM158" s="64">
        <f>_xll.DBRW($C$2,$AJ$1,AJ$2,$D$18,$D$3,$D158,$E158,$F158,AM$3)</f>
        <v>0</v>
      </c>
      <c r="AN158" s="58">
        <f>_xll.DBRW($C$2,$AJ$1,AJ$2,$D$18,$D$3,$D158,$E158,$F158,AN$3)</f>
        <v>0</v>
      </c>
      <c r="AO158" s="48">
        <f t="shared" si="52"/>
        <v>60</v>
      </c>
      <c r="AP158" s="39">
        <f>_xll.DBRW($C$2,$AP$1,AP$2,$D$18,$D$3,$D158,$E158,$F158,AP$3)</f>
        <v>0</v>
      </c>
      <c r="AQ158" s="25" cm="1">
        <f t="array" ref="AQ158">_xll.DBRW($E$2,AP$1,AP$2,$D$18,$D$3,$D158,$E158,$F158,$F$3,AQ$3)</f>
        <v>0</v>
      </c>
      <c r="AR158" s="25">
        <f>_xll.DBRW($C$2,$AP$1,AP$2,$D$18,$D$3,$D158,$E158,$F158,AR$3)</f>
        <v>1</v>
      </c>
      <c r="AS158" s="64">
        <f>_xll.DBRW($C$2,$AP$1,AP$2,$D$18,$D$3,$D158,$E158,$F158,AS$3)</f>
        <v>0</v>
      </c>
      <c r="AT158" s="58">
        <f>_xll.DBRW($C$2,$AP$1,AP$2,$D$18,$D$3,$D158,$E158,$F158,AT$3)</f>
        <v>0</v>
      </c>
      <c r="AU158" s="48">
        <f t="shared" si="53"/>
        <v>59</v>
      </c>
      <c r="AV158" s="39">
        <f>_xll.DBRW($C$2,$AV$1,AV$2,$D$18,$D$3,$D158,$E158,$F158,AV$3)</f>
        <v>0</v>
      </c>
      <c r="AW158" s="25" cm="1">
        <f t="array" ref="AW158">_xll.DBRW($E$2,AV$1,AV$2,$D$18,$D$3,$D158,$E158,$F158,$F$3,AW$3)</f>
        <v>0</v>
      </c>
      <c r="AX158" s="25">
        <f>_xll.DBRW($C$2,$AV$1,AV$2,$D$18,$D$3,$D158,$E158,$F158,AX$3)</f>
        <v>1</v>
      </c>
      <c r="AY158" s="64">
        <f>_xll.DBRW($C$2,$AV$1,AV$2,$D$18,$D$3,$D158,$E158,$F158,AY$3)</f>
        <v>0</v>
      </c>
      <c r="AZ158" s="58">
        <f>_xll.DBRW($C$2,$AV$1,AV$2,$D$18,$D$3,$D158,$E158,$F158,AZ$3)</f>
        <v>0</v>
      </c>
      <c r="BA158" s="48">
        <f t="shared" si="54"/>
        <v>58</v>
      </c>
      <c r="BB158" s="39">
        <f>_xll.DBRW($C$2,$BB$1,BB$2,$D$18,$D$3,$D158,$E158,$F158,BB$3)</f>
        <v>0</v>
      </c>
      <c r="BC158" s="25" cm="1">
        <f t="array" ref="BC158">_xll.DBRW($E$2,BB$1,BB$2,$D$18,$D$3,$D158,$E158,$F158,$F$3,BC$3)</f>
        <v>0</v>
      </c>
      <c r="BD158" s="25">
        <f>_xll.DBRW($C$2,$BB$1,BB$2,$D$18,$D$3,$D158,$E158,$F158,BD$3)</f>
        <v>1</v>
      </c>
      <c r="BE158" s="64">
        <f>_xll.DBRW($C$2,$BB$1,BB$2,$D$18,$D$3,$D158,$E158,$F158,BE$3)</f>
        <v>0</v>
      </c>
      <c r="BF158" s="58">
        <f>_xll.DBRW($C$2,$BB$1,BB$2,$D$18,$D$3,$D158,$E158,$F158,BF$3)</f>
        <v>0</v>
      </c>
      <c r="BG158" s="48">
        <f t="shared" si="55"/>
        <v>57</v>
      </c>
      <c r="BH158" s="39">
        <f>_xll.DBRW($C$2,$BH$1,BH$2,$D$18,$D$3,$D158,$E158,$F158,BH$3)</f>
        <v>0</v>
      </c>
      <c r="BI158" s="25" cm="1">
        <f t="array" ref="BI158">_xll.DBRW($E$2,BH$1,BH$2,$D$18,$D$3,$D158,$E158,$F158,$F$3,BI$3)</f>
        <v>0</v>
      </c>
      <c r="BJ158" s="25">
        <f>_xll.DBRW($C$2,$BH$1,BH$2,$D$18,$D$3,$D158,$E158,$F158,BJ$3)</f>
        <v>1</v>
      </c>
      <c r="BK158" s="64">
        <f>_xll.DBRW($C$2,$BH$1,BH$2,$D$18,$D$3,$D158,$E158,$F158,BK$3)</f>
        <v>0</v>
      </c>
      <c r="BL158" s="58">
        <f>_xll.DBRW($C$2,$BH$1,BH$2,$D$18,$D$3,$D158,$E158,$F158,BL$3)</f>
        <v>0</v>
      </c>
      <c r="BM158" s="48">
        <f t="shared" si="56"/>
        <v>56</v>
      </c>
      <c r="BN158" s="39">
        <f>_xll.DBRW($C$2,$BN$1,BN$2,$D$18,$D$3,$D158,$E158,$F158,BN$3)</f>
        <v>0</v>
      </c>
      <c r="BO158" s="25" cm="1">
        <f t="array" ref="BO158">_xll.DBRW($E$2,BN$1,BN$2,$D$18,$D$3,$D158,$E158,$F158,$F$3,BO$3)</f>
        <v>0</v>
      </c>
      <c r="BP158" s="25">
        <f>_xll.DBRW($C$2,$BN$1,BN$2,$D$18,$D$3,$D158,$E158,$F158,BP$3)</f>
        <v>1</v>
      </c>
      <c r="BQ158" s="64">
        <f>_xll.DBRW($C$2,$BN$1,BN$2,$D$18,$D$3,$D158,$E158,$F158,BQ$3)</f>
        <v>0</v>
      </c>
      <c r="BR158" s="58">
        <f>_xll.DBRW($C$2,$BN$1,BN$2,$D$18,$D$3,$D158,$E158,$F158,BR$3)</f>
        <v>0</v>
      </c>
      <c r="BS158" s="48">
        <f t="shared" si="57"/>
        <v>55</v>
      </c>
      <c r="BT158" s="39">
        <f>_xll.DBRW($C$2,$BT$1,BT$2,$D$18,$D$3,$D158,$E158,$F158,BT$3)</f>
        <v>0</v>
      </c>
      <c r="BU158" s="25" cm="1">
        <f t="array" ref="BU158">_xll.DBRW($E$2,BT$1,BT$2,$D$18,$D$3,$D158,$E158,$F158,$F$3,BU$3)</f>
        <v>0</v>
      </c>
      <c r="BV158" s="25">
        <f>_xll.DBRW($C$2,$BT$1,BT$2,$D$18,$D$3,$D158,$E158,$F158,BV$3)</f>
        <v>1</v>
      </c>
      <c r="BW158" s="64">
        <f>_xll.DBRW($C$2,$BT$1,BT$2,$D$18,$D$3,$D158,$E158,$F158,BW$3)</f>
        <v>0</v>
      </c>
      <c r="BX158" s="58">
        <f>_xll.DBRW($C$2,$BT$1,BT$2,$D$18,$D$3,$D158,$E158,$F158,BX$3)</f>
        <v>0</v>
      </c>
      <c r="BY158" s="48">
        <f t="shared" si="58"/>
        <v>54</v>
      </c>
      <c r="BZ158" s="39">
        <f>_xll.DBRW($C$2,$BZ$1,BZ$2,$D$18,$D$3,$D158,$E158,$F158,BZ$3)</f>
        <v>0</v>
      </c>
      <c r="CA158" s="25" cm="1">
        <f t="array" ref="CA158">_xll.DBRW($E$2,BZ$1,BZ$2,$D$18,$D$3,$D158,$E158,$F158,$F$3,CA$3)</f>
        <v>0</v>
      </c>
      <c r="CB158" s="25">
        <f>_xll.DBRW($C$2,$BZ$1,BZ$2,$D$18,$D$3,$D158,$E158,$F158,CB$3)</f>
        <v>1</v>
      </c>
      <c r="CC158" s="64">
        <f>_xll.DBRW($C$2,$BZ$1,BZ$2,$D$18,$D$3,$D158,$E158,$F158,CC$3)</f>
        <v>0</v>
      </c>
      <c r="CD158" s="58">
        <f>_xll.DBRW($C$2,$BZ$1,BZ$2,$D$18,$D$3,$D158,$E158,$F158,CD$3)</f>
        <v>0</v>
      </c>
      <c r="CE158" s="48">
        <f t="shared" si="59"/>
        <v>53</v>
      </c>
    </row>
    <row r="159" spans="1:83" s="23" customFormat="1" outlineLevel="1" thickBot="1" x14ac:dyDescent="0.3">
      <c r="A159" s="91" t="str">
        <f>IF(_xll.TM1RPTELISCONSOLIDATED($F$22,$F159),IF(_xll.TM1RPTELLEV($F$22,$F159)&lt;=5,_xll.TM1RPTELLEV($F$22,$F159),"Default"),"Leaf")</f>
        <v>Leaf</v>
      </c>
      <c r="B159" s="24" t="str">
        <f>_xll.DBRW("TM1-S1_DEV:}ElementAttributes_SP_SKU",$D159,B$1)</f>
        <v>Primary</v>
      </c>
      <c r="C159" s="24" t="str">
        <f>_xll.DBRW("TM1-S1_DEV:}ElementAttributes_SP_SKU",$D159,C$1)</f>
        <v>FILM</v>
      </c>
      <c r="D159" s="28" t="s">
        <v>451</v>
      </c>
      <c r="E159" s="28" t="s">
        <v>291</v>
      </c>
      <c r="F159" s="28" t="s">
        <v>324</v>
      </c>
      <c r="G159" s="4">
        <f>_xll.DBRW($C$2,$G$19,G$20,$D$18,$D$3,$D159,$E159,$F159,G$3)</f>
        <v>275</v>
      </c>
      <c r="H159" s="54">
        <f t="shared" si="48"/>
        <v>-91</v>
      </c>
      <c r="I159" s="4"/>
      <c r="J159" s="25">
        <f>_xll.DBRW($C$2,$J$1,J$2,$D$18,$D$3,$D159,$E159,$F159,J$3)</f>
        <v>184</v>
      </c>
      <c r="K159" s="39">
        <f>_xll.DBRW($C$2,$J$1,J$2,$D$18,$D$3,$D159,$E159,$F159,K$3)</f>
        <v>0</v>
      </c>
      <c r="L159" s="25">
        <f>_xll.DBRW($C$2,$J$1,J$2,$D$18,$D$3,$D159,$E159,$F159,L$3)</f>
        <v>0</v>
      </c>
      <c r="M159" s="25">
        <f>_xll.DBRW($C$2,$J$1,J$2,$D$18,$D$3,$D159,$E159,$F159,M$3)</f>
        <v>0</v>
      </c>
      <c r="N159" s="25">
        <f>_xll.DBRW($C$2,$J$1,J$2,$D$18,$D$3,$D159,$E159,$F159,N$3)</f>
        <v>1</v>
      </c>
      <c r="O159" s="64">
        <f>_xll.DBRW($C$2,$J$1,J$2,$D$18,$D$3,$D159,$E159,$F159,O$3)</f>
        <v>1</v>
      </c>
      <c r="P159" s="58">
        <f>_xll.DBRW($C$2,$J$1,J$2,$D$18,$D$3,$D159,$E159,$F159,P$3)</f>
        <v>0</v>
      </c>
      <c r="Q159" s="48">
        <f>_xll.DBRW($C$2,$J$1,J$2,$D$18,$D$3,$D159,$E159,$F159,Q$3)</f>
        <v>183</v>
      </c>
      <c r="R159" s="39">
        <f>_xll.DBRW($C$2,$R$1,R$2,$D$18,$D$3,$D159,$E159,$F159,R$3)</f>
        <v>0</v>
      </c>
      <c r="S159" s="25" cm="1">
        <f t="array" ref="S159">_xll.DBRW($E$2,R$1,R$2,$D$18,$D$3,$D159,$E159,$F159,$F$3,S$3)</f>
        <v>0</v>
      </c>
      <c r="T159" s="25">
        <f>_xll.DBRW($C$2,$R$1,R$2,$D$18,$D$3,$D159,$E159,$F159,T$3)</f>
        <v>0</v>
      </c>
      <c r="U159" s="64">
        <f>_xll.DBRW($C$2,$R$1,R$2,$D$18,$D$3,$D159,$E159,$F159,U$3)</f>
        <v>0</v>
      </c>
      <c r="V159" s="58">
        <f>_xll.DBRW($C$2,$R$1,R$2,$D$18,$D$3,$D159,$E159,$F159,V$3)</f>
        <v>0</v>
      </c>
      <c r="W159" s="48">
        <f t="shared" si="49"/>
        <v>183</v>
      </c>
      <c r="X159" s="39">
        <f>_xll.DBRW($C$2,$X$1,X$2,$D$18,$D$3,$D159,$E159,$F159,X$3)</f>
        <v>0</v>
      </c>
      <c r="Y159" s="25" cm="1">
        <f t="array" ref="Y159">_xll.DBRW($E$2,X$1,X$2,$D$18,$D$3,$D159,$E159,$F159,$F$3,Y$3)</f>
        <v>0</v>
      </c>
      <c r="Z159" s="25">
        <f>_xll.DBRW($C$2,$X$1,X$2,$D$18,$D$3,$D159,$E159,$F159,Z$3)</f>
        <v>1</v>
      </c>
      <c r="AA159" s="64">
        <f>_xll.DBRW($C$2,$X$1,X$2,$D$18,$D$3,$D159,$E159,$F159,AA$3)</f>
        <v>1</v>
      </c>
      <c r="AB159" s="58">
        <f>_xll.DBRW($C$2,$X$1,X$2,$D$18,$D$3,$D159,$E159,$F159,AB$3)</f>
        <v>0</v>
      </c>
      <c r="AC159" s="48">
        <f t="shared" si="50"/>
        <v>182</v>
      </c>
      <c r="AD159" s="39">
        <f>_xll.DBRW($C$2,$AD$1,AD$2,$D$18,$D$3,$D159,$E159,$F159,AD$3)</f>
        <v>0</v>
      </c>
      <c r="AE159" s="25" cm="1">
        <f t="array" ref="AE159">_xll.DBRW($E$2,AD$1,AD$2,$D$18,$D$3,$D159,$E159,$F159,$F$3,AE$3)</f>
        <v>0</v>
      </c>
      <c r="AF159" s="25">
        <f>_xll.DBRW($C$2,$AD$1,AD$2,$D$18,$D$3,$D159,$E159,$F159,AF$3)</f>
        <v>1</v>
      </c>
      <c r="AG159" s="64">
        <f>_xll.DBRW($C$2,$AD$1,AD$2,$D$18,$D$3,$D159,$E159,$F159,AG$3)</f>
        <v>0</v>
      </c>
      <c r="AH159" s="58">
        <f>_xll.DBRW($C$2,$AD$1,AD$2,$D$18,$D$3,$D159,$E159,$F159,AH$3)</f>
        <v>0</v>
      </c>
      <c r="AI159" s="48">
        <f t="shared" si="51"/>
        <v>181</v>
      </c>
      <c r="AJ159" s="39">
        <f>_xll.DBRW($C$2,$AJ$1,AJ$2,$D$18,$D$3,$D159,$E159,$F159,AJ$3)</f>
        <v>0</v>
      </c>
      <c r="AK159" s="25" cm="1">
        <f t="array" ref="AK159">_xll.DBRW($E$2,AJ$1,AJ$2,$D$18,$D$3,$D159,$E159,$F159,$F$3,AK$3)</f>
        <v>0</v>
      </c>
      <c r="AL159" s="25">
        <f>_xll.DBRW($C$2,$AJ$1,AJ$2,$D$18,$D$3,$D159,$E159,$F159,AL$3)</f>
        <v>1</v>
      </c>
      <c r="AM159" s="64">
        <f>_xll.DBRW($C$2,$AJ$1,AJ$2,$D$18,$D$3,$D159,$E159,$F159,AM$3)</f>
        <v>0</v>
      </c>
      <c r="AN159" s="58">
        <f>_xll.DBRW($C$2,$AJ$1,AJ$2,$D$18,$D$3,$D159,$E159,$F159,AN$3)</f>
        <v>0</v>
      </c>
      <c r="AO159" s="48">
        <f t="shared" si="52"/>
        <v>180</v>
      </c>
      <c r="AP159" s="39">
        <f>_xll.DBRW($C$2,$AP$1,AP$2,$D$18,$D$3,$D159,$E159,$F159,AP$3)</f>
        <v>0</v>
      </c>
      <c r="AQ159" s="25" cm="1">
        <f t="array" ref="AQ159">_xll.DBRW($E$2,AP$1,AP$2,$D$18,$D$3,$D159,$E159,$F159,$F$3,AQ$3)</f>
        <v>0</v>
      </c>
      <c r="AR159" s="25">
        <f>_xll.DBRW($C$2,$AP$1,AP$2,$D$18,$D$3,$D159,$E159,$F159,AR$3)</f>
        <v>1</v>
      </c>
      <c r="AS159" s="64">
        <f>_xll.DBRW($C$2,$AP$1,AP$2,$D$18,$D$3,$D159,$E159,$F159,AS$3)</f>
        <v>0</v>
      </c>
      <c r="AT159" s="58">
        <f>_xll.DBRW($C$2,$AP$1,AP$2,$D$18,$D$3,$D159,$E159,$F159,AT$3)</f>
        <v>0</v>
      </c>
      <c r="AU159" s="48">
        <f t="shared" si="53"/>
        <v>179</v>
      </c>
      <c r="AV159" s="39">
        <f>_xll.DBRW($C$2,$AV$1,AV$2,$D$18,$D$3,$D159,$E159,$F159,AV$3)</f>
        <v>0</v>
      </c>
      <c r="AW159" s="25" cm="1">
        <f t="array" ref="AW159">_xll.DBRW($E$2,AV$1,AV$2,$D$18,$D$3,$D159,$E159,$F159,$F$3,AW$3)</f>
        <v>0</v>
      </c>
      <c r="AX159" s="25">
        <f>_xll.DBRW($C$2,$AV$1,AV$2,$D$18,$D$3,$D159,$E159,$F159,AX$3)</f>
        <v>1</v>
      </c>
      <c r="AY159" s="64">
        <f>_xll.DBRW($C$2,$AV$1,AV$2,$D$18,$D$3,$D159,$E159,$F159,AY$3)</f>
        <v>1</v>
      </c>
      <c r="AZ159" s="58">
        <f>_xll.DBRW($C$2,$AV$1,AV$2,$D$18,$D$3,$D159,$E159,$F159,AZ$3)</f>
        <v>0</v>
      </c>
      <c r="BA159" s="48">
        <f t="shared" si="54"/>
        <v>178</v>
      </c>
      <c r="BB159" s="39">
        <f>_xll.DBRW($C$2,$BB$1,BB$2,$D$18,$D$3,$D159,$E159,$F159,BB$3)</f>
        <v>0</v>
      </c>
      <c r="BC159" s="25" cm="1">
        <f t="array" ref="BC159">_xll.DBRW($E$2,BB$1,BB$2,$D$18,$D$3,$D159,$E159,$F159,$F$3,BC$3)</f>
        <v>0</v>
      </c>
      <c r="BD159" s="25">
        <f>_xll.DBRW($C$2,$BB$1,BB$2,$D$18,$D$3,$D159,$E159,$F159,BD$3)</f>
        <v>1</v>
      </c>
      <c r="BE159" s="64">
        <f>_xll.DBRW($C$2,$BB$1,BB$2,$D$18,$D$3,$D159,$E159,$F159,BE$3)</f>
        <v>0</v>
      </c>
      <c r="BF159" s="58">
        <f>_xll.DBRW($C$2,$BB$1,BB$2,$D$18,$D$3,$D159,$E159,$F159,BF$3)</f>
        <v>0</v>
      </c>
      <c r="BG159" s="48">
        <f t="shared" si="55"/>
        <v>177</v>
      </c>
      <c r="BH159" s="39">
        <f>_xll.DBRW($C$2,$BH$1,BH$2,$D$18,$D$3,$D159,$E159,$F159,BH$3)</f>
        <v>0</v>
      </c>
      <c r="BI159" s="25" cm="1">
        <f t="array" ref="BI159">_xll.DBRW($E$2,BH$1,BH$2,$D$18,$D$3,$D159,$E159,$F159,$F$3,BI$3)</f>
        <v>0</v>
      </c>
      <c r="BJ159" s="25">
        <f>_xll.DBRW($C$2,$BH$1,BH$2,$D$18,$D$3,$D159,$E159,$F159,BJ$3)</f>
        <v>1</v>
      </c>
      <c r="BK159" s="64">
        <f>_xll.DBRW($C$2,$BH$1,BH$2,$D$18,$D$3,$D159,$E159,$F159,BK$3)</f>
        <v>0</v>
      </c>
      <c r="BL159" s="58">
        <f>_xll.DBRW($C$2,$BH$1,BH$2,$D$18,$D$3,$D159,$E159,$F159,BL$3)</f>
        <v>0</v>
      </c>
      <c r="BM159" s="48">
        <f t="shared" si="56"/>
        <v>176</v>
      </c>
      <c r="BN159" s="39">
        <f>_xll.DBRW($C$2,$BN$1,BN$2,$D$18,$D$3,$D159,$E159,$F159,BN$3)</f>
        <v>0</v>
      </c>
      <c r="BO159" s="25" cm="1">
        <f t="array" ref="BO159">_xll.DBRW($E$2,BN$1,BN$2,$D$18,$D$3,$D159,$E159,$F159,$F$3,BO$3)</f>
        <v>0</v>
      </c>
      <c r="BP159" s="25">
        <f>_xll.DBRW($C$2,$BN$1,BN$2,$D$18,$D$3,$D159,$E159,$F159,BP$3)</f>
        <v>1</v>
      </c>
      <c r="BQ159" s="64">
        <f>_xll.DBRW($C$2,$BN$1,BN$2,$D$18,$D$3,$D159,$E159,$F159,BQ$3)</f>
        <v>0</v>
      </c>
      <c r="BR159" s="58">
        <f>_xll.DBRW($C$2,$BN$1,BN$2,$D$18,$D$3,$D159,$E159,$F159,BR$3)</f>
        <v>0</v>
      </c>
      <c r="BS159" s="48">
        <f t="shared" si="57"/>
        <v>175</v>
      </c>
      <c r="BT159" s="39">
        <f>_xll.DBRW($C$2,$BT$1,BT$2,$D$18,$D$3,$D159,$E159,$F159,BT$3)</f>
        <v>0</v>
      </c>
      <c r="BU159" s="25" cm="1">
        <f t="array" ref="BU159">_xll.DBRW($E$2,BT$1,BT$2,$D$18,$D$3,$D159,$E159,$F159,$F$3,BU$3)</f>
        <v>0</v>
      </c>
      <c r="BV159" s="25">
        <f>_xll.DBRW($C$2,$BT$1,BT$2,$D$18,$D$3,$D159,$E159,$F159,BV$3)</f>
        <v>1</v>
      </c>
      <c r="BW159" s="64">
        <f>_xll.DBRW($C$2,$BT$1,BT$2,$D$18,$D$3,$D159,$E159,$F159,BW$3)</f>
        <v>0</v>
      </c>
      <c r="BX159" s="58">
        <f>_xll.DBRW($C$2,$BT$1,BT$2,$D$18,$D$3,$D159,$E159,$F159,BX$3)</f>
        <v>0</v>
      </c>
      <c r="BY159" s="48">
        <f t="shared" si="58"/>
        <v>174</v>
      </c>
      <c r="BZ159" s="39">
        <f>_xll.DBRW($C$2,$BZ$1,BZ$2,$D$18,$D$3,$D159,$E159,$F159,BZ$3)</f>
        <v>0</v>
      </c>
      <c r="CA159" s="25" cm="1">
        <f t="array" ref="CA159">_xll.DBRW($E$2,BZ$1,BZ$2,$D$18,$D$3,$D159,$E159,$F159,$F$3,CA$3)</f>
        <v>0</v>
      </c>
      <c r="CB159" s="25">
        <f>_xll.DBRW($C$2,$BZ$1,BZ$2,$D$18,$D$3,$D159,$E159,$F159,CB$3)</f>
        <v>1</v>
      </c>
      <c r="CC159" s="64">
        <f>_xll.DBRW($C$2,$BZ$1,BZ$2,$D$18,$D$3,$D159,$E159,$F159,CC$3)</f>
        <v>0</v>
      </c>
      <c r="CD159" s="58">
        <f>_xll.DBRW($C$2,$BZ$1,BZ$2,$D$18,$D$3,$D159,$E159,$F159,CD$3)</f>
        <v>0</v>
      </c>
      <c r="CE159" s="48">
        <f t="shared" si="59"/>
        <v>173</v>
      </c>
    </row>
    <row r="160" spans="1:83" s="23" customFormat="1" outlineLevel="1" thickBot="1" x14ac:dyDescent="0.3">
      <c r="A160" s="91" t="str">
        <f>IF(_xll.TM1RPTELISCONSOLIDATED($F$22,$F160),IF(_xll.TM1RPTELLEV($F$22,$F160)&lt;=5,_xll.TM1RPTELLEV($F$22,$F160),"Default"),"Leaf")</f>
        <v>Leaf</v>
      </c>
      <c r="B160" s="24" t="str">
        <f>_xll.DBRW("TM1-S1_DEV:}ElementAttributes_SP_SKU",$D160,B$1)</f>
        <v>Primary</v>
      </c>
      <c r="C160" s="24" t="str">
        <f>_xll.DBRW("TM1-S1_DEV:}ElementAttributes_SP_SKU",$D160,C$1)</f>
        <v>BAG</v>
      </c>
      <c r="D160" s="28" t="s">
        <v>510</v>
      </c>
      <c r="E160" s="28" t="s">
        <v>292</v>
      </c>
      <c r="F160" s="28" t="s">
        <v>325</v>
      </c>
      <c r="G160" s="4">
        <f>_xll.DBRW($C$2,$G$19,G$20,$D$18,$D$3,$D160,$E160,$F160,G$3)</f>
        <v>23</v>
      </c>
      <c r="H160" s="54">
        <f t="shared" si="48"/>
        <v>3</v>
      </c>
      <c r="I160" s="4"/>
      <c r="J160" s="25">
        <f>_xll.DBRW($C$2,$J$1,J$2,$D$18,$D$3,$D160,$E160,$F160,J$3)</f>
        <v>26</v>
      </c>
      <c r="K160" s="39">
        <f>_xll.DBRW($C$2,$J$1,J$2,$D$18,$D$3,$D160,$E160,$F160,K$3)</f>
        <v>0</v>
      </c>
      <c r="L160" s="25">
        <f>_xll.DBRW($C$2,$J$1,J$2,$D$18,$D$3,$D160,$E160,$F160,L$3)</f>
        <v>0</v>
      </c>
      <c r="M160" s="25">
        <f>_xll.DBRW($C$2,$J$1,J$2,$D$18,$D$3,$D160,$E160,$F160,M$3)</f>
        <v>0</v>
      </c>
      <c r="N160" s="25">
        <f>_xll.DBRW($C$2,$J$1,J$2,$D$18,$D$3,$D160,$E160,$F160,N$3)</f>
        <v>0</v>
      </c>
      <c r="O160" s="64">
        <f>_xll.DBRW($C$2,$J$1,J$2,$D$18,$D$3,$D160,$E160,$F160,O$3)</f>
        <v>0</v>
      </c>
      <c r="P160" s="58">
        <f>_xll.DBRW($C$2,$J$1,J$2,$D$18,$D$3,$D160,$E160,$F160,P$3)</f>
        <v>0</v>
      </c>
      <c r="Q160" s="48">
        <f>_xll.DBRW($C$2,$J$1,J$2,$D$18,$D$3,$D160,$E160,$F160,Q$3)</f>
        <v>26</v>
      </c>
      <c r="R160" s="39">
        <f>_xll.DBRW($C$2,$R$1,R$2,$D$18,$D$3,$D160,$E160,$F160,R$3)</f>
        <v>0</v>
      </c>
      <c r="S160" s="25" cm="1">
        <f t="array" ref="S160">_xll.DBRW($E$2,R$1,R$2,$D$18,$D$3,$D160,$E160,$F160,$F$3,S$3)</f>
        <v>0</v>
      </c>
      <c r="T160" s="25">
        <f>_xll.DBRW($C$2,$R$1,R$2,$D$18,$D$3,$D160,$E160,$F160,T$3)</f>
        <v>0</v>
      </c>
      <c r="U160" s="64">
        <f>_xll.DBRW($C$2,$R$1,R$2,$D$18,$D$3,$D160,$E160,$F160,U$3)</f>
        <v>0</v>
      </c>
      <c r="V160" s="58">
        <f>_xll.DBRW($C$2,$R$1,R$2,$D$18,$D$3,$D160,$E160,$F160,V$3)</f>
        <v>0</v>
      </c>
      <c r="W160" s="48">
        <f t="shared" si="49"/>
        <v>26</v>
      </c>
      <c r="X160" s="39">
        <f>_xll.DBRW($C$2,$X$1,X$2,$D$18,$D$3,$D160,$E160,$F160,X$3)</f>
        <v>0</v>
      </c>
      <c r="Y160" s="25" cm="1">
        <f t="array" ref="Y160">_xll.DBRW($E$2,X$1,X$2,$D$18,$D$3,$D160,$E160,$F160,$F$3,Y$3)</f>
        <v>0</v>
      </c>
      <c r="Z160" s="25">
        <f>_xll.DBRW($C$2,$X$1,X$2,$D$18,$D$3,$D160,$E160,$F160,Z$3)</f>
        <v>1</v>
      </c>
      <c r="AA160" s="64">
        <f>_xll.DBRW($C$2,$X$1,X$2,$D$18,$D$3,$D160,$E160,$F160,AA$3)</f>
        <v>0</v>
      </c>
      <c r="AB160" s="58">
        <f>_xll.DBRW($C$2,$X$1,X$2,$D$18,$D$3,$D160,$E160,$F160,AB$3)</f>
        <v>0</v>
      </c>
      <c r="AC160" s="48">
        <f t="shared" si="50"/>
        <v>25</v>
      </c>
      <c r="AD160" s="39">
        <f>_xll.DBRW($C$2,$AD$1,AD$2,$D$18,$D$3,$D160,$E160,$F160,AD$3)</f>
        <v>0</v>
      </c>
      <c r="AE160" s="25" cm="1">
        <f t="array" ref="AE160">_xll.DBRW($E$2,AD$1,AD$2,$D$18,$D$3,$D160,$E160,$F160,$F$3,AE$3)</f>
        <v>0</v>
      </c>
      <c r="AF160" s="25">
        <f>_xll.DBRW($C$2,$AD$1,AD$2,$D$18,$D$3,$D160,$E160,$F160,AF$3)</f>
        <v>1</v>
      </c>
      <c r="AG160" s="64">
        <f>_xll.DBRW($C$2,$AD$1,AD$2,$D$18,$D$3,$D160,$E160,$F160,AG$3)</f>
        <v>0</v>
      </c>
      <c r="AH160" s="58">
        <f>_xll.DBRW($C$2,$AD$1,AD$2,$D$18,$D$3,$D160,$E160,$F160,AH$3)</f>
        <v>0</v>
      </c>
      <c r="AI160" s="48">
        <f t="shared" si="51"/>
        <v>24</v>
      </c>
      <c r="AJ160" s="39">
        <f>_xll.DBRW($C$2,$AJ$1,AJ$2,$D$18,$D$3,$D160,$E160,$F160,AJ$3)</f>
        <v>0</v>
      </c>
      <c r="AK160" s="25" cm="1">
        <f t="array" ref="AK160">_xll.DBRW($E$2,AJ$1,AJ$2,$D$18,$D$3,$D160,$E160,$F160,$F$3,AK$3)</f>
        <v>0</v>
      </c>
      <c r="AL160" s="25">
        <f>_xll.DBRW($C$2,$AJ$1,AJ$2,$D$18,$D$3,$D160,$E160,$F160,AL$3)</f>
        <v>1</v>
      </c>
      <c r="AM160" s="64">
        <f>_xll.DBRW($C$2,$AJ$1,AJ$2,$D$18,$D$3,$D160,$E160,$F160,AM$3)</f>
        <v>0</v>
      </c>
      <c r="AN160" s="58">
        <f>_xll.DBRW($C$2,$AJ$1,AJ$2,$D$18,$D$3,$D160,$E160,$F160,AN$3)</f>
        <v>0</v>
      </c>
      <c r="AO160" s="48">
        <f t="shared" si="52"/>
        <v>23</v>
      </c>
      <c r="AP160" s="39">
        <f>_xll.DBRW($C$2,$AP$1,AP$2,$D$18,$D$3,$D160,$E160,$F160,AP$3)</f>
        <v>0</v>
      </c>
      <c r="AQ160" s="25" cm="1">
        <f t="array" ref="AQ160">_xll.DBRW($E$2,AP$1,AP$2,$D$18,$D$3,$D160,$E160,$F160,$F$3,AQ$3)</f>
        <v>0</v>
      </c>
      <c r="AR160" s="25">
        <f>_xll.DBRW($C$2,$AP$1,AP$2,$D$18,$D$3,$D160,$E160,$F160,AR$3)</f>
        <v>1</v>
      </c>
      <c r="AS160" s="64">
        <f>_xll.DBRW($C$2,$AP$1,AP$2,$D$18,$D$3,$D160,$E160,$F160,AS$3)</f>
        <v>0</v>
      </c>
      <c r="AT160" s="58">
        <f>_xll.DBRW($C$2,$AP$1,AP$2,$D$18,$D$3,$D160,$E160,$F160,AT$3)</f>
        <v>0</v>
      </c>
      <c r="AU160" s="48">
        <f t="shared" si="53"/>
        <v>22</v>
      </c>
      <c r="AV160" s="39">
        <f>_xll.DBRW($C$2,$AV$1,AV$2,$D$18,$D$3,$D160,$E160,$F160,AV$3)</f>
        <v>0</v>
      </c>
      <c r="AW160" s="25" cm="1">
        <f t="array" ref="AW160">_xll.DBRW($E$2,AV$1,AV$2,$D$18,$D$3,$D160,$E160,$F160,$F$3,AW$3)</f>
        <v>0</v>
      </c>
      <c r="AX160" s="25">
        <f>_xll.DBRW($C$2,$AV$1,AV$2,$D$18,$D$3,$D160,$E160,$F160,AX$3)</f>
        <v>1</v>
      </c>
      <c r="AY160" s="64">
        <f>_xll.DBRW($C$2,$AV$1,AV$2,$D$18,$D$3,$D160,$E160,$F160,AY$3)</f>
        <v>1</v>
      </c>
      <c r="AZ160" s="58">
        <f>_xll.DBRW($C$2,$AV$1,AV$2,$D$18,$D$3,$D160,$E160,$F160,AZ$3)</f>
        <v>0</v>
      </c>
      <c r="BA160" s="48">
        <f t="shared" si="54"/>
        <v>21</v>
      </c>
      <c r="BB160" s="39">
        <f>_xll.DBRW($C$2,$BB$1,BB$2,$D$18,$D$3,$D160,$E160,$F160,BB$3)</f>
        <v>0</v>
      </c>
      <c r="BC160" s="25" cm="1">
        <f t="array" ref="BC160">_xll.DBRW($E$2,BB$1,BB$2,$D$18,$D$3,$D160,$E160,$F160,$F$3,BC$3)</f>
        <v>0</v>
      </c>
      <c r="BD160" s="25">
        <f>_xll.DBRW($C$2,$BB$1,BB$2,$D$18,$D$3,$D160,$E160,$F160,BD$3)</f>
        <v>1</v>
      </c>
      <c r="BE160" s="64">
        <f>_xll.DBRW($C$2,$BB$1,BB$2,$D$18,$D$3,$D160,$E160,$F160,BE$3)</f>
        <v>0</v>
      </c>
      <c r="BF160" s="58">
        <f>_xll.DBRW($C$2,$BB$1,BB$2,$D$18,$D$3,$D160,$E160,$F160,BF$3)</f>
        <v>0</v>
      </c>
      <c r="BG160" s="48">
        <f t="shared" si="55"/>
        <v>20</v>
      </c>
      <c r="BH160" s="39">
        <f>_xll.DBRW($C$2,$BH$1,BH$2,$D$18,$D$3,$D160,$E160,$F160,BH$3)</f>
        <v>0</v>
      </c>
      <c r="BI160" s="25" cm="1">
        <f t="array" ref="BI160">_xll.DBRW($E$2,BH$1,BH$2,$D$18,$D$3,$D160,$E160,$F160,$F$3,BI$3)</f>
        <v>0</v>
      </c>
      <c r="BJ160" s="25">
        <f>_xll.DBRW($C$2,$BH$1,BH$2,$D$18,$D$3,$D160,$E160,$F160,BJ$3)</f>
        <v>1</v>
      </c>
      <c r="BK160" s="64">
        <f>_xll.DBRW($C$2,$BH$1,BH$2,$D$18,$D$3,$D160,$E160,$F160,BK$3)</f>
        <v>0</v>
      </c>
      <c r="BL160" s="58">
        <f>_xll.DBRW($C$2,$BH$1,BH$2,$D$18,$D$3,$D160,$E160,$F160,BL$3)</f>
        <v>0</v>
      </c>
      <c r="BM160" s="48">
        <f t="shared" si="56"/>
        <v>19</v>
      </c>
      <c r="BN160" s="39">
        <f>_xll.DBRW($C$2,$BN$1,BN$2,$D$18,$D$3,$D160,$E160,$F160,BN$3)</f>
        <v>0</v>
      </c>
      <c r="BO160" s="25" cm="1">
        <f t="array" ref="BO160">_xll.DBRW($E$2,BN$1,BN$2,$D$18,$D$3,$D160,$E160,$F160,$F$3,BO$3)</f>
        <v>0</v>
      </c>
      <c r="BP160" s="25">
        <f>_xll.DBRW($C$2,$BN$1,BN$2,$D$18,$D$3,$D160,$E160,$F160,BP$3)</f>
        <v>1</v>
      </c>
      <c r="BQ160" s="64">
        <f>_xll.DBRW($C$2,$BN$1,BN$2,$D$18,$D$3,$D160,$E160,$F160,BQ$3)</f>
        <v>0</v>
      </c>
      <c r="BR160" s="58">
        <f>_xll.DBRW($C$2,$BN$1,BN$2,$D$18,$D$3,$D160,$E160,$F160,BR$3)</f>
        <v>0</v>
      </c>
      <c r="BS160" s="48">
        <f t="shared" si="57"/>
        <v>18</v>
      </c>
      <c r="BT160" s="39">
        <f>_xll.DBRW($C$2,$BT$1,BT$2,$D$18,$D$3,$D160,$E160,$F160,BT$3)</f>
        <v>0</v>
      </c>
      <c r="BU160" s="25" cm="1">
        <f t="array" ref="BU160">_xll.DBRW($E$2,BT$1,BT$2,$D$18,$D$3,$D160,$E160,$F160,$F$3,BU$3)</f>
        <v>0</v>
      </c>
      <c r="BV160" s="25">
        <f>_xll.DBRW($C$2,$BT$1,BT$2,$D$18,$D$3,$D160,$E160,$F160,BV$3)</f>
        <v>1</v>
      </c>
      <c r="BW160" s="64">
        <f>_xll.DBRW($C$2,$BT$1,BT$2,$D$18,$D$3,$D160,$E160,$F160,BW$3)</f>
        <v>0</v>
      </c>
      <c r="BX160" s="58">
        <f>_xll.DBRW($C$2,$BT$1,BT$2,$D$18,$D$3,$D160,$E160,$F160,BX$3)</f>
        <v>0</v>
      </c>
      <c r="BY160" s="48">
        <f t="shared" si="58"/>
        <v>17</v>
      </c>
      <c r="BZ160" s="39">
        <f>_xll.DBRW($C$2,$BZ$1,BZ$2,$D$18,$D$3,$D160,$E160,$F160,BZ$3)</f>
        <v>0</v>
      </c>
      <c r="CA160" s="25" cm="1">
        <f t="array" ref="CA160">_xll.DBRW($E$2,BZ$1,BZ$2,$D$18,$D$3,$D160,$E160,$F160,$F$3,CA$3)</f>
        <v>0</v>
      </c>
      <c r="CB160" s="25">
        <f>_xll.DBRW($C$2,$BZ$1,BZ$2,$D$18,$D$3,$D160,$E160,$F160,CB$3)</f>
        <v>1</v>
      </c>
      <c r="CC160" s="64">
        <f>_xll.DBRW($C$2,$BZ$1,BZ$2,$D$18,$D$3,$D160,$E160,$F160,CC$3)</f>
        <v>0</v>
      </c>
      <c r="CD160" s="58">
        <f>_xll.DBRW($C$2,$BZ$1,BZ$2,$D$18,$D$3,$D160,$E160,$F160,CD$3)</f>
        <v>0</v>
      </c>
      <c r="CE160" s="48">
        <f t="shared" si="59"/>
        <v>16</v>
      </c>
    </row>
    <row r="161" spans="1:83" s="23" customFormat="1" outlineLevel="1" thickBot="1" x14ac:dyDescent="0.3">
      <c r="A161" s="91" t="str">
        <f>IF(_xll.TM1RPTELISCONSOLIDATED($F$22,$F161),IF(_xll.TM1RPTELLEV($F$22,$F161)&lt;=5,_xll.TM1RPTELLEV($F$22,$F161),"Default"),"Leaf")</f>
        <v>Leaf</v>
      </c>
      <c r="B161" s="24" t="str">
        <f>_xll.DBRW("TM1-S1_DEV:}ElementAttributes_SP_SKU",$D161,B$1)</f>
        <v>Primary</v>
      </c>
      <c r="C161" s="24" t="str">
        <f>_xll.DBRW("TM1-S1_DEV:}ElementAttributes_SP_SKU",$D161,C$1)</f>
        <v>FILM</v>
      </c>
      <c r="D161" s="28" t="s">
        <v>511</v>
      </c>
      <c r="E161" s="28" t="s">
        <v>293</v>
      </c>
      <c r="F161" s="28" t="s">
        <v>324</v>
      </c>
      <c r="G161" s="4">
        <f>_xll.DBRW($C$2,$G$19,G$20,$D$18,$D$3,$D161,$E161,$F161,G$3)</f>
        <v>101</v>
      </c>
      <c r="H161" s="54">
        <f t="shared" si="48"/>
        <v>-11</v>
      </c>
      <c r="I161" s="4"/>
      <c r="J161" s="25">
        <f>_xll.DBRW($C$2,$J$1,J$2,$D$18,$D$3,$D161,$E161,$F161,J$3)</f>
        <v>90</v>
      </c>
      <c r="K161" s="39">
        <f>_xll.DBRW($C$2,$J$1,J$2,$D$18,$D$3,$D161,$E161,$F161,K$3)</f>
        <v>0</v>
      </c>
      <c r="L161" s="25">
        <f>_xll.DBRW($C$2,$J$1,J$2,$D$18,$D$3,$D161,$E161,$F161,L$3)</f>
        <v>0</v>
      </c>
      <c r="M161" s="25">
        <f>_xll.DBRW($C$2,$J$1,J$2,$D$18,$D$3,$D161,$E161,$F161,M$3)</f>
        <v>0</v>
      </c>
      <c r="N161" s="25">
        <f>_xll.DBRW($C$2,$J$1,J$2,$D$18,$D$3,$D161,$E161,$F161,N$3)</f>
        <v>0</v>
      </c>
      <c r="O161" s="64">
        <f>_xll.DBRW($C$2,$J$1,J$2,$D$18,$D$3,$D161,$E161,$F161,O$3)</f>
        <v>0</v>
      </c>
      <c r="P161" s="58">
        <f>_xll.DBRW($C$2,$J$1,J$2,$D$18,$D$3,$D161,$E161,$F161,P$3)</f>
        <v>0</v>
      </c>
      <c r="Q161" s="48">
        <f>_xll.DBRW($C$2,$J$1,J$2,$D$18,$D$3,$D161,$E161,$F161,Q$3)</f>
        <v>90</v>
      </c>
      <c r="R161" s="39">
        <f>_xll.DBRW($C$2,$R$1,R$2,$D$18,$D$3,$D161,$E161,$F161,R$3)</f>
        <v>0</v>
      </c>
      <c r="S161" s="25" cm="1">
        <f t="array" ref="S161">_xll.DBRW($E$2,R$1,R$2,$D$18,$D$3,$D161,$E161,$F161,$F$3,S$3)</f>
        <v>0</v>
      </c>
      <c r="T161" s="25">
        <f>_xll.DBRW($C$2,$R$1,R$2,$D$18,$D$3,$D161,$E161,$F161,T$3)</f>
        <v>0</v>
      </c>
      <c r="U161" s="64">
        <f>_xll.DBRW($C$2,$R$1,R$2,$D$18,$D$3,$D161,$E161,$F161,U$3)</f>
        <v>0</v>
      </c>
      <c r="V161" s="58">
        <f>_xll.DBRW($C$2,$R$1,R$2,$D$18,$D$3,$D161,$E161,$F161,V$3)</f>
        <v>0</v>
      </c>
      <c r="W161" s="48">
        <f t="shared" si="49"/>
        <v>90</v>
      </c>
      <c r="X161" s="39">
        <f>_xll.DBRW($C$2,$X$1,X$2,$D$18,$D$3,$D161,$E161,$F161,X$3)</f>
        <v>0</v>
      </c>
      <c r="Y161" s="25" cm="1">
        <f t="array" ref="Y161">_xll.DBRW($E$2,X$1,X$2,$D$18,$D$3,$D161,$E161,$F161,$F$3,Y$3)</f>
        <v>0</v>
      </c>
      <c r="Z161" s="25">
        <f>_xll.DBRW($C$2,$X$1,X$2,$D$18,$D$3,$D161,$E161,$F161,Z$3)</f>
        <v>1</v>
      </c>
      <c r="AA161" s="64">
        <f>_xll.DBRW($C$2,$X$1,X$2,$D$18,$D$3,$D161,$E161,$F161,AA$3)</f>
        <v>0</v>
      </c>
      <c r="AB161" s="58">
        <f>_xll.DBRW($C$2,$X$1,X$2,$D$18,$D$3,$D161,$E161,$F161,AB$3)</f>
        <v>0</v>
      </c>
      <c r="AC161" s="48">
        <f t="shared" si="50"/>
        <v>89</v>
      </c>
      <c r="AD161" s="39">
        <f>_xll.DBRW($C$2,$AD$1,AD$2,$D$18,$D$3,$D161,$E161,$F161,AD$3)</f>
        <v>0</v>
      </c>
      <c r="AE161" s="25" cm="1">
        <f t="array" ref="AE161">_xll.DBRW($E$2,AD$1,AD$2,$D$18,$D$3,$D161,$E161,$F161,$F$3,AE$3)</f>
        <v>0</v>
      </c>
      <c r="AF161" s="25">
        <f>_xll.DBRW($C$2,$AD$1,AD$2,$D$18,$D$3,$D161,$E161,$F161,AF$3)</f>
        <v>1</v>
      </c>
      <c r="AG161" s="64">
        <f>_xll.DBRW($C$2,$AD$1,AD$2,$D$18,$D$3,$D161,$E161,$F161,AG$3)</f>
        <v>1</v>
      </c>
      <c r="AH161" s="58">
        <f>_xll.DBRW($C$2,$AD$1,AD$2,$D$18,$D$3,$D161,$E161,$F161,AH$3)</f>
        <v>0</v>
      </c>
      <c r="AI161" s="48">
        <f t="shared" si="51"/>
        <v>88</v>
      </c>
      <c r="AJ161" s="39">
        <f>_xll.DBRW($C$2,$AJ$1,AJ$2,$D$18,$D$3,$D161,$E161,$F161,AJ$3)</f>
        <v>0</v>
      </c>
      <c r="AK161" s="25" cm="1">
        <f t="array" ref="AK161">_xll.DBRW($E$2,AJ$1,AJ$2,$D$18,$D$3,$D161,$E161,$F161,$F$3,AK$3)</f>
        <v>0</v>
      </c>
      <c r="AL161" s="25">
        <f>_xll.DBRW($C$2,$AJ$1,AJ$2,$D$18,$D$3,$D161,$E161,$F161,AL$3)</f>
        <v>1</v>
      </c>
      <c r="AM161" s="64">
        <f>_xll.DBRW($C$2,$AJ$1,AJ$2,$D$18,$D$3,$D161,$E161,$F161,AM$3)</f>
        <v>1</v>
      </c>
      <c r="AN161" s="58">
        <f>_xll.DBRW($C$2,$AJ$1,AJ$2,$D$18,$D$3,$D161,$E161,$F161,AN$3)</f>
        <v>0</v>
      </c>
      <c r="AO161" s="48">
        <f t="shared" si="52"/>
        <v>87</v>
      </c>
      <c r="AP161" s="39">
        <f>_xll.DBRW($C$2,$AP$1,AP$2,$D$18,$D$3,$D161,$E161,$F161,AP$3)</f>
        <v>0</v>
      </c>
      <c r="AQ161" s="25" cm="1">
        <f t="array" ref="AQ161">_xll.DBRW($E$2,AP$1,AP$2,$D$18,$D$3,$D161,$E161,$F161,$F$3,AQ$3)</f>
        <v>0</v>
      </c>
      <c r="AR161" s="25">
        <f>_xll.DBRW($C$2,$AP$1,AP$2,$D$18,$D$3,$D161,$E161,$F161,AR$3)</f>
        <v>1</v>
      </c>
      <c r="AS161" s="64">
        <f>_xll.DBRW($C$2,$AP$1,AP$2,$D$18,$D$3,$D161,$E161,$F161,AS$3)</f>
        <v>0</v>
      </c>
      <c r="AT161" s="58">
        <f>_xll.DBRW($C$2,$AP$1,AP$2,$D$18,$D$3,$D161,$E161,$F161,AT$3)</f>
        <v>0</v>
      </c>
      <c r="AU161" s="48">
        <f t="shared" si="53"/>
        <v>86</v>
      </c>
      <c r="AV161" s="39">
        <f>_xll.DBRW($C$2,$AV$1,AV$2,$D$18,$D$3,$D161,$E161,$F161,AV$3)</f>
        <v>0</v>
      </c>
      <c r="AW161" s="25" cm="1">
        <f t="array" ref="AW161">_xll.DBRW($E$2,AV$1,AV$2,$D$18,$D$3,$D161,$E161,$F161,$F$3,AW$3)</f>
        <v>0</v>
      </c>
      <c r="AX161" s="25">
        <f>_xll.DBRW($C$2,$AV$1,AV$2,$D$18,$D$3,$D161,$E161,$F161,AX$3)</f>
        <v>1</v>
      </c>
      <c r="AY161" s="64">
        <f>_xll.DBRW($C$2,$AV$1,AV$2,$D$18,$D$3,$D161,$E161,$F161,AY$3)</f>
        <v>0</v>
      </c>
      <c r="AZ161" s="58">
        <f>_xll.DBRW($C$2,$AV$1,AV$2,$D$18,$D$3,$D161,$E161,$F161,AZ$3)</f>
        <v>0</v>
      </c>
      <c r="BA161" s="48">
        <f t="shared" si="54"/>
        <v>85</v>
      </c>
      <c r="BB161" s="39">
        <f>_xll.DBRW($C$2,$BB$1,BB$2,$D$18,$D$3,$D161,$E161,$F161,BB$3)</f>
        <v>0</v>
      </c>
      <c r="BC161" s="25" cm="1">
        <f t="array" ref="BC161">_xll.DBRW($E$2,BB$1,BB$2,$D$18,$D$3,$D161,$E161,$F161,$F$3,BC$3)</f>
        <v>0</v>
      </c>
      <c r="BD161" s="25">
        <f>_xll.DBRW($C$2,$BB$1,BB$2,$D$18,$D$3,$D161,$E161,$F161,BD$3)</f>
        <v>1</v>
      </c>
      <c r="BE161" s="64">
        <f>_xll.DBRW($C$2,$BB$1,BB$2,$D$18,$D$3,$D161,$E161,$F161,BE$3)</f>
        <v>0</v>
      </c>
      <c r="BF161" s="58">
        <f>_xll.DBRW($C$2,$BB$1,BB$2,$D$18,$D$3,$D161,$E161,$F161,BF$3)</f>
        <v>0</v>
      </c>
      <c r="BG161" s="48">
        <f t="shared" si="55"/>
        <v>84</v>
      </c>
      <c r="BH161" s="39">
        <f>_xll.DBRW($C$2,$BH$1,BH$2,$D$18,$D$3,$D161,$E161,$F161,BH$3)</f>
        <v>0</v>
      </c>
      <c r="BI161" s="25" cm="1">
        <f t="array" ref="BI161">_xll.DBRW($E$2,BH$1,BH$2,$D$18,$D$3,$D161,$E161,$F161,$F$3,BI$3)</f>
        <v>0</v>
      </c>
      <c r="BJ161" s="25">
        <f>_xll.DBRW($C$2,$BH$1,BH$2,$D$18,$D$3,$D161,$E161,$F161,BJ$3)</f>
        <v>1</v>
      </c>
      <c r="BK161" s="64">
        <f>_xll.DBRW($C$2,$BH$1,BH$2,$D$18,$D$3,$D161,$E161,$F161,BK$3)</f>
        <v>0</v>
      </c>
      <c r="BL161" s="58">
        <f>_xll.DBRW($C$2,$BH$1,BH$2,$D$18,$D$3,$D161,$E161,$F161,BL$3)</f>
        <v>0</v>
      </c>
      <c r="BM161" s="48">
        <f t="shared" si="56"/>
        <v>83</v>
      </c>
      <c r="BN161" s="39">
        <f>_xll.DBRW($C$2,$BN$1,BN$2,$D$18,$D$3,$D161,$E161,$F161,BN$3)</f>
        <v>0</v>
      </c>
      <c r="BO161" s="25" cm="1">
        <f t="array" ref="BO161">_xll.DBRW($E$2,BN$1,BN$2,$D$18,$D$3,$D161,$E161,$F161,$F$3,BO$3)</f>
        <v>0</v>
      </c>
      <c r="BP161" s="25">
        <f>_xll.DBRW($C$2,$BN$1,BN$2,$D$18,$D$3,$D161,$E161,$F161,BP$3)</f>
        <v>1</v>
      </c>
      <c r="BQ161" s="64">
        <f>_xll.DBRW($C$2,$BN$1,BN$2,$D$18,$D$3,$D161,$E161,$F161,BQ$3)</f>
        <v>0</v>
      </c>
      <c r="BR161" s="58">
        <f>_xll.DBRW($C$2,$BN$1,BN$2,$D$18,$D$3,$D161,$E161,$F161,BR$3)</f>
        <v>0</v>
      </c>
      <c r="BS161" s="48">
        <f t="shared" si="57"/>
        <v>82</v>
      </c>
      <c r="BT161" s="39">
        <f>_xll.DBRW($C$2,$BT$1,BT$2,$D$18,$D$3,$D161,$E161,$F161,BT$3)</f>
        <v>0</v>
      </c>
      <c r="BU161" s="25" cm="1">
        <f t="array" ref="BU161">_xll.DBRW($E$2,BT$1,BT$2,$D$18,$D$3,$D161,$E161,$F161,$F$3,BU$3)</f>
        <v>0</v>
      </c>
      <c r="BV161" s="25">
        <f>_xll.DBRW($C$2,$BT$1,BT$2,$D$18,$D$3,$D161,$E161,$F161,BV$3)</f>
        <v>1</v>
      </c>
      <c r="BW161" s="64">
        <f>_xll.DBRW($C$2,$BT$1,BT$2,$D$18,$D$3,$D161,$E161,$F161,BW$3)</f>
        <v>0</v>
      </c>
      <c r="BX161" s="58">
        <f>_xll.DBRW($C$2,$BT$1,BT$2,$D$18,$D$3,$D161,$E161,$F161,BX$3)</f>
        <v>0</v>
      </c>
      <c r="BY161" s="48">
        <f t="shared" si="58"/>
        <v>81</v>
      </c>
      <c r="BZ161" s="39">
        <f>_xll.DBRW($C$2,$BZ$1,BZ$2,$D$18,$D$3,$D161,$E161,$F161,BZ$3)</f>
        <v>0</v>
      </c>
      <c r="CA161" s="25" cm="1">
        <f t="array" ref="CA161">_xll.DBRW($E$2,BZ$1,BZ$2,$D$18,$D$3,$D161,$E161,$F161,$F$3,CA$3)</f>
        <v>0</v>
      </c>
      <c r="CB161" s="25">
        <f>_xll.DBRW($C$2,$BZ$1,BZ$2,$D$18,$D$3,$D161,$E161,$F161,CB$3)</f>
        <v>1</v>
      </c>
      <c r="CC161" s="64">
        <f>_xll.DBRW($C$2,$BZ$1,BZ$2,$D$18,$D$3,$D161,$E161,$F161,CC$3)</f>
        <v>0</v>
      </c>
      <c r="CD161" s="58">
        <f>_xll.DBRW($C$2,$BZ$1,BZ$2,$D$18,$D$3,$D161,$E161,$F161,CD$3)</f>
        <v>0</v>
      </c>
      <c r="CE161" s="48">
        <f t="shared" si="59"/>
        <v>80</v>
      </c>
    </row>
    <row r="162" spans="1:83" s="23" customFormat="1" outlineLevel="1" thickBot="1" x14ac:dyDescent="0.3">
      <c r="A162" s="91" t="str">
        <f>IF(_xll.TM1RPTELISCONSOLIDATED($F$22,$F162),IF(_xll.TM1RPTELLEV($F$22,$F162)&lt;=5,_xll.TM1RPTELLEV($F$22,$F162),"Default"),"Leaf")</f>
        <v>Leaf</v>
      </c>
      <c r="B162" s="24" t="str">
        <f>_xll.DBRW("TM1-S1_DEV:}ElementAttributes_SP_SKU",$D162,B$1)</f>
        <v>Primary</v>
      </c>
      <c r="C162" s="24" t="str">
        <f>_xll.DBRW("TM1-S1_DEV:}ElementAttributes_SP_SKU",$D162,C$1)</f>
        <v>BREAD</v>
      </c>
      <c r="D162" s="28" t="s">
        <v>157</v>
      </c>
      <c r="E162" s="28" t="s">
        <v>294</v>
      </c>
      <c r="F162" s="28" t="s">
        <v>33</v>
      </c>
      <c r="G162" s="4">
        <f>_xll.DBRW($C$2,$G$19,G$20,$D$18,$D$3,$D162,$E162,$F162,G$3)</f>
        <v>20</v>
      </c>
      <c r="H162" s="54">
        <f t="shared" si="48"/>
        <v>60</v>
      </c>
      <c r="I162" s="4"/>
      <c r="J162" s="25">
        <f>_xll.DBRW($C$2,$J$1,J$2,$D$18,$D$3,$D162,$E162,$F162,J$3)</f>
        <v>80</v>
      </c>
      <c r="K162" s="39">
        <f>_xll.DBRW($C$2,$J$1,J$2,$D$18,$D$3,$D162,$E162,$F162,K$3)</f>
        <v>0</v>
      </c>
      <c r="L162" s="25">
        <f>_xll.DBRW($C$2,$J$1,J$2,$D$18,$D$3,$D162,$E162,$F162,L$3)</f>
        <v>0</v>
      </c>
      <c r="M162" s="25">
        <f>_xll.DBRW($C$2,$J$1,J$2,$D$18,$D$3,$D162,$E162,$F162,M$3)</f>
        <v>0</v>
      </c>
      <c r="N162" s="25">
        <f>_xll.DBRW($C$2,$J$1,J$2,$D$18,$D$3,$D162,$E162,$F162,N$3)</f>
        <v>0</v>
      </c>
      <c r="O162" s="64">
        <f>_xll.DBRW($C$2,$J$1,J$2,$D$18,$D$3,$D162,$E162,$F162,O$3)</f>
        <v>0</v>
      </c>
      <c r="P162" s="58">
        <f>_xll.DBRW($C$2,$J$1,J$2,$D$18,$D$3,$D162,$E162,$F162,P$3)</f>
        <v>0</v>
      </c>
      <c r="Q162" s="48">
        <f>_xll.DBRW($C$2,$J$1,J$2,$D$18,$D$3,$D162,$E162,$F162,Q$3)</f>
        <v>80</v>
      </c>
      <c r="R162" s="39">
        <f>_xll.DBRW($C$2,$R$1,R$2,$D$18,$D$3,$D162,$E162,$F162,R$3)</f>
        <v>0</v>
      </c>
      <c r="S162" s="25" cm="1">
        <f t="array" ref="S162">_xll.DBRW($E$2,R$1,R$2,$D$18,$D$3,$D162,$E162,$F162,$F$3,S$3)</f>
        <v>0</v>
      </c>
      <c r="T162" s="25">
        <f>_xll.DBRW($C$2,$R$1,R$2,$D$18,$D$3,$D162,$E162,$F162,T$3)</f>
        <v>0</v>
      </c>
      <c r="U162" s="64">
        <f>_xll.DBRW($C$2,$R$1,R$2,$D$18,$D$3,$D162,$E162,$F162,U$3)</f>
        <v>0</v>
      </c>
      <c r="V162" s="58">
        <f>_xll.DBRW($C$2,$R$1,R$2,$D$18,$D$3,$D162,$E162,$F162,V$3)</f>
        <v>0</v>
      </c>
      <c r="W162" s="48">
        <f t="shared" si="49"/>
        <v>80</v>
      </c>
      <c r="X162" s="39">
        <f>_xll.DBRW($C$2,$X$1,X$2,$D$18,$D$3,$D162,$E162,$F162,X$3)</f>
        <v>0</v>
      </c>
      <c r="Y162" s="25" cm="1">
        <f t="array" ref="Y162">_xll.DBRW($E$2,X$1,X$2,$D$18,$D$3,$D162,$E162,$F162,$F$3,Y$3)</f>
        <v>0</v>
      </c>
      <c r="Z162" s="25">
        <f>_xll.DBRW($C$2,$X$1,X$2,$D$18,$D$3,$D162,$E162,$F162,Z$3)</f>
        <v>11</v>
      </c>
      <c r="AA162" s="64">
        <f>_xll.DBRW($C$2,$X$1,X$2,$D$18,$D$3,$D162,$E162,$F162,AA$3)</f>
        <v>0</v>
      </c>
      <c r="AB162" s="58">
        <f>_xll.DBRW($C$2,$X$1,X$2,$D$18,$D$3,$D162,$E162,$F162,AB$3)</f>
        <v>0</v>
      </c>
      <c r="AC162" s="48">
        <f t="shared" si="50"/>
        <v>69</v>
      </c>
      <c r="AD162" s="39">
        <f>_xll.DBRW($C$2,$AD$1,AD$2,$D$18,$D$3,$D162,$E162,$F162,AD$3)</f>
        <v>0</v>
      </c>
      <c r="AE162" s="25" cm="1">
        <f t="array" ref="AE162">_xll.DBRW($E$2,AD$1,AD$2,$D$18,$D$3,$D162,$E162,$F162,$F$3,AE$3)</f>
        <v>0</v>
      </c>
      <c r="AF162" s="25">
        <f>_xll.DBRW($C$2,$AD$1,AD$2,$D$18,$D$3,$D162,$E162,$F162,AF$3)</f>
        <v>11</v>
      </c>
      <c r="AG162" s="64">
        <f>_xll.DBRW($C$2,$AD$1,AD$2,$D$18,$D$3,$D162,$E162,$F162,AG$3)</f>
        <v>0</v>
      </c>
      <c r="AH162" s="58">
        <f>_xll.DBRW($C$2,$AD$1,AD$2,$D$18,$D$3,$D162,$E162,$F162,AH$3)</f>
        <v>0</v>
      </c>
      <c r="AI162" s="48">
        <f t="shared" si="51"/>
        <v>58</v>
      </c>
      <c r="AJ162" s="39">
        <f>_xll.DBRW($C$2,$AJ$1,AJ$2,$D$18,$D$3,$D162,$E162,$F162,AJ$3)</f>
        <v>0</v>
      </c>
      <c r="AK162" s="25" cm="1">
        <f t="array" ref="AK162">_xll.DBRW($E$2,AJ$1,AJ$2,$D$18,$D$3,$D162,$E162,$F162,$F$3,AK$3)</f>
        <v>0</v>
      </c>
      <c r="AL162" s="25">
        <f>_xll.DBRW($C$2,$AJ$1,AJ$2,$D$18,$D$3,$D162,$E162,$F162,AL$3)</f>
        <v>11</v>
      </c>
      <c r="AM162" s="64">
        <f>_xll.DBRW($C$2,$AJ$1,AJ$2,$D$18,$D$3,$D162,$E162,$F162,AM$3)</f>
        <v>0</v>
      </c>
      <c r="AN162" s="58">
        <f>_xll.DBRW($C$2,$AJ$1,AJ$2,$D$18,$D$3,$D162,$E162,$F162,AN$3)</f>
        <v>0</v>
      </c>
      <c r="AO162" s="48">
        <f t="shared" si="52"/>
        <v>47</v>
      </c>
      <c r="AP162" s="39">
        <f>_xll.DBRW($C$2,$AP$1,AP$2,$D$18,$D$3,$D162,$E162,$F162,AP$3)</f>
        <v>0</v>
      </c>
      <c r="AQ162" s="25" cm="1">
        <f t="array" ref="AQ162">_xll.DBRW($E$2,AP$1,AP$2,$D$18,$D$3,$D162,$E162,$F162,$F$3,AQ$3)</f>
        <v>0</v>
      </c>
      <c r="AR162" s="25">
        <f>_xll.DBRW($C$2,$AP$1,AP$2,$D$18,$D$3,$D162,$E162,$F162,AR$3)</f>
        <v>11</v>
      </c>
      <c r="AS162" s="64">
        <f>_xll.DBRW($C$2,$AP$1,AP$2,$D$18,$D$3,$D162,$E162,$F162,AS$3)</f>
        <v>0</v>
      </c>
      <c r="AT162" s="58">
        <f>_xll.DBRW($C$2,$AP$1,AP$2,$D$18,$D$3,$D162,$E162,$F162,AT$3)</f>
        <v>0</v>
      </c>
      <c r="AU162" s="48">
        <f t="shared" si="53"/>
        <v>36</v>
      </c>
      <c r="AV162" s="39">
        <f>_xll.DBRW($C$2,$AV$1,AV$2,$D$18,$D$3,$D162,$E162,$F162,AV$3)</f>
        <v>0</v>
      </c>
      <c r="AW162" s="25" cm="1">
        <f t="array" ref="AW162">_xll.DBRW($E$2,AV$1,AV$2,$D$18,$D$3,$D162,$E162,$F162,$F$3,AW$3)</f>
        <v>0</v>
      </c>
      <c r="AX162" s="25">
        <f>_xll.DBRW($C$2,$AV$1,AV$2,$D$18,$D$3,$D162,$E162,$F162,AX$3)</f>
        <v>11</v>
      </c>
      <c r="AY162" s="64">
        <f>_xll.DBRW($C$2,$AV$1,AV$2,$D$18,$D$3,$D162,$E162,$F162,AY$3)</f>
        <v>0</v>
      </c>
      <c r="AZ162" s="58">
        <f>_xll.DBRW($C$2,$AV$1,AV$2,$D$18,$D$3,$D162,$E162,$F162,AZ$3)</f>
        <v>0</v>
      </c>
      <c r="BA162" s="48">
        <f t="shared" si="54"/>
        <v>25</v>
      </c>
      <c r="BB162" s="39">
        <f>_xll.DBRW($C$2,$BB$1,BB$2,$D$18,$D$3,$D162,$E162,$F162,BB$3)</f>
        <v>0</v>
      </c>
      <c r="BC162" s="25" cm="1">
        <f t="array" ref="BC162">_xll.DBRW($E$2,BB$1,BB$2,$D$18,$D$3,$D162,$E162,$F162,$F$3,BC$3)</f>
        <v>0</v>
      </c>
      <c r="BD162" s="25">
        <f>_xll.DBRW($C$2,$BB$1,BB$2,$D$18,$D$3,$D162,$E162,$F162,BD$3)</f>
        <v>11</v>
      </c>
      <c r="BE162" s="64">
        <f>_xll.DBRW($C$2,$BB$1,BB$2,$D$18,$D$3,$D162,$E162,$F162,BE$3)</f>
        <v>0</v>
      </c>
      <c r="BF162" s="58">
        <f>_xll.DBRW($C$2,$BB$1,BB$2,$D$18,$D$3,$D162,$E162,$F162,BF$3)</f>
        <v>0</v>
      </c>
      <c r="BG162" s="48">
        <f t="shared" si="55"/>
        <v>14</v>
      </c>
      <c r="BH162" s="39">
        <f>_xll.DBRW($C$2,$BH$1,BH$2,$D$18,$D$3,$D162,$E162,$F162,BH$3)</f>
        <v>0</v>
      </c>
      <c r="BI162" s="25" cm="1">
        <f t="array" ref="BI162">_xll.DBRW($E$2,BH$1,BH$2,$D$18,$D$3,$D162,$E162,$F162,$F$3,BI$3)</f>
        <v>0</v>
      </c>
      <c r="BJ162" s="25">
        <f>_xll.DBRW($C$2,$BH$1,BH$2,$D$18,$D$3,$D162,$E162,$F162,BJ$3)</f>
        <v>11</v>
      </c>
      <c r="BK162" s="64">
        <f>_xll.DBRW($C$2,$BH$1,BH$2,$D$18,$D$3,$D162,$E162,$F162,BK$3)</f>
        <v>0</v>
      </c>
      <c r="BL162" s="58">
        <f>_xll.DBRW($C$2,$BH$1,BH$2,$D$18,$D$3,$D162,$E162,$F162,BL$3)</f>
        <v>0</v>
      </c>
      <c r="BM162" s="48">
        <f t="shared" si="56"/>
        <v>3</v>
      </c>
      <c r="BN162" s="39">
        <f>_xll.DBRW($C$2,$BN$1,BN$2,$D$18,$D$3,$D162,$E162,$F162,BN$3)</f>
        <v>0</v>
      </c>
      <c r="BO162" s="25" cm="1">
        <f t="array" ref="BO162">_xll.DBRW($E$2,BN$1,BN$2,$D$18,$D$3,$D162,$E162,$F162,$F$3,BO$3)</f>
        <v>0</v>
      </c>
      <c r="BP162" s="25">
        <f>_xll.DBRW($C$2,$BN$1,BN$2,$D$18,$D$3,$D162,$E162,$F162,BP$3)</f>
        <v>11</v>
      </c>
      <c r="BQ162" s="64">
        <f>_xll.DBRW($C$2,$BN$1,BN$2,$D$18,$D$3,$D162,$E162,$F162,BQ$3)</f>
        <v>0</v>
      </c>
      <c r="BR162" s="58">
        <f>_xll.DBRW($C$2,$BN$1,BN$2,$D$18,$D$3,$D162,$E162,$F162,BR$3)</f>
        <v>0</v>
      </c>
      <c r="BS162" s="48">
        <f t="shared" si="57"/>
        <v>-8</v>
      </c>
      <c r="BT162" s="39">
        <f>_xll.DBRW($C$2,$BT$1,BT$2,$D$18,$D$3,$D162,$E162,$F162,BT$3)</f>
        <v>0</v>
      </c>
      <c r="BU162" s="25" cm="1">
        <f t="array" ref="BU162">_xll.DBRW($E$2,BT$1,BT$2,$D$18,$D$3,$D162,$E162,$F162,$F$3,BU$3)</f>
        <v>0</v>
      </c>
      <c r="BV162" s="25">
        <f>_xll.DBRW($C$2,$BT$1,BT$2,$D$18,$D$3,$D162,$E162,$F162,BV$3)</f>
        <v>11</v>
      </c>
      <c r="BW162" s="64">
        <f>_xll.DBRW($C$2,$BT$1,BT$2,$D$18,$D$3,$D162,$E162,$F162,BW$3)</f>
        <v>0</v>
      </c>
      <c r="BX162" s="58">
        <f>_xll.DBRW($C$2,$BT$1,BT$2,$D$18,$D$3,$D162,$E162,$F162,BX$3)</f>
        <v>0</v>
      </c>
      <c r="BY162" s="48">
        <f t="shared" si="58"/>
        <v>-19</v>
      </c>
      <c r="BZ162" s="39">
        <f>_xll.DBRW($C$2,$BZ$1,BZ$2,$D$18,$D$3,$D162,$E162,$F162,BZ$3)</f>
        <v>0</v>
      </c>
      <c r="CA162" s="25" cm="1">
        <f t="array" ref="CA162">_xll.DBRW($E$2,BZ$1,BZ$2,$D$18,$D$3,$D162,$E162,$F162,$F$3,CA$3)</f>
        <v>0</v>
      </c>
      <c r="CB162" s="25">
        <f>_xll.DBRW($C$2,$BZ$1,BZ$2,$D$18,$D$3,$D162,$E162,$F162,CB$3)</f>
        <v>11</v>
      </c>
      <c r="CC162" s="64">
        <f>_xll.DBRW($C$2,$BZ$1,BZ$2,$D$18,$D$3,$D162,$E162,$F162,CC$3)</f>
        <v>0</v>
      </c>
      <c r="CD162" s="58">
        <f>_xll.DBRW($C$2,$BZ$1,BZ$2,$D$18,$D$3,$D162,$E162,$F162,CD$3)</f>
        <v>0</v>
      </c>
      <c r="CE162" s="48">
        <f t="shared" si="59"/>
        <v>-30</v>
      </c>
    </row>
    <row r="163" spans="1:83" s="23" customFormat="1" outlineLevel="1" thickBot="1" x14ac:dyDescent="0.3">
      <c r="A163" s="91" t="str">
        <f>IF(_xll.TM1RPTELISCONSOLIDATED($F$22,$F163),IF(_xll.TM1RPTELLEV($F$22,$F163)&lt;=5,_xll.TM1RPTELLEV($F$22,$F163),"Default"),"Leaf")</f>
        <v>Leaf</v>
      </c>
      <c r="B163" s="24" t="str">
        <f>_xll.DBRW("TM1-S1_DEV:}ElementAttributes_SP_SKU",$D163,B$1)</f>
        <v>Primary</v>
      </c>
      <c r="C163" s="24" t="str">
        <f>_xll.DBRW("TM1-S1_DEV:}ElementAttributes_SP_SKU",$D163,C$1)</f>
        <v>BREAD</v>
      </c>
      <c r="D163" s="28" t="s">
        <v>512</v>
      </c>
      <c r="E163" s="28" t="s">
        <v>295</v>
      </c>
      <c r="F163" s="28" t="s">
        <v>33</v>
      </c>
      <c r="G163" s="4">
        <f>_xll.DBRW($C$2,$G$19,G$20,$D$18,$D$3,$D163,$E163,$F163,G$3)</f>
        <v>1</v>
      </c>
      <c r="H163" s="54">
        <f t="shared" si="48"/>
        <v>0</v>
      </c>
      <c r="I163" s="4"/>
      <c r="J163" s="25">
        <f>_xll.DBRW($C$2,$J$1,J$2,$D$18,$D$3,$D163,$E163,$F163,J$3)</f>
        <v>1</v>
      </c>
      <c r="K163" s="39">
        <f>_xll.DBRW($C$2,$J$1,J$2,$D$18,$D$3,$D163,$E163,$F163,K$3)</f>
        <v>0</v>
      </c>
      <c r="L163" s="25">
        <f>_xll.DBRW($C$2,$J$1,J$2,$D$18,$D$3,$D163,$E163,$F163,L$3)</f>
        <v>0</v>
      </c>
      <c r="M163" s="25">
        <f>_xll.DBRW($C$2,$J$1,J$2,$D$18,$D$3,$D163,$E163,$F163,M$3)</f>
        <v>0</v>
      </c>
      <c r="N163" s="25">
        <f>_xll.DBRW($C$2,$J$1,J$2,$D$18,$D$3,$D163,$E163,$F163,N$3)</f>
        <v>0</v>
      </c>
      <c r="O163" s="64">
        <f>_xll.DBRW($C$2,$J$1,J$2,$D$18,$D$3,$D163,$E163,$F163,O$3)</f>
        <v>0</v>
      </c>
      <c r="P163" s="58">
        <f>_xll.DBRW($C$2,$J$1,J$2,$D$18,$D$3,$D163,$E163,$F163,P$3)</f>
        <v>0</v>
      </c>
      <c r="Q163" s="48">
        <f>_xll.DBRW($C$2,$J$1,J$2,$D$18,$D$3,$D163,$E163,$F163,Q$3)</f>
        <v>1</v>
      </c>
      <c r="R163" s="39">
        <f>_xll.DBRW($C$2,$R$1,R$2,$D$18,$D$3,$D163,$E163,$F163,R$3)</f>
        <v>0</v>
      </c>
      <c r="S163" s="25" cm="1">
        <f t="array" ref="S163">_xll.DBRW($E$2,R$1,R$2,$D$18,$D$3,$D163,$E163,$F163,$F$3,S$3)</f>
        <v>0</v>
      </c>
      <c r="T163" s="25">
        <f>_xll.DBRW($C$2,$R$1,R$2,$D$18,$D$3,$D163,$E163,$F163,T$3)</f>
        <v>0</v>
      </c>
      <c r="U163" s="64">
        <f>_xll.DBRW($C$2,$R$1,R$2,$D$18,$D$3,$D163,$E163,$F163,U$3)</f>
        <v>0</v>
      </c>
      <c r="V163" s="58">
        <f>_xll.DBRW($C$2,$R$1,R$2,$D$18,$D$3,$D163,$E163,$F163,V$3)</f>
        <v>0</v>
      </c>
      <c r="W163" s="48">
        <f t="shared" si="49"/>
        <v>1</v>
      </c>
      <c r="X163" s="39">
        <f>_xll.DBRW($C$2,$X$1,X$2,$D$18,$D$3,$D163,$E163,$F163,X$3)</f>
        <v>0</v>
      </c>
      <c r="Y163" s="25" cm="1">
        <f t="array" ref="Y163">_xll.DBRW($E$2,X$1,X$2,$D$18,$D$3,$D163,$E163,$F163,$F$3,Y$3)</f>
        <v>0</v>
      </c>
      <c r="Z163" s="25">
        <f>_xll.DBRW($C$2,$X$1,X$2,$D$18,$D$3,$D163,$E163,$F163,Z$3)</f>
        <v>0</v>
      </c>
      <c r="AA163" s="64">
        <f>_xll.DBRW($C$2,$X$1,X$2,$D$18,$D$3,$D163,$E163,$F163,AA$3)</f>
        <v>0</v>
      </c>
      <c r="AB163" s="58">
        <f>_xll.DBRW($C$2,$X$1,X$2,$D$18,$D$3,$D163,$E163,$F163,AB$3)</f>
        <v>0</v>
      </c>
      <c r="AC163" s="48">
        <f t="shared" si="50"/>
        <v>1</v>
      </c>
      <c r="AD163" s="39">
        <f>_xll.DBRW($C$2,$AD$1,AD$2,$D$18,$D$3,$D163,$E163,$F163,AD$3)</f>
        <v>0</v>
      </c>
      <c r="AE163" s="25" cm="1">
        <f t="array" ref="AE163">_xll.DBRW($E$2,AD$1,AD$2,$D$18,$D$3,$D163,$E163,$F163,$F$3,AE$3)</f>
        <v>0</v>
      </c>
      <c r="AF163" s="25">
        <f>_xll.DBRW($C$2,$AD$1,AD$2,$D$18,$D$3,$D163,$E163,$F163,AF$3)</f>
        <v>0</v>
      </c>
      <c r="AG163" s="64">
        <f>_xll.DBRW($C$2,$AD$1,AD$2,$D$18,$D$3,$D163,$E163,$F163,AG$3)</f>
        <v>0</v>
      </c>
      <c r="AH163" s="58">
        <f>_xll.DBRW($C$2,$AD$1,AD$2,$D$18,$D$3,$D163,$E163,$F163,AH$3)</f>
        <v>0</v>
      </c>
      <c r="AI163" s="48">
        <f t="shared" si="51"/>
        <v>1</v>
      </c>
      <c r="AJ163" s="39">
        <f>_xll.DBRW($C$2,$AJ$1,AJ$2,$D$18,$D$3,$D163,$E163,$F163,AJ$3)</f>
        <v>0</v>
      </c>
      <c r="AK163" s="25" cm="1">
        <f t="array" ref="AK163">_xll.DBRW($E$2,AJ$1,AJ$2,$D$18,$D$3,$D163,$E163,$F163,$F$3,AK$3)</f>
        <v>0</v>
      </c>
      <c r="AL163" s="25">
        <f>_xll.DBRW($C$2,$AJ$1,AJ$2,$D$18,$D$3,$D163,$E163,$F163,AL$3)</f>
        <v>0</v>
      </c>
      <c r="AM163" s="64">
        <f>_xll.DBRW($C$2,$AJ$1,AJ$2,$D$18,$D$3,$D163,$E163,$F163,AM$3)</f>
        <v>0</v>
      </c>
      <c r="AN163" s="58">
        <f>_xll.DBRW($C$2,$AJ$1,AJ$2,$D$18,$D$3,$D163,$E163,$F163,AN$3)</f>
        <v>0</v>
      </c>
      <c r="AO163" s="48">
        <f t="shared" si="52"/>
        <v>1</v>
      </c>
      <c r="AP163" s="39">
        <f>_xll.DBRW($C$2,$AP$1,AP$2,$D$18,$D$3,$D163,$E163,$F163,AP$3)</f>
        <v>0</v>
      </c>
      <c r="AQ163" s="25" cm="1">
        <f t="array" ref="AQ163">_xll.DBRW($E$2,AP$1,AP$2,$D$18,$D$3,$D163,$E163,$F163,$F$3,AQ$3)</f>
        <v>0</v>
      </c>
      <c r="AR163" s="25">
        <f>_xll.DBRW($C$2,$AP$1,AP$2,$D$18,$D$3,$D163,$E163,$F163,AR$3)</f>
        <v>0</v>
      </c>
      <c r="AS163" s="64">
        <f>_xll.DBRW($C$2,$AP$1,AP$2,$D$18,$D$3,$D163,$E163,$F163,AS$3)</f>
        <v>0</v>
      </c>
      <c r="AT163" s="58">
        <f>_xll.DBRW($C$2,$AP$1,AP$2,$D$18,$D$3,$D163,$E163,$F163,AT$3)</f>
        <v>0</v>
      </c>
      <c r="AU163" s="48">
        <f t="shared" si="53"/>
        <v>1</v>
      </c>
      <c r="AV163" s="39">
        <f>_xll.DBRW($C$2,$AV$1,AV$2,$D$18,$D$3,$D163,$E163,$F163,AV$3)</f>
        <v>0</v>
      </c>
      <c r="AW163" s="25" cm="1">
        <f t="array" ref="AW163">_xll.DBRW($E$2,AV$1,AV$2,$D$18,$D$3,$D163,$E163,$F163,$F$3,AW$3)</f>
        <v>0</v>
      </c>
      <c r="AX163" s="25">
        <f>_xll.DBRW($C$2,$AV$1,AV$2,$D$18,$D$3,$D163,$E163,$F163,AX$3)</f>
        <v>0</v>
      </c>
      <c r="AY163" s="64">
        <f>_xll.DBRW($C$2,$AV$1,AV$2,$D$18,$D$3,$D163,$E163,$F163,AY$3)</f>
        <v>0</v>
      </c>
      <c r="AZ163" s="58">
        <f>_xll.DBRW($C$2,$AV$1,AV$2,$D$18,$D$3,$D163,$E163,$F163,AZ$3)</f>
        <v>0</v>
      </c>
      <c r="BA163" s="48">
        <f t="shared" si="54"/>
        <v>1</v>
      </c>
      <c r="BB163" s="39">
        <f>_xll.DBRW($C$2,$BB$1,BB$2,$D$18,$D$3,$D163,$E163,$F163,BB$3)</f>
        <v>0</v>
      </c>
      <c r="BC163" s="25" cm="1">
        <f t="array" ref="BC163">_xll.DBRW($E$2,BB$1,BB$2,$D$18,$D$3,$D163,$E163,$F163,$F$3,BC$3)</f>
        <v>0</v>
      </c>
      <c r="BD163" s="25">
        <f>_xll.DBRW($C$2,$BB$1,BB$2,$D$18,$D$3,$D163,$E163,$F163,BD$3)</f>
        <v>0</v>
      </c>
      <c r="BE163" s="64">
        <f>_xll.DBRW($C$2,$BB$1,BB$2,$D$18,$D$3,$D163,$E163,$F163,BE$3)</f>
        <v>0</v>
      </c>
      <c r="BF163" s="58">
        <f>_xll.DBRW($C$2,$BB$1,BB$2,$D$18,$D$3,$D163,$E163,$F163,BF$3)</f>
        <v>0</v>
      </c>
      <c r="BG163" s="48">
        <f t="shared" si="55"/>
        <v>1</v>
      </c>
      <c r="BH163" s="39">
        <f>_xll.DBRW($C$2,$BH$1,BH$2,$D$18,$D$3,$D163,$E163,$F163,BH$3)</f>
        <v>0</v>
      </c>
      <c r="BI163" s="25" cm="1">
        <f t="array" ref="BI163">_xll.DBRW($E$2,BH$1,BH$2,$D$18,$D$3,$D163,$E163,$F163,$F$3,BI$3)</f>
        <v>0</v>
      </c>
      <c r="BJ163" s="25">
        <f>_xll.DBRW($C$2,$BH$1,BH$2,$D$18,$D$3,$D163,$E163,$F163,BJ$3)</f>
        <v>0</v>
      </c>
      <c r="BK163" s="64">
        <f>_xll.DBRW($C$2,$BH$1,BH$2,$D$18,$D$3,$D163,$E163,$F163,BK$3)</f>
        <v>0</v>
      </c>
      <c r="BL163" s="58">
        <f>_xll.DBRW($C$2,$BH$1,BH$2,$D$18,$D$3,$D163,$E163,$F163,BL$3)</f>
        <v>0</v>
      </c>
      <c r="BM163" s="48">
        <f t="shared" si="56"/>
        <v>1</v>
      </c>
      <c r="BN163" s="39">
        <f>_xll.DBRW($C$2,$BN$1,BN$2,$D$18,$D$3,$D163,$E163,$F163,BN$3)</f>
        <v>0</v>
      </c>
      <c r="BO163" s="25" cm="1">
        <f t="array" ref="BO163">_xll.DBRW($E$2,BN$1,BN$2,$D$18,$D$3,$D163,$E163,$F163,$F$3,BO$3)</f>
        <v>0</v>
      </c>
      <c r="BP163" s="25">
        <f>_xll.DBRW($C$2,$BN$1,BN$2,$D$18,$D$3,$D163,$E163,$F163,BP$3)</f>
        <v>0</v>
      </c>
      <c r="BQ163" s="64">
        <f>_xll.DBRW($C$2,$BN$1,BN$2,$D$18,$D$3,$D163,$E163,$F163,BQ$3)</f>
        <v>0</v>
      </c>
      <c r="BR163" s="58">
        <f>_xll.DBRW($C$2,$BN$1,BN$2,$D$18,$D$3,$D163,$E163,$F163,BR$3)</f>
        <v>0</v>
      </c>
      <c r="BS163" s="48">
        <f t="shared" si="57"/>
        <v>1</v>
      </c>
      <c r="BT163" s="39">
        <f>_xll.DBRW($C$2,$BT$1,BT$2,$D$18,$D$3,$D163,$E163,$F163,BT$3)</f>
        <v>0</v>
      </c>
      <c r="BU163" s="25" cm="1">
        <f t="array" ref="BU163">_xll.DBRW($E$2,BT$1,BT$2,$D$18,$D$3,$D163,$E163,$F163,$F$3,BU$3)</f>
        <v>0</v>
      </c>
      <c r="BV163" s="25">
        <f>_xll.DBRW($C$2,$BT$1,BT$2,$D$18,$D$3,$D163,$E163,$F163,BV$3)</f>
        <v>0</v>
      </c>
      <c r="BW163" s="64">
        <f>_xll.DBRW($C$2,$BT$1,BT$2,$D$18,$D$3,$D163,$E163,$F163,BW$3)</f>
        <v>0</v>
      </c>
      <c r="BX163" s="58">
        <f>_xll.DBRW($C$2,$BT$1,BT$2,$D$18,$D$3,$D163,$E163,$F163,BX$3)</f>
        <v>0</v>
      </c>
      <c r="BY163" s="48">
        <f t="shared" si="58"/>
        <v>1</v>
      </c>
      <c r="BZ163" s="39">
        <f>_xll.DBRW($C$2,$BZ$1,BZ$2,$D$18,$D$3,$D163,$E163,$F163,BZ$3)</f>
        <v>0</v>
      </c>
      <c r="CA163" s="25" cm="1">
        <f t="array" ref="CA163">_xll.DBRW($E$2,BZ$1,BZ$2,$D$18,$D$3,$D163,$E163,$F163,$F$3,CA$3)</f>
        <v>0</v>
      </c>
      <c r="CB163" s="25">
        <f>_xll.DBRW($C$2,$BZ$1,BZ$2,$D$18,$D$3,$D163,$E163,$F163,CB$3)</f>
        <v>0</v>
      </c>
      <c r="CC163" s="64">
        <f>_xll.DBRW($C$2,$BZ$1,BZ$2,$D$18,$D$3,$D163,$E163,$F163,CC$3)</f>
        <v>0</v>
      </c>
      <c r="CD163" s="58">
        <f>_xll.DBRW($C$2,$BZ$1,BZ$2,$D$18,$D$3,$D163,$E163,$F163,CD$3)</f>
        <v>0</v>
      </c>
      <c r="CE163" s="48">
        <f t="shared" si="59"/>
        <v>1</v>
      </c>
    </row>
    <row r="164" spans="1:83" s="23" customFormat="1" outlineLevel="1" thickBot="1" x14ac:dyDescent="0.3">
      <c r="A164" s="91" t="str">
        <f>IF(_xll.TM1RPTELISCONSOLIDATED($F$22,$F164),IF(_xll.TM1RPTELLEV($F$22,$F164)&lt;=5,_xll.TM1RPTELLEV($F$22,$F164),"Default"),"Leaf")</f>
        <v>Leaf</v>
      </c>
      <c r="B164" s="24" t="str">
        <f>_xll.DBRW("TM1-S1_DEV:}ElementAttributes_SP_SKU",$D164,B$1)</f>
        <v>Primary</v>
      </c>
      <c r="C164" s="24" t="str">
        <f>_xll.DBRW("TM1-S1_DEV:}ElementAttributes_SP_SKU",$D164,C$1)</f>
        <v>BOWL</v>
      </c>
      <c r="D164" s="28" t="s">
        <v>513</v>
      </c>
      <c r="E164" s="28" t="s">
        <v>124</v>
      </c>
      <c r="F164" s="28" t="s">
        <v>30</v>
      </c>
      <c r="G164" s="4">
        <f>_xll.DBRW($C$2,$G$19,G$20,$D$18,$D$3,$D164,$E164,$F164,G$3)</f>
        <v>5</v>
      </c>
      <c r="H164" s="54">
        <f t="shared" si="48"/>
        <v>6</v>
      </c>
      <c r="I164" s="4"/>
      <c r="J164" s="25">
        <f>_xll.DBRW($C$2,$J$1,J$2,$D$18,$D$3,$D164,$E164,$F164,J$3)</f>
        <v>11</v>
      </c>
      <c r="K164" s="39">
        <f>_xll.DBRW($C$2,$J$1,J$2,$D$18,$D$3,$D164,$E164,$F164,K$3)</f>
        <v>0</v>
      </c>
      <c r="L164" s="25">
        <f>_xll.DBRW($C$2,$J$1,J$2,$D$18,$D$3,$D164,$E164,$F164,L$3)</f>
        <v>0</v>
      </c>
      <c r="M164" s="25">
        <f>_xll.DBRW($C$2,$J$1,J$2,$D$18,$D$3,$D164,$E164,$F164,M$3)</f>
        <v>0</v>
      </c>
      <c r="N164" s="25">
        <f>_xll.DBRW($C$2,$J$1,J$2,$D$18,$D$3,$D164,$E164,$F164,N$3)</f>
        <v>0</v>
      </c>
      <c r="O164" s="64">
        <f>_xll.DBRW($C$2,$J$1,J$2,$D$18,$D$3,$D164,$E164,$F164,O$3)</f>
        <v>0</v>
      </c>
      <c r="P164" s="58">
        <f>_xll.DBRW($C$2,$J$1,J$2,$D$18,$D$3,$D164,$E164,$F164,P$3)</f>
        <v>0</v>
      </c>
      <c r="Q164" s="48">
        <f>_xll.DBRW($C$2,$J$1,J$2,$D$18,$D$3,$D164,$E164,$F164,Q$3)</f>
        <v>11</v>
      </c>
      <c r="R164" s="39">
        <f>_xll.DBRW($C$2,$R$1,R$2,$D$18,$D$3,$D164,$E164,$F164,R$3)</f>
        <v>0</v>
      </c>
      <c r="S164" s="25" cm="1">
        <f t="array" ref="S164">_xll.DBRW($E$2,R$1,R$2,$D$18,$D$3,$D164,$E164,$F164,$F$3,S$3)</f>
        <v>0</v>
      </c>
      <c r="T164" s="25">
        <f>_xll.DBRW($C$2,$R$1,R$2,$D$18,$D$3,$D164,$E164,$F164,T$3)</f>
        <v>0</v>
      </c>
      <c r="U164" s="64">
        <f>_xll.DBRW($C$2,$R$1,R$2,$D$18,$D$3,$D164,$E164,$F164,U$3)</f>
        <v>0</v>
      </c>
      <c r="V164" s="58">
        <f>_xll.DBRW($C$2,$R$1,R$2,$D$18,$D$3,$D164,$E164,$F164,V$3)</f>
        <v>0</v>
      </c>
      <c r="W164" s="48">
        <f t="shared" si="49"/>
        <v>11</v>
      </c>
      <c r="X164" s="39">
        <f>_xll.DBRW($C$2,$X$1,X$2,$D$18,$D$3,$D164,$E164,$F164,X$3)</f>
        <v>0</v>
      </c>
      <c r="Y164" s="25" cm="1">
        <f t="array" ref="Y164">_xll.DBRW($E$2,X$1,X$2,$D$18,$D$3,$D164,$E164,$F164,$F$3,Y$3)</f>
        <v>0</v>
      </c>
      <c r="Z164" s="25">
        <f>_xll.DBRW($C$2,$X$1,X$2,$D$18,$D$3,$D164,$E164,$F164,Z$3)</f>
        <v>1</v>
      </c>
      <c r="AA164" s="64">
        <f>_xll.DBRW($C$2,$X$1,X$2,$D$18,$D$3,$D164,$E164,$F164,AA$3)</f>
        <v>0</v>
      </c>
      <c r="AB164" s="58">
        <f>_xll.DBRW($C$2,$X$1,X$2,$D$18,$D$3,$D164,$E164,$F164,AB$3)</f>
        <v>0</v>
      </c>
      <c r="AC164" s="48">
        <f t="shared" si="50"/>
        <v>10</v>
      </c>
      <c r="AD164" s="39">
        <f>_xll.DBRW($C$2,$AD$1,AD$2,$D$18,$D$3,$D164,$E164,$F164,AD$3)</f>
        <v>0</v>
      </c>
      <c r="AE164" s="25" cm="1">
        <f t="array" ref="AE164">_xll.DBRW($E$2,AD$1,AD$2,$D$18,$D$3,$D164,$E164,$F164,$F$3,AE$3)</f>
        <v>0</v>
      </c>
      <c r="AF164" s="25">
        <f>_xll.DBRW($C$2,$AD$1,AD$2,$D$18,$D$3,$D164,$E164,$F164,AF$3)</f>
        <v>1</v>
      </c>
      <c r="AG164" s="64">
        <f>_xll.DBRW($C$2,$AD$1,AD$2,$D$18,$D$3,$D164,$E164,$F164,AG$3)</f>
        <v>0</v>
      </c>
      <c r="AH164" s="58">
        <f>_xll.DBRW($C$2,$AD$1,AD$2,$D$18,$D$3,$D164,$E164,$F164,AH$3)</f>
        <v>0</v>
      </c>
      <c r="AI164" s="48">
        <f t="shared" si="51"/>
        <v>9</v>
      </c>
      <c r="AJ164" s="39">
        <f>_xll.DBRW($C$2,$AJ$1,AJ$2,$D$18,$D$3,$D164,$E164,$F164,AJ$3)</f>
        <v>0</v>
      </c>
      <c r="AK164" s="25" cm="1">
        <f t="array" ref="AK164">_xll.DBRW($E$2,AJ$1,AJ$2,$D$18,$D$3,$D164,$E164,$F164,$F$3,AK$3)</f>
        <v>0</v>
      </c>
      <c r="AL164" s="25">
        <f>_xll.DBRW($C$2,$AJ$1,AJ$2,$D$18,$D$3,$D164,$E164,$F164,AL$3)</f>
        <v>1</v>
      </c>
      <c r="AM164" s="64">
        <f>_xll.DBRW($C$2,$AJ$1,AJ$2,$D$18,$D$3,$D164,$E164,$F164,AM$3)</f>
        <v>0</v>
      </c>
      <c r="AN164" s="58">
        <f>_xll.DBRW($C$2,$AJ$1,AJ$2,$D$18,$D$3,$D164,$E164,$F164,AN$3)</f>
        <v>0</v>
      </c>
      <c r="AO164" s="48">
        <f t="shared" si="52"/>
        <v>8</v>
      </c>
      <c r="AP164" s="39">
        <f>_xll.DBRW($C$2,$AP$1,AP$2,$D$18,$D$3,$D164,$E164,$F164,AP$3)</f>
        <v>0</v>
      </c>
      <c r="AQ164" s="25" cm="1">
        <f t="array" ref="AQ164">_xll.DBRW($E$2,AP$1,AP$2,$D$18,$D$3,$D164,$E164,$F164,$F$3,AQ$3)</f>
        <v>0</v>
      </c>
      <c r="AR164" s="25">
        <f>_xll.DBRW($C$2,$AP$1,AP$2,$D$18,$D$3,$D164,$E164,$F164,AR$3)</f>
        <v>1</v>
      </c>
      <c r="AS164" s="64">
        <f>_xll.DBRW($C$2,$AP$1,AP$2,$D$18,$D$3,$D164,$E164,$F164,AS$3)</f>
        <v>0</v>
      </c>
      <c r="AT164" s="58">
        <f>_xll.DBRW($C$2,$AP$1,AP$2,$D$18,$D$3,$D164,$E164,$F164,AT$3)</f>
        <v>0</v>
      </c>
      <c r="AU164" s="48">
        <f t="shared" si="53"/>
        <v>7</v>
      </c>
      <c r="AV164" s="39">
        <f>_xll.DBRW($C$2,$AV$1,AV$2,$D$18,$D$3,$D164,$E164,$F164,AV$3)</f>
        <v>0</v>
      </c>
      <c r="AW164" s="25" cm="1">
        <f t="array" ref="AW164">_xll.DBRW($E$2,AV$1,AV$2,$D$18,$D$3,$D164,$E164,$F164,$F$3,AW$3)</f>
        <v>0</v>
      </c>
      <c r="AX164" s="25">
        <f>_xll.DBRW($C$2,$AV$1,AV$2,$D$18,$D$3,$D164,$E164,$F164,AX$3)</f>
        <v>1</v>
      </c>
      <c r="AY164" s="64">
        <f>_xll.DBRW($C$2,$AV$1,AV$2,$D$18,$D$3,$D164,$E164,$F164,AY$3)</f>
        <v>1</v>
      </c>
      <c r="AZ164" s="58">
        <f>_xll.DBRW($C$2,$AV$1,AV$2,$D$18,$D$3,$D164,$E164,$F164,AZ$3)</f>
        <v>0</v>
      </c>
      <c r="BA164" s="48">
        <f t="shared" si="54"/>
        <v>6</v>
      </c>
      <c r="BB164" s="39">
        <f>_xll.DBRW($C$2,$BB$1,BB$2,$D$18,$D$3,$D164,$E164,$F164,BB$3)</f>
        <v>0</v>
      </c>
      <c r="BC164" s="25" cm="1">
        <f t="array" ref="BC164">_xll.DBRW($E$2,BB$1,BB$2,$D$18,$D$3,$D164,$E164,$F164,$F$3,BC$3)</f>
        <v>0</v>
      </c>
      <c r="BD164" s="25">
        <f>_xll.DBRW($C$2,$BB$1,BB$2,$D$18,$D$3,$D164,$E164,$F164,BD$3)</f>
        <v>1</v>
      </c>
      <c r="BE164" s="64">
        <f>_xll.DBRW($C$2,$BB$1,BB$2,$D$18,$D$3,$D164,$E164,$F164,BE$3)</f>
        <v>0</v>
      </c>
      <c r="BF164" s="58">
        <f>_xll.DBRW($C$2,$BB$1,BB$2,$D$18,$D$3,$D164,$E164,$F164,BF$3)</f>
        <v>0</v>
      </c>
      <c r="BG164" s="48">
        <f t="shared" si="55"/>
        <v>5</v>
      </c>
      <c r="BH164" s="39">
        <f>_xll.DBRW($C$2,$BH$1,BH$2,$D$18,$D$3,$D164,$E164,$F164,BH$3)</f>
        <v>0</v>
      </c>
      <c r="BI164" s="25" cm="1">
        <f t="array" ref="BI164">_xll.DBRW($E$2,BH$1,BH$2,$D$18,$D$3,$D164,$E164,$F164,$F$3,BI$3)</f>
        <v>0</v>
      </c>
      <c r="BJ164" s="25">
        <f>_xll.DBRW($C$2,$BH$1,BH$2,$D$18,$D$3,$D164,$E164,$F164,BJ$3)</f>
        <v>1</v>
      </c>
      <c r="BK164" s="64">
        <f>_xll.DBRW($C$2,$BH$1,BH$2,$D$18,$D$3,$D164,$E164,$F164,BK$3)</f>
        <v>0</v>
      </c>
      <c r="BL164" s="58">
        <f>_xll.DBRW($C$2,$BH$1,BH$2,$D$18,$D$3,$D164,$E164,$F164,BL$3)</f>
        <v>0</v>
      </c>
      <c r="BM164" s="48">
        <f t="shared" si="56"/>
        <v>4</v>
      </c>
      <c r="BN164" s="39">
        <f>_xll.DBRW($C$2,$BN$1,BN$2,$D$18,$D$3,$D164,$E164,$F164,BN$3)</f>
        <v>0</v>
      </c>
      <c r="BO164" s="25" cm="1">
        <f t="array" ref="BO164">_xll.DBRW($E$2,BN$1,BN$2,$D$18,$D$3,$D164,$E164,$F164,$F$3,BO$3)</f>
        <v>0</v>
      </c>
      <c r="BP164" s="25">
        <f>_xll.DBRW($C$2,$BN$1,BN$2,$D$18,$D$3,$D164,$E164,$F164,BP$3)</f>
        <v>1</v>
      </c>
      <c r="BQ164" s="64">
        <f>_xll.DBRW($C$2,$BN$1,BN$2,$D$18,$D$3,$D164,$E164,$F164,BQ$3)</f>
        <v>0</v>
      </c>
      <c r="BR164" s="58">
        <f>_xll.DBRW($C$2,$BN$1,BN$2,$D$18,$D$3,$D164,$E164,$F164,BR$3)</f>
        <v>0</v>
      </c>
      <c r="BS164" s="48">
        <f t="shared" si="57"/>
        <v>3</v>
      </c>
      <c r="BT164" s="39">
        <f>_xll.DBRW($C$2,$BT$1,BT$2,$D$18,$D$3,$D164,$E164,$F164,BT$3)</f>
        <v>0</v>
      </c>
      <c r="BU164" s="25" cm="1">
        <f t="array" ref="BU164">_xll.DBRW($E$2,BT$1,BT$2,$D$18,$D$3,$D164,$E164,$F164,$F$3,BU$3)</f>
        <v>0</v>
      </c>
      <c r="BV164" s="25">
        <f>_xll.DBRW($C$2,$BT$1,BT$2,$D$18,$D$3,$D164,$E164,$F164,BV$3)</f>
        <v>1</v>
      </c>
      <c r="BW164" s="64">
        <f>_xll.DBRW($C$2,$BT$1,BT$2,$D$18,$D$3,$D164,$E164,$F164,BW$3)</f>
        <v>0</v>
      </c>
      <c r="BX164" s="58">
        <f>_xll.DBRW($C$2,$BT$1,BT$2,$D$18,$D$3,$D164,$E164,$F164,BX$3)</f>
        <v>0</v>
      </c>
      <c r="BY164" s="48">
        <f t="shared" si="58"/>
        <v>2</v>
      </c>
      <c r="BZ164" s="39">
        <f>_xll.DBRW($C$2,$BZ$1,BZ$2,$D$18,$D$3,$D164,$E164,$F164,BZ$3)</f>
        <v>0</v>
      </c>
      <c r="CA164" s="25" cm="1">
        <f t="array" ref="CA164">_xll.DBRW($E$2,BZ$1,BZ$2,$D$18,$D$3,$D164,$E164,$F164,$F$3,CA$3)</f>
        <v>0</v>
      </c>
      <c r="CB164" s="25">
        <f>_xll.DBRW($C$2,$BZ$1,BZ$2,$D$18,$D$3,$D164,$E164,$F164,CB$3)</f>
        <v>1</v>
      </c>
      <c r="CC164" s="64">
        <f>_xll.DBRW($C$2,$BZ$1,BZ$2,$D$18,$D$3,$D164,$E164,$F164,CC$3)</f>
        <v>0</v>
      </c>
      <c r="CD164" s="58">
        <f>_xll.DBRW($C$2,$BZ$1,BZ$2,$D$18,$D$3,$D164,$E164,$F164,CD$3)</f>
        <v>0</v>
      </c>
      <c r="CE164" s="48">
        <f t="shared" si="59"/>
        <v>1</v>
      </c>
    </row>
    <row r="165" spans="1:83" s="23" customFormat="1" outlineLevel="1" thickBot="1" x14ac:dyDescent="0.3">
      <c r="A165" s="91" t="str">
        <f>IF(_xll.TM1RPTELISCONSOLIDATED($F$22,$F165),IF(_xll.TM1RPTELLEV($F$22,$F165)&lt;=5,_xll.TM1RPTELLEV($F$22,$F165),"Default"),"Leaf")</f>
        <v>Leaf</v>
      </c>
      <c r="B165" s="24" t="str">
        <f>_xll.DBRW("TM1-S1_DEV:}ElementAttributes_SP_SKU",$D165,B$1)</f>
        <v>Primary</v>
      </c>
      <c r="C165" s="24" t="str">
        <f>_xll.DBRW("TM1-S1_DEV:}ElementAttributes_SP_SKU",$D165,C$1)</f>
        <v>BOWL</v>
      </c>
      <c r="D165" s="28" t="s">
        <v>452</v>
      </c>
      <c r="E165" s="28" t="s">
        <v>125</v>
      </c>
      <c r="F165" s="28" t="s">
        <v>30</v>
      </c>
      <c r="G165" s="4">
        <f>_xll.DBRW($C$2,$G$19,G$20,$D$18,$D$3,$D165,$E165,$F165,G$3)</f>
        <v>6</v>
      </c>
      <c r="H165" s="54">
        <f t="shared" si="48"/>
        <v>6</v>
      </c>
      <c r="I165" s="4"/>
      <c r="J165" s="25">
        <f>_xll.DBRW($C$2,$J$1,J$2,$D$18,$D$3,$D165,$E165,$F165,J$3)</f>
        <v>12</v>
      </c>
      <c r="K165" s="39">
        <f>_xll.DBRW($C$2,$J$1,J$2,$D$18,$D$3,$D165,$E165,$F165,K$3)</f>
        <v>0</v>
      </c>
      <c r="L165" s="25">
        <f>_xll.DBRW($C$2,$J$1,J$2,$D$18,$D$3,$D165,$E165,$F165,L$3)</f>
        <v>0</v>
      </c>
      <c r="M165" s="25">
        <f>_xll.DBRW($C$2,$J$1,J$2,$D$18,$D$3,$D165,$E165,$F165,M$3)</f>
        <v>0</v>
      </c>
      <c r="N165" s="25">
        <f>_xll.DBRW($C$2,$J$1,J$2,$D$18,$D$3,$D165,$E165,$F165,N$3)</f>
        <v>2</v>
      </c>
      <c r="O165" s="64">
        <f>_xll.DBRW($C$2,$J$1,J$2,$D$18,$D$3,$D165,$E165,$F165,O$3)</f>
        <v>1</v>
      </c>
      <c r="P165" s="58">
        <f>_xll.DBRW($C$2,$J$1,J$2,$D$18,$D$3,$D165,$E165,$F165,P$3)</f>
        <v>0</v>
      </c>
      <c r="Q165" s="48">
        <f>_xll.DBRW($C$2,$J$1,J$2,$D$18,$D$3,$D165,$E165,$F165,Q$3)</f>
        <v>10</v>
      </c>
      <c r="R165" s="39">
        <f>_xll.DBRW($C$2,$R$1,R$2,$D$18,$D$3,$D165,$E165,$F165,R$3)</f>
        <v>0</v>
      </c>
      <c r="S165" s="25" cm="1">
        <f t="array" ref="S165">_xll.DBRW($E$2,R$1,R$2,$D$18,$D$3,$D165,$E165,$F165,$F$3,S$3)</f>
        <v>0</v>
      </c>
      <c r="T165" s="25">
        <f>_xll.DBRW($C$2,$R$1,R$2,$D$18,$D$3,$D165,$E165,$F165,T$3)</f>
        <v>0</v>
      </c>
      <c r="U165" s="64">
        <f>_xll.DBRW($C$2,$R$1,R$2,$D$18,$D$3,$D165,$E165,$F165,U$3)</f>
        <v>0</v>
      </c>
      <c r="V165" s="58">
        <f>_xll.DBRW($C$2,$R$1,R$2,$D$18,$D$3,$D165,$E165,$F165,V$3)</f>
        <v>0</v>
      </c>
      <c r="W165" s="48">
        <f t="shared" si="49"/>
        <v>10</v>
      </c>
      <c r="X165" s="39">
        <f>_xll.DBRW($C$2,$X$1,X$2,$D$18,$D$3,$D165,$E165,$F165,X$3)</f>
        <v>0</v>
      </c>
      <c r="Y165" s="25" cm="1">
        <f t="array" ref="Y165">_xll.DBRW($E$2,X$1,X$2,$D$18,$D$3,$D165,$E165,$F165,$F$3,Y$3)</f>
        <v>0</v>
      </c>
      <c r="Z165" s="25">
        <f>_xll.DBRW($C$2,$X$1,X$2,$D$18,$D$3,$D165,$E165,$F165,Z$3)</f>
        <v>1</v>
      </c>
      <c r="AA165" s="64">
        <f>_xll.DBRW($C$2,$X$1,X$2,$D$18,$D$3,$D165,$E165,$F165,AA$3)</f>
        <v>0</v>
      </c>
      <c r="AB165" s="58">
        <f>_xll.DBRW($C$2,$X$1,X$2,$D$18,$D$3,$D165,$E165,$F165,AB$3)</f>
        <v>0</v>
      </c>
      <c r="AC165" s="48">
        <f t="shared" si="50"/>
        <v>9</v>
      </c>
      <c r="AD165" s="39">
        <f>_xll.DBRW($C$2,$AD$1,AD$2,$D$18,$D$3,$D165,$E165,$F165,AD$3)</f>
        <v>0</v>
      </c>
      <c r="AE165" s="25" cm="1">
        <f t="array" ref="AE165">_xll.DBRW($E$2,AD$1,AD$2,$D$18,$D$3,$D165,$E165,$F165,$F$3,AE$3)</f>
        <v>0</v>
      </c>
      <c r="AF165" s="25">
        <f>_xll.DBRW($C$2,$AD$1,AD$2,$D$18,$D$3,$D165,$E165,$F165,AF$3)</f>
        <v>1</v>
      </c>
      <c r="AG165" s="64">
        <f>_xll.DBRW($C$2,$AD$1,AD$2,$D$18,$D$3,$D165,$E165,$F165,AG$3)</f>
        <v>1</v>
      </c>
      <c r="AH165" s="58">
        <f>_xll.DBRW($C$2,$AD$1,AD$2,$D$18,$D$3,$D165,$E165,$F165,AH$3)</f>
        <v>0</v>
      </c>
      <c r="AI165" s="48">
        <f t="shared" si="51"/>
        <v>8</v>
      </c>
      <c r="AJ165" s="39">
        <f>_xll.DBRW($C$2,$AJ$1,AJ$2,$D$18,$D$3,$D165,$E165,$F165,AJ$3)</f>
        <v>0</v>
      </c>
      <c r="AK165" s="25" cm="1">
        <f t="array" ref="AK165">_xll.DBRW($E$2,AJ$1,AJ$2,$D$18,$D$3,$D165,$E165,$F165,$F$3,AK$3)</f>
        <v>0</v>
      </c>
      <c r="AL165" s="25">
        <f>_xll.DBRW($C$2,$AJ$1,AJ$2,$D$18,$D$3,$D165,$E165,$F165,AL$3)</f>
        <v>1</v>
      </c>
      <c r="AM165" s="64">
        <f>_xll.DBRW($C$2,$AJ$1,AJ$2,$D$18,$D$3,$D165,$E165,$F165,AM$3)</f>
        <v>0</v>
      </c>
      <c r="AN165" s="58">
        <f>_xll.DBRW($C$2,$AJ$1,AJ$2,$D$18,$D$3,$D165,$E165,$F165,AN$3)</f>
        <v>0</v>
      </c>
      <c r="AO165" s="48">
        <f t="shared" si="52"/>
        <v>7</v>
      </c>
      <c r="AP165" s="39">
        <f>_xll.DBRW($C$2,$AP$1,AP$2,$D$18,$D$3,$D165,$E165,$F165,AP$3)</f>
        <v>0</v>
      </c>
      <c r="AQ165" s="25" cm="1">
        <f t="array" ref="AQ165">_xll.DBRW($E$2,AP$1,AP$2,$D$18,$D$3,$D165,$E165,$F165,$F$3,AQ$3)</f>
        <v>0</v>
      </c>
      <c r="AR165" s="25">
        <f>_xll.DBRW($C$2,$AP$1,AP$2,$D$18,$D$3,$D165,$E165,$F165,AR$3)</f>
        <v>1</v>
      </c>
      <c r="AS165" s="64">
        <f>_xll.DBRW($C$2,$AP$1,AP$2,$D$18,$D$3,$D165,$E165,$F165,AS$3)</f>
        <v>0</v>
      </c>
      <c r="AT165" s="58">
        <f>_xll.DBRW($C$2,$AP$1,AP$2,$D$18,$D$3,$D165,$E165,$F165,AT$3)</f>
        <v>0</v>
      </c>
      <c r="AU165" s="48">
        <f t="shared" si="53"/>
        <v>6</v>
      </c>
      <c r="AV165" s="39">
        <f>_xll.DBRW($C$2,$AV$1,AV$2,$D$18,$D$3,$D165,$E165,$F165,AV$3)</f>
        <v>0</v>
      </c>
      <c r="AW165" s="25" cm="1">
        <f t="array" ref="AW165">_xll.DBRW($E$2,AV$1,AV$2,$D$18,$D$3,$D165,$E165,$F165,$F$3,AW$3)</f>
        <v>0</v>
      </c>
      <c r="AX165" s="25">
        <f>_xll.DBRW($C$2,$AV$1,AV$2,$D$18,$D$3,$D165,$E165,$F165,AX$3)</f>
        <v>1</v>
      </c>
      <c r="AY165" s="64">
        <f>_xll.DBRW($C$2,$AV$1,AV$2,$D$18,$D$3,$D165,$E165,$F165,AY$3)</f>
        <v>1</v>
      </c>
      <c r="AZ165" s="58">
        <f>_xll.DBRW($C$2,$AV$1,AV$2,$D$18,$D$3,$D165,$E165,$F165,AZ$3)</f>
        <v>0</v>
      </c>
      <c r="BA165" s="48">
        <f t="shared" si="54"/>
        <v>5</v>
      </c>
      <c r="BB165" s="39">
        <f>_xll.DBRW($C$2,$BB$1,BB$2,$D$18,$D$3,$D165,$E165,$F165,BB$3)</f>
        <v>0</v>
      </c>
      <c r="BC165" s="25" cm="1">
        <f t="array" ref="BC165">_xll.DBRW($E$2,BB$1,BB$2,$D$18,$D$3,$D165,$E165,$F165,$F$3,BC$3)</f>
        <v>0</v>
      </c>
      <c r="BD165" s="25">
        <f>_xll.DBRW($C$2,$BB$1,BB$2,$D$18,$D$3,$D165,$E165,$F165,BD$3)</f>
        <v>1</v>
      </c>
      <c r="BE165" s="64">
        <f>_xll.DBRW($C$2,$BB$1,BB$2,$D$18,$D$3,$D165,$E165,$F165,BE$3)</f>
        <v>0</v>
      </c>
      <c r="BF165" s="58">
        <f>_xll.DBRW($C$2,$BB$1,BB$2,$D$18,$D$3,$D165,$E165,$F165,BF$3)</f>
        <v>0</v>
      </c>
      <c r="BG165" s="48">
        <f t="shared" si="55"/>
        <v>4</v>
      </c>
      <c r="BH165" s="39">
        <f>_xll.DBRW($C$2,$BH$1,BH$2,$D$18,$D$3,$D165,$E165,$F165,BH$3)</f>
        <v>0</v>
      </c>
      <c r="BI165" s="25" cm="1">
        <f t="array" ref="BI165">_xll.DBRW($E$2,BH$1,BH$2,$D$18,$D$3,$D165,$E165,$F165,$F$3,BI$3)</f>
        <v>0</v>
      </c>
      <c r="BJ165" s="25">
        <f>_xll.DBRW($C$2,$BH$1,BH$2,$D$18,$D$3,$D165,$E165,$F165,BJ$3)</f>
        <v>1</v>
      </c>
      <c r="BK165" s="64">
        <f>_xll.DBRW($C$2,$BH$1,BH$2,$D$18,$D$3,$D165,$E165,$F165,BK$3)</f>
        <v>0</v>
      </c>
      <c r="BL165" s="58">
        <f>_xll.DBRW($C$2,$BH$1,BH$2,$D$18,$D$3,$D165,$E165,$F165,BL$3)</f>
        <v>0</v>
      </c>
      <c r="BM165" s="48">
        <f t="shared" si="56"/>
        <v>3</v>
      </c>
      <c r="BN165" s="39">
        <f>_xll.DBRW($C$2,$BN$1,BN$2,$D$18,$D$3,$D165,$E165,$F165,BN$3)</f>
        <v>0</v>
      </c>
      <c r="BO165" s="25" cm="1">
        <f t="array" ref="BO165">_xll.DBRW($E$2,BN$1,BN$2,$D$18,$D$3,$D165,$E165,$F165,$F$3,BO$3)</f>
        <v>0</v>
      </c>
      <c r="BP165" s="25">
        <f>_xll.DBRW($C$2,$BN$1,BN$2,$D$18,$D$3,$D165,$E165,$F165,BP$3)</f>
        <v>1</v>
      </c>
      <c r="BQ165" s="64">
        <f>_xll.DBRW($C$2,$BN$1,BN$2,$D$18,$D$3,$D165,$E165,$F165,BQ$3)</f>
        <v>0</v>
      </c>
      <c r="BR165" s="58">
        <f>_xll.DBRW($C$2,$BN$1,BN$2,$D$18,$D$3,$D165,$E165,$F165,BR$3)</f>
        <v>0</v>
      </c>
      <c r="BS165" s="48">
        <f t="shared" si="57"/>
        <v>2</v>
      </c>
      <c r="BT165" s="39">
        <f>_xll.DBRW($C$2,$BT$1,BT$2,$D$18,$D$3,$D165,$E165,$F165,BT$3)</f>
        <v>0</v>
      </c>
      <c r="BU165" s="25" cm="1">
        <f t="array" ref="BU165">_xll.DBRW($E$2,BT$1,BT$2,$D$18,$D$3,$D165,$E165,$F165,$F$3,BU$3)</f>
        <v>0</v>
      </c>
      <c r="BV165" s="25">
        <f>_xll.DBRW($C$2,$BT$1,BT$2,$D$18,$D$3,$D165,$E165,$F165,BV$3)</f>
        <v>1</v>
      </c>
      <c r="BW165" s="64">
        <f>_xll.DBRW($C$2,$BT$1,BT$2,$D$18,$D$3,$D165,$E165,$F165,BW$3)</f>
        <v>0</v>
      </c>
      <c r="BX165" s="58">
        <f>_xll.DBRW($C$2,$BT$1,BT$2,$D$18,$D$3,$D165,$E165,$F165,BX$3)</f>
        <v>0</v>
      </c>
      <c r="BY165" s="48">
        <f t="shared" si="58"/>
        <v>1</v>
      </c>
      <c r="BZ165" s="39">
        <f>_xll.DBRW($C$2,$BZ$1,BZ$2,$D$18,$D$3,$D165,$E165,$F165,BZ$3)</f>
        <v>0</v>
      </c>
      <c r="CA165" s="25" cm="1">
        <f t="array" ref="CA165">_xll.DBRW($E$2,BZ$1,BZ$2,$D$18,$D$3,$D165,$E165,$F165,$F$3,CA$3)</f>
        <v>0</v>
      </c>
      <c r="CB165" s="25">
        <f>_xll.DBRW($C$2,$BZ$1,BZ$2,$D$18,$D$3,$D165,$E165,$F165,CB$3)</f>
        <v>1</v>
      </c>
      <c r="CC165" s="64">
        <f>_xll.DBRW($C$2,$BZ$1,BZ$2,$D$18,$D$3,$D165,$E165,$F165,CC$3)</f>
        <v>0</v>
      </c>
      <c r="CD165" s="58">
        <f>_xll.DBRW($C$2,$BZ$1,BZ$2,$D$18,$D$3,$D165,$E165,$F165,CD$3)</f>
        <v>0</v>
      </c>
      <c r="CE165" s="48">
        <f t="shared" si="59"/>
        <v>0</v>
      </c>
    </row>
    <row r="166" spans="1:83" s="23" customFormat="1" outlineLevel="1" thickBot="1" x14ac:dyDescent="0.3">
      <c r="A166" s="91" t="str">
        <f>IF(_xll.TM1RPTELISCONSOLIDATED($F$22,$F166),IF(_xll.TM1RPTELLEV($F$22,$F166)&lt;=5,_xll.TM1RPTELLEV($F$22,$F166),"Default"),"Leaf")</f>
        <v>Leaf</v>
      </c>
      <c r="B166" s="24" t="str">
        <f>_xll.DBRW("TM1-S1_DEV:}ElementAttributes_SP_SKU",$D166,B$1)</f>
        <v>Primary</v>
      </c>
      <c r="C166" s="24" t="str">
        <f>_xll.DBRW("TM1-S1_DEV:}ElementAttributes_SP_SKU",$D166,C$1)</f>
        <v>PAPER</v>
      </c>
      <c r="D166" s="28" t="s">
        <v>462</v>
      </c>
      <c r="E166" s="28" t="s">
        <v>296</v>
      </c>
      <c r="F166" s="28" t="s">
        <v>55</v>
      </c>
      <c r="G166" s="4">
        <f>_xll.DBRW($C$2,$G$19,G$20,$D$18,$D$3,$D166,$E166,$F166,G$3)</f>
        <v>9</v>
      </c>
      <c r="H166" s="54">
        <f t="shared" si="48"/>
        <v>-7</v>
      </c>
      <c r="I166" s="4"/>
      <c r="J166" s="25">
        <f>_xll.DBRW($C$2,$J$1,J$2,$D$18,$D$3,$D166,$E166,$F166,J$3)</f>
        <v>2</v>
      </c>
      <c r="K166" s="39">
        <f>_xll.DBRW($C$2,$J$1,J$2,$D$18,$D$3,$D166,$E166,$F166,K$3)</f>
        <v>0</v>
      </c>
      <c r="L166" s="25">
        <f>_xll.DBRW($C$2,$J$1,J$2,$D$18,$D$3,$D166,$E166,$F166,L$3)</f>
        <v>0</v>
      </c>
      <c r="M166" s="25">
        <f>_xll.DBRW($C$2,$J$1,J$2,$D$18,$D$3,$D166,$E166,$F166,M$3)</f>
        <v>4</v>
      </c>
      <c r="N166" s="25">
        <f>_xll.DBRW($C$2,$J$1,J$2,$D$18,$D$3,$D166,$E166,$F166,N$3)</f>
        <v>0</v>
      </c>
      <c r="O166" s="64">
        <f>_xll.DBRW($C$2,$J$1,J$2,$D$18,$D$3,$D166,$E166,$F166,O$3)</f>
        <v>0</v>
      </c>
      <c r="P166" s="58">
        <f>_xll.DBRW($C$2,$J$1,J$2,$D$18,$D$3,$D166,$E166,$F166,P$3)</f>
        <v>0</v>
      </c>
      <c r="Q166" s="48">
        <f>_xll.DBRW($C$2,$J$1,J$2,$D$18,$D$3,$D166,$E166,$F166,Q$3)</f>
        <v>6</v>
      </c>
      <c r="R166" s="39">
        <f>_xll.DBRW($C$2,$R$1,R$2,$D$18,$D$3,$D166,$E166,$F166,R$3)</f>
        <v>0</v>
      </c>
      <c r="S166" s="25" cm="1">
        <f t="array" ref="S166">_xll.DBRW($E$2,R$1,R$2,$D$18,$D$3,$D166,$E166,$F166,$F$3,S$3)</f>
        <v>0</v>
      </c>
      <c r="T166" s="25">
        <f>_xll.DBRW($C$2,$R$1,R$2,$D$18,$D$3,$D166,$E166,$F166,T$3)</f>
        <v>0</v>
      </c>
      <c r="U166" s="64">
        <f>_xll.DBRW($C$2,$R$1,R$2,$D$18,$D$3,$D166,$E166,$F166,U$3)</f>
        <v>0</v>
      </c>
      <c r="V166" s="58">
        <f>_xll.DBRW($C$2,$R$1,R$2,$D$18,$D$3,$D166,$E166,$F166,V$3)</f>
        <v>0</v>
      </c>
      <c r="W166" s="48">
        <f t="shared" si="49"/>
        <v>6</v>
      </c>
      <c r="X166" s="39">
        <f>_xll.DBRW($C$2,$X$1,X$2,$D$18,$D$3,$D166,$E166,$F166,X$3)</f>
        <v>0</v>
      </c>
      <c r="Y166" s="25" cm="1">
        <f t="array" ref="Y166">_xll.DBRW($E$2,X$1,X$2,$D$18,$D$3,$D166,$E166,$F166,$F$3,Y$3)</f>
        <v>0</v>
      </c>
      <c r="Z166" s="25">
        <f>_xll.DBRW($C$2,$X$1,X$2,$D$18,$D$3,$D166,$E166,$F166,Z$3)</f>
        <v>1</v>
      </c>
      <c r="AA166" s="64">
        <f>_xll.DBRW($C$2,$X$1,X$2,$D$18,$D$3,$D166,$E166,$F166,AA$3)</f>
        <v>0</v>
      </c>
      <c r="AB166" s="58">
        <f>_xll.DBRW($C$2,$X$1,X$2,$D$18,$D$3,$D166,$E166,$F166,AB$3)</f>
        <v>0</v>
      </c>
      <c r="AC166" s="48">
        <f t="shared" si="50"/>
        <v>5</v>
      </c>
      <c r="AD166" s="39">
        <f>_xll.DBRW($C$2,$AD$1,AD$2,$D$18,$D$3,$D166,$E166,$F166,AD$3)</f>
        <v>0</v>
      </c>
      <c r="AE166" s="25" cm="1">
        <f t="array" ref="AE166">_xll.DBRW($E$2,AD$1,AD$2,$D$18,$D$3,$D166,$E166,$F166,$F$3,AE$3)</f>
        <v>0</v>
      </c>
      <c r="AF166" s="25">
        <f>_xll.DBRW($C$2,$AD$1,AD$2,$D$18,$D$3,$D166,$E166,$F166,AF$3)</f>
        <v>1</v>
      </c>
      <c r="AG166" s="64">
        <f>_xll.DBRW($C$2,$AD$1,AD$2,$D$18,$D$3,$D166,$E166,$F166,AG$3)</f>
        <v>1</v>
      </c>
      <c r="AH166" s="58">
        <f>_xll.DBRW($C$2,$AD$1,AD$2,$D$18,$D$3,$D166,$E166,$F166,AH$3)</f>
        <v>0</v>
      </c>
      <c r="AI166" s="48">
        <f t="shared" si="51"/>
        <v>4</v>
      </c>
      <c r="AJ166" s="39">
        <f>_xll.DBRW($C$2,$AJ$1,AJ$2,$D$18,$D$3,$D166,$E166,$F166,AJ$3)</f>
        <v>0</v>
      </c>
      <c r="AK166" s="25" cm="1">
        <f t="array" ref="AK166">_xll.DBRW($E$2,AJ$1,AJ$2,$D$18,$D$3,$D166,$E166,$F166,$F$3,AK$3)</f>
        <v>0</v>
      </c>
      <c r="AL166" s="25">
        <f>_xll.DBRW($C$2,$AJ$1,AJ$2,$D$18,$D$3,$D166,$E166,$F166,AL$3)</f>
        <v>1</v>
      </c>
      <c r="AM166" s="64">
        <f>_xll.DBRW($C$2,$AJ$1,AJ$2,$D$18,$D$3,$D166,$E166,$F166,AM$3)</f>
        <v>0</v>
      </c>
      <c r="AN166" s="58">
        <f>_xll.DBRW($C$2,$AJ$1,AJ$2,$D$18,$D$3,$D166,$E166,$F166,AN$3)</f>
        <v>0</v>
      </c>
      <c r="AO166" s="48">
        <f t="shared" si="52"/>
        <v>3</v>
      </c>
      <c r="AP166" s="39">
        <f>_xll.DBRW($C$2,$AP$1,AP$2,$D$18,$D$3,$D166,$E166,$F166,AP$3)</f>
        <v>0</v>
      </c>
      <c r="AQ166" s="25" cm="1">
        <f t="array" ref="AQ166">_xll.DBRW($E$2,AP$1,AP$2,$D$18,$D$3,$D166,$E166,$F166,$F$3,AQ$3)</f>
        <v>0</v>
      </c>
      <c r="AR166" s="25">
        <f>_xll.DBRW($C$2,$AP$1,AP$2,$D$18,$D$3,$D166,$E166,$F166,AR$3)</f>
        <v>1</v>
      </c>
      <c r="AS166" s="64">
        <f>_xll.DBRW($C$2,$AP$1,AP$2,$D$18,$D$3,$D166,$E166,$F166,AS$3)</f>
        <v>0</v>
      </c>
      <c r="AT166" s="58">
        <f>_xll.DBRW($C$2,$AP$1,AP$2,$D$18,$D$3,$D166,$E166,$F166,AT$3)</f>
        <v>0</v>
      </c>
      <c r="AU166" s="48">
        <f t="shared" si="53"/>
        <v>2</v>
      </c>
      <c r="AV166" s="39">
        <f>_xll.DBRW($C$2,$AV$1,AV$2,$D$18,$D$3,$D166,$E166,$F166,AV$3)</f>
        <v>0</v>
      </c>
      <c r="AW166" s="25" cm="1">
        <f t="array" ref="AW166">_xll.DBRW($E$2,AV$1,AV$2,$D$18,$D$3,$D166,$E166,$F166,$F$3,AW$3)</f>
        <v>0</v>
      </c>
      <c r="AX166" s="25">
        <f>_xll.DBRW($C$2,$AV$1,AV$2,$D$18,$D$3,$D166,$E166,$F166,AX$3)</f>
        <v>1</v>
      </c>
      <c r="AY166" s="64">
        <f>_xll.DBRW($C$2,$AV$1,AV$2,$D$18,$D$3,$D166,$E166,$F166,AY$3)</f>
        <v>1</v>
      </c>
      <c r="AZ166" s="58">
        <f>_xll.DBRW($C$2,$AV$1,AV$2,$D$18,$D$3,$D166,$E166,$F166,AZ$3)</f>
        <v>0</v>
      </c>
      <c r="BA166" s="48">
        <f t="shared" si="54"/>
        <v>1</v>
      </c>
      <c r="BB166" s="39">
        <f>_xll.DBRW($C$2,$BB$1,BB$2,$D$18,$D$3,$D166,$E166,$F166,BB$3)</f>
        <v>0</v>
      </c>
      <c r="BC166" s="25" cm="1">
        <f t="array" ref="BC166">_xll.DBRW($E$2,BB$1,BB$2,$D$18,$D$3,$D166,$E166,$F166,$F$3,BC$3)</f>
        <v>0</v>
      </c>
      <c r="BD166" s="25">
        <f>_xll.DBRW($C$2,$BB$1,BB$2,$D$18,$D$3,$D166,$E166,$F166,BD$3)</f>
        <v>1</v>
      </c>
      <c r="BE166" s="64">
        <f>_xll.DBRW($C$2,$BB$1,BB$2,$D$18,$D$3,$D166,$E166,$F166,BE$3)</f>
        <v>0</v>
      </c>
      <c r="BF166" s="58">
        <f>_xll.DBRW($C$2,$BB$1,BB$2,$D$18,$D$3,$D166,$E166,$F166,BF$3)</f>
        <v>0</v>
      </c>
      <c r="BG166" s="48">
        <f t="shared" si="55"/>
        <v>0</v>
      </c>
      <c r="BH166" s="39">
        <f>_xll.DBRW($C$2,$BH$1,BH$2,$D$18,$D$3,$D166,$E166,$F166,BH$3)</f>
        <v>0</v>
      </c>
      <c r="BI166" s="25" cm="1">
        <f t="array" ref="BI166">_xll.DBRW($E$2,BH$1,BH$2,$D$18,$D$3,$D166,$E166,$F166,$F$3,BI$3)</f>
        <v>0</v>
      </c>
      <c r="BJ166" s="25">
        <f>_xll.DBRW($C$2,$BH$1,BH$2,$D$18,$D$3,$D166,$E166,$F166,BJ$3)</f>
        <v>1</v>
      </c>
      <c r="BK166" s="64">
        <f>_xll.DBRW($C$2,$BH$1,BH$2,$D$18,$D$3,$D166,$E166,$F166,BK$3)</f>
        <v>0</v>
      </c>
      <c r="BL166" s="58">
        <f>_xll.DBRW($C$2,$BH$1,BH$2,$D$18,$D$3,$D166,$E166,$F166,BL$3)</f>
        <v>0</v>
      </c>
      <c r="BM166" s="48">
        <f t="shared" si="56"/>
        <v>-1</v>
      </c>
      <c r="BN166" s="39">
        <f>_xll.DBRW($C$2,$BN$1,BN$2,$D$18,$D$3,$D166,$E166,$F166,BN$3)</f>
        <v>0</v>
      </c>
      <c r="BO166" s="25" cm="1">
        <f t="array" ref="BO166">_xll.DBRW($E$2,BN$1,BN$2,$D$18,$D$3,$D166,$E166,$F166,$F$3,BO$3)</f>
        <v>0</v>
      </c>
      <c r="BP166" s="25">
        <f>_xll.DBRW($C$2,$BN$1,BN$2,$D$18,$D$3,$D166,$E166,$F166,BP$3)</f>
        <v>1</v>
      </c>
      <c r="BQ166" s="64">
        <f>_xll.DBRW($C$2,$BN$1,BN$2,$D$18,$D$3,$D166,$E166,$F166,BQ$3)</f>
        <v>0</v>
      </c>
      <c r="BR166" s="58">
        <f>_xll.DBRW($C$2,$BN$1,BN$2,$D$18,$D$3,$D166,$E166,$F166,BR$3)</f>
        <v>0</v>
      </c>
      <c r="BS166" s="48">
        <f t="shared" si="57"/>
        <v>-2</v>
      </c>
      <c r="BT166" s="39">
        <f>_xll.DBRW($C$2,$BT$1,BT$2,$D$18,$D$3,$D166,$E166,$F166,BT$3)</f>
        <v>0</v>
      </c>
      <c r="BU166" s="25" cm="1">
        <f t="array" ref="BU166">_xll.DBRW($E$2,BT$1,BT$2,$D$18,$D$3,$D166,$E166,$F166,$F$3,BU$3)</f>
        <v>0</v>
      </c>
      <c r="BV166" s="25">
        <f>_xll.DBRW($C$2,$BT$1,BT$2,$D$18,$D$3,$D166,$E166,$F166,BV$3)</f>
        <v>1</v>
      </c>
      <c r="BW166" s="64">
        <f>_xll.DBRW($C$2,$BT$1,BT$2,$D$18,$D$3,$D166,$E166,$F166,BW$3)</f>
        <v>0</v>
      </c>
      <c r="BX166" s="58">
        <f>_xll.DBRW($C$2,$BT$1,BT$2,$D$18,$D$3,$D166,$E166,$F166,BX$3)</f>
        <v>0</v>
      </c>
      <c r="BY166" s="48">
        <f t="shared" si="58"/>
        <v>-3</v>
      </c>
      <c r="BZ166" s="39">
        <f>_xll.DBRW($C$2,$BZ$1,BZ$2,$D$18,$D$3,$D166,$E166,$F166,BZ$3)</f>
        <v>0</v>
      </c>
      <c r="CA166" s="25" cm="1">
        <f t="array" ref="CA166">_xll.DBRW($E$2,BZ$1,BZ$2,$D$18,$D$3,$D166,$E166,$F166,$F$3,CA$3)</f>
        <v>0</v>
      </c>
      <c r="CB166" s="25">
        <f>_xll.DBRW($C$2,$BZ$1,BZ$2,$D$18,$D$3,$D166,$E166,$F166,CB$3)</f>
        <v>1</v>
      </c>
      <c r="CC166" s="64">
        <f>_xll.DBRW($C$2,$BZ$1,BZ$2,$D$18,$D$3,$D166,$E166,$F166,CC$3)</f>
        <v>0</v>
      </c>
      <c r="CD166" s="58">
        <f>_xll.DBRW($C$2,$BZ$1,BZ$2,$D$18,$D$3,$D166,$E166,$F166,CD$3)</f>
        <v>0</v>
      </c>
      <c r="CE166" s="48">
        <f t="shared" si="59"/>
        <v>-4</v>
      </c>
    </row>
    <row r="167" spans="1:83" s="23" customFormat="1" outlineLevel="1" thickBot="1" x14ac:dyDescent="0.3">
      <c r="A167" s="91" t="str">
        <f>IF(_xll.TM1RPTELISCONSOLIDATED($F$22,$F167),IF(_xll.TM1RPTELLEV($F$22,$F167)&lt;=5,_xll.TM1RPTELLEV($F$22,$F167),"Default"),"Leaf")</f>
        <v>Leaf</v>
      </c>
      <c r="B167" s="24" t="str">
        <f>_xll.DBRW("TM1-S1_DEV:}ElementAttributes_SP_SKU",$D167,B$1)</f>
        <v>Primary</v>
      </c>
      <c r="C167" s="24" t="str">
        <f>_xll.DBRW("TM1-S1_DEV:}ElementAttributes_SP_SKU",$D167,C$1)</f>
        <v>BOWL</v>
      </c>
      <c r="D167" s="28" t="s">
        <v>11</v>
      </c>
      <c r="E167" s="28" t="s">
        <v>297</v>
      </c>
      <c r="F167" s="28" t="s">
        <v>46</v>
      </c>
      <c r="G167" s="4">
        <f>_xll.DBRW($C$2,$G$19,G$20,$D$18,$D$3,$D167,$E167,$F167,G$3)</f>
        <v>4</v>
      </c>
      <c r="H167" s="54">
        <f t="shared" si="48"/>
        <v>0</v>
      </c>
      <c r="I167" s="4"/>
      <c r="J167" s="25">
        <f>_xll.DBRW($C$2,$J$1,J$2,$D$18,$D$3,$D167,$E167,$F167,J$3)</f>
        <v>4</v>
      </c>
      <c r="K167" s="39">
        <f>_xll.DBRW($C$2,$J$1,J$2,$D$18,$D$3,$D167,$E167,$F167,K$3)</f>
        <v>0</v>
      </c>
      <c r="L167" s="25">
        <f>_xll.DBRW($C$2,$J$1,J$2,$D$18,$D$3,$D167,$E167,$F167,L$3)</f>
        <v>0</v>
      </c>
      <c r="M167" s="25">
        <f>_xll.DBRW($C$2,$J$1,J$2,$D$18,$D$3,$D167,$E167,$F167,M$3)</f>
        <v>0</v>
      </c>
      <c r="N167" s="25">
        <f>_xll.DBRW($C$2,$J$1,J$2,$D$18,$D$3,$D167,$E167,$F167,N$3)</f>
        <v>0</v>
      </c>
      <c r="O167" s="64">
        <f>_xll.DBRW($C$2,$J$1,J$2,$D$18,$D$3,$D167,$E167,$F167,O$3)</f>
        <v>0</v>
      </c>
      <c r="P167" s="58">
        <f>_xll.DBRW($C$2,$J$1,J$2,$D$18,$D$3,$D167,$E167,$F167,P$3)</f>
        <v>0</v>
      </c>
      <c r="Q167" s="48">
        <f>_xll.DBRW($C$2,$J$1,J$2,$D$18,$D$3,$D167,$E167,$F167,Q$3)</f>
        <v>4</v>
      </c>
      <c r="R167" s="39">
        <f>_xll.DBRW($C$2,$R$1,R$2,$D$18,$D$3,$D167,$E167,$F167,R$3)</f>
        <v>0</v>
      </c>
      <c r="S167" s="25" cm="1">
        <f t="array" ref="S167">_xll.DBRW($E$2,R$1,R$2,$D$18,$D$3,$D167,$E167,$F167,$F$3,S$3)</f>
        <v>0</v>
      </c>
      <c r="T167" s="25">
        <f>_xll.DBRW($C$2,$R$1,R$2,$D$18,$D$3,$D167,$E167,$F167,T$3)</f>
        <v>0</v>
      </c>
      <c r="U167" s="64">
        <f>_xll.DBRW($C$2,$R$1,R$2,$D$18,$D$3,$D167,$E167,$F167,U$3)</f>
        <v>0</v>
      </c>
      <c r="V167" s="58">
        <f>_xll.DBRW($C$2,$R$1,R$2,$D$18,$D$3,$D167,$E167,$F167,V$3)</f>
        <v>0</v>
      </c>
      <c r="W167" s="48">
        <f t="shared" si="49"/>
        <v>4</v>
      </c>
      <c r="X167" s="39">
        <f>_xll.DBRW($C$2,$X$1,X$2,$D$18,$D$3,$D167,$E167,$F167,X$3)</f>
        <v>0</v>
      </c>
      <c r="Y167" s="25" cm="1">
        <f t="array" ref="Y167">_xll.DBRW($E$2,X$1,X$2,$D$18,$D$3,$D167,$E167,$F167,$F$3,Y$3)</f>
        <v>0</v>
      </c>
      <c r="Z167" s="25">
        <f>_xll.DBRW($C$2,$X$1,X$2,$D$18,$D$3,$D167,$E167,$F167,Z$3)</f>
        <v>1</v>
      </c>
      <c r="AA167" s="64">
        <f>_xll.DBRW($C$2,$X$1,X$2,$D$18,$D$3,$D167,$E167,$F167,AA$3)</f>
        <v>0</v>
      </c>
      <c r="AB167" s="58">
        <f>_xll.DBRW($C$2,$X$1,X$2,$D$18,$D$3,$D167,$E167,$F167,AB$3)</f>
        <v>0</v>
      </c>
      <c r="AC167" s="48">
        <f t="shared" si="50"/>
        <v>3</v>
      </c>
      <c r="AD167" s="39">
        <f>_xll.DBRW($C$2,$AD$1,AD$2,$D$18,$D$3,$D167,$E167,$F167,AD$3)</f>
        <v>0</v>
      </c>
      <c r="AE167" s="25" cm="1">
        <f t="array" ref="AE167">_xll.DBRW($E$2,AD$1,AD$2,$D$18,$D$3,$D167,$E167,$F167,$F$3,AE$3)</f>
        <v>0</v>
      </c>
      <c r="AF167" s="25">
        <f>_xll.DBRW($C$2,$AD$1,AD$2,$D$18,$D$3,$D167,$E167,$F167,AF$3)</f>
        <v>1</v>
      </c>
      <c r="AG167" s="64">
        <f>_xll.DBRW($C$2,$AD$1,AD$2,$D$18,$D$3,$D167,$E167,$F167,AG$3)</f>
        <v>0</v>
      </c>
      <c r="AH167" s="58">
        <f>_xll.DBRW($C$2,$AD$1,AD$2,$D$18,$D$3,$D167,$E167,$F167,AH$3)</f>
        <v>0</v>
      </c>
      <c r="AI167" s="48">
        <f t="shared" si="51"/>
        <v>2</v>
      </c>
      <c r="AJ167" s="39">
        <f>_xll.DBRW($C$2,$AJ$1,AJ$2,$D$18,$D$3,$D167,$E167,$F167,AJ$3)</f>
        <v>0</v>
      </c>
      <c r="AK167" s="25" cm="1">
        <f t="array" ref="AK167">_xll.DBRW($E$2,AJ$1,AJ$2,$D$18,$D$3,$D167,$E167,$F167,$F$3,AK$3)</f>
        <v>0</v>
      </c>
      <c r="AL167" s="25">
        <f>_xll.DBRW($C$2,$AJ$1,AJ$2,$D$18,$D$3,$D167,$E167,$F167,AL$3)</f>
        <v>1</v>
      </c>
      <c r="AM167" s="64">
        <f>_xll.DBRW($C$2,$AJ$1,AJ$2,$D$18,$D$3,$D167,$E167,$F167,AM$3)</f>
        <v>0</v>
      </c>
      <c r="AN167" s="58">
        <f>_xll.DBRW($C$2,$AJ$1,AJ$2,$D$18,$D$3,$D167,$E167,$F167,AN$3)</f>
        <v>0</v>
      </c>
      <c r="AO167" s="48">
        <f t="shared" si="52"/>
        <v>1</v>
      </c>
      <c r="AP167" s="39">
        <f>_xll.DBRW($C$2,$AP$1,AP$2,$D$18,$D$3,$D167,$E167,$F167,AP$3)</f>
        <v>0</v>
      </c>
      <c r="AQ167" s="25" cm="1">
        <f t="array" ref="AQ167">_xll.DBRW($E$2,AP$1,AP$2,$D$18,$D$3,$D167,$E167,$F167,$F$3,AQ$3)</f>
        <v>0</v>
      </c>
      <c r="AR167" s="25">
        <f>_xll.DBRW($C$2,$AP$1,AP$2,$D$18,$D$3,$D167,$E167,$F167,AR$3)</f>
        <v>1</v>
      </c>
      <c r="AS167" s="64">
        <f>_xll.DBRW($C$2,$AP$1,AP$2,$D$18,$D$3,$D167,$E167,$F167,AS$3)</f>
        <v>0</v>
      </c>
      <c r="AT167" s="58">
        <f>_xll.DBRW($C$2,$AP$1,AP$2,$D$18,$D$3,$D167,$E167,$F167,AT$3)</f>
        <v>0</v>
      </c>
      <c r="AU167" s="48">
        <f t="shared" si="53"/>
        <v>0</v>
      </c>
      <c r="AV167" s="39">
        <f>_xll.DBRW($C$2,$AV$1,AV$2,$D$18,$D$3,$D167,$E167,$F167,AV$3)</f>
        <v>0</v>
      </c>
      <c r="AW167" s="25" cm="1">
        <f t="array" ref="AW167">_xll.DBRW($E$2,AV$1,AV$2,$D$18,$D$3,$D167,$E167,$F167,$F$3,AW$3)</f>
        <v>0</v>
      </c>
      <c r="AX167" s="25">
        <f>_xll.DBRW($C$2,$AV$1,AV$2,$D$18,$D$3,$D167,$E167,$F167,AX$3)</f>
        <v>1</v>
      </c>
      <c r="AY167" s="64">
        <f>_xll.DBRW($C$2,$AV$1,AV$2,$D$18,$D$3,$D167,$E167,$F167,AY$3)</f>
        <v>0</v>
      </c>
      <c r="AZ167" s="58">
        <f>_xll.DBRW($C$2,$AV$1,AV$2,$D$18,$D$3,$D167,$E167,$F167,AZ$3)</f>
        <v>0</v>
      </c>
      <c r="BA167" s="48">
        <f t="shared" si="54"/>
        <v>-1</v>
      </c>
      <c r="BB167" s="39">
        <f>_xll.DBRW($C$2,$BB$1,BB$2,$D$18,$D$3,$D167,$E167,$F167,BB$3)</f>
        <v>0</v>
      </c>
      <c r="BC167" s="25" cm="1">
        <f t="array" ref="BC167">_xll.DBRW($E$2,BB$1,BB$2,$D$18,$D$3,$D167,$E167,$F167,$F$3,BC$3)</f>
        <v>0</v>
      </c>
      <c r="BD167" s="25">
        <f>_xll.DBRW($C$2,$BB$1,BB$2,$D$18,$D$3,$D167,$E167,$F167,BD$3)</f>
        <v>1</v>
      </c>
      <c r="BE167" s="64">
        <f>_xll.DBRW($C$2,$BB$1,BB$2,$D$18,$D$3,$D167,$E167,$F167,BE$3)</f>
        <v>0</v>
      </c>
      <c r="BF167" s="58">
        <f>_xll.DBRW($C$2,$BB$1,BB$2,$D$18,$D$3,$D167,$E167,$F167,BF$3)</f>
        <v>0</v>
      </c>
      <c r="BG167" s="48">
        <f t="shared" si="55"/>
        <v>-2</v>
      </c>
      <c r="BH167" s="39">
        <f>_xll.DBRW($C$2,$BH$1,BH$2,$D$18,$D$3,$D167,$E167,$F167,BH$3)</f>
        <v>0</v>
      </c>
      <c r="BI167" s="25" cm="1">
        <f t="array" ref="BI167">_xll.DBRW($E$2,BH$1,BH$2,$D$18,$D$3,$D167,$E167,$F167,$F$3,BI$3)</f>
        <v>0</v>
      </c>
      <c r="BJ167" s="25">
        <f>_xll.DBRW($C$2,$BH$1,BH$2,$D$18,$D$3,$D167,$E167,$F167,BJ$3)</f>
        <v>1</v>
      </c>
      <c r="BK167" s="64">
        <f>_xll.DBRW($C$2,$BH$1,BH$2,$D$18,$D$3,$D167,$E167,$F167,BK$3)</f>
        <v>0</v>
      </c>
      <c r="BL167" s="58">
        <f>_xll.DBRW($C$2,$BH$1,BH$2,$D$18,$D$3,$D167,$E167,$F167,BL$3)</f>
        <v>0</v>
      </c>
      <c r="BM167" s="48">
        <f t="shared" si="56"/>
        <v>-3</v>
      </c>
      <c r="BN167" s="39">
        <f>_xll.DBRW($C$2,$BN$1,BN$2,$D$18,$D$3,$D167,$E167,$F167,BN$3)</f>
        <v>0</v>
      </c>
      <c r="BO167" s="25" cm="1">
        <f t="array" ref="BO167">_xll.DBRW($E$2,BN$1,BN$2,$D$18,$D$3,$D167,$E167,$F167,$F$3,BO$3)</f>
        <v>0</v>
      </c>
      <c r="BP167" s="25">
        <f>_xll.DBRW($C$2,$BN$1,BN$2,$D$18,$D$3,$D167,$E167,$F167,BP$3)</f>
        <v>1</v>
      </c>
      <c r="BQ167" s="64">
        <f>_xll.DBRW($C$2,$BN$1,BN$2,$D$18,$D$3,$D167,$E167,$F167,BQ$3)</f>
        <v>0</v>
      </c>
      <c r="BR167" s="58">
        <f>_xll.DBRW($C$2,$BN$1,BN$2,$D$18,$D$3,$D167,$E167,$F167,BR$3)</f>
        <v>0</v>
      </c>
      <c r="BS167" s="48">
        <f t="shared" si="57"/>
        <v>-4</v>
      </c>
      <c r="BT167" s="39">
        <f>_xll.DBRW($C$2,$BT$1,BT$2,$D$18,$D$3,$D167,$E167,$F167,BT$3)</f>
        <v>0</v>
      </c>
      <c r="BU167" s="25" cm="1">
        <f t="array" ref="BU167">_xll.DBRW($E$2,BT$1,BT$2,$D$18,$D$3,$D167,$E167,$F167,$F$3,BU$3)</f>
        <v>0</v>
      </c>
      <c r="BV167" s="25">
        <f>_xll.DBRW($C$2,$BT$1,BT$2,$D$18,$D$3,$D167,$E167,$F167,BV$3)</f>
        <v>1</v>
      </c>
      <c r="BW167" s="64">
        <f>_xll.DBRW($C$2,$BT$1,BT$2,$D$18,$D$3,$D167,$E167,$F167,BW$3)</f>
        <v>0</v>
      </c>
      <c r="BX167" s="58">
        <f>_xll.DBRW($C$2,$BT$1,BT$2,$D$18,$D$3,$D167,$E167,$F167,BX$3)</f>
        <v>0</v>
      </c>
      <c r="BY167" s="48">
        <f t="shared" si="58"/>
        <v>-5</v>
      </c>
      <c r="BZ167" s="39">
        <f>_xll.DBRW($C$2,$BZ$1,BZ$2,$D$18,$D$3,$D167,$E167,$F167,BZ$3)</f>
        <v>0</v>
      </c>
      <c r="CA167" s="25" cm="1">
        <f t="array" ref="CA167">_xll.DBRW($E$2,BZ$1,BZ$2,$D$18,$D$3,$D167,$E167,$F167,$F$3,CA$3)</f>
        <v>0</v>
      </c>
      <c r="CB167" s="25">
        <f>_xll.DBRW($C$2,$BZ$1,BZ$2,$D$18,$D$3,$D167,$E167,$F167,CB$3)</f>
        <v>1</v>
      </c>
      <c r="CC167" s="64">
        <f>_xll.DBRW($C$2,$BZ$1,BZ$2,$D$18,$D$3,$D167,$E167,$F167,CC$3)</f>
        <v>0</v>
      </c>
      <c r="CD167" s="58">
        <f>_xll.DBRW($C$2,$BZ$1,BZ$2,$D$18,$D$3,$D167,$E167,$F167,CD$3)</f>
        <v>0</v>
      </c>
      <c r="CE167" s="48">
        <f t="shared" si="59"/>
        <v>-6</v>
      </c>
    </row>
    <row r="168" spans="1:83" s="23" customFormat="1" outlineLevel="1" thickBot="1" x14ac:dyDescent="0.3">
      <c r="A168" s="91" t="str">
        <f>IF(_xll.TM1RPTELISCONSOLIDATED($F$22,$F168),IF(_xll.TM1RPTELLEV($F$22,$F168)&lt;=5,_xll.TM1RPTELLEV($F$22,$F168),"Default"),"Leaf")</f>
        <v>Leaf</v>
      </c>
      <c r="B168" s="24" t="str">
        <f>_xll.DBRW("TM1-S1_DEV:}ElementAttributes_SP_SKU",$D168,B$1)</f>
        <v>Primary</v>
      </c>
      <c r="C168" s="24" t="str">
        <f>_xll.DBRW("TM1-S1_DEV:}ElementAttributes_SP_SKU",$D168,C$1)</f>
        <v>BOWL</v>
      </c>
      <c r="D168" s="28" t="s">
        <v>12</v>
      </c>
      <c r="E168" s="28" t="s">
        <v>298</v>
      </c>
      <c r="F168" s="28" t="s">
        <v>46</v>
      </c>
      <c r="G168" s="4">
        <f>_xll.DBRW($C$2,$G$19,G$20,$D$18,$D$3,$D168,$E168,$F168,G$3)</f>
        <v>6</v>
      </c>
      <c r="H168" s="54">
        <f t="shared" si="48"/>
        <v>0</v>
      </c>
      <c r="I168" s="4"/>
      <c r="J168" s="25">
        <f>_xll.DBRW($C$2,$J$1,J$2,$D$18,$D$3,$D168,$E168,$F168,J$3)</f>
        <v>6</v>
      </c>
      <c r="K168" s="39">
        <f>_xll.DBRW($C$2,$J$1,J$2,$D$18,$D$3,$D168,$E168,$F168,K$3)</f>
        <v>0</v>
      </c>
      <c r="L168" s="25">
        <f>_xll.DBRW($C$2,$J$1,J$2,$D$18,$D$3,$D168,$E168,$F168,L$3)</f>
        <v>0</v>
      </c>
      <c r="M168" s="25">
        <f>_xll.DBRW($C$2,$J$1,J$2,$D$18,$D$3,$D168,$E168,$F168,M$3)</f>
        <v>0</v>
      </c>
      <c r="N168" s="25">
        <f>_xll.DBRW($C$2,$J$1,J$2,$D$18,$D$3,$D168,$E168,$F168,N$3)</f>
        <v>0</v>
      </c>
      <c r="O168" s="64">
        <f>_xll.DBRW($C$2,$J$1,J$2,$D$18,$D$3,$D168,$E168,$F168,O$3)</f>
        <v>0</v>
      </c>
      <c r="P168" s="58">
        <f>_xll.DBRW($C$2,$J$1,J$2,$D$18,$D$3,$D168,$E168,$F168,P$3)</f>
        <v>0</v>
      </c>
      <c r="Q168" s="48">
        <f>_xll.DBRW($C$2,$J$1,J$2,$D$18,$D$3,$D168,$E168,$F168,Q$3)</f>
        <v>6</v>
      </c>
      <c r="R168" s="39">
        <f>_xll.DBRW($C$2,$R$1,R$2,$D$18,$D$3,$D168,$E168,$F168,R$3)</f>
        <v>0</v>
      </c>
      <c r="S168" s="25" cm="1">
        <f t="array" ref="S168">_xll.DBRW($E$2,R$1,R$2,$D$18,$D$3,$D168,$E168,$F168,$F$3,S$3)</f>
        <v>0</v>
      </c>
      <c r="T168" s="25">
        <f>_xll.DBRW($C$2,$R$1,R$2,$D$18,$D$3,$D168,$E168,$F168,T$3)</f>
        <v>0</v>
      </c>
      <c r="U168" s="64">
        <f>_xll.DBRW($C$2,$R$1,R$2,$D$18,$D$3,$D168,$E168,$F168,U$3)</f>
        <v>0</v>
      </c>
      <c r="V168" s="58">
        <f>_xll.DBRW($C$2,$R$1,R$2,$D$18,$D$3,$D168,$E168,$F168,V$3)</f>
        <v>0</v>
      </c>
      <c r="W168" s="48">
        <f t="shared" si="49"/>
        <v>6</v>
      </c>
      <c r="X168" s="39">
        <f>_xll.DBRW($C$2,$X$1,X$2,$D$18,$D$3,$D168,$E168,$F168,X$3)</f>
        <v>0</v>
      </c>
      <c r="Y168" s="25" cm="1">
        <f t="array" ref="Y168">_xll.DBRW($E$2,X$1,X$2,$D$18,$D$3,$D168,$E168,$F168,$F$3,Y$3)</f>
        <v>0</v>
      </c>
      <c r="Z168" s="25">
        <f>_xll.DBRW($C$2,$X$1,X$2,$D$18,$D$3,$D168,$E168,$F168,Z$3)</f>
        <v>1</v>
      </c>
      <c r="AA168" s="64">
        <f>_xll.DBRW($C$2,$X$1,X$2,$D$18,$D$3,$D168,$E168,$F168,AA$3)</f>
        <v>0</v>
      </c>
      <c r="AB168" s="58">
        <f>_xll.DBRW($C$2,$X$1,X$2,$D$18,$D$3,$D168,$E168,$F168,AB$3)</f>
        <v>0</v>
      </c>
      <c r="AC168" s="48">
        <f t="shared" si="50"/>
        <v>5</v>
      </c>
      <c r="AD168" s="39">
        <f>_xll.DBRW($C$2,$AD$1,AD$2,$D$18,$D$3,$D168,$E168,$F168,AD$3)</f>
        <v>0</v>
      </c>
      <c r="AE168" s="25" cm="1">
        <f t="array" ref="AE168">_xll.DBRW($E$2,AD$1,AD$2,$D$18,$D$3,$D168,$E168,$F168,$F$3,AE$3)</f>
        <v>0</v>
      </c>
      <c r="AF168" s="25">
        <f>_xll.DBRW($C$2,$AD$1,AD$2,$D$18,$D$3,$D168,$E168,$F168,AF$3)</f>
        <v>1</v>
      </c>
      <c r="AG168" s="64">
        <f>_xll.DBRW($C$2,$AD$1,AD$2,$D$18,$D$3,$D168,$E168,$F168,AG$3)</f>
        <v>0</v>
      </c>
      <c r="AH168" s="58">
        <f>_xll.DBRW($C$2,$AD$1,AD$2,$D$18,$D$3,$D168,$E168,$F168,AH$3)</f>
        <v>0</v>
      </c>
      <c r="AI168" s="48">
        <f t="shared" si="51"/>
        <v>4</v>
      </c>
      <c r="AJ168" s="39">
        <f>_xll.DBRW($C$2,$AJ$1,AJ$2,$D$18,$D$3,$D168,$E168,$F168,AJ$3)</f>
        <v>0</v>
      </c>
      <c r="AK168" s="25" cm="1">
        <f t="array" ref="AK168">_xll.DBRW($E$2,AJ$1,AJ$2,$D$18,$D$3,$D168,$E168,$F168,$F$3,AK$3)</f>
        <v>0</v>
      </c>
      <c r="AL168" s="25">
        <f>_xll.DBRW($C$2,$AJ$1,AJ$2,$D$18,$D$3,$D168,$E168,$F168,AL$3)</f>
        <v>1</v>
      </c>
      <c r="AM168" s="64">
        <f>_xll.DBRW($C$2,$AJ$1,AJ$2,$D$18,$D$3,$D168,$E168,$F168,AM$3)</f>
        <v>0</v>
      </c>
      <c r="AN168" s="58">
        <f>_xll.DBRW($C$2,$AJ$1,AJ$2,$D$18,$D$3,$D168,$E168,$F168,AN$3)</f>
        <v>0</v>
      </c>
      <c r="AO168" s="48">
        <f t="shared" si="52"/>
        <v>3</v>
      </c>
      <c r="AP168" s="39">
        <f>_xll.DBRW($C$2,$AP$1,AP$2,$D$18,$D$3,$D168,$E168,$F168,AP$3)</f>
        <v>0</v>
      </c>
      <c r="AQ168" s="25" cm="1">
        <f t="array" ref="AQ168">_xll.DBRW($E$2,AP$1,AP$2,$D$18,$D$3,$D168,$E168,$F168,$F$3,AQ$3)</f>
        <v>0</v>
      </c>
      <c r="AR168" s="25">
        <f>_xll.DBRW($C$2,$AP$1,AP$2,$D$18,$D$3,$D168,$E168,$F168,AR$3)</f>
        <v>1</v>
      </c>
      <c r="AS168" s="64">
        <f>_xll.DBRW($C$2,$AP$1,AP$2,$D$18,$D$3,$D168,$E168,$F168,AS$3)</f>
        <v>0</v>
      </c>
      <c r="AT168" s="58">
        <f>_xll.DBRW($C$2,$AP$1,AP$2,$D$18,$D$3,$D168,$E168,$F168,AT$3)</f>
        <v>0</v>
      </c>
      <c r="AU168" s="48">
        <f t="shared" si="53"/>
        <v>2</v>
      </c>
      <c r="AV168" s="39">
        <f>_xll.DBRW($C$2,$AV$1,AV$2,$D$18,$D$3,$D168,$E168,$F168,AV$3)</f>
        <v>0</v>
      </c>
      <c r="AW168" s="25" cm="1">
        <f t="array" ref="AW168">_xll.DBRW($E$2,AV$1,AV$2,$D$18,$D$3,$D168,$E168,$F168,$F$3,AW$3)</f>
        <v>0</v>
      </c>
      <c r="AX168" s="25">
        <f>_xll.DBRW($C$2,$AV$1,AV$2,$D$18,$D$3,$D168,$E168,$F168,AX$3)</f>
        <v>1</v>
      </c>
      <c r="AY168" s="64">
        <f>_xll.DBRW($C$2,$AV$1,AV$2,$D$18,$D$3,$D168,$E168,$F168,AY$3)</f>
        <v>0</v>
      </c>
      <c r="AZ168" s="58">
        <f>_xll.DBRW($C$2,$AV$1,AV$2,$D$18,$D$3,$D168,$E168,$F168,AZ$3)</f>
        <v>0</v>
      </c>
      <c r="BA168" s="48">
        <f t="shared" si="54"/>
        <v>1</v>
      </c>
      <c r="BB168" s="39">
        <f>_xll.DBRW($C$2,$BB$1,BB$2,$D$18,$D$3,$D168,$E168,$F168,BB$3)</f>
        <v>0</v>
      </c>
      <c r="BC168" s="25" cm="1">
        <f t="array" ref="BC168">_xll.DBRW($E$2,BB$1,BB$2,$D$18,$D$3,$D168,$E168,$F168,$F$3,BC$3)</f>
        <v>0</v>
      </c>
      <c r="BD168" s="25">
        <f>_xll.DBRW($C$2,$BB$1,BB$2,$D$18,$D$3,$D168,$E168,$F168,BD$3)</f>
        <v>1</v>
      </c>
      <c r="BE168" s="64">
        <f>_xll.DBRW($C$2,$BB$1,BB$2,$D$18,$D$3,$D168,$E168,$F168,BE$3)</f>
        <v>0</v>
      </c>
      <c r="BF168" s="58">
        <f>_xll.DBRW($C$2,$BB$1,BB$2,$D$18,$D$3,$D168,$E168,$F168,BF$3)</f>
        <v>0</v>
      </c>
      <c r="BG168" s="48">
        <f t="shared" si="55"/>
        <v>0</v>
      </c>
      <c r="BH168" s="39">
        <f>_xll.DBRW($C$2,$BH$1,BH$2,$D$18,$D$3,$D168,$E168,$F168,BH$3)</f>
        <v>0</v>
      </c>
      <c r="BI168" s="25" cm="1">
        <f t="array" ref="BI168">_xll.DBRW($E$2,BH$1,BH$2,$D$18,$D$3,$D168,$E168,$F168,$F$3,BI$3)</f>
        <v>0</v>
      </c>
      <c r="BJ168" s="25">
        <f>_xll.DBRW($C$2,$BH$1,BH$2,$D$18,$D$3,$D168,$E168,$F168,BJ$3)</f>
        <v>1</v>
      </c>
      <c r="BK168" s="64">
        <f>_xll.DBRW($C$2,$BH$1,BH$2,$D$18,$D$3,$D168,$E168,$F168,BK$3)</f>
        <v>0</v>
      </c>
      <c r="BL168" s="58">
        <f>_xll.DBRW($C$2,$BH$1,BH$2,$D$18,$D$3,$D168,$E168,$F168,BL$3)</f>
        <v>0</v>
      </c>
      <c r="BM168" s="48">
        <f t="shared" si="56"/>
        <v>-1</v>
      </c>
      <c r="BN168" s="39">
        <f>_xll.DBRW($C$2,$BN$1,BN$2,$D$18,$D$3,$D168,$E168,$F168,BN$3)</f>
        <v>0</v>
      </c>
      <c r="BO168" s="25" cm="1">
        <f t="array" ref="BO168">_xll.DBRW($E$2,BN$1,BN$2,$D$18,$D$3,$D168,$E168,$F168,$F$3,BO$3)</f>
        <v>0</v>
      </c>
      <c r="BP168" s="25">
        <f>_xll.DBRW($C$2,$BN$1,BN$2,$D$18,$D$3,$D168,$E168,$F168,BP$3)</f>
        <v>1</v>
      </c>
      <c r="BQ168" s="64">
        <f>_xll.DBRW($C$2,$BN$1,BN$2,$D$18,$D$3,$D168,$E168,$F168,BQ$3)</f>
        <v>0</v>
      </c>
      <c r="BR168" s="58">
        <f>_xll.DBRW($C$2,$BN$1,BN$2,$D$18,$D$3,$D168,$E168,$F168,BR$3)</f>
        <v>0</v>
      </c>
      <c r="BS168" s="48">
        <f t="shared" si="57"/>
        <v>-2</v>
      </c>
      <c r="BT168" s="39">
        <f>_xll.DBRW($C$2,$BT$1,BT$2,$D$18,$D$3,$D168,$E168,$F168,BT$3)</f>
        <v>0</v>
      </c>
      <c r="BU168" s="25" cm="1">
        <f t="array" ref="BU168">_xll.DBRW($E$2,BT$1,BT$2,$D$18,$D$3,$D168,$E168,$F168,$F$3,BU$3)</f>
        <v>0</v>
      </c>
      <c r="BV168" s="25">
        <f>_xll.DBRW($C$2,$BT$1,BT$2,$D$18,$D$3,$D168,$E168,$F168,BV$3)</f>
        <v>1</v>
      </c>
      <c r="BW168" s="64">
        <f>_xll.DBRW($C$2,$BT$1,BT$2,$D$18,$D$3,$D168,$E168,$F168,BW$3)</f>
        <v>0</v>
      </c>
      <c r="BX168" s="58">
        <f>_xll.DBRW($C$2,$BT$1,BT$2,$D$18,$D$3,$D168,$E168,$F168,BX$3)</f>
        <v>0</v>
      </c>
      <c r="BY168" s="48">
        <f t="shared" si="58"/>
        <v>-3</v>
      </c>
      <c r="BZ168" s="39">
        <f>_xll.DBRW($C$2,$BZ$1,BZ$2,$D$18,$D$3,$D168,$E168,$F168,BZ$3)</f>
        <v>0</v>
      </c>
      <c r="CA168" s="25" cm="1">
        <f t="array" ref="CA168">_xll.DBRW($E$2,BZ$1,BZ$2,$D$18,$D$3,$D168,$E168,$F168,$F$3,CA$3)</f>
        <v>0</v>
      </c>
      <c r="CB168" s="25">
        <f>_xll.DBRW($C$2,$BZ$1,BZ$2,$D$18,$D$3,$D168,$E168,$F168,CB$3)</f>
        <v>1</v>
      </c>
      <c r="CC168" s="64">
        <f>_xll.DBRW($C$2,$BZ$1,BZ$2,$D$18,$D$3,$D168,$E168,$F168,CC$3)</f>
        <v>0</v>
      </c>
      <c r="CD168" s="58">
        <f>_xll.DBRW($C$2,$BZ$1,BZ$2,$D$18,$D$3,$D168,$E168,$F168,CD$3)</f>
        <v>0</v>
      </c>
      <c r="CE168" s="48">
        <f t="shared" si="59"/>
        <v>-4</v>
      </c>
    </row>
    <row r="169" spans="1:83" s="23" customFormat="1" outlineLevel="1" thickBot="1" x14ac:dyDescent="0.3">
      <c r="A169" s="91" t="str">
        <f>IF(_xll.TM1RPTELISCONSOLIDATED($F$22,$F169),IF(_xll.TM1RPTELLEV($F$22,$F169)&lt;=5,_xll.TM1RPTELLEV($F$22,$F169),"Default"),"Leaf")</f>
        <v>Leaf</v>
      </c>
      <c r="B169" s="24" t="str">
        <f>_xll.DBRW("TM1-S1_DEV:}ElementAttributes_SP_SKU",$D169,B$1)</f>
        <v>Primary</v>
      </c>
      <c r="C169" s="24" t="str">
        <f>_xll.DBRW("TM1-S1_DEV:}ElementAttributes_SP_SKU",$D169,C$1)</f>
        <v>FOIL</v>
      </c>
      <c r="D169" s="28" t="s">
        <v>99</v>
      </c>
      <c r="E169" s="28" t="s">
        <v>299</v>
      </c>
      <c r="F169" s="28" t="s">
        <v>47</v>
      </c>
      <c r="G169" s="4">
        <f>_xll.DBRW($C$2,$G$19,G$20,$D$18,$D$3,$D169,$E169,$F169,G$3)</f>
        <v>9</v>
      </c>
      <c r="H169" s="54">
        <f t="shared" si="48"/>
        <v>1</v>
      </c>
      <c r="I169" s="4"/>
      <c r="J169" s="25">
        <f>_xll.DBRW($C$2,$J$1,J$2,$D$18,$D$3,$D169,$E169,$F169,J$3)</f>
        <v>10</v>
      </c>
      <c r="K169" s="39">
        <f>_xll.DBRW($C$2,$J$1,J$2,$D$18,$D$3,$D169,$E169,$F169,K$3)</f>
        <v>0</v>
      </c>
      <c r="L169" s="25">
        <f>_xll.DBRW($C$2,$J$1,J$2,$D$18,$D$3,$D169,$E169,$F169,L$3)</f>
        <v>0</v>
      </c>
      <c r="M169" s="25">
        <f>_xll.DBRW($C$2,$J$1,J$2,$D$18,$D$3,$D169,$E169,$F169,M$3)</f>
        <v>0</v>
      </c>
      <c r="N169" s="25">
        <f>_xll.DBRW($C$2,$J$1,J$2,$D$18,$D$3,$D169,$E169,$F169,N$3)</f>
        <v>0</v>
      </c>
      <c r="O169" s="64">
        <f>_xll.DBRW($C$2,$J$1,J$2,$D$18,$D$3,$D169,$E169,$F169,O$3)</f>
        <v>0</v>
      </c>
      <c r="P169" s="58">
        <f>_xll.DBRW($C$2,$J$1,J$2,$D$18,$D$3,$D169,$E169,$F169,P$3)</f>
        <v>0</v>
      </c>
      <c r="Q169" s="48">
        <f>_xll.DBRW($C$2,$J$1,J$2,$D$18,$D$3,$D169,$E169,$F169,Q$3)</f>
        <v>10</v>
      </c>
      <c r="R169" s="39">
        <f>_xll.DBRW($C$2,$R$1,R$2,$D$18,$D$3,$D169,$E169,$F169,R$3)</f>
        <v>0</v>
      </c>
      <c r="S169" s="25" cm="1">
        <f t="array" ref="S169">_xll.DBRW($E$2,R$1,R$2,$D$18,$D$3,$D169,$E169,$F169,$F$3,S$3)</f>
        <v>0</v>
      </c>
      <c r="T169" s="25">
        <f>_xll.DBRW($C$2,$R$1,R$2,$D$18,$D$3,$D169,$E169,$F169,T$3)</f>
        <v>0</v>
      </c>
      <c r="U169" s="64">
        <f>_xll.DBRW($C$2,$R$1,R$2,$D$18,$D$3,$D169,$E169,$F169,U$3)</f>
        <v>0</v>
      </c>
      <c r="V169" s="58">
        <f>_xll.DBRW($C$2,$R$1,R$2,$D$18,$D$3,$D169,$E169,$F169,V$3)</f>
        <v>0</v>
      </c>
      <c r="W169" s="48">
        <f t="shared" si="49"/>
        <v>10</v>
      </c>
      <c r="X169" s="39">
        <f>_xll.DBRW($C$2,$X$1,X$2,$D$18,$D$3,$D169,$E169,$F169,X$3)</f>
        <v>0</v>
      </c>
      <c r="Y169" s="25" cm="1">
        <f t="array" ref="Y169">_xll.DBRW($E$2,X$1,X$2,$D$18,$D$3,$D169,$E169,$F169,$F$3,Y$3)</f>
        <v>0</v>
      </c>
      <c r="Z169" s="25">
        <f>_xll.DBRW($C$2,$X$1,X$2,$D$18,$D$3,$D169,$E169,$F169,Z$3)</f>
        <v>0</v>
      </c>
      <c r="AA169" s="64">
        <f>_xll.DBRW($C$2,$X$1,X$2,$D$18,$D$3,$D169,$E169,$F169,AA$3)</f>
        <v>0</v>
      </c>
      <c r="AB169" s="58">
        <f>_xll.DBRW($C$2,$X$1,X$2,$D$18,$D$3,$D169,$E169,$F169,AB$3)</f>
        <v>0</v>
      </c>
      <c r="AC169" s="48">
        <f t="shared" si="50"/>
        <v>10</v>
      </c>
      <c r="AD169" s="39">
        <f>_xll.DBRW($C$2,$AD$1,AD$2,$D$18,$D$3,$D169,$E169,$F169,AD$3)</f>
        <v>0</v>
      </c>
      <c r="AE169" s="25" cm="1">
        <f t="array" ref="AE169">_xll.DBRW($E$2,AD$1,AD$2,$D$18,$D$3,$D169,$E169,$F169,$F$3,AE$3)</f>
        <v>0</v>
      </c>
      <c r="AF169" s="25">
        <f>_xll.DBRW($C$2,$AD$1,AD$2,$D$18,$D$3,$D169,$E169,$F169,AF$3)</f>
        <v>0</v>
      </c>
      <c r="AG169" s="64">
        <f>_xll.DBRW($C$2,$AD$1,AD$2,$D$18,$D$3,$D169,$E169,$F169,AG$3)</f>
        <v>0</v>
      </c>
      <c r="AH169" s="58">
        <f>_xll.DBRW($C$2,$AD$1,AD$2,$D$18,$D$3,$D169,$E169,$F169,AH$3)</f>
        <v>0</v>
      </c>
      <c r="AI169" s="48">
        <f t="shared" si="51"/>
        <v>10</v>
      </c>
      <c r="AJ169" s="39">
        <f>_xll.DBRW($C$2,$AJ$1,AJ$2,$D$18,$D$3,$D169,$E169,$F169,AJ$3)</f>
        <v>0</v>
      </c>
      <c r="AK169" s="25" cm="1">
        <f t="array" ref="AK169">_xll.DBRW($E$2,AJ$1,AJ$2,$D$18,$D$3,$D169,$E169,$F169,$F$3,AK$3)</f>
        <v>0</v>
      </c>
      <c r="AL169" s="25">
        <f>_xll.DBRW($C$2,$AJ$1,AJ$2,$D$18,$D$3,$D169,$E169,$F169,AL$3)</f>
        <v>0</v>
      </c>
      <c r="AM169" s="64">
        <f>_xll.DBRW($C$2,$AJ$1,AJ$2,$D$18,$D$3,$D169,$E169,$F169,AM$3)</f>
        <v>0</v>
      </c>
      <c r="AN169" s="58">
        <f>_xll.DBRW($C$2,$AJ$1,AJ$2,$D$18,$D$3,$D169,$E169,$F169,AN$3)</f>
        <v>0</v>
      </c>
      <c r="AO169" s="48">
        <f t="shared" si="52"/>
        <v>10</v>
      </c>
      <c r="AP169" s="39">
        <f>_xll.DBRW($C$2,$AP$1,AP$2,$D$18,$D$3,$D169,$E169,$F169,AP$3)</f>
        <v>0</v>
      </c>
      <c r="AQ169" s="25" cm="1">
        <f t="array" ref="AQ169">_xll.DBRW($E$2,AP$1,AP$2,$D$18,$D$3,$D169,$E169,$F169,$F$3,AQ$3)</f>
        <v>0</v>
      </c>
      <c r="AR169" s="25">
        <f>_xll.DBRW($C$2,$AP$1,AP$2,$D$18,$D$3,$D169,$E169,$F169,AR$3)</f>
        <v>0</v>
      </c>
      <c r="AS169" s="64">
        <f>_xll.DBRW($C$2,$AP$1,AP$2,$D$18,$D$3,$D169,$E169,$F169,AS$3)</f>
        <v>0</v>
      </c>
      <c r="AT169" s="58">
        <f>_xll.DBRW($C$2,$AP$1,AP$2,$D$18,$D$3,$D169,$E169,$F169,AT$3)</f>
        <v>0</v>
      </c>
      <c r="AU169" s="48">
        <f t="shared" si="53"/>
        <v>10</v>
      </c>
      <c r="AV169" s="39">
        <f>_xll.DBRW($C$2,$AV$1,AV$2,$D$18,$D$3,$D169,$E169,$F169,AV$3)</f>
        <v>0</v>
      </c>
      <c r="AW169" s="25" cm="1">
        <f t="array" ref="AW169">_xll.DBRW($E$2,AV$1,AV$2,$D$18,$D$3,$D169,$E169,$F169,$F$3,AW$3)</f>
        <v>0</v>
      </c>
      <c r="AX169" s="25">
        <f>_xll.DBRW($C$2,$AV$1,AV$2,$D$18,$D$3,$D169,$E169,$F169,AX$3)</f>
        <v>0</v>
      </c>
      <c r="AY169" s="64">
        <f>_xll.DBRW($C$2,$AV$1,AV$2,$D$18,$D$3,$D169,$E169,$F169,AY$3)</f>
        <v>0</v>
      </c>
      <c r="AZ169" s="58">
        <f>_xll.DBRW($C$2,$AV$1,AV$2,$D$18,$D$3,$D169,$E169,$F169,AZ$3)</f>
        <v>0</v>
      </c>
      <c r="BA169" s="48">
        <f t="shared" si="54"/>
        <v>10</v>
      </c>
      <c r="BB169" s="39">
        <f>_xll.DBRW($C$2,$BB$1,BB$2,$D$18,$D$3,$D169,$E169,$F169,BB$3)</f>
        <v>0</v>
      </c>
      <c r="BC169" s="25" cm="1">
        <f t="array" ref="BC169">_xll.DBRW($E$2,BB$1,BB$2,$D$18,$D$3,$D169,$E169,$F169,$F$3,BC$3)</f>
        <v>0</v>
      </c>
      <c r="BD169" s="25">
        <f>_xll.DBRW($C$2,$BB$1,BB$2,$D$18,$D$3,$D169,$E169,$F169,BD$3)</f>
        <v>0</v>
      </c>
      <c r="BE169" s="64">
        <f>_xll.DBRW($C$2,$BB$1,BB$2,$D$18,$D$3,$D169,$E169,$F169,BE$3)</f>
        <v>0</v>
      </c>
      <c r="BF169" s="58">
        <f>_xll.DBRW($C$2,$BB$1,BB$2,$D$18,$D$3,$D169,$E169,$F169,BF$3)</f>
        <v>0</v>
      </c>
      <c r="BG169" s="48">
        <f t="shared" si="55"/>
        <v>10</v>
      </c>
      <c r="BH169" s="39">
        <f>_xll.DBRW($C$2,$BH$1,BH$2,$D$18,$D$3,$D169,$E169,$F169,BH$3)</f>
        <v>0</v>
      </c>
      <c r="BI169" s="25" cm="1">
        <f t="array" ref="BI169">_xll.DBRW($E$2,BH$1,BH$2,$D$18,$D$3,$D169,$E169,$F169,$F$3,BI$3)</f>
        <v>0</v>
      </c>
      <c r="BJ169" s="25">
        <f>_xll.DBRW($C$2,$BH$1,BH$2,$D$18,$D$3,$D169,$E169,$F169,BJ$3)</f>
        <v>0</v>
      </c>
      <c r="BK169" s="64">
        <f>_xll.DBRW($C$2,$BH$1,BH$2,$D$18,$D$3,$D169,$E169,$F169,BK$3)</f>
        <v>0</v>
      </c>
      <c r="BL169" s="58">
        <f>_xll.DBRW($C$2,$BH$1,BH$2,$D$18,$D$3,$D169,$E169,$F169,BL$3)</f>
        <v>0</v>
      </c>
      <c r="BM169" s="48">
        <f t="shared" si="56"/>
        <v>10</v>
      </c>
      <c r="BN169" s="39">
        <f>_xll.DBRW($C$2,$BN$1,BN$2,$D$18,$D$3,$D169,$E169,$F169,BN$3)</f>
        <v>0</v>
      </c>
      <c r="BO169" s="25" cm="1">
        <f t="array" ref="BO169">_xll.DBRW($E$2,BN$1,BN$2,$D$18,$D$3,$D169,$E169,$F169,$F$3,BO$3)</f>
        <v>0</v>
      </c>
      <c r="BP169" s="25">
        <f>_xll.DBRW($C$2,$BN$1,BN$2,$D$18,$D$3,$D169,$E169,$F169,BP$3)</f>
        <v>0</v>
      </c>
      <c r="BQ169" s="64">
        <f>_xll.DBRW($C$2,$BN$1,BN$2,$D$18,$D$3,$D169,$E169,$F169,BQ$3)</f>
        <v>0</v>
      </c>
      <c r="BR169" s="58">
        <f>_xll.DBRW($C$2,$BN$1,BN$2,$D$18,$D$3,$D169,$E169,$F169,BR$3)</f>
        <v>0</v>
      </c>
      <c r="BS169" s="48">
        <f t="shared" si="57"/>
        <v>10</v>
      </c>
      <c r="BT169" s="39">
        <f>_xll.DBRW($C$2,$BT$1,BT$2,$D$18,$D$3,$D169,$E169,$F169,BT$3)</f>
        <v>0</v>
      </c>
      <c r="BU169" s="25" cm="1">
        <f t="array" ref="BU169">_xll.DBRW($E$2,BT$1,BT$2,$D$18,$D$3,$D169,$E169,$F169,$F$3,BU$3)</f>
        <v>0</v>
      </c>
      <c r="BV169" s="25">
        <f>_xll.DBRW($C$2,$BT$1,BT$2,$D$18,$D$3,$D169,$E169,$F169,BV$3)</f>
        <v>0</v>
      </c>
      <c r="BW169" s="64">
        <f>_xll.DBRW($C$2,$BT$1,BT$2,$D$18,$D$3,$D169,$E169,$F169,BW$3)</f>
        <v>0</v>
      </c>
      <c r="BX169" s="58">
        <f>_xll.DBRW($C$2,$BT$1,BT$2,$D$18,$D$3,$D169,$E169,$F169,BX$3)</f>
        <v>0</v>
      </c>
      <c r="BY169" s="48">
        <f t="shared" si="58"/>
        <v>10</v>
      </c>
      <c r="BZ169" s="39">
        <f>_xll.DBRW($C$2,$BZ$1,BZ$2,$D$18,$D$3,$D169,$E169,$F169,BZ$3)</f>
        <v>0</v>
      </c>
      <c r="CA169" s="25" cm="1">
        <f t="array" ref="CA169">_xll.DBRW($E$2,BZ$1,BZ$2,$D$18,$D$3,$D169,$E169,$F169,$F$3,CA$3)</f>
        <v>0</v>
      </c>
      <c r="CB169" s="25">
        <f>_xll.DBRW($C$2,$BZ$1,BZ$2,$D$18,$D$3,$D169,$E169,$F169,CB$3)</f>
        <v>0</v>
      </c>
      <c r="CC169" s="64">
        <f>_xll.DBRW($C$2,$BZ$1,BZ$2,$D$18,$D$3,$D169,$E169,$F169,CC$3)</f>
        <v>0</v>
      </c>
      <c r="CD169" s="58">
        <f>_xll.DBRW($C$2,$BZ$1,BZ$2,$D$18,$D$3,$D169,$E169,$F169,CD$3)</f>
        <v>0</v>
      </c>
      <c r="CE169" s="48">
        <f t="shared" si="59"/>
        <v>10</v>
      </c>
    </row>
    <row r="170" spans="1:83" s="23" customFormat="1" outlineLevel="1" thickBot="1" x14ac:dyDescent="0.3">
      <c r="A170" s="91" t="str">
        <f>IF(_xll.TM1RPTELISCONSOLIDATED($F$22,$F170),IF(_xll.TM1RPTELLEV($F$22,$F170)&lt;=5,_xll.TM1RPTELLEV($F$22,$F170),"Default"),"Leaf")</f>
        <v>Leaf</v>
      </c>
      <c r="B170" s="24" t="str">
        <f>_xll.DBRW("TM1-S1_DEV:}ElementAttributes_SP_SKU",$D170,B$1)</f>
        <v>Unassigned PSP</v>
      </c>
      <c r="C170" s="24" t="str">
        <f>_xll.DBRW("TM1-S1_DEV:}ElementAttributes_SP_SKU",$D170,C$1)</f>
        <v>FOIL</v>
      </c>
      <c r="D170" s="28" t="s">
        <v>158</v>
      </c>
      <c r="E170" s="28" t="s">
        <v>300</v>
      </c>
      <c r="F170" s="28" t="s">
        <v>29</v>
      </c>
      <c r="G170" s="4">
        <f>_xll.DBRW($C$2,$G$19,G$20,$D$18,$D$3,$D170,$E170,$F170,G$3)</f>
        <v>18</v>
      </c>
      <c r="H170" s="54">
        <f t="shared" si="48"/>
        <v>0</v>
      </c>
      <c r="I170" s="4"/>
      <c r="J170" s="25">
        <f>_xll.DBRW($C$2,$J$1,J$2,$D$18,$D$3,$D170,$E170,$F170,J$3)</f>
        <v>18</v>
      </c>
      <c r="K170" s="39">
        <f>_xll.DBRW($C$2,$J$1,J$2,$D$18,$D$3,$D170,$E170,$F170,K$3)</f>
        <v>0</v>
      </c>
      <c r="L170" s="25">
        <f>_xll.DBRW($C$2,$J$1,J$2,$D$18,$D$3,$D170,$E170,$F170,L$3)</f>
        <v>0</v>
      </c>
      <c r="M170" s="25">
        <f>_xll.DBRW($C$2,$J$1,J$2,$D$18,$D$3,$D170,$E170,$F170,M$3)</f>
        <v>0</v>
      </c>
      <c r="N170" s="25">
        <f>_xll.DBRW($C$2,$J$1,J$2,$D$18,$D$3,$D170,$E170,$F170,N$3)</f>
        <v>0</v>
      </c>
      <c r="O170" s="64">
        <f>_xll.DBRW($C$2,$J$1,J$2,$D$18,$D$3,$D170,$E170,$F170,O$3)</f>
        <v>0</v>
      </c>
      <c r="P170" s="58">
        <f>_xll.DBRW($C$2,$J$1,J$2,$D$18,$D$3,$D170,$E170,$F170,P$3)</f>
        <v>0</v>
      </c>
      <c r="Q170" s="48">
        <f>_xll.DBRW($C$2,$J$1,J$2,$D$18,$D$3,$D170,$E170,$F170,Q$3)</f>
        <v>18</v>
      </c>
      <c r="R170" s="39">
        <f>_xll.DBRW($C$2,$R$1,R$2,$D$18,$D$3,$D170,$E170,$F170,R$3)</f>
        <v>0</v>
      </c>
      <c r="S170" s="25" cm="1">
        <f t="array" ref="S170">_xll.DBRW($E$2,R$1,R$2,$D$18,$D$3,$D170,$E170,$F170,$F$3,S$3)</f>
        <v>0</v>
      </c>
      <c r="T170" s="25">
        <f>_xll.DBRW($C$2,$R$1,R$2,$D$18,$D$3,$D170,$E170,$F170,T$3)</f>
        <v>0</v>
      </c>
      <c r="U170" s="64">
        <f>_xll.DBRW($C$2,$R$1,R$2,$D$18,$D$3,$D170,$E170,$F170,U$3)</f>
        <v>0</v>
      </c>
      <c r="V170" s="58">
        <f>_xll.DBRW($C$2,$R$1,R$2,$D$18,$D$3,$D170,$E170,$F170,V$3)</f>
        <v>0</v>
      </c>
      <c r="W170" s="48">
        <f t="shared" si="49"/>
        <v>18</v>
      </c>
      <c r="X170" s="39">
        <f>_xll.DBRW($C$2,$X$1,X$2,$D$18,$D$3,$D170,$E170,$F170,X$3)</f>
        <v>0</v>
      </c>
      <c r="Y170" s="25" cm="1">
        <f t="array" ref="Y170">_xll.DBRW($E$2,X$1,X$2,$D$18,$D$3,$D170,$E170,$F170,$F$3,Y$3)</f>
        <v>0</v>
      </c>
      <c r="Z170" s="25">
        <f>_xll.DBRW($C$2,$X$1,X$2,$D$18,$D$3,$D170,$E170,$F170,Z$3)</f>
        <v>0</v>
      </c>
      <c r="AA170" s="64">
        <f>_xll.DBRW($C$2,$X$1,X$2,$D$18,$D$3,$D170,$E170,$F170,AA$3)</f>
        <v>0</v>
      </c>
      <c r="AB170" s="58">
        <f>_xll.DBRW($C$2,$X$1,X$2,$D$18,$D$3,$D170,$E170,$F170,AB$3)</f>
        <v>0</v>
      </c>
      <c r="AC170" s="48">
        <f t="shared" si="50"/>
        <v>18</v>
      </c>
      <c r="AD170" s="39">
        <f>_xll.DBRW($C$2,$AD$1,AD$2,$D$18,$D$3,$D170,$E170,$F170,AD$3)</f>
        <v>0</v>
      </c>
      <c r="AE170" s="25" cm="1">
        <f t="array" ref="AE170">_xll.DBRW($E$2,AD$1,AD$2,$D$18,$D$3,$D170,$E170,$F170,$F$3,AE$3)</f>
        <v>0</v>
      </c>
      <c r="AF170" s="25">
        <f>_xll.DBRW($C$2,$AD$1,AD$2,$D$18,$D$3,$D170,$E170,$F170,AF$3)</f>
        <v>0</v>
      </c>
      <c r="AG170" s="64">
        <f>_xll.DBRW($C$2,$AD$1,AD$2,$D$18,$D$3,$D170,$E170,$F170,AG$3)</f>
        <v>0</v>
      </c>
      <c r="AH170" s="58">
        <f>_xll.DBRW($C$2,$AD$1,AD$2,$D$18,$D$3,$D170,$E170,$F170,AH$3)</f>
        <v>0</v>
      </c>
      <c r="AI170" s="48">
        <f t="shared" si="51"/>
        <v>18</v>
      </c>
      <c r="AJ170" s="39">
        <f>_xll.DBRW($C$2,$AJ$1,AJ$2,$D$18,$D$3,$D170,$E170,$F170,AJ$3)</f>
        <v>0</v>
      </c>
      <c r="AK170" s="25" cm="1">
        <f t="array" ref="AK170">_xll.DBRW($E$2,AJ$1,AJ$2,$D$18,$D$3,$D170,$E170,$F170,$F$3,AK$3)</f>
        <v>0</v>
      </c>
      <c r="AL170" s="25">
        <f>_xll.DBRW($C$2,$AJ$1,AJ$2,$D$18,$D$3,$D170,$E170,$F170,AL$3)</f>
        <v>0</v>
      </c>
      <c r="AM170" s="64">
        <f>_xll.DBRW($C$2,$AJ$1,AJ$2,$D$18,$D$3,$D170,$E170,$F170,AM$3)</f>
        <v>0</v>
      </c>
      <c r="AN170" s="58">
        <f>_xll.DBRW($C$2,$AJ$1,AJ$2,$D$18,$D$3,$D170,$E170,$F170,AN$3)</f>
        <v>0</v>
      </c>
      <c r="AO170" s="48">
        <f t="shared" si="52"/>
        <v>18</v>
      </c>
      <c r="AP170" s="39">
        <f>_xll.DBRW($C$2,$AP$1,AP$2,$D$18,$D$3,$D170,$E170,$F170,AP$3)</f>
        <v>0</v>
      </c>
      <c r="AQ170" s="25" cm="1">
        <f t="array" ref="AQ170">_xll.DBRW($E$2,AP$1,AP$2,$D$18,$D$3,$D170,$E170,$F170,$F$3,AQ$3)</f>
        <v>0</v>
      </c>
      <c r="AR170" s="25">
        <f>_xll.DBRW($C$2,$AP$1,AP$2,$D$18,$D$3,$D170,$E170,$F170,AR$3)</f>
        <v>0</v>
      </c>
      <c r="AS170" s="64">
        <f>_xll.DBRW($C$2,$AP$1,AP$2,$D$18,$D$3,$D170,$E170,$F170,AS$3)</f>
        <v>0</v>
      </c>
      <c r="AT170" s="58">
        <f>_xll.DBRW($C$2,$AP$1,AP$2,$D$18,$D$3,$D170,$E170,$F170,AT$3)</f>
        <v>0</v>
      </c>
      <c r="AU170" s="48">
        <f t="shared" si="53"/>
        <v>18</v>
      </c>
      <c r="AV170" s="39">
        <f>_xll.DBRW($C$2,$AV$1,AV$2,$D$18,$D$3,$D170,$E170,$F170,AV$3)</f>
        <v>0</v>
      </c>
      <c r="AW170" s="25" cm="1">
        <f t="array" ref="AW170">_xll.DBRW($E$2,AV$1,AV$2,$D$18,$D$3,$D170,$E170,$F170,$F$3,AW$3)</f>
        <v>0</v>
      </c>
      <c r="AX170" s="25">
        <f>_xll.DBRW($C$2,$AV$1,AV$2,$D$18,$D$3,$D170,$E170,$F170,AX$3)</f>
        <v>0</v>
      </c>
      <c r="AY170" s="64">
        <f>_xll.DBRW($C$2,$AV$1,AV$2,$D$18,$D$3,$D170,$E170,$F170,AY$3)</f>
        <v>0</v>
      </c>
      <c r="AZ170" s="58">
        <f>_xll.DBRW($C$2,$AV$1,AV$2,$D$18,$D$3,$D170,$E170,$F170,AZ$3)</f>
        <v>0</v>
      </c>
      <c r="BA170" s="48">
        <f t="shared" si="54"/>
        <v>18</v>
      </c>
      <c r="BB170" s="39">
        <f>_xll.DBRW($C$2,$BB$1,BB$2,$D$18,$D$3,$D170,$E170,$F170,BB$3)</f>
        <v>0</v>
      </c>
      <c r="BC170" s="25" cm="1">
        <f t="array" ref="BC170">_xll.DBRW($E$2,BB$1,BB$2,$D$18,$D$3,$D170,$E170,$F170,$F$3,BC$3)</f>
        <v>0</v>
      </c>
      <c r="BD170" s="25">
        <f>_xll.DBRW($C$2,$BB$1,BB$2,$D$18,$D$3,$D170,$E170,$F170,BD$3)</f>
        <v>0</v>
      </c>
      <c r="BE170" s="64">
        <f>_xll.DBRW($C$2,$BB$1,BB$2,$D$18,$D$3,$D170,$E170,$F170,BE$3)</f>
        <v>0</v>
      </c>
      <c r="BF170" s="58">
        <f>_xll.DBRW($C$2,$BB$1,BB$2,$D$18,$D$3,$D170,$E170,$F170,BF$3)</f>
        <v>0</v>
      </c>
      <c r="BG170" s="48">
        <f t="shared" si="55"/>
        <v>18</v>
      </c>
      <c r="BH170" s="39">
        <f>_xll.DBRW($C$2,$BH$1,BH$2,$D$18,$D$3,$D170,$E170,$F170,BH$3)</f>
        <v>0</v>
      </c>
      <c r="BI170" s="25" cm="1">
        <f t="array" ref="BI170">_xll.DBRW($E$2,BH$1,BH$2,$D$18,$D$3,$D170,$E170,$F170,$F$3,BI$3)</f>
        <v>0</v>
      </c>
      <c r="BJ170" s="25">
        <f>_xll.DBRW($C$2,$BH$1,BH$2,$D$18,$D$3,$D170,$E170,$F170,BJ$3)</f>
        <v>0</v>
      </c>
      <c r="BK170" s="64">
        <f>_xll.DBRW($C$2,$BH$1,BH$2,$D$18,$D$3,$D170,$E170,$F170,BK$3)</f>
        <v>0</v>
      </c>
      <c r="BL170" s="58">
        <f>_xll.DBRW($C$2,$BH$1,BH$2,$D$18,$D$3,$D170,$E170,$F170,BL$3)</f>
        <v>0</v>
      </c>
      <c r="BM170" s="48">
        <f t="shared" si="56"/>
        <v>18</v>
      </c>
      <c r="BN170" s="39">
        <f>_xll.DBRW($C$2,$BN$1,BN$2,$D$18,$D$3,$D170,$E170,$F170,BN$3)</f>
        <v>0</v>
      </c>
      <c r="BO170" s="25" cm="1">
        <f t="array" ref="BO170">_xll.DBRW($E$2,BN$1,BN$2,$D$18,$D$3,$D170,$E170,$F170,$F$3,BO$3)</f>
        <v>0</v>
      </c>
      <c r="BP170" s="25">
        <f>_xll.DBRW($C$2,$BN$1,BN$2,$D$18,$D$3,$D170,$E170,$F170,BP$3)</f>
        <v>0</v>
      </c>
      <c r="BQ170" s="64">
        <f>_xll.DBRW($C$2,$BN$1,BN$2,$D$18,$D$3,$D170,$E170,$F170,BQ$3)</f>
        <v>0</v>
      </c>
      <c r="BR170" s="58">
        <f>_xll.DBRW($C$2,$BN$1,BN$2,$D$18,$D$3,$D170,$E170,$F170,BR$3)</f>
        <v>0</v>
      </c>
      <c r="BS170" s="48">
        <f t="shared" si="57"/>
        <v>18</v>
      </c>
      <c r="BT170" s="39">
        <f>_xll.DBRW($C$2,$BT$1,BT$2,$D$18,$D$3,$D170,$E170,$F170,BT$3)</f>
        <v>0</v>
      </c>
      <c r="BU170" s="25" cm="1">
        <f t="array" ref="BU170">_xll.DBRW($E$2,BT$1,BT$2,$D$18,$D$3,$D170,$E170,$F170,$F$3,BU$3)</f>
        <v>0</v>
      </c>
      <c r="BV170" s="25">
        <f>_xll.DBRW($C$2,$BT$1,BT$2,$D$18,$D$3,$D170,$E170,$F170,BV$3)</f>
        <v>0</v>
      </c>
      <c r="BW170" s="64">
        <f>_xll.DBRW($C$2,$BT$1,BT$2,$D$18,$D$3,$D170,$E170,$F170,BW$3)</f>
        <v>0</v>
      </c>
      <c r="BX170" s="58">
        <f>_xll.DBRW($C$2,$BT$1,BT$2,$D$18,$D$3,$D170,$E170,$F170,BX$3)</f>
        <v>0</v>
      </c>
      <c r="BY170" s="48">
        <f t="shared" si="58"/>
        <v>18</v>
      </c>
      <c r="BZ170" s="39">
        <f>_xll.DBRW($C$2,$BZ$1,BZ$2,$D$18,$D$3,$D170,$E170,$F170,BZ$3)</f>
        <v>0</v>
      </c>
      <c r="CA170" s="25" cm="1">
        <f t="array" ref="CA170">_xll.DBRW($E$2,BZ$1,BZ$2,$D$18,$D$3,$D170,$E170,$F170,$F$3,CA$3)</f>
        <v>0</v>
      </c>
      <c r="CB170" s="25">
        <f>_xll.DBRW($C$2,$BZ$1,BZ$2,$D$18,$D$3,$D170,$E170,$F170,CB$3)</f>
        <v>0</v>
      </c>
      <c r="CC170" s="64">
        <f>_xll.DBRW($C$2,$BZ$1,BZ$2,$D$18,$D$3,$D170,$E170,$F170,CC$3)</f>
        <v>0</v>
      </c>
      <c r="CD170" s="58">
        <f>_xll.DBRW($C$2,$BZ$1,BZ$2,$D$18,$D$3,$D170,$E170,$F170,CD$3)</f>
        <v>0</v>
      </c>
      <c r="CE170" s="48">
        <f t="shared" si="59"/>
        <v>18</v>
      </c>
    </row>
    <row r="171" spans="1:83" s="23" customFormat="1" outlineLevel="1" thickBot="1" x14ac:dyDescent="0.3">
      <c r="A171" s="91" t="str">
        <f>IF(_xll.TM1RPTELISCONSOLIDATED($F$22,$F171),IF(_xll.TM1RPTELLEV($F$22,$F171)&lt;=5,_xll.TM1RPTELLEV($F$22,$F171),"Default"),"Leaf")</f>
        <v>Leaf</v>
      </c>
      <c r="B171" s="24" t="str">
        <f>_xll.DBRW("TM1-S1_DEV:}ElementAttributes_SP_SKU",$D171,B$1)</f>
        <v>Primary</v>
      </c>
      <c r="C171" s="24" t="str">
        <f>_xll.DBRW("TM1-S1_DEV:}ElementAttributes_SP_SKU",$D171,C$1)</f>
        <v>CHIPS</v>
      </c>
      <c r="D171" s="28" t="s">
        <v>333</v>
      </c>
      <c r="E171" s="28" t="s">
        <v>126</v>
      </c>
      <c r="F171" s="28" t="s">
        <v>153</v>
      </c>
      <c r="G171" s="4">
        <f>_xll.DBRW($C$2,$G$19,G$20,$D$18,$D$3,$D171,$E171,$F171,G$3)</f>
        <v>116</v>
      </c>
      <c r="H171" s="54">
        <f t="shared" si="48"/>
        <v>-27</v>
      </c>
      <c r="I171" s="4"/>
      <c r="J171" s="25">
        <f>_xll.DBRW($C$2,$J$1,J$2,$D$18,$D$3,$D171,$E171,$F171,J$3)</f>
        <v>89</v>
      </c>
      <c r="K171" s="39">
        <f>_xll.DBRW($C$2,$J$1,J$2,$D$18,$D$3,$D171,$E171,$F171,K$3)</f>
        <v>0</v>
      </c>
      <c r="L171" s="25">
        <f>_xll.DBRW($C$2,$J$1,J$2,$D$18,$D$3,$D171,$E171,$F171,L$3)</f>
        <v>0</v>
      </c>
      <c r="M171" s="25">
        <f>_xll.DBRW($C$2,$J$1,J$2,$D$18,$D$3,$D171,$E171,$F171,M$3)</f>
        <v>48</v>
      </c>
      <c r="N171" s="25">
        <f>_xll.DBRW($C$2,$J$1,J$2,$D$18,$D$3,$D171,$E171,$F171,N$3)</f>
        <v>13</v>
      </c>
      <c r="O171" s="64">
        <f>_xll.DBRW($C$2,$J$1,J$2,$D$18,$D$3,$D171,$E171,$F171,O$3)</f>
        <v>1</v>
      </c>
      <c r="P171" s="58">
        <f>_xll.DBRW($C$2,$J$1,J$2,$D$18,$D$3,$D171,$E171,$F171,P$3)</f>
        <v>0</v>
      </c>
      <c r="Q171" s="48">
        <f>_xll.DBRW($C$2,$J$1,J$2,$D$18,$D$3,$D171,$E171,$F171,Q$3)</f>
        <v>124</v>
      </c>
      <c r="R171" s="39">
        <f>_xll.DBRW($C$2,$R$1,R$2,$D$18,$D$3,$D171,$E171,$F171,R$3)</f>
        <v>0</v>
      </c>
      <c r="S171" s="25" cm="1">
        <f t="array" ref="S171">_xll.DBRW($E$2,R$1,R$2,$D$18,$D$3,$D171,$E171,$F171,$F$3,S$3)</f>
        <v>0</v>
      </c>
      <c r="T171" s="25">
        <f>_xll.DBRW($C$2,$R$1,R$2,$D$18,$D$3,$D171,$E171,$F171,T$3)</f>
        <v>0</v>
      </c>
      <c r="U171" s="64">
        <f>_xll.DBRW($C$2,$R$1,R$2,$D$18,$D$3,$D171,$E171,$F171,U$3)</f>
        <v>0</v>
      </c>
      <c r="V171" s="58">
        <f>_xll.DBRW($C$2,$R$1,R$2,$D$18,$D$3,$D171,$E171,$F171,V$3)</f>
        <v>0</v>
      </c>
      <c r="W171" s="48">
        <f t="shared" si="49"/>
        <v>124</v>
      </c>
      <c r="X171" s="39">
        <f>_xll.DBRW($C$2,$X$1,X$2,$D$18,$D$3,$D171,$E171,$F171,X$3)</f>
        <v>0</v>
      </c>
      <c r="Y171" s="25" cm="1">
        <f t="array" ref="Y171">_xll.DBRW($E$2,X$1,X$2,$D$18,$D$3,$D171,$E171,$F171,$F$3,Y$3)</f>
        <v>0</v>
      </c>
      <c r="Z171" s="25">
        <f>_xll.DBRW($C$2,$X$1,X$2,$D$18,$D$3,$D171,$E171,$F171,Z$3)</f>
        <v>9</v>
      </c>
      <c r="AA171" s="64">
        <f>_xll.DBRW($C$2,$X$1,X$2,$D$18,$D$3,$D171,$E171,$F171,AA$3)</f>
        <v>0</v>
      </c>
      <c r="AB171" s="58">
        <f>_xll.DBRW($C$2,$X$1,X$2,$D$18,$D$3,$D171,$E171,$F171,AB$3)</f>
        <v>0</v>
      </c>
      <c r="AC171" s="48">
        <f t="shared" si="50"/>
        <v>115</v>
      </c>
      <c r="AD171" s="39">
        <f>_xll.DBRW($C$2,$AD$1,AD$2,$D$18,$D$3,$D171,$E171,$F171,AD$3)</f>
        <v>0</v>
      </c>
      <c r="AE171" s="25" cm="1">
        <f t="array" ref="AE171">_xll.DBRW($E$2,AD$1,AD$2,$D$18,$D$3,$D171,$E171,$F171,$F$3,AE$3)</f>
        <v>0</v>
      </c>
      <c r="AF171" s="25">
        <f>_xll.DBRW($C$2,$AD$1,AD$2,$D$18,$D$3,$D171,$E171,$F171,AF$3)</f>
        <v>9</v>
      </c>
      <c r="AG171" s="64">
        <f>_xll.DBRW($C$2,$AD$1,AD$2,$D$18,$D$3,$D171,$E171,$F171,AG$3)</f>
        <v>0</v>
      </c>
      <c r="AH171" s="58">
        <f>_xll.DBRW($C$2,$AD$1,AD$2,$D$18,$D$3,$D171,$E171,$F171,AH$3)</f>
        <v>0</v>
      </c>
      <c r="AI171" s="48">
        <f t="shared" si="51"/>
        <v>106</v>
      </c>
      <c r="AJ171" s="39">
        <f>_xll.DBRW($C$2,$AJ$1,AJ$2,$D$18,$D$3,$D171,$E171,$F171,AJ$3)</f>
        <v>0</v>
      </c>
      <c r="AK171" s="25" cm="1">
        <f t="array" ref="AK171">_xll.DBRW($E$2,AJ$1,AJ$2,$D$18,$D$3,$D171,$E171,$F171,$F$3,AK$3)</f>
        <v>0</v>
      </c>
      <c r="AL171" s="25">
        <f>_xll.DBRW($C$2,$AJ$1,AJ$2,$D$18,$D$3,$D171,$E171,$F171,AL$3)</f>
        <v>9</v>
      </c>
      <c r="AM171" s="64">
        <f>_xll.DBRW($C$2,$AJ$1,AJ$2,$D$18,$D$3,$D171,$E171,$F171,AM$3)</f>
        <v>0</v>
      </c>
      <c r="AN171" s="58">
        <f>_xll.DBRW($C$2,$AJ$1,AJ$2,$D$18,$D$3,$D171,$E171,$F171,AN$3)</f>
        <v>0</v>
      </c>
      <c r="AO171" s="48">
        <f t="shared" si="52"/>
        <v>97</v>
      </c>
      <c r="AP171" s="39">
        <f>_xll.DBRW($C$2,$AP$1,AP$2,$D$18,$D$3,$D171,$E171,$F171,AP$3)</f>
        <v>0</v>
      </c>
      <c r="AQ171" s="25" cm="1">
        <f t="array" ref="AQ171">_xll.DBRW($E$2,AP$1,AP$2,$D$18,$D$3,$D171,$E171,$F171,$F$3,AQ$3)</f>
        <v>0</v>
      </c>
      <c r="AR171" s="25">
        <f>_xll.DBRW($C$2,$AP$1,AP$2,$D$18,$D$3,$D171,$E171,$F171,AR$3)</f>
        <v>9</v>
      </c>
      <c r="AS171" s="64">
        <f>_xll.DBRW($C$2,$AP$1,AP$2,$D$18,$D$3,$D171,$E171,$F171,AS$3)</f>
        <v>0</v>
      </c>
      <c r="AT171" s="58">
        <f>_xll.DBRW($C$2,$AP$1,AP$2,$D$18,$D$3,$D171,$E171,$F171,AT$3)</f>
        <v>0</v>
      </c>
      <c r="AU171" s="48">
        <f t="shared" si="53"/>
        <v>88</v>
      </c>
      <c r="AV171" s="39">
        <f>_xll.DBRW($C$2,$AV$1,AV$2,$D$18,$D$3,$D171,$E171,$F171,AV$3)</f>
        <v>0</v>
      </c>
      <c r="AW171" s="25" cm="1">
        <f t="array" ref="AW171">_xll.DBRW($E$2,AV$1,AV$2,$D$18,$D$3,$D171,$E171,$F171,$F$3,AW$3)</f>
        <v>0</v>
      </c>
      <c r="AX171" s="25">
        <f>_xll.DBRW($C$2,$AV$1,AV$2,$D$18,$D$3,$D171,$E171,$F171,AX$3)</f>
        <v>9</v>
      </c>
      <c r="AY171" s="64">
        <f>_xll.DBRW($C$2,$AV$1,AV$2,$D$18,$D$3,$D171,$E171,$F171,AY$3)</f>
        <v>0</v>
      </c>
      <c r="AZ171" s="58">
        <f>_xll.DBRW($C$2,$AV$1,AV$2,$D$18,$D$3,$D171,$E171,$F171,AZ$3)</f>
        <v>0</v>
      </c>
      <c r="BA171" s="48">
        <f t="shared" si="54"/>
        <v>79</v>
      </c>
      <c r="BB171" s="39">
        <f>_xll.DBRW($C$2,$BB$1,BB$2,$D$18,$D$3,$D171,$E171,$F171,BB$3)</f>
        <v>0</v>
      </c>
      <c r="BC171" s="25" cm="1">
        <f t="array" ref="BC171">_xll.DBRW($E$2,BB$1,BB$2,$D$18,$D$3,$D171,$E171,$F171,$F$3,BC$3)</f>
        <v>0</v>
      </c>
      <c r="BD171" s="25">
        <f>_xll.DBRW($C$2,$BB$1,BB$2,$D$18,$D$3,$D171,$E171,$F171,BD$3)</f>
        <v>9</v>
      </c>
      <c r="BE171" s="64">
        <f>_xll.DBRW($C$2,$BB$1,BB$2,$D$18,$D$3,$D171,$E171,$F171,BE$3)</f>
        <v>0</v>
      </c>
      <c r="BF171" s="58">
        <f>_xll.DBRW($C$2,$BB$1,BB$2,$D$18,$D$3,$D171,$E171,$F171,BF$3)</f>
        <v>0</v>
      </c>
      <c r="BG171" s="48">
        <f t="shared" si="55"/>
        <v>70</v>
      </c>
      <c r="BH171" s="39">
        <f>_xll.DBRW($C$2,$BH$1,BH$2,$D$18,$D$3,$D171,$E171,$F171,BH$3)</f>
        <v>0</v>
      </c>
      <c r="BI171" s="25" cm="1">
        <f t="array" ref="BI171">_xll.DBRW($E$2,BH$1,BH$2,$D$18,$D$3,$D171,$E171,$F171,$F$3,BI$3)</f>
        <v>0</v>
      </c>
      <c r="BJ171" s="25">
        <f>_xll.DBRW($C$2,$BH$1,BH$2,$D$18,$D$3,$D171,$E171,$F171,BJ$3)</f>
        <v>9</v>
      </c>
      <c r="BK171" s="64">
        <f>_xll.DBRW($C$2,$BH$1,BH$2,$D$18,$D$3,$D171,$E171,$F171,BK$3)</f>
        <v>0</v>
      </c>
      <c r="BL171" s="58">
        <f>_xll.DBRW($C$2,$BH$1,BH$2,$D$18,$D$3,$D171,$E171,$F171,BL$3)</f>
        <v>0</v>
      </c>
      <c r="BM171" s="48">
        <f t="shared" si="56"/>
        <v>61</v>
      </c>
      <c r="BN171" s="39">
        <f>_xll.DBRW($C$2,$BN$1,BN$2,$D$18,$D$3,$D171,$E171,$F171,BN$3)</f>
        <v>0</v>
      </c>
      <c r="BO171" s="25" cm="1">
        <f t="array" ref="BO171">_xll.DBRW($E$2,BN$1,BN$2,$D$18,$D$3,$D171,$E171,$F171,$F$3,BO$3)</f>
        <v>0</v>
      </c>
      <c r="BP171" s="25">
        <f>_xll.DBRW($C$2,$BN$1,BN$2,$D$18,$D$3,$D171,$E171,$F171,BP$3)</f>
        <v>9</v>
      </c>
      <c r="BQ171" s="64">
        <f>_xll.DBRW($C$2,$BN$1,BN$2,$D$18,$D$3,$D171,$E171,$F171,BQ$3)</f>
        <v>0</v>
      </c>
      <c r="BR171" s="58">
        <f>_xll.DBRW($C$2,$BN$1,BN$2,$D$18,$D$3,$D171,$E171,$F171,BR$3)</f>
        <v>0</v>
      </c>
      <c r="BS171" s="48">
        <f t="shared" si="57"/>
        <v>52</v>
      </c>
      <c r="BT171" s="39">
        <f>_xll.DBRW($C$2,$BT$1,BT$2,$D$18,$D$3,$D171,$E171,$F171,BT$3)</f>
        <v>0</v>
      </c>
      <c r="BU171" s="25" cm="1">
        <f t="array" ref="BU171">_xll.DBRW($E$2,BT$1,BT$2,$D$18,$D$3,$D171,$E171,$F171,$F$3,BU$3)</f>
        <v>0</v>
      </c>
      <c r="BV171" s="25">
        <f>_xll.DBRW($C$2,$BT$1,BT$2,$D$18,$D$3,$D171,$E171,$F171,BV$3)</f>
        <v>9</v>
      </c>
      <c r="BW171" s="64">
        <f>_xll.DBRW($C$2,$BT$1,BT$2,$D$18,$D$3,$D171,$E171,$F171,BW$3)</f>
        <v>0</v>
      </c>
      <c r="BX171" s="58">
        <f>_xll.DBRW($C$2,$BT$1,BT$2,$D$18,$D$3,$D171,$E171,$F171,BX$3)</f>
        <v>0</v>
      </c>
      <c r="BY171" s="48">
        <f t="shared" si="58"/>
        <v>43</v>
      </c>
      <c r="BZ171" s="39">
        <f>_xll.DBRW($C$2,$BZ$1,BZ$2,$D$18,$D$3,$D171,$E171,$F171,BZ$3)</f>
        <v>0</v>
      </c>
      <c r="CA171" s="25" cm="1">
        <f t="array" ref="CA171">_xll.DBRW($E$2,BZ$1,BZ$2,$D$18,$D$3,$D171,$E171,$F171,$F$3,CA$3)</f>
        <v>0</v>
      </c>
      <c r="CB171" s="25">
        <f>_xll.DBRW($C$2,$BZ$1,BZ$2,$D$18,$D$3,$D171,$E171,$F171,CB$3)</f>
        <v>9</v>
      </c>
      <c r="CC171" s="64">
        <f>_xll.DBRW($C$2,$BZ$1,BZ$2,$D$18,$D$3,$D171,$E171,$F171,CC$3)</f>
        <v>0</v>
      </c>
      <c r="CD171" s="58">
        <f>_xll.DBRW($C$2,$BZ$1,BZ$2,$D$18,$D$3,$D171,$E171,$F171,CD$3)</f>
        <v>0</v>
      </c>
      <c r="CE171" s="48">
        <f t="shared" si="59"/>
        <v>34</v>
      </c>
    </row>
    <row r="172" spans="1:83" s="23" customFormat="1" outlineLevel="1" thickBot="1" x14ac:dyDescent="0.3">
      <c r="A172" s="91" t="str">
        <f>IF(_xll.TM1RPTELISCONSOLIDATED($F$22,$F172),IF(_xll.TM1RPTELLEV($F$22,$F172)&lt;=5,_xll.TM1RPTELLEV($F$22,$F172),"Default"),"Leaf")</f>
        <v>Leaf</v>
      </c>
      <c r="B172" s="24" t="str">
        <f>_xll.DBRW("TM1-S1_DEV:}ElementAttributes_SP_SKU",$D172,B$1)</f>
        <v>Primary</v>
      </c>
      <c r="C172" s="24" t="str">
        <f>_xll.DBRW("TM1-S1_DEV:}ElementAttributes_SP_SKU",$D172,C$1)</f>
        <v>CHIPS</v>
      </c>
      <c r="D172" s="28" t="s">
        <v>334</v>
      </c>
      <c r="E172" s="28" t="s">
        <v>127</v>
      </c>
      <c r="F172" s="28" t="s">
        <v>153</v>
      </c>
      <c r="G172" s="4">
        <f>_xll.DBRW($C$2,$G$19,G$20,$D$18,$D$3,$D172,$E172,$F172,G$3)</f>
        <v>146</v>
      </c>
      <c r="H172" s="54">
        <f t="shared" si="48"/>
        <v>-146</v>
      </c>
      <c r="I172" s="4"/>
      <c r="J172" s="25">
        <f>_xll.DBRW($C$2,$J$1,J$2,$D$18,$D$3,$D172,$E172,$F172,J$3)</f>
        <v>0</v>
      </c>
      <c r="K172" s="39">
        <f>_xll.DBRW($C$2,$J$1,J$2,$D$18,$D$3,$D172,$E172,$F172,K$3)</f>
        <v>0</v>
      </c>
      <c r="L172" s="25">
        <f>_xll.DBRW($C$2,$J$1,J$2,$D$18,$D$3,$D172,$E172,$F172,L$3)</f>
        <v>0</v>
      </c>
      <c r="M172" s="25">
        <f>_xll.DBRW($C$2,$J$1,J$2,$D$18,$D$3,$D172,$E172,$F172,M$3)</f>
        <v>180</v>
      </c>
      <c r="N172" s="25">
        <f>_xll.DBRW($C$2,$J$1,J$2,$D$18,$D$3,$D172,$E172,$F172,N$3)</f>
        <v>21</v>
      </c>
      <c r="O172" s="64">
        <f>_xll.DBRW($C$2,$J$1,J$2,$D$18,$D$3,$D172,$E172,$F172,O$3)</f>
        <v>1</v>
      </c>
      <c r="P172" s="58">
        <f>_xll.DBRW($C$2,$J$1,J$2,$D$18,$D$3,$D172,$E172,$F172,P$3)</f>
        <v>0</v>
      </c>
      <c r="Q172" s="48">
        <f>_xll.DBRW($C$2,$J$1,J$2,$D$18,$D$3,$D172,$E172,$F172,Q$3)</f>
        <v>159</v>
      </c>
      <c r="R172" s="39">
        <f>_xll.DBRW($C$2,$R$1,R$2,$D$18,$D$3,$D172,$E172,$F172,R$3)</f>
        <v>0</v>
      </c>
      <c r="S172" s="25" cm="1">
        <f t="array" ref="S172">_xll.DBRW($E$2,R$1,R$2,$D$18,$D$3,$D172,$E172,$F172,$F$3,S$3)</f>
        <v>0</v>
      </c>
      <c r="T172" s="25">
        <f>_xll.DBRW($C$2,$R$1,R$2,$D$18,$D$3,$D172,$E172,$F172,T$3)</f>
        <v>0</v>
      </c>
      <c r="U172" s="64">
        <f>_xll.DBRW($C$2,$R$1,R$2,$D$18,$D$3,$D172,$E172,$F172,U$3)</f>
        <v>0</v>
      </c>
      <c r="V172" s="58">
        <f>_xll.DBRW($C$2,$R$1,R$2,$D$18,$D$3,$D172,$E172,$F172,V$3)</f>
        <v>0</v>
      </c>
      <c r="W172" s="48">
        <f t="shared" si="49"/>
        <v>159</v>
      </c>
      <c r="X172" s="39">
        <f>_xll.DBRW($C$2,$X$1,X$2,$D$18,$D$3,$D172,$E172,$F172,X$3)</f>
        <v>0</v>
      </c>
      <c r="Y172" s="25" cm="1">
        <f t="array" ref="Y172">_xll.DBRW($E$2,X$1,X$2,$D$18,$D$3,$D172,$E172,$F172,$F$3,Y$3)</f>
        <v>0</v>
      </c>
      <c r="Z172" s="25">
        <f>_xll.DBRW($C$2,$X$1,X$2,$D$18,$D$3,$D172,$E172,$F172,Z$3)</f>
        <v>26</v>
      </c>
      <c r="AA172" s="64">
        <f>_xll.DBRW($C$2,$X$1,X$2,$D$18,$D$3,$D172,$E172,$F172,AA$3)</f>
        <v>0</v>
      </c>
      <c r="AB172" s="58">
        <f>_xll.DBRW($C$2,$X$1,X$2,$D$18,$D$3,$D172,$E172,$F172,AB$3)</f>
        <v>0</v>
      </c>
      <c r="AC172" s="48">
        <f t="shared" si="50"/>
        <v>133</v>
      </c>
      <c r="AD172" s="39">
        <f>_xll.DBRW($C$2,$AD$1,AD$2,$D$18,$D$3,$D172,$E172,$F172,AD$3)</f>
        <v>0</v>
      </c>
      <c r="AE172" s="25" cm="1">
        <f t="array" ref="AE172">_xll.DBRW($E$2,AD$1,AD$2,$D$18,$D$3,$D172,$E172,$F172,$F$3,AE$3)</f>
        <v>0</v>
      </c>
      <c r="AF172" s="25">
        <f>_xll.DBRW($C$2,$AD$1,AD$2,$D$18,$D$3,$D172,$E172,$F172,AF$3)</f>
        <v>26</v>
      </c>
      <c r="AG172" s="64">
        <f>_xll.DBRW($C$2,$AD$1,AD$2,$D$18,$D$3,$D172,$E172,$F172,AG$3)</f>
        <v>0</v>
      </c>
      <c r="AH172" s="58">
        <f>_xll.DBRW($C$2,$AD$1,AD$2,$D$18,$D$3,$D172,$E172,$F172,AH$3)</f>
        <v>0</v>
      </c>
      <c r="AI172" s="48">
        <f t="shared" si="51"/>
        <v>107</v>
      </c>
      <c r="AJ172" s="39">
        <f>_xll.DBRW($C$2,$AJ$1,AJ$2,$D$18,$D$3,$D172,$E172,$F172,AJ$3)</f>
        <v>0</v>
      </c>
      <c r="AK172" s="25" cm="1">
        <f t="array" ref="AK172">_xll.DBRW($E$2,AJ$1,AJ$2,$D$18,$D$3,$D172,$E172,$F172,$F$3,AK$3)</f>
        <v>0</v>
      </c>
      <c r="AL172" s="25">
        <f>_xll.DBRW($C$2,$AJ$1,AJ$2,$D$18,$D$3,$D172,$E172,$F172,AL$3)</f>
        <v>26</v>
      </c>
      <c r="AM172" s="64">
        <f>_xll.DBRW($C$2,$AJ$1,AJ$2,$D$18,$D$3,$D172,$E172,$F172,AM$3)</f>
        <v>0</v>
      </c>
      <c r="AN172" s="58">
        <f>_xll.DBRW($C$2,$AJ$1,AJ$2,$D$18,$D$3,$D172,$E172,$F172,AN$3)</f>
        <v>0</v>
      </c>
      <c r="AO172" s="48">
        <f t="shared" si="52"/>
        <v>81</v>
      </c>
      <c r="AP172" s="39">
        <f>_xll.DBRW($C$2,$AP$1,AP$2,$D$18,$D$3,$D172,$E172,$F172,AP$3)</f>
        <v>0</v>
      </c>
      <c r="AQ172" s="25" cm="1">
        <f t="array" ref="AQ172">_xll.DBRW($E$2,AP$1,AP$2,$D$18,$D$3,$D172,$E172,$F172,$F$3,AQ$3)</f>
        <v>0</v>
      </c>
      <c r="AR172" s="25">
        <f>_xll.DBRW($C$2,$AP$1,AP$2,$D$18,$D$3,$D172,$E172,$F172,AR$3)</f>
        <v>26</v>
      </c>
      <c r="AS172" s="64">
        <f>_xll.DBRW($C$2,$AP$1,AP$2,$D$18,$D$3,$D172,$E172,$F172,AS$3)</f>
        <v>0</v>
      </c>
      <c r="AT172" s="58">
        <f>_xll.DBRW($C$2,$AP$1,AP$2,$D$18,$D$3,$D172,$E172,$F172,AT$3)</f>
        <v>0</v>
      </c>
      <c r="AU172" s="48">
        <f t="shared" si="53"/>
        <v>55</v>
      </c>
      <c r="AV172" s="39">
        <f>_xll.DBRW($C$2,$AV$1,AV$2,$D$18,$D$3,$D172,$E172,$F172,AV$3)</f>
        <v>0</v>
      </c>
      <c r="AW172" s="25" cm="1">
        <f t="array" ref="AW172">_xll.DBRW($E$2,AV$1,AV$2,$D$18,$D$3,$D172,$E172,$F172,$F$3,AW$3)</f>
        <v>0</v>
      </c>
      <c r="AX172" s="25">
        <f>_xll.DBRW($C$2,$AV$1,AV$2,$D$18,$D$3,$D172,$E172,$F172,AX$3)</f>
        <v>26</v>
      </c>
      <c r="AY172" s="64">
        <f>_xll.DBRW($C$2,$AV$1,AV$2,$D$18,$D$3,$D172,$E172,$F172,AY$3)</f>
        <v>0</v>
      </c>
      <c r="AZ172" s="58">
        <f>_xll.DBRW($C$2,$AV$1,AV$2,$D$18,$D$3,$D172,$E172,$F172,AZ$3)</f>
        <v>0</v>
      </c>
      <c r="BA172" s="48">
        <f t="shared" si="54"/>
        <v>29</v>
      </c>
      <c r="BB172" s="39">
        <f>_xll.DBRW($C$2,$BB$1,BB$2,$D$18,$D$3,$D172,$E172,$F172,BB$3)</f>
        <v>0</v>
      </c>
      <c r="BC172" s="25" cm="1">
        <f t="array" ref="BC172">_xll.DBRW($E$2,BB$1,BB$2,$D$18,$D$3,$D172,$E172,$F172,$F$3,BC$3)</f>
        <v>0</v>
      </c>
      <c r="BD172" s="25">
        <f>_xll.DBRW($C$2,$BB$1,BB$2,$D$18,$D$3,$D172,$E172,$F172,BD$3)</f>
        <v>26</v>
      </c>
      <c r="BE172" s="64">
        <f>_xll.DBRW($C$2,$BB$1,BB$2,$D$18,$D$3,$D172,$E172,$F172,BE$3)</f>
        <v>0</v>
      </c>
      <c r="BF172" s="58">
        <f>_xll.DBRW($C$2,$BB$1,BB$2,$D$18,$D$3,$D172,$E172,$F172,BF$3)</f>
        <v>0</v>
      </c>
      <c r="BG172" s="48">
        <f t="shared" si="55"/>
        <v>3</v>
      </c>
      <c r="BH172" s="39">
        <f>_xll.DBRW($C$2,$BH$1,BH$2,$D$18,$D$3,$D172,$E172,$F172,BH$3)</f>
        <v>0</v>
      </c>
      <c r="BI172" s="25" cm="1">
        <f t="array" ref="BI172">_xll.DBRW($E$2,BH$1,BH$2,$D$18,$D$3,$D172,$E172,$F172,$F$3,BI$3)</f>
        <v>0</v>
      </c>
      <c r="BJ172" s="25">
        <f>_xll.DBRW($C$2,$BH$1,BH$2,$D$18,$D$3,$D172,$E172,$F172,BJ$3)</f>
        <v>26</v>
      </c>
      <c r="BK172" s="64">
        <f>_xll.DBRW($C$2,$BH$1,BH$2,$D$18,$D$3,$D172,$E172,$F172,BK$3)</f>
        <v>0</v>
      </c>
      <c r="BL172" s="58">
        <f>_xll.DBRW($C$2,$BH$1,BH$2,$D$18,$D$3,$D172,$E172,$F172,BL$3)</f>
        <v>0</v>
      </c>
      <c r="BM172" s="48">
        <f t="shared" si="56"/>
        <v>-23</v>
      </c>
      <c r="BN172" s="39">
        <f>_xll.DBRW($C$2,$BN$1,BN$2,$D$18,$D$3,$D172,$E172,$F172,BN$3)</f>
        <v>0</v>
      </c>
      <c r="BO172" s="25" cm="1">
        <f t="array" ref="BO172">_xll.DBRW($E$2,BN$1,BN$2,$D$18,$D$3,$D172,$E172,$F172,$F$3,BO$3)</f>
        <v>0</v>
      </c>
      <c r="BP172" s="25">
        <f>_xll.DBRW($C$2,$BN$1,BN$2,$D$18,$D$3,$D172,$E172,$F172,BP$3)</f>
        <v>26</v>
      </c>
      <c r="BQ172" s="64">
        <f>_xll.DBRW($C$2,$BN$1,BN$2,$D$18,$D$3,$D172,$E172,$F172,BQ$3)</f>
        <v>0</v>
      </c>
      <c r="BR172" s="58">
        <f>_xll.DBRW($C$2,$BN$1,BN$2,$D$18,$D$3,$D172,$E172,$F172,BR$3)</f>
        <v>0</v>
      </c>
      <c r="BS172" s="48">
        <f t="shared" si="57"/>
        <v>-49</v>
      </c>
      <c r="BT172" s="39">
        <f>_xll.DBRW($C$2,$BT$1,BT$2,$D$18,$D$3,$D172,$E172,$F172,BT$3)</f>
        <v>0</v>
      </c>
      <c r="BU172" s="25" cm="1">
        <f t="array" ref="BU172">_xll.DBRW($E$2,BT$1,BT$2,$D$18,$D$3,$D172,$E172,$F172,$F$3,BU$3)</f>
        <v>0</v>
      </c>
      <c r="BV172" s="25">
        <f>_xll.DBRW($C$2,$BT$1,BT$2,$D$18,$D$3,$D172,$E172,$F172,BV$3)</f>
        <v>26</v>
      </c>
      <c r="BW172" s="64">
        <f>_xll.DBRW($C$2,$BT$1,BT$2,$D$18,$D$3,$D172,$E172,$F172,BW$3)</f>
        <v>0</v>
      </c>
      <c r="BX172" s="58">
        <f>_xll.DBRW($C$2,$BT$1,BT$2,$D$18,$D$3,$D172,$E172,$F172,BX$3)</f>
        <v>0</v>
      </c>
      <c r="BY172" s="48">
        <f t="shared" si="58"/>
        <v>-75</v>
      </c>
      <c r="BZ172" s="39">
        <f>_xll.DBRW($C$2,$BZ$1,BZ$2,$D$18,$D$3,$D172,$E172,$F172,BZ$3)</f>
        <v>0</v>
      </c>
      <c r="CA172" s="25" cm="1">
        <f t="array" ref="CA172">_xll.DBRW($E$2,BZ$1,BZ$2,$D$18,$D$3,$D172,$E172,$F172,$F$3,CA$3)</f>
        <v>0</v>
      </c>
      <c r="CB172" s="25">
        <f>_xll.DBRW($C$2,$BZ$1,BZ$2,$D$18,$D$3,$D172,$E172,$F172,CB$3)</f>
        <v>26</v>
      </c>
      <c r="CC172" s="64">
        <f>_xll.DBRW($C$2,$BZ$1,BZ$2,$D$18,$D$3,$D172,$E172,$F172,CC$3)</f>
        <v>0</v>
      </c>
      <c r="CD172" s="58">
        <f>_xll.DBRW($C$2,$BZ$1,BZ$2,$D$18,$D$3,$D172,$E172,$F172,CD$3)</f>
        <v>0</v>
      </c>
      <c r="CE172" s="48">
        <f t="shared" si="59"/>
        <v>-101</v>
      </c>
    </row>
    <row r="173" spans="1:83" s="23" customFormat="1" outlineLevel="1" thickBot="1" x14ac:dyDescent="0.3">
      <c r="A173" s="91" t="str">
        <f>IF(_xll.TM1RPTELISCONSOLIDATED($F$22,$F173),IF(_xll.TM1RPTELLEV($F$22,$F173)&lt;=5,_xll.TM1RPTELLEV($F$22,$F173),"Default"),"Leaf")</f>
        <v>Leaf</v>
      </c>
      <c r="B173" s="24" t="str">
        <f>_xll.DBRW("TM1-S1_DEV:}ElementAttributes_SP_SKU",$D173,B$1)</f>
        <v>Primary</v>
      </c>
      <c r="C173" s="24" t="str">
        <f>_xll.DBRW("TM1-S1_DEV:}ElementAttributes_SP_SKU",$D173,C$1)</f>
        <v>CHIPS</v>
      </c>
      <c r="D173" s="28" t="s">
        <v>335</v>
      </c>
      <c r="E173" s="28" t="s">
        <v>128</v>
      </c>
      <c r="F173" s="28" t="s">
        <v>153</v>
      </c>
      <c r="G173" s="4">
        <f>_xll.DBRW($C$2,$G$19,G$20,$D$18,$D$3,$D173,$E173,$F173,G$3)</f>
        <v>161</v>
      </c>
      <c r="H173" s="54">
        <f t="shared" si="48"/>
        <v>-46</v>
      </c>
      <c r="I173" s="4"/>
      <c r="J173" s="25">
        <f>_xll.DBRW($C$2,$J$1,J$2,$D$18,$D$3,$D173,$E173,$F173,J$3)</f>
        <v>115</v>
      </c>
      <c r="K173" s="39">
        <f>_xll.DBRW($C$2,$J$1,J$2,$D$18,$D$3,$D173,$E173,$F173,K$3)</f>
        <v>0</v>
      </c>
      <c r="L173" s="25">
        <f>_xll.DBRW($C$2,$J$1,J$2,$D$18,$D$3,$D173,$E173,$F173,L$3)</f>
        <v>0</v>
      </c>
      <c r="M173" s="25">
        <f>_xll.DBRW($C$2,$J$1,J$2,$D$18,$D$3,$D173,$E173,$F173,M$3)</f>
        <v>60</v>
      </c>
      <c r="N173" s="25">
        <f>_xll.DBRW($C$2,$J$1,J$2,$D$18,$D$3,$D173,$E173,$F173,N$3)</f>
        <v>20</v>
      </c>
      <c r="O173" s="64">
        <f>_xll.DBRW($C$2,$J$1,J$2,$D$18,$D$3,$D173,$E173,$F173,O$3)</f>
        <v>1</v>
      </c>
      <c r="P173" s="58">
        <f>_xll.DBRW($C$2,$J$1,J$2,$D$18,$D$3,$D173,$E173,$F173,P$3)</f>
        <v>0</v>
      </c>
      <c r="Q173" s="48">
        <f>_xll.DBRW($C$2,$J$1,J$2,$D$18,$D$3,$D173,$E173,$F173,Q$3)</f>
        <v>155</v>
      </c>
      <c r="R173" s="39">
        <f>_xll.DBRW($C$2,$R$1,R$2,$D$18,$D$3,$D173,$E173,$F173,R$3)</f>
        <v>0</v>
      </c>
      <c r="S173" s="25" cm="1">
        <f t="array" ref="S173">_xll.DBRW($E$2,R$1,R$2,$D$18,$D$3,$D173,$E173,$F173,$F$3,S$3)</f>
        <v>0</v>
      </c>
      <c r="T173" s="25">
        <f>_xll.DBRW($C$2,$R$1,R$2,$D$18,$D$3,$D173,$E173,$F173,T$3)</f>
        <v>0</v>
      </c>
      <c r="U173" s="64">
        <f>_xll.DBRW($C$2,$R$1,R$2,$D$18,$D$3,$D173,$E173,$F173,U$3)</f>
        <v>0</v>
      </c>
      <c r="V173" s="58">
        <f>_xll.DBRW($C$2,$R$1,R$2,$D$18,$D$3,$D173,$E173,$F173,V$3)</f>
        <v>0</v>
      </c>
      <c r="W173" s="48">
        <f t="shared" si="49"/>
        <v>155</v>
      </c>
      <c r="X173" s="39">
        <f>_xll.DBRW($C$2,$X$1,X$2,$D$18,$D$3,$D173,$E173,$F173,X$3)</f>
        <v>0</v>
      </c>
      <c r="Y173" s="25" cm="1">
        <f t="array" ref="Y173">_xll.DBRW($E$2,X$1,X$2,$D$18,$D$3,$D173,$E173,$F173,$F$3,Y$3)</f>
        <v>0</v>
      </c>
      <c r="Z173" s="25">
        <f>_xll.DBRW($C$2,$X$1,X$2,$D$18,$D$3,$D173,$E173,$F173,Z$3)</f>
        <v>21</v>
      </c>
      <c r="AA173" s="64">
        <f>_xll.DBRW($C$2,$X$1,X$2,$D$18,$D$3,$D173,$E173,$F173,AA$3)</f>
        <v>0</v>
      </c>
      <c r="AB173" s="58">
        <f>_xll.DBRW($C$2,$X$1,X$2,$D$18,$D$3,$D173,$E173,$F173,AB$3)</f>
        <v>0</v>
      </c>
      <c r="AC173" s="48">
        <f t="shared" si="50"/>
        <v>134</v>
      </c>
      <c r="AD173" s="39">
        <f>_xll.DBRW($C$2,$AD$1,AD$2,$D$18,$D$3,$D173,$E173,$F173,AD$3)</f>
        <v>0</v>
      </c>
      <c r="AE173" s="25" cm="1">
        <f t="array" ref="AE173">_xll.DBRW($E$2,AD$1,AD$2,$D$18,$D$3,$D173,$E173,$F173,$F$3,AE$3)</f>
        <v>0</v>
      </c>
      <c r="AF173" s="25">
        <f>_xll.DBRW($C$2,$AD$1,AD$2,$D$18,$D$3,$D173,$E173,$F173,AF$3)</f>
        <v>21</v>
      </c>
      <c r="AG173" s="64">
        <f>_xll.DBRW($C$2,$AD$1,AD$2,$D$18,$D$3,$D173,$E173,$F173,AG$3)</f>
        <v>0</v>
      </c>
      <c r="AH173" s="58">
        <f>_xll.DBRW($C$2,$AD$1,AD$2,$D$18,$D$3,$D173,$E173,$F173,AH$3)</f>
        <v>0</v>
      </c>
      <c r="AI173" s="48">
        <f t="shared" si="51"/>
        <v>113</v>
      </c>
      <c r="AJ173" s="39">
        <f>_xll.DBRW($C$2,$AJ$1,AJ$2,$D$18,$D$3,$D173,$E173,$F173,AJ$3)</f>
        <v>0</v>
      </c>
      <c r="AK173" s="25" cm="1">
        <f t="array" ref="AK173">_xll.DBRW($E$2,AJ$1,AJ$2,$D$18,$D$3,$D173,$E173,$F173,$F$3,AK$3)</f>
        <v>0</v>
      </c>
      <c r="AL173" s="25">
        <f>_xll.DBRW($C$2,$AJ$1,AJ$2,$D$18,$D$3,$D173,$E173,$F173,AL$3)</f>
        <v>21</v>
      </c>
      <c r="AM173" s="64">
        <f>_xll.DBRW($C$2,$AJ$1,AJ$2,$D$18,$D$3,$D173,$E173,$F173,AM$3)</f>
        <v>0</v>
      </c>
      <c r="AN173" s="58">
        <f>_xll.DBRW($C$2,$AJ$1,AJ$2,$D$18,$D$3,$D173,$E173,$F173,AN$3)</f>
        <v>0</v>
      </c>
      <c r="AO173" s="48">
        <f t="shared" si="52"/>
        <v>92</v>
      </c>
      <c r="AP173" s="39">
        <f>_xll.DBRW($C$2,$AP$1,AP$2,$D$18,$D$3,$D173,$E173,$F173,AP$3)</f>
        <v>0</v>
      </c>
      <c r="AQ173" s="25" cm="1">
        <f t="array" ref="AQ173">_xll.DBRW($E$2,AP$1,AP$2,$D$18,$D$3,$D173,$E173,$F173,$F$3,AQ$3)</f>
        <v>0</v>
      </c>
      <c r="AR173" s="25">
        <f>_xll.DBRW($C$2,$AP$1,AP$2,$D$18,$D$3,$D173,$E173,$F173,AR$3)</f>
        <v>21</v>
      </c>
      <c r="AS173" s="64">
        <f>_xll.DBRW($C$2,$AP$1,AP$2,$D$18,$D$3,$D173,$E173,$F173,AS$3)</f>
        <v>0</v>
      </c>
      <c r="AT173" s="58">
        <f>_xll.DBRW($C$2,$AP$1,AP$2,$D$18,$D$3,$D173,$E173,$F173,AT$3)</f>
        <v>0</v>
      </c>
      <c r="AU173" s="48">
        <f t="shared" si="53"/>
        <v>71</v>
      </c>
      <c r="AV173" s="39">
        <f>_xll.DBRW($C$2,$AV$1,AV$2,$D$18,$D$3,$D173,$E173,$F173,AV$3)</f>
        <v>0</v>
      </c>
      <c r="AW173" s="25" cm="1">
        <f t="array" ref="AW173">_xll.DBRW($E$2,AV$1,AV$2,$D$18,$D$3,$D173,$E173,$F173,$F$3,AW$3)</f>
        <v>0</v>
      </c>
      <c r="AX173" s="25">
        <f>_xll.DBRW($C$2,$AV$1,AV$2,$D$18,$D$3,$D173,$E173,$F173,AX$3)</f>
        <v>21</v>
      </c>
      <c r="AY173" s="64">
        <f>_xll.DBRW($C$2,$AV$1,AV$2,$D$18,$D$3,$D173,$E173,$F173,AY$3)</f>
        <v>0</v>
      </c>
      <c r="AZ173" s="58">
        <f>_xll.DBRW($C$2,$AV$1,AV$2,$D$18,$D$3,$D173,$E173,$F173,AZ$3)</f>
        <v>0</v>
      </c>
      <c r="BA173" s="48">
        <f t="shared" si="54"/>
        <v>50</v>
      </c>
      <c r="BB173" s="39">
        <f>_xll.DBRW($C$2,$BB$1,BB$2,$D$18,$D$3,$D173,$E173,$F173,BB$3)</f>
        <v>0</v>
      </c>
      <c r="BC173" s="25" cm="1">
        <f t="array" ref="BC173">_xll.DBRW($E$2,BB$1,BB$2,$D$18,$D$3,$D173,$E173,$F173,$F$3,BC$3)</f>
        <v>0</v>
      </c>
      <c r="BD173" s="25">
        <f>_xll.DBRW($C$2,$BB$1,BB$2,$D$18,$D$3,$D173,$E173,$F173,BD$3)</f>
        <v>21</v>
      </c>
      <c r="BE173" s="64">
        <f>_xll.DBRW($C$2,$BB$1,BB$2,$D$18,$D$3,$D173,$E173,$F173,BE$3)</f>
        <v>0</v>
      </c>
      <c r="BF173" s="58">
        <f>_xll.DBRW($C$2,$BB$1,BB$2,$D$18,$D$3,$D173,$E173,$F173,BF$3)</f>
        <v>0</v>
      </c>
      <c r="BG173" s="48">
        <f t="shared" si="55"/>
        <v>29</v>
      </c>
      <c r="BH173" s="39">
        <f>_xll.DBRW($C$2,$BH$1,BH$2,$D$18,$D$3,$D173,$E173,$F173,BH$3)</f>
        <v>0</v>
      </c>
      <c r="BI173" s="25" cm="1">
        <f t="array" ref="BI173">_xll.DBRW($E$2,BH$1,BH$2,$D$18,$D$3,$D173,$E173,$F173,$F$3,BI$3)</f>
        <v>0</v>
      </c>
      <c r="BJ173" s="25">
        <f>_xll.DBRW($C$2,$BH$1,BH$2,$D$18,$D$3,$D173,$E173,$F173,BJ$3)</f>
        <v>21</v>
      </c>
      <c r="BK173" s="64">
        <f>_xll.DBRW($C$2,$BH$1,BH$2,$D$18,$D$3,$D173,$E173,$F173,BK$3)</f>
        <v>0</v>
      </c>
      <c r="BL173" s="58">
        <f>_xll.DBRW($C$2,$BH$1,BH$2,$D$18,$D$3,$D173,$E173,$F173,BL$3)</f>
        <v>0</v>
      </c>
      <c r="BM173" s="48">
        <f t="shared" si="56"/>
        <v>8</v>
      </c>
      <c r="BN173" s="39">
        <f>_xll.DBRW($C$2,$BN$1,BN$2,$D$18,$D$3,$D173,$E173,$F173,BN$3)</f>
        <v>0</v>
      </c>
      <c r="BO173" s="25" cm="1">
        <f t="array" ref="BO173">_xll.DBRW($E$2,BN$1,BN$2,$D$18,$D$3,$D173,$E173,$F173,$F$3,BO$3)</f>
        <v>0</v>
      </c>
      <c r="BP173" s="25">
        <f>_xll.DBRW($C$2,$BN$1,BN$2,$D$18,$D$3,$D173,$E173,$F173,BP$3)</f>
        <v>21</v>
      </c>
      <c r="BQ173" s="64">
        <f>_xll.DBRW($C$2,$BN$1,BN$2,$D$18,$D$3,$D173,$E173,$F173,BQ$3)</f>
        <v>0</v>
      </c>
      <c r="BR173" s="58">
        <f>_xll.DBRW($C$2,$BN$1,BN$2,$D$18,$D$3,$D173,$E173,$F173,BR$3)</f>
        <v>0</v>
      </c>
      <c r="BS173" s="48">
        <f t="shared" si="57"/>
        <v>-13</v>
      </c>
      <c r="BT173" s="39">
        <f>_xll.DBRW($C$2,$BT$1,BT$2,$D$18,$D$3,$D173,$E173,$F173,BT$3)</f>
        <v>0</v>
      </c>
      <c r="BU173" s="25" cm="1">
        <f t="array" ref="BU173">_xll.DBRW($E$2,BT$1,BT$2,$D$18,$D$3,$D173,$E173,$F173,$F$3,BU$3)</f>
        <v>0</v>
      </c>
      <c r="BV173" s="25">
        <f>_xll.DBRW($C$2,$BT$1,BT$2,$D$18,$D$3,$D173,$E173,$F173,BV$3)</f>
        <v>21</v>
      </c>
      <c r="BW173" s="64">
        <f>_xll.DBRW($C$2,$BT$1,BT$2,$D$18,$D$3,$D173,$E173,$F173,BW$3)</f>
        <v>0</v>
      </c>
      <c r="BX173" s="58">
        <f>_xll.DBRW($C$2,$BT$1,BT$2,$D$18,$D$3,$D173,$E173,$F173,BX$3)</f>
        <v>0</v>
      </c>
      <c r="BY173" s="48">
        <f t="shared" si="58"/>
        <v>-34</v>
      </c>
      <c r="BZ173" s="39">
        <f>_xll.DBRW($C$2,$BZ$1,BZ$2,$D$18,$D$3,$D173,$E173,$F173,BZ$3)</f>
        <v>0</v>
      </c>
      <c r="CA173" s="25" cm="1">
        <f t="array" ref="CA173">_xll.DBRW($E$2,BZ$1,BZ$2,$D$18,$D$3,$D173,$E173,$F173,$F$3,CA$3)</f>
        <v>0</v>
      </c>
      <c r="CB173" s="25">
        <f>_xll.DBRW($C$2,$BZ$1,BZ$2,$D$18,$D$3,$D173,$E173,$F173,CB$3)</f>
        <v>21</v>
      </c>
      <c r="CC173" s="64">
        <f>_xll.DBRW($C$2,$BZ$1,BZ$2,$D$18,$D$3,$D173,$E173,$F173,CC$3)</f>
        <v>0</v>
      </c>
      <c r="CD173" s="58">
        <f>_xll.DBRW($C$2,$BZ$1,BZ$2,$D$18,$D$3,$D173,$E173,$F173,CD$3)</f>
        <v>0</v>
      </c>
      <c r="CE173" s="48">
        <f t="shared" si="59"/>
        <v>-55</v>
      </c>
    </row>
    <row r="174" spans="1:83" s="23" customFormat="1" outlineLevel="1" thickBot="1" x14ac:dyDescent="0.3">
      <c r="A174" s="91" t="str">
        <f>IF(_xll.TM1RPTELISCONSOLIDATED($F$22,$F174),IF(_xll.TM1RPTELLEV($F$22,$F174)&lt;=5,_xll.TM1RPTELLEV($F$22,$F174),"Default"),"Leaf")</f>
        <v>Leaf</v>
      </c>
      <c r="B174" s="24" t="str">
        <f>_xll.DBRW("TM1-S1_DEV:}ElementAttributes_SP_SKU",$D174,B$1)</f>
        <v>Primary</v>
      </c>
      <c r="C174" s="24" t="str">
        <f>_xll.DBRW("TM1-S1_DEV:}ElementAttributes_SP_SKU",$D174,C$1)</f>
        <v>CHIPS</v>
      </c>
      <c r="D174" s="28" t="s">
        <v>336</v>
      </c>
      <c r="E174" s="28" t="s">
        <v>129</v>
      </c>
      <c r="F174" s="28" t="s">
        <v>153</v>
      </c>
      <c r="G174" s="4">
        <f>_xll.DBRW($C$2,$G$19,G$20,$D$18,$D$3,$D174,$E174,$F174,G$3)</f>
        <v>164</v>
      </c>
      <c r="H174" s="54">
        <f t="shared" si="48"/>
        <v>-57</v>
      </c>
      <c r="I174" s="4"/>
      <c r="J174" s="25">
        <f>_xll.DBRW($C$2,$J$1,J$2,$D$18,$D$3,$D174,$E174,$F174,J$3)</f>
        <v>107</v>
      </c>
      <c r="K174" s="39">
        <f>_xll.DBRW($C$2,$J$1,J$2,$D$18,$D$3,$D174,$E174,$F174,K$3)</f>
        <v>0</v>
      </c>
      <c r="L174" s="25">
        <f>_xll.DBRW($C$2,$J$1,J$2,$D$18,$D$3,$D174,$E174,$F174,L$3)</f>
        <v>0</v>
      </c>
      <c r="M174" s="25">
        <f>_xll.DBRW($C$2,$J$1,J$2,$D$18,$D$3,$D174,$E174,$F174,M$3)</f>
        <v>54</v>
      </c>
      <c r="N174" s="25">
        <f>_xll.DBRW($C$2,$J$1,J$2,$D$18,$D$3,$D174,$E174,$F174,N$3)</f>
        <v>15</v>
      </c>
      <c r="O174" s="64">
        <f>_xll.DBRW($C$2,$J$1,J$2,$D$18,$D$3,$D174,$E174,$F174,O$3)</f>
        <v>1</v>
      </c>
      <c r="P174" s="58">
        <f>_xll.DBRW($C$2,$J$1,J$2,$D$18,$D$3,$D174,$E174,$F174,P$3)</f>
        <v>0</v>
      </c>
      <c r="Q174" s="48">
        <f>_xll.DBRW($C$2,$J$1,J$2,$D$18,$D$3,$D174,$E174,$F174,Q$3)</f>
        <v>146</v>
      </c>
      <c r="R174" s="39">
        <f>_xll.DBRW($C$2,$R$1,R$2,$D$18,$D$3,$D174,$E174,$F174,R$3)</f>
        <v>0</v>
      </c>
      <c r="S174" s="25" cm="1">
        <f t="array" ref="S174">_xll.DBRW($E$2,R$1,R$2,$D$18,$D$3,$D174,$E174,$F174,$F$3,S$3)</f>
        <v>0</v>
      </c>
      <c r="T174" s="25">
        <f>_xll.DBRW($C$2,$R$1,R$2,$D$18,$D$3,$D174,$E174,$F174,T$3)</f>
        <v>0</v>
      </c>
      <c r="U174" s="64">
        <f>_xll.DBRW($C$2,$R$1,R$2,$D$18,$D$3,$D174,$E174,$F174,U$3)</f>
        <v>0</v>
      </c>
      <c r="V174" s="58">
        <f>_xll.DBRW($C$2,$R$1,R$2,$D$18,$D$3,$D174,$E174,$F174,V$3)</f>
        <v>0</v>
      </c>
      <c r="W174" s="48">
        <f t="shared" si="49"/>
        <v>146</v>
      </c>
      <c r="X174" s="39">
        <f>_xll.DBRW($C$2,$X$1,X$2,$D$18,$D$3,$D174,$E174,$F174,X$3)</f>
        <v>0</v>
      </c>
      <c r="Y174" s="25" cm="1">
        <f t="array" ref="Y174">_xll.DBRW($E$2,X$1,X$2,$D$18,$D$3,$D174,$E174,$F174,$F$3,Y$3)</f>
        <v>0</v>
      </c>
      <c r="Z174" s="25">
        <f>_xll.DBRW($C$2,$X$1,X$2,$D$18,$D$3,$D174,$E174,$F174,Z$3)</f>
        <v>13</v>
      </c>
      <c r="AA174" s="64">
        <f>_xll.DBRW($C$2,$X$1,X$2,$D$18,$D$3,$D174,$E174,$F174,AA$3)</f>
        <v>0</v>
      </c>
      <c r="AB174" s="58">
        <f>_xll.DBRW($C$2,$X$1,X$2,$D$18,$D$3,$D174,$E174,$F174,AB$3)</f>
        <v>0</v>
      </c>
      <c r="AC174" s="48">
        <f t="shared" si="50"/>
        <v>133</v>
      </c>
      <c r="AD174" s="39">
        <f>_xll.DBRW($C$2,$AD$1,AD$2,$D$18,$D$3,$D174,$E174,$F174,AD$3)</f>
        <v>0</v>
      </c>
      <c r="AE174" s="25" cm="1">
        <f t="array" ref="AE174">_xll.DBRW($E$2,AD$1,AD$2,$D$18,$D$3,$D174,$E174,$F174,$F$3,AE$3)</f>
        <v>0</v>
      </c>
      <c r="AF174" s="25">
        <f>_xll.DBRW($C$2,$AD$1,AD$2,$D$18,$D$3,$D174,$E174,$F174,AF$3)</f>
        <v>13</v>
      </c>
      <c r="AG174" s="64">
        <f>_xll.DBRW($C$2,$AD$1,AD$2,$D$18,$D$3,$D174,$E174,$F174,AG$3)</f>
        <v>0</v>
      </c>
      <c r="AH174" s="58">
        <f>_xll.DBRW($C$2,$AD$1,AD$2,$D$18,$D$3,$D174,$E174,$F174,AH$3)</f>
        <v>0</v>
      </c>
      <c r="AI174" s="48">
        <f t="shared" si="51"/>
        <v>120</v>
      </c>
      <c r="AJ174" s="39">
        <f>_xll.DBRW($C$2,$AJ$1,AJ$2,$D$18,$D$3,$D174,$E174,$F174,AJ$3)</f>
        <v>0</v>
      </c>
      <c r="AK174" s="25" cm="1">
        <f t="array" ref="AK174">_xll.DBRW($E$2,AJ$1,AJ$2,$D$18,$D$3,$D174,$E174,$F174,$F$3,AK$3)</f>
        <v>0</v>
      </c>
      <c r="AL174" s="25">
        <f>_xll.DBRW($C$2,$AJ$1,AJ$2,$D$18,$D$3,$D174,$E174,$F174,AL$3)</f>
        <v>13</v>
      </c>
      <c r="AM174" s="64">
        <f>_xll.DBRW($C$2,$AJ$1,AJ$2,$D$18,$D$3,$D174,$E174,$F174,AM$3)</f>
        <v>0</v>
      </c>
      <c r="AN174" s="58">
        <f>_xll.DBRW($C$2,$AJ$1,AJ$2,$D$18,$D$3,$D174,$E174,$F174,AN$3)</f>
        <v>0</v>
      </c>
      <c r="AO174" s="48">
        <f t="shared" si="52"/>
        <v>107</v>
      </c>
      <c r="AP174" s="39">
        <f>_xll.DBRW($C$2,$AP$1,AP$2,$D$18,$D$3,$D174,$E174,$F174,AP$3)</f>
        <v>0</v>
      </c>
      <c r="AQ174" s="25" cm="1">
        <f t="array" ref="AQ174">_xll.DBRW($E$2,AP$1,AP$2,$D$18,$D$3,$D174,$E174,$F174,$F$3,AQ$3)</f>
        <v>0</v>
      </c>
      <c r="AR174" s="25">
        <f>_xll.DBRW($C$2,$AP$1,AP$2,$D$18,$D$3,$D174,$E174,$F174,AR$3)</f>
        <v>13</v>
      </c>
      <c r="AS174" s="64">
        <f>_xll.DBRW($C$2,$AP$1,AP$2,$D$18,$D$3,$D174,$E174,$F174,AS$3)</f>
        <v>0</v>
      </c>
      <c r="AT174" s="58">
        <f>_xll.DBRW($C$2,$AP$1,AP$2,$D$18,$D$3,$D174,$E174,$F174,AT$3)</f>
        <v>0</v>
      </c>
      <c r="AU174" s="48">
        <f t="shared" si="53"/>
        <v>94</v>
      </c>
      <c r="AV174" s="39">
        <f>_xll.DBRW($C$2,$AV$1,AV$2,$D$18,$D$3,$D174,$E174,$F174,AV$3)</f>
        <v>0</v>
      </c>
      <c r="AW174" s="25" cm="1">
        <f t="array" ref="AW174">_xll.DBRW($E$2,AV$1,AV$2,$D$18,$D$3,$D174,$E174,$F174,$F$3,AW$3)</f>
        <v>0</v>
      </c>
      <c r="AX174" s="25">
        <f>_xll.DBRW($C$2,$AV$1,AV$2,$D$18,$D$3,$D174,$E174,$F174,AX$3)</f>
        <v>13</v>
      </c>
      <c r="AY174" s="64">
        <f>_xll.DBRW($C$2,$AV$1,AV$2,$D$18,$D$3,$D174,$E174,$F174,AY$3)</f>
        <v>0</v>
      </c>
      <c r="AZ174" s="58">
        <f>_xll.DBRW($C$2,$AV$1,AV$2,$D$18,$D$3,$D174,$E174,$F174,AZ$3)</f>
        <v>0</v>
      </c>
      <c r="BA174" s="48">
        <f t="shared" si="54"/>
        <v>81</v>
      </c>
      <c r="BB174" s="39">
        <f>_xll.DBRW($C$2,$BB$1,BB$2,$D$18,$D$3,$D174,$E174,$F174,BB$3)</f>
        <v>0</v>
      </c>
      <c r="BC174" s="25" cm="1">
        <f t="array" ref="BC174">_xll.DBRW($E$2,BB$1,BB$2,$D$18,$D$3,$D174,$E174,$F174,$F$3,BC$3)</f>
        <v>0</v>
      </c>
      <c r="BD174" s="25">
        <f>_xll.DBRW($C$2,$BB$1,BB$2,$D$18,$D$3,$D174,$E174,$F174,BD$3)</f>
        <v>13</v>
      </c>
      <c r="BE174" s="64">
        <f>_xll.DBRW($C$2,$BB$1,BB$2,$D$18,$D$3,$D174,$E174,$F174,BE$3)</f>
        <v>0</v>
      </c>
      <c r="BF174" s="58">
        <f>_xll.DBRW($C$2,$BB$1,BB$2,$D$18,$D$3,$D174,$E174,$F174,BF$3)</f>
        <v>0</v>
      </c>
      <c r="BG174" s="48">
        <f t="shared" si="55"/>
        <v>68</v>
      </c>
      <c r="BH174" s="39">
        <f>_xll.DBRW($C$2,$BH$1,BH$2,$D$18,$D$3,$D174,$E174,$F174,BH$3)</f>
        <v>0</v>
      </c>
      <c r="BI174" s="25" cm="1">
        <f t="array" ref="BI174">_xll.DBRW($E$2,BH$1,BH$2,$D$18,$D$3,$D174,$E174,$F174,$F$3,BI$3)</f>
        <v>0</v>
      </c>
      <c r="BJ174" s="25">
        <f>_xll.DBRW($C$2,$BH$1,BH$2,$D$18,$D$3,$D174,$E174,$F174,BJ$3)</f>
        <v>13</v>
      </c>
      <c r="BK174" s="64">
        <f>_xll.DBRW($C$2,$BH$1,BH$2,$D$18,$D$3,$D174,$E174,$F174,BK$3)</f>
        <v>0</v>
      </c>
      <c r="BL174" s="58">
        <f>_xll.DBRW($C$2,$BH$1,BH$2,$D$18,$D$3,$D174,$E174,$F174,BL$3)</f>
        <v>0</v>
      </c>
      <c r="BM174" s="48">
        <f t="shared" si="56"/>
        <v>55</v>
      </c>
      <c r="BN174" s="39">
        <f>_xll.DBRW($C$2,$BN$1,BN$2,$D$18,$D$3,$D174,$E174,$F174,BN$3)</f>
        <v>0</v>
      </c>
      <c r="BO174" s="25" cm="1">
        <f t="array" ref="BO174">_xll.DBRW($E$2,BN$1,BN$2,$D$18,$D$3,$D174,$E174,$F174,$F$3,BO$3)</f>
        <v>0</v>
      </c>
      <c r="BP174" s="25">
        <f>_xll.DBRW($C$2,$BN$1,BN$2,$D$18,$D$3,$D174,$E174,$F174,BP$3)</f>
        <v>13</v>
      </c>
      <c r="BQ174" s="64">
        <f>_xll.DBRW($C$2,$BN$1,BN$2,$D$18,$D$3,$D174,$E174,$F174,BQ$3)</f>
        <v>0</v>
      </c>
      <c r="BR174" s="58">
        <f>_xll.DBRW($C$2,$BN$1,BN$2,$D$18,$D$3,$D174,$E174,$F174,BR$3)</f>
        <v>0</v>
      </c>
      <c r="BS174" s="48">
        <f t="shared" si="57"/>
        <v>42</v>
      </c>
      <c r="BT174" s="39">
        <f>_xll.DBRW($C$2,$BT$1,BT$2,$D$18,$D$3,$D174,$E174,$F174,BT$3)</f>
        <v>0</v>
      </c>
      <c r="BU174" s="25" cm="1">
        <f t="array" ref="BU174">_xll.DBRW($E$2,BT$1,BT$2,$D$18,$D$3,$D174,$E174,$F174,$F$3,BU$3)</f>
        <v>0</v>
      </c>
      <c r="BV174" s="25">
        <f>_xll.DBRW($C$2,$BT$1,BT$2,$D$18,$D$3,$D174,$E174,$F174,BV$3)</f>
        <v>13</v>
      </c>
      <c r="BW174" s="64">
        <f>_xll.DBRW($C$2,$BT$1,BT$2,$D$18,$D$3,$D174,$E174,$F174,BW$3)</f>
        <v>0</v>
      </c>
      <c r="BX174" s="58">
        <f>_xll.DBRW($C$2,$BT$1,BT$2,$D$18,$D$3,$D174,$E174,$F174,BX$3)</f>
        <v>0</v>
      </c>
      <c r="BY174" s="48">
        <f t="shared" si="58"/>
        <v>29</v>
      </c>
      <c r="BZ174" s="39">
        <f>_xll.DBRW($C$2,$BZ$1,BZ$2,$D$18,$D$3,$D174,$E174,$F174,BZ$3)</f>
        <v>0</v>
      </c>
      <c r="CA174" s="25" cm="1">
        <f t="array" ref="CA174">_xll.DBRW($E$2,BZ$1,BZ$2,$D$18,$D$3,$D174,$E174,$F174,$F$3,CA$3)</f>
        <v>0</v>
      </c>
      <c r="CB174" s="25">
        <f>_xll.DBRW($C$2,$BZ$1,BZ$2,$D$18,$D$3,$D174,$E174,$F174,CB$3)</f>
        <v>13</v>
      </c>
      <c r="CC174" s="64">
        <f>_xll.DBRW($C$2,$BZ$1,BZ$2,$D$18,$D$3,$D174,$E174,$F174,CC$3)</f>
        <v>0</v>
      </c>
      <c r="CD174" s="58">
        <f>_xll.DBRW($C$2,$BZ$1,BZ$2,$D$18,$D$3,$D174,$E174,$F174,CD$3)</f>
        <v>0</v>
      </c>
      <c r="CE174" s="48">
        <f t="shared" si="59"/>
        <v>16</v>
      </c>
    </row>
    <row r="175" spans="1:83" s="23" customFormat="1" outlineLevel="1" thickBot="1" x14ac:dyDescent="0.3">
      <c r="A175" s="91" t="str">
        <f>IF(_xll.TM1RPTELISCONSOLIDATED($F$22,$F175),IF(_xll.TM1RPTELLEV($F$22,$F175)&lt;=5,_xll.TM1RPTELLEV($F$22,$F175),"Default"),"Leaf")</f>
        <v>Leaf</v>
      </c>
      <c r="B175" s="24" t="str">
        <f>_xll.DBRW("TM1-S1_DEV:}ElementAttributes_SP_SKU",$D175,B$1)</f>
        <v>Primary</v>
      </c>
      <c r="C175" s="24" t="str">
        <f>_xll.DBRW("TM1-S1_DEV:}ElementAttributes_SP_SKU",$D175,C$1)</f>
        <v>INGREDIENT</v>
      </c>
      <c r="D175" s="28" t="s">
        <v>159</v>
      </c>
      <c r="E175" s="28" t="s">
        <v>301</v>
      </c>
      <c r="F175" s="28" t="s">
        <v>98</v>
      </c>
      <c r="G175" s="4">
        <f>_xll.DBRW($C$2,$G$19,G$20,$D$18,$D$3,$D175,$E175,$F175,G$3)</f>
        <v>27</v>
      </c>
      <c r="H175" s="54">
        <f t="shared" si="48"/>
        <v>-3</v>
      </c>
      <c r="I175" s="4"/>
      <c r="J175" s="25">
        <f>_xll.DBRW($C$2,$J$1,J$2,$D$18,$D$3,$D175,$E175,$F175,J$3)</f>
        <v>24</v>
      </c>
      <c r="K175" s="39">
        <f>_xll.DBRW($C$2,$J$1,J$2,$D$18,$D$3,$D175,$E175,$F175,K$3)</f>
        <v>0</v>
      </c>
      <c r="L175" s="25">
        <f>_xll.DBRW($C$2,$J$1,J$2,$D$18,$D$3,$D175,$E175,$F175,L$3)</f>
        <v>0</v>
      </c>
      <c r="M175" s="25">
        <f>_xll.DBRW($C$2,$J$1,J$2,$D$18,$D$3,$D175,$E175,$F175,M$3)</f>
        <v>0</v>
      </c>
      <c r="N175" s="25">
        <f>_xll.DBRW($C$2,$J$1,J$2,$D$18,$D$3,$D175,$E175,$F175,N$3)</f>
        <v>0</v>
      </c>
      <c r="O175" s="64">
        <f>_xll.DBRW($C$2,$J$1,J$2,$D$18,$D$3,$D175,$E175,$F175,O$3)</f>
        <v>0</v>
      </c>
      <c r="P175" s="58">
        <f>_xll.DBRW($C$2,$J$1,J$2,$D$18,$D$3,$D175,$E175,$F175,P$3)</f>
        <v>0</v>
      </c>
      <c r="Q175" s="48">
        <f>_xll.DBRW($C$2,$J$1,J$2,$D$18,$D$3,$D175,$E175,$F175,Q$3)</f>
        <v>24</v>
      </c>
      <c r="R175" s="39">
        <f>_xll.DBRW($C$2,$R$1,R$2,$D$18,$D$3,$D175,$E175,$F175,R$3)</f>
        <v>0</v>
      </c>
      <c r="S175" s="25" cm="1">
        <f t="array" ref="S175">_xll.DBRW($E$2,R$1,R$2,$D$18,$D$3,$D175,$E175,$F175,$F$3,S$3)</f>
        <v>0</v>
      </c>
      <c r="T175" s="25">
        <f>_xll.DBRW($C$2,$R$1,R$2,$D$18,$D$3,$D175,$E175,$F175,T$3)</f>
        <v>0</v>
      </c>
      <c r="U175" s="64">
        <f>_xll.DBRW($C$2,$R$1,R$2,$D$18,$D$3,$D175,$E175,$F175,U$3)</f>
        <v>0</v>
      </c>
      <c r="V175" s="58">
        <f>_xll.DBRW($C$2,$R$1,R$2,$D$18,$D$3,$D175,$E175,$F175,V$3)</f>
        <v>0</v>
      </c>
      <c r="W175" s="48">
        <f t="shared" si="49"/>
        <v>24</v>
      </c>
      <c r="X175" s="39">
        <f>_xll.DBRW($C$2,$X$1,X$2,$D$18,$D$3,$D175,$E175,$F175,X$3)</f>
        <v>0</v>
      </c>
      <c r="Y175" s="25" cm="1">
        <f t="array" ref="Y175">_xll.DBRW($E$2,X$1,X$2,$D$18,$D$3,$D175,$E175,$F175,$F$3,Y$3)</f>
        <v>0</v>
      </c>
      <c r="Z175" s="25">
        <f>_xll.DBRW($C$2,$X$1,X$2,$D$18,$D$3,$D175,$E175,$F175,Z$3)</f>
        <v>1</v>
      </c>
      <c r="AA175" s="64">
        <f>_xll.DBRW($C$2,$X$1,X$2,$D$18,$D$3,$D175,$E175,$F175,AA$3)</f>
        <v>0</v>
      </c>
      <c r="AB175" s="58">
        <f>_xll.DBRW($C$2,$X$1,X$2,$D$18,$D$3,$D175,$E175,$F175,AB$3)</f>
        <v>0</v>
      </c>
      <c r="AC175" s="48">
        <f t="shared" si="50"/>
        <v>23</v>
      </c>
      <c r="AD175" s="39">
        <f>_xll.DBRW($C$2,$AD$1,AD$2,$D$18,$D$3,$D175,$E175,$F175,AD$3)</f>
        <v>0</v>
      </c>
      <c r="AE175" s="25" cm="1">
        <f t="array" ref="AE175">_xll.DBRW($E$2,AD$1,AD$2,$D$18,$D$3,$D175,$E175,$F175,$F$3,AE$3)</f>
        <v>0</v>
      </c>
      <c r="AF175" s="25">
        <f>_xll.DBRW($C$2,$AD$1,AD$2,$D$18,$D$3,$D175,$E175,$F175,AF$3)</f>
        <v>1</v>
      </c>
      <c r="AG175" s="64">
        <f>_xll.DBRW($C$2,$AD$1,AD$2,$D$18,$D$3,$D175,$E175,$F175,AG$3)</f>
        <v>0</v>
      </c>
      <c r="AH175" s="58">
        <f>_xll.DBRW($C$2,$AD$1,AD$2,$D$18,$D$3,$D175,$E175,$F175,AH$3)</f>
        <v>0</v>
      </c>
      <c r="AI175" s="48">
        <f t="shared" si="51"/>
        <v>22</v>
      </c>
      <c r="AJ175" s="39">
        <f>_xll.DBRW($C$2,$AJ$1,AJ$2,$D$18,$D$3,$D175,$E175,$F175,AJ$3)</f>
        <v>0</v>
      </c>
      <c r="AK175" s="25" cm="1">
        <f t="array" ref="AK175">_xll.DBRW($E$2,AJ$1,AJ$2,$D$18,$D$3,$D175,$E175,$F175,$F$3,AK$3)</f>
        <v>0</v>
      </c>
      <c r="AL175" s="25">
        <f>_xll.DBRW($C$2,$AJ$1,AJ$2,$D$18,$D$3,$D175,$E175,$F175,AL$3)</f>
        <v>1</v>
      </c>
      <c r="AM175" s="64">
        <f>_xll.DBRW($C$2,$AJ$1,AJ$2,$D$18,$D$3,$D175,$E175,$F175,AM$3)</f>
        <v>0</v>
      </c>
      <c r="AN175" s="58">
        <f>_xll.DBRW($C$2,$AJ$1,AJ$2,$D$18,$D$3,$D175,$E175,$F175,AN$3)</f>
        <v>0</v>
      </c>
      <c r="AO175" s="48">
        <f t="shared" si="52"/>
        <v>21</v>
      </c>
      <c r="AP175" s="39">
        <f>_xll.DBRW($C$2,$AP$1,AP$2,$D$18,$D$3,$D175,$E175,$F175,AP$3)</f>
        <v>0</v>
      </c>
      <c r="AQ175" s="25" cm="1">
        <f t="array" ref="AQ175">_xll.DBRW($E$2,AP$1,AP$2,$D$18,$D$3,$D175,$E175,$F175,$F$3,AQ$3)</f>
        <v>0</v>
      </c>
      <c r="AR175" s="25">
        <f>_xll.DBRW($C$2,$AP$1,AP$2,$D$18,$D$3,$D175,$E175,$F175,AR$3)</f>
        <v>1</v>
      </c>
      <c r="AS175" s="64">
        <f>_xll.DBRW($C$2,$AP$1,AP$2,$D$18,$D$3,$D175,$E175,$F175,AS$3)</f>
        <v>0</v>
      </c>
      <c r="AT175" s="58">
        <f>_xll.DBRW($C$2,$AP$1,AP$2,$D$18,$D$3,$D175,$E175,$F175,AT$3)</f>
        <v>0</v>
      </c>
      <c r="AU175" s="48">
        <f t="shared" si="53"/>
        <v>20</v>
      </c>
      <c r="AV175" s="39">
        <f>_xll.DBRW($C$2,$AV$1,AV$2,$D$18,$D$3,$D175,$E175,$F175,AV$3)</f>
        <v>0</v>
      </c>
      <c r="AW175" s="25" cm="1">
        <f t="array" ref="AW175">_xll.DBRW($E$2,AV$1,AV$2,$D$18,$D$3,$D175,$E175,$F175,$F$3,AW$3)</f>
        <v>0</v>
      </c>
      <c r="AX175" s="25">
        <f>_xll.DBRW($C$2,$AV$1,AV$2,$D$18,$D$3,$D175,$E175,$F175,AX$3)</f>
        <v>1</v>
      </c>
      <c r="AY175" s="64">
        <f>_xll.DBRW($C$2,$AV$1,AV$2,$D$18,$D$3,$D175,$E175,$F175,AY$3)</f>
        <v>0</v>
      </c>
      <c r="AZ175" s="58">
        <f>_xll.DBRW($C$2,$AV$1,AV$2,$D$18,$D$3,$D175,$E175,$F175,AZ$3)</f>
        <v>0</v>
      </c>
      <c r="BA175" s="48">
        <f t="shared" si="54"/>
        <v>19</v>
      </c>
      <c r="BB175" s="39">
        <f>_xll.DBRW($C$2,$BB$1,BB$2,$D$18,$D$3,$D175,$E175,$F175,BB$3)</f>
        <v>0</v>
      </c>
      <c r="BC175" s="25" cm="1">
        <f t="array" ref="BC175">_xll.DBRW($E$2,BB$1,BB$2,$D$18,$D$3,$D175,$E175,$F175,$F$3,BC$3)</f>
        <v>0</v>
      </c>
      <c r="BD175" s="25">
        <f>_xll.DBRW($C$2,$BB$1,BB$2,$D$18,$D$3,$D175,$E175,$F175,BD$3)</f>
        <v>1</v>
      </c>
      <c r="BE175" s="64">
        <f>_xll.DBRW($C$2,$BB$1,BB$2,$D$18,$D$3,$D175,$E175,$F175,BE$3)</f>
        <v>0</v>
      </c>
      <c r="BF175" s="58">
        <f>_xll.DBRW($C$2,$BB$1,BB$2,$D$18,$D$3,$D175,$E175,$F175,BF$3)</f>
        <v>0</v>
      </c>
      <c r="BG175" s="48">
        <f t="shared" si="55"/>
        <v>18</v>
      </c>
      <c r="BH175" s="39">
        <f>_xll.DBRW($C$2,$BH$1,BH$2,$D$18,$D$3,$D175,$E175,$F175,BH$3)</f>
        <v>0</v>
      </c>
      <c r="BI175" s="25" cm="1">
        <f t="array" ref="BI175">_xll.DBRW($E$2,BH$1,BH$2,$D$18,$D$3,$D175,$E175,$F175,$F$3,BI$3)</f>
        <v>0</v>
      </c>
      <c r="BJ175" s="25">
        <f>_xll.DBRW($C$2,$BH$1,BH$2,$D$18,$D$3,$D175,$E175,$F175,BJ$3)</f>
        <v>1</v>
      </c>
      <c r="BK175" s="64">
        <f>_xll.DBRW($C$2,$BH$1,BH$2,$D$18,$D$3,$D175,$E175,$F175,BK$3)</f>
        <v>0</v>
      </c>
      <c r="BL175" s="58">
        <f>_xll.DBRW($C$2,$BH$1,BH$2,$D$18,$D$3,$D175,$E175,$F175,BL$3)</f>
        <v>0</v>
      </c>
      <c r="BM175" s="48">
        <f t="shared" si="56"/>
        <v>17</v>
      </c>
      <c r="BN175" s="39">
        <f>_xll.DBRW($C$2,$BN$1,BN$2,$D$18,$D$3,$D175,$E175,$F175,BN$3)</f>
        <v>0</v>
      </c>
      <c r="BO175" s="25" cm="1">
        <f t="array" ref="BO175">_xll.DBRW($E$2,BN$1,BN$2,$D$18,$D$3,$D175,$E175,$F175,$F$3,BO$3)</f>
        <v>0</v>
      </c>
      <c r="BP175" s="25">
        <f>_xll.DBRW($C$2,$BN$1,BN$2,$D$18,$D$3,$D175,$E175,$F175,BP$3)</f>
        <v>1</v>
      </c>
      <c r="BQ175" s="64">
        <f>_xll.DBRW($C$2,$BN$1,BN$2,$D$18,$D$3,$D175,$E175,$F175,BQ$3)</f>
        <v>0</v>
      </c>
      <c r="BR175" s="58">
        <f>_xll.DBRW($C$2,$BN$1,BN$2,$D$18,$D$3,$D175,$E175,$F175,BR$3)</f>
        <v>0</v>
      </c>
      <c r="BS175" s="48">
        <f t="shared" si="57"/>
        <v>16</v>
      </c>
      <c r="BT175" s="39">
        <f>_xll.DBRW($C$2,$BT$1,BT$2,$D$18,$D$3,$D175,$E175,$F175,BT$3)</f>
        <v>0</v>
      </c>
      <c r="BU175" s="25" cm="1">
        <f t="array" ref="BU175">_xll.DBRW($E$2,BT$1,BT$2,$D$18,$D$3,$D175,$E175,$F175,$F$3,BU$3)</f>
        <v>0</v>
      </c>
      <c r="BV175" s="25">
        <f>_xll.DBRW($C$2,$BT$1,BT$2,$D$18,$D$3,$D175,$E175,$F175,BV$3)</f>
        <v>1</v>
      </c>
      <c r="BW175" s="64">
        <f>_xll.DBRW($C$2,$BT$1,BT$2,$D$18,$D$3,$D175,$E175,$F175,BW$3)</f>
        <v>0</v>
      </c>
      <c r="BX175" s="58">
        <f>_xll.DBRW($C$2,$BT$1,BT$2,$D$18,$D$3,$D175,$E175,$F175,BX$3)</f>
        <v>0</v>
      </c>
      <c r="BY175" s="48">
        <f t="shared" si="58"/>
        <v>15</v>
      </c>
      <c r="BZ175" s="39">
        <f>_xll.DBRW($C$2,$BZ$1,BZ$2,$D$18,$D$3,$D175,$E175,$F175,BZ$3)</f>
        <v>0</v>
      </c>
      <c r="CA175" s="25" cm="1">
        <f t="array" ref="CA175">_xll.DBRW($E$2,BZ$1,BZ$2,$D$18,$D$3,$D175,$E175,$F175,$F$3,CA$3)</f>
        <v>0</v>
      </c>
      <c r="CB175" s="25">
        <f>_xll.DBRW($C$2,$BZ$1,BZ$2,$D$18,$D$3,$D175,$E175,$F175,CB$3)</f>
        <v>1</v>
      </c>
      <c r="CC175" s="64">
        <f>_xll.DBRW($C$2,$BZ$1,BZ$2,$D$18,$D$3,$D175,$E175,$F175,CC$3)</f>
        <v>0</v>
      </c>
      <c r="CD175" s="58">
        <f>_xll.DBRW($C$2,$BZ$1,BZ$2,$D$18,$D$3,$D175,$E175,$F175,CD$3)</f>
        <v>0</v>
      </c>
      <c r="CE175" s="48">
        <f t="shared" si="59"/>
        <v>14</v>
      </c>
    </row>
    <row r="176" spans="1:83" s="23" customFormat="1" outlineLevel="1" thickBot="1" x14ac:dyDescent="0.3">
      <c r="A176" s="91" t="str">
        <f>IF(_xll.TM1RPTELISCONSOLIDATED($F$22,$F176),IF(_xll.TM1RPTELLEV($F$22,$F176)&lt;=5,_xll.TM1RPTELLEV($F$22,$F176),"Default"),"Leaf")</f>
        <v>Leaf</v>
      </c>
      <c r="B176" s="24" t="str">
        <f>_xll.DBRW("TM1-S1_DEV:}ElementAttributes_SP_SKU",$D176,B$1)</f>
        <v>Primary</v>
      </c>
      <c r="C176" s="24" t="str">
        <f>_xll.DBRW("TM1-S1_DEV:}ElementAttributes_SP_SKU",$D176,C$1)</f>
        <v>CHEESE</v>
      </c>
      <c r="D176" s="28" t="s">
        <v>160</v>
      </c>
      <c r="E176" s="28" t="s">
        <v>130</v>
      </c>
      <c r="F176" s="28" t="s">
        <v>154</v>
      </c>
      <c r="G176" s="4">
        <f>_xll.DBRW($C$2,$G$19,G$20,$D$18,$D$3,$D176,$E176,$F176,G$3)</f>
        <v>229</v>
      </c>
      <c r="H176" s="54">
        <f t="shared" si="48"/>
        <v>45</v>
      </c>
      <c r="I176" s="4"/>
      <c r="J176" s="25">
        <f>_xll.DBRW($C$2,$J$1,J$2,$D$18,$D$3,$D176,$E176,$F176,J$3)</f>
        <v>274</v>
      </c>
      <c r="K176" s="39">
        <f>_xll.DBRW($C$2,$J$1,J$2,$D$18,$D$3,$D176,$E176,$F176,K$3)</f>
        <v>0</v>
      </c>
      <c r="L176" s="25">
        <f>_xll.DBRW($C$2,$J$1,J$2,$D$18,$D$3,$D176,$E176,$F176,L$3)</f>
        <v>0</v>
      </c>
      <c r="M176" s="25">
        <f>_xll.DBRW($C$2,$J$1,J$2,$D$18,$D$3,$D176,$E176,$F176,M$3)</f>
        <v>48</v>
      </c>
      <c r="N176" s="25">
        <f>_xll.DBRW($C$2,$J$1,J$2,$D$18,$D$3,$D176,$E176,$F176,N$3)</f>
        <v>0</v>
      </c>
      <c r="O176" s="64">
        <f>_xll.DBRW($C$2,$J$1,J$2,$D$18,$D$3,$D176,$E176,$F176,O$3)</f>
        <v>0</v>
      </c>
      <c r="P176" s="58">
        <f>_xll.DBRW($C$2,$J$1,J$2,$D$18,$D$3,$D176,$E176,$F176,P$3)</f>
        <v>0</v>
      </c>
      <c r="Q176" s="48">
        <f>_xll.DBRW($C$2,$J$1,J$2,$D$18,$D$3,$D176,$E176,$F176,Q$3)</f>
        <v>322</v>
      </c>
      <c r="R176" s="39">
        <f>_xll.DBRW($C$2,$R$1,R$2,$D$18,$D$3,$D176,$E176,$F176,R$3)</f>
        <v>0</v>
      </c>
      <c r="S176" s="25" cm="1">
        <f t="array" ref="S176">_xll.DBRW($E$2,R$1,R$2,$D$18,$D$3,$D176,$E176,$F176,$F$3,S$3)</f>
        <v>56</v>
      </c>
      <c r="T176" s="25">
        <f>_xll.DBRW($C$2,$R$1,R$2,$D$18,$D$3,$D176,$E176,$F176,T$3)</f>
        <v>0</v>
      </c>
      <c r="U176" s="64">
        <f>_xll.DBRW($C$2,$R$1,R$2,$D$18,$D$3,$D176,$E176,$F176,U$3)</f>
        <v>0</v>
      </c>
      <c r="V176" s="58">
        <f>_xll.DBRW($C$2,$R$1,R$2,$D$18,$D$3,$D176,$E176,$F176,V$3)</f>
        <v>0</v>
      </c>
      <c r="W176" s="48">
        <f t="shared" si="49"/>
        <v>378</v>
      </c>
      <c r="X176" s="39">
        <f>_xll.DBRW($C$2,$X$1,X$2,$D$18,$D$3,$D176,$E176,$F176,X$3)</f>
        <v>0</v>
      </c>
      <c r="Y176" s="25" cm="1">
        <f t="array" ref="Y176">_xll.DBRW($E$2,X$1,X$2,$D$18,$D$3,$D176,$E176,$F176,$F$3,Y$3)</f>
        <v>40</v>
      </c>
      <c r="Z176" s="25">
        <f>_xll.DBRW($C$2,$X$1,X$2,$D$18,$D$3,$D176,$E176,$F176,Z$3)</f>
        <v>1</v>
      </c>
      <c r="AA176" s="64">
        <f>_xll.DBRW($C$2,$X$1,X$2,$D$18,$D$3,$D176,$E176,$F176,AA$3)</f>
        <v>0</v>
      </c>
      <c r="AB176" s="58">
        <f>_xll.DBRW($C$2,$X$1,X$2,$D$18,$D$3,$D176,$E176,$F176,AB$3)</f>
        <v>0</v>
      </c>
      <c r="AC176" s="48">
        <f t="shared" si="50"/>
        <v>417</v>
      </c>
      <c r="AD176" s="39">
        <f>_xll.DBRW($C$2,$AD$1,AD$2,$D$18,$D$3,$D176,$E176,$F176,AD$3)</f>
        <v>0</v>
      </c>
      <c r="AE176" s="25" cm="1">
        <f t="array" ref="AE176">_xll.DBRW($E$2,AD$1,AD$2,$D$18,$D$3,$D176,$E176,$F176,$F$3,AE$3)</f>
        <v>0</v>
      </c>
      <c r="AF176" s="25">
        <f>_xll.DBRW($C$2,$AD$1,AD$2,$D$18,$D$3,$D176,$E176,$F176,AF$3)</f>
        <v>1</v>
      </c>
      <c r="AG176" s="64">
        <f>_xll.DBRW($C$2,$AD$1,AD$2,$D$18,$D$3,$D176,$E176,$F176,AG$3)</f>
        <v>0</v>
      </c>
      <c r="AH176" s="58">
        <f>_xll.DBRW($C$2,$AD$1,AD$2,$D$18,$D$3,$D176,$E176,$F176,AH$3)</f>
        <v>0</v>
      </c>
      <c r="AI176" s="48">
        <f t="shared" si="51"/>
        <v>416</v>
      </c>
      <c r="AJ176" s="39">
        <f>_xll.DBRW($C$2,$AJ$1,AJ$2,$D$18,$D$3,$D176,$E176,$F176,AJ$3)</f>
        <v>0</v>
      </c>
      <c r="AK176" s="25" cm="1">
        <f t="array" ref="AK176">_xll.DBRW($E$2,AJ$1,AJ$2,$D$18,$D$3,$D176,$E176,$F176,$F$3,AK$3)</f>
        <v>0</v>
      </c>
      <c r="AL176" s="25">
        <f>_xll.DBRW($C$2,$AJ$1,AJ$2,$D$18,$D$3,$D176,$E176,$F176,AL$3)</f>
        <v>1</v>
      </c>
      <c r="AM176" s="64">
        <f>_xll.DBRW($C$2,$AJ$1,AJ$2,$D$18,$D$3,$D176,$E176,$F176,AM$3)</f>
        <v>0</v>
      </c>
      <c r="AN176" s="58">
        <f>_xll.DBRW($C$2,$AJ$1,AJ$2,$D$18,$D$3,$D176,$E176,$F176,AN$3)</f>
        <v>0</v>
      </c>
      <c r="AO176" s="48">
        <f t="shared" si="52"/>
        <v>415</v>
      </c>
      <c r="AP176" s="39">
        <f>_xll.DBRW($C$2,$AP$1,AP$2,$D$18,$D$3,$D176,$E176,$F176,AP$3)</f>
        <v>0</v>
      </c>
      <c r="AQ176" s="25" cm="1">
        <f t="array" ref="AQ176">_xll.DBRW($E$2,AP$1,AP$2,$D$18,$D$3,$D176,$E176,$F176,$F$3,AQ$3)</f>
        <v>0</v>
      </c>
      <c r="AR176" s="25">
        <f>_xll.DBRW($C$2,$AP$1,AP$2,$D$18,$D$3,$D176,$E176,$F176,AR$3)</f>
        <v>1</v>
      </c>
      <c r="AS176" s="64">
        <f>_xll.DBRW($C$2,$AP$1,AP$2,$D$18,$D$3,$D176,$E176,$F176,AS$3)</f>
        <v>0</v>
      </c>
      <c r="AT176" s="58">
        <f>_xll.DBRW($C$2,$AP$1,AP$2,$D$18,$D$3,$D176,$E176,$F176,AT$3)</f>
        <v>0</v>
      </c>
      <c r="AU176" s="48">
        <f t="shared" si="53"/>
        <v>414</v>
      </c>
      <c r="AV176" s="39">
        <f>_xll.DBRW($C$2,$AV$1,AV$2,$D$18,$D$3,$D176,$E176,$F176,AV$3)</f>
        <v>0</v>
      </c>
      <c r="AW176" s="25" cm="1">
        <f t="array" ref="AW176">_xll.DBRW($E$2,AV$1,AV$2,$D$18,$D$3,$D176,$E176,$F176,$F$3,AW$3)</f>
        <v>0</v>
      </c>
      <c r="AX176" s="25">
        <f>_xll.DBRW($C$2,$AV$1,AV$2,$D$18,$D$3,$D176,$E176,$F176,AX$3)</f>
        <v>1</v>
      </c>
      <c r="AY176" s="64">
        <f>_xll.DBRW($C$2,$AV$1,AV$2,$D$18,$D$3,$D176,$E176,$F176,AY$3)</f>
        <v>0</v>
      </c>
      <c r="AZ176" s="58">
        <f>_xll.DBRW($C$2,$AV$1,AV$2,$D$18,$D$3,$D176,$E176,$F176,AZ$3)</f>
        <v>0</v>
      </c>
      <c r="BA176" s="48">
        <f t="shared" si="54"/>
        <v>413</v>
      </c>
      <c r="BB176" s="39">
        <f>_xll.DBRW($C$2,$BB$1,BB$2,$D$18,$D$3,$D176,$E176,$F176,BB$3)</f>
        <v>0</v>
      </c>
      <c r="BC176" s="25" cm="1">
        <f t="array" ref="BC176">_xll.DBRW($E$2,BB$1,BB$2,$D$18,$D$3,$D176,$E176,$F176,$F$3,BC$3)</f>
        <v>0</v>
      </c>
      <c r="BD176" s="25">
        <f>_xll.DBRW($C$2,$BB$1,BB$2,$D$18,$D$3,$D176,$E176,$F176,BD$3)</f>
        <v>1</v>
      </c>
      <c r="BE176" s="64">
        <f>_xll.DBRW($C$2,$BB$1,BB$2,$D$18,$D$3,$D176,$E176,$F176,BE$3)</f>
        <v>1</v>
      </c>
      <c r="BF176" s="58">
        <f>_xll.DBRW($C$2,$BB$1,BB$2,$D$18,$D$3,$D176,$E176,$F176,BF$3)</f>
        <v>0</v>
      </c>
      <c r="BG176" s="48">
        <f t="shared" si="55"/>
        <v>412</v>
      </c>
      <c r="BH176" s="39">
        <f>_xll.DBRW($C$2,$BH$1,BH$2,$D$18,$D$3,$D176,$E176,$F176,BH$3)</f>
        <v>0</v>
      </c>
      <c r="BI176" s="25" cm="1">
        <f t="array" ref="BI176">_xll.DBRW($E$2,BH$1,BH$2,$D$18,$D$3,$D176,$E176,$F176,$F$3,BI$3)</f>
        <v>0</v>
      </c>
      <c r="BJ176" s="25">
        <f>_xll.DBRW($C$2,$BH$1,BH$2,$D$18,$D$3,$D176,$E176,$F176,BJ$3)</f>
        <v>1</v>
      </c>
      <c r="BK176" s="64">
        <f>_xll.DBRW($C$2,$BH$1,BH$2,$D$18,$D$3,$D176,$E176,$F176,BK$3)</f>
        <v>0</v>
      </c>
      <c r="BL176" s="58">
        <f>_xll.DBRW($C$2,$BH$1,BH$2,$D$18,$D$3,$D176,$E176,$F176,BL$3)</f>
        <v>0</v>
      </c>
      <c r="BM176" s="48">
        <f t="shared" si="56"/>
        <v>411</v>
      </c>
      <c r="BN176" s="39">
        <f>_xll.DBRW($C$2,$BN$1,BN$2,$D$18,$D$3,$D176,$E176,$F176,BN$3)</f>
        <v>0</v>
      </c>
      <c r="BO176" s="25" cm="1">
        <f t="array" ref="BO176">_xll.DBRW($E$2,BN$1,BN$2,$D$18,$D$3,$D176,$E176,$F176,$F$3,BO$3)</f>
        <v>0</v>
      </c>
      <c r="BP176" s="25">
        <f>_xll.DBRW($C$2,$BN$1,BN$2,$D$18,$D$3,$D176,$E176,$F176,BP$3)</f>
        <v>1</v>
      </c>
      <c r="BQ176" s="64">
        <f>_xll.DBRW($C$2,$BN$1,BN$2,$D$18,$D$3,$D176,$E176,$F176,BQ$3)</f>
        <v>0</v>
      </c>
      <c r="BR176" s="58">
        <f>_xll.DBRW($C$2,$BN$1,BN$2,$D$18,$D$3,$D176,$E176,$F176,BR$3)</f>
        <v>0</v>
      </c>
      <c r="BS176" s="48">
        <f t="shared" si="57"/>
        <v>410</v>
      </c>
      <c r="BT176" s="39">
        <f>_xll.DBRW($C$2,$BT$1,BT$2,$D$18,$D$3,$D176,$E176,$F176,BT$3)</f>
        <v>0</v>
      </c>
      <c r="BU176" s="25" cm="1">
        <f t="array" ref="BU176">_xll.DBRW($E$2,BT$1,BT$2,$D$18,$D$3,$D176,$E176,$F176,$F$3,BU$3)</f>
        <v>0</v>
      </c>
      <c r="BV176" s="25">
        <f>_xll.DBRW($C$2,$BT$1,BT$2,$D$18,$D$3,$D176,$E176,$F176,BV$3)</f>
        <v>1</v>
      </c>
      <c r="BW176" s="64">
        <f>_xll.DBRW($C$2,$BT$1,BT$2,$D$18,$D$3,$D176,$E176,$F176,BW$3)</f>
        <v>0</v>
      </c>
      <c r="BX176" s="58">
        <f>_xll.DBRW($C$2,$BT$1,BT$2,$D$18,$D$3,$D176,$E176,$F176,BX$3)</f>
        <v>0</v>
      </c>
      <c r="BY176" s="48">
        <f t="shared" si="58"/>
        <v>409</v>
      </c>
      <c r="BZ176" s="39">
        <f>_xll.DBRW($C$2,$BZ$1,BZ$2,$D$18,$D$3,$D176,$E176,$F176,BZ$3)</f>
        <v>0</v>
      </c>
      <c r="CA176" s="25" cm="1">
        <f t="array" ref="CA176">_xll.DBRW($E$2,BZ$1,BZ$2,$D$18,$D$3,$D176,$E176,$F176,$F$3,CA$3)</f>
        <v>0</v>
      </c>
      <c r="CB176" s="25">
        <f>_xll.DBRW($C$2,$BZ$1,BZ$2,$D$18,$D$3,$D176,$E176,$F176,CB$3)</f>
        <v>1</v>
      </c>
      <c r="CC176" s="64">
        <f>_xll.DBRW($C$2,$BZ$1,BZ$2,$D$18,$D$3,$D176,$E176,$F176,CC$3)</f>
        <v>0</v>
      </c>
      <c r="CD176" s="58">
        <f>_xll.DBRW($C$2,$BZ$1,BZ$2,$D$18,$D$3,$D176,$E176,$F176,CD$3)</f>
        <v>0</v>
      </c>
      <c r="CE176" s="48">
        <f t="shared" si="59"/>
        <v>408</v>
      </c>
    </row>
    <row r="177" spans="1:83" s="23" customFormat="1" outlineLevel="1" thickBot="1" x14ac:dyDescent="0.3">
      <c r="A177" s="91" t="str">
        <f>IF(_xll.TM1RPTELISCONSOLIDATED($F$22,$F177),IF(_xll.TM1RPTELLEV($F$22,$F177)&lt;=5,_xll.TM1RPTELLEV($F$22,$F177),"Default"),"Leaf")</f>
        <v>Leaf</v>
      </c>
      <c r="B177" s="24" t="str">
        <f>_xll.DBRW("TM1-S1_DEV:}ElementAttributes_SP_SKU",$D177,B$1)</f>
        <v>Primary</v>
      </c>
      <c r="C177" s="24" t="str">
        <f>_xll.DBRW("TM1-S1_DEV:}ElementAttributes_SP_SKU",$D177,C$1)</f>
        <v>CONDIMENT</v>
      </c>
      <c r="D177" s="28" t="s">
        <v>161</v>
      </c>
      <c r="E177" s="28" t="s">
        <v>147</v>
      </c>
      <c r="F177" s="28" t="s">
        <v>156</v>
      </c>
      <c r="G177" s="4">
        <f>_xll.DBRW($C$2,$G$19,G$20,$D$18,$D$3,$D177,$E177,$F177,G$3)</f>
        <v>969</v>
      </c>
      <c r="H177" s="54">
        <f t="shared" si="48"/>
        <v>-285</v>
      </c>
      <c r="I177" s="4"/>
      <c r="J177" s="25">
        <f>_xll.DBRW($C$2,$J$1,J$2,$D$18,$D$3,$D177,$E177,$F177,J$3)</f>
        <v>684</v>
      </c>
      <c r="K177" s="39">
        <f>_xll.DBRW($C$2,$J$1,J$2,$D$18,$D$3,$D177,$E177,$F177,K$3)</f>
        <v>0</v>
      </c>
      <c r="L177" s="25">
        <f>_xll.DBRW($C$2,$J$1,J$2,$D$18,$D$3,$D177,$E177,$F177,L$3)</f>
        <v>0</v>
      </c>
      <c r="M177" s="25">
        <f>_xll.DBRW($C$2,$J$1,J$2,$D$18,$D$3,$D177,$E177,$F177,M$3)</f>
        <v>144</v>
      </c>
      <c r="N177" s="25">
        <f>_xll.DBRW($C$2,$J$1,J$2,$D$18,$D$3,$D177,$E177,$F177,N$3)</f>
        <v>10</v>
      </c>
      <c r="O177" s="64">
        <f>_xll.DBRW($C$2,$J$1,J$2,$D$18,$D$3,$D177,$E177,$F177,O$3)</f>
        <v>1</v>
      </c>
      <c r="P177" s="58">
        <f>_xll.DBRW($C$2,$J$1,J$2,$D$18,$D$3,$D177,$E177,$F177,P$3)</f>
        <v>0</v>
      </c>
      <c r="Q177" s="48">
        <f>_xll.DBRW($C$2,$J$1,J$2,$D$18,$D$3,$D177,$E177,$F177,Q$3)</f>
        <v>818</v>
      </c>
      <c r="R177" s="39">
        <f>_xll.DBRW($C$2,$R$1,R$2,$D$18,$D$3,$D177,$E177,$F177,R$3)</f>
        <v>0</v>
      </c>
      <c r="S177" s="25" cm="1">
        <f t="array" ref="S177">_xll.DBRW($E$2,R$1,R$2,$D$18,$D$3,$D177,$E177,$F177,$F$3,S$3)</f>
        <v>144</v>
      </c>
      <c r="T177" s="25">
        <f>_xll.DBRW($C$2,$R$1,R$2,$D$18,$D$3,$D177,$E177,$F177,T$3)</f>
        <v>0</v>
      </c>
      <c r="U177" s="64">
        <f>_xll.DBRW($C$2,$R$1,R$2,$D$18,$D$3,$D177,$E177,$F177,U$3)</f>
        <v>0</v>
      </c>
      <c r="V177" s="58">
        <f>_xll.DBRW($C$2,$R$1,R$2,$D$18,$D$3,$D177,$E177,$F177,V$3)</f>
        <v>0</v>
      </c>
      <c r="W177" s="48">
        <f t="shared" si="49"/>
        <v>962</v>
      </c>
      <c r="X177" s="39">
        <f>_xll.DBRW($C$2,$X$1,X$2,$D$18,$D$3,$D177,$E177,$F177,X$3)</f>
        <v>0</v>
      </c>
      <c r="Y177" s="25" cm="1">
        <f t="array" ref="Y177">_xll.DBRW($E$2,X$1,X$2,$D$18,$D$3,$D177,$E177,$F177,$F$3,Y$3)</f>
        <v>0</v>
      </c>
      <c r="Z177" s="25">
        <f>_xll.DBRW($C$2,$X$1,X$2,$D$18,$D$3,$D177,$E177,$F177,Z$3)</f>
        <v>7</v>
      </c>
      <c r="AA177" s="64">
        <f>_xll.DBRW($C$2,$X$1,X$2,$D$18,$D$3,$D177,$E177,$F177,AA$3)</f>
        <v>0</v>
      </c>
      <c r="AB177" s="58">
        <f>_xll.DBRW($C$2,$X$1,X$2,$D$18,$D$3,$D177,$E177,$F177,AB$3)</f>
        <v>0</v>
      </c>
      <c r="AC177" s="48">
        <f t="shared" si="50"/>
        <v>955</v>
      </c>
      <c r="AD177" s="39">
        <f>_xll.DBRW($C$2,$AD$1,AD$2,$D$18,$D$3,$D177,$E177,$F177,AD$3)</f>
        <v>0</v>
      </c>
      <c r="AE177" s="25" cm="1">
        <f t="array" ref="AE177">_xll.DBRW($E$2,AD$1,AD$2,$D$18,$D$3,$D177,$E177,$F177,$F$3,AE$3)</f>
        <v>0</v>
      </c>
      <c r="AF177" s="25">
        <f>_xll.DBRW($C$2,$AD$1,AD$2,$D$18,$D$3,$D177,$E177,$F177,AF$3)</f>
        <v>7</v>
      </c>
      <c r="AG177" s="64">
        <f>_xll.DBRW($C$2,$AD$1,AD$2,$D$18,$D$3,$D177,$E177,$F177,AG$3)</f>
        <v>0</v>
      </c>
      <c r="AH177" s="58">
        <f>_xll.DBRW($C$2,$AD$1,AD$2,$D$18,$D$3,$D177,$E177,$F177,AH$3)</f>
        <v>0</v>
      </c>
      <c r="AI177" s="48">
        <f t="shared" si="51"/>
        <v>948</v>
      </c>
      <c r="AJ177" s="39">
        <f>_xll.DBRW($C$2,$AJ$1,AJ$2,$D$18,$D$3,$D177,$E177,$F177,AJ$3)</f>
        <v>0</v>
      </c>
      <c r="AK177" s="25" cm="1">
        <f t="array" ref="AK177">_xll.DBRW($E$2,AJ$1,AJ$2,$D$18,$D$3,$D177,$E177,$F177,$F$3,AK$3)</f>
        <v>0</v>
      </c>
      <c r="AL177" s="25">
        <f>_xll.DBRW($C$2,$AJ$1,AJ$2,$D$18,$D$3,$D177,$E177,$F177,AL$3)</f>
        <v>7</v>
      </c>
      <c r="AM177" s="64">
        <f>_xll.DBRW($C$2,$AJ$1,AJ$2,$D$18,$D$3,$D177,$E177,$F177,AM$3)</f>
        <v>0</v>
      </c>
      <c r="AN177" s="58">
        <f>_xll.DBRW($C$2,$AJ$1,AJ$2,$D$18,$D$3,$D177,$E177,$F177,AN$3)</f>
        <v>0</v>
      </c>
      <c r="AO177" s="48">
        <f t="shared" si="52"/>
        <v>941</v>
      </c>
      <c r="AP177" s="39">
        <f>_xll.DBRW($C$2,$AP$1,AP$2,$D$18,$D$3,$D177,$E177,$F177,AP$3)</f>
        <v>0</v>
      </c>
      <c r="AQ177" s="25" cm="1">
        <f t="array" ref="AQ177">_xll.DBRW($E$2,AP$1,AP$2,$D$18,$D$3,$D177,$E177,$F177,$F$3,AQ$3)</f>
        <v>0</v>
      </c>
      <c r="AR177" s="25">
        <f>_xll.DBRW($C$2,$AP$1,AP$2,$D$18,$D$3,$D177,$E177,$F177,AR$3)</f>
        <v>7</v>
      </c>
      <c r="AS177" s="64">
        <f>_xll.DBRW($C$2,$AP$1,AP$2,$D$18,$D$3,$D177,$E177,$F177,AS$3)</f>
        <v>0</v>
      </c>
      <c r="AT177" s="58">
        <f>_xll.DBRW($C$2,$AP$1,AP$2,$D$18,$D$3,$D177,$E177,$F177,AT$3)</f>
        <v>0</v>
      </c>
      <c r="AU177" s="48">
        <f t="shared" si="53"/>
        <v>934</v>
      </c>
      <c r="AV177" s="39">
        <f>_xll.DBRW($C$2,$AV$1,AV$2,$D$18,$D$3,$D177,$E177,$F177,AV$3)</f>
        <v>0</v>
      </c>
      <c r="AW177" s="25" cm="1">
        <f t="array" ref="AW177">_xll.DBRW($E$2,AV$1,AV$2,$D$18,$D$3,$D177,$E177,$F177,$F$3,AW$3)</f>
        <v>0</v>
      </c>
      <c r="AX177" s="25">
        <f>_xll.DBRW($C$2,$AV$1,AV$2,$D$18,$D$3,$D177,$E177,$F177,AX$3)</f>
        <v>7</v>
      </c>
      <c r="AY177" s="64">
        <f>_xll.DBRW($C$2,$AV$1,AV$2,$D$18,$D$3,$D177,$E177,$F177,AY$3)</f>
        <v>0</v>
      </c>
      <c r="AZ177" s="58">
        <f>_xll.DBRW($C$2,$AV$1,AV$2,$D$18,$D$3,$D177,$E177,$F177,AZ$3)</f>
        <v>0</v>
      </c>
      <c r="BA177" s="48">
        <f t="shared" si="54"/>
        <v>927</v>
      </c>
      <c r="BB177" s="39">
        <f>_xll.DBRW($C$2,$BB$1,BB$2,$D$18,$D$3,$D177,$E177,$F177,BB$3)</f>
        <v>0</v>
      </c>
      <c r="BC177" s="25" cm="1">
        <f t="array" ref="BC177">_xll.DBRW($E$2,BB$1,BB$2,$D$18,$D$3,$D177,$E177,$F177,$F$3,BC$3)</f>
        <v>0</v>
      </c>
      <c r="BD177" s="25">
        <f>_xll.DBRW($C$2,$BB$1,BB$2,$D$18,$D$3,$D177,$E177,$F177,BD$3)</f>
        <v>7</v>
      </c>
      <c r="BE177" s="64">
        <f>_xll.DBRW($C$2,$BB$1,BB$2,$D$18,$D$3,$D177,$E177,$F177,BE$3)</f>
        <v>0</v>
      </c>
      <c r="BF177" s="58">
        <f>_xll.DBRW($C$2,$BB$1,BB$2,$D$18,$D$3,$D177,$E177,$F177,BF$3)</f>
        <v>0</v>
      </c>
      <c r="BG177" s="48">
        <f t="shared" si="55"/>
        <v>920</v>
      </c>
      <c r="BH177" s="39">
        <f>_xll.DBRW($C$2,$BH$1,BH$2,$D$18,$D$3,$D177,$E177,$F177,BH$3)</f>
        <v>0</v>
      </c>
      <c r="BI177" s="25" cm="1">
        <f t="array" ref="BI177">_xll.DBRW($E$2,BH$1,BH$2,$D$18,$D$3,$D177,$E177,$F177,$F$3,BI$3)</f>
        <v>0</v>
      </c>
      <c r="BJ177" s="25">
        <f>_xll.DBRW($C$2,$BH$1,BH$2,$D$18,$D$3,$D177,$E177,$F177,BJ$3)</f>
        <v>7</v>
      </c>
      <c r="BK177" s="64">
        <f>_xll.DBRW($C$2,$BH$1,BH$2,$D$18,$D$3,$D177,$E177,$F177,BK$3)</f>
        <v>0</v>
      </c>
      <c r="BL177" s="58">
        <f>_xll.DBRW($C$2,$BH$1,BH$2,$D$18,$D$3,$D177,$E177,$F177,BL$3)</f>
        <v>0</v>
      </c>
      <c r="BM177" s="48">
        <f t="shared" si="56"/>
        <v>913</v>
      </c>
      <c r="BN177" s="39">
        <f>_xll.DBRW($C$2,$BN$1,BN$2,$D$18,$D$3,$D177,$E177,$F177,BN$3)</f>
        <v>0</v>
      </c>
      <c r="BO177" s="25" cm="1">
        <f t="array" ref="BO177">_xll.DBRW($E$2,BN$1,BN$2,$D$18,$D$3,$D177,$E177,$F177,$F$3,BO$3)</f>
        <v>0</v>
      </c>
      <c r="BP177" s="25">
        <f>_xll.DBRW($C$2,$BN$1,BN$2,$D$18,$D$3,$D177,$E177,$F177,BP$3)</f>
        <v>7</v>
      </c>
      <c r="BQ177" s="64">
        <f>_xll.DBRW($C$2,$BN$1,BN$2,$D$18,$D$3,$D177,$E177,$F177,BQ$3)</f>
        <v>0</v>
      </c>
      <c r="BR177" s="58">
        <f>_xll.DBRW($C$2,$BN$1,BN$2,$D$18,$D$3,$D177,$E177,$F177,BR$3)</f>
        <v>0</v>
      </c>
      <c r="BS177" s="48">
        <f t="shared" si="57"/>
        <v>906</v>
      </c>
      <c r="BT177" s="39">
        <f>_xll.DBRW($C$2,$BT$1,BT$2,$D$18,$D$3,$D177,$E177,$F177,BT$3)</f>
        <v>0</v>
      </c>
      <c r="BU177" s="25" cm="1">
        <f t="array" ref="BU177">_xll.DBRW($E$2,BT$1,BT$2,$D$18,$D$3,$D177,$E177,$F177,$F$3,BU$3)</f>
        <v>0</v>
      </c>
      <c r="BV177" s="25">
        <f>_xll.DBRW($C$2,$BT$1,BT$2,$D$18,$D$3,$D177,$E177,$F177,BV$3)</f>
        <v>7</v>
      </c>
      <c r="BW177" s="64">
        <f>_xll.DBRW($C$2,$BT$1,BT$2,$D$18,$D$3,$D177,$E177,$F177,BW$3)</f>
        <v>0</v>
      </c>
      <c r="BX177" s="58">
        <f>_xll.DBRW($C$2,$BT$1,BT$2,$D$18,$D$3,$D177,$E177,$F177,BX$3)</f>
        <v>0</v>
      </c>
      <c r="BY177" s="48">
        <f t="shared" si="58"/>
        <v>899</v>
      </c>
      <c r="BZ177" s="39">
        <f>_xll.DBRW($C$2,$BZ$1,BZ$2,$D$18,$D$3,$D177,$E177,$F177,BZ$3)</f>
        <v>0</v>
      </c>
      <c r="CA177" s="25" cm="1">
        <f t="array" ref="CA177">_xll.DBRW($E$2,BZ$1,BZ$2,$D$18,$D$3,$D177,$E177,$F177,$F$3,CA$3)</f>
        <v>0</v>
      </c>
      <c r="CB177" s="25">
        <f>_xll.DBRW($C$2,$BZ$1,BZ$2,$D$18,$D$3,$D177,$E177,$F177,CB$3)</f>
        <v>7</v>
      </c>
      <c r="CC177" s="64">
        <f>_xll.DBRW($C$2,$BZ$1,BZ$2,$D$18,$D$3,$D177,$E177,$F177,CC$3)</f>
        <v>0</v>
      </c>
      <c r="CD177" s="58">
        <f>_xll.DBRW($C$2,$BZ$1,BZ$2,$D$18,$D$3,$D177,$E177,$F177,CD$3)</f>
        <v>0</v>
      </c>
      <c r="CE177" s="48">
        <f t="shared" si="59"/>
        <v>892</v>
      </c>
    </row>
    <row r="178" spans="1:83" s="23" customFormat="1" outlineLevel="1" thickBot="1" x14ac:dyDescent="0.3">
      <c r="A178" s="91" t="str">
        <f>IF(_xll.TM1RPTELISCONSOLIDATED($F$22,$F178),IF(_xll.TM1RPTELLEV($F$22,$F178)&lt;=5,_xll.TM1RPTELLEV($F$22,$F178),"Default"),"Leaf")</f>
        <v>Leaf</v>
      </c>
      <c r="B178" s="24" t="str">
        <f>_xll.DBRW("TM1-S1_DEV:}ElementAttributes_SP_SKU",$D178,B$1)</f>
        <v>Primary</v>
      </c>
      <c r="C178" s="24" t="str">
        <f>_xll.DBRW("TM1-S1_DEV:}ElementAttributes_SP_SKU",$D178,C$1)</f>
        <v>INGREDIENT</v>
      </c>
      <c r="D178" s="28" t="s">
        <v>162</v>
      </c>
      <c r="E178" s="28" t="s">
        <v>148</v>
      </c>
      <c r="F178" s="28" t="s">
        <v>156</v>
      </c>
      <c r="G178" s="4">
        <f>_xll.DBRW($C$2,$G$19,G$20,$D$18,$D$3,$D178,$E178,$F178,G$3)</f>
        <v>27</v>
      </c>
      <c r="H178" s="54">
        <f t="shared" si="48"/>
        <v>-10</v>
      </c>
      <c r="I178" s="4"/>
      <c r="J178" s="25">
        <f>_xll.DBRW($C$2,$J$1,J$2,$D$18,$D$3,$D178,$E178,$F178,J$3)</f>
        <v>17</v>
      </c>
      <c r="K178" s="39">
        <f>_xll.DBRW($C$2,$J$1,J$2,$D$18,$D$3,$D178,$E178,$F178,K$3)</f>
        <v>0</v>
      </c>
      <c r="L178" s="25">
        <f>_xll.DBRW($C$2,$J$1,J$2,$D$18,$D$3,$D178,$E178,$F178,L$3)</f>
        <v>0</v>
      </c>
      <c r="M178" s="25">
        <f>_xll.DBRW($C$2,$J$1,J$2,$D$18,$D$3,$D178,$E178,$F178,M$3)</f>
        <v>3</v>
      </c>
      <c r="N178" s="25">
        <f>_xll.DBRW($C$2,$J$1,J$2,$D$18,$D$3,$D178,$E178,$F178,N$3)</f>
        <v>0</v>
      </c>
      <c r="O178" s="64">
        <f>_xll.DBRW($C$2,$J$1,J$2,$D$18,$D$3,$D178,$E178,$F178,O$3)</f>
        <v>0</v>
      </c>
      <c r="P178" s="58">
        <f>_xll.DBRW($C$2,$J$1,J$2,$D$18,$D$3,$D178,$E178,$F178,P$3)</f>
        <v>0</v>
      </c>
      <c r="Q178" s="48">
        <f>_xll.DBRW($C$2,$J$1,J$2,$D$18,$D$3,$D178,$E178,$F178,Q$3)</f>
        <v>20</v>
      </c>
      <c r="R178" s="39">
        <f>_xll.DBRW($C$2,$R$1,R$2,$D$18,$D$3,$D178,$E178,$F178,R$3)</f>
        <v>0</v>
      </c>
      <c r="S178" s="25" cm="1">
        <f t="array" ref="S178">_xll.DBRW($E$2,R$1,R$2,$D$18,$D$3,$D178,$E178,$F178,$F$3,S$3)</f>
        <v>5</v>
      </c>
      <c r="T178" s="25">
        <f>_xll.DBRW($C$2,$R$1,R$2,$D$18,$D$3,$D178,$E178,$F178,T$3)</f>
        <v>0</v>
      </c>
      <c r="U178" s="64">
        <f>_xll.DBRW($C$2,$R$1,R$2,$D$18,$D$3,$D178,$E178,$F178,U$3)</f>
        <v>0</v>
      </c>
      <c r="V178" s="58">
        <f>_xll.DBRW($C$2,$R$1,R$2,$D$18,$D$3,$D178,$E178,$F178,V$3)</f>
        <v>0</v>
      </c>
      <c r="W178" s="48">
        <f t="shared" si="49"/>
        <v>25</v>
      </c>
      <c r="X178" s="39">
        <f>_xll.DBRW($C$2,$X$1,X$2,$D$18,$D$3,$D178,$E178,$F178,X$3)</f>
        <v>0</v>
      </c>
      <c r="Y178" s="25" cm="1">
        <f t="array" ref="Y178">_xll.DBRW($E$2,X$1,X$2,$D$18,$D$3,$D178,$E178,$F178,$F$3,Y$3)</f>
        <v>0</v>
      </c>
      <c r="Z178" s="25">
        <f>_xll.DBRW($C$2,$X$1,X$2,$D$18,$D$3,$D178,$E178,$F178,Z$3)</f>
        <v>1</v>
      </c>
      <c r="AA178" s="64">
        <f>_xll.DBRW($C$2,$X$1,X$2,$D$18,$D$3,$D178,$E178,$F178,AA$3)</f>
        <v>0</v>
      </c>
      <c r="AB178" s="58">
        <f>_xll.DBRW($C$2,$X$1,X$2,$D$18,$D$3,$D178,$E178,$F178,AB$3)</f>
        <v>0</v>
      </c>
      <c r="AC178" s="48">
        <f t="shared" si="50"/>
        <v>24</v>
      </c>
      <c r="AD178" s="39">
        <f>_xll.DBRW($C$2,$AD$1,AD$2,$D$18,$D$3,$D178,$E178,$F178,AD$3)</f>
        <v>0</v>
      </c>
      <c r="AE178" s="25" cm="1">
        <f t="array" ref="AE178">_xll.DBRW($E$2,AD$1,AD$2,$D$18,$D$3,$D178,$E178,$F178,$F$3,AE$3)</f>
        <v>0</v>
      </c>
      <c r="AF178" s="25">
        <f>_xll.DBRW($C$2,$AD$1,AD$2,$D$18,$D$3,$D178,$E178,$F178,AF$3)</f>
        <v>1</v>
      </c>
      <c r="AG178" s="64">
        <f>_xll.DBRW($C$2,$AD$1,AD$2,$D$18,$D$3,$D178,$E178,$F178,AG$3)</f>
        <v>0</v>
      </c>
      <c r="AH178" s="58">
        <f>_xll.DBRW($C$2,$AD$1,AD$2,$D$18,$D$3,$D178,$E178,$F178,AH$3)</f>
        <v>0</v>
      </c>
      <c r="AI178" s="48">
        <f t="shared" si="51"/>
        <v>23</v>
      </c>
      <c r="AJ178" s="39">
        <f>_xll.DBRW($C$2,$AJ$1,AJ$2,$D$18,$D$3,$D178,$E178,$F178,AJ$3)</f>
        <v>0</v>
      </c>
      <c r="AK178" s="25" cm="1">
        <f t="array" ref="AK178">_xll.DBRW($E$2,AJ$1,AJ$2,$D$18,$D$3,$D178,$E178,$F178,$F$3,AK$3)</f>
        <v>0</v>
      </c>
      <c r="AL178" s="25">
        <f>_xll.DBRW($C$2,$AJ$1,AJ$2,$D$18,$D$3,$D178,$E178,$F178,AL$3)</f>
        <v>1</v>
      </c>
      <c r="AM178" s="64">
        <f>_xll.DBRW($C$2,$AJ$1,AJ$2,$D$18,$D$3,$D178,$E178,$F178,AM$3)</f>
        <v>0</v>
      </c>
      <c r="AN178" s="58">
        <f>_xll.DBRW($C$2,$AJ$1,AJ$2,$D$18,$D$3,$D178,$E178,$F178,AN$3)</f>
        <v>0</v>
      </c>
      <c r="AO178" s="48">
        <f t="shared" si="52"/>
        <v>22</v>
      </c>
      <c r="AP178" s="39">
        <f>_xll.DBRW($C$2,$AP$1,AP$2,$D$18,$D$3,$D178,$E178,$F178,AP$3)</f>
        <v>0</v>
      </c>
      <c r="AQ178" s="25" cm="1">
        <f t="array" ref="AQ178">_xll.DBRW($E$2,AP$1,AP$2,$D$18,$D$3,$D178,$E178,$F178,$F$3,AQ$3)</f>
        <v>0</v>
      </c>
      <c r="AR178" s="25">
        <f>_xll.DBRW($C$2,$AP$1,AP$2,$D$18,$D$3,$D178,$E178,$F178,AR$3)</f>
        <v>1</v>
      </c>
      <c r="AS178" s="64">
        <f>_xll.DBRW($C$2,$AP$1,AP$2,$D$18,$D$3,$D178,$E178,$F178,AS$3)</f>
        <v>0</v>
      </c>
      <c r="AT178" s="58">
        <f>_xll.DBRW($C$2,$AP$1,AP$2,$D$18,$D$3,$D178,$E178,$F178,AT$3)</f>
        <v>0</v>
      </c>
      <c r="AU178" s="48">
        <f t="shared" si="53"/>
        <v>21</v>
      </c>
      <c r="AV178" s="39">
        <f>_xll.DBRW($C$2,$AV$1,AV$2,$D$18,$D$3,$D178,$E178,$F178,AV$3)</f>
        <v>0</v>
      </c>
      <c r="AW178" s="25" cm="1">
        <f t="array" ref="AW178">_xll.DBRW($E$2,AV$1,AV$2,$D$18,$D$3,$D178,$E178,$F178,$F$3,AW$3)</f>
        <v>0</v>
      </c>
      <c r="AX178" s="25">
        <f>_xll.DBRW($C$2,$AV$1,AV$2,$D$18,$D$3,$D178,$E178,$F178,AX$3)</f>
        <v>1</v>
      </c>
      <c r="AY178" s="64">
        <f>_xll.DBRW($C$2,$AV$1,AV$2,$D$18,$D$3,$D178,$E178,$F178,AY$3)</f>
        <v>0</v>
      </c>
      <c r="AZ178" s="58">
        <f>_xll.DBRW($C$2,$AV$1,AV$2,$D$18,$D$3,$D178,$E178,$F178,AZ$3)</f>
        <v>0</v>
      </c>
      <c r="BA178" s="48">
        <f t="shared" si="54"/>
        <v>20</v>
      </c>
      <c r="BB178" s="39">
        <f>_xll.DBRW($C$2,$BB$1,BB$2,$D$18,$D$3,$D178,$E178,$F178,BB$3)</f>
        <v>0</v>
      </c>
      <c r="BC178" s="25" cm="1">
        <f t="array" ref="BC178">_xll.DBRW($E$2,BB$1,BB$2,$D$18,$D$3,$D178,$E178,$F178,$F$3,BC$3)</f>
        <v>0</v>
      </c>
      <c r="BD178" s="25">
        <f>_xll.DBRW($C$2,$BB$1,BB$2,$D$18,$D$3,$D178,$E178,$F178,BD$3)</f>
        <v>1</v>
      </c>
      <c r="BE178" s="64">
        <f>_xll.DBRW($C$2,$BB$1,BB$2,$D$18,$D$3,$D178,$E178,$F178,BE$3)</f>
        <v>0</v>
      </c>
      <c r="BF178" s="58">
        <f>_xll.DBRW($C$2,$BB$1,BB$2,$D$18,$D$3,$D178,$E178,$F178,BF$3)</f>
        <v>0</v>
      </c>
      <c r="BG178" s="48">
        <f t="shared" si="55"/>
        <v>19</v>
      </c>
      <c r="BH178" s="39">
        <f>_xll.DBRW($C$2,$BH$1,BH$2,$D$18,$D$3,$D178,$E178,$F178,BH$3)</f>
        <v>0</v>
      </c>
      <c r="BI178" s="25" cm="1">
        <f t="array" ref="BI178">_xll.DBRW($E$2,BH$1,BH$2,$D$18,$D$3,$D178,$E178,$F178,$F$3,BI$3)</f>
        <v>0</v>
      </c>
      <c r="BJ178" s="25">
        <f>_xll.DBRW($C$2,$BH$1,BH$2,$D$18,$D$3,$D178,$E178,$F178,BJ$3)</f>
        <v>1</v>
      </c>
      <c r="BK178" s="64">
        <f>_xll.DBRW($C$2,$BH$1,BH$2,$D$18,$D$3,$D178,$E178,$F178,BK$3)</f>
        <v>0</v>
      </c>
      <c r="BL178" s="58">
        <f>_xll.DBRW($C$2,$BH$1,BH$2,$D$18,$D$3,$D178,$E178,$F178,BL$3)</f>
        <v>0</v>
      </c>
      <c r="BM178" s="48">
        <f t="shared" si="56"/>
        <v>18</v>
      </c>
      <c r="BN178" s="39">
        <f>_xll.DBRW($C$2,$BN$1,BN$2,$D$18,$D$3,$D178,$E178,$F178,BN$3)</f>
        <v>0</v>
      </c>
      <c r="BO178" s="25" cm="1">
        <f t="array" ref="BO178">_xll.DBRW($E$2,BN$1,BN$2,$D$18,$D$3,$D178,$E178,$F178,$F$3,BO$3)</f>
        <v>0</v>
      </c>
      <c r="BP178" s="25">
        <f>_xll.DBRW($C$2,$BN$1,BN$2,$D$18,$D$3,$D178,$E178,$F178,BP$3)</f>
        <v>1</v>
      </c>
      <c r="BQ178" s="64">
        <f>_xll.DBRW($C$2,$BN$1,BN$2,$D$18,$D$3,$D178,$E178,$F178,BQ$3)</f>
        <v>0</v>
      </c>
      <c r="BR178" s="58">
        <f>_xll.DBRW($C$2,$BN$1,BN$2,$D$18,$D$3,$D178,$E178,$F178,BR$3)</f>
        <v>0</v>
      </c>
      <c r="BS178" s="48">
        <f t="shared" si="57"/>
        <v>17</v>
      </c>
      <c r="BT178" s="39">
        <f>_xll.DBRW($C$2,$BT$1,BT$2,$D$18,$D$3,$D178,$E178,$F178,BT$3)</f>
        <v>0</v>
      </c>
      <c r="BU178" s="25" cm="1">
        <f t="array" ref="BU178">_xll.DBRW($E$2,BT$1,BT$2,$D$18,$D$3,$D178,$E178,$F178,$F$3,BU$3)</f>
        <v>0</v>
      </c>
      <c r="BV178" s="25">
        <f>_xll.DBRW($C$2,$BT$1,BT$2,$D$18,$D$3,$D178,$E178,$F178,BV$3)</f>
        <v>1</v>
      </c>
      <c r="BW178" s="64">
        <f>_xll.DBRW($C$2,$BT$1,BT$2,$D$18,$D$3,$D178,$E178,$F178,BW$3)</f>
        <v>0</v>
      </c>
      <c r="BX178" s="58">
        <f>_xll.DBRW($C$2,$BT$1,BT$2,$D$18,$D$3,$D178,$E178,$F178,BX$3)</f>
        <v>0</v>
      </c>
      <c r="BY178" s="48">
        <f t="shared" si="58"/>
        <v>16</v>
      </c>
      <c r="BZ178" s="39">
        <f>_xll.DBRW($C$2,$BZ$1,BZ$2,$D$18,$D$3,$D178,$E178,$F178,BZ$3)</f>
        <v>0</v>
      </c>
      <c r="CA178" s="25" cm="1">
        <f t="array" ref="CA178">_xll.DBRW($E$2,BZ$1,BZ$2,$D$18,$D$3,$D178,$E178,$F178,$F$3,CA$3)</f>
        <v>0</v>
      </c>
      <c r="CB178" s="25">
        <f>_xll.DBRW($C$2,$BZ$1,BZ$2,$D$18,$D$3,$D178,$E178,$F178,CB$3)</f>
        <v>1</v>
      </c>
      <c r="CC178" s="64">
        <f>_xll.DBRW($C$2,$BZ$1,BZ$2,$D$18,$D$3,$D178,$E178,$F178,CC$3)</f>
        <v>0</v>
      </c>
      <c r="CD178" s="58">
        <f>_xll.DBRW($C$2,$BZ$1,BZ$2,$D$18,$D$3,$D178,$E178,$F178,CD$3)</f>
        <v>0</v>
      </c>
      <c r="CE178" s="48">
        <f t="shared" si="59"/>
        <v>15</v>
      </c>
    </row>
    <row r="179" spans="1:83" s="23" customFormat="1" outlineLevel="1" thickBot="1" x14ac:dyDescent="0.3">
      <c r="A179" s="91" t="str">
        <f>IF(_xll.TM1RPTELISCONSOLIDATED($F$22,$F179),IF(_xll.TM1RPTELLEV($F$22,$F179)&lt;=5,_xll.TM1RPTELLEV($F$22,$F179),"Default"),"Leaf")</f>
        <v>Leaf</v>
      </c>
      <c r="B179" s="24" t="str">
        <f>_xll.DBRW("TM1-S1_DEV:}ElementAttributes_SP_SKU",$D179,B$1)</f>
        <v>Primary</v>
      </c>
      <c r="C179" s="24" t="str">
        <f>_xll.DBRW("TM1-S1_DEV:}ElementAttributes_SP_SKU",$D179,C$1)</f>
        <v>PLATE</v>
      </c>
      <c r="D179" s="28" t="s">
        <v>163</v>
      </c>
      <c r="E179" s="28" t="s">
        <v>302</v>
      </c>
      <c r="F179" s="28" t="s">
        <v>326</v>
      </c>
      <c r="G179" s="4">
        <f>_xll.DBRW($C$2,$G$19,G$20,$D$18,$D$3,$D179,$E179,$F179,G$3)</f>
        <v>-3</v>
      </c>
      <c r="H179" s="54">
        <f t="shared" si="48"/>
        <v>3</v>
      </c>
      <c r="I179" s="4"/>
      <c r="J179" s="25">
        <f>_xll.DBRW($C$2,$J$1,J$2,$D$18,$D$3,$D179,$E179,$F179,J$3)</f>
        <v>0</v>
      </c>
      <c r="K179" s="39">
        <f>_xll.DBRW($C$2,$J$1,J$2,$D$18,$D$3,$D179,$E179,$F179,K$3)</f>
        <v>0</v>
      </c>
      <c r="L179" s="25">
        <f>_xll.DBRW($C$2,$J$1,J$2,$D$18,$D$3,$D179,$E179,$F179,L$3)</f>
        <v>0</v>
      </c>
      <c r="M179" s="25">
        <f>_xll.DBRW($C$2,$J$1,J$2,$D$18,$D$3,$D179,$E179,$F179,M$3)</f>
        <v>0</v>
      </c>
      <c r="N179" s="25">
        <f>_xll.DBRW($C$2,$J$1,J$2,$D$18,$D$3,$D179,$E179,$F179,N$3)</f>
        <v>0</v>
      </c>
      <c r="O179" s="64">
        <f>_xll.DBRW($C$2,$J$1,J$2,$D$18,$D$3,$D179,$E179,$F179,O$3)</f>
        <v>0</v>
      </c>
      <c r="P179" s="58">
        <f>_xll.DBRW($C$2,$J$1,J$2,$D$18,$D$3,$D179,$E179,$F179,P$3)</f>
        <v>0</v>
      </c>
      <c r="Q179" s="48">
        <f>_xll.DBRW($C$2,$J$1,J$2,$D$18,$D$3,$D179,$E179,$F179,Q$3)</f>
        <v>0</v>
      </c>
      <c r="R179" s="39">
        <f>_xll.DBRW($C$2,$R$1,R$2,$D$18,$D$3,$D179,$E179,$F179,R$3)</f>
        <v>0</v>
      </c>
      <c r="S179" s="25" cm="1">
        <f t="array" ref="S179">_xll.DBRW($E$2,R$1,R$2,$D$18,$D$3,$D179,$E179,$F179,$F$3,S$3)</f>
        <v>0</v>
      </c>
      <c r="T179" s="25">
        <f>_xll.DBRW($C$2,$R$1,R$2,$D$18,$D$3,$D179,$E179,$F179,T$3)</f>
        <v>0</v>
      </c>
      <c r="U179" s="64">
        <f>_xll.DBRW($C$2,$R$1,R$2,$D$18,$D$3,$D179,$E179,$F179,U$3)</f>
        <v>0</v>
      </c>
      <c r="V179" s="58">
        <f>_xll.DBRW($C$2,$R$1,R$2,$D$18,$D$3,$D179,$E179,$F179,V$3)</f>
        <v>0</v>
      </c>
      <c r="W179" s="48">
        <f t="shared" si="49"/>
        <v>0</v>
      </c>
      <c r="X179" s="39">
        <f>_xll.DBRW($C$2,$X$1,X$2,$D$18,$D$3,$D179,$E179,$F179,X$3)</f>
        <v>0</v>
      </c>
      <c r="Y179" s="25" cm="1">
        <f t="array" ref="Y179">_xll.DBRW($E$2,X$1,X$2,$D$18,$D$3,$D179,$E179,$F179,$F$3,Y$3)</f>
        <v>0</v>
      </c>
      <c r="Z179" s="25">
        <f>_xll.DBRW($C$2,$X$1,X$2,$D$18,$D$3,$D179,$E179,$F179,Z$3)</f>
        <v>1</v>
      </c>
      <c r="AA179" s="64">
        <f>_xll.DBRW($C$2,$X$1,X$2,$D$18,$D$3,$D179,$E179,$F179,AA$3)</f>
        <v>0</v>
      </c>
      <c r="AB179" s="58">
        <f>_xll.DBRW($C$2,$X$1,X$2,$D$18,$D$3,$D179,$E179,$F179,AB$3)</f>
        <v>0</v>
      </c>
      <c r="AC179" s="48">
        <f t="shared" si="50"/>
        <v>-1</v>
      </c>
      <c r="AD179" s="39">
        <f>_xll.DBRW($C$2,$AD$1,AD$2,$D$18,$D$3,$D179,$E179,$F179,AD$3)</f>
        <v>0</v>
      </c>
      <c r="AE179" s="25" cm="1">
        <f t="array" ref="AE179">_xll.DBRW($E$2,AD$1,AD$2,$D$18,$D$3,$D179,$E179,$F179,$F$3,AE$3)</f>
        <v>0</v>
      </c>
      <c r="AF179" s="25">
        <f>_xll.DBRW($C$2,$AD$1,AD$2,$D$18,$D$3,$D179,$E179,$F179,AF$3)</f>
        <v>1</v>
      </c>
      <c r="AG179" s="64">
        <f>_xll.DBRW($C$2,$AD$1,AD$2,$D$18,$D$3,$D179,$E179,$F179,AG$3)</f>
        <v>0</v>
      </c>
      <c r="AH179" s="58">
        <f>_xll.DBRW($C$2,$AD$1,AD$2,$D$18,$D$3,$D179,$E179,$F179,AH$3)</f>
        <v>0</v>
      </c>
      <c r="AI179" s="48">
        <f t="shared" si="51"/>
        <v>-2</v>
      </c>
      <c r="AJ179" s="39">
        <f>_xll.DBRW($C$2,$AJ$1,AJ$2,$D$18,$D$3,$D179,$E179,$F179,AJ$3)</f>
        <v>0</v>
      </c>
      <c r="AK179" s="25" cm="1">
        <f t="array" ref="AK179">_xll.DBRW($E$2,AJ$1,AJ$2,$D$18,$D$3,$D179,$E179,$F179,$F$3,AK$3)</f>
        <v>0</v>
      </c>
      <c r="AL179" s="25">
        <f>_xll.DBRW($C$2,$AJ$1,AJ$2,$D$18,$D$3,$D179,$E179,$F179,AL$3)</f>
        <v>1</v>
      </c>
      <c r="AM179" s="64">
        <f>_xll.DBRW($C$2,$AJ$1,AJ$2,$D$18,$D$3,$D179,$E179,$F179,AM$3)</f>
        <v>0</v>
      </c>
      <c r="AN179" s="58">
        <f>_xll.DBRW($C$2,$AJ$1,AJ$2,$D$18,$D$3,$D179,$E179,$F179,AN$3)</f>
        <v>0</v>
      </c>
      <c r="AO179" s="48">
        <f t="shared" si="52"/>
        <v>-3</v>
      </c>
      <c r="AP179" s="39">
        <f>_xll.DBRW($C$2,$AP$1,AP$2,$D$18,$D$3,$D179,$E179,$F179,AP$3)</f>
        <v>0</v>
      </c>
      <c r="AQ179" s="25" cm="1">
        <f t="array" ref="AQ179">_xll.DBRW($E$2,AP$1,AP$2,$D$18,$D$3,$D179,$E179,$F179,$F$3,AQ$3)</f>
        <v>0</v>
      </c>
      <c r="AR179" s="25">
        <f>_xll.DBRW($C$2,$AP$1,AP$2,$D$18,$D$3,$D179,$E179,$F179,AR$3)</f>
        <v>1</v>
      </c>
      <c r="AS179" s="64">
        <f>_xll.DBRW($C$2,$AP$1,AP$2,$D$18,$D$3,$D179,$E179,$F179,AS$3)</f>
        <v>0</v>
      </c>
      <c r="AT179" s="58">
        <f>_xll.DBRW($C$2,$AP$1,AP$2,$D$18,$D$3,$D179,$E179,$F179,AT$3)</f>
        <v>0</v>
      </c>
      <c r="AU179" s="48">
        <f t="shared" si="53"/>
        <v>-4</v>
      </c>
      <c r="AV179" s="39">
        <f>_xll.DBRW($C$2,$AV$1,AV$2,$D$18,$D$3,$D179,$E179,$F179,AV$3)</f>
        <v>0</v>
      </c>
      <c r="AW179" s="25" cm="1">
        <f t="array" ref="AW179">_xll.DBRW($E$2,AV$1,AV$2,$D$18,$D$3,$D179,$E179,$F179,$F$3,AW$3)</f>
        <v>0</v>
      </c>
      <c r="AX179" s="25">
        <f>_xll.DBRW($C$2,$AV$1,AV$2,$D$18,$D$3,$D179,$E179,$F179,AX$3)</f>
        <v>1</v>
      </c>
      <c r="AY179" s="64">
        <f>_xll.DBRW($C$2,$AV$1,AV$2,$D$18,$D$3,$D179,$E179,$F179,AY$3)</f>
        <v>0</v>
      </c>
      <c r="AZ179" s="58">
        <f>_xll.DBRW($C$2,$AV$1,AV$2,$D$18,$D$3,$D179,$E179,$F179,AZ$3)</f>
        <v>0</v>
      </c>
      <c r="BA179" s="48">
        <f t="shared" si="54"/>
        <v>-5</v>
      </c>
      <c r="BB179" s="39">
        <f>_xll.DBRW($C$2,$BB$1,BB$2,$D$18,$D$3,$D179,$E179,$F179,BB$3)</f>
        <v>0</v>
      </c>
      <c r="BC179" s="25" cm="1">
        <f t="array" ref="BC179">_xll.DBRW($E$2,BB$1,BB$2,$D$18,$D$3,$D179,$E179,$F179,$F$3,BC$3)</f>
        <v>0</v>
      </c>
      <c r="BD179" s="25">
        <f>_xll.DBRW($C$2,$BB$1,BB$2,$D$18,$D$3,$D179,$E179,$F179,BD$3)</f>
        <v>1</v>
      </c>
      <c r="BE179" s="64">
        <f>_xll.DBRW($C$2,$BB$1,BB$2,$D$18,$D$3,$D179,$E179,$F179,BE$3)</f>
        <v>0</v>
      </c>
      <c r="BF179" s="58">
        <f>_xll.DBRW($C$2,$BB$1,BB$2,$D$18,$D$3,$D179,$E179,$F179,BF$3)</f>
        <v>0</v>
      </c>
      <c r="BG179" s="48">
        <f t="shared" si="55"/>
        <v>-6</v>
      </c>
      <c r="BH179" s="39">
        <f>_xll.DBRW($C$2,$BH$1,BH$2,$D$18,$D$3,$D179,$E179,$F179,BH$3)</f>
        <v>0</v>
      </c>
      <c r="BI179" s="25" cm="1">
        <f t="array" ref="BI179">_xll.DBRW($E$2,BH$1,BH$2,$D$18,$D$3,$D179,$E179,$F179,$F$3,BI$3)</f>
        <v>0</v>
      </c>
      <c r="BJ179" s="25">
        <f>_xll.DBRW($C$2,$BH$1,BH$2,$D$18,$D$3,$D179,$E179,$F179,BJ$3)</f>
        <v>1</v>
      </c>
      <c r="BK179" s="64">
        <f>_xll.DBRW($C$2,$BH$1,BH$2,$D$18,$D$3,$D179,$E179,$F179,BK$3)</f>
        <v>0</v>
      </c>
      <c r="BL179" s="58">
        <f>_xll.DBRW($C$2,$BH$1,BH$2,$D$18,$D$3,$D179,$E179,$F179,BL$3)</f>
        <v>0</v>
      </c>
      <c r="BM179" s="48">
        <f t="shared" si="56"/>
        <v>-7</v>
      </c>
      <c r="BN179" s="39">
        <f>_xll.DBRW($C$2,$BN$1,BN$2,$D$18,$D$3,$D179,$E179,$F179,BN$3)</f>
        <v>0</v>
      </c>
      <c r="BO179" s="25" cm="1">
        <f t="array" ref="BO179">_xll.DBRW($E$2,BN$1,BN$2,$D$18,$D$3,$D179,$E179,$F179,$F$3,BO$3)</f>
        <v>0</v>
      </c>
      <c r="BP179" s="25">
        <f>_xll.DBRW($C$2,$BN$1,BN$2,$D$18,$D$3,$D179,$E179,$F179,BP$3)</f>
        <v>1</v>
      </c>
      <c r="BQ179" s="64">
        <f>_xll.DBRW($C$2,$BN$1,BN$2,$D$18,$D$3,$D179,$E179,$F179,BQ$3)</f>
        <v>0</v>
      </c>
      <c r="BR179" s="58">
        <f>_xll.DBRW($C$2,$BN$1,BN$2,$D$18,$D$3,$D179,$E179,$F179,BR$3)</f>
        <v>0</v>
      </c>
      <c r="BS179" s="48">
        <f t="shared" si="57"/>
        <v>-8</v>
      </c>
      <c r="BT179" s="39">
        <f>_xll.DBRW($C$2,$BT$1,BT$2,$D$18,$D$3,$D179,$E179,$F179,BT$3)</f>
        <v>0</v>
      </c>
      <c r="BU179" s="25" cm="1">
        <f t="array" ref="BU179">_xll.DBRW($E$2,BT$1,BT$2,$D$18,$D$3,$D179,$E179,$F179,$F$3,BU$3)</f>
        <v>0</v>
      </c>
      <c r="BV179" s="25">
        <f>_xll.DBRW($C$2,$BT$1,BT$2,$D$18,$D$3,$D179,$E179,$F179,BV$3)</f>
        <v>1</v>
      </c>
      <c r="BW179" s="64">
        <f>_xll.DBRW($C$2,$BT$1,BT$2,$D$18,$D$3,$D179,$E179,$F179,BW$3)</f>
        <v>0</v>
      </c>
      <c r="BX179" s="58">
        <f>_xll.DBRW($C$2,$BT$1,BT$2,$D$18,$D$3,$D179,$E179,$F179,BX$3)</f>
        <v>0</v>
      </c>
      <c r="BY179" s="48">
        <f t="shared" si="58"/>
        <v>-9</v>
      </c>
      <c r="BZ179" s="39">
        <f>_xll.DBRW($C$2,$BZ$1,BZ$2,$D$18,$D$3,$D179,$E179,$F179,BZ$3)</f>
        <v>0</v>
      </c>
      <c r="CA179" s="25" cm="1">
        <f t="array" ref="CA179">_xll.DBRW($E$2,BZ$1,BZ$2,$D$18,$D$3,$D179,$E179,$F179,$F$3,CA$3)</f>
        <v>0</v>
      </c>
      <c r="CB179" s="25">
        <f>_xll.DBRW($C$2,$BZ$1,BZ$2,$D$18,$D$3,$D179,$E179,$F179,CB$3)</f>
        <v>1</v>
      </c>
      <c r="CC179" s="64">
        <f>_xll.DBRW($C$2,$BZ$1,BZ$2,$D$18,$D$3,$D179,$E179,$F179,CC$3)</f>
        <v>0</v>
      </c>
      <c r="CD179" s="58">
        <f>_xll.DBRW($C$2,$BZ$1,BZ$2,$D$18,$D$3,$D179,$E179,$F179,CD$3)</f>
        <v>0</v>
      </c>
      <c r="CE179" s="48">
        <f t="shared" si="59"/>
        <v>-10</v>
      </c>
    </row>
    <row r="180" spans="1:83" s="23" customFormat="1" outlineLevel="1" thickBot="1" x14ac:dyDescent="0.3">
      <c r="A180" s="91" t="str">
        <f>IF(_xll.TM1RPTELISCONSOLIDATED($F$22,$F180),IF(_xll.TM1RPTELLEV($F$22,$F180)&lt;=5,_xll.TM1RPTELLEV($F$22,$F180),"Default"),"Leaf")</f>
        <v>Leaf</v>
      </c>
      <c r="B180" s="24" t="str">
        <f>_xll.DBRW("TM1-S1_DEV:}ElementAttributes_SP_SKU",$D180,B$1)</f>
        <v>Primary</v>
      </c>
      <c r="C180" s="24" t="str">
        <f>_xll.DBRW("TM1-S1_DEV:}ElementAttributes_SP_SKU",$D180,C$1)</f>
        <v>PLATE</v>
      </c>
      <c r="D180" s="28" t="s">
        <v>164</v>
      </c>
      <c r="E180" s="28" t="s">
        <v>303</v>
      </c>
      <c r="F180" s="28" t="s">
        <v>326</v>
      </c>
      <c r="G180" s="4">
        <f>_xll.DBRW($C$2,$G$19,G$20,$D$18,$D$3,$D180,$E180,$F180,G$3)</f>
        <v>-2</v>
      </c>
      <c r="H180" s="54">
        <f t="shared" si="48"/>
        <v>2</v>
      </c>
      <c r="I180" s="4"/>
      <c r="J180" s="25">
        <f>_xll.DBRW($C$2,$J$1,J$2,$D$18,$D$3,$D180,$E180,$F180,J$3)</f>
        <v>0</v>
      </c>
      <c r="K180" s="39">
        <f>_xll.DBRW($C$2,$J$1,J$2,$D$18,$D$3,$D180,$E180,$F180,K$3)</f>
        <v>0</v>
      </c>
      <c r="L180" s="25">
        <f>_xll.DBRW($C$2,$J$1,J$2,$D$18,$D$3,$D180,$E180,$F180,L$3)</f>
        <v>0</v>
      </c>
      <c r="M180" s="25">
        <f>_xll.DBRW($C$2,$J$1,J$2,$D$18,$D$3,$D180,$E180,$F180,M$3)</f>
        <v>0</v>
      </c>
      <c r="N180" s="25">
        <f>_xll.DBRW($C$2,$J$1,J$2,$D$18,$D$3,$D180,$E180,$F180,N$3)</f>
        <v>1</v>
      </c>
      <c r="O180" s="64">
        <f>_xll.DBRW($C$2,$J$1,J$2,$D$18,$D$3,$D180,$E180,$F180,O$3)</f>
        <v>1</v>
      </c>
      <c r="P180" s="58">
        <f>_xll.DBRW($C$2,$J$1,J$2,$D$18,$D$3,$D180,$E180,$F180,P$3)</f>
        <v>0</v>
      </c>
      <c r="Q180" s="48">
        <f>_xll.DBRW($C$2,$J$1,J$2,$D$18,$D$3,$D180,$E180,$F180,Q$3)</f>
        <v>-1</v>
      </c>
      <c r="R180" s="39">
        <f>_xll.DBRW($C$2,$R$1,R$2,$D$18,$D$3,$D180,$E180,$F180,R$3)</f>
        <v>0</v>
      </c>
      <c r="S180" s="25" cm="1">
        <f t="array" ref="S180">_xll.DBRW($E$2,R$1,R$2,$D$18,$D$3,$D180,$E180,$F180,$F$3,S$3)</f>
        <v>0</v>
      </c>
      <c r="T180" s="25">
        <f>_xll.DBRW($C$2,$R$1,R$2,$D$18,$D$3,$D180,$E180,$F180,T$3)</f>
        <v>0</v>
      </c>
      <c r="U180" s="64">
        <f>_xll.DBRW($C$2,$R$1,R$2,$D$18,$D$3,$D180,$E180,$F180,U$3)</f>
        <v>0</v>
      </c>
      <c r="V180" s="58">
        <f>_xll.DBRW($C$2,$R$1,R$2,$D$18,$D$3,$D180,$E180,$F180,V$3)</f>
        <v>0</v>
      </c>
      <c r="W180" s="48">
        <f t="shared" si="49"/>
        <v>-1</v>
      </c>
      <c r="X180" s="39">
        <f>_xll.DBRW($C$2,$X$1,X$2,$D$18,$D$3,$D180,$E180,$F180,X$3)</f>
        <v>0</v>
      </c>
      <c r="Y180" s="25" cm="1">
        <f t="array" ref="Y180">_xll.DBRW($E$2,X$1,X$2,$D$18,$D$3,$D180,$E180,$F180,$F$3,Y$3)</f>
        <v>0</v>
      </c>
      <c r="Z180" s="25">
        <f>_xll.DBRW($C$2,$X$1,X$2,$D$18,$D$3,$D180,$E180,$F180,Z$3)</f>
        <v>2</v>
      </c>
      <c r="AA180" s="64">
        <f>_xll.DBRW($C$2,$X$1,X$2,$D$18,$D$3,$D180,$E180,$F180,AA$3)</f>
        <v>0</v>
      </c>
      <c r="AB180" s="58">
        <f>_xll.DBRW($C$2,$X$1,X$2,$D$18,$D$3,$D180,$E180,$F180,AB$3)</f>
        <v>0</v>
      </c>
      <c r="AC180" s="48">
        <f t="shared" si="50"/>
        <v>-3</v>
      </c>
      <c r="AD180" s="39">
        <f>_xll.DBRW($C$2,$AD$1,AD$2,$D$18,$D$3,$D180,$E180,$F180,AD$3)</f>
        <v>0</v>
      </c>
      <c r="AE180" s="25" cm="1">
        <f t="array" ref="AE180">_xll.DBRW($E$2,AD$1,AD$2,$D$18,$D$3,$D180,$E180,$F180,$F$3,AE$3)</f>
        <v>0</v>
      </c>
      <c r="AF180" s="25">
        <f>_xll.DBRW($C$2,$AD$1,AD$2,$D$18,$D$3,$D180,$E180,$F180,AF$3)</f>
        <v>2</v>
      </c>
      <c r="AG180" s="64">
        <f>_xll.DBRW($C$2,$AD$1,AD$2,$D$18,$D$3,$D180,$E180,$F180,AG$3)</f>
        <v>0</v>
      </c>
      <c r="AH180" s="58">
        <f>_xll.DBRW($C$2,$AD$1,AD$2,$D$18,$D$3,$D180,$E180,$F180,AH$3)</f>
        <v>0</v>
      </c>
      <c r="AI180" s="48">
        <f t="shared" si="51"/>
        <v>-5</v>
      </c>
      <c r="AJ180" s="39">
        <f>_xll.DBRW($C$2,$AJ$1,AJ$2,$D$18,$D$3,$D180,$E180,$F180,AJ$3)</f>
        <v>0</v>
      </c>
      <c r="AK180" s="25" cm="1">
        <f t="array" ref="AK180">_xll.DBRW($E$2,AJ$1,AJ$2,$D$18,$D$3,$D180,$E180,$F180,$F$3,AK$3)</f>
        <v>0</v>
      </c>
      <c r="AL180" s="25">
        <f>_xll.DBRW($C$2,$AJ$1,AJ$2,$D$18,$D$3,$D180,$E180,$F180,AL$3)</f>
        <v>2</v>
      </c>
      <c r="AM180" s="64">
        <f>_xll.DBRW($C$2,$AJ$1,AJ$2,$D$18,$D$3,$D180,$E180,$F180,AM$3)</f>
        <v>0</v>
      </c>
      <c r="AN180" s="58">
        <f>_xll.DBRW($C$2,$AJ$1,AJ$2,$D$18,$D$3,$D180,$E180,$F180,AN$3)</f>
        <v>0</v>
      </c>
      <c r="AO180" s="48">
        <f t="shared" si="52"/>
        <v>-7</v>
      </c>
      <c r="AP180" s="39">
        <f>_xll.DBRW($C$2,$AP$1,AP$2,$D$18,$D$3,$D180,$E180,$F180,AP$3)</f>
        <v>0</v>
      </c>
      <c r="AQ180" s="25" cm="1">
        <f t="array" ref="AQ180">_xll.DBRW($E$2,AP$1,AP$2,$D$18,$D$3,$D180,$E180,$F180,$F$3,AQ$3)</f>
        <v>0</v>
      </c>
      <c r="AR180" s="25">
        <f>_xll.DBRW($C$2,$AP$1,AP$2,$D$18,$D$3,$D180,$E180,$F180,AR$3)</f>
        <v>2</v>
      </c>
      <c r="AS180" s="64">
        <f>_xll.DBRW($C$2,$AP$1,AP$2,$D$18,$D$3,$D180,$E180,$F180,AS$3)</f>
        <v>0</v>
      </c>
      <c r="AT180" s="58">
        <f>_xll.DBRW($C$2,$AP$1,AP$2,$D$18,$D$3,$D180,$E180,$F180,AT$3)</f>
        <v>0</v>
      </c>
      <c r="AU180" s="48">
        <f t="shared" si="53"/>
        <v>-9</v>
      </c>
      <c r="AV180" s="39">
        <f>_xll.DBRW($C$2,$AV$1,AV$2,$D$18,$D$3,$D180,$E180,$F180,AV$3)</f>
        <v>0</v>
      </c>
      <c r="AW180" s="25" cm="1">
        <f t="array" ref="AW180">_xll.DBRW($E$2,AV$1,AV$2,$D$18,$D$3,$D180,$E180,$F180,$F$3,AW$3)</f>
        <v>0</v>
      </c>
      <c r="AX180" s="25">
        <f>_xll.DBRW($C$2,$AV$1,AV$2,$D$18,$D$3,$D180,$E180,$F180,AX$3)</f>
        <v>2</v>
      </c>
      <c r="AY180" s="64">
        <f>_xll.DBRW($C$2,$AV$1,AV$2,$D$18,$D$3,$D180,$E180,$F180,AY$3)</f>
        <v>1</v>
      </c>
      <c r="AZ180" s="58">
        <f>_xll.DBRW($C$2,$AV$1,AV$2,$D$18,$D$3,$D180,$E180,$F180,AZ$3)</f>
        <v>0</v>
      </c>
      <c r="BA180" s="48">
        <f t="shared" si="54"/>
        <v>-11</v>
      </c>
      <c r="BB180" s="39">
        <f>_xll.DBRW($C$2,$BB$1,BB$2,$D$18,$D$3,$D180,$E180,$F180,BB$3)</f>
        <v>0</v>
      </c>
      <c r="BC180" s="25" cm="1">
        <f t="array" ref="BC180">_xll.DBRW($E$2,BB$1,BB$2,$D$18,$D$3,$D180,$E180,$F180,$F$3,BC$3)</f>
        <v>0</v>
      </c>
      <c r="BD180" s="25">
        <f>_xll.DBRW($C$2,$BB$1,BB$2,$D$18,$D$3,$D180,$E180,$F180,BD$3)</f>
        <v>2</v>
      </c>
      <c r="BE180" s="64">
        <f>_xll.DBRW($C$2,$BB$1,BB$2,$D$18,$D$3,$D180,$E180,$F180,BE$3)</f>
        <v>0</v>
      </c>
      <c r="BF180" s="58">
        <f>_xll.DBRW($C$2,$BB$1,BB$2,$D$18,$D$3,$D180,$E180,$F180,BF$3)</f>
        <v>0</v>
      </c>
      <c r="BG180" s="48">
        <f t="shared" si="55"/>
        <v>-13</v>
      </c>
      <c r="BH180" s="39">
        <f>_xll.DBRW($C$2,$BH$1,BH$2,$D$18,$D$3,$D180,$E180,$F180,BH$3)</f>
        <v>0</v>
      </c>
      <c r="BI180" s="25" cm="1">
        <f t="array" ref="BI180">_xll.DBRW($E$2,BH$1,BH$2,$D$18,$D$3,$D180,$E180,$F180,$F$3,BI$3)</f>
        <v>0</v>
      </c>
      <c r="BJ180" s="25">
        <f>_xll.DBRW($C$2,$BH$1,BH$2,$D$18,$D$3,$D180,$E180,$F180,BJ$3)</f>
        <v>2</v>
      </c>
      <c r="BK180" s="64">
        <f>_xll.DBRW($C$2,$BH$1,BH$2,$D$18,$D$3,$D180,$E180,$F180,BK$3)</f>
        <v>0</v>
      </c>
      <c r="BL180" s="58">
        <f>_xll.DBRW($C$2,$BH$1,BH$2,$D$18,$D$3,$D180,$E180,$F180,BL$3)</f>
        <v>0</v>
      </c>
      <c r="BM180" s="48">
        <f t="shared" si="56"/>
        <v>-15</v>
      </c>
      <c r="BN180" s="39">
        <f>_xll.DBRW($C$2,$BN$1,BN$2,$D$18,$D$3,$D180,$E180,$F180,BN$3)</f>
        <v>0</v>
      </c>
      <c r="BO180" s="25" cm="1">
        <f t="array" ref="BO180">_xll.DBRW($E$2,BN$1,BN$2,$D$18,$D$3,$D180,$E180,$F180,$F$3,BO$3)</f>
        <v>0</v>
      </c>
      <c r="BP180" s="25">
        <f>_xll.DBRW($C$2,$BN$1,BN$2,$D$18,$D$3,$D180,$E180,$F180,BP$3)</f>
        <v>2</v>
      </c>
      <c r="BQ180" s="64">
        <f>_xll.DBRW($C$2,$BN$1,BN$2,$D$18,$D$3,$D180,$E180,$F180,BQ$3)</f>
        <v>0</v>
      </c>
      <c r="BR180" s="58">
        <f>_xll.DBRW($C$2,$BN$1,BN$2,$D$18,$D$3,$D180,$E180,$F180,BR$3)</f>
        <v>0</v>
      </c>
      <c r="BS180" s="48">
        <f t="shared" si="57"/>
        <v>-17</v>
      </c>
      <c r="BT180" s="39">
        <f>_xll.DBRW($C$2,$BT$1,BT$2,$D$18,$D$3,$D180,$E180,$F180,BT$3)</f>
        <v>0</v>
      </c>
      <c r="BU180" s="25" cm="1">
        <f t="array" ref="BU180">_xll.DBRW($E$2,BT$1,BT$2,$D$18,$D$3,$D180,$E180,$F180,$F$3,BU$3)</f>
        <v>0</v>
      </c>
      <c r="BV180" s="25">
        <f>_xll.DBRW($C$2,$BT$1,BT$2,$D$18,$D$3,$D180,$E180,$F180,BV$3)</f>
        <v>2</v>
      </c>
      <c r="BW180" s="64">
        <f>_xll.DBRW($C$2,$BT$1,BT$2,$D$18,$D$3,$D180,$E180,$F180,BW$3)</f>
        <v>0</v>
      </c>
      <c r="BX180" s="58">
        <f>_xll.DBRW($C$2,$BT$1,BT$2,$D$18,$D$3,$D180,$E180,$F180,BX$3)</f>
        <v>0</v>
      </c>
      <c r="BY180" s="48">
        <f t="shared" si="58"/>
        <v>-19</v>
      </c>
      <c r="BZ180" s="39">
        <f>_xll.DBRW($C$2,$BZ$1,BZ$2,$D$18,$D$3,$D180,$E180,$F180,BZ$3)</f>
        <v>0</v>
      </c>
      <c r="CA180" s="25" cm="1">
        <f t="array" ref="CA180">_xll.DBRW($E$2,BZ$1,BZ$2,$D$18,$D$3,$D180,$E180,$F180,$F$3,CA$3)</f>
        <v>0</v>
      </c>
      <c r="CB180" s="25">
        <f>_xll.DBRW($C$2,$BZ$1,BZ$2,$D$18,$D$3,$D180,$E180,$F180,CB$3)</f>
        <v>2</v>
      </c>
      <c r="CC180" s="64">
        <f>_xll.DBRW($C$2,$BZ$1,BZ$2,$D$18,$D$3,$D180,$E180,$F180,CC$3)</f>
        <v>0</v>
      </c>
      <c r="CD180" s="58">
        <f>_xll.DBRW($C$2,$BZ$1,BZ$2,$D$18,$D$3,$D180,$E180,$F180,CD$3)</f>
        <v>0</v>
      </c>
      <c r="CE180" s="48">
        <f t="shared" si="59"/>
        <v>-21</v>
      </c>
    </row>
    <row r="181" spans="1:83" s="23" customFormat="1" outlineLevel="1" thickBot="1" x14ac:dyDescent="0.3">
      <c r="A181" s="91" t="str">
        <f>IF(_xll.TM1RPTELISCONSOLIDATED($F$22,$F181),IF(_xll.TM1RPTELLEV($F$22,$F181)&lt;=5,_xll.TM1RPTELLEV($F$22,$F181),"Default"),"Leaf")</f>
        <v>Leaf</v>
      </c>
      <c r="B181" s="24" t="str">
        <f>_xll.DBRW("TM1-S1_DEV:}ElementAttributes_SP_SKU",$D181,B$1)</f>
        <v>Primary</v>
      </c>
      <c r="C181" s="24" t="str">
        <f>_xll.DBRW("TM1-S1_DEV:}ElementAttributes_SP_SKU",$D181,C$1)</f>
        <v>PAPER</v>
      </c>
      <c r="D181" s="28" t="s">
        <v>165</v>
      </c>
      <c r="E181" s="28" t="s">
        <v>304</v>
      </c>
      <c r="F181" s="28" t="s">
        <v>327</v>
      </c>
      <c r="G181" s="4">
        <f>_xll.DBRW($C$2,$G$19,G$20,$D$18,$D$3,$D181,$E181,$F181,G$3)</f>
        <v>12</v>
      </c>
      <c r="H181" s="54">
        <f t="shared" si="48"/>
        <v>-2</v>
      </c>
      <c r="I181" s="4"/>
      <c r="J181" s="25">
        <f>_xll.DBRW($C$2,$J$1,J$2,$D$18,$D$3,$D181,$E181,$F181,J$3)</f>
        <v>10</v>
      </c>
      <c r="K181" s="39">
        <f>_xll.DBRW($C$2,$J$1,J$2,$D$18,$D$3,$D181,$E181,$F181,K$3)</f>
        <v>0</v>
      </c>
      <c r="L181" s="25">
        <f>_xll.DBRW($C$2,$J$1,J$2,$D$18,$D$3,$D181,$E181,$F181,L$3)</f>
        <v>0</v>
      </c>
      <c r="M181" s="25">
        <f>_xll.DBRW($C$2,$J$1,J$2,$D$18,$D$3,$D181,$E181,$F181,M$3)</f>
        <v>0</v>
      </c>
      <c r="N181" s="25">
        <f>_xll.DBRW($C$2,$J$1,J$2,$D$18,$D$3,$D181,$E181,$F181,N$3)</f>
        <v>0</v>
      </c>
      <c r="O181" s="64">
        <f>_xll.DBRW($C$2,$J$1,J$2,$D$18,$D$3,$D181,$E181,$F181,O$3)</f>
        <v>0</v>
      </c>
      <c r="P181" s="58">
        <f>_xll.DBRW($C$2,$J$1,J$2,$D$18,$D$3,$D181,$E181,$F181,P$3)</f>
        <v>0</v>
      </c>
      <c r="Q181" s="48">
        <f>_xll.DBRW($C$2,$J$1,J$2,$D$18,$D$3,$D181,$E181,$F181,Q$3)</f>
        <v>10</v>
      </c>
      <c r="R181" s="39">
        <f>_xll.DBRW($C$2,$R$1,R$2,$D$18,$D$3,$D181,$E181,$F181,R$3)</f>
        <v>0</v>
      </c>
      <c r="S181" s="25" cm="1">
        <f t="array" ref="S181">_xll.DBRW($E$2,R$1,R$2,$D$18,$D$3,$D181,$E181,$F181,$F$3,S$3)</f>
        <v>0</v>
      </c>
      <c r="T181" s="25">
        <f>_xll.DBRW($C$2,$R$1,R$2,$D$18,$D$3,$D181,$E181,$F181,T$3)</f>
        <v>0</v>
      </c>
      <c r="U181" s="64">
        <f>_xll.DBRW($C$2,$R$1,R$2,$D$18,$D$3,$D181,$E181,$F181,U$3)</f>
        <v>0</v>
      </c>
      <c r="V181" s="58">
        <f>_xll.DBRW($C$2,$R$1,R$2,$D$18,$D$3,$D181,$E181,$F181,V$3)</f>
        <v>0</v>
      </c>
      <c r="W181" s="48">
        <f t="shared" si="49"/>
        <v>10</v>
      </c>
      <c r="X181" s="39">
        <f>_xll.DBRW($C$2,$X$1,X$2,$D$18,$D$3,$D181,$E181,$F181,X$3)</f>
        <v>0</v>
      </c>
      <c r="Y181" s="25" cm="1">
        <f t="array" ref="Y181">_xll.DBRW($E$2,X$1,X$2,$D$18,$D$3,$D181,$E181,$F181,$F$3,Y$3)</f>
        <v>0</v>
      </c>
      <c r="Z181" s="25">
        <f>_xll.DBRW($C$2,$X$1,X$2,$D$18,$D$3,$D181,$E181,$F181,Z$3)</f>
        <v>2</v>
      </c>
      <c r="AA181" s="64">
        <f>_xll.DBRW($C$2,$X$1,X$2,$D$18,$D$3,$D181,$E181,$F181,AA$3)</f>
        <v>0</v>
      </c>
      <c r="AB181" s="58">
        <f>_xll.DBRW($C$2,$X$1,X$2,$D$18,$D$3,$D181,$E181,$F181,AB$3)</f>
        <v>0</v>
      </c>
      <c r="AC181" s="48">
        <f t="shared" si="50"/>
        <v>8</v>
      </c>
      <c r="AD181" s="39">
        <f>_xll.DBRW($C$2,$AD$1,AD$2,$D$18,$D$3,$D181,$E181,$F181,AD$3)</f>
        <v>0</v>
      </c>
      <c r="AE181" s="25" cm="1">
        <f t="array" ref="AE181">_xll.DBRW($E$2,AD$1,AD$2,$D$18,$D$3,$D181,$E181,$F181,$F$3,AE$3)</f>
        <v>0</v>
      </c>
      <c r="AF181" s="25">
        <f>_xll.DBRW($C$2,$AD$1,AD$2,$D$18,$D$3,$D181,$E181,$F181,AF$3)</f>
        <v>2</v>
      </c>
      <c r="AG181" s="64">
        <f>_xll.DBRW($C$2,$AD$1,AD$2,$D$18,$D$3,$D181,$E181,$F181,AG$3)</f>
        <v>0</v>
      </c>
      <c r="AH181" s="58">
        <f>_xll.DBRW($C$2,$AD$1,AD$2,$D$18,$D$3,$D181,$E181,$F181,AH$3)</f>
        <v>0</v>
      </c>
      <c r="AI181" s="48">
        <f t="shared" si="51"/>
        <v>6</v>
      </c>
      <c r="AJ181" s="39">
        <f>_xll.DBRW($C$2,$AJ$1,AJ$2,$D$18,$D$3,$D181,$E181,$F181,AJ$3)</f>
        <v>0</v>
      </c>
      <c r="AK181" s="25" cm="1">
        <f t="array" ref="AK181">_xll.DBRW($E$2,AJ$1,AJ$2,$D$18,$D$3,$D181,$E181,$F181,$F$3,AK$3)</f>
        <v>0</v>
      </c>
      <c r="AL181" s="25">
        <f>_xll.DBRW($C$2,$AJ$1,AJ$2,$D$18,$D$3,$D181,$E181,$F181,AL$3)</f>
        <v>2</v>
      </c>
      <c r="AM181" s="64">
        <f>_xll.DBRW($C$2,$AJ$1,AJ$2,$D$18,$D$3,$D181,$E181,$F181,AM$3)</f>
        <v>0</v>
      </c>
      <c r="AN181" s="58">
        <f>_xll.DBRW($C$2,$AJ$1,AJ$2,$D$18,$D$3,$D181,$E181,$F181,AN$3)</f>
        <v>0</v>
      </c>
      <c r="AO181" s="48">
        <f t="shared" si="52"/>
        <v>4</v>
      </c>
      <c r="AP181" s="39">
        <f>_xll.DBRW($C$2,$AP$1,AP$2,$D$18,$D$3,$D181,$E181,$F181,AP$3)</f>
        <v>0</v>
      </c>
      <c r="AQ181" s="25" cm="1">
        <f t="array" ref="AQ181">_xll.DBRW($E$2,AP$1,AP$2,$D$18,$D$3,$D181,$E181,$F181,$F$3,AQ$3)</f>
        <v>0</v>
      </c>
      <c r="AR181" s="25">
        <f>_xll.DBRW($C$2,$AP$1,AP$2,$D$18,$D$3,$D181,$E181,$F181,AR$3)</f>
        <v>2</v>
      </c>
      <c r="AS181" s="64">
        <f>_xll.DBRW($C$2,$AP$1,AP$2,$D$18,$D$3,$D181,$E181,$F181,AS$3)</f>
        <v>0</v>
      </c>
      <c r="AT181" s="58">
        <f>_xll.DBRW($C$2,$AP$1,AP$2,$D$18,$D$3,$D181,$E181,$F181,AT$3)</f>
        <v>0</v>
      </c>
      <c r="AU181" s="48">
        <f t="shared" si="53"/>
        <v>2</v>
      </c>
      <c r="AV181" s="39">
        <f>_xll.DBRW($C$2,$AV$1,AV$2,$D$18,$D$3,$D181,$E181,$F181,AV$3)</f>
        <v>0</v>
      </c>
      <c r="AW181" s="25" cm="1">
        <f t="array" ref="AW181">_xll.DBRW($E$2,AV$1,AV$2,$D$18,$D$3,$D181,$E181,$F181,$F$3,AW$3)</f>
        <v>0</v>
      </c>
      <c r="AX181" s="25">
        <f>_xll.DBRW($C$2,$AV$1,AV$2,$D$18,$D$3,$D181,$E181,$F181,AX$3)</f>
        <v>2</v>
      </c>
      <c r="AY181" s="64">
        <f>_xll.DBRW($C$2,$AV$1,AV$2,$D$18,$D$3,$D181,$E181,$F181,AY$3)</f>
        <v>0</v>
      </c>
      <c r="AZ181" s="58">
        <f>_xll.DBRW($C$2,$AV$1,AV$2,$D$18,$D$3,$D181,$E181,$F181,AZ$3)</f>
        <v>0</v>
      </c>
      <c r="BA181" s="48">
        <f t="shared" si="54"/>
        <v>0</v>
      </c>
      <c r="BB181" s="39">
        <f>_xll.DBRW($C$2,$BB$1,BB$2,$D$18,$D$3,$D181,$E181,$F181,BB$3)</f>
        <v>0</v>
      </c>
      <c r="BC181" s="25" cm="1">
        <f t="array" ref="BC181">_xll.DBRW($E$2,BB$1,BB$2,$D$18,$D$3,$D181,$E181,$F181,$F$3,BC$3)</f>
        <v>0</v>
      </c>
      <c r="BD181" s="25">
        <f>_xll.DBRW($C$2,$BB$1,BB$2,$D$18,$D$3,$D181,$E181,$F181,BD$3)</f>
        <v>2</v>
      </c>
      <c r="BE181" s="64">
        <f>_xll.DBRW($C$2,$BB$1,BB$2,$D$18,$D$3,$D181,$E181,$F181,BE$3)</f>
        <v>0</v>
      </c>
      <c r="BF181" s="58">
        <f>_xll.DBRW($C$2,$BB$1,BB$2,$D$18,$D$3,$D181,$E181,$F181,BF$3)</f>
        <v>0</v>
      </c>
      <c r="BG181" s="48">
        <f t="shared" si="55"/>
        <v>-2</v>
      </c>
      <c r="BH181" s="39">
        <f>_xll.DBRW($C$2,$BH$1,BH$2,$D$18,$D$3,$D181,$E181,$F181,BH$3)</f>
        <v>0</v>
      </c>
      <c r="BI181" s="25" cm="1">
        <f t="array" ref="BI181">_xll.DBRW($E$2,BH$1,BH$2,$D$18,$D$3,$D181,$E181,$F181,$F$3,BI$3)</f>
        <v>0</v>
      </c>
      <c r="BJ181" s="25">
        <f>_xll.DBRW($C$2,$BH$1,BH$2,$D$18,$D$3,$D181,$E181,$F181,BJ$3)</f>
        <v>2</v>
      </c>
      <c r="BK181" s="64">
        <f>_xll.DBRW($C$2,$BH$1,BH$2,$D$18,$D$3,$D181,$E181,$F181,BK$3)</f>
        <v>0</v>
      </c>
      <c r="BL181" s="58">
        <f>_xll.DBRW($C$2,$BH$1,BH$2,$D$18,$D$3,$D181,$E181,$F181,BL$3)</f>
        <v>0</v>
      </c>
      <c r="BM181" s="48">
        <f t="shared" si="56"/>
        <v>-4</v>
      </c>
      <c r="BN181" s="39">
        <f>_xll.DBRW($C$2,$BN$1,BN$2,$D$18,$D$3,$D181,$E181,$F181,BN$3)</f>
        <v>0</v>
      </c>
      <c r="BO181" s="25" cm="1">
        <f t="array" ref="BO181">_xll.DBRW($E$2,BN$1,BN$2,$D$18,$D$3,$D181,$E181,$F181,$F$3,BO$3)</f>
        <v>0</v>
      </c>
      <c r="BP181" s="25">
        <f>_xll.DBRW($C$2,$BN$1,BN$2,$D$18,$D$3,$D181,$E181,$F181,BP$3)</f>
        <v>2</v>
      </c>
      <c r="BQ181" s="64">
        <f>_xll.DBRW($C$2,$BN$1,BN$2,$D$18,$D$3,$D181,$E181,$F181,BQ$3)</f>
        <v>0</v>
      </c>
      <c r="BR181" s="58">
        <f>_xll.DBRW($C$2,$BN$1,BN$2,$D$18,$D$3,$D181,$E181,$F181,BR$3)</f>
        <v>0</v>
      </c>
      <c r="BS181" s="48">
        <f t="shared" si="57"/>
        <v>-6</v>
      </c>
      <c r="BT181" s="39">
        <f>_xll.DBRW($C$2,$BT$1,BT$2,$D$18,$D$3,$D181,$E181,$F181,BT$3)</f>
        <v>0</v>
      </c>
      <c r="BU181" s="25" cm="1">
        <f t="array" ref="BU181">_xll.DBRW($E$2,BT$1,BT$2,$D$18,$D$3,$D181,$E181,$F181,$F$3,BU$3)</f>
        <v>0</v>
      </c>
      <c r="BV181" s="25">
        <f>_xll.DBRW($C$2,$BT$1,BT$2,$D$18,$D$3,$D181,$E181,$F181,BV$3)</f>
        <v>2</v>
      </c>
      <c r="BW181" s="64">
        <f>_xll.DBRW($C$2,$BT$1,BT$2,$D$18,$D$3,$D181,$E181,$F181,BW$3)</f>
        <v>0</v>
      </c>
      <c r="BX181" s="58">
        <f>_xll.DBRW($C$2,$BT$1,BT$2,$D$18,$D$3,$D181,$E181,$F181,BX$3)</f>
        <v>0</v>
      </c>
      <c r="BY181" s="48">
        <f t="shared" si="58"/>
        <v>-8</v>
      </c>
      <c r="BZ181" s="39">
        <f>_xll.DBRW($C$2,$BZ$1,BZ$2,$D$18,$D$3,$D181,$E181,$F181,BZ$3)</f>
        <v>0</v>
      </c>
      <c r="CA181" s="25" cm="1">
        <f t="array" ref="CA181">_xll.DBRW($E$2,BZ$1,BZ$2,$D$18,$D$3,$D181,$E181,$F181,$F$3,CA$3)</f>
        <v>0</v>
      </c>
      <c r="CB181" s="25">
        <f>_xll.DBRW($C$2,$BZ$1,BZ$2,$D$18,$D$3,$D181,$E181,$F181,CB$3)</f>
        <v>2</v>
      </c>
      <c r="CC181" s="64">
        <f>_xll.DBRW($C$2,$BZ$1,BZ$2,$D$18,$D$3,$D181,$E181,$F181,CC$3)</f>
        <v>0</v>
      </c>
      <c r="CD181" s="58">
        <f>_xll.DBRW($C$2,$BZ$1,BZ$2,$D$18,$D$3,$D181,$E181,$F181,CD$3)</f>
        <v>0</v>
      </c>
      <c r="CE181" s="48">
        <f t="shared" si="59"/>
        <v>-10</v>
      </c>
    </row>
    <row r="182" spans="1:83" s="23" customFormat="1" outlineLevel="1" thickBot="1" x14ac:dyDescent="0.3">
      <c r="A182" s="91" t="str">
        <f>IF(_xll.TM1RPTELISCONSOLIDATED($F$22,$F182),IF(_xll.TM1RPTELLEV($F$22,$F182)&lt;=5,_xll.TM1RPTELLEV($F$22,$F182),"Default"),"Leaf")</f>
        <v>Leaf</v>
      </c>
      <c r="B182" s="24" t="str">
        <f>_xll.DBRW("TM1-S1_DEV:}ElementAttributes_SP_SKU",$D182,B$1)</f>
        <v>Primary</v>
      </c>
      <c r="C182" s="24" t="str">
        <f>_xll.DBRW("TM1-S1_DEV:}ElementAttributes_SP_SKU",$D182,C$1)</f>
        <v>UTENSIL</v>
      </c>
      <c r="D182" s="28" t="s">
        <v>166</v>
      </c>
      <c r="E182" s="28" t="s">
        <v>305</v>
      </c>
      <c r="F182" s="28" t="s">
        <v>328</v>
      </c>
      <c r="G182" s="4">
        <f>_xll.DBRW($C$2,$G$19,G$20,$D$18,$D$3,$D182,$E182,$F182,G$3)</f>
        <v>189</v>
      </c>
      <c r="H182" s="54">
        <f t="shared" si="48"/>
        <v>71</v>
      </c>
      <c r="I182" s="4"/>
      <c r="J182" s="25">
        <f>_xll.DBRW($C$2,$J$1,J$2,$D$18,$D$3,$D182,$E182,$F182,J$3)</f>
        <v>260</v>
      </c>
      <c r="K182" s="39">
        <f>_xll.DBRW($C$2,$J$1,J$2,$D$18,$D$3,$D182,$E182,$F182,K$3)</f>
        <v>0</v>
      </c>
      <c r="L182" s="25">
        <f>_xll.DBRW($C$2,$J$1,J$2,$D$18,$D$3,$D182,$E182,$F182,L$3)</f>
        <v>0</v>
      </c>
      <c r="M182" s="25">
        <f>_xll.DBRW($C$2,$J$1,J$2,$D$18,$D$3,$D182,$E182,$F182,M$3)</f>
        <v>0</v>
      </c>
      <c r="N182" s="25">
        <f>_xll.DBRW($C$2,$J$1,J$2,$D$18,$D$3,$D182,$E182,$F182,N$3)</f>
        <v>0</v>
      </c>
      <c r="O182" s="64">
        <f>_xll.DBRW($C$2,$J$1,J$2,$D$18,$D$3,$D182,$E182,$F182,O$3)</f>
        <v>0</v>
      </c>
      <c r="P182" s="58">
        <f>_xll.DBRW($C$2,$J$1,J$2,$D$18,$D$3,$D182,$E182,$F182,P$3)</f>
        <v>0</v>
      </c>
      <c r="Q182" s="48">
        <f>_xll.DBRW($C$2,$J$1,J$2,$D$18,$D$3,$D182,$E182,$F182,Q$3)</f>
        <v>260</v>
      </c>
      <c r="R182" s="39">
        <f>_xll.DBRW($C$2,$R$1,R$2,$D$18,$D$3,$D182,$E182,$F182,R$3)</f>
        <v>0</v>
      </c>
      <c r="S182" s="25" cm="1">
        <f t="array" ref="S182">_xll.DBRW($E$2,R$1,R$2,$D$18,$D$3,$D182,$E182,$F182,$F$3,S$3)</f>
        <v>0</v>
      </c>
      <c r="T182" s="25">
        <f>_xll.DBRW($C$2,$R$1,R$2,$D$18,$D$3,$D182,$E182,$F182,T$3)</f>
        <v>0</v>
      </c>
      <c r="U182" s="64">
        <f>_xll.DBRW($C$2,$R$1,R$2,$D$18,$D$3,$D182,$E182,$F182,U$3)</f>
        <v>0</v>
      </c>
      <c r="V182" s="58">
        <f>_xll.DBRW($C$2,$R$1,R$2,$D$18,$D$3,$D182,$E182,$F182,V$3)</f>
        <v>0</v>
      </c>
      <c r="W182" s="48">
        <f t="shared" si="49"/>
        <v>260</v>
      </c>
      <c r="X182" s="39">
        <f>_xll.DBRW($C$2,$X$1,X$2,$D$18,$D$3,$D182,$E182,$F182,X$3)</f>
        <v>0</v>
      </c>
      <c r="Y182" s="25" cm="1">
        <f t="array" ref="Y182">_xll.DBRW($E$2,X$1,X$2,$D$18,$D$3,$D182,$E182,$F182,$F$3,Y$3)</f>
        <v>0</v>
      </c>
      <c r="Z182" s="25">
        <f>_xll.DBRW($C$2,$X$1,X$2,$D$18,$D$3,$D182,$E182,$F182,Z$3)</f>
        <v>0</v>
      </c>
      <c r="AA182" s="64">
        <f>_xll.DBRW($C$2,$X$1,X$2,$D$18,$D$3,$D182,$E182,$F182,AA$3)</f>
        <v>0</v>
      </c>
      <c r="AB182" s="58">
        <f>_xll.DBRW($C$2,$X$1,X$2,$D$18,$D$3,$D182,$E182,$F182,AB$3)</f>
        <v>0</v>
      </c>
      <c r="AC182" s="48">
        <f t="shared" si="50"/>
        <v>260</v>
      </c>
      <c r="AD182" s="39">
        <f>_xll.DBRW($C$2,$AD$1,AD$2,$D$18,$D$3,$D182,$E182,$F182,AD$3)</f>
        <v>0</v>
      </c>
      <c r="AE182" s="25" cm="1">
        <f t="array" ref="AE182">_xll.DBRW($E$2,AD$1,AD$2,$D$18,$D$3,$D182,$E182,$F182,$F$3,AE$3)</f>
        <v>0</v>
      </c>
      <c r="AF182" s="25">
        <f>_xll.DBRW($C$2,$AD$1,AD$2,$D$18,$D$3,$D182,$E182,$F182,AF$3)</f>
        <v>0</v>
      </c>
      <c r="AG182" s="64">
        <f>_xll.DBRW($C$2,$AD$1,AD$2,$D$18,$D$3,$D182,$E182,$F182,AG$3)</f>
        <v>0</v>
      </c>
      <c r="AH182" s="58">
        <f>_xll.DBRW($C$2,$AD$1,AD$2,$D$18,$D$3,$D182,$E182,$F182,AH$3)</f>
        <v>0</v>
      </c>
      <c r="AI182" s="48">
        <f t="shared" si="51"/>
        <v>260</v>
      </c>
      <c r="AJ182" s="39">
        <f>_xll.DBRW($C$2,$AJ$1,AJ$2,$D$18,$D$3,$D182,$E182,$F182,AJ$3)</f>
        <v>0</v>
      </c>
      <c r="AK182" s="25" cm="1">
        <f t="array" ref="AK182">_xll.DBRW($E$2,AJ$1,AJ$2,$D$18,$D$3,$D182,$E182,$F182,$F$3,AK$3)</f>
        <v>0</v>
      </c>
      <c r="AL182" s="25">
        <f>_xll.DBRW($C$2,$AJ$1,AJ$2,$D$18,$D$3,$D182,$E182,$F182,AL$3)</f>
        <v>0</v>
      </c>
      <c r="AM182" s="64">
        <f>_xll.DBRW($C$2,$AJ$1,AJ$2,$D$18,$D$3,$D182,$E182,$F182,AM$3)</f>
        <v>0</v>
      </c>
      <c r="AN182" s="58">
        <f>_xll.DBRW($C$2,$AJ$1,AJ$2,$D$18,$D$3,$D182,$E182,$F182,AN$3)</f>
        <v>0</v>
      </c>
      <c r="AO182" s="48">
        <f t="shared" si="52"/>
        <v>260</v>
      </c>
      <c r="AP182" s="39">
        <f>_xll.DBRW($C$2,$AP$1,AP$2,$D$18,$D$3,$D182,$E182,$F182,AP$3)</f>
        <v>0</v>
      </c>
      <c r="AQ182" s="25" cm="1">
        <f t="array" ref="AQ182">_xll.DBRW($E$2,AP$1,AP$2,$D$18,$D$3,$D182,$E182,$F182,$F$3,AQ$3)</f>
        <v>0</v>
      </c>
      <c r="AR182" s="25">
        <f>_xll.DBRW($C$2,$AP$1,AP$2,$D$18,$D$3,$D182,$E182,$F182,AR$3)</f>
        <v>0</v>
      </c>
      <c r="AS182" s="64">
        <f>_xll.DBRW($C$2,$AP$1,AP$2,$D$18,$D$3,$D182,$E182,$F182,AS$3)</f>
        <v>0</v>
      </c>
      <c r="AT182" s="58">
        <f>_xll.DBRW($C$2,$AP$1,AP$2,$D$18,$D$3,$D182,$E182,$F182,AT$3)</f>
        <v>0</v>
      </c>
      <c r="AU182" s="48">
        <f t="shared" si="53"/>
        <v>260</v>
      </c>
      <c r="AV182" s="39">
        <f>_xll.DBRW($C$2,$AV$1,AV$2,$D$18,$D$3,$D182,$E182,$F182,AV$3)</f>
        <v>0</v>
      </c>
      <c r="AW182" s="25" cm="1">
        <f t="array" ref="AW182">_xll.DBRW($E$2,AV$1,AV$2,$D$18,$D$3,$D182,$E182,$F182,$F$3,AW$3)</f>
        <v>0</v>
      </c>
      <c r="AX182" s="25">
        <f>_xll.DBRW($C$2,$AV$1,AV$2,$D$18,$D$3,$D182,$E182,$F182,AX$3)</f>
        <v>0</v>
      </c>
      <c r="AY182" s="64">
        <f>_xll.DBRW($C$2,$AV$1,AV$2,$D$18,$D$3,$D182,$E182,$F182,AY$3)</f>
        <v>0</v>
      </c>
      <c r="AZ182" s="58">
        <f>_xll.DBRW($C$2,$AV$1,AV$2,$D$18,$D$3,$D182,$E182,$F182,AZ$3)</f>
        <v>0</v>
      </c>
      <c r="BA182" s="48">
        <f t="shared" si="54"/>
        <v>260</v>
      </c>
      <c r="BB182" s="39">
        <f>_xll.DBRW($C$2,$BB$1,BB$2,$D$18,$D$3,$D182,$E182,$F182,BB$3)</f>
        <v>0</v>
      </c>
      <c r="BC182" s="25" cm="1">
        <f t="array" ref="BC182">_xll.DBRW($E$2,BB$1,BB$2,$D$18,$D$3,$D182,$E182,$F182,$F$3,BC$3)</f>
        <v>0</v>
      </c>
      <c r="BD182" s="25">
        <f>_xll.DBRW($C$2,$BB$1,BB$2,$D$18,$D$3,$D182,$E182,$F182,BD$3)</f>
        <v>0</v>
      </c>
      <c r="BE182" s="64">
        <f>_xll.DBRW($C$2,$BB$1,BB$2,$D$18,$D$3,$D182,$E182,$F182,BE$3)</f>
        <v>0</v>
      </c>
      <c r="BF182" s="58">
        <f>_xll.DBRW($C$2,$BB$1,BB$2,$D$18,$D$3,$D182,$E182,$F182,BF$3)</f>
        <v>0</v>
      </c>
      <c r="BG182" s="48">
        <f t="shared" si="55"/>
        <v>260</v>
      </c>
      <c r="BH182" s="39">
        <f>_xll.DBRW($C$2,$BH$1,BH$2,$D$18,$D$3,$D182,$E182,$F182,BH$3)</f>
        <v>0</v>
      </c>
      <c r="BI182" s="25" cm="1">
        <f t="array" ref="BI182">_xll.DBRW($E$2,BH$1,BH$2,$D$18,$D$3,$D182,$E182,$F182,$F$3,BI$3)</f>
        <v>0</v>
      </c>
      <c r="BJ182" s="25">
        <f>_xll.DBRW($C$2,$BH$1,BH$2,$D$18,$D$3,$D182,$E182,$F182,BJ$3)</f>
        <v>0</v>
      </c>
      <c r="BK182" s="64">
        <f>_xll.DBRW($C$2,$BH$1,BH$2,$D$18,$D$3,$D182,$E182,$F182,BK$3)</f>
        <v>0</v>
      </c>
      <c r="BL182" s="58">
        <f>_xll.DBRW($C$2,$BH$1,BH$2,$D$18,$D$3,$D182,$E182,$F182,BL$3)</f>
        <v>0</v>
      </c>
      <c r="BM182" s="48">
        <f t="shared" si="56"/>
        <v>260</v>
      </c>
      <c r="BN182" s="39">
        <f>_xll.DBRW($C$2,$BN$1,BN$2,$D$18,$D$3,$D182,$E182,$F182,BN$3)</f>
        <v>0</v>
      </c>
      <c r="BO182" s="25" cm="1">
        <f t="array" ref="BO182">_xll.DBRW($E$2,BN$1,BN$2,$D$18,$D$3,$D182,$E182,$F182,$F$3,BO$3)</f>
        <v>0</v>
      </c>
      <c r="BP182" s="25">
        <f>_xll.DBRW($C$2,$BN$1,BN$2,$D$18,$D$3,$D182,$E182,$F182,BP$3)</f>
        <v>0</v>
      </c>
      <c r="BQ182" s="64">
        <f>_xll.DBRW($C$2,$BN$1,BN$2,$D$18,$D$3,$D182,$E182,$F182,BQ$3)</f>
        <v>0</v>
      </c>
      <c r="BR182" s="58">
        <f>_xll.DBRW($C$2,$BN$1,BN$2,$D$18,$D$3,$D182,$E182,$F182,BR$3)</f>
        <v>0</v>
      </c>
      <c r="BS182" s="48">
        <f t="shared" si="57"/>
        <v>260</v>
      </c>
      <c r="BT182" s="39">
        <f>_xll.DBRW($C$2,$BT$1,BT$2,$D$18,$D$3,$D182,$E182,$F182,BT$3)</f>
        <v>0</v>
      </c>
      <c r="BU182" s="25" cm="1">
        <f t="array" ref="BU182">_xll.DBRW($E$2,BT$1,BT$2,$D$18,$D$3,$D182,$E182,$F182,$F$3,BU$3)</f>
        <v>0</v>
      </c>
      <c r="BV182" s="25">
        <f>_xll.DBRW($C$2,$BT$1,BT$2,$D$18,$D$3,$D182,$E182,$F182,BV$3)</f>
        <v>0</v>
      </c>
      <c r="BW182" s="64">
        <f>_xll.DBRW($C$2,$BT$1,BT$2,$D$18,$D$3,$D182,$E182,$F182,BW$3)</f>
        <v>0</v>
      </c>
      <c r="BX182" s="58">
        <f>_xll.DBRW($C$2,$BT$1,BT$2,$D$18,$D$3,$D182,$E182,$F182,BX$3)</f>
        <v>0</v>
      </c>
      <c r="BY182" s="48">
        <f t="shared" si="58"/>
        <v>260</v>
      </c>
      <c r="BZ182" s="39">
        <f>_xll.DBRW($C$2,$BZ$1,BZ$2,$D$18,$D$3,$D182,$E182,$F182,BZ$3)</f>
        <v>0</v>
      </c>
      <c r="CA182" s="25" cm="1">
        <f t="array" ref="CA182">_xll.DBRW($E$2,BZ$1,BZ$2,$D$18,$D$3,$D182,$E182,$F182,$F$3,CA$3)</f>
        <v>0</v>
      </c>
      <c r="CB182" s="25">
        <f>_xll.DBRW($C$2,$BZ$1,BZ$2,$D$18,$D$3,$D182,$E182,$F182,CB$3)</f>
        <v>0</v>
      </c>
      <c r="CC182" s="64">
        <f>_xll.DBRW($C$2,$BZ$1,BZ$2,$D$18,$D$3,$D182,$E182,$F182,CC$3)</f>
        <v>0</v>
      </c>
      <c r="CD182" s="58">
        <f>_xll.DBRW($C$2,$BZ$1,BZ$2,$D$18,$D$3,$D182,$E182,$F182,CD$3)</f>
        <v>0</v>
      </c>
      <c r="CE182" s="48">
        <f t="shared" si="59"/>
        <v>260</v>
      </c>
    </row>
    <row r="183" spans="1:83" s="23" customFormat="1" outlineLevel="1" thickBot="1" x14ac:dyDescent="0.3">
      <c r="A183" s="91" t="str">
        <f>IF(_xll.TM1RPTELISCONSOLIDATED($F$22,$F183),IF(_xll.TM1RPTELLEV($F$22,$F183)&lt;=5,_xll.TM1RPTELLEV($F$22,$F183),"Default"),"Leaf")</f>
        <v>Leaf</v>
      </c>
      <c r="B183" s="24" t="str">
        <f>_xll.DBRW("TM1-S1_DEV:}ElementAttributes_SP_SKU",$D183,B$1)</f>
        <v>Primary</v>
      </c>
      <c r="C183" s="24" t="str">
        <f>_xll.DBRW("TM1-S1_DEV:}ElementAttributes_SP_SKU",$D183,C$1)</f>
        <v>PAPER</v>
      </c>
      <c r="D183" s="28" t="s">
        <v>167</v>
      </c>
      <c r="E183" s="28" t="s">
        <v>306</v>
      </c>
      <c r="F183" s="28" t="s">
        <v>328</v>
      </c>
      <c r="G183" s="4">
        <f>_xll.DBRW($C$2,$G$19,G$20,$D$18,$D$3,$D183,$E183,$F183,G$3)</f>
        <v>54</v>
      </c>
      <c r="H183" s="54">
        <f t="shared" si="48"/>
        <v>20</v>
      </c>
      <c r="I183" s="4"/>
      <c r="J183" s="25">
        <f>_xll.DBRW($C$2,$J$1,J$2,$D$18,$D$3,$D183,$E183,$F183,J$3)</f>
        <v>74</v>
      </c>
      <c r="K183" s="39">
        <f>_xll.DBRW($C$2,$J$1,J$2,$D$18,$D$3,$D183,$E183,$F183,K$3)</f>
        <v>0</v>
      </c>
      <c r="L183" s="25">
        <f>_xll.DBRW($C$2,$J$1,J$2,$D$18,$D$3,$D183,$E183,$F183,L$3)</f>
        <v>0</v>
      </c>
      <c r="M183" s="25">
        <f>_xll.DBRW($C$2,$J$1,J$2,$D$18,$D$3,$D183,$E183,$F183,M$3)</f>
        <v>0</v>
      </c>
      <c r="N183" s="25">
        <f>_xll.DBRW($C$2,$J$1,J$2,$D$18,$D$3,$D183,$E183,$F183,N$3)</f>
        <v>0</v>
      </c>
      <c r="O183" s="64">
        <f>_xll.DBRW($C$2,$J$1,J$2,$D$18,$D$3,$D183,$E183,$F183,O$3)</f>
        <v>0</v>
      </c>
      <c r="P183" s="58">
        <f>_xll.DBRW($C$2,$J$1,J$2,$D$18,$D$3,$D183,$E183,$F183,P$3)</f>
        <v>0</v>
      </c>
      <c r="Q183" s="48">
        <f>_xll.DBRW($C$2,$J$1,J$2,$D$18,$D$3,$D183,$E183,$F183,Q$3)</f>
        <v>74</v>
      </c>
      <c r="R183" s="39">
        <f>_xll.DBRW($C$2,$R$1,R$2,$D$18,$D$3,$D183,$E183,$F183,R$3)</f>
        <v>0</v>
      </c>
      <c r="S183" s="25" cm="1">
        <f t="array" ref="S183">_xll.DBRW($E$2,R$1,R$2,$D$18,$D$3,$D183,$E183,$F183,$F$3,S$3)</f>
        <v>0</v>
      </c>
      <c r="T183" s="25">
        <f>_xll.DBRW($C$2,$R$1,R$2,$D$18,$D$3,$D183,$E183,$F183,T$3)</f>
        <v>0</v>
      </c>
      <c r="U183" s="64">
        <f>_xll.DBRW($C$2,$R$1,R$2,$D$18,$D$3,$D183,$E183,$F183,U$3)</f>
        <v>0</v>
      </c>
      <c r="V183" s="58">
        <f>_xll.DBRW($C$2,$R$1,R$2,$D$18,$D$3,$D183,$E183,$F183,V$3)</f>
        <v>0</v>
      </c>
      <c r="W183" s="48">
        <f t="shared" si="49"/>
        <v>74</v>
      </c>
      <c r="X183" s="39">
        <f>_xll.DBRW($C$2,$X$1,X$2,$D$18,$D$3,$D183,$E183,$F183,X$3)</f>
        <v>0</v>
      </c>
      <c r="Y183" s="25" cm="1">
        <f t="array" ref="Y183">_xll.DBRW($E$2,X$1,X$2,$D$18,$D$3,$D183,$E183,$F183,$F$3,Y$3)</f>
        <v>0</v>
      </c>
      <c r="Z183" s="25">
        <f>_xll.DBRW($C$2,$X$1,X$2,$D$18,$D$3,$D183,$E183,$F183,Z$3)</f>
        <v>1</v>
      </c>
      <c r="AA183" s="64">
        <f>_xll.DBRW($C$2,$X$1,X$2,$D$18,$D$3,$D183,$E183,$F183,AA$3)</f>
        <v>0</v>
      </c>
      <c r="AB183" s="58">
        <f>_xll.DBRW($C$2,$X$1,X$2,$D$18,$D$3,$D183,$E183,$F183,AB$3)</f>
        <v>0</v>
      </c>
      <c r="AC183" s="48">
        <f t="shared" si="50"/>
        <v>73</v>
      </c>
      <c r="AD183" s="39">
        <f>_xll.DBRW($C$2,$AD$1,AD$2,$D$18,$D$3,$D183,$E183,$F183,AD$3)</f>
        <v>0</v>
      </c>
      <c r="AE183" s="25" cm="1">
        <f t="array" ref="AE183">_xll.DBRW($E$2,AD$1,AD$2,$D$18,$D$3,$D183,$E183,$F183,$F$3,AE$3)</f>
        <v>0</v>
      </c>
      <c r="AF183" s="25">
        <f>_xll.DBRW($C$2,$AD$1,AD$2,$D$18,$D$3,$D183,$E183,$F183,AF$3)</f>
        <v>1</v>
      </c>
      <c r="AG183" s="64">
        <f>_xll.DBRW($C$2,$AD$1,AD$2,$D$18,$D$3,$D183,$E183,$F183,AG$3)</f>
        <v>0</v>
      </c>
      <c r="AH183" s="58">
        <f>_xll.DBRW($C$2,$AD$1,AD$2,$D$18,$D$3,$D183,$E183,$F183,AH$3)</f>
        <v>0</v>
      </c>
      <c r="AI183" s="48">
        <f t="shared" si="51"/>
        <v>72</v>
      </c>
      <c r="AJ183" s="39">
        <f>_xll.DBRW($C$2,$AJ$1,AJ$2,$D$18,$D$3,$D183,$E183,$F183,AJ$3)</f>
        <v>0</v>
      </c>
      <c r="AK183" s="25" cm="1">
        <f t="array" ref="AK183">_xll.DBRW($E$2,AJ$1,AJ$2,$D$18,$D$3,$D183,$E183,$F183,$F$3,AK$3)</f>
        <v>0</v>
      </c>
      <c r="AL183" s="25">
        <f>_xll.DBRW($C$2,$AJ$1,AJ$2,$D$18,$D$3,$D183,$E183,$F183,AL$3)</f>
        <v>1</v>
      </c>
      <c r="AM183" s="64">
        <f>_xll.DBRW($C$2,$AJ$1,AJ$2,$D$18,$D$3,$D183,$E183,$F183,AM$3)</f>
        <v>0</v>
      </c>
      <c r="AN183" s="58">
        <f>_xll.DBRW($C$2,$AJ$1,AJ$2,$D$18,$D$3,$D183,$E183,$F183,AN$3)</f>
        <v>0</v>
      </c>
      <c r="AO183" s="48">
        <f t="shared" si="52"/>
        <v>71</v>
      </c>
      <c r="AP183" s="39">
        <f>_xll.DBRW($C$2,$AP$1,AP$2,$D$18,$D$3,$D183,$E183,$F183,AP$3)</f>
        <v>0</v>
      </c>
      <c r="AQ183" s="25" cm="1">
        <f t="array" ref="AQ183">_xll.DBRW($E$2,AP$1,AP$2,$D$18,$D$3,$D183,$E183,$F183,$F$3,AQ$3)</f>
        <v>0</v>
      </c>
      <c r="AR183" s="25">
        <f>_xll.DBRW($C$2,$AP$1,AP$2,$D$18,$D$3,$D183,$E183,$F183,AR$3)</f>
        <v>1</v>
      </c>
      <c r="AS183" s="64">
        <f>_xll.DBRW($C$2,$AP$1,AP$2,$D$18,$D$3,$D183,$E183,$F183,AS$3)</f>
        <v>0</v>
      </c>
      <c r="AT183" s="58">
        <f>_xll.DBRW($C$2,$AP$1,AP$2,$D$18,$D$3,$D183,$E183,$F183,AT$3)</f>
        <v>0</v>
      </c>
      <c r="AU183" s="48">
        <f t="shared" si="53"/>
        <v>70</v>
      </c>
      <c r="AV183" s="39">
        <f>_xll.DBRW($C$2,$AV$1,AV$2,$D$18,$D$3,$D183,$E183,$F183,AV$3)</f>
        <v>0</v>
      </c>
      <c r="AW183" s="25" cm="1">
        <f t="array" ref="AW183">_xll.DBRW($E$2,AV$1,AV$2,$D$18,$D$3,$D183,$E183,$F183,$F$3,AW$3)</f>
        <v>0</v>
      </c>
      <c r="AX183" s="25">
        <f>_xll.DBRW($C$2,$AV$1,AV$2,$D$18,$D$3,$D183,$E183,$F183,AX$3)</f>
        <v>1</v>
      </c>
      <c r="AY183" s="64">
        <f>_xll.DBRW($C$2,$AV$1,AV$2,$D$18,$D$3,$D183,$E183,$F183,AY$3)</f>
        <v>0</v>
      </c>
      <c r="AZ183" s="58">
        <f>_xll.DBRW($C$2,$AV$1,AV$2,$D$18,$D$3,$D183,$E183,$F183,AZ$3)</f>
        <v>0</v>
      </c>
      <c r="BA183" s="48">
        <f t="shared" si="54"/>
        <v>69</v>
      </c>
      <c r="BB183" s="39">
        <f>_xll.DBRW($C$2,$BB$1,BB$2,$D$18,$D$3,$D183,$E183,$F183,BB$3)</f>
        <v>0</v>
      </c>
      <c r="BC183" s="25" cm="1">
        <f t="array" ref="BC183">_xll.DBRW($E$2,BB$1,BB$2,$D$18,$D$3,$D183,$E183,$F183,$F$3,BC$3)</f>
        <v>0</v>
      </c>
      <c r="BD183" s="25">
        <f>_xll.DBRW($C$2,$BB$1,BB$2,$D$18,$D$3,$D183,$E183,$F183,BD$3)</f>
        <v>1</v>
      </c>
      <c r="BE183" s="64">
        <f>_xll.DBRW($C$2,$BB$1,BB$2,$D$18,$D$3,$D183,$E183,$F183,BE$3)</f>
        <v>0</v>
      </c>
      <c r="BF183" s="58">
        <f>_xll.DBRW($C$2,$BB$1,BB$2,$D$18,$D$3,$D183,$E183,$F183,BF$3)</f>
        <v>0</v>
      </c>
      <c r="BG183" s="48">
        <f t="shared" si="55"/>
        <v>68</v>
      </c>
      <c r="BH183" s="39">
        <f>_xll.DBRW($C$2,$BH$1,BH$2,$D$18,$D$3,$D183,$E183,$F183,BH$3)</f>
        <v>0</v>
      </c>
      <c r="BI183" s="25" cm="1">
        <f t="array" ref="BI183">_xll.DBRW($E$2,BH$1,BH$2,$D$18,$D$3,$D183,$E183,$F183,$F$3,BI$3)</f>
        <v>0</v>
      </c>
      <c r="BJ183" s="25">
        <f>_xll.DBRW($C$2,$BH$1,BH$2,$D$18,$D$3,$D183,$E183,$F183,BJ$3)</f>
        <v>1</v>
      </c>
      <c r="BK183" s="64">
        <f>_xll.DBRW($C$2,$BH$1,BH$2,$D$18,$D$3,$D183,$E183,$F183,BK$3)</f>
        <v>0</v>
      </c>
      <c r="BL183" s="58">
        <f>_xll.DBRW($C$2,$BH$1,BH$2,$D$18,$D$3,$D183,$E183,$F183,BL$3)</f>
        <v>0</v>
      </c>
      <c r="BM183" s="48">
        <f t="shared" si="56"/>
        <v>67</v>
      </c>
      <c r="BN183" s="39">
        <f>_xll.DBRW($C$2,$BN$1,BN$2,$D$18,$D$3,$D183,$E183,$F183,BN$3)</f>
        <v>0</v>
      </c>
      <c r="BO183" s="25" cm="1">
        <f t="array" ref="BO183">_xll.DBRW($E$2,BN$1,BN$2,$D$18,$D$3,$D183,$E183,$F183,$F$3,BO$3)</f>
        <v>0</v>
      </c>
      <c r="BP183" s="25">
        <f>_xll.DBRW($C$2,$BN$1,BN$2,$D$18,$D$3,$D183,$E183,$F183,BP$3)</f>
        <v>1</v>
      </c>
      <c r="BQ183" s="64">
        <f>_xll.DBRW($C$2,$BN$1,BN$2,$D$18,$D$3,$D183,$E183,$F183,BQ$3)</f>
        <v>0</v>
      </c>
      <c r="BR183" s="58">
        <f>_xll.DBRW($C$2,$BN$1,BN$2,$D$18,$D$3,$D183,$E183,$F183,BR$3)</f>
        <v>0</v>
      </c>
      <c r="BS183" s="48">
        <f t="shared" si="57"/>
        <v>66</v>
      </c>
      <c r="BT183" s="39">
        <f>_xll.DBRW($C$2,$BT$1,BT$2,$D$18,$D$3,$D183,$E183,$F183,BT$3)</f>
        <v>0</v>
      </c>
      <c r="BU183" s="25" cm="1">
        <f t="array" ref="BU183">_xll.DBRW($E$2,BT$1,BT$2,$D$18,$D$3,$D183,$E183,$F183,$F$3,BU$3)</f>
        <v>0</v>
      </c>
      <c r="BV183" s="25">
        <f>_xll.DBRW($C$2,$BT$1,BT$2,$D$18,$D$3,$D183,$E183,$F183,BV$3)</f>
        <v>1</v>
      </c>
      <c r="BW183" s="64">
        <f>_xll.DBRW($C$2,$BT$1,BT$2,$D$18,$D$3,$D183,$E183,$F183,BW$3)</f>
        <v>0</v>
      </c>
      <c r="BX183" s="58">
        <f>_xll.DBRW($C$2,$BT$1,BT$2,$D$18,$D$3,$D183,$E183,$F183,BX$3)</f>
        <v>0</v>
      </c>
      <c r="BY183" s="48">
        <f t="shared" si="58"/>
        <v>65</v>
      </c>
      <c r="BZ183" s="39">
        <f>_xll.DBRW($C$2,$BZ$1,BZ$2,$D$18,$D$3,$D183,$E183,$F183,BZ$3)</f>
        <v>0</v>
      </c>
      <c r="CA183" s="25" cm="1">
        <f t="array" ref="CA183">_xll.DBRW($E$2,BZ$1,BZ$2,$D$18,$D$3,$D183,$E183,$F183,$F$3,CA$3)</f>
        <v>0</v>
      </c>
      <c r="CB183" s="25">
        <f>_xll.DBRW($C$2,$BZ$1,BZ$2,$D$18,$D$3,$D183,$E183,$F183,CB$3)</f>
        <v>1</v>
      </c>
      <c r="CC183" s="64">
        <f>_xll.DBRW($C$2,$BZ$1,BZ$2,$D$18,$D$3,$D183,$E183,$F183,CC$3)</f>
        <v>0</v>
      </c>
      <c r="CD183" s="58">
        <f>_xll.DBRW($C$2,$BZ$1,BZ$2,$D$18,$D$3,$D183,$E183,$F183,CD$3)</f>
        <v>0</v>
      </c>
      <c r="CE183" s="48">
        <f t="shared" si="59"/>
        <v>64</v>
      </c>
    </row>
    <row r="184" spans="1:83" s="23" customFormat="1" outlineLevel="1" thickBot="1" x14ac:dyDescent="0.3">
      <c r="A184" s="91" t="str">
        <f>IF(_xll.TM1RPTELISCONSOLIDATED($F$22,$F184),IF(_xll.TM1RPTELLEV($F$22,$F184)&lt;=5,_xll.TM1RPTELLEV($F$22,$F184),"Default"),"Leaf")</f>
        <v>Leaf</v>
      </c>
      <c r="B184" s="24" t="str">
        <f>_xll.DBRW("TM1-S1_DEV:}ElementAttributes_SP_SKU",$D184,B$1)</f>
        <v>Primary</v>
      </c>
      <c r="C184" s="24" t="str">
        <f>_xll.DBRW("TM1-S1_DEV:}ElementAttributes_SP_SKU",$D184,C$1)</f>
        <v>CONTAINER</v>
      </c>
      <c r="D184" s="28" t="s">
        <v>168</v>
      </c>
      <c r="E184" s="28" t="s">
        <v>307</v>
      </c>
      <c r="F184" s="28" t="s">
        <v>326</v>
      </c>
      <c r="G184" s="4">
        <f>_xll.DBRW($C$2,$G$19,G$20,$D$18,$D$3,$D184,$E184,$F184,G$3)</f>
        <v>48</v>
      </c>
      <c r="H184" s="54">
        <f t="shared" si="48"/>
        <v>-2</v>
      </c>
      <c r="I184" s="4"/>
      <c r="J184" s="25">
        <f>_xll.DBRW($C$2,$J$1,J$2,$D$18,$D$3,$D184,$E184,$F184,J$3)</f>
        <v>46</v>
      </c>
      <c r="K184" s="39">
        <f>_xll.DBRW($C$2,$J$1,J$2,$D$18,$D$3,$D184,$E184,$F184,K$3)</f>
        <v>0</v>
      </c>
      <c r="L184" s="25">
        <f>_xll.DBRW($C$2,$J$1,J$2,$D$18,$D$3,$D184,$E184,$F184,L$3)</f>
        <v>0</v>
      </c>
      <c r="M184" s="25">
        <f>_xll.DBRW($C$2,$J$1,J$2,$D$18,$D$3,$D184,$E184,$F184,M$3)</f>
        <v>0</v>
      </c>
      <c r="N184" s="25">
        <f>_xll.DBRW($C$2,$J$1,J$2,$D$18,$D$3,$D184,$E184,$F184,N$3)</f>
        <v>3</v>
      </c>
      <c r="O184" s="64">
        <f>_xll.DBRW($C$2,$J$1,J$2,$D$18,$D$3,$D184,$E184,$F184,O$3)</f>
        <v>1</v>
      </c>
      <c r="P184" s="58">
        <f>_xll.DBRW($C$2,$J$1,J$2,$D$18,$D$3,$D184,$E184,$F184,P$3)</f>
        <v>0</v>
      </c>
      <c r="Q184" s="48">
        <f>_xll.DBRW($C$2,$J$1,J$2,$D$18,$D$3,$D184,$E184,$F184,Q$3)</f>
        <v>43</v>
      </c>
      <c r="R184" s="39">
        <f>_xll.DBRW($C$2,$R$1,R$2,$D$18,$D$3,$D184,$E184,$F184,R$3)</f>
        <v>0</v>
      </c>
      <c r="S184" s="25" cm="1">
        <f t="array" ref="S184">_xll.DBRW($E$2,R$1,R$2,$D$18,$D$3,$D184,$E184,$F184,$F$3,S$3)</f>
        <v>0</v>
      </c>
      <c r="T184" s="25">
        <f>_xll.DBRW($C$2,$R$1,R$2,$D$18,$D$3,$D184,$E184,$F184,T$3)</f>
        <v>0</v>
      </c>
      <c r="U184" s="64">
        <f>_xll.DBRW($C$2,$R$1,R$2,$D$18,$D$3,$D184,$E184,$F184,U$3)</f>
        <v>0</v>
      </c>
      <c r="V184" s="58">
        <f>_xll.DBRW($C$2,$R$1,R$2,$D$18,$D$3,$D184,$E184,$F184,V$3)</f>
        <v>0</v>
      </c>
      <c r="W184" s="48">
        <f t="shared" si="49"/>
        <v>43</v>
      </c>
      <c r="X184" s="39">
        <f>_xll.DBRW($C$2,$X$1,X$2,$D$18,$D$3,$D184,$E184,$F184,X$3)</f>
        <v>0</v>
      </c>
      <c r="Y184" s="25" cm="1">
        <f t="array" ref="Y184">_xll.DBRW($E$2,X$1,X$2,$D$18,$D$3,$D184,$E184,$F184,$F$3,Y$3)</f>
        <v>32</v>
      </c>
      <c r="Z184" s="25">
        <f>_xll.DBRW($C$2,$X$1,X$2,$D$18,$D$3,$D184,$E184,$F184,Z$3)</f>
        <v>3</v>
      </c>
      <c r="AA184" s="64">
        <f>_xll.DBRW($C$2,$X$1,X$2,$D$18,$D$3,$D184,$E184,$F184,AA$3)</f>
        <v>0</v>
      </c>
      <c r="AB184" s="58">
        <f>_xll.DBRW($C$2,$X$1,X$2,$D$18,$D$3,$D184,$E184,$F184,AB$3)</f>
        <v>0</v>
      </c>
      <c r="AC184" s="48">
        <f t="shared" si="50"/>
        <v>72</v>
      </c>
      <c r="AD184" s="39">
        <f>_xll.DBRW($C$2,$AD$1,AD$2,$D$18,$D$3,$D184,$E184,$F184,AD$3)</f>
        <v>0</v>
      </c>
      <c r="AE184" s="25" cm="1">
        <f t="array" ref="AE184">_xll.DBRW($E$2,AD$1,AD$2,$D$18,$D$3,$D184,$E184,$F184,$F$3,AE$3)</f>
        <v>0</v>
      </c>
      <c r="AF184" s="25">
        <f>_xll.DBRW($C$2,$AD$1,AD$2,$D$18,$D$3,$D184,$E184,$F184,AF$3)</f>
        <v>3</v>
      </c>
      <c r="AG184" s="64">
        <f>_xll.DBRW($C$2,$AD$1,AD$2,$D$18,$D$3,$D184,$E184,$F184,AG$3)</f>
        <v>0</v>
      </c>
      <c r="AH184" s="58">
        <f>_xll.DBRW($C$2,$AD$1,AD$2,$D$18,$D$3,$D184,$E184,$F184,AH$3)</f>
        <v>0</v>
      </c>
      <c r="AI184" s="48">
        <f t="shared" si="51"/>
        <v>69</v>
      </c>
      <c r="AJ184" s="39">
        <f>_xll.DBRW($C$2,$AJ$1,AJ$2,$D$18,$D$3,$D184,$E184,$F184,AJ$3)</f>
        <v>0</v>
      </c>
      <c r="AK184" s="25" cm="1">
        <f t="array" ref="AK184">_xll.DBRW($E$2,AJ$1,AJ$2,$D$18,$D$3,$D184,$E184,$F184,$F$3,AK$3)</f>
        <v>0</v>
      </c>
      <c r="AL184" s="25">
        <f>_xll.DBRW($C$2,$AJ$1,AJ$2,$D$18,$D$3,$D184,$E184,$F184,AL$3)</f>
        <v>3</v>
      </c>
      <c r="AM184" s="64">
        <f>_xll.DBRW($C$2,$AJ$1,AJ$2,$D$18,$D$3,$D184,$E184,$F184,AM$3)</f>
        <v>0</v>
      </c>
      <c r="AN184" s="58">
        <f>_xll.DBRW($C$2,$AJ$1,AJ$2,$D$18,$D$3,$D184,$E184,$F184,AN$3)</f>
        <v>0</v>
      </c>
      <c r="AO184" s="48">
        <f t="shared" si="52"/>
        <v>66</v>
      </c>
      <c r="AP184" s="39">
        <f>_xll.DBRW($C$2,$AP$1,AP$2,$D$18,$D$3,$D184,$E184,$F184,AP$3)</f>
        <v>0</v>
      </c>
      <c r="AQ184" s="25" cm="1">
        <f t="array" ref="AQ184">_xll.DBRW($E$2,AP$1,AP$2,$D$18,$D$3,$D184,$E184,$F184,$F$3,AQ$3)</f>
        <v>0</v>
      </c>
      <c r="AR184" s="25">
        <f>_xll.DBRW($C$2,$AP$1,AP$2,$D$18,$D$3,$D184,$E184,$F184,AR$3)</f>
        <v>3</v>
      </c>
      <c r="AS184" s="64">
        <f>_xll.DBRW($C$2,$AP$1,AP$2,$D$18,$D$3,$D184,$E184,$F184,AS$3)</f>
        <v>0</v>
      </c>
      <c r="AT184" s="58">
        <f>_xll.DBRW($C$2,$AP$1,AP$2,$D$18,$D$3,$D184,$E184,$F184,AT$3)</f>
        <v>0</v>
      </c>
      <c r="AU184" s="48">
        <f t="shared" si="53"/>
        <v>63</v>
      </c>
      <c r="AV184" s="39">
        <f>_xll.DBRW($C$2,$AV$1,AV$2,$D$18,$D$3,$D184,$E184,$F184,AV$3)</f>
        <v>0</v>
      </c>
      <c r="AW184" s="25" cm="1">
        <f t="array" ref="AW184">_xll.DBRW($E$2,AV$1,AV$2,$D$18,$D$3,$D184,$E184,$F184,$F$3,AW$3)</f>
        <v>0</v>
      </c>
      <c r="AX184" s="25">
        <f>_xll.DBRW($C$2,$AV$1,AV$2,$D$18,$D$3,$D184,$E184,$F184,AX$3)</f>
        <v>3</v>
      </c>
      <c r="AY184" s="64">
        <f>_xll.DBRW($C$2,$AV$1,AV$2,$D$18,$D$3,$D184,$E184,$F184,AY$3)</f>
        <v>1</v>
      </c>
      <c r="AZ184" s="58">
        <f>_xll.DBRW($C$2,$AV$1,AV$2,$D$18,$D$3,$D184,$E184,$F184,AZ$3)</f>
        <v>0</v>
      </c>
      <c r="BA184" s="48">
        <f t="shared" si="54"/>
        <v>60</v>
      </c>
      <c r="BB184" s="39">
        <f>_xll.DBRW($C$2,$BB$1,BB$2,$D$18,$D$3,$D184,$E184,$F184,BB$3)</f>
        <v>0</v>
      </c>
      <c r="BC184" s="25" cm="1">
        <f t="array" ref="BC184">_xll.DBRW($E$2,BB$1,BB$2,$D$18,$D$3,$D184,$E184,$F184,$F$3,BC$3)</f>
        <v>0</v>
      </c>
      <c r="BD184" s="25">
        <f>_xll.DBRW($C$2,$BB$1,BB$2,$D$18,$D$3,$D184,$E184,$F184,BD$3)</f>
        <v>3</v>
      </c>
      <c r="BE184" s="64">
        <f>_xll.DBRW($C$2,$BB$1,BB$2,$D$18,$D$3,$D184,$E184,$F184,BE$3)</f>
        <v>0</v>
      </c>
      <c r="BF184" s="58">
        <f>_xll.DBRW($C$2,$BB$1,BB$2,$D$18,$D$3,$D184,$E184,$F184,BF$3)</f>
        <v>0</v>
      </c>
      <c r="BG184" s="48">
        <f t="shared" si="55"/>
        <v>57</v>
      </c>
      <c r="BH184" s="39">
        <f>_xll.DBRW($C$2,$BH$1,BH$2,$D$18,$D$3,$D184,$E184,$F184,BH$3)</f>
        <v>0</v>
      </c>
      <c r="BI184" s="25" cm="1">
        <f t="array" ref="BI184">_xll.DBRW($E$2,BH$1,BH$2,$D$18,$D$3,$D184,$E184,$F184,$F$3,BI$3)</f>
        <v>0</v>
      </c>
      <c r="BJ184" s="25">
        <f>_xll.DBRW($C$2,$BH$1,BH$2,$D$18,$D$3,$D184,$E184,$F184,BJ$3)</f>
        <v>3</v>
      </c>
      <c r="BK184" s="64">
        <f>_xll.DBRW($C$2,$BH$1,BH$2,$D$18,$D$3,$D184,$E184,$F184,BK$3)</f>
        <v>0</v>
      </c>
      <c r="BL184" s="58">
        <f>_xll.DBRW($C$2,$BH$1,BH$2,$D$18,$D$3,$D184,$E184,$F184,BL$3)</f>
        <v>0</v>
      </c>
      <c r="BM184" s="48">
        <f t="shared" si="56"/>
        <v>54</v>
      </c>
      <c r="BN184" s="39">
        <f>_xll.DBRW($C$2,$BN$1,BN$2,$D$18,$D$3,$D184,$E184,$F184,BN$3)</f>
        <v>0</v>
      </c>
      <c r="BO184" s="25" cm="1">
        <f t="array" ref="BO184">_xll.DBRW($E$2,BN$1,BN$2,$D$18,$D$3,$D184,$E184,$F184,$F$3,BO$3)</f>
        <v>0</v>
      </c>
      <c r="BP184" s="25">
        <f>_xll.DBRW($C$2,$BN$1,BN$2,$D$18,$D$3,$D184,$E184,$F184,BP$3)</f>
        <v>3</v>
      </c>
      <c r="BQ184" s="64">
        <f>_xll.DBRW($C$2,$BN$1,BN$2,$D$18,$D$3,$D184,$E184,$F184,BQ$3)</f>
        <v>0</v>
      </c>
      <c r="BR184" s="58">
        <f>_xll.DBRW($C$2,$BN$1,BN$2,$D$18,$D$3,$D184,$E184,$F184,BR$3)</f>
        <v>0</v>
      </c>
      <c r="BS184" s="48">
        <f t="shared" si="57"/>
        <v>51</v>
      </c>
      <c r="BT184" s="39">
        <f>_xll.DBRW($C$2,$BT$1,BT$2,$D$18,$D$3,$D184,$E184,$F184,BT$3)</f>
        <v>0</v>
      </c>
      <c r="BU184" s="25" cm="1">
        <f t="array" ref="BU184">_xll.DBRW($E$2,BT$1,BT$2,$D$18,$D$3,$D184,$E184,$F184,$F$3,BU$3)</f>
        <v>0</v>
      </c>
      <c r="BV184" s="25">
        <f>_xll.DBRW($C$2,$BT$1,BT$2,$D$18,$D$3,$D184,$E184,$F184,BV$3)</f>
        <v>3</v>
      </c>
      <c r="BW184" s="64">
        <f>_xll.DBRW($C$2,$BT$1,BT$2,$D$18,$D$3,$D184,$E184,$F184,BW$3)</f>
        <v>0</v>
      </c>
      <c r="BX184" s="58">
        <f>_xll.DBRW($C$2,$BT$1,BT$2,$D$18,$D$3,$D184,$E184,$F184,BX$3)</f>
        <v>0</v>
      </c>
      <c r="BY184" s="48">
        <f t="shared" si="58"/>
        <v>48</v>
      </c>
      <c r="BZ184" s="39">
        <f>_xll.DBRW($C$2,$BZ$1,BZ$2,$D$18,$D$3,$D184,$E184,$F184,BZ$3)</f>
        <v>0</v>
      </c>
      <c r="CA184" s="25" cm="1">
        <f t="array" ref="CA184">_xll.DBRW($E$2,BZ$1,BZ$2,$D$18,$D$3,$D184,$E184,$F184,$F$3,CA$3)</f>
        <v>0</v>
      </c>
      <c r="CB184" s="25">
        <f>_xll.DBRW($C$2,$BZ$1,BZ$2,$D$18,$D$3,$D184,$E184,$F184,CB$3)</f>
        <v>3</v>
      </c>
      <c r="CC184" s="64">
        <f>_xll.DBRW($C$2,$BZ$1,BZ$2,$D$18,$D$3,$D184,$E184,$F184,CC$3)</f>
        <v>0</v>
      </c>
      <c r="CD184" s="58">
        <f>_xll.DBRW($C$2,$BZ$1,BZ$2,$D$18,$D$3,$D184,$E184,$F184,CD$3)</f>
        <v>0</v>
      </c>
      <c r="CE184" s="48">
        <f t="shared" si="59"/>
        <v>45</v>
      </c>
    </row>
    <row r="185" spans="1:83" s="23" customFormat="1" outlineLevel="1" thickBot="1" x14ac:dyDescent="0.3">
      <c r="A185" s="91" t="str">
        <f>IF(_xll.TM1RPTELISCONSOLIDATED($F$22,$F185),IF(_xll.TM1RPTELLEV($F$22,$F185)&lt;=5,_xll.TM1RPTELLEV($F$22,$F185),"Default"),"Leaf")</f>
        <v>Leaf</v>
      </c>
      <c r="B185" s="24" t="str">
        <f>_xll.DBRW("TM1-S1_DEV:}ElementAttributes_SP_SKU",$D185,B$1)</f>
        <v>Primary</v>
      </c>
      <c r="C185" s="24" t="str">
        <f>_xll.DBRW("TM1-S1_DEV:}ElementAttributes_SP_SKU",$D185,C$1)</f>
        <v>UTENSIL</v>
      </c>
      <c r="D185" s="28" t="s">
        <v>169</v>
      </c>
      <c r="E185" s="28" t="s">
        <v>308</v>
      </c>
      <c r="F185" s="28" t="s">
        <v>329</v>
      </c>
      <c r="G185" s="4">
        <f>_xll.DBRW($C$2,$G$19,G$20,$D$18,$D$3,$D185,$E185,$F185,G$3)</f>
        <v>43</v>
      </c>
      <c r="H185" s="54">
        <f t="shared" si="48"/>
        <v>-25</v>
      </c>
      <c r="I185" s="4"/>
      <c r="J185" s="25">
        <f>_xll.DBRW($C$2,$J$1,J$2,$D$18,$D$3,$D185,$E185,$F185,J$3)</f>
        <v>18</v>
      </c>
      <c r="K185" s="39">
        <f>_xll.DBRW($C$2,$J$1,J$2,$D$18,$D$3,$D185,$E185,$F185,K$3)</f>
        <v>0</v>
      </c>
      <c r="L185" s="25">
        <f>_xll.DBRW($C$2,$J$1,J$2,$D$18,$D$3,$D185,$E185,$F185,L$3)</f>
        <v>0</v>
      </c>
      <c r="M185" s="25">
        <f>_xll.DBRW($C$2,$J$1,J$2,$D$18,$D$3,$D185,$E185,$F185,M$3)</f>
        <v>0</v>
      </c>
      <c r="N185" s="25">
        <f>_xll.DBRW($C$2,$J$1,J$2,$D$18,$D$3,$D185,$E185,$F185,N$3)</f>
        <v>0</v>
      </c>
      <c r="O185" s="64">
        <f>_xll.DBRW($C$2,$J$1,J$2,$D$18,$D$3,$D185,$E185,$F185,O$3)</f>
        <v>0</v>
      </c>
      <c r="P185" s="58">
        <f>_xll.DBRW($C$2,$J$1,J$2,$D$18,$D$3,$D185,$E185,$F185,P$3)</f>
        <v>0</v>
      </c>
      <c r="Q185" s="48">
        <f>_xll.DBRW($C$2,$J$1,J$2,$D$18,$D$3,$D185,$E185,$F185,Q$3)</f>
        <v>18</v>
      </c>
      <c r="R185" s="39">
        <f>_xll.DBRW($C$2,$R$1,R$2,$D$18,$D$3,$D185,$E185,$F185,R$3)</f>
        <v>0</v>
      </c>
      <c r="S185" s="25" cm="1">
        <f t="array" ref="S185">_xll.DBRW($E$2,R$1,R$2,$D$18,$D$3,$D185,$E185,$F185,$F$3,S$3)</f>
        <v>0</v>
      </c>
      <c r="T185" s="25">
        <f>_xll.DBRW($C$2,$R$1,R$2,$D$18,$D$3,$D185,$E185,$F185,T$3)</f>
        <v>0</v>
      </c>
      <c r="U185" s="64">
        <f>_xll.DBRW($C$2,$R$1,R$2,$D$18,$D$3,$D185,$E185,$F185,U$3)</f>
        <v>0</v>
      </c>
      <c r="V185" s="58">
        <f>_xll.DBRW($C$2,$R$1,R$2,$D$18,$D$3,$D185,$E185,$F185,V$3)</f>
        <v>0</v>
      </c>
      <c r="W185" s="48">
        <f t="shared" si="49"/>
        <v>18</v>
      </c>
      <c r="X185" s="39">
        <f>_xll.DBRW($C$2,$X$1,X$2,$D$18,$D$3,$D185,$E185,$F185,X$3)</f>
        <v>0</v>
      </c>
      <c r="Y185" s="25" cm="1">
        <f t="array" ref="Y185">_xll.DBRW($E$2,X$1,X$2,$D$18,$D$3,$D185,$E185,$F185,$F$3,Y$3)</f>
        <v>0</v>
      </c>
      <c r="Z185" s="25">
        <f>_xll.DBRW($C$2,$X$1,X$2,$D$18,$D$3,$D185,$E185,$F185,Z$3)</f>
        <v>1</v>
      </c>
      <c r="AA185" s="64">
        <f>_xll.DBRW($C$2,$X$1,X$2,$D$18,$D$3,$D185,$E185,$F185,AA$3)</f>
        <v>0</v>
      </c>
      <c r="AB185" s="58">
        <f>_xll.DBRW($C$2,$X$1,X$2,$D$18,$D$3,$D185,$E185,$F185,AB$3)</f>
        <v>0</v>
      </c>
      <c r="AC185" s="48">
        <f t="shared" si="50"/>
        <v>17</v>
      </c>
      <c r="AD185" s="39">
        <f>_xll.DBRW($C$2,$AD$1,AD$2,$D$18,$D$3,$D185,$E185,$F185,AD$3)</f>
        <v>0</v>
      </c>
      <c r="AE185" s="25" cm="1">
        <f t="array" ref="AE185">_xll.DBRW($E$2,AD$1,AD$2,$D$18,$D$3,$D185,$E185,$F185,$F$3,AE$3)</f>
        <v>0</v>
      </c>
      <c r="AF185" s="25">
        <f>_xll.DBRW($C$2,$AD$1,AD$2,$D$18,$D$3,$D185,$E185,$F185,AF$3)</f>
        <v>1</v>
      </c>
      <c r="AG185" s="64">
        <f>_xll.DBRW($C$2,$AD$1,AD$2,$D$18,$D$3,$D185,$E185,$F185,AG$3)</f>
        <v>0</v>
      </c>
      <c r="AH185" s="58">
        <f>_xll.DBRW($C$2,$AD$1,AD$2,$D$18,$D$3,$D185,$E185,$F185,AH$3)</f>
        <v>0</v>
      </c>
      <c r="AI185" s="48">
        <f t="shared" si="51"/>
        <v>16</v>
      </c>
      <c r="AJ185" s="39">
        <f>_xll.DBRW($C$2,$AJ$1,AJ$2,$D$18,$D$3,$D185,$E185,$F185,AJ$3)</f>
        <v>0</v>
      </c>
      <c r="AK185" s="25" cm="1">
        <f t="array" ref="AK185">_xll.DBRW($E$2,AJ$1,AJ$2,$D$18,$D$3,$D185,$E185,$F185,$F$3,AK$3)</f>
        <v>0</v>
      </c>
      <c r="AL185" s="25">
        <f>_xll.DBRW($C$2,$AJ$1,AJ$2,$D$18,$D$3,$D185,$E185,$F185,AL$3)</f>
        <v>1</v>
      </c>
      <c r="AM185" s="64">
        <f>_xll.DBRW($C$2,$AJ$1,AJ$2,$D$18,$D$3,$D185,$E185,$F185,AM$3)</f>
        <v>0</v>
      </c>
      <c r="AN185" s="58">
        <f>_xll.DBRW($C$2,$AJ$1,AJ$2,$D$18,$D$3,$D185,$E185,$F185,AN$3)</f>
        <v>0</v>
      </c>
      <c r="AO185" s="48">
        <f t="shared" si="52"/>
        <v>15</v>
      </c>
      <c r="AP185" s="39">
        <f>_xll.DBRW($C$2,$AP$1,AP$2,$D$18,$D$3,$D185,$E185,$F185,AP$3)</f>
        <v>0</v>
      </c>
      <c r="AQ185" s="25" cm="1">
        <f t="array" ref="AQ185">_xll.DBRW($E$2,AP$1,AP$2,$D$18,$D$3,$D185,$E185,$F185,$F$3,AQ$3)</f>
        <v>0</v>
      </c>
      <c r="AR185" s="25">
        <f>_xll.DBRW($C$2,$AP$1,AP$2,$D$18,$D$3,$D185,$E185,$F185,AR$3)</f>
        <v>1</v>
      </c>
      <c r="AS185" s="64">
        <f>_xll.DBRW($C$2,$AP$1,AP$2,$D$18,$D$3,$D185,$E185,$F185,AS$3)</f>
        <v>0</v>
      </c>
      <c r="AT185" s="58">
        <f>_xll.DBRW($C$2,$AP$1,AP$2,$D$18,$D$3,$D185,$E185,$F185,AT$3)</f>
        <v>0</v>
      </c>
      <c r="AU185" s="48">
        <f t="shared" si="53"/>
        <v>14</v>
      </c>
      <c r="AV185" s="39">
        <f>_xll.DBRW($C$2,$AV$1,AV$2,$D$18,$D$3,$D185,$E185,$F185,AV$3)</f>
        <v>0</v>
      </c>
      <c r="AW185" s="25" cm="1">
        <f t="array" ref="AW185">_xll.DBRW($E$2,AV$1,AV$2,$D$18,$D$3,$D185,$E185,$F185,$F$3,AW$3)</f>
        <v>0</v>
      </c>
      <c r="AX185" s="25">
        <f>_xll.DBRW($C$2,$AV$1,AV$2,$D$18,$D$3,$D185,$E185,$F185,AX$3)</f>
        <v>1</v>
      </c>
      <c r="AY185" s="64">
        <f>_xll.DBRW($C$2,$AV$1,AV$2,$D$18,$D$3,$D185,$E185,$F185,AY$3)</f>
        <v>0</v>
      </c>
      <c r="AZ185" s="58">
        <f>_xll.DBRW($C$2,$AV$1,AV$2,$D$18,$D$3,$D185,$E185,$F185,AZ$3)</f>
        <v>0</v>
      </c>
      <c r="BA185" s="48">
        <f t="shared" si="54"/>
        <v>13</v>
      </c>
      <c r="BB185" s="39">
        <f>_xll.DBRW($C$2,$BB$1,BB$2,$D$18,$D$3,$D185,$E185,$F185,BB$3)</f>
        <v>0</v>
      </c>
      <c r="BC185" s="25" cm="1">
        <f t="array" ref="BC185">_xll.DBRW($E$2,BB$1,BB$2,$D$18,$D$3,$D185,$E185,$F185,$F$3,BC$3)</f>
        <v>0</v>
      </c>
      <c r="BD185" s="25">
        <f>_xll.DBRW($C$2,$BB$1,BB$2,$D$18,$D$3,$D185,$E185,$F185,BD$3)</f>
        <v>1</v>
      </c>
      <c r="BE185" s="64">
        <f>_xll.DBRW($C$2,$BB$1,BB$2,$D$18,$D$3,$D185,$E185,$F185,BE$3)</f>
        <v>0</v>
      </c>
      <c r="BF185" s="58">
        <f>_xll.DBRW($C$2,$BB$1,BB$2,$D$18,$D$3,$D185,$E185,$F185,BF$3)</f>
        <v>0</v>
      </c>
      <c r="BG185" s="48">
        <f t="shared" si="55"/>
        <v>12</v>
      </c>
      <c r="BH185" s="39">
        <f>_xll.DBRW($C$2,$BH$1,BH$2,$D$18,$D$3,$D185,$E185,$F185,BH$3)</f>
        <v>0</v>
      </c>
      <c r="BI185" s="25" cm="1">
        <f t="array" ref="BI185">_xll.DBRW($E$2,BH$1,BH$2,$D$18,$D$3,$D185,$E185,$F185,$F$3,BI$3)</f>
        <v>0</v>
      </c>
      <c r="BJ185" s="25">
        <f>_xll.DBRW($C$2,$BH$1,BH$2,$D$18,$D$3,$D185,$E185,$F185,BJ$3)</f>
        <v>1</v>
      </c>
      <c r="BK185" s="64">
        <f>_xll.DBRW($C$2,$BH$1,BH$2,$D$18,$D$3,$D185,$E185,$F185,BK$3)</f>
        <v>0</v>
      </c>
      <c r="BL185" s="58">
        <f>_xll.DBRW($C$2,$BH$1,BH$2,$D$18,$D$3,$D185,$E185,$F185,BL$3)</f>
        <v>0</v>
      </c>
      <c r="BM185" s="48">
        <f t="shared" si="56"/>
        <v>11</v>
      </c>
      <c r="BN185" s="39">
        <f>_xll.DBRW($C$2,$BN$1,BN$2,$D$18,$D$3,$D185,$E185,$F185,BN$3)</f>
        <v>0</v>
      </c>
      <c r="BO185" s="25" cm="1">
        <f t="array" ref="BO185">_xll.DBRW($E$2,BN$1,BN$2,$D$18,$D$3,$D185,$E185,$F185,$F$3,BO$3)</f>
        <v>0</v>
      </c>
      <c r="BP185" s="25">
        <f>_xll.DBRW($C$2,$BN$1,BN$2,$D$18,$D$3,$D185,$E185,$F185,BP$3)</f>
        <v>1</v>
      </c>
      <c r="BQ185" s="64">
        <f>_xll.DBRW($C$2,$BN$1,BN$2,$D$18,$D$3,$D185,$E185,$F185,BQ$3)</f>
        <v>0</v>
      </c>
      <c r="BR185" s="58">
        <f>_xll.DBRW($C$2,$BN$1,BN$2,$D$18,$D$3,$D185,$E185,$F185,BR$3)</f>
        <v>0</v>
      </c>
      <c r="BS185" s="48">
        <f t="shared" si="57"/>
        <v>10</v>
      </c>
      <c r="BT185" s="39">
        <f>_xll.DBRW($C$2,$BT$1,BT$2,$D$18,$D$3,$D185,$E185,$F185,BT$3)</f>
        <v>0</v>
      </c>
      <c r="BU185" s="25" cm="1">
        <f t="array" ref="BU185">_xll.DBRW($E$2,BT$1,BT$2,$D$18,$D$3,$D185,$E185,$F185,$F$3,BU$3)</f>
        <v>0</v>
      </c>
      <c r="BV185" s="25">
        <f>_xll.DBRW($C$2,$BT$1,BT$2,$D$18,$D$3,$D185,$E185,$F185,BV$3)</f>
        <v>1</v>
      </c>
      <c r="BW185" s="64">
        <f>_xll.DBRW($C$2,$BT$1,BT$2,$D$18,$D$3,$D185,$E185,$F185,BW$3)</f>
        <v>0</v>
      </c>
      <c r="BX185" s="58">
        <f>_xll.DBRW($C$2,$BT$1,BT$2,$D$18,$D$3,$D185,$E185,$F185,BX$3)</f>
        <v>0</v>
      </c>
      <c r="BY185" s="48">
        <f t="shared" si="58"/>
        <v>9</v>
      </c>
      <c r="BZ185" s="39">
        <f>_xll.DBRW($C$2,$BZ$1,BZ$2,$D$18,$D$3,$D185,$E185,$F185,BZ$3)</f>
        <v>0</v>
      </c>
      <c r="CA185" s="25" cm="1">
        <f t="array" ref="CA185">_xll.DBRW($E$2,BZ$1,BZ$2,$D$18,$D$3,$D185,$E185,$F185,$F$3,CA$3)</f>
        <v>0</v>
      </c>
      <c r="CB185" s="25">
        <f>_xll.DBRW($C$2,$BZ$1,BZ$2,$D$18,$D$3,$D185,$E185,$F185,CB$3)</f>
        <v>1</v>
      </c>
      <c r="CC185" s="64">
        <f>_xll.DBRW($C$2,$BZ$1,BZ$2,$D$18,$D$3,$D185,$E185,$F185,CC$3)</f>
        <v>0</v>
      </c>
      <c r="CD185" s="58">
        <f>_xll.DBRW($C$2,$BZ$1,BZ$2,$D$18,$D$3,$D185,$E185,$F185,CD$3)</f>
        <v>0</v>
      </c>
      <c r="CE185" s="48">
        <f t="shared" si="59"/>
        <v>8</v>
      </c>
    </row>
    <row r="186" spans="1:83" s="23" customFormat="1" outlineLevel="1" thickBot="1" x14ac:dyDescent="0.3">
      <c r="A186" s="91" t="str">
        <f>IF(_xll.TM1RPTELISCONSOLIDATED($F$22,$F186),IF(_xll.TM1RPTELLEV($F$22,$F186)&lt;=5,_xll.TM1RPTELLEV($F$22,$F186),"Default"),"Leaf")</f>
        <v>Leaf</v>
      </c>
      <c r="B186" s="24" t="str">
        <f>_xll.DBRW("TM1-S1_DEV:}ElementAttributes_SP_SKU",$D186,B$1)</f>
        <v>Primary</v>
      </c>
      <c r="C186" s="24" t="str">
        <f>_xll.DBRW("TM1-S1_DEV:}ElementAttributes_SP_SKU",$D186,C$1)</f>
        <v>UTENSIL</v>
      </c>
      <c r="D186" s="28" t="s">
        <v>170</v>
      </c>
      <c r="E186" s="28" t="s">
        <v>309</v>
      </c>
      <c r="F186" s="28" t="s">
        <v>329</v>
      </c>
      <c r="G186" s="4">
        <f>_xll.DBRW($C$2,$G$19,G$20,$D$18,$D$3,$D186,$E186,$F186,G$3)</f>
        <v>18</v>
      </c>
      <c r="H186" s="54">
        <f t="shared" si="48"/>
        <v>1</v>
      </c>
      <c r="I186" s="4"/>
      <c r="J186" s="25">
        <f>_xll.DBRW($C$2,$J$1,J$2,$D$18,$D$3,$D186,$E186,$F186,J$3)</f>
        <v>19</v>
      </c>
      <c r="K186" s="39">
        <f>_xll.DBRW($C$2,$J$1,J$2,$D$18,$D$3,$D186,$E186,$F186,K$3)</f>
        <v>0</v>
      </c>
      <c r="L186" s="25">
        <f>_xll.DBRW($C$2,$J$1,J$2,$D$18,$D$3,$D186,$E186,$F186,L$3)</f>
        <v>0</v>
      </c>
      <c r="M186" s="25">
        <f>_xll.DBRW($C$2,$J$1,J$2,$D$18,$D$3,$D186,$E186,$F186,M$3)</f>
        <v>0</v>
      </c>
      <c r="N186" s="25">
        <f>_xll.DBRW($C$2,$J$1,J$2,$D$18,$D$3,$D186,$E186,$F186,N$3)</f>
        <v>0</v>
      </c>
      <c r="O186" s="64">
        <f>_xll.DBRW($C$2,$J$1,J$2,$D$18,$D$3,$D186,$E186,$F186,O$3)</f>
        <v>0</v>
      </c>
      <c r="P186" s="58">
        <f>_xll.DBRW($C$2,$J$1,J$2,$D$18,$D$3,$D186,$E186,$F186,P$3)</f>
        <v>0</v>
      </c>
      <c r="Q186" s="48">
        <f>_xll.DBRW($C$2,$J$1,J$2,$D$18,$D$3,$D186,$E186,$F186,Q$3)</f>
        <v>19</v>
      </c>
      <c r="R186" s="39">
        <f>_xll.DBRW($C$2,$R$1,R$2,$D$18,$D$3,$D186,$E186,$F186,R$3)</f>
        <v>0</v>
      </c>
      <c r="S186" s="25" cm="1">
        <f t="array" ref="S186">_xll.DBRW($E$2,R$1,R$2,$D$18,$D$3,$D186,$E186,$F186,$F$3,S$3)</f>
        <v>0</v>
      </c>
      <c r="T186" s="25">
        <f>_xll.DBRW($C$2,$R$1,R$2,$D$18,$D$3,$D186,$E186,$F186,T$3)</f>
        <v>0</v>
      </c>
      <c r="U186" s="64">
        <f>_xll.DBRW($C$2,$R$1,R$2,$D$18,$D$3,$D186,$E186,$F186,U$3)</f>
        <v>0</v>
      </c>
      <c r="V186" s="58">
        <f>_xll.DBRW($C$2,$R$1,R$2,$D$18,$D$3,$D186,$E186,$F186,V$3)</f>
        <v>0</v>
      </c>
      <c r="W186" s="48">
        <f t="shared" si="49"/>
        <v>19</v>
      </c>
      <c r="X186" s="39">
        <f>_xll.DBRW($C$2,$X$1,X$2,$D$18,$D$3,$D186,$E186,$F186,X$3)</f>
        <v>0</v>
      </c>
      <c r="Y186" s="25" cm="1">
        <f t="array" ref="Y186">_xll.DBRW($E$2,X$1,X$2,$D$18,$D$3,$D186,$E186,$F186,$F$3,Y$3)</f>
        <v>0</v>
      </c>
      <c r="Z186" s="25">
        <f>_xll.DBRW($C$2,$X$1,X$2,$D$18,$D$3,$D186,$E186,$F186,Z$3)</f>
        <v>3</v>
      </c>
      <c r="AA186" s="64">
        <f>_xll.DBRW($C$2,$X$1,X$2,$D$18,$D$3,$D186,$E186,$F186,AA$3)</f>
        <v>0</v>
      </c>
      <c r="AB186" s="58">
        <f>_xll.DBRW($C$2,$X$1,X$2,$D$18,$D$3,$D186,$E186,$F186,AB$3)</f>
        <v>0</v>
      </c>
      <c r="AC186" s="48">
        <f t="shared" si="50"/>
        <v>16</v>
      </c>
      <c r="AD186" s="39">
        <f>_xll.DBRW($C$2,$AD$1,AD$2,$D$18,$D$3,$D186,$E186,$F186,AD$3)</f>
        <v>0</v>
      </c>
      <c r="AE186" s="25" cm="1">
        <f t="array" ref="AE186">_xll.DBRW($E$2,AD$1,AD$2,$D$18,$D$3,$D186,$E186,$F186,$F$3,AE$3)</f>
        <v>0</v>
      </c>
      <c r="AF186" s="25">
        <f>_xll.DBRW($C$2,$AD$1,AD$2,$D$18,$D$3,$D186,$E186,$F186,AF$3)</f>
        <v>3</v>
      </c>
      <c r="AG186" s="64">
        <f>_xll.DBRW($C$2,$AD$1,AD$2,$D$18,$D$3,$D186,$E186,$F186,AG$3)</f>
        <v>0</v>
      </c>
      <c r="AH186" s="58">
        <f>_xll.DBRW($C$2,$AD$1,AD$2,$D$18,$D$3,$D186,$E186,$F186,AH$3)</f>
        <v>0</v>
      </c>
      <c r="AI186" s="48">
        <f t="shared" si="51"/>
        <v>13</v>
      </c>
      <c r="AJ186" s="39">
        <f>_xll.DBRW($C$2,$AJ$1,AJ$2,$D$18,$D$3,$D186,$E186,$F186,AJ$3)</f>
        <v>0</v>
      </c>
      <c r="AK186" s="25" cm="1">
        <f t="array" ref="AK186">_xll.DBRW($E$2,AJ$1,AJ$2,$D$18,$D$3,$D186,$E186,$F186,$F$3,AK$3)</f>
        <v>0</v>
      </c>
      <c r="AL186" s="25">
        <f>_xll.DBRW($C$2,$AJ$1,AJ$2,$D$18,$D$3,$D186,$E186,$F186,AL$3)</f>
        <v>3</v>
      </c>
      <c r="AM186" s="64">
        <f>_xll.DBRW($C$2,$AJ$1,AJ$2,$D$18,$D$3,$D186,$E186,$F186,AM$3)</f>
        <v>0</v>
      </c>
      <c r="AN186" s="58">
        <f>_xll.DBRW($C$2,$AJ$1,AJ$2,$D$18,$D$3,$D186,$E186,$F186,AN$3)</f>
        <v>0</v>
      </c>
      <c r="AO186" s="48">
        <f t="shared" si="52"/>
        <v>10</v>
      </c>
      <c r="AP186" s="39">
        <f>_xll.DBRW($C$2,$AP$1,AP$2,$D$18,$D$3,$D186,$E186,$F186,AP$3)</f>
        <v>0</v>
      </c>
      <c r="AQ186" s="25" cm="1">
        <f t="array" ref="AQ186">_xll.DBRW($E$2,AP$1,AP$2,$D$18,$D$3,$D186,$E186,$F186,$F$3,AQ$3)</f>
        <v>0</v>
      </c>
      <c r="AR186" s="25">
        <f>_xll.DBRW($C$2,$AP$1,AP$2,$D$18,$D$3,$D186,$E186,$F186,AR$3)</f>
        <v>3</v>
      </c>
      <c r="AS186" s="64">
        <f>_xll.DBRW($C$2,$AP$1,AP$2,$D$18,$D$3,$D186,$E186,$F186,AS$3)</f>
        <v>0</v>
      </c>
      <c r="AT186" s="58">
        <f>_xll.DBRW($C$2,$AP$1,AP$2,$D$18,$D$3,$D186,$E186,$F186,AT$3)</f>
        <v>0</v>
      </c>
      <c r="AU186" s="48">
        <f t="shared" si="53"/>
        <v>7</v>
      </c>
      <c r="AV186" s="39">
        <f>_xll.DBRW($C$2,$AV$1,AV$2,$D$18,$D$3,$D186,$E186,$F186,AV$3)</f>
        <v>0</v>
      </c>
      <c r="AW186" s="25" cm="1">
        <f t="array" ref="AW186">_xll.DBRW($E$2,AV$1,AV$2,$D$18,$D$3,$D186,$E186,$F186,$F$3,AW$3)</f>
        <v>0</v>
      </c>
      <c r="AX186" s="25">
        <f>_xll.DBRW($C$2,$AV$1,AV$2,$D$18,$D$3,$D186,$E186,$F186,AX$3)</f>
        <v>3</v>
      </c>
      <c r="AY186" s="64">
        <f>_xll.DBRW($C$2,$AV$1,AV$2,$D$18,$D$3,$D186,$E186,$F186,AY$3)</f>
        <v>0</v>
      </c>
      <c r="AZ186" s="58">
        <f>_xll.DBRW($C$2,$AV$1,AV$2,$D$18,$D$3,$D186,$E186,$F186,AZ$3)</f>
        <v>0</v>
      </c>
      <c r="BA186" s="48">
        <f t="shared" si="54"/>
        <v>4</v>
      </c>
      <c r="BB186" s="39">
        <f>_xll.DBRW($C$2,$BB$1,BB$2,$D$18,$D$3,$D186,$E186,$F186,BB$3)</f>
        <v>0</v>
      </c>
      <c r="BC186" s="25" cm="1">
        <f t="array" ref="BC186">_xll.DBRW($E$2,BB$1,BB$2,$D$18,$D$3,$D186,$E186,$F186,$F$3,BC$3)</f>
        <v>0</v>
      </c>
      <c r="BD186" s="25">
        <f>_xll.DBRW($C$2,$BB$1,BB$2,$D$18,$D$3,$D186,$E186,$F186,BD$3)</f>
        <v>3</v>
      </c>
      <c r="BE186" s="64">
        <f>_xll.DBRW($C$2,$BB$1,BB$2,$D$18,$D$3,$D186,$E186,$F186,BE$3)</f>
        <v>0</v>
      </c>
      <c r="BF186" s="58">
        <f>_xll.DBRW($C$2,$BB$1,BB$2,$D$18,$D$3,$D186,$E186,$F186,BF$3)</f>
        <v>0</v>
      </c>
      <c r="BG186" s="48">
        <f t="shared" si="55"/>
        <v>1</v>
      </c>
      <c r="BH186" s="39">
        <f>_xll.DBRW($C$2,$BH$1,BH$2,$D$18,$D$3,$D186,$E186,$F186,BH$3)</f>
        <v>0</v>
      </c>
      <c r="BI186" s="25" cm="1">
        <f t="array" ref="BI186">_xll.DBRW($E$2,BH$1,BH$2,$D$18,$D$3,$D186,$E186,$F186,$F$3,BI$3)</f>
        <v>0</v>
      </c>
      <c r="BJ186" s="25">
        <f>_xll.DBRW($C$2,$BH$1,BH$2,$D$18,$D$3,$D186,$E186,$F186,BJ$3)</f>
        <v>3</v>
      </c>
      <c r="BK186" s="64">
        <f>_xll.DBRW($C$2,$BH$1,BH$2,$D$18,$D$3,$D186,$E186,$F186,BK$3)</f>
        <v>0</v>
      </c>
      <c r="BL186" s="58">
        <f>_xll.DBRW($C$2,$BH$1,BH$2,$D$18,$D$3,$D186,$E186,$F186,BL$3)</f>
        <v>0</v>
      </c>
      <c r="BM186" s="48">
        <f t="shared" si="56"/>
        <v>-2</v>
      </c>
      <c r="BN186" s="39">
        <f>_xll.DBRW($C$2,$BN$1,BN$2,$D$18,$D$3,$D186,$E186,$F186,BN$3)</f>
        <v>0</v>
      </c>
      <c r="BO186" s="25" cm="1">
        <f t="array" ref="BO186">_xll.DBRW($E$2,BN$1,BN$2,$D$18,$D$3,$D186,$E186,$F186,$F$3,BO$3)</f>
        <v>0</v>
      </c>
      <c r="BP186" s="25">
        <f>_xll.DBRW($C$2,$BN$1,BN$2,$D$18,$D$3,$D186,$E186,$F186,BP$3)</f>
        <v>3</v>
      </c>
      <c r="BQ186" s="64">
        <f>_xll.DBRW($C$2,$BN$1,BN$2,$D$18,$D$3,$D186,$E186,$F186,BQ$3)</f>
        <v>0</v>
      </c>
      <c r="BR186" s="58">
        <f>_xll.DBRW($C$2,$BN$1,BN$2,$D$18,$D$3,$D186,$E186,$F186,BR$3)</f>
        <v>0</v>
      </c>
      <c r="BS186" s="48">
        <f t="shared" si="57"/>
        <v>-5</v>
      </c>
      <c r="BT186" s="39">
        <f>_xll.DBRW($C$2,$BT$1,BT$2,$D$18,$D$3,$D186,$E186,$F186,BT$3)</f>
        <v>0</v>
      </c>
      <c r="BU186" s="25" cm="1">
        <f t="array" ref="BU186">_xll.DBRW($E$2,BT$1,BT$2,$D$18,$D$3,$D186,$E186,$F186,$F$3,BU$3)</f>
        <v>0</v>
      </c>
      <c r="BV186" s="25">
        <f>_xll.DBRW($C$2,$BT$1,BT$2,$D$18,$D$3,$D186,$E186,$F186,BV$3)</f>
        <v>3</v>
      </c>
      <c r="BW186" s="64">
        <f>_xll.DBRW($C$2,$BT$1,BT$2,$D$18,$D$3,$D186,$E186,$F186,BW$3)</f>
        <v>0</v>
      </c>
      <c r="BX186" s="58">
        <f>_xll.DBRW($C$2,$BT$1,BT$2,$D$18,$D$3,$D186,$E186,$F186,BX$3)</f>
        <v>0</v>
      </c>
      <c r="BY186" s="48">
        <f t="shared" si="58"/>
        <v>-8</v>
      </c>
      <c r="BZ186" s="39">
        <f>_xll.DBRW($C$2,$BZ$1,BZ$2,$D$18,$D$3,$D186,$E186,$F186,BZ$3)</f>
        <v>0</v>
      </c>
      <c r="CA186" s="25" cm="1">
        <f t="array" ref="CA186">_xll.DBRW($E$2,BZ$1,BZ$2,$D$18,$D$3,$D186,$E186,$F186,$F$3,CA$3)</f>
        <v>0</v>
      </c>
      <c r="CB186" s="25">
        <f>_xll.DBRW($C$2,$BZ$1,BZ$2,$D$18,$D$3,$D186,$E186,$F186,CB$3)</f>
        <v>3</v>
      </c>
      <c r="CC186" s="64">
        <f>_xll.DBRW($C$2,$BZ$1,BZ$2,$D$18,$D$3,$D186,$E186,$F186,CC$3)</f>
        <v>0</v>
      </c>
      <c r="CD186" s="58">
        <f>_xll.DBRW($C$2,$BZ$1,BZ$2,$D$18,$D$3,$D186,$E186,$F186,CD$3)</f>
        <v>0</v>
      </c>
      <c r="CE186" s="48">
        <f t="shared" si="59"/>
        <v>-11</v>
      </c>
    </row>
    <row r="187" spans="1:83" s="23" customFormat="1" outlineLevel="1" thickBot="1" x14ac:dyDescent="0.3">
      <c r="A187" s="91" t="str">
        <f>IF(_xll.TM1RPTELISCONSOLIDATED($F$22,$F187),IF(_xll.TM1RPTELLEV($F$22,$F187)&lt;=5,_xll.TM1RPTELLEV($F$22,$F187),"Default"),"Leaf")</f>
        <v>Leaf</v>
      </c>
      <c r="B187" s="24" t="str">
        <f>_xll.DBRW("TM1-S1_DEV:}ElementAttributes_SP_SKU",$D187,B$1)</f>
        <v>Primary</v>
      </c>
      <c r="C187" s="24" t="str">
        <f>_xll.DBRW("TM1-S1_DEV:}ElementAttributes_SP_SKU",$D187,C$1)</f>
        <v>UTENSIL</v>
      </c>
      <c r="D187" s="28" t="s">
        <v>171</v>
      </c>
      <c r="E187" s="28" t="s">
        <v>310</v>
      </c>
      <c r="F187" s="28" t="s">
        <v>329</v>
      </c>
      <c r="G187" s="4">
        <f>_xll.DBRW($C$2,$G$19,G$20,$D$18,$D$3,$D187,$E187,$F187,G$3)</f>
        <v>62</v>
      </c>
      <c r="H187" s="54">
        <f t="shared" si="48"/>
        <v>-14</v>
      </c>
      <c r="I187" s="4"/>
      <c r="J187" s="25">
        <f>_xll.DBRW($C$2,$J$1,J$2,$D$18,$D$3,$D187,$E187,$F187,J$3)</f>
        <v>48</v>
      </c>
      <c r="K187" s="39">
        <f>_xll.DBRW($C$2,$J$1,J$2,$D$18,$D$3,$D187,$E187,$F187,K$3)</f>
        <v>0</v>
      </c>
      <c r="L187" s="25">
        <f>_xll.DBRW($C$2,$J$1,J$2,$D$18,$D$3,$D187,$E187,$F187,L$3)</f>
        <v>0</v>
      </c>
      <c r="M187" s="25">
        <f>_xll.DBRW($C$2,$J$1,J$2,$D$18,$D$3,$D187,$E187,$F187,M$3)</f>
        <v>0</v>
      </c>
      <c r="N187" s="25">
        <f>_xll.DBRW($C$2,$J$1,J$2,$D$18,$D$3,$D187,$E187,$F187,N$3)</f>
        <v>0</v>
      </c>
      <c r="O187" s="64">
        <f>_xll.DBRW($C$2,$J$1,J$2,$D$18,$D$3,$D187,$E187,$F187,O$3)</f>
        <v>0</v>
      </c>
      <c r="P187" s="58">
        <f>_xll.DBRW($C$2,$J$1,J$2,$D$18,$D$3,$D187,$E187,$F187,P$3)</f>
        <v>0</v>
      </c>
      <c r="Q187" s="48">
        <f>_xll.DBRW($C$2,$J$1,J$2,$D$18,$D$3,$D187,$E187,$F187,Q$3)</f>
        <v>48</v>
      </c>
      <c r="R187" s="39">
        <f>_xll.DBRW($C$2,$R$1,R$2,$D$18,$D$3,$D187,$E187,$F187,R$3)</f>
        <v>0</v>
      </c>
      <c r="S187" s="25" cm="1">
        <f t="array" ref="S187">_xll.DBRW($E$2,R$1,R$2,$D$18,$D$3,$D187,$E187,$F187,$F$3,S$3)</f>
        <v>0</v>
      </c>
      <c r="T187" s="25">
        <f>_xll.DBRW($C$2,$R$1,R$2,$D$18,$D$3,$D187,$E187,$F187,T$3)</f>
        <v>0</v>
      </c>
      <c r="U187" s="64">
        <f>_xll.DBRW($C$2,$R$1,R$2,$D$18,$D$3,$D187,$E187,$F187,U$3)</f>
        <v>0</v>
      </c>
      <c r="V187" s="58">
        <f>_xll.DBRW($C$2,$R$1,R$2,$D$18,$D$3,$D187,$E187,$F187,V$3)</f>
        <v>0</v>
      </c>
      <c r="W187" s="48">
        <f t="shared" si="49"/>
        <v>48</v>
      </c>
      <c r="X187" s="39">
        <f>_xll.DBRW($C$2,$X$1,X$2,$D$18,$D$3,$D187,$E187,$F187,X$3)</f>
        <v>0</v>
      </c>
      <c r="Y187" s="25" cm="1">
        <f t="array" ref="Y187">_xll.DBRW($E$2,X$1,X$2,$D$18,$D$3,$D187,$E187,$F187,$F$3,Y$3)</f>
        <v>0</v>
      </c>
      <c r="Z187" s="25">
        <f>_xll.DBRW($C$2,$X$1,X$2,$D$18,$D$3,$D187,$E187,$F187,Z$3)</f>
        <v>2</v>
      </c>
      <c r="AA187" s="64">
        <f>_xll.DBRW($C$2,$X$1,X$2,$D$18,$D$3,$D187,$E187,$F187,AA$3)</f>
        <v>0</v>
      </c>
      <c r="AB187" s="58">
        <f>_xll.DBRW($C$2,$X$1,X$2,$D$18,$D$3,$D187,$E187,$F187,AB$3)</f>
        <v>0</v>
      </c>
      <c r="AC187" s="48">
        <f t="shared" si="50"/>
        <v>46</v>
      </c>
      <c r="AD187" s="39">
        <f>_xll.DBRW($C$2,$AD$1,AD$2,$D$18,$D$3,$D187,$E187,$F187,AD$3)</f>
        <v>0</v>
      </c>
      <c r="AE187" s="25" cm="1">
        <f t="array" ref="AE187">_xll.DBRW($E$2,AD$1,AD$2,$D$18,$D$3,$D187,$E187,$F187,$F$3,AE$3)</f>
        <v>0</v>
      </c>
      <c r="AF187" s="25">
        <f>_xll.DBRW($C$2,$AD$1,AD$2,$D$18,$D$3,$D187,$E187,$F187,AF$3)</f>
        <v>2</v>
      </c>
      <c r="AG187" s="64">
        <f>_xll.DBRW($C$2,$AD$1,AD$2,$D$18,$D$3,$D187,$E187,$F187,AG$3)</f>
        <v>0</v>
      </c>
      <c r="AH187" s="58">
        <f>_xll.DBRW($C$2,$AD$1,AD$2,$D$18,$D$3,$D187,$E187,$F187,AH$3)</f>
        <v>0</v>
      </c>
      <c r="AI187" s="48">
        <f t="shared" si="51"/>
        <v>44</v>
      </c>
      <c r="AJ187" s="39">
        <f>_xll.DBRW($C$2,$AJ$1,AJ$2,$D$18,$D$3,$D187,$E187,$F187,AJ$3)</f>
        <v>0</v>
      </c>
      <c r="AK187" s="25" cm="1">
        <f t="array" ref="AK187">_xll.DBRW($E$2,AJ$1,AJ$2,$D$18,$D$3,$D187,$E187,$F187,$F$3,AK$3)</f>
        <v>0</v>
      </c>
      <c r="AL187" s="25">
        <f>_xll.DBRW($C$2,$AJ$1,AJ$2,$D$18,$D$3,$D187,$E187,$F187,AL$3)</f>
        <v>2</v>
      </c>
      <c r="AM187" s="64">
        <f>_xll.DBRW($C$2,$AJ$1,AJ$2,$D$18,$D$3,$D187,$E187,$F187,AM$3)</f>
        <v>0</v>
      </c>
      <c r="AN187" s="58">
        <f>_xll.DBRW($C$2,$AJ$1,AJ$2,$D$18,$D$3,$D187,$E187,$F187,AN$3)</f>
        <v>0</v>
      </c>
      <c r="AO187" s="48">
        <f t="shared" si="52"/>
        <v>42</v>
      </c>
      <c r="AP187" s="39">
        <f>_xll.DBRW($C$2,$AP$1,AP$2,$D$18,$D$3,$D187,$E187,$F187,AP$3)</f>
        <v>0</v>
      </c>
      <c r="AQ187" s="25" cm="1">
        <f t="array" ref="AQ187">_xll.DBRW($E$2,AP$1,AP$2,$D$18,$D$3,$D187,$E187,$F187,$F$3,AQ$3)</f>
        <v>0</v>
      </c>
      <c r="AR187" s="25">
        <f>_xll.DBRW($C$2,$AP$1,AP$2,$D$18,$D$3,$D187,$E187,$F187,AR$3)</f>
        <v>2</v>
      </c>
      <c r="AS187" s="64">
        <f>_xll.DBRW($C$2,$AP$1,AP$2,$D$18,$D$3,$D187,$E187,$F187,AS$3)</f>
        <v>0</v>
      </c>
      <c r="AT187" s="58">
        <f>_xll.DBRW($C$2,$AP$1,AP$2,$D$18,$D$3,$D187,$E187,$F187,AT$3)</f>
        <v>0</v>
      </c>
      <c r="AU187" s="48">
        <f t="shared" si="53"/>
        <v>40</v>
      </c>
      <c r="AV187" s="39">
        <f>_xll.DBRW($C$2,$AV$1,AV$2,$D$18,$D$3,$D187,$E187,$F187,AV$3)</f>
        <v>0</v>
      </c>
      <c r="AW187" s="25" cm="1">
        <f t="array" ref="AW187">_xll.DBRW($E$2,AV$1,AV$2,$D$18,$D$3,$D187,$E187,$F187,$F$3,AW$3)</f>
        <v>0</v>
      </c>
      <c r="AX187" s="25">
        <f>_xll.DBRW($C$2,$AV$1,AV$2,$D$18,$D$3,$D187,$E187,$F187,AX$3)</f>
        <v>2</v>
      </c>
      <c r="AY187" s="64">
        <f>_xll.DBRW($C$2,$AV$1,AV$2,$D$18,$D$3,$D187,$E187,$F187,AY$3)</f>
        <v>0</v>
      </c>
      <c r="AZ187" s="58">
        <f>_xll.DBRW($C$2,$AV$1,AV$2,$D$18,$D$3,$D187,$E187,$F187,AZ$3)</f>
        <v>0</v>
      </c>
      <c r="BA187" s="48">
        <f t="shared" si="54"/>
        <v>38</v>
      </c>
      <c r="BB187" s="39">
        <f>_xll.DBRW($C$2,$BB$1,BB$2,$D$18,$D$3,$D187,$E187,$F187,BB$3)</f>
        <v>0</v>
      </c>
      <c r="BC187" s="25" cm="1">
        <f t="array" ref="BC187">_xll.DBRW($E$2,BB$1,BB$2,$D$18,$D$3,$D187,$E187,$F187,$F$3,BC$3)</f>
        <v>0</v>
      </c>
      <c r="BD187" s="25">
        <f>_xll.DBRW($C$2,$BB$1,BB$2,$D$18,$D$3,$D187,$E187,$F187,BD$3)</f>
        <v>2</v>
      </c>
      <c r="BE187" s="64">
        <f>_xll.DBRW($C$2,$BB$1,BB$2,$D$18,$D$3,$D187,$E187,$F187,BE$3)</f>
        <v>0</v>
      </c>
      <c r="BF187" s="58">
        <f>_xll.DBRW($C$2,$BB$1,BB$2,$D$18,$D$3,$D187,$E187,$F187,BF$3)</f>
        <v>0</v>
      </c>
      <c r="BG187" s="48">
        <f t="shared" si="55"/>
        <v>36</v>
      </c>
      <c r="BH187" s="39">
        <f>_xll.DBRW($C$2,$BH$1,BH$2,$D$18,$D$3,$D187,$E187,$F187,BH$3)</f>
        <v>0</v>
      </c>
      <c r="BI187" s="25" cm="1">
        <f t="array" ref="BI187">_xll.DBRW($E$2,BH$1,BH$2,$D$18,$D$3,$D187,$E187,$F187,$F$3,BI$3)</f>
        <v>0</v>
      </c>
      <c r="BJ187" s="25">
        <f>_xll.DBRW($C$2,$BH$1,BH$2,$D$18,$D$3,$D187,$E187,$F187,BJ$3)</f>
        <v>2</v>
      </c>
      <c r="BK187" s="64">
        <f>_xll.DBRW($C$2,$BH$1,BH$2,$D$18,$D$3,$D187,$E187,$F187,BK$3)</f>
        <v>0</v>
      </c>
      <c r="BL187" s="58">
        <f>_xll.DBRW($C$2,$BH$1,BH$2,$D$18,$D$3,$D187,$E187,$F187,BL$3)</f>
        <v>0</v>
      </c>
      <c r="BM187" s="48">
        <f t="shared" si="56"/>
        <v>34</v>
      </c>
      <c r="BN187" s="39">
        <f>_xll.DBRW($C$2,$BN$1,BN$2,$D$18,$D$3,$D187,$E187,$F187,BN$3)</f>
        <v>0</v>
      </c>
      <c r="BO187" s="25" cm="1">
        <f t="array" ref="BO187">_xll.DBRW($E$2,BN$1,BN$2,$D$18,$D$3,$D187,$E187,$F187,$F$3,BO$3)</f>
        <v>0</v>
      </c>
      <c r="BP187" s="25">
        <f>_xll.DBRW($C$2,$BN$1,BN$2,$D$18,$D$3,$D187,$E187,$F187,BP$3)</f>
        <v>2</v>
      </c>
      <c r="BQ187" s="64">
        <f>_xll.DBRW($C$2,$BN$1,BN$2,$D$18,$D$3,$D187,$E187,$F187,BQ$3)</f>
        <v>0</v>
      </c>
      <c r="BR187" s="58">
        <f>_xll.DBRW($C$2,$BN$1,BN$2,$D$18,$D$3,$D187,$E187,$F187,BR$3)</f>
        <v>0</v>
      </c>
      <c r="BS187" s="48">
        <f t="shared" si="57"/>
        <v>32</v>
      </c>
      <c r="BT187" s="39">
        <f>_xll.DBRW($C$2,$BT$1,BT$2,$D$18,$D$3,$D187,$E187,$F187,BT$3)</f>
        <v>0</v>
      </c>
      <c r="BU187" s="25" cm="1">
        <f t="array" ref="BU187">_xll.DBRW($E$2,BT$1,BT$2,$D$18,$D$3,$D187,$E187,$F187,$F$3,BU$3)</f>
        <v>0</v>
      </c>
      <c r="BV187" s="25">
        <f>_xll.DBRW($C$2,$BT$1,BT$2,$D$18,$D$3,$D187,$E187,$F187,BV$3)</f>
        <v>2</v>
      </c>
      <c r="BW187" s="64">
        <f>_xll.DBRW($C$2,$BT$1,BT$2,$D$18,$D$3,$D187,$E187,$F187,BW$3)</f>
        <v>0</v>
      </c>
      <c r="BX187" s="58">
        <f>_xll.DBRW($C$2,$BT$1,BT$2,$D$18,$D$3,$D187,$E187,$F187,BX$3)</f>
        <v>0</v>
      </c>
      <c r="BY187" s="48">
        <f t="shared" si="58"/>
        <v>30</v>
      </c>
      <c r="BZ187" s="39">
        <f>_xll.DBRW($C$2,$BZ$1,BZ$2,$D$18,$D$3,$D187,$E187,$F187,BZ$3)</f>
        <v>0</v>
      </c>
      <c r="CA187" s="25" cm="1">
        <f t="array" ref="CA187">_xll.DBRW($E$2,BZ$1,BZ$2,$D$18,$D$3,$D187,$E187,$F187,$F$3,CA$3)</f>
        <v>0</v>
      </c>
      <c r="CB187" s="25">
        <f>_xll.DBRW($C$2,$BZ$1,BZ$2,$D$18,$D$3,$D187,$E187,$F187,CB$3)</f>
        <v>2</v>
      </c>
      <c r="CC187" s="64">
        <f>_xll.DBRW($C$2,$BZ$1,BZ$2,$D$18,$D$3,$D187,$E187,$F187,CC$3)</f>
        <v>0</v>
      </c>
      <c r="CD187" s="58">
        <f>_xll.DBRW($C$2,$BZ$1,BZ$2,$D$18,$D$3,$D187,$E187,$F187,CD$3)</f>
        <v>0</v>
      </c>
      <c r="CE187" s="48">
        <f t="shared" si="59"/>
        <v>28</v>
      </c>
    </row>
    <row r="188" spans="1:83" s="23" customFormat="1" outlineLevel="1" thickBot="1" x14ac:dyDescent="0.3">
      <c r="A188" s="91" t="str">
        <f>IF(_xll.TM1RPTELISCONSOLIDATED($F$22,$F188),IF(_xll.TM1RPTELLEV($F$22,$F188)&lt;=5,_xll.TM1RPTELLEV($F$22,$F188),"Default"),"Leaf")</f>
        <v>Leaf</v>
      </c>
      <c r="B188" s="24" t="str">
        <f>_xll.DBRW("TM1-S1_DEV:}ElementAttributes_SP_SKU",$D188,B$1)</f>
        <v>Primary</v>
      </c>
      <c r="C188" s="24" t="str">
        <f>_xll.DBRW("TM1-S1_DEV:}ElementAttributes_SP_SKU",$D188,C$1)</f>
        <v>DISPENSER</v>
      </c>
      <c r="D188" s="28" t="s">
        <v>172</v>
      </c>
      <c r="E188" s="28" t="s">
        <v>311</v>
      </c>
      <c r="F188" s="28" t="s">
        <v>329</v>
      </c>
      <c r="G188" s="4">
        <f>_xll.DBRW($C$2,$G$19,G$20,$D$18,$D$3,$D188,$E188,$F188,G$3)</f>
        <v>33</v>
      </c>
      <c r="H188" s="54">
        <f t="shared" si="48"/>
        <v>0</v>
      </c>
      <c r="I188" s="4"/>
      <c r="J188" s="25">
        <f>_xll.DBRW($C$2,$J$1,J$2,$D$18,$D$3,$D188,$E188,$F188,J$3)</f>
        <v>33</v>
      </c>
      <c r="K188" s="39">
        <f>_xll.DBRW($C$2,$J$1,J$2,$D$18,$D$3,$D188,$E188,$F188,K$3)</f>
        <v>0</v>
      </c>
      <c r="L188" s="25">
        <f>_xll.DBRW($C$2,$J$1,J$2,$D$18,$D$3,$D188,$E188,$F188,L$3)</f>
        <v>0</v>
      </c>
      <c r="M188" s="25">
        <f>_xll.DBRW($C$2,$J$1,J$2,$D$18,$D$3,$D188,$E188,$F188,M$3)</f>
        <v>0</v>
      </c>
      <c r="N188" s="25">
        <f>_xll.DBRW($C$2,$J$1,J$2,$D$18,$D$3,$D188,$E188,$F188,N$3)</f>
        <v>0</v>
      </c>
      <c r="O188" s="64">
        <f>_xll.DBRW($C$2,$J$1,J$2,$D$18,$D$3,$D188,$E188,$F188,O$3)</f>
        <v>0</v>
      </c>
      <c r="P188" s="58">
        <f>_xll.DBRW($C$2,$J$1,J$2,$D$18,$D$3,$D188,$E188,$F188,P$3)</f>
        <v>0</v>
      </c>
      <c r="Q188" s="48">
        <f>_xll.DBRW($C$2,$J$1,J$2,$D$18,$D$3,$D188,$E188,$F188,Q$3)</f>
        <v>33</v>
      </c>
      <c r="R188" s="39">
        <f>_xll.DBRW($C$2,$R$1,R$2,$D$18,$D$3,$D188,$E188,$F188,R$3)</f>
        <v>0</v>
      </c>
      <c r="S188" s="25" cm="1">
        <f t="array" ref="S188">_xll.DBRW($E$2,R$1,R$2,$D$18,$D$3,$D188,$E188,$F188,$F$3,S$3)</f>
        <v>0</v>
      </c>
      <c r="T188" s="25">
        <f>_xll.DBRW($C$2,$R$1,R$2,$D$18,$D$3,$D188,$E188,$F188,T$3)</f>
        <v>0</v>
      </c>
      <c r="U188" s="64">
        <f>_xll.DBRW($C$2,$R$1,R$2,$D$18,$D$3,$D188,$E188,$F188,U$3)</f>
        <v>0</v>
      </c>
      <c r="V188" s="58">
        <f>_xll.DBRW($C$2,$R$1,R$2,$D$18,$D$3,$D188,$E188,$F188,V$3)</f>
        <v>0</v>
      </c>
      <c r="W188" s="48">
        <f t="shared" si="49"/>
        <v>33</v>
      </c>
      <c r="X188" s="39">
        <f>_xll.DBRW($C$2,$X$1,X$2,$D$18,$D$3,$D188,$E188,$F188,X$3)</f>
        <v>0</v>
      </c>
      <c r="Y188" s="25" cm="1">
        <f t="array" ref="Y188">_xll.DBRW($E$2,X$1,X$2,$D$18,$D$3,$D188,$E188,$F188,$F$3,Y$3)</f>
        <v>0</v>
      </c>
      <c r="Z188" s="25">
        <f>_xll.DBRW($C$2,$X$1,X$2,$D$18,$D$3,$D188,$E188,$F188,Z$3)</f>
        <v>1</v>
      </c>
      <c r="AA188" s="64">
        <f>_xll.DBRW($C$2,$X$1,X$2,$D$18,$D$3,$D188,$E188,$F188,AA$3)</f>
        <v>0</v>
      </c>
      <c r="AB188" s="58">
        <f>_xll.DBRW($C$2,$X$1,X$2,$D$18,$D$3,$D188,$E188,$F188,AB$3)</f>
        <v>0</v>
      </c>
      <c r="AC188" s="48">
        <f t="shared" si="50"/>
        <v>32</v>
      </c>
      <c r="AD188" s="39">
        <f>_xll.DBRW($C$2,$AD$1,AD$2,$D$18,$D$3,$D188,$E188,$F188,AD$3)</f>
        <v>0</v>
      </c>
      <c r="AE188" s="25" cm="1">
        <f t="array" ref="AE188">_xll.DBRW($E$2,AD$1,AD$2,$D$18,$D$3,$D188,$E188,$F188,$F$3,AE$3)</f>
        <v>0</v>
      </c>
      <c r="AF188" s="25">
        <f>_xll.DBRW($C$2,$AD$1,AD$2,$D$18,$D$3,$D188,$E188,$F188,AF$3)</f>
        <v>1</v>
      </c>
      <c r="AG188" s="64">
        <f>_xll.DBRW($C$2,$AD$1,AD$2,$D$18,$D$3,$D188,$E188,$F188,AG$3)</f>
        <v>0</v>
      </c>
      <c r="AH188" s="58">
        <f>_xll.DBRW($C$2,$AD$1,AD$2,$D$18,$D$3,$D188,$E188,$F188,AH$3)</f>
        <v>0</v>
      </c>
      <c r="AI188" s="48">
        <f t="shared" si="51"/>
        <v>31</v>
      </c>
      <c r="AJ188" s="39">
        <f>_xll.DBRW($C$2,$AJ$1,AJ$2,$D$18,$D$3,$D188,$E188,$F188,AJ$3)</f>
        <v>0</v>
      </c>
      <c r="AK188" s="25" cm="1">
        <f t="array" ref="AK188">_xll.DBRW($E$2,AJ$1,AJ$2,$D$18,$D$3,$D188,$E188,$F188,$F$3,AK$3)</f>
        <v>0</v>
      </c>
      <c r="AL188" s="25">
        <f>_xll.DBRW($C$2,$AJ$1,AJ$2,$D$18,$D$3,$D188,$E188,$F188,AL$3)</f>
        <v>1</v>
      </c>
      <c r="AM188" s="64">
        <f>_xll.DBRW($C$2,$AJ$1,AJ$2,$D$18,$D$3,$D188,$E188,$F188,AM$3)</f>
        <v>0</v>
      </c>
      <c r="AN188" s="58">
        <f>_xll.DBRW($C$2,$AJ$1,AJ$2,$D$18,$D$3,$D188,$E188,$F188,AN$3)</f>
        <v>0</v>
      </c>
      <c r="AO188" s="48">
        <f t="shared" si="52"/>
        <v>30</v>
      </c>
      <c r="AP188" s="39">
        <f>_xll.DBRW($C$2,$AP$1,AP$2,$D$18,$D$3,$D188,$E188,$F188,AP$3)</f>
        <v>0</v>
      </c>
      <c r="AQ188" s="25" cm="1">
        <f t="array" ref="AQ188">_xll.DBRW($E$2,AP$1,AP$2,$D$18,$D$3,$D188,$E188,$F188,$F$3,AQ$3)</f>
        <v>0</v>
      </c>
      <c r="AR188" s="25">
        <f>_xll.DBRW($C$2,$AP$1,AP$2,$D$18,$D$3,$D188,$E188,$F188,AR$3)</f>
        <v>1</v>
      </c>
      <c r="AS188" s="64">
        <f>_xll.DBRW($C$2,$AP$1,AP$2,$D$18,$D$3,$D188,$E188,$F188,AS$3)</f>
        <v>0</v>
      </c>
      <c r="AT188" s="58">
        <f>_xll.DBRW($C$2,$AP$1,AP$2,$D$18,$D$3,$D188,$E188,$F188,AT$3)</f>
        <v>0</v>
      </c>
      <c r="AU188" s="48">
        <f t="shared" si="53"/>
        <v>29</v>
      </c>
      <c r="AV188" s="39">
        <f>_xll.DBRW($C$2,$AV$1,AV$2,$D$18,$D$3,$D188,$E188,$F188,AV$3)</f>
        <v>0</v>
      </c>
      <c r="AW188" s="25" cm="1">
        <f t="array" ref="AW188">_xll.DBRW($E$2,AV$1,AV$2,$D$18,$D$3,$D188,$E188,$F188,$F$3,AW$3)</f>
        <v>0</v>
      </c>
      <c r="AX188" s="25">
        <f>_xll.DBRW($C$2,$AV$1,AV$2,$D$18,$D$3,$D188,$E188,$F188,AX$3)</f>
        <v>1</v>
      </c>
      <c r="AY188" s="64">
        <f>_xll.DBRW($C$2,$AV$1,AV$2,$D$18,$D$3,$D188,$E188,$F188,AY$3)</f>
        <v>0</v>
      </c>
      <c r="AZ188" s="58">
        <f>_xll.DBRW($C$2,$AV$1,AV$2,$D$18,$D$3,$D188,$E188,$F188,AZ$3)</f>
        <v>0</v>
      </c>
      <c r="BA188" s="48">
        <f t="shared" si="54"/>
        <v>28</v>
      </c>
      <c r="BB188" s="39">
        <f>_xll.DBRW($C$2,$BB$1,BB$2,$D$18,$D$3,$D188,$E188,$F188,BB$3)</f>
        <v>0</v>
      </c>
      <c r="BC188" s="25" cm="1">
        <f t="array" ref="BC188">_xll.DBRW($E$2,BB$1,BB$2,$D$18,$D$3,$D188,$E188,$F188,$F$3,BC$3)</f>
        <v>0</v>
      </c>
      <c r="BD188" s="25">
        <f>_xll.DBRW($C$2,$BB$1,BB$2,$D$18,$D$3,$D188,$E188,$F188,BD$3)</f>
        <v>1</v>
      </c>
      <c r="BE188" s="64">
        <f>_xll.DBRW($C$2,$BB$1,BB$2,$D$18,$D$3,$D188,$E188,$F188,BE$3)</f>
        <v>0</v>
      </c>
      <c r="BF188" s="58">
        <f>_xll.DBRW($C$2,$BB$1,BB$2,$D$18,$D$3,$D188,$E188,$F188,BF$3)</f>
        <v>0</v>
      </c>
      <c r="BG188" s="48">
        <f t="shared" si="55"/>
        <v>27</v>
      </c>
      <c r="BH188" s="39">
        <f>_xll.DBRW($C$2,$BH$1,BH$2,$D$18,$D$3,$D188,$E188,$F188,BH$3)</f>
        <v>0</v>
      </c>
      <c r="BI188" s="25" cm="1">
        <f t="array" ref="BI188">_xll.DBRW($E$2,BH$1,BH$2,$D$18,$D$3,$D188,$E188,$F188,$F$3,BI$3)</f>
        <v>0</v>
      </c>
      <c r="BJ188" s="25">
        <f>_xll.DBRW($C$2,$BH$1,BH$2,$D$18,$D$3,$D188,$E188,$F188,BJ$3)</f>
        <v>1</v>
      </c>
      <c r="BK188" s="64">
        <f>_xll.DBRW($C$2,$BH$1,BH$2,$D$18,$D$3,$D188,$E188,$F188,BK$3)</f>
        <v>0</v>
      </c>
      <c r="BL188" s="58">
        <f>_xll.DBRW($C$2,$BH$1,BH$2,$D$18,$D$3,$D188,$E188,$F188,BL$3)</f>
        <v>0</v>
      </c>
      <c r="BM188" s="48">
        <f t="shared" si="56"/>
        <v>26</v>
      </c>
      <c r="BN188" s="39">
        <f>_xll.DBRW($C$2,$BN$1,BN$2,$D$18,$D$3,$D188,$E188,$F188,BN$3)</f>
        <v>0</v>
      </c>
      <c r="BO188" s="25" cm="1">
        <f t="array" ref="BO188">_xll.DBRW($E$2,BN$1,BN$2,$D$18,$D$3,$D188,$E188,$F188,$F$3,BO$3)</f>
        <v>0</v>
      </c>
      <c r="BP188" s="25">
        <f>_xll.DBRW($C$2,$BN$1,BN$2,$D$18,$D$3,$D188,$E188,$F188,BP$3)</f>
        <v>1</v>
      </c>
      <c r="BQ188" s="64">
        <f>_xll.DBRW($C$2,$BN$1,BN$2,$D$18,$D$3,$D188,$E188,$F188,BQ$3)</f>
        <v>0</v>
      </c>
      <c r="BR188" s="58">
        <f>_xll.DBRW($C$2,$BN$1,BN$2,$D$18,$D$3,$D188,$E188,$F188,BR$3)</f>
        <v>0</v>
      </c>
      <c r="BS188" s="48">
        <f t="shared" si="57"/>
        <v>25</v>
      </c>
      <c r="BT188" s="39">
        <f>_xll.DBRW($C$2,$BT$1,BT$2,$D$18,$D$3,$D188,$E188,$F188,BT$3)</f>
        <v>0</v>
      </c>
      <c r="BU188" s="25" cm="1">
        <f t="array" ref="BU188">_xll.DBRW($E$2,BT$1,BT$2,$D$18,$D$3,$D188,$E188,$F188,$F$3,BU$3)</f>
        <v>0</v>
      </c>
      <c r="BV188" s="25">
        <f>_xll.DBRW($C$2,$BT$1,BT$2,$D$18,$D$3,$D188,$E188,$F188,BV$3)</f>
        <v>1</v>
      </c>
      <c r="BW188" s="64">
        <f>_xll.DBRW($C$2,$BT$1,BT$2,$D$18,$D$3,$D188,$E188,$F188,BW$3)</f>
        <v>0</v>
      </c>
      <c r="BX188" s="58">
        <f>_xll.DBRW($C$2,$BT$1,BT$2,$D$18,$D$3,$D188,$E188,$F188,BX$3)</f>
        <v>0</v>
      </c>
      <c r="BY188" s="48">
        <f t="shared" si="58"/>
        <v>24</v>
      </c>
      <c r="BZ188" s="39">
        <f>_xll.DBRW($C$2,$BZ$1,BZ$2,$D$18,$D$3,$D188,$E188,$F188,BZ$3)</f>
        <v>0</v>
      </c>
      <c r="CA188" s="25" cm="1">
        <f t="array" ref="CA188">_xll.DBRW($E$2,BZ$1,BZ$2,$D$18,$D$3,$D188,$E188,$F188,$F$3,CA$3)</f>
        <v>0</v>
      </c>
      <c r="CB188" s="25">
        <f>_xll.DBRW($C$2,$BZ$1,BZ$2,$D$18,$D$3,$D188,$E188,$F188,CB$3)</f>
        <v>1</v>
      </c>
      <c r="CC188" s="64">
        <f>_xll.DBRW($C$2,$BZ$1,BZ$2,$D$18,$D$3,$D188,$E188,$F188,CC$3)</f>
        <v>0</v>
      </c>
      <c r="CD188" s="58">
        <f>_xll.DBRW($C$2,$BZ$1,BZ$2,$D$18,$D$3,$D188,$E188,$F188,CD$3)</f>
        <v>0</v>
      </c>
      <c r="CE188" s="48">
        <f t="shared" si="59"/>
        <v>23</v>
      </c>
    </row>
    <row r="189" spans="1:83" s="23" customFormat="1" outlineLevel="1" thickBot="1" x14ac:dyDescent="0.3">
      <c r="A189" s="91" t="str">
        <f>IF(_xll.TM1RPTELISCONSOLIDATED($F$22,$F189),IF(_xll.TM1RPTELLEV($F$22,$F189)&lt;=5,_xll.TM1RPTELLEV($F$22,$F189),"Default"),"Leaf")</f>
        <v>Leaf</v>
      </c>
      <c r="B189" s="24" t="str">
        <f>_xll.DBRW("TM1-S1_DEV:}ElementAttributes_SP_SKU",$D189,B$1)</f>
        <v>Primary</v>
      </c>
      <c r="C189" s="24" t="str">
        <f>_xll.DBRW("TM1-S1_DEV:}ElementAttributes_SP_SKU",$D189,C$1)</f>
        <v>PAPER</v>
      </c>
      <c r="D189" s="28" t="s">
        <v>173</v>
      </c>
      <c r="E189" s="28" t="s">
        <v>312</v>
      </c>
      <c r="F189" s="28" t="s">
        <v>329</v>
      </c>
      <c r="G189" s="4">
        <f>_xll.DBRW($C$2,$G$19,G$20,$D$18,$D$3,$D189,$E189,$F189,G$3)</f>
        <v>26</v>
      </c>
      <c r="H189" s="54">
        <f t="shared" si="48"/>
        <v>-6</v>
      </c>
      <c r="I189" s="4"/>
      <c r="J189" s="25">
        <f>_xll.DBRW($C$2,$J$1,J$2,$D$18,$D$3,$D189,$E189,$F189,J$3)</f>
        <v>20</v>
      </c>
      <c r="K189" s="39">
        <f>_xll.DBRW($C$2,$J$1,J$2,$D$18,$D$3,$D189,$E189,$F189,K$3)</f>
        <v>0</v>
      </c>
      <c r="L189" s="25">
        <f>_xll.DBRW($C$2,$J$1,J$2,$D$18,$D$3,$D189,$E189,$F189,L$3)</f>
        <v>0</v>
      </c>
      <c r="M189" s="25">
        <f>_xll.DBRW($C$2,$J$1,J$2,$D$18,$D$3,$D189,$E189,$F189,M$3)</f>
        <v>0</v>
      </c>
      <c r="N189" s="25">
        <f>_xll.DBRW($C$2,$J$1,J$2,$D$18,$D$3,$D189,$E189,$F189,N$3)</f>
        <v>0</v>
      </c>
      <c r="O189" s="64">
        <f>_xll.DBRW($C$2,$J$1,J$2,$D$18,$D$3,$D189,$E189,$F189,O$3)</f>
        <v>0</v>
      </c>
      <c r="P189" s="58">
        <f>_xll.DBRW($C$2,$J$1,J$2,$D$18,$D$3,$D189,$E189,$F189,P$3)</f>
        <v>0</v>
      </c>
      <c r="Q189" s="48">
        <f>_xll.DBRW($C$2,$J$1,J$2,$D$18,$D$3,$D189,$E189,$F189,Q$3)</f>
        <v>20</v>
      </c>
      <c r="R189" s="39">
        <f>_xll.DBRW($C$2,$R$1,R$2,$D$18,$D$3,$D189,$E189,$F189,R$3)</f>
        <v>0</v>
      </c>
      <c r="S189" s="25" cm="1">
        <f t="array" ref="S189">_xll.DBRW($E$2,R$1,R$2,$D$18,$D$3,$D189,$E189,$F189,$F$3,S$3)</f>
        <v>0</v>
      </c>
      <c r="T189" s="25">
        <f>_xll.DBRW($C$2,$R$1,R$2,$D$18,$D$3,$D189,$E189,$F189,T$3)</f>
        <v>0</v>
      </c>
      <c r="U189" s="64">
        <f>_xll.DBRW($C$2,$R$1,R$2,$D$18,$D$3,$D189,$E189,$F189,U$3)</f>
        <v>0</v>
      </c>
      <c r="V189" s="58">
        <f>_xll.DBRW($C$2,$R$1,R$2,$D$18,$D$3,$D189,$E189,$F189,V$3)</f>
        <v>0</v>
      </c>
      <c r="W189" s="48">
        <f t="shared" si="49"/>
        <v>20</v>
      </c>
      <c r="X189" s="39">
        <f>_xll.DBRW($C$2,$X$1,X$2,$D$18,$D$3,$D189,$E189,$F189,X$3)</f>
        <v>0</v>
      </c>
      <c r="Y189" s="25" cm="1">
        <f t="array" ref="Y189">_xll.DBRW($E$2,X$1,X$2,$D$18,$D$3,$D189,$E189,$F189,$F$3,Y$3)</f>
        <v>0</v>
      </c>
      <c r="Z189" s="25">
        <f>_xll.DBRW($C$2,$X$1,X$2,$D$18,$D$3,$D189,$E189,$F189,Z$3)</f>
        <v>0</v>
      </c>
      <c r="AA189" s="64">
        <f>_xll.DBRW($C$2,$X$1,X$2,$D$18,$D$3,$D189,$E189,$F189,AA$3)</f>
        <v>0</v>
      </c>
      <c r="AB189" s="58">
        <f>_xll.DBRW($C$2,$X$1,X$2,$D$18,$D$3,$D189,$E189,$F189,AB$3)</f>
        <v>0</v>
      </c>
      <c r="AC189" s="48">
        <f t="shared" si="50"/>
        <v>20</v>
      </c>
      <c r="AD189" s="39">
        <f>_xll.DBRW($C$2,$AD$1,AD$2,$D$18,$D$3,$D189,$E189,$F189,AD$3)</f>
        <v>0</v>
      </c>
      <c r="AE189" s="25" cm="1">
        <f t="array" ref="AE189">_xll.DBRW($E$2,AD$1,AD$2,$D$18,$D$3,$D189,$E189,$F189,$F$3,AE$3)</f>
        <v>0</v>
      </c>
      <c r="AF189" s="25">
        <f>_xll.DBRW($C$2,$AD$1,AD$2,$D$18,$D$3,$D189,$E189,$F189,AF$3)</f>
        <v>0</v>
      </c>
      <c r="AG189" s="64">
        <f>_xll.DBRW($C$2,$AD$1,AD$2,$D$18,$D$3,$D189,$E189,$F189,AG$3)</f>
        <v>0</v>
      </c>
      <c r="AH189" s="58">
        <f>_xll.DBRW($C$2,$AD$1,AD$2,$D$18,$D$3,$D189,$E189,$F189,AH$3)</f>
        <v>0</v>
      </c>
      <c r="AI189" s="48">
        <f t="shared" si="51"/>
        <v>20</v>
      </c>
      <c r="AJ189" s="39">
        <f>_xll.DBRW($C$2,$AJ$1,AJ$2,$D$18,$D$3,$D189,$E189,$F189,AJ$3)</f>
        <v>0</v>
      </c>
      <c r="AK189" s="25" cm="1">
        <f t="array" ref="AK189">_xll.DBRW($E$2,AJ$1,AJ$2,$D$18,$D$3,$D189,$E189,$F189,$F$3,AK$3)</f>
        <v>0</v>
      </c>
      <c r="AL189" s="25">
        <f>_xll.DBRW($C$2,$AJ$1,AJ$2,$D$18,$D$3,$D189,$E189,$F189,AL$3)</f>
        <v>0</v>
      </c>
      <c r="AM189" s="64">
        <f>_xll.DBRW($C$2,$AJ$1,AJ$2,$D$18,$D$3,$D189,$E189,$F189,AM$3)</f>
        <v>0</v>
      </c>
      <c r="AN189" s="58">
        <f>_xll.DBRW($C$2,$AJ$1,AJ$2,$D$18,$D$3,$D189,$E189,$F189,AN$3)</f>
        <v>0</v>
      </c>
      <c r="AO189" s="48">
        <f t="shared" si="52"/>
        <v>20</v>
      </c>
      <c r="AP189" s="39">
        <f>_xll.DBRW($C$2,$AP$1,AP$2,$D$18,$D$3,$D189,$E189,$F189,AP$3)</f>
        <v>0</v>
      </c>
      <c r="AQ189" s="25" cm="1">
        <f t="array" ref="AQ189">_xll.DBRW($E$2,AP$1,AP$2,$D$18,$D$3,$D189,$E189,$F189,$F$3,AQ$3)</f>
        <v>0</v>
      </c>
      <c r="AR189" s="25">
        <f>_xll.DBRW($C$2,$AP$1,AP$2,$D$18,$D$3,$D189,$E189,$F189,AR$3)</f>
        <v>0</v>
      </c>
      <c r="AS189" s="64">
        <f>_xll.DBRW($C$2,$AP$1,AP$2,$D$18,$D$3,$D189,$E189,$F189,AS$3)</f>
        <v>0</v>
      </c>
      <c r="AT189" s="58">
        <f>_xll.DBRW($C$2,$AP$1,AP$2,$D$18,$D$3,$D189,$E189,$F189,AT$3)</f>
        <v>0</v>
      </c>
      <c r="AU189" s="48">
        <f t="shared" si="53"/>
        <v>20</v>
      </c>
      <c r="AV189" s="39">
        <f>_xll.DBRW($C$2,$AV$1,AV$2,$D$18,$D$3,$D189,$E189,$F189,AV$3)</f>
        <v>0</v>
      </c>
      <c r="AW189" s="25" cm="1">
        <f t="array" ref="AW189">_xll.DBRW($E$2,AV$1,AV$2,$D$18,$D$3,$D189,$E189,$F189,$F$3,AW$3)</f>
        <v>0</v>
      </c>
      <c r="AX189" s="25">
        <f>_xll.DBRW($C$2,$AV$1,AV$2,$D$18,$D$3,$D189,$E189,$F189,AX$3)</f>
        <v>0</v>
      </c>
      <c r="AY189" s="64">
        <f>_xll.DBRW($C$2,$AV$1,AV$2,$D$18,$D$3,$D189,$E189,$F189,AY$3)</f>
        <v>0</v>
      </c>
      <c r="AZ189" s="58">
        <f>_xll.DBRW($C$2,$AV$1,AV$2,$D$18,$D$3,$D189,$E189,$F189,AZ$3)</f>
        <v>0</v>
      </c>
      <c r="BA189" s="48">
        <f t="shared" si="54"/>
        <v>20</v>
      </c>
      <c r="BB189" s="39">
        <f>_xll.DBRW($C$2,$BB$1,BB$2,$D$18,$D$3,$D189,$E189,$F189,BB$3)</f>
        <v>0</v>
      </c>
      <c r="BC189" s="25" cm="1">
        <f t="array" ref="BC189">_xll.DBRW($E$2,BB$1,BB$2,$D$18,$D$3,$D189,$E189,$F189,$F$3,BC$3)</f>
        <v>0</v>
      </c>
      <c r="BD189" s="25">
        <f>_xll.DBRW($C$2,$BB$1,BB$2,$D$18,$D$3,$D189,$E189,$F189,BD$3)</f>
        <v>0</v>
      </c>
      <c r="BE189" s="64">
        <f>_xll.DBRW($C$2,$BB$1,BB$2,$D$18,$D$3,$D189,$E189,$F189,BE$3)</f>
        <v>0</v>
      </c>
      <c r="BF189" s="58">
        <f>_xll.DBRW($C$2,$BB$1,BB$2,$D$18,$D$3,$D189,$E189,$F189,BF$3)</f>
        <v>0</v>
      </c>
      <c r="BG189" s="48">
        <f t="shared" si="55"/>
        <v>20</v>
      </c>
      <c r="BH189" s="39">
        <f>_xll.DBRW($C$2,$BH$1,BH$2,$D$18,$D$3,$D189,$E189,$F189,BH$3)</f>
        <v>0</v>
      </c>
      <c r="BI189" s="25" cm="1">
        <f t="array" ref="BI189">_xll.DBRW($E$2,BH$1,BH$2,$D$18,$D$3,$D189,$E189,$F189,$F$3,BI$3)</f>
        <v>0</v>
      </c>
      <c r="BJ189" s="25">
        <f>_xll.DBRW($C$2,$BH$1,BH$2,$D$18,$D$3,$D189,$E189,$F189,BJ$3)</f>
        <v>0</v>
      </c>
      <c r="BK189" s="64">
        <f>_xll.DBRW($C$2,$BH$1,BH$2,$D$18,$D$3,$D189,$E189,$F189,BK$3)</f>
        <v>0</v>
      </c>
      <c r="BL189" s="58">
        <f>_xll.DBRW($C$2,$BH$1,BH$2,$D$18,$D$3,$D189,$E189,$F189,BL$3)</f>
        <v>0</v>
      </c>
      <c r="BM189" s="48">
        <f t="shared" si="56"/>
        <v>20</v>
      </c>
      <c r="BN189" s="39">
        <f>_xll.DBRW($C$2,$BN$1,BN$2,$D$18,$D$3,$D189,$E189,$F189,BN$3)</f>
        <v>0</v>
      </c>
      <c r="BO189" s="25" cm="1">
        <f t="array" ref="BO189">_xll.DBRW($E$2,BN$1,BN$2,$D$18,$D$3,$D189,$E189,$F189,$F$3,BO$3)</f>
        <v>0</v>
      </c>
      <c r="BP189" s="25">
        <f>_xll.DBRW($C$2,$BN$1,BN$2,$D$18,$D$3,$D189,$E189,$F189,BP$3)</f>
        <v>0</v>
      </c>
      <c r="BQ189" s="64">
        <f>_xll.DBRW($C$2,$BN$1,BN$2,$D$18,$D$3,$D189,$E189,$F189,BQ$3)</f>
        <v>0</v>
      </c>
      <c r="BR189" s="58">
        <f>_xll.DBRW($C$2,$BN$1,BN$2,$D$18,$D$3,$D189,$E189,$F189,BR$3)</f>
        <v>0</v>
      </c>
      <c r="BS189" s="48">
        <f t="shared" si="57"/>
        <v>20</v>
      </c>
      <c r="BT189" s="39">
        <f>_xll.DBRW($C$2,$BT$1,BT$2,$D$18,$D$3,$D189,$E189,$F189,BT$3)</f>
        <v>0</v>
      </c>
      <c r="BU189" s="25" cm="1">
        <f t="array" ref="BU189">_xll.DBRW($E$2,BT$1,BT$2,$D$18,$D$3,$D189,$E189,$F189,$F$3,BU$3)</f>
        <v>0</v>
      </c>
      <c r="BV189" s="25">
        <f>_xll.DBRW($C$2,$BT$1,BT$2,$D$18,$D$3,$D189,$E189,$F189,BV$3)</f>
        <v>0</v>
      </c>
      <c r="BW189" s="64">
        <f>_xll.DBRW($C$2,$BT$1,BT$2,$D$18,$D$3,$D189,$E189,$F189,BW$3)</f>
        <v>0</v>
      </c>
      <c r="BX189" s="58">
        <f>_xll.DBRW($C$2,$BT$1,BT$2,$D$18,$D$3,$D189,$E189,$F189,BX$3)</f>
        <v>0</v>
      </c>
      <c r="BY189" s="48">
        <f t="shared" si="58"/>
        <v>20</v>
      </c>
      <c r="BZ189" s="39">
        <f>_xll.DBRW($C$2,$BZ$1,BZ$2,$D$18,$D$3,$D189,$E189,$F189,BZ$3)</f>
        <v>0</v>
      </c>
      <c r="CA189" s="25" cm="1">
        <f t="array" ref="CA189">_xll.DBRW($E$2,BZ$1,BZ$2,$D$18,$D$3,$D189,$E189,$F189,$F$3,CA$3)</f>
        <v>0</v>
      </c>
      <c r="CB189" s="25">
        <f>_xll.DBRW($C$2,$BZ$1,BZ$2,$D$18,$D$3,$D189,$E189,$F189,CB$3)</f>
        <v>0</v>
      </c>
      <c r="CC189" s="64">
        <f>_xll.DBRW($C$2,$BZ$1,BZ$2,$D$18,$D$3,$D189,$E189,$F189,CC$3)</f>
        <v>0</v>
      </c>
      <c r="CD189" s="58">
        <f>_xll.DBRW($C$2,$BZ$1,BZ$2,$D$18,$D$3,$D189,$E189,$F189,CD$3)</f>
        <v>0</v>
      </c>
      <c r="CE189" s="48">
        <f t="shared" si="59"/>
        <v>20</v>
      </c>
    </row>
    <row r="190" spans="1:83" s="23" customFormat="1" outlineLevel="1" thickBot="1" x14ac:dyDescent="0.3">
      <c r="A190" s="91" t="str">
        <f>IF(_xll.TM1RPTELISCONSOLIDATED($F$22,$F190),IF(_xll.TM1RPTELLEV($F$22,$F190)&lt;=5,_xll.TM1RPTELLEV($F$22,$F190),"Default"),"Leaf")</f>
        <v>Leaf</v>
      </c>
      <c r="B190" s="24" t="str">
        <f>_xll.DBRW("TM1-S1_DEV:}ElementAttributes_SP_SKU",$D190,B$1)</f>
        <v>Primary</v>
      </c>
      <c r="C190" s="24" t="str">
        <f>_xll.DBRW("TM1-S1_DEV:}ElementAttributes_SP_SKU",$D190,C$1)</f>
        <v>CONTAINER</v>
      </c>
      <c r="D190" s="28" t="s">
        <v>174</v>
      </c>
      <c r="E190" s="28" t="s">
        <v>313</v>
      </c>
      <c r="F190" s="28" t="s">
        <v>328</v>
      </c>
      <c r="G190" s="4">
        <f>_xll.DBRW($C$2,$G$19,G$20,$D$18,$D$3,$D190,$E190,$F190,G$3)</f>
        <v>1</v>
      </c>
      <c r="H190" s="54">
        <f t="shared" si="48"/>
        <v>0</v>
      </c>
      <c r="I190" s="4"/>
      <c r="J190" s="25">
        <f>_xll.DBRW($C$2,$J$1,J$2,$D$18,$D$3,$D190,$E190,$F190,J$3)</f>
        <v>1</v>
      </c>
      <c r="K190" s="39">
        <f>_xll.DBRW($C$2,$J$1,J$2,$D$18,$D$3,$D190,$E190,$F190,K$3)</f>
        <v>0</v>
      </c>
      <c r="L190" s="25">
        <f>_xll.DBRW($C$2,$J$1,J$2,$D$18,$D$3,$D190,$E190,$F190,L$3)</f>
        <v>0</v>
      </c>
      <c r="M190" s="25">
        <f>_xll.DBRW($C$2,$J$1,J$2,$D$18,$D$3,$D190,$E190,$F190,M$3)</f>
        <v>0</v>
      </c>
      <c r="N190" s="25">
        <f>_xll.DBRW($C$2,$J$1,J$2,$D$18,$D$3,$D190,$E190,$F190,N$3)</f>
        <v>0</v>
      </c>
      <c r="O190" s="64">
        <f>_xll.DBRW($C$2,$J$1,J$2,$D$18,$D$3,$D190,$E190,$F190,O$3)</f>
        <v>0</v>
      </c>
      <c r="P190" s="58">
        <f>_xll.DBRW($C$2,$J$1,J$2,$D$18,$D$3,$D190,$E190,$F190,P$3)</f>
        <v>0</v>
      </c>
      <c r="Q190" s="48">
        <f>_xll.DBRW($C$2,$J$1,J$2,$D$18,$D$3,$D190,$E190,$F190,Q$3)</f>
        <v>1</v>
      </c>
      <c r="R190" s="39">
        <f>_xll.DBRW($C$2,$R$1,R$2,$D$18,$D$3,$D190,$E190,$F190,R$3)</f>
        <v>0</v>
      </c>
      <c r="S190" s="25" cm="1">
        <f t="array" ref="S190">_xll.DBRW($E$2,R$1,R$2,$D$18,$D$3,$D190,$E190,$F190,$F$3,S$3)</f>
        <v>0</v>
      </c>
      <c r="T190" s="25">
        <f>_xll.DBRW($C$2,$R$1,R$2,$D$18,$D$3,$D190,$E190,$F190,T$3)</f>
        <v>0</v>
      </c>
      <c r="U190" s="64">
        <f>_xll.DBRW($C$2,$R$1,R$2,$D$18,$D$3,$D190,$E190,$F190,U$3)</f>
        <v>0</v>
      </c>
      <c r="V190" s="58">
        <f>_xll.DBRW($C$2,$R$1,R$2,$D$18,$D$3,$D190,$E190,$F190,V$3)</f>
        <v>0</v>
      </c>
      <c r="W190" s="48">
        <f t="shared" si="49"/>
        <v>1</v>
      </c>
      <c r="X190" s="39">
        <f>_xll.DBRW($C$2,$X$1,X$2,$D$18,$D$3,$D190,$E190,$F190,X$3)</f>
        <v>0</v>
      </c>
      <c r="Y190" s="25" cm="1">
        <f t="array" ref="Y190">_xll.DBRW($E$2,X$1,X$2,$D$18,$D$3,$D190,$E190,$F190,$F$3,Y$3)</f>
        <v>0</v>
      </c>
      <c r="Z190" s="25">
        <f>_xll.DBRW($C$2,$X$1,X$2,$D$18,$D$3,$D190,$E190,$F190,Z$3)</f>
        <v>1</v>
      </c>
      <c r="AA190" s="64">
        <f>_xll.DBRW($C$2,$X$1,X$2,$D$18,$D$3,$D190,$E190,$F190,AA$3)</f>
        <v>0</v>
      </c>
      <c r="AB190" s="58">
        <f>_xll.DBRW($C$2,$X$1,X$2,$D$18,$D$3,$D190,$E190,$F190,AB$3)</f>
        <v>0</v>
      </c>
      <c r="AC190" s="48">
        <f t="shared" si="50"/>
        <v>0</v>
      </c>
      <c r="AD190" s="39">
        <f>_xll.DBRW($C$2,$AD$1,AD$2,$D$18,$D$3,$D190,$E190,$F190,AD$3)</f>
        <v>0</v>
      </c>
      <c r="AE190" s="25" cm="1">
        <f t="array" ref="AE190">_xll.DBRW($E$2,AD$1,AD$2,$D$18,$D$3,$D190,$E190,$F190,$F$3,AE$3)</f>
        <v>0</v>
      </c>
      <c r="AF190" s="25">
        <f>_xll.DBRW($C$2,$AD$1,AD$2,$D$18,$D$3,$D190,$E190,$F190,AF$3)</f>
        <v>1</v>
      </c>
      <c r="AG190" s="64">
        <f>_xll.DBRW($C$2,$AD$1,AD$2,$D$18,$D$3,$D190,$E190,$F190,AG$3)</f>
        <v>0</v>
      </c>
      <c r="AH190" s="58">
        <f>_xll.DBRW($C$2,$AD$1,AD$2,$D$18,$D$3,$D190,$E190,$F190,AH$3)</f>
        <v>0</v>
      </c>
      <c r="AI190" s="48">
        <f t="shared" si="51"/>
        <v>-1</v>
      </c>
      <c r="AJ190" s="39">
        <f>_xll.DBRW($C$2,$AJ$1,AJ$2,$D$18,$D$3,$D190,$E190,$F190,AJ$3)</f>
        <v>0</v>
      </c>
      <c r="AK190" s="25" cm="1">
        <f t="array" ref="AK190">_xll.DBRW($E$2,AJ$1,AJ$2,$D$18,$D$3,$D190,$E190,$F190,$F$3,AK$3)</f>
        <v>0</v>
      </c>
      <c r="AL190" s="25">
        <f>_xll.DBRW($C$2,$AJ$1,AJ$2,$D$18,$D$3,$D190,$E190,$F190,AL$3)</f>
        <v>1</v>
      </c>
      <c r="AM190" s="64">
        <f>_xll.DBRW($C$2,$AJ$1,AJ$2,$D$18,$D$3,$D190,$E190,$F190,AM$3)</f>
        <v>0</v>
      </c>
      <c r="AN190" s="58">
        <f>_xll.DBRW($C$2,$AJ$1,AJ$2,$D$18,$D$3,$D190,$E190,$F190,AN$3)</f>
        <v>0</v>
      </c>
      <c r="AO190" s="48">
        <f t="shared" si="52"/>
        <v>-2</v>
      </c>
      <c r="AP190" s="39">
        <f>_xll.DBRW($C$2,$AP$1,AP$2,$D$18,$D$3,$D190,$E190,$F190,AP$3)</f>
        <v>0</v>
      </c>
      <c r="AQ190" s="25" cm="1">
        <f t="array" ref="AQ190">_xll.DBRW($E$2,AP$1,AP$2,$D$18,$D$3,$D190,$E190,$F190,$F$3,AQ$3)</f>
        <v>0</v>
      </c>
      <c r="AR190" s="25">
        <f>_xll.DBRW($C$2,$AP$1,AP$2,$D$18,$D$3,$D190,$E190,$F190,AR$3)</f>
        <v>1</v>
      </c>
      <c r="AS190" s="64">
        <f>_xll.DBRW($C$2,$AP$1,AP$2,$D$18,$D$3,$D190,$E190,$F190,AS$3)</f>
        <v>0</v>
      </c>
      <c r="AT190" s="58">
        <f>_xll.DBRW($C$2,$AP$1,AP$2,$D$18,$D$3,$D190,$E190,$F190,AT$3)</f>
        <v>0</v>
      </c>
      <c r="AU190" s="48">
        <f t="shared" si="53"/>
        <v>-3</v>
      </c>
      <c r="AV190" s="39">
        <f>_xll.DBRW($C$2,$AV$1,AV$2,$D$18,$D$3,$D190,$E190,$F190,AV$3)</f>
        <v>0</v>
      </c>
      <c r="AW190" s="25" cm="1">
        <f t="array" ref="AW190">_xll.DBRW($E$2,AV$1,AV$2,$D$18,$D$3,$D190,$E190,$F190,$F$3,AW$3)</f>
        <v>0</v>
      </c>
      <c r="AX190" s="25">
        <f>_xll.DBRW($C$2,$AV$1,AV$2,$D$18,$D$3,$D190,$E190,$F190,AX$3)</f>
        <v>1</v>
      </c>
      <c r="AY190" s="64">
        <f>_xll.DBRW($C$2,$AV$1,AV$2,$D$18,$D$3,$D190,$E190,$F190,AY$3)</f>
        <v>0</v>
      </c>
      <c r="AZ190" s="58">
        <f>_xll.DBRW($C$2,$AV$1,AV$2,$D$18,$D$3,$D190,$E190,$F190,AZ$3)</f>
        <v>0</v>
      </c>
      <c r="BA190" s="48">
        <f t="shared" si="54"/>
        <v>-4</v>
      </c>
      <c r="BB190" s="39">
        <f>_xll.DBRW($C$2,$BB$1,BB$2,$D$18,$D$3,$D190,$E190,$F190,BB$3)</f>
        <v>0</v>
      </c>
      <c r="BC190" s="25" cm="1">
        <f t="array" ref="BC190">_xll.DBRW($E$2,BB$1,BB$2,$D$18,$D$3,$D190,$E190,$F190,$F$3,BC$3)</f>
        <v>0</v>
      </c>
      <c r="BD190" s="25">
        <f>_xll.DBRW($C$2,$BB$1,BB$2,$D$18,$D$3,$D190,$E190,$F190,BD$3)</f>
        <v>1</v>
      </c>
      <c r="BE190" s="64">
        <f>_xll.DBRW($C$2,$BB$1,BB$2,$D$18,$D$3,$D190,$E190,$F190,BE$3)</f>
        <v>0</v>
      </c>
      <c r="BF190" s="58">
        <f>_xll.DBRW($C$2,$BB$1,BB$2,$D$18,$D$3,$D190,$E190,$F190,BF$3)</f>
        <v>0</v>
      </c>
      <c r="BG190" s="48">
        <f t="shared" si="55"/>
        <v>-5</v>
      </c>
      <c r="BH190" s="39">
        <f>_xll.DBRW($C$2,$BH$1,BH$2,$D$18,$D$3,$D190,$E190,$F190,BH$3)</f>
        <v>0</v>
      </c>
      <c r="BI190" s="25" cm="1">
        <f t="array" ref="BI190">_xll.DBRW($E$2,BH$1,BH$2,$D$18,$D$3,$D190,$E190,$F190,$F$3,BI$3)</f>
        <v>0</v>
      </c>
      <c r="BJ190" s="25">
        <f>_xll.DBRW($C$2,$BH$1,BH$2,$D$18,$D$3,$D190,$E190,$F190,BJ$3)</f>
        <v>1</v>
      </c>
      <c r="BK190" s="64">
        <f>_xll.DBRW($C$2,$BH$1,BH$2,$D$18,$D$3,$D190,$E190,$F190,BK$3)</f>
        <v>0</v>
      </c>
      <c r="BL190" s="58">
        <f>_xll.DBRW($C$2,$BH$1,BH$2,$D$18,$D$3,$D190,$E190,$F190,BL$3)</f>
        <v>0</v>
      </c>
      <c r="BM190" s="48">
        <f t="shared" si="56"/>
        <v>-6</v>
      </c>
      <c r="BN190" s="39">
        <f>_xll.DBRW($C$2,$BN$1,BN$2,$D$18,$D$3,$D190,$E190,$F190,BN$3)</f>
        <v>0</v>
      </c>
      <c r="BO190" s="25" cm="1">
        <f t="array" ref="BO190">_xll.DBRW($E$2,BN$1,BN$2,$D$18,$D$3,$D190,$E190,$F190,$F$3,BO$3)</f>
        <v>0</v>
      </c>
      <c r="BP190" s="25">
        <f>_xll.DBRW($C$2,$BN$1,BN$2,$D$18,$D$3,$D190,$E190,$F190,BP$3)</f>
        <v>1</v>
      </c>
      <c r="BQ190" s="64">
        <f>_xll.DBRW($C$2,$BN$1,BN$2,$D$18,$D$3,$D190,$E190,$F190,BQ$3)</f>
        <v>0</v>
      </c>
      <c r="BR190" s="58">
        <f>_xll.DBRW($C$2,$BN$1,BN$2,$D$18,$D$3,$D190,$E190,$F190,BR$3)</f>
        <v>0</v>
      </c>
      <c r="BS190" s="48">
        <f t="shared" si="57"/>
        <v>-7</v>
      </c>
      <c r="BT190" s="39">
        <f>_xll.DBRW($C$2,$BT$1,BT$2,$D$18,$D$3,$D190,$E190,$F190,BT$3)</f>
        <v>0</v>
      </c>
      <c r="BU190" s="25" cm="1">
        <f t="array" ref="BU190">_xll.DBRW($E$2,BT$1,BT$2,$D$18,$D$3,$D190,$E190,$F190,$F$3,BU$3)</f>
        <v>0</v>
      </c>
      <c r="BV190" s="25">
        <f>_xll.DBRW($C$2,$BT$1,BT$2,$D$18,$D$3,$D190,$E190,$F190,BV$3)</f>
        <v>1</v>
      </c>
      <c r="BW190" s="64">
        <f>_xll.DBRW($C$2,$BT$1,BT$2,$D$18,$D$3,$D190,$E190,$F190,BW$3)</f>
        <v>0</v>
      </c>
      <c r="BX190" s="58">
        <f>_xll.DBRW($C$2,$BT$1,BT$2,$D$18,$D$3,$D190,$E190,$F190,BX$3)</f>
        <v>0</v>
      </c>
      <c r="BY190" s="48">
        <f t="shared" si="58"/>
        <v>-8</v>
      </c>
      <c r="BZ190" s="39">
        <f>_xll.DBRW($C$2,$BZ$1,BZ$2,$D$18,$D$3,$D190,$E190,$F190,BZ$3)</f>
        <v>0</v>
      </c>
      <c r="CA190" s="25" cm="1">
        <f t="array" ref="CA190">_xll.DBRW($E$2,BZ$1,BZ$2,$D$18,$D$3,$D190,$E190,$F190,$F$3,CA$3)</f>
        <v>0</v>
      </c>
      <c r="CB190" s="25">
        <f>_xll.DBRW($C$2,$BZ$1,BZ$2,$D$18,$D$3,$D190,$E190,$F190,CB$3)</f>
        <v>1</v>
      </c>
      <c r="CC190" s="64">
        <f>_xll.DBRW($C$2,$BZ$1,BZ$2,$D$18,$D$3,$D190,$E190,$F190,CC$3)</f>
        <v>0</v>
      </c>
      <c r="CD190" s="58">
        <f>_xll.DBRW($C$2,$BZ$1,BZ$2,$D$18,$D$3,$D190,$E190,$F190,CD$3)</f>
        <v>0</v>
      </c>
      <c r="CE190" s="48">
        <f t="shared" si="59"/>
        <v>-9</v>
      </c>
    </row>
    <row r="191" spans="1:83" s="23" customFormat="1" outlineLevel="1" thickBot="1" x14ac:dyDescent="0.3">
      <c r="A191" s="91" t="str">
        <f>IF(_xll.TM1RPTELISCONSOLIDATED($F$22,$F191),IF(_xll.TM1RPTELLEV($F$22,$F191)&lt;=5,_xll.TM1RPTELLEV($F$22,$F191),"Default"),"Leaf")</f>
        <v>Leaf</v>
      </c>
      <c r="B191" s="24" t="str">
        <f>_xll.DBRW("TM1-S1_DEV:}ElementAttributes_SP_SKU",$D191,B$1)</f>
        <v>Primary</v>
      </c>
      <c r="C191" s="24" t="str">
        <f>_xll.DBRW("TM1-S1_DEV:}ElementAttributes_SP_SKU",$D191,C$1)</f>
        <v>BAG</v>
      </c>
      <c r="D191" s="28" t="s">
        <v>175</v>
      </c>
      <c r="E191" s="28" t="s">
        <v>314</v>
      </c>
      <c r="F191" s="28" t="s">
        <v>330</v>
      </c>
      <c r="G191" s="4">
        <f>_xll.DBRW($C$2,$G$19,G$20,$D$18,$D$3,$D191,$E191,$F191,G$3)</f>
        <v>-3</v>
      </c>
      <c r="H191" s="54">
        <f t="shared" si="48"/>
        <v>3</v>
      </c>
      <c r="I191" s="4"/>
      <c r="J191" s="25">
        <f>_xll.DBRW($C$2,$J$1,J$2,$D$18,$D$3,$D191,$E191,$F191,J$3)</f>
        <v>0</v>
      </c>
      <c r="K191" s="39">
        <f>_xll.DBRW($C$2,$J$1,J$2,$D$18,$D$3,$D191,$E191,$F191,K$3)</f>
        <v>0</v>
      </c>
      <c r="L191" s="25">
        <f>_xll.DBRW($C$2,$J$1,J$2,$D$18,$D$3,$D191,$E191,$F191,L$3)</f>
        <v>0</v>
      </c>
      <c r="M191" s="25">
        <f>_xll.DBRW($C$2,$J$1,J$2,$D$18,$D$3,$D191,$E191,$F191,M$3)</f>
        <v>0</v>
      </c>
      <c r="N191" s="25">
        <f>_xll.DBRW($C$2,$J$1,J$2,$D$18,$D$3,$D191,$E191,$F191,N$3)</f>
        <v>2</v>
      </c>
      <c r="O191" s="64">
        <f>_xll.DBRW($C$2,$J$1,J$2,$D$18,$D$3,$D191,$E191,$F191,O$3)</f>
        <v>1</v>
      </c>
      <c r="P191" s="58">
        <f>_xll.DBRW($C$2,$J$1,J$2,$D$18,$D$3,$D191,$E191,$F191,P$3)</f>
        <v>0</v>
      </c>
      <c r="Q191" s="48">
        <f>_xll.DBRW($C$2,$J$1,J$2,$D$18,$D$3,$D191,$E191,$F191,Q$3)</f>
        <v>-2</v>
      </c>
      <c r="R191" s="39">
        <f>_xll.DBRW($C$2,$R$1,R$2,$D$18,$D$3,$D191,$E191,$F191,R$3)</f>
        <v>0</v>
      </c>
      <c r="S191" s="25" cm="1">
        <f t="array" ref="S191">_xll.DBRW($E$2,R$1,R$2,$D$18,$D$3,$D191,$E191,$F191,$F$3,S$3)</f>
        <v>70</v>
      </c>
      <c r="T191" s="25">
        <f>_xll.DBRW($C$2,$R$1,R$2,$D$18,$D$3,$D191,$E191,$F191,T$3)</f>
        <v>0</v>
      </c>
      <c r="U191" s="64">
        <f>_xll.DBRW($C$2,$R$1,R$2,$D$18,$D$3,$D191,$E191,$F191,U$3)</f>
        <v>0</v>
      </c>
      <c r="V191" s="58">
        <f>_xll.DBRW($C$2,$R$1,R$2,$D$18,$D$3,$D191,$E191,$F191,V$3)</f>
        <v>0</v>
      </c>
      <c r="W191" s="48">
        <f t="shared" si="49"/>
        <v>68</v>
      </c>
      <c r="X191" s="39">
        <f>_xll.DBRW($C$2,$X$1,X$2,$D$18,$D$3,$D191,$E191,$F191,X$3)</f>
        <v>0</v>
      </c>
      <c r="Y191" s="25" cm="1">
        <f t="array" ref="Y191">_xll.DBRW($E$2,X$1,X$2,$D$18,$D$3,$D191,$E191,$F191,$F$3,Y$3)</f>
        <v>0</v>
      </c>
      <c r="Z191" s="25">
        <f>_xll.DBRW($C$2,$X$1,X$2,$D$18,$D$3,$D191,$E191,$F191,Z$3)</f>
        <v>2</v>
      </c>
      <c r="AA191" s="64">
        <f>_xll.DBRW($C$2,$X$1,X$2,$D$18,$D$3,$D191,$E191,$F191,AA$3)</f>
        <v>0</v>
      </c>
      <c r="AB191" s="58">
        <f>_xll.DBRW($C$2,$X$1,X$2,$D$18,$D$3,$D191,$E191,$F191,AB$3)</f>
        <v>0</v>
      </c>
      <c r="AC191" s="48">
        <f t="shared" si="50"/>
        <v>66</v>
      </c>
      <c r="AD191" s="39">
        <f>_xll.DBRW($C$2,$AD$1,AD$2,$D$18,$D$3,$D191,$E191,$F191,AD$3)</f>
        <v>0</v>
      </c>
      <c r="AE191" s="25" cm="1">
        <f t="array" ref="AE191">_xll.DBRW($E$2,AD$1,AD$2,$D$18,$D$3,$D191,$E191,$F191,$F$3,AE$3)</f>
        <v>119</v>
      </c>
      <c r="AF191" s="25">
        <f>_xll.DBRW($C$2,$AD$1,AD$2,$D$18,$D$3,$D191,$E191,$F191,AF$3)</f>
        <v>2</v>
      </c>
      <c r="AG191" s="64">
        <f>_xll.DBRW($C$2,$AD$1,AD$2,$D$18,$D$3,$D191,$E191,$F191,AG$3)</f>
        <v>0</v>
      </c>
      <c r="AH191" s="58">
        <f>_xll.DBRW($C$2,$AD$1,AD$2,$D$18,$D$3,$D191,$E191,$F191,AH$3)</f>
        <v>0</v>
      </c>
      <c r="AI191" s="48">
        <f t="shared" si="51"/>
        <v>183</v>
      </c>
      <c r="AJ191" s="39">
        <f>_xll.DBRW($C$2,$AJ$1,AJ$2,$D$18,$D$3,$D191,$E191,$F191,AJ$3)</f>
        <v>0</v>
      </c>
      <c r="AK191" s="25" cm="1">
        <f t="array" ref="AK191">_xll.DBRW($E$2,AJ$1,AJ$2,$D$18,$D$3,$D191,$E191,$F191,$F$3,AK$3)</f>
        <v>0</v>
      </c>
      <c r="AL191" s="25">
        <f>_xll.DBRW($C$2,$AJ$1,AJ$2,$D$18,$D$3,$D191,$E191,$F191,AL$3)</f>
        <v>2</v>
      </c>
      <c r="AM191" s="64">
        <f>_xll.DBRW($C$2,$AJ$1,AJ$2,$D$18,$D$3,$D191,$E191,$F191,AM$3)</f>
        <v>0</v>
      </c>
      <c r="AN191" s="58">
        <f>_xll.DBRW($C$2,$AJ$1,AJ$2,$D$18,$D$3,$D191,$E191,$F191,AN$3)</f>
        <v>0</v>
      </c>
      <c r="AO191" s="48">
        <f t="shared" si="52"/>
        <v>181</v>
      </c>
      <c r="AP191" s="39">
        <f>_xll.DBRW($C$2,$AP$1,AP$2,$D$18,$D$3,$D191,$E191,$F191,AP$3)</f>
        <v>0</v>
      </c>
      <c r="AQ191" s="25" cm="1">
        <f t="array" ref="AQ191">_xll.DBRW($E$2,AP$1,AP$2,$D$18,$D$3,$D191,$E191,$F191,$F$3,AQ$3)</f>
        <v>0</v>
      </c>
      <c r="AR191" s="25">
        <f>_xll.DBRW($C$2,$AP$1,AP$2,$D$18,$D$3,$D191,$E191,$F191,AR$3)</f>
        <v>2</v>
      </c>
      <c r="AS191" s="64">
        <f>_xll.DBRW($C$2,$AP$1,AP$2,$D$18,$D$3,$D191,$E191,$F191,AS$3)</f>
        <v>0</v>
      </c>
      <c r="AT191" s="58">
        <f>_xll.DBRW($C$2,$AP$1,AP$2,$D$18,$D$3,$D191,$E191,$F191,AT$3)</f>
        <v>0</v>
      </c>
      <c r="AU191" s="48">
        <f t="shared" si="53"/>
        <v>179</v>
      </c>
      <c r="AV191" s="39">
        <f>_xll.DBRW($C$2,$AV$1,AV$2,$D$18,$D$3,$D191,$E191,$F191,AV$3)</f>
        <v>0</v>
      </c>
      <c r="AW191" s="25" cm="1">
        <f t="array" ref="AW191">_xll.DBRW($E$2,AV$1,AV$2,$D$18,$D$3,$D191,$E191,$F191,$F$3,AW$3)</f>
        <v>0</v>
      </c>
      <c r="AX191" s="25">
        <f>_xll.DBRW($C$2,$AV$1,AV$2,$D$18,$D$3,$D191,$E191,$F191,AX$3)</f>
        <v>2</v>
      </c>
      <c r="AY191" s="64">
        <f>_xll.DBRW($C$2,$AV$1,AV$2,$D$18,$D$3,$D191,$E191,$F191,AY$3)</f>
        <v>0</v>
      </c>
      <c r="AZ191" s="58">
        <f>_xll.DBRW($C$2,$AV$1,AV$2,$D$18,$D$3,$D191,$E191,$F191,AZ$3)</f>
        <v>0</v>
      </c>
      <c r="BA191" s="48">
        <f t="shared" si="54"/>
        <v>177</v>
      </c>
      <c r="BB191" s="39">
        <f>_xll.DBRW($C$2,$BB$1,BB$2,$D$18,$D$3,$D191,$E191,$F191,BB$3)</f>
        <v>0</v>
      </c>
      <c r="BC191" s="25" cm="1">
        <f t="array" ref="BC191">_xll.DBRW($E$2,BB$1,BB$2,$D$18,$D$3,$D191,$E191,$F191,$F$3,BC$3)</f>
        <v>0</v>
      </c>
      <c r="BD191" s="25">
        <f>_xll.DBRW($C$2,$BB$1,BB$2,$D$18,$D$3,$D191,$E191,$F191,BD$3)</f>
        <v>2</v>
      </c>
      <c r="BE191" s="64">
        <f>_xll.DBRW($C$2,$BB$1,BB$2,$D$18,$D$3,$D191,$E191,$F191,BE$3)</f>
        <v>0</v>
      </c>
      <c r="BF191" s="58">
        <f>_xll.DBRW($C$2,$BB$1,BB$2,$D$18,$D$3,$D191,$E191,$F191,BF$3)</f>
        <v>0</v>
      </c>
      <c r="BG191" s="48">
        <f t="shared" si="55"/>
        <v>175</v>
      </c>
      <c r="BH191" s="39">
        <f>_xll.DBRW($C$2,$BH$1,BH$2,$D$18,$D$3,$D191,$E191,$F191,BH$3)</f>
        <v>0</v>
      </c>
      <c r="BI191" s="25" cm="1">
        <f t="array" ref="BI191">_xll.DBRW($E$2,BH$1,BH$2,$D$18,$D$3,$D191,$E191,$F191,$F$3,BI$3)</f>
        <v>0</v>
      </c>
      <c r="BJ191" s="25">
        <f>_xll.DBRW($C$2,$BH$1,BH$2,$D$18,$D$3,$D191,$E191,$F191,BJ$3)</f>
        <v>2</v>
      </c>
      <c r="BK191" s="64">
        <f>_xll.DBRW($C$2,$BH$1,BH$2,$D$18,$D$3,$D191,$E191,$F191,BK$3)</f>
        <v>0</v>
      </c>
      <c r="BL191" s="58">
        <f>_xll.DBRW($C$2,$BH$1,BH$2,$D$18,$D$3,$D191,$E191,$F191,BL$3)</f>
        <v>0</v>
      </c>
      <c r="BM191" s="48">
        <f t="shared" si="56"/>
        <v>173</v>
      </c>
      <c r="BN191" s="39">
        <f>_xll.DBRW($C$2,$BN$1,BN$2,$D$18,$D$3,$D191,$E191,$F191,BN$3)</f>
        <v>0</v>
      </c>
      <c r="BO191" s="25" cm="1">
        <f t="array" ref="BO191">_xll.DBRW($E$2,BN$1,BN$2,$D$18,$D$3,$D191,$E191,$F191,$F$3,BO$3)</f>
        <v>0</v>
      </c>
      <c r="BP191" s="25">
        <f>_xll.DBRW($C$2,$BN$1,BN$2,$D$18,$D$3,$D191,$E191,$F191,BP$3)</f>
        <v>2</v>
      </c>
      <c r="BQ191" s="64">
        <f>_xll.DBRW($C$2,$BN$1,BN$2,$D$18,$D$3,$D191,$E191,$F191,BQ$3)</f>
        <v>0</v>
      </c>
      <c r="BR191" s="58">
        <f>_xll.DBRW($C$2,$BN$1,BN$2,$D$18,$D$3,$D191,$E191,$F191,BR$3)</f>
        <v>0</v>
      </c>
      <c r="BS191" s="48">
        <f t="shared" si="57"/>
        <v>171</v>
      </c>
      <c r="BT191" s="39">
        <f>_xll.DBRW($C$2,$BT$1,BT$2,$D$18,$D$3,$D191,$E191,$F191,BT$3)</f>
        <v>0</v>
      </c>
      <c r="BU191" s="25" cm="1">
        <f t="array" ref="BU191">_xll.DBRW($E$2,BT$1,BT$2,$D$18,$D$3,$D191,$E191,$F191,$F$3,BU$3)</f>
        <v>0</v>
      </c>
      <c r="BV191" s="25">
        <f>_xll.DBRW($C$2,$BT$1,BT$2,$D$18,$D$3,$D191,$E191,$F191,BV$3)</f>
        <v>2</v>
      </c>
      <c r="BW191" s="64">
        <f>_xll.DBRW($C$2,$BT$1,BT$2,$D$18,$D$3,$D191,$E191,$F191,BW$3)</f>
        <v>0</v>
      </c>
      <c r="BX191" s="58">
        <f>_xll.DBRW($C$2,$BT$1,BT$2,$D$18,$D$3,$D191,$E191,$F191,BX$3)</f>
        <v>0</v>
      </c>
      <c r="BY191" s="48">
        <f t="shared" si="58"/>
        <v>169</v>
      </c>
      <c r="BZ191" s="39">
        <f>_xll.DBRW($C$2,$BZ$1,BZ$2,$D$18,$D$3,$D191,$E191,$F191,BZ$3)</f>
        <v>0</v>
      </c>
      <c r="CA191" s="25" cm="1">
        <f t="array" ref="CA191">_xll.DBRW($E$2,BZ$1,BZ$2,$D$18,$D$3,$D191,$E191,$F191,$F$3,CA$3)</f>
        <v>0</v>
      </c>
      <c r="CB191" s="25">
        <f>_xll.DBRW($C$2,$BZ$1,BZ$2,$D$18,$D$3,$D191,$E191,$F191,CB$3)</f>
        <v>2</v>
      </c>
      <c r="CC191" s="64">
        <f>_xll.DBRW($C$2,$BZ$1,BZ$2,$D$18,$D$3,$D191,$E191,$F191,CC$3)</f>
        <v>0</v>
      </c>
      <c r="CD191" s="58">
        <f>_xll.DBRW($C$2,$BZ$1,BZ$2,$D$18,$D$3,$D191,$E191,$F191,CD$3)</f>
        <v>0</v>
      </c>
      <c r="CE191" s="48">
        <f t="shared" si="59"/>
        <v>167</v>
      </c>
    </row>
    <row r="192" spans="1:83" s="23" customFormat="1" outlineLevel="1" thickBot="1" x14ac:dyDescent="0.3">
      <c r="A192" s="91" t="str">
        <f>IF(_xll.TM1RPTELISCONSOLIDATED($F$22,$F192),IF(_xll.TM1RPTELLEV($F$22,$F192)&lt;=5,_xll.TM1RPTELLEV($F$22,$F192),"Default"),"Leaf")</f>
        <v>Leaf</v>
      </c>
      <c r="B192" s="24" t="str">
        <f>_xll.DBRW("TM1-S1_DEV:}ElementAttributes_SP_SKU",$D192,B$1)</f>
        <v>Primary</v>
      </c>
      <c r="C192" s="24" t="str">
        <f>_xll.DBRW("TM1-S1_DEV:}ElementAttributes_SP_SKU",$D192,C$1)</f>
        <v>PAPER</v>
      </c>
      <c r="D192" s="28" t="s">
        <v>176</v>
      </c>
      <c r="E192" s="28" t="s">
        <v>315</v>
      </c>
      <c r="F192" s="28" t="s">
        <v>331</v>
      </c>
      <c r="G192" s="4">
        <f>_xll.DBRW($C$2,$G$19,G$20,$D$18,$D$3,$D192,$E192,$F192,G$3)</f>
        <v>50</v>
      </c>
      <c r="H192" s="54">
        <f t="shared" si="48"/>
        <v>-2</v>
      </c>
      <c r="I192" s="4"/>
      <c r="J192" s="25">
        <f>_xll.DBRW($C$2,$J$1,J$2,$D$18,$D$3,$D192,$E192,$F192,J$3)</f>
        <v>48</v>
      </c>
      <c r="K192" s="39">
        <f>_xll.DBRW($C$2,$J$1,J$2,$D$18,$D$3,$D192,$E192,$F192,K$3)</f>
        <v>0</v>
      </c>
      <c r="L192" s="25">
        <f>_xll.DBRW($C$2,$J$1,J$2,$D$18,$D$3,$D192,$E192,$F192,L$3)</f>
        <v>0</v>
      </c>
      <c r="M192" s="25">
        <f>_xll.DBRW($C$2,$J$1,J$2,$D$18,$D$3,$D192,$E192,$F192,M$3)</f>
        <v>0</v>
      </c>
      <c r="N192" s="25">
        <f>_xll.DBRW($C$2,$J$1,J$2,$D$18,$D$3,$D192,$E192,$F192,N$3)</f>
        <v>0</v>
      </c>
      <c r="O192" s="64">
        <f>_xll.DBRW($C$2,$J$1,J$2,$D$18,$D$3,$D192,$E192,$F192,O$3)</f>
        <v>0</v>
      </c>
      <c r="P192" s="58">
        <f>_xll.DBRW($C$2,$J$1,J$2,$D$18,$D$3,$D192,$E192,$F192,P$3)</f>
        <v>0</v>
      </c>
      <c r="Q192" s="48">
        <f>_xll.DBRW($C$2,$J$1,J$2,$D$18,$D$3,$D192,$E192,$F192,Q$3)</f>
        <v>48</v>
      </c>
      <c r="R192" s="39">
        <f>_xll.DBRW($C$2,$R$1,R$2,$D$18,$D$3,$D192,$E192,$F192,R$3)</f>
        <v>0</v>
      </c>
      <c r="S192" s="25" cm="1">
        <f t="array" ref="S192">_xll.DBRW($E$2,R$1,R$2,$D$18,$D$3,$D192,$E192,$F192,$F$3,S$3)</f>
        <v>0</v>
      </c>
      <c r="T192" s="25">
        <f>_xll.DBRW($C$2,$R$1,R$2,$D$18,$D$3,$D192,$E192,$F192,T$3)</f>
        <v>0</v>
      </c>
      <c r="U192" s="64">
        <f>_xll.DBRW($C$2,$R$1,R$2,$D$18,$D$3,$D192,$E192,$F192,U$3)</f>
        <v>0</v>
      </c>
      <c r="V192" s="58">
        <f>_xll.DBRW($C$2,$R$1,R$2,$D$18,$D$3,$D192,$E192,$F192,V$3)</f>
        <v>0</v>
      </c>
      <c r="W192" s="48">
        <f t="shared" si="49"/>
        <v>48</v>
      </c>
      <c r="X192" s="39">
        <f>_xll.DBRW($C$2,$X$1,X$2,$D$18,$D$3,$D192,$E192,$F192,X$3)</f>
        <v>0</v>
      </c>
      <c r="Y192" s="25" cm="1">
        <f t="array" ref="Y192">_xll.DBRW($E$2,X$1,X$2,$D$18,$D$3,$D192,$E192,$F192,$F$3,Y$3)</f>
        <v>0</v>
      </c>
      <c r="Z192" s="25">
        <f>_xll.DBRW($C$2,$X$1,X$2,$D$18,$D$3,$D192,$E192,$F192,Z$3)</f>
        <v>1</v>
      </c>
      <c r="AA192" s="64">
        <f>_xll.DBRW($C$2,$X$1,X$2,$D$18,$D$3,$D192,$E192,$F192,AA$3)</f>
        <v>1</v>
      </c>
      <c r="AB192" s="58">
        <f>_xll.DBRW($C$2,$X$1,X$2,$D$18,$D$3,$D192,$E192,$F192,AB$3)</f>
        <v>0</v>
      </c>
      <c r="AC192" s="48">
        <f t="shared" si="50"/>
        <v>47</v>
      </c>
      <c r="AD192" s="39">
        <f>_xll.DBRW($C$2,$AD$1,AD$2,$D$18,$D$3,$D192,$E192,$F192,AD$3)</f>
        <v>0</v>
      </c>
      <c r="AE192" s="25" cm="1">
        <f t="array" ref="AE192">_xll.DBRW($E$2,AD$1,AD$2,$D$18,$D$3,$D192,$E192,$F192,$F$3,AE$3)</f>
        <v>0</v>
      </c>
      <c r="AF192" s="25">
        <f>_xll.DBRW($C$2,$AD$1,AD$2,$D$18,$D$3,$D192,$E192,$F192,AF$3)</f>
        <v>1</v>
      </c>
      <c r="AG192" s="64">
        <f>_xll.DBRW($C$2,$AD$1,AD$2,$D$18,$D$3,$D192,$E192,$F192,AG$3)</f>
        <v>1</v>
      </c>
      <c r="AH192" s="58">
        <f>_xll.DBRW($C$2,$AD$1,AD$2,$D$18,$D$3,$D192,$E192,$F192,AH$3)</f>
        <v>0</v>
      </c>
      <c r="AI192" s="48">
        <f t="shared" si="51"/>
        <v>46</v>
      </c>
      <c r="AJ192" s="39">
        <f>_xll.DBRW($C$2,$AJ$1,AJ$2,$D$18,$D$3,$D192,$E192,$F192,AJ$3)</f>
        <v>0</v>
      </c>
      <c r="AK192" s="25" cm="1">
        <f t="array" ref="AK192">_xll.DBRW($E$2,AJ$1,AJ$2,$D$18,$D$3,$D192,$E192,$F192,$F$3,AK$3)</f>
        <v>0</v>
      </c>
      <c r="AL192" s="25">
        <f>_xll.DBRW($C$2,$AJ$1,AJ$2,$D$18,$D$3,$D192,$E192,$F192,AL$3)</f>
        <v>1</v>
      </c>
      <c r="AM192" s="64">
        <f>_xll.DBRW($C$2,$AJ$1,AJ$2,$D$18,$D$3,$D192,$E192,$F192,AM$3)</f>
        <v>0</v>
      </c>
      <c r="AN192" s="58">
        <f>_xll.DBRW($C$2,$AJ$1,AJ$2,$D$18,$D$3,$D192,$E192,$F192,AN$3)</f>
        <v>0</v>
      </c>
      <c r="AO192" s="48">
        <f t="shared" si="52"/>
        <v>45</v>
      </c>
      <c r="AP192" s="39">
        <f>_xll.DBRW($C$2,$AP$1,AP$2,$D$18,$D$3,$D192,$E192,$F192,AP$3)</f>
        <v>0</v>
      </c>
      <c r="AQ192" s="25" cm="1">
        <f t="array" ref="AQ192">_xll.DBRW($E$2,AP$1,AP$2,$D$18,$D$3,$D192,$E192,$F192,$F$3,AQ$3)</f>
        <v>0</v>
      </c>
      <c r="AR192" s="25">
        <f>_xll.DBRW($C$2,$AP$1,AP$2,$D$18,$D$3,$D192,$E192,$F192,AR$3)</f>
        <v>1</v>
      </c>
      <c r="AS192" s="64">
        <f>_xll.DBRW($C$2,$AP$1,AP$2,$D$18,$D$3,$D192,$E192,$F192,AS$3)</f>
        <v>0</v>
      </c>
      <c r="AT192" s="58">
        <f>_xll.DBRW($C$2,$AP$1,AP$2,$D$18,$D$3,$D192,$E192,$F192,AT$3)</f>
        <v>0</v>
      </c>
      <c r="AU192" s="48">
        <f t="shared" si="53"/>
        <v>44</v>
      </c>
      <c r="AV192" s="39">
        <f>_xll.DBRW($C$2,$AV$1,AV$2,$D$18,$D$3,$D192,$E192,$F192,AV$3)</f>
        <v>0</v>
      </c>
      <c r="AW192" s="25" cm="1">
        <f t="array" ref="AW192">_xll.DBRW($E$2,AV$1,AV$2,$D$18,$D$3,$D192,$E192,$F192,$F$3,AW$3)</f>
        <v>0</v>
      </c>
      <c r="AX192" s="25">
        <f>_xll.DBRW($C$2,$AV$1,AV$2,$D$18,$D$3,$D192,$E192,$F192,AX$3)</f>
        <v>1</v>
      </c>
      <c r="AY192" s="64">
        <f>_xll.DBRW($C$2,$AV$1,AV$2,$D$18,$D$3,$D192,$E192,$F192,AY$3)</f>
        <v>0</v>
      </c>
      <c r="AZ192" s="58">
        <f>_xll.DBRW($C$2,$AV$1,AV$2,$D$18,$D$3,$D192,$E192,$F192,AZ$3)</f>
        <v>0</v>
      </c>
      <c r="BA192" s="48">
        <f t="shared" si="54"/>
        <v>43</v>
      </c>
      <c r="BB192" s="39">
        <f>_xll.DBRW($C$2,$BB$1,BB$2,$D$18,$D$3,$D192,$E192,$F192,BB$3)</f>
        <v>0</v>
      </c>
      <c r="BC192" s="25" cm="1">
        <f t="array" ref="BC192">_xll.DBRW($E$2,BB$1,BB$2,$D$18,$D$3,$D192,$E192,$F192,$F$3,BC$3)</f>
        <v>0</v>
      </c>
      <c r="BD192" s="25">
        <f>_xll.DBRW($C$2,$BB$1,BB$2,$D$18,$D$3,$D192,$E192,$F192,BD$3)</f>
        <v>1</v>
      </c>
      <c r="BE192" s="64">
        <f>_xll.DBRW($C$2,$BB$1,BB$2,$D$18,$D$3,$D192,$E192,$F192,BE$3)</f>
        <v>0</v>
      </c>
      <c r="BF192" s="58">
        <f>_xll.DBRW($C$2,$BB$1,BB$2,$D$18,$D$3,$D192,$E192,$F192,BF$3)</f>
        <v>0</v>
      </c>
      <c r="BG192" s="48">
        <f t="shared" si="55"/>
        <v>42</v>
      </c>
      <c r="BH192" s="39">
        <f>_xll.DBRW($C$2,$BH$1,BH$2,$D$18,$D$3,$D192,$E192,$F192,BH$3)</f>
        <v>0</v>
      </c>
      <c r="BI192" s="25" cm="1">
        <f t="array" ref="BI192">_xll.DBRW($E$2,BH$1,BH$2,$D$18,$D$3,$D192,$E192,$F192,$F$3,BI$3)</f>
        <v>0</v>
      </c>
      <c r="BJ192" s="25">
        <f>_xll.DBRW($C$2,$BH$1,BH$2,$D$18,$D$3,$D192,$E192,$F192,BJ$3)</f>
        <v>1</v>
      </c>
      <c r="BK192" s="64">
        <f>_xll.DBRW($C$2,$BH$1,BH$2,$D$18,$D$3,$D192,$E192,$F192,BK$3)</f>
        <v>0</v>
      </c>
      <c r="BL192" s="58">
        <f>_xll.DBRW($C$2,$BH$1,BH$2,$D$18,$D$3,$D192,$E192,$F192,BL$3)</f>
        <v>0</v>
      </c>
      <c r="BM192" s="48">
        <f t="shared" si="56"/>
        <v>41</v>
      </c>
      <c r="BN192" s="39">
        <f>_xll.DBRW($C$2,$BN$1,BN$2,$D$18,$D$3,$D192,$E192,$F192,BN$3)</f>
        <v>0</v>
      </c>
      <c r="BO192" s="25" cm="1">
        <f t="array" ref="BO192">_xll.DBRW($E$2,BN$1,BN$2,$D$18,$D$3,$D192,$E192,$F192,$F$3,BO$3)</f>
        <v>0</v>
      </c>
      <c r="BP192" s="25">
        <f>_xll.DBRW($C$2,$BN$1,BN$2,$D$18,$D$3,$D192,$E192,$F192,BP$3)</f>
        <v>1</v>
      </c>
      <c r="BQ192" s="64">
        <f>_xll.DBRW($C$2,$BN$1,BN$2,$D$18,$D$3,$D192,$E192,$F192,BQ$3)</f>
        <v>0</v>
      </c>
      <c r="BR192" s="58">
        <f>_xll.DBRW($C$2,$BN$1,BN$2,$D$18,$D$3,$D192,$E192,$F192,BR$3)</f>
        <v>0</v>
      </c>
      <c r="BS192" s="48">
        <f t="shared" si="57"/>
        <v>40</v>
      </c>
      <c r="BT192" s="39">
        <f>_xll.DBRW($C$2,$BT$1,BT$2,$D$18,$D$3,$D192,$E192,$F192,BT$3)</f>
        <v>0</v>
      </c>
      <c r="BU192" s="25" cm="1">
        <f t="array" ref="BU192">_xll.DBRW($E$2,BT$1,BT$2,$D$18,$D$3,$D192,$E192,$F192,$F$3,BU$3)</f>
        <v>0</v>
      </c>
      <c r="BV192" s="25">
        <f>_xll.DBRW($C$2,$BT$1,BT$2,$D$18,$D$3,$D192,$E192,$F192,BV$3)</f>
        <v>1</v>
      </c>
      <c r="BW192" s="64">
        <f>_xll.DBRW($C$2,$BT$1,BT$2,$D$18,$D$3,$D192,$E192,$F192,BW$3)</f>
        <v>0</v>
      </c>
      <c r="BX192" s="58">
        <f>_xll.DBRW($C$2,$BT$1,BT$2,$D$18,$D$3,$D192,$E192,$F192,BX$3)</f>
        <v>0</v>
      </c>
      <c r="BY192" s="48">
        <f t="shared" si="58"/>
        <v>39</v>
      </c>
      <c r="BZ192" s="39">
        <f>_xll.DBRW($C$2,$BZ$1,BZ$2,$D$18,$D$3,$D192,$E192,$F192,BZ$3)</f>
        <v>0</v>
      </c>
      <c r="CA192" s="25" cm="1">
        <f t="array" ref="CA192">_xll.DBRW($E$2,BZ$1,BZ$2,$D$18,$D$3,$D192,$E192,$F192,$F$3,CA$3)</f>
        <v>0</v>
      </c>
      <c r="CB192" s="25">
        <f>_xll.DBRW($C$2,$BZ$1,BZ$2,$D$18,$D$3,$D192,$E192,$F192,CB$3)</f>
        <v>1</v>
      </c>
      <c r="CC192" s="64">
        <f>_xll.DBRW($C$2,$BZ$1,BZ$2,$D$18,$D$3,$D192,$E192,$F192,CC$3)</f>
        <v>0</v>
      </c>
      <c r="CD192" s="58">
        <f>_xll.DBRW($C$2,$BZ$1,BZ$2,$D$18,$D$3,$D192,$E192,$F192,CD$3)</f>
        <v>0</v>
      </c>
      <c r="CE192" s="48">
        <f t="shared" si="59"/>
        <v>38</v>
      </c>
    </row>
    <row r="193" spans="1:83" s="23" customFormat="1" outlineLevel="1" thickBot="1" x14ac:dyDescent="0.3">
      <c r="A193" s="91" t="str">
        <f>IF(_xll.TM1RPTELISCONSOLIDATED($F$22,$F193),IF(_xll.TM1RPTELLEV($F$22,$F193)&lt;=5,_xll.TM1RPTELLEV($F$22,$F193),"Default"),"Leaf")</f>
        <v>Leaf</v>
      </c>
      <c r="B193" s="24" t="str">
        <f>_xll.DBRW("TM1-S1_DEV:}ElementAttributes_SP_SKU",$D193,B$1)</f>
        <v>Primary</v>
      </c>
      <c r="C193" s="24" t="str">
        <f>_xll.DBRW("TM1-S1_DEV:}ElementAttributes_SP_SKU",$D193,C$1)</f>
        <v>GLOVES</v>
      </c>
      <c r="D193" s="28" t="s">
        <v>177</v>
      </c>
      <c r="E193" s="28" t="s">
        <v>131</v>
      </c>
      <c r="F193" s="28" t="s">
        <v>155</v>
      </c>
      <c r="G193" s="4">
        <f>_xll.DBRW($C$2,$G$19,G$20,$D$18,$D$3,$D193,$E193,$F193,G$3)</f>
        <v>43</v>
      </c>
      <c r="H193" s="54">
        <f t="shared" si="48"/>
        <v>-23</v>
      </c>
      <c r="I193" s="4"/>
      <c r="J193" s="25">
        <f>_xll.DBRW($C$2,$J$1,J$2,$D$18,$D$3,$D193,$E193,$F193,J$3)</f>
        <v>20</v>
      </c>
      <c r="K193" s="39">
        <f>_xll.DBRW($C$2,$J$1,J$2,$D$18,$D$3,$D193,$E193,$F193,K$3)</f>
        <v>0</v>
      </c>
      <c r="L193" s="25">
        <f>_xll.DBRW($C$2,$J$1,J$2,$D$18,$D$3,$D193,$E193,$F193,L$3)</f>
        <v>0</v>
      </c>
      <c r="M193" s="25">
        <f>_xll.DBRW($C$2,$J$1,J$2,$D$18,$D$3,$D193,$E193,$F193,M$3)</f>
        <v>7</v>
      </c>
      <c r="N193" s="25">
        <f>_xll.DBRW($C$2,$J$1,J$2,$D$18,$D$3,$D193,$E193,$F193,N$3)</f>
        <v>0</v>
      </c>
      <c r="O193" s="64">
        <f>_xll.DBRW($C$2,$J$1,J$2,$D$18,$D$3,$D193,$E193,$F193,O$3)</f>
        <v>0</v>
      </c>
      <c r="P193" s="58">
        <f>_xll.DBRW($C$2,$J$1,J$2,$D$18,$D$3,$D193,$E193,$F193,P$3)</f>
        <v>0</v>
      </c>
      <c r="Q193" s="48">
        <f>_xll.DBRW($C$2,$J$1,J$2,$D$18,$D$3,$D193,$E193,$F193,Q$3)</f>
        <v>27</v>
      </c>
      <c r="R193" s="39">
        <f>_xll.DBRW($C$2,$R$1,R$2,$D$18,$D$3,$D193,$E193,$F193,R$3)</f>
        <v>0</v>
      </c>
      <c r="S193" s="25" cm="1">
        <f t="array" ref="S193">_xll.DBRW($E$2,R$1,R$2,$D$18,$D$3,$D193,$E193,$F193,$F$3,S$3)</f>
        <v>2</v>
      </c>
      <c r="T193" s="25">
        <f>_xll.DBRW($C$2,$R$1,R$2,$D$18,$D$3,$D193,$E193,$F193,T$3)</f>
        <v>0</v>
      </c>
      <c r="U193" s="64">
        <f>_xll.DBRW($C$2,$R$1,R$2,$D$18,$D$3,$D193,$E193,$F193,U$3)</f>
        <v>0</v>
      </c>
      <c r="V193" s="58">
        <f>_xll.DBRW($C$2,$R$1,R$2,$D$18,$D$3,$D193,$E193,$F193,V$3)</f>
        <v>0</v>
      </c>
      <c r="W193" s="48">
        <f t="shared" si="49"/>
        <v>29</v>
      </c>
      <c r="X193" s="39">
        <f>_xll.DBRW($C$2,$X$1,X$2,$D$18,$D$3,$D193,$E193,$F193,X$3)</f>
        <v>0</v>
      </c>
      <c r="Y193" s="25" cm="1">
        <f t="array" ref="Y193">_xll.DBRW($E$2,X$1,X$2,$D$18,$D$3,$D193,$E193,$F193,$F$3,Y$3)</f>
        <v>0</v>
      </c>
      <c r="Z193" s="25">
        <f>_xll.DBRW($C$2,$X$1,X$2,$D$18,$D$3,$D193,$E193,$F193,Z$3)</f>
        <v>1</v>
      </c>
      <c r="AA193" s="64">
        <f>_xll.DBRW($C$2,$X$1,X$2,$D$18,$D$3,$D193,$E193,$F193,AA$3)</f>
        <v>0</v>
      </c>
      <c r="AB193" s="58">
        <f>_xll.DBRW($C$2,$X$1,X$2,$D$18,$D$3,$D193,$E193,$F193,AB$3)</f>
        <v>0</v>
      </c>
      <c r="AC193" s="48">
        <f t="shared" si="50"/>
        <v>28</v>
      </c>
      <c r="AD193" s="39">
        <f>_xll.DBRW($C$2,$AD$1,AD$2,$D$18,$D$3,$D193,$E193,$F193,AD$3)</f>
        <v>0</v>
      </c>
      <c r="AE193" s="25" cm="1">
        <f t="array" ref="AE193">_xll.DBRW($E$2,AD$1,AD$2,$D$18,$D$3,$D193,$E193,$F193,$F$3,AE$3)</f>
        <v>0</v>
      </c>
      <c r="AF193" s="25">
        <f>_xll.DBRW($C$2,$AD$1,AD$2,$D$18,$D$3,$D193,$E193,$F193,AF$3)</f>
        <v>1</v>
      </c>
      <c r="AG193" s="64">
        <f>_xll.DBRW($C$2,$AD$1,AD$2,$D$18,$D$3,$D193,$E193,$F193,AG$3)</f>
        <v>0</v>
      </c>
      <c r="AH193" s="58">
        <f>_xll.DBRW($C$2,$AD$1,AD$2,$D$18,$D$3,$D193,$E193,$F193,AH$3)</f>
        <v>0</v>
      </c>
      <c r="AI193" s="48">
        <f t="shared" si="51"/>
        <v>27</v>
      </c>
      <c r="AJ193" s="39">
        <f>_xll.DBRW($C$2,$AJ$1,AJ$2,$D$18,$D$3,$D193,$E193,$F193,AJ$3)</f>
        <v>0</v>
      </c>
      <c r="AK193" s="25" cm="1">
        <f t="array" ref="AK193">_xll.DBRW($E$2,AJ$1,AJ$2,$D$18,$D$3,$D193,$E193,$F193,$F$3,AK$3)</f>
        <v>0</v>
      </c>
      <c r="AL193" s="25">
        <f>_xll.DBRW($C$2,$AJ$1,AJ$2,$D$18,$D$3,$D193,$E193,$F193,AL$3)</f>
        <v>1</v>
      </c>
      <c r="AM193" s="64">
        <f>_xll.DBRW($C$2,$AJ$1,AJ$2,$D$18,$D$3,$D193,$E193,$F193,AM$3)</f>
        <v>0</v>
      </c>
      <c r="AN193" s="58">
        <f>_xll.DBRW($C$2,$AJ$1,AJ$2,$D$18,$D$3,$D193,$E193,$F193,AN$3)</f>
        <v>0</v>
      </c>
      <c r="AO193" s="48">
        <f t="shared" si="52"/>
        <v>26</v>
      </c>
      <c r="AP193" s="39">
        <f>_xll.DBRW($C$2,$AP$1,AP$2,$D$18,$D$3,$D193,$E193,$F193,AP$3)</f>
        <v>0</v>
      </c>
      <c r="AQ193" s="25" cm="1">
        <f t="array" ref="AQ193">_xll.DBRW($E$2,AP$1,AP$2,$D$18,$D$3,$D193,$E193,$F193,$F$3,AQ$3)</f>
        <v>0</v>
      </c>
      <c r="AR193" s="25">
        <f>_xll.DBRW($C$2,$AP$1,AP$2,$D$18,$D$3,$D193,$E193,$F193,AR$3)</f>
        <v>1</v>
      </c>
      <c r="AS193" s="64">
        <f>_xll.DBRW($C$2,$AP$1,AP$2,$D$18,$D$3,$D193,$E193,$F193,AS$3)</f>
        <v>0</v>
      </c>
      <c r="AT193" s="58">
        <f>_xll.DBRW($C$2,$AP$1,AP$2,$D$18,$D$3,$D193,$E193,$F193,AT$3)</f>
        <v>0</v>
      </c>
      <c r="AU193" s="48">
        <f t="shared" si="53"/>
        <v>25</v>
      </c>
      <c r="AV193" s="39">
        <f>_xll.DBRW($C$2,$AV$1,AV$2,$D$18,$D$3,$D193,$E193,$F193,AV$3)</f>
        <v>0</v>
      </c>
      <c r="AW193" s="25" cm="1">
        <f t="array" ref="AW193">_xll.DBRW($E$2,AV$1,AV$2,$D$18,$D$3,$D193,$E193,$F193,$F$3,AW$3)</f>
        <v>0</v>
      </c>
      <c r="AX193" s="25">
        <f>_xll.DBRW($C$2,$AV$1,AV$2,$D$18,$D$3,$D193,$E193,$F193,AX$3)</f>
        <v>1</v>
      </c>
      <c r="AY193" s="64">
        <f>_xll.DBRW($C$2,$AV$1,AV$2,$D$18,$D$3,$D193,$E193,$F193,AY$3)</f>
        <v>0</v>
      </c>
      <c r="AZ193" s="58">
        <f>_xll.DBRW($C$2,$AV$1,AV$2,$D$18,$D$3,$D193,$E193,$F193,AZ$3)</f>
        <v>0</v>
      </c>
      <c r="BA193" s="48">
        <f t="shared" si="54"/>
        <v>24</v>
      </c>
      <c r="BB193" s="39">
        <f>_xll.DBRW($C$2,$BB$1,BB$2,$D$18,$D$3,$D193,$E193,$F193,BB$3)</f>
        <v>0</v>
      </c>
      <c r="BC193" s="25" cm="1">
        <f t="array" ref="BC193">_xll.DBRW($E$2,BB$1,BB$2,$D$18,$D$3,$D193,$E193,$F193,$F$3,BC$3)</f>
        <v>0</v>
      </c>
      <c r="BD193" s="25">
        <f>_xll.DBRW($C$2,$BB$1,BB$2,$D$18,$D$3,$D193,$E193,$F193,BD$3)</f>
        <v>1</v>
      </c>
      <c r="BE193" s="64">
        <f>_xll.DBRW($C$2,$BB$1,BB$2,$D$18,$D$3,$D193,$E193,$F193,BE$3)</f>
        <v>0</v>
      </c>
      <c r="BF193" s="58">
        <f>_xll.DBRW($C$2,$BB$1,BB$2,$D$18,$D$3,$D193,$E193,$F193,BF$3)</f>
        <v>0</v>
      </c>
      <c r="BG193" s="48">
        <f t="shared" si="55"/>
        <v>23</v>
      </c>
      <c r="BH193" s="39">
        <f>_xll.DBRW($C$2,$BH$1,BH$2,$D$18,$D$3,$D193,$E193,$F193,BH$3)</f>
        <v>0</v>
      </c>
      <c r="BI193" s="25" cm="1">
        <f t="array" ref="BI193">_xll.DBRW($E$2,BH$1,BH$2,$D$18,$D$3,$D193,$E193,$F193,$F$3,BI$3)</f>
        <v>0</v>
      </c>
      <c r="BJ193" s="25">
        <f>_xll.DBRW($C$2,$BH$1,BH$2,$D$18,$D$3,$D193,$E193,$F193,BJ$3)</f>
        <v>1</v>
      </c>
      <c r="BK193" s="64">
        <f>_xll.DBRW($C$2,$BH$1,BH$2,$D$18,$D$3,$D193,$E193,$F193,BK$3)</f>
        <v>0</v>
      </c>
      <c r="BL193" s="58">
        <f>_xll.DBRW($C$2,$BH$1,BH$2,$D$18,$D$3,$D193,$E193,$F193,BL$3)</f>
        <v>0</v>
      </c>
      <c r="BM193" s="48">
        <f t="shared" si="56"/>
        <v>22</v>
      </c>
      <c r="BN193" s="39">
        <f>_xll.DBRW($C$2,$BN$1,BN$2,$D$18,$D$3,$D193,$E193,$F193,BN$3)</f>
        <v>0</v>
      </c>
      <c r="BO193" s="25" cm="1">
        <f t="array" ref="BO193">_xll.DBRW($E$2,BN$1,BN$2,$D$18,$D$3,$D193,$E193,$F193,$F$3,BO$3)</f>
        <v>0</v>
      </c>
      <c r="BP193" s="25">
        <f>_xll.DBRW($C$2,$BN$1,BN$2,$D$18,$D$3,$D193,$E193,$F193,BP$3)</f>
        <v>1</v>
      </c>
      <c r="BQ193" s="64">
        <f>_xll.DBRW($C$2,$BN$1,BN$2,$D$18,$D$3,$D193,$E193,$F193,BQ$3)</f>
        <v>0</v>
      </c>
      <c r="BR193" s="58">
        <f>_xll.DBRW($C$2,$BN$1,BN$2,$D$18,$D$3,$D193,$E193,$F193,BR$3)</f>
        <v>0</v>
      </c>
      <c r="BS193" s="48">
        <f t="shared" si="57"/>
        <v>21</v>
      </c>
      <c r="BT193" s="39">
        <f>_xll.DBRW($C$2,$BT$1,BT$2,$D$18,$D$3,$D193,$E193,$F193,BT$3)</f>
        <v>0</v>
      </c>
      <c r="BU193" s="25" cm="1">
        <f t="array" ref="BU193">_xll.DBRW($E$2,BT$1,BT$2,$D$18,$D$3,$D193,$E193,$F193,$F$3,BU$3)</f>
        <v>0</v>
      </c>
      <c r="BV193" s="25">
        <f>_xll.DBRW($C$2,$BT$1,BT$2,$D$18,$D$3,$D193,$E193,$F193,BV$3)</f>
        <v>1</v>
      </c>
      <c r="BW193" s="64">
        <f>_xll.DBRW($C$2,$BT$1,BT$2,$D$18,$D$3,$D193,$E193,$F193,BW$3)</f>
        <v>0</v>
      </c>
      <c r="BX193" s="58">
        <f>_xll.DBRW($C$2,$BT$1,BT$2,$D$18,$D$3,$D193,$E193,$F193,BX$3)</f>
        <v>0</v>
      </c>
      <c r="BY193" s="48">
        <f t="shared" si="58"/>
        <v>20</v>
      </c>
      <c r="BZ193" s="39">
        <f>_xll.DBRW($C$2,$BZ$1,BZ$2,$D$18,$D$3,$D193,$E193,$F193,BZ$3)</f>
        <v>0</v>
      </c>
      <c r="CA193" s="25" cm="1">
        <f t="array" ref="CA193">_xll.DBRW($E$2,BZ$1,BZ$2,$D$18,$D$3,$D193,$E193,$F193,$F$3,CA$3)</f>
        <v>0</v>
      </c>
      <c r="CB193" s="25">
        <f>_xll.DBRW($C$2,$BZ$1,BZ$2,$D$18,$D$3,$D193,$E193,$F193,CB$3)</f>
        <v>1</v>
      </c>
      <c r="CC193" s="64">
        <f>_xll.DBRW($C$2,$BZ$1,BZ$2,$D$18,$D$3,$D193,$E193,$F193,CC$3)</f>
        <v>0</v>
      </c>
      <c r="CD193" s="58">
        <f>_xll.DBRW($C$2,$BZ$1,BZ$2,$D$18,$D$3,$D193,$E193,$F193,CD$3)</f>
        <v>0</v>
      </c>
      <c r="CE193" s="48">
        <f t="shared" si="59"/>
        <v>19</v>
      </c>
    </row>
    <row r="194" spans="1:83" s="23" customFormat="1" outlineLevel="1" thickBot="1" x14ac:dyDescent="0.3">
      <c r="A194" s="91" t="str">
        <f>IF(_xll.TM1RPTELISCONSOLIDATED($F$22,$F194),IF(_xll.TM1RPTELLEV($F$22,$F194)&lt;=5,_xll.TM1RPTELLEV($F$22,$F194),"Default"),"Leaf")</f>
        <v>Leaf</v>
      </c>
      <c r="B194" s="24" t="str">
        <f>_xll.DBRW("TM1-S1_DEV:}ElementAttributes_SP_SKU",$D194,B$1)</f>
        <v>Primary</v>
      </c>
      <c r="C194" s="24" t="str">
        <f>_xll.DBRW("TM1-S1_DEV:}ElementAttributes_SP_SKU",$D194,C$1)</f>
        <v>GLOVES</v>
      </c>
      <c r="D194" s="28" t="s">
        <v>178</v>
      </c>
      <c r="E194" s="28" t="s">
        <v>132</v>
      </c>
      <c r="F194" s="28" t="s">
        <v>155</v>
      </c>
      <c r="G194" s="4">
        <f>_xll.DBRW($C$2,$G$19,G$20,$D$18,$D$3,$D194,$E194,$F194,G$3)</f>
        <v>735</v>
      </c>
      <c r="H194" s="54">
        <f t="shared" si="48"/>
        <v>-351</v>
      </c>
      <c r="I194" s="4"/>
      <c r="J194" s="25">
        <f>_xll.DBRW($C$2,$J$1,J$2,$D$18,$D$3,$D194,$E194,$F194,J$3)</f>
        <v>384</v>
      </c>
      <c r="K194" s="39">
        <f>_xll.DBRW($C$2,$J$1,J$2,$D$18,$D$3,$D194,$E194,$F194,K$3)</f>
        <v>0</v>
      </c>
      <c r="L194" s="25">
        <f>_xll.DBRW($C$2,$J$1,J$2,$D$18,$D$3,$D194,$E194,$F194,L$3)</f>
        <v>0</v>
      </c>
      <c r="M194" s="25">
        <f>_xll.DBRW($C$2,$J$1,J$2,$D$18,$D$3,$D194,$E194,$F194,M$3)</f>
        <v>96</v>
      </c>
      <c r="N194" s="25">
        <f>_xll.DBRW($C$2,$J$1,J$2,$D$18,$D$3,$D194,$E194,$F194,N$3)</f>
        <v>1</v>
      </c>
      <c r="O194" s="64">
        <f>_xll.DBRW($C$2,$J$1,J$2,$D$18,$D$3,$D194,$E194,$F194,O$3)</f>
        <v>1</v>
      </c>
      <c r="P194" s="58">
        <f>_xll.DBRW($C$2,$J$1,J$2,$D$18,$D$3,$D194,$E194,$F194,P$3)</f>
        <v>0</v>
      </c>
      <c r="Q194" s="48">
        <f>_xll.DBRW($C$2,$J$1,J$2,$D$18,$D$3,$D194,$E194,$F194,Q$3)</f>
        <v>479</v>
      </c>
      <c r="R194" s="39">
        <f>_xll.DBRW($C$2,$R$1,R$2,$D$18,$D$3,$D194,$E194,$F194,R$3)</f>
        <v>0</v>
      </c>
      <c r="S194" s="25" cm="1">
        <f t="array" ref="S194">_xll.DBRW($E$2,R$1,R$2,$D$18,$D$3,$D194,$E194,$F194,$F$3,S$3)</f>
        <v>96</v>
      </c>
      <c r="T194" s="25">
        <f>_xll.DBRW($C$2,$R$1,R$2,$D$18,$D$3,$D194,$E194,$F194,T$3)</f>
        <v>0</v>
      </c>
      <c r="U194" s="64">
        <f>_xll.DBRW($C$2,$R$1,R$2,$D$18,$D$3,$D194,$E194,$F194,U$3)</f>
        <v>0</v>
      </c>
      <c r="V194" s="58">
        <f>_xll.DBRW($C$2,$R$1,R$2,$D$18,$D$3,$D194,$E194,$F194,V$3)</f>
        <v>0</v>
      </c>
      <c r="W194" s="48">
        <f t="shared" si="49"/>
        <v>575</v>
      </c>
      <c r="X194" s="39">
        <f>_xll.DBRW($C$2,$X$1,X$2,$D$18,$D$3,$D194,$E194,$F194,X$3)</f>
        <v>0</v>
      </c>
      <c r="Y194" s="25" cm="1">
        <f t="array" ref="Y194">_xll.DBRW($E$2,X$1,X$2,$D$18,$D$3,$D194,$E194,$F194,$F$3,Y$3)</f>
        <v>0</v>
      </c>
      <c r="Z194" s="25">
        <f>_xll.DBRW($C$2,$X$1,X$2,$D$18,$D$3,$D194,$E194,$F194,Z$3)</f>
        <v>2</v>
      </c>
      <c r="AA194" s="64">
        <f>_xll.DBRW($C$2,$X$1,X$2,$D$18,$D$3,$D194,$E194,$F194,AA$3)</f>
        <v>0</v>
      </c>
      <c r="AB194" s="58">
        <f>_xll.DBRW($C$2,$X$1,X$2,$D$18,$D$3,$D194,$E194,$F194,AB$3)</f>
        <v>0</v>
      </c>
      <c r="AC194" s="48">
        <f t="shared" si="50"/>
        <v>573</v>
      </c>
      <c r="AD194" s="39">
        <f>_xll.DBRW($C$2,$AD$1,AD$2,$D$18,$D$3,$D194,$E194,$F194,AD$3)</f>
        <v>0</v>
      </c>
      <c r="AE194" s="25" cm="1">
        <f t="array" ref="AE194">_xll.DBRW($E$2,AD$1,AD$2,$D$18,$D$3,$D194,$E194,$F194,$F$3,AE$3)</f>
        <v>0</v>
      </c>
      <c r="AF194" s="25">
        <f>_xll.DBRW($C$2,$AD$1,AD$2,$D$18,$D$3,$D194,$E194,$F194,AF$3)</f>
        <v>2</v>
      </c>
      <c r="AG194" s="64">
        <f>_xll.DBRW($C$2,$AD$1,AD$2,$D$18,$D$3,$D194,$E194,$F194,AG$3)</f>
        <v>0</v>
      </c>
      <c r="AH194" s="58">
        <f>_xll.DBRW($C$2,$AD$1,AD$2,$D$18,$D$3,$D194,$E194,$F194,AH$3)</f>
        <v>0</v>
      </c>
      <c r="AI194" s="48">
        <f t="shared" si="51"/>
        <v>571</v>
      </c>
      <c r="AJ194" s="39">
        <f>_xll.DBRW($C$2,$AJ$1,AJ$2,$D$18,$D$3,$D194,$E194,$F194,AJ$3)</f>
        <v>0</v>
      </c>
      <c r="AK194" s="25" cm="1">
        <f t="array" ref="AK194">_xll.DBRW($E$2,AJ$1,AJ$2,$D$18,$D$3,$D194,$E194,$F194,$F$3,AK$3)</f>
        <v>0</v>
      </c>
      <c r="AL194" s="25">
        <f>_xll.DBRW($C$2,$AJ$1,AJ$2,$D$18,$D$3,$D194,$E194,$F194,AL$3)</f>
        <v>2</v>
      </c>
      <c r="AM194" s="64">
        <f>_xll.DBRW($C$2,$AJ$1,AJ$2,$D$18,$D$3,$D194,$E194,$F194,AM$3)</f>
        <v>0</v>
      </c>
      <c r="AN194" s="58">
        <f>_xll.DBRW($C$2,$AJ$1,AJ$2,$D$18,$D$3,$D194,$E194,$F194,AN$3)</f>
        <v>0</v>
      </c>
      <c r="AO194" s="48">
        <f t="shared" si="52"/>
        <v>569</v>
      </c>
      <c r="AP194" s="39">
        <f>_xll.DBRW($C$2,$AP$1,AP$2,$D$18,$D$3,$D194,$E194,$F194,AP$3)</f>
        <v>0</v>
      </c>
      <c r="AQ194" s="25" cm="1">
        <f t="array" ref="AQ194">_xll.DBRW($E$2,AP$1,AP$2,$D$18,$D$3,$D194,$E194,$F194,$F$3,AQ$3)</f>
        <v>0</v>
      </c>
      <c r="AR194" s="25">
        <f>_xll.DBRW($C$2,$AP$1,AP$2,$D$18,$D$3,$D194,$E194,$F194,AR$3)</f>
        <v>2</v>
      </c>
      <c r="AS194" s="64">
        <f>_xll.DBRW($C$2,$AP$1,AP$2,$D$18,$D$3,$D194,$E194,$F194,AS$3)</f>
        <v>0</v>
      </c>
      <c r="AT194" s="58">
        <f>_xll.DBRW($C$2,$AP$1,AP$2,$D$18,$D$3,$D194,$E194,$F194,AT$3)</f>
        <v>0</v>
      </c>
      <c r="AU194" s="48">
        <f t="shared" si="53"/>
        <v>567</v>
      </c>
      <c r="AV194" s="39">
        <f>_xll.DBRW($C$2,$AV$1,AV$2,$D$18,$D$3,$D194,$E194,$F194,AV$3)</f>
        <v>0</v>
      </c>
      <c r="AW194" s="25" cm="1">
        <f t="array" ref="AW194">_xll.DBRW($E$2,AV$1,AV$2,$D$18,$D$3,$D194,$E194,$F194,$F$3,AW$3)</f>
        <v>0</v>
      </c>
      <c r="AX194" s="25">
        <f>_xll.DBRW($C$2,$AV$1,AV$2,$D$18,$D$3,$D194,$E194,$F194,AX$3)</f>
        <v>2</v>
      </c>
      <c r="AY194" s="64">
        <f>_xll.DBRW($C$2,$AV$1,AV$2,$D$18,$D$3,$D194,$E194,$F194,AY$3)</f>
        <v>0</v>
      </c>
      <c r="AZ194" s="58">
        <f>_xll.DBRW($C$2,$AV$1,AV$2,$D$18,$D$3,$D194,$E194,$F194,AZ$3)</f>
        <v>0</v>
      </c>
      <c r="BA194" s="48">
        <f t="shared" si="54"/>
        <v>565</v>
      </c>
      <c r="BB194" s="39">
        <f>_xll.DBRW($C$2,$BB$1,BB$2,$D$18,$D$3,$D194,$E194,$F194,BB$3)</f>
        <v>0</v>
      </c>
      <c r="BC194" s="25" cm="1">
        <f t="array" ref="BC194">_xll.DBRW($E$2,BB$1,BB$2,$D$18,$D$3,$D194,$E194,$F194,$F$3,BC$3)</f>
        <v>0</v>
      </c>
      <c r="BD194" s="25">
        <f>_xll.DBRW($C$2,$BB$1,BB$2,$D$18,$D$3,$D194,$E194,$F194,BD$3)</f>
        <v>2</v>
      </c>
      <c r="BE194" s="64">
        <f>_xll.DBRW($C$2,$BB$1,BB$2,$D$18,$D$3,$D194,$E194,$F194,BE$3)</f>
        <v>0</v>
      </c>
      <c r="BF194" s="58">
        <f>_xll.DBRW($C$2,$BB$1,BB$2,$D$18,$D$3,$D194,$E194,$F194,BF$3)</f>
        <v>0</v>
      </c>
      <c r="BG194" s="48">
        <f t="shared" si="55"/>
        <v>563</v>
      </c>
      <c r="BH194" s="39">
        <f>_xll.DBRW($C$2,$BH$1,BH$2,$D$18,$D$3,$D194,$E194,$F194,BH$3)</f>
        <v>0</v>
      </c>
      <c r="BI194" s="25" cm="1">
        <f t="array" ref="BI194">_xll.DBRW($E$2,BH$1,BH$2,$D$18,$D$3,$D194,$E194,$F194,$F$3,BI$3)</f>
        <v>0</v>
      </c>
      <c r="BJ194" s="25">
        <f>_xll.DBRW($C$2,$BH$1,BH$2,$D$18,$D$3,$D194,$E194,$F194,BJ$3)</f>
        <v>2</v>
      </c>
      <c r="BK194" s="64">
        <f>_xll.DBRW($C$2,$BH$1,BH$2,$D$18,$D$3,$D194,$E194,$F194,BK$3)</f>
        <v>0</v>
      </c>
      <c r="BL194" s="58">
        <f>_xll.DBRW($C$2,$BH$1,BH$2,$D$18,$D$3,$D194,$E194,$F194,BL$3)</f>
        <v>0</v>
      </c>
      <c r="BM194" s="48">
        <f t="shared" si="56"/>
        <v>561</v>
      </c>
      <c r="BN194" s="39">
        <f>_xll.DBRW($C$2,$BN$1,BN$2,$D$18,$D$3,$D194,$E194,$F194,BN$3)</f>
        <v>0</v>
      </c>
      <c r="BO194" s="25" cm="1">
        <f t="array" ref="BO194">_xll.DBRW($E$2,BN$1,BN$2,$D$18,$D$3,$D194,$E194,$F194,$F$3,BO$3)</f>
        <v>0</v>
      </c>
      <c r="BP194" s="25">
        <f>_xll.DBRW($C$2,$BN$1,BN$2,$D$18,$D$3,$D194,$E194,$F194,BP$3)</f>
        <v>2</v>
      </c>
      <c r="BQ194" s="64">
        <f>_xll.DBRW($C$2,$BN$1,BN$2,$D$18,$D$3,$D194,$E194,$F194,BQ$3)</f>
        <v>0</v>
      </c>
      <c r="BR194" s="58">
        <f>_xll.DBRW($C$2,$BN$1,BN$2,$D$18,$D$3,$D194,$E194,$F194,BR$3)</f>
        <v>0</v>
      </c>
      <c r="BS194" s="48">
        <f t="shared" si="57"/>
        <v>559</v>
      </c>
      <c r="BT194" s="39">
        <f>_xll.DBRW($C$2,$BT$1,BT$2,$D$18,$D$3,$D194,$E194,$F194,BT$3)</f>
        <v>0</v>
      </c>
      <c r="BU194" s="25" cm="1">
        <f t="array" ref="BU194">_xll.DBRW($E$2,BT$1,BT$2,$D$18,$D$3,$D194,$E194,$F194,$F$3,BU$3)</f>
        <v>0</v>
      </c>
      <c r="BV194" s="25">
        <f>_xll.DBRW($C$2,$BT$1,BT$2,$D$18,$D$3,$D194,$E194,$F194,BV$3)</f>
        <v>2</v>
      </c>
      <c r="BW194" s="64">
        <f>_xll.DBRW($C$2,$BT$1,BT$2,$D$18,$D$3,$D194,$E194,$F194,BW$3)</f>
        <v>0</v>
      </c>
      <c r="BX194" s="58">
        <f>_xll.DBRW($C$2,$BT$1,BT$2,$D$18,$D$3,$D194,$E194,$F194,BX$3)</f>
        <v>0</v>
      </c>
      <c r="BY194" s="48">
        <f t="shared" si="58"/>
        <v>557</v>
      </c>
      <c r="BZ194" s="39">
        <f>_xll.DBRW($C$2,$BZ$1,BZ$2,$D$18,$D$3,$D194,$E194,$F194,BZ$3)</f>
        <v>0</v>
      </c>
      <c r="CA194" s="25" cm="1">
        <f t="array" ref="CA194">_xll.DBRW($E$2,BZ$1,BZ$2,$D$18,$D$3,$D194,$E194,$F194,$F$3,CA$3)</f>
        <v>0</v>
      </c>
      <c r="CB194" s="25">
        <f>_xll.DBRW($C$2,$BZ$1,BZ$2,$D$18,$D$3,$D194,$E194,$F194,CB$3)</f>
        <v>2</v>
      </c>
      <c r="CC194" s="64">
        <f>_xll.DBRW($C$2,$BZ$1,BZ$2,$D$18,$D$3,$D194,$E194,$F194,CC$3)</f>
        <v>0</v>
      </c>
      <c r="CD194" s="58">
        <f>_xll.DBRW($C$2,$BZ$1,BZ$2,$D$18,$D$3,$D194,$E194,$F194,CD$3)</f>
        <v>0</v>
      </c>
      <c r="CE194" s="48">
        <f t="shared" si="59"/>
        <v>555</v>
      </c>
    </row>
    <row r="195" spans="1:83" s="23" customFormat="1" outlineLevel="1" thickBot="1" x14ac:dyDescent="0.3">
      <c r="A195" s="91" t="str">
        <f>IF(_xll.TM1RPTELISCONSOLIDATED($F$22,$F195),IF(_xll.TM1RPTELLEV($F$22,$F195)&lt;=5,_xll.TM1RPTELLEV($F$22,$F195),"Default"),"Leaf")</f>
        <v>Leaf</v>
      </c>
      <c r="B195" s="24" t="str">
        <f>_xll.DBRW("TM1-S1_DEV:}ElementAttributes_SP_SKU",$D195,B$1)</f>
        <v>Primary</v>
      </c>
      <c r="C195" s="24" t="str">
        <f>_xll.DBRW("TM1-S1_DEV:}ElementAttributes_SP_SKU",$D195,C$1)</f>
        <v>GLOVES</v>
      </c>
      <c r="D195" s="28" t="s">
        <v>179</v>
      </c>
      <c r="E195" s="28" t="s">
        <v>133</v>
      </c>
      <c r="F195" s="28" t="s">
        <v>155</v>
      </c>
      <c r="G195" s="4">
        <f>_xll.DBRW($C$2,$G$19,G$20,$D$18,$D$3,$D195,$E195,$F195,G$3)</f>
        <v>1412</v>
      </c>
      <c r="H195" s="54">
        <f t="shared" si="48"/>
        <v>-654</v>
      </c>
      <c r="I195" s="4"/>
      <c r="J195" s="25">
        <f>_xll.DBRW($C$2,$J$1,J$2,$D$18,$D$3,$D195,$E195,$F195,J$3)</f>
        <v>758</v>
      </c>
      <c r="K195" s="39">
        <f>_xll.DBRW($C$2,$J$1,J$2,$D$18,$D$3,$D195,$E195,$F195,K$3)</f>
        <v>0</v>
      </c>
      <c r="L195" s="25">
        <f>_xll.DBRW($C$2,$J$1,J$2,$D$18,$D$3,$D195,$E195,$F195,L$3)</f>
        <v>0</v>
      </c>
      <c r="M195" s="25">
        <f>_xll.DBRW($C$2,$J$1,J$2,$D$18,$D$3,$D195,$E195,$F195,M$3)</f>
        <v>96</v>
      </c>
      <c r="N195" s="25">
        <f>_xll.DBRW($C$2,$J$1,J$2,$D$18,$D$3,$D195,$E195,$F195,N$3)</f>
        <v>3</v>
      </c>
      <c r="O195" s="64">
        <f>_xll.DBRW($C$2,$J$1,J$2,$D$18,$D$3,$D195,$E195,$F195,O$3)</f>
        <v>1</v>
      </c>
      <c r="P195" s="58">
        <f>_xll.DBRW($C$2,$J$1,J$2,$D$18,$D$3,$D195,$E195,$F195,P$3)</f>
        <v>0</v>
      </c>
      <c r="Q195" s="48">
        <f>_xll.DBRW($C$2,$J$1,J$2,$D$18,$D$3,$D195,$E195,$F195,Q$3)</f>
        <v>851</v>
      </c>
      <c r="R195" s="39">
        <f>_xll.DBRW($C$2,$R$1,R$2,$D$18,$D$3,$D195,$E195,$F195,R$3)</f>
        <v>0</v>
      </c>
      <c r="S195" s="25" cm="1">
        <f t="array" ref="S195">_xll.DBRW($E$2,R$1,R$2,$D$18,$D$3,$D195,$E195,$F195,$F$3,S$3)</f>
        <v>96</v>
      </c>
      <c r="T195" s="25">
        <f>_xll.DBRW($C$2,$R$1,R$2,$D$18,$D$3,$D195,$E195,$F195,T$3)</f>
        <v>0</v>
      </c>
      <c r="U195" s="64">
        <f>_xll.DBRW($C$2,$R$1,R$2,$D$18,$D$3,$D195,$E195,$F195,U$3)</f>
        <v>0</v>
      </c>
      <c r="V195" s="58">
        <f>_xll.DBRW($C$2,$R$1,R$2,$D$18,$D$3,$D195,$E195,$F195,V$3)</f>
        <v>0</v>
      </c>
      <c r="W195" s="48">
        <f t="shared" si="49"/>
        <v>947</v>
      </c>
      <c r="X195" s="39">
        <f>_xll.DBRW($C$2,$X$1,X$2,$D$18,$D$3,$D195,$E195,$F195,X$3)</f>
        <v>0</v>
      </c>
      <c r="Y195" s="25" cm="1">
        <f t="array" ref="Y195">_xll.DBRW($E$2,X$1,X$2,$D$18,$D$3,$D195,$E195,$F195,$F$3,Y$3)</f>
        <v>0</v>
      </c>
      <c r="Z195" s="25">
        <f>_xll.DBRW($C$2,$X$1,X$2,$D$18,$D$3,$D195,$E195,$F195,Z$3)</f>
        <v>2</v>
      </c>
      <c r="AA195" s="64">
        <f>_xll.DBRW($C$2,$X$1,X$2,$D$18,$D$3,$D195,$E195,$F195,AA$3)</f>
        <v>1</v>
      </c>
      <c r="AB195" s="58">
        <f>_xll.DBRW($C$2,$X$1,X$2,$D$18,$D$3,$D195,$E195,$F195,AB$3)</f>
        <v>0</v>
      </c>
      <c r="AC195" s="48">
        <f t="shared" si="50"/>
        <v>945</v>
      </c>
      <c r="AD195" s="39">
        <f>_xll.DBRW($C$2,$AD$1,AD$2,$D$18,$D$3,$D195,$E195,$F195,AD$3)</f>
        <v>0</v>
      </c>
      <c r="AE195" s="25" cm="1">
        <f t="array" ref="AE195">_xll.DBRW($E$2,AD$1,AD$2,$D$18,$D$3,$D195,$E195,$F195,$F$3,AE$3)</f>
        <v>0</v>
      </c>
      <c r="AF195" s="25">
        <f>_xll.DBRW($C$2,$AD$1,AD$2,$D$18,$D$3,$D195,$E195,$F195,AF$3)</f>
        <v>2</v>
      </c>
      <c r="AG195" s="64">
        <f>_xll.DBRW($C$2,$AD$1,AD$2,$D$18,$D$3,$D195,$E195,$F195,AG$3)</f>
        <v>0</v>
      </c>
      <c r="AH195" s="58">
        <f>_xll.DBRW($C$2,$AD$1,AD$2,$D$18,$D$3,$D195,$E195,$F195,AH$3)</f>
        <v>0</v>
      </c>
      <c r="AI195" s="48">
        <f t="shared" si="51"/>
        <v>943</v>
      </c>
      <c r="AJ195" s="39">
        <f>_xll.DBRW($C$2,$AJ$1,AJ$2,$D$18,$D$3,$D195,$E195,$F195,AJ$3)</f>
        <v>0</v>
      </c>
      <c r="AK195" s="25" cm="1">
        <f t="array" ref="AK195">_xll.DBRW($E$2,AJ$1,AJ$2,$D$18,$D$3,$D195,$E195,$F195,$F$3,AK$3)</f>
        <v>0</v>
      </c>
      <c r="AL195" s="25">
        <f>_xll.DBRW($C$2,$AJ$1,AJ$2,$D$18,$D$3,$D195,$E195,$F195,AL$3)</f>
        <v>2</v>
      </c>
      <c r="AM195" s="64">
        <f>_xll.DBRW($C$2,$AJ$1,AJ$2,$D$18,$D$3,$D195,$E195,$F195,AM$3)</f>
        <v>0</v>
      </c>
      <c r="AN195" s="58">
        <f>_xll.DBRW($C$2,$AJ$1,AJ$2,$D$18,$D$3,$D195,$E195,$F195,AN$3)</f>
        <v>0</v>
      </c>
      <c r="AO195" s="48">
        <f t="shared" si="52"/>
        <v>941</v>
      </c>
      <c r="AP195" s="39">
        <f>_xll.DBRW($C$2,$AP$1,AP$2,$D$18,$D$3,$D195,$E195,$F195,AP$3)</f>
        <v>0</v>
      </c>
      <c r="AQ195" s="25" cm="1">
        <f t="array" ref="AQ195">_xll.DBRW($E$2,AP$1,AP$2,$D$18,$D$3,$D195,$E195,$F195,$F$3,AQ$3)</f>
        <v>0</v>
      </c>
      <c r="AR195" s="25">
        <f>_xll.DBRW($C$2,$AP$1,AP$2,$D$18,$D$3,$D195,$E195,$F195,AR$3)</f>
        <v>2</v>
      </c>
      <c r="AS195" s="64">
        <f>_xll.DBRW($C$2,$AP$1,AP$2,$D$18,$D$3,$D195,$E195,$F195,AS$3)</f>
        <v>0</v>
      </c>
      <c r="AT195" s="58">
        <f>_xll.DBRW($C$2,$AP$1,AP$2,$D$18,$D$3,$D195,$E195,$F195,AT$3)</f>
        <v>0</v>
      </c>
      <c r="AU195" s="48">
        <f t="shared" si="53"/>
        <v>939</v>
      </c>
      <c r="AV195" s="39">
        <f>_xll.DBRW($C$2,$AV$1,AV$2,$D$18,$D$3,$D195,$E195,$F195,AV$3)</f>
        <v>0</v>
      </c>
      <c r="AW195" s="25" cm="1">
        <f t="array" ref="AW195">_xll.DBRW($E$2,AV$1,AV$2,$D$18,$D$3,$D195,$E195,$F195,$F$3,AW$3)</f>
        <v>0</v>
      </c>
      <c r="AX195" s="25">
        <f>_xll.DBRW($C$2,$AV$1,AV$2,$D$18,$D$3,$D195,$E195,$F195,AX$3)</f>
        <v>2</v>
      </c>
      <c r="AY195" s="64">
        <f>_xll.DBRW($C$2,$AV$1,AV$2,$D$18,$D$3,$D195,$E195,$F195,AY$3)</f>
        <v>0</v>
      </c>
      <c r="AZ195" s="58">
        <f>_xll.DBRW($C$2,$AV$1,AV$2,$D$18,$D$3,$D195,$E195,$F195,AZ$3)</f>
        <v>0</v>
      </c>
      <c r="BA195" s="48">
        <f t="shared" si="54"/>
        <v>937</v>
      </c>
      <c r="BB195" s="39">
        <f>_xll.DBRW($C$2,$BB$1,BB$2,$D$18,$D$3,$D195,$E195,$F195,BB$3)</f>
        <v>0</v>
      </c>
      <c r="BC195" s="25" cm="1">
        <f t="array" ref="BC195">_xll.DBRW($E$2,BB$1,BB$2,$D$18,$D$3,$D195,$E195,$F195,$F$3,BC$3)</f>
        <v>0</v>
      </c>
      <c r="BD195" s="25">
        <f>_xll.DBRW($C$2,$BB$1,BB$2,$D$18,$D$3,$D195,$E195,$F195,BD$3)</f>
        <v>2</v>
      </c>
      <c r="BE195" s="64">
        <f>_xll.DBRW($C$2,$BB$1,BB$2,$D$18,$D$3,$D195,$E195,$F195,BE$3)</f>
        <v>0</v>
      </c>
      <c r="BF195" s="58">
        <f>_xll.DBRW($C$2,$BB$1,BB$2,$D$18,$D$3,$D195,$E195,$F195,BF$3)</f>
        <v>0</v>
      </c>
      <c r="BG195" s="48">
        <f t="shared" si="55"/>
        <v>935</v>
      </c>
      <c r="BH195" s="39">
        <f>_xll.DBRW($C$2,$BH$1,BH$2,$D$18,$D$3,$D195,$E195,$F195,BH$3)</f>
        <v>0</v>
      </c>
      <c r="BI195" s="25" cm="1">
        <f t="array" ref="BI195">_xll.DBRW($E$2,BH$1,BH$2,$D$18,$D$3,$D195,$E195,$F195,$F$3,BI$3)</f>
        <v>0</v>
      </c>
      <c r="BJ195" s="25">
        <f>_xll.DBRW($C$2,$BH$1,BH$2,$D$18,$D$3,$D195,$E195,$F195,BJ$3)</f>
        <v>2</v>
      </c>
      <c r="BK195" s="64">
        <f>_xll.DBRW($C$2,$BH$1,BH$2,$D$18,$D$3,$D195,$E195,$F195,BK$3)</f>
        <v>0</v>
      </c>
      <c r="BL195" s="58">
        <f>_xll.DBRW($C$2,$BH$1,BH$2,$D$18,$D$3,$D195,$E195,$F195,BL$3)</f>
        <v>0</v>
      </c>
      <c r="BM195" s="48">
        <f t="shared" si="56"/>
        <v>933</v>
      </c>
      <c r="BN195" s="39">
        <f>_xll.DBRW($C$2,$BN$1,BN$2,$D$18,$D$3,$D195,$E195,$F195,BN$3)</f>
        <v>0</v>
      </c>
      <c r="BO195" s="25" cm="1">
        <f t="array" ref="BO195">_xll.DBRW($E$2,BN$1,BN$2,$D$18,$D$3,$D195,$E195,$F195,$F$3,BO$3)</f>
        <v>0</v>
      </c>
      <c r="BP195" s="25">
        <f>_xll.DBRW($C$2,$BN$1,BN$2,$D$18,$D$3,$D195,$E195,$F195,BP$3)</f>
        <v>2</v>
      </c>
      <c r="BQ195" s="64">
        <f>_xll.DBRW($C$2,$BN$1,BN$2,$D$18,$D$3,$D195,$E195,$F195,BQ$3)</f>
        <v>0</v>
      </c>
      <c r="BR195" s="58">
        <f>_xll.DBRW($C$2,$BN$1,BN$2,$D$18,$D$3,$D195,$E195,$F195,BR$3)</f>
        <v>0</v>
      </c>
      <c r="BS195" s="48">
        <f t="shared" si="57"/>
        <v>931</v>
      </c>
      <c r="BT195" s="39">
        <f>_xll.DBRW($C$2,$BT$1,BT$2,$D$18,$D$3,$D195,$E195,$F195,BT$3)</f>
        <v>0</v>
      </c>
      <c r="BU195" s="25" cm="1">
        <f t="array" ref="BU195">_xll.DBRW($E$2,BT$1,BT$2,$D$18,$D$3,$D195,$E195,$F195,$F$3,BU$3)</f>
        <v>0</v>
      </c>
      <c r="BV195" s="25">
        <f>_xll.DBRW($C$2,$BT$1,BT$2,$D$18,$D$3,$D195,$E195,$F195,BV$3)</f>
        <v>2</v>
      </c>
      <c r="BW195" s="64">
        <f>_xll.DBRW($C$2,$BT$1,BT$2,$D$18,$D$3,$D195,$E195,$F195,BW$3)</f>
        <v>0</v>
      </c>
      <c r="BX195" s="58">
        <f>_xll.DBRW($C$2,$BT$1,BT$2,$D$18,$D$3,$D195,$E195,$F195,BX$3)</f>
        <v>0</v>
      </c>
      <c r="BY195" s="48">
        <f t="shared" si="58"/>
        <v>929</v>
      </c>
      <c r="BZ195" s="39">
        <f>_xll.DBRW($C$2,$BZ$1,BZ$2,$D$18,$D$3,$D195,$E195,$F195,BZ$3)</f>
        <v>0</v>
      </c>
      <c r="CA195" s="25" cm="1">
        <f t="array" ref="CA195">_xll.DBRW($E$2,BZ$1,BZ$2,$D$18,$D$3,$D195,$E195,$F195,$F$3,CA$3)</f>
        <v>0</v>
      </c>
      <c r="CB195" s="25">
        <f>_xll.DBRW($C$2,$BZ$1,BZ$2,$D$18,$D$3,$D195,$E195,$F195,CB$3)</f>
        <v>2</v>
      </c>
      <c r="CC195" s="64">
        <f>_xll.DBRW($C$2,$BZ$1,BZ$2,$D$18,$D$3,$D195,$E195,$F195,CC$3)</f>
        <v>0</v>
      </c>
      <c r="CD195" s="58">
        <f>_xll.DBRW($C$2,$BZ$1,BZ$2,$D$18,$D$3,$D195,$E195,$F195,CD$3)</f>
        <v>0</v>
      </c>
      <c r="CE195" s="48">
        <f t="shared" si="59"/>
        <v>927</v>
      </c>
    </row>
    <row r="196" spans="1:83" s="23" customFormat="1" outlineLevel="1" thickBot="1" x14ac:dyDescent="0.3">
      <c r="A196" s="91" t="str">
        <f>IF(_xll.TM1RPTELISCONSOLIDATED($F$22,$F196),IF(_xll.TM1RPTELLEV($F$22,$F196)&lt;=5,_xll.TM1RPTELLEV($F$22,$F196),"Default"),"Leaf")</f>
        <v>Leaf</v>
      </c>
      <c r="B196" s="24" t="str">
        <f>_xll.DBRW("TM1-S1_DEV:}ElementAttributes_SP_SKU",$D196,B$1)</f>
        <v>Primary</v>
      </c>
      <c r="C196" s="24" t="str">
        <f>_xll.DBRW("TM1-S1_DEV:}ElementAttributes_SP_SKU",$D196,C$1)</f>
        <v>GLOVES</v>
      </c>
      <c r="D196" s="28" t="s">
        <v>180</v>
      </c>
      <c r="E196" s="28" t="s">
        <v>134</v>
      </c>
      <c r="F196" s="28" t="s">
        <v>155</v>
      </c>
      <c r="G196" s="4">
        <f>_xll.DBRW($C$2,$G$19,G$20,$D$18,$D$3,$D196,$E196,$F196,G$3)</f>
        <v>1068</v>
      </c>
      <c r="H196" s="54">
        <f t="shared" si="48"/>
        <v>-390</v>
      </c>
      <c r="I196" s="4"/>
      <c r="J196" s="25">
        <f>_xll.DBRW($C$2,$J$1,J$2,$D$18,$D$3,$D196,$E196,$F196,J$3)</f>
        <v>678</v>
      </c>
      <c r="K196" s="39">
        <f>_xll.DBRW($C$2,$J$1,J$2,$D$18,$D$3,$D196,$E196,$F196,K$3)</f>
        <v>0</v>
      </c>
      <c r="L196" s="25">
        <f>_xll.DBRW($C$2,$J$1,J$2,$D$18,$D$3,$D196,$E196,$F196,L$3)</f>
        <v>0</v>
      </c>
      <c r="M196" s="25">
        <f>_xll.DBRW($C$2,$J$1,J$2,$D$18,$D$3,$D196,$E196,$F196,M$3)</f>
        <v>288</v>
      </c>
      <c r="N196" s="25">
        <f>_xll.DBRW($C$2,$J$1,J$2,$D$18,$D$3,$D196,$E196,$F196,N$3)</f>
        <v>17</v>
      </c>
      <c r="O196" s="64">
        <f>_xll.DBRW($C$2,$J$1,J$2,$D$18,$D$3,$D196,$E196,$F196,O$3)</f>
        <v>1</v>
      </c>
      <c r="P196" s="58">
        <f>_xll.DBRW($C$2,$J$1,J$2,$D$18,$D$3,$D196,$E196,$F196,P$3)</f>
        <v>0</v>
      </c>
      <c r="Q196" s="48">
        <f>_xll.DBRW($C$2,$J$1,J$2,$D$18,$D$3,$D196,$E196,$F196,Q$3)</f>
        <v>949</v>
      </c>
      <c r="R196" s="39">
        <f>_xll.DBRW($C$2,$R$1,R$2,$D$18,$D$3,$D196,$E196,$F196,R$3)</f>
        <v>0</v>
      </c>
      <c r="S196" s="25" cm="1">
        <f t="array" ref="S196">_xll.DBRW($E$2,R$1,R$2,$D$18,$D$3,$D196,$E196,$F196,$F$3,S$3)</f>
        <v>96</v>
      </c>
      <c r="T196" s="25">
        <f>_xll.DBRW($C$2,$R$1,R$2,$D$18,$D$3,$D196,$E196,$F196,T$3)</f>
        <v>0</v>
      </c>
      <c r="U196" s="64">
        <f>_xll.DBRW($C$2,$R$1,R$2,$D$18,$D$3,$D196,$E196,$F196,U$3)</f>
        <v>0</v>
      </c>
      <c r="V196" s="58">
        <f>_xll.DBRW($C$2,$R$1,R$2,$D$18,$D$3,$D196,$E196,$F196,V$3)</f>
        <v>0</v>
      </c>
      <c r="W196" s="48">
        <f t="shared" si="49"/>
        <v>1045</v>
      </c>
      <c r="X196" s="39">
        <f>_xll.DBRW($C$2,$X$1,X$2,$D$18,$D$3,$D196,$E196,$F196,X$3)</f>
        <v>0</v>
      </c>
      <c r="Y196" s="25" cm="1">
        <f t="array" ref="Y196">_xll.DBRW($E$2,X$1,X$2,$D$18,$D$3,$D196,$E196,$F196,$F$3,Y$3)</f>
        <v>0</v>
      </c>
      <c r="Z196" s="25">
        <f>_xll.DBRW($C$2,$X$1,X$2,$D$18,$D$3,$D196,$E196,$F196,Z$3)</f>
        <v>4</v>
      </c>
      <c r="AA196" s="64">
        <f>_xll.DBRW($C$2,$X$1,X$2,$D$18,$D$3,$D196,$E196,$F196,AA$3)</f>
        <v>0</v>
      </c>
      <c r="AB196" s="58">
        <f>_xll.DBRW($C$2,$X$1,X$2,$D$18,$D$3,$D196,$E196,$F196,AB$3)</f>
        <v>0</v>
      </c>
      <c r="AC196" s="48">
        <f t="shared" si="50"/>
        <v>1041</v>
      </c>
      <c r="AD196" s="39">
        <f>_xll.DBRW($C$2,$AD$1,AD$2,$D$18,$D$3,$D196,$E196,$F196,AD$3)</f>
        <v>0</v>
      </c>
      <c r="AE196" s="25" cm="1">
        <f t="array" ref="AE196">_xll.DBRW($E$2,AD$1,AD$2,$D$18,$D$3,$D196,$E196,$F196,$F$3,AE$3)</f>
        <v>0</v>
      </c>
      <c r="AF196" s="25">
        <f>_xll.DBRW($C$2,$AD$1,AD$2,$D$18,$D$3,$D196,$E196,$F196,AF$3)</f>
        <v>4</v>
      </c>
      <c r="AG196" s="64">
        <f>_xll.DBRW($C$2,$AD$1,AD$2,$D$18,$D$3,$D196,$E196,$F196,AG$3)</f>
        <v>0</v>
      </c>
      <c r="AH196" s="58">
        <f>_xll.DBRW($C$2,$AD$1,AD$2,$D$18,$D$3,$D196,$E196,$F196,AH$3)</f>
        <v>0</v>
      </c>
      <c r="AI196" s="48">
        <f t="shared" si="51"/>
        <v>1037</v>
      </c>
      <c r="AJ196" s="39">
        <f>_xll.DBRW($C$2,$AJ$1,AJ$2,$D$18,$D$3,$D196,$E196,$F196,AJ$3)</f>
        <v>0</v>
      </c>
      <c r="AK196" s="25" cm="1">
        <f t="array" ref="AK196">_xll.DBRW($E$2,AJ$1,AJ$2,$D$18,$D$3,$D196,$E196,$F196,$F$3,AK$3)</f>
        <v>0</v>
      </c>
      <c r="AL196" s="25">
        <f>_xll.DBRW($C$2,$AJ$1,AJ$2,$D$18,$D$3,$D196,$E196,$F196,AL$3)</f>
        <v>4</v>
      </c>
      <c r="AM196" s="64">
        <f>_xll.DBRW($C$2,$AJ$1,AJ$2,$D$18,$D$3,$D196,$E196,$F196,AM$3)</f>
        <v>0</v>
      </c>
      <c r="AN196" s="58">
        <f>_xll.DBRW($C$2,$AJ$1,AJ$2,$D$18,$D$3,$D196,$E196,$F196,AN$3)</f>
        <v>0</v>
      </c>
      <c r="AO196" s="48">
        <f t="shared" si="52"/>
        <v>1033</v>
      </c>
      <c r="AP196" s="39">
        <f>_xll.DBRW($C$2,$AP$1,AP$2,$D$18,$D$3,$D196,$E196,$F196,AP$3)</f>
        <v>0</v>
      </c>
      <c r="AQ196" s="25" cm="1">
        <f t="array" ref="AQ196">_xll.DBRW($E$2,AP$1,AP$2,$D$18,$D$3,$D196,$E196,$F196,$F$3,AQ$3)</f>
        <v>0</v>
      </c>
      <c r="AR196" s="25">
        <f>_xll.DBRW($C$2,$AP$1,AP$2,$D$18,$D$3,$D196,$E196,$F196,AR$3)</f>
        <v>4</v>
      </c>
      <c r="AS196" s="64">
        <f>_xll.DBRW($C$2,$AP$1,AP$2,$D$18,$D$3,$D196,$E196,$F196,AS$3)</f>
        <v>0</v>
      </c>
      <c r="AT196" s="58">
        <f>_xll.DBRW($C$2,$AP$1,AP$2,$D$18,$D$3,$D196,$E196,$F196,AT$3)</f>
        <v>0</v>
      </c>
      <c r="AU196" s="48">
        <f t="shared" si="53"/>
        <v>1029</v>
      </c>
      <c r="AV196" s="39">
        <f>_xll.DBRW($C$2,$AV$1,AV$2,$D$18,$D$3,$D196,$E196,$F196,AV$3)</f>
        <v>0</v>
      </c>
      <c r="AW196" s="25" cm="1">
        <f t="array" ref="AW196">_xll.DBRW($E$2,AV$1,AV$2,$D$18,$D$3,$D196,$E196,$F196,$F$3,AW$3)</f>
        <v>0</v>
      </c>
      <c r="AX196" s="25">
        <f>_xll.DBRW($C$2,$AV$1,AV$2,$D$18,$D$3,$D196,$E196,$F196,AX$3)</f>
        <v>4</v>
      </c>
      <c r="AY196" s="64">
        <f>_xll.DBRW($C$2,$AV$1,AV$2,$D$18,$D$3,$D196,$E196,$F196,AY$3)</f>
        <v>0</v>
      </c>
      <c r="AZ196" s="58">
        <f>_xll.DBRW($C$2,$AV$1,AV$2,$D$18,$D$3,$D196,$E196,$F196,AZ$3)</f>
        <v>0</v>
      </c>
      <c r="BA196" s="48">
        <f t="shared" si="54"/>
        <v>1025</v>
      </c>
      <c r="BB196" s="39">
        <f>_xll.DBRW($C$2,$BB$1,BB$2,$D$18,$D$3,$D196,$E196,$F196,BB$3)</f>
        <v>0</v>
      </c>
      <c r="BC196" s="25" cm="1">
        <f t="array" ref="BC196">_xll.DBRW($E$2,BB$1,BB$2,$D$18,$D$3,$D196,$E196,$F196,$F$3,BC$3)</f>
        <v>0</v>
      </c>
      <c r="BD196" s="25">
        <f>_xll.DBRW($C$2,$BB$1,BB$2,$D$18,$D$3,$D196,$E196,$F196,BD$3)</f>
        <v>4</v>
      </c>
      <c r="BE196" s="64">
        <f>_xll.DBRW($C$2,$BB$1,BB$2,$D$18,$D$3,$D196,$E196,$F196,BE$3)</f>
        <v>0</v>
      </c>
      <c r="BF196" s="58">
        <f>_xll.DBRW($C$2,$BB$1,BB$2,$D$18,$D$3,$D196,$E196,$F196,BF$3)</f>
        <v>0</v>
      </c>
      <c r="BG196" s="48">
        <f t="shared" si="55"/>
        <v>1021</v>
      </c>
      <c r="BH196" s="39">
        <f>_xll.DBRW($C$2,$BH$1,BH$2,$D$18,$D$3,$D196,$E196,$F196,BH$3)</f>
        <v>0</v>
      </c>
      <c r="BI196" s="25" cm="1">
        <f t="array" ref="BI196">_xll.DBRW($E$2,BH$1,BH$2,$D$18,$D$3,$D196,$E196,$F196,$F$3,BI$3)</f>
        <v>0</v>
      </c>
      <c r="BJ196" s="25">
        <f>_xll.DBRW($C$2,$BH$1,BH$2,$D$18,$D$3,$D196,$E196,$F196,BJ$3)</f>
        <v>4</v>
      </c>
      <c r="BK196" s="64">
        <f>_xll.DBRW($C$2,$BH$1,BH$2,$D$18,$D$3,$D196,$E196,$F196,BK$3)</f>
        <v>0</v>
      </c>
      <c r="BL196" s="58">
        <f>_xll.DBRW($C$2,$BH$1,BH$2,$D$18,$D$3,$D196,$E196,$F196,BL$3)</f>
        <v>0</v>
      </c>
      <c r="BM196" s="48">
        <f t="shared" si="56"/>
        <v>1017</v>
      </c>
      <c r="BN196" s="39">
        <f>_xll.DBRW($C$2,$BN$1,BN$2,$D$18,$D$3,$D196,$E196,$F196,BN$3)</f>
        <v>0</v>
      </c>
      <c r="BO196" s="25" cm="1">
        <f t="array" ref="BO196">_xll.DBRW($E$2,BN$1,BN$2,$D$18,$D$3,$D196,$E196,$F196,$F$3,BO$3)</f>
        <v>0</v>
      </c>
      <c r="BP196" s="25">
        <f>_xll.DBRW($C$2,$BN$1,BN$2,$D$18,$D$3,$D196,$E196,$F196,BP$3)</f>
        <v>4</v>
      </c>
      <c r="BQ196" s="64">
        <f>_xll.DBRW($C$2,$BN$1,BN$2,$D$18,$D$3,$D196,$E196,$F196,BQ$3)</f>
        <v>0</v>
      </c>
      <c r="BR196" s="58">
        <f>_xll.DBRW($C$2,$BN$1,BN$2,$D$18,$D$3,$D196,$E196,$F196,BR$3)</f>
        <v>0</v>
      </c>
      <c r="BS196" s="48">
        <f t="shared" si="57"/>
        <v>1013</v>
      </c>
      <c r="BT196" s="39">
        <f>_xll.DBRW($C$2,$BT$1,BT$2,$D$18,$D$3,$D196,$E196,$F196,BT$3)</f>
        <v>0</v>
      </c>
      <c r="BU196" s="25" cm="1">
        <f t="array" ref="BU196">_xll.DBRW($E$2,BT$1,BT$2,$D$18,$D$3,$D196,$E196,$F196,$F$3,BU$3)</f>
        <v>0</v>
      </c>
      <c r="BV196" s="25">
        <f>_xll.DBRW($C$2,$BT$1,BT$2,$D$18,$D$3,$D196,$E196,$F196,BV$3)</f>
        <v>4</v>
      </c>
      <c r="BW196" s="64">
        <f>_xll.DBRW($C$2,$BT$1,BT$2,$D$18,$D$3,$D196,$E196,$F196,BW$3)</f>
        <v>0</v>
      </c>
      <c r="BX196" s="58">
        <f>_xll.DBRW($C$2,$BT$1,BT$2,$D$18,$D$3,$D196,$E196,$F196,BX$3)</f>
        <v>0</v>
      </c>
      <c r="BY196" s="48">
        <f t="shared" si="58"/>
        <v>1009</v>
      </c>
      <c r="BZ196" s="39">
        <f>_xll.DBRW($C$2,$BZ$1,BZ$2,$D$18,$D$3,$D196,$E196,$F196,BZ$3)</f>
        <v>0</v>
      </c>
      <c r="CA196" s="25" cm="1">
        <f t="array" ref="CA196">_xll.DBRW($E$2,BZ$1,BZ$2,$D$18,$D$3,$D196,$E196,$F196,$F$3,CA$3)</f>
        <v>0</v>
      </c>
      <c r="CB196" s="25">
        <f>_xll.DBRW($C$2,$BZ$1,BZ$2,$D$18,$D$3,$D196,$E196,$F196,CB$3)</f>
        <v>4</v>
      </c>
      <c r="CC196" s="64">
        <f>_xll.DBRW($C$2,$BZ$1,BZ$2,$D$18,$D$3,$D196,$E196,$F196,CC$3)</f>
        <v>0</v>
      </c>
      <c r="CD196" s="58">
        <f>_xll.DBRW($C$2,$BZ$1,BZ$2,$D$18,$D$3,$D196,$E196,$F196,CD$3)</f>
        <v>0</v>
      </c>
      <c r="CE196" s="48">
        <f t="shared" si="59"/>
        <v>1005</v>
      </c>
    </row>
    <row r="197" spans="1:83" s="23" customFormat="1" outlineLevel="1" thickBot="1" x14ac:dyDescent="0.3">
      <c r="A197" s="91" t="str">
        <f>IF(_xll.TM1RPTELISCONSOLIDATED($F$22,$F197),IF(_xll.TM1RPTELLEV($F$22,$F197)&lt;=5,_xll.TM1RPTELLEV($F$22,$F197),"Default"),"Leaf")</f>
        <v>Leaf</v>
      </c>
      <c r="B197" s="24" t="str">
        <f>_xll.DBRW("TM1-S1_DEV:}ElementAttributes_SP_SKU",$D197,B$1)</f>
        <v>Primary</v>
      </c>
      <c r="C197" s="24" t="str">
        <f>_xll.DBRW("TM1-S1_DEV:}ElementAttributes_SP_SKU",$D197,C$1)</f>
        <v>CONTAINER</v>
      </c>
      <c r="D197" s="28" t="s">
        <v>181</v>
      </c>
      <c r="E197" s="28" t="s">
        <v>316</v>
      </c>
      <c r="F197" s="28" t="s">
        <v>328</v>
      </c>
      <c r="G197" s="4">
        <f>_xll.DBRW($C$2,$G$19,G$20,$D$18,$D$3,$D197,$E197,$F197,G$3)</f>
        <v>7</v>
      </c>
      <c r="H197" s="54">
        <f t="shared" si="48"/>
        <v>-7</v>
      </c>
      <c r="I197" s="4"/>
      <c r="J197" s="25">
        <f>_xll.DBRW($C$2,$J$1,J$2,$D$18,$D$3,$D197,$E197,$F197,J$3)</f>
        <v>0</v>
      </c>
      <c r="K197" s="39">
        <f>_xll.DBRW($C$2,$J$1,J$2,$D$18,$D$3,$D197,$E197,$F197,K$3)</f>
        <v>0</v>
      </c>
      <c r="L197" s="25">
        <f>_xll.DBRW($C$2,$J$1,J$2,$D$18,$D$3,$D197,$E197,$F197,L$3)</f>
        <v>0</v>
      </c>
      <c r="M197" s="25">
        <f>_xll.DBRW($C$2,$J$1,J$2,$D$18,$D$3,$D197,$E197,$F197,M$3)</f>
        <v>0</v>
      </c>
      <c r="N197" s="25">
        <f>_xll.DBRW($C$2,$J$1,J$2,$D$18,$D$3,$D197,$E197,$F197,N$3)</f>
        <v>0</v>
      </c>
      <c r="O197" s="64">
        <f>_xll.DBRW($C$2,$J$1,J$2,$D$18,$D$3,$D197,$E197,$F197,O$3)</f>
        <v>0</v>
      </c>
      <c r="P197" s="58">
        <f>_xll.DBRW($C$2,$J$1,J$2,$D$18,$D$3,$D197,$E197,$F197,P$3)</f>
        <v>0</v>
      </c>
      <c r="Q197" s="48">
        <f>_xll.DBRW($C$2,$J$1,J$2,$D$18,$D$3,$D197,$E197,$F197,Q$3)</f>
        <v>0</v>
      </c>
      <c r="R197" s="39">
        <f>_xll.DBRW($C$2,$R$1,R$2,$D$18,$D$3,$D197,$E197,$F197,R$3)</f>
        <v>0</v>
      </c>
      <c r="S197" s="25" cm="1">
        <f t="array" ref="S197">_xll.DBRW($E$2,R$1,R$2,$D$18,$D$3,$D197,$E197,$F197,$F$3,S$3)</f>
        <v>0</v>
      </c>
      <c r="T197" s="25">
        <f>_xll.DBRW($C$2,$R$1,R$2,$D$18,$D$3,$D197,$E197,$F197,T$3)</f>
        <v>0</v>
      </c>
      <c r="U197" s="64">
        <f>_xll.DBRW($C$2,$R$1,R$2,$D$18,$D$3,$D197,$E197,$F197,U$3)</f>
        <v>0</v>
      </c>
      <c r="V197" s="58">
        <f>_xll.DBRW($C$2,$R$1,R$2,$D$18,$D$3,$D197,$E197,$F197,V$3)</f>
        <v>0</v>
      </c>
      <c r="W197" s="48">
        <f t="shared" si="49"/>
        <v>0</v>
      </c>
      <c r="X197" s="39">
        <f>_xll.DBRW($C$2,$X$1,X$2,$D$18,$D$3,$D197,$E197,$F197,X$3)</f>
        <v>0</v>
      </c>
      <c r="Y197" s="25" cm="1">
        <f t="array" ref="Y197">_xll.DBRW($E$2,X$1,X$2,$D$18,$D$3,$D197,$E197,$F197,$F$3,Y$3)</f>
        <v>0</v>
      </c>
      <c r="Z197" s="25">
        <f>_xll.DBRW($C$2,$X$1,X$2,$D$18,$D$3,$D197,$E197,$F197,Z$3)</f>
        <v>1</v>
      </c>
      <c r="AA197" s="64">
        <f>_xll.DBRW($C$2,$X$1,X$2,$D$18,$D$3,$D197,$E197,$F197,AA$3)</f>
        <v>0</v>
      </c>
      <c r="AB197" s="58">
        <f>_xll.DBRW($C$2,$X$1,X$2,$D$18,$D$3,$D197,$E197,$F197,AB$3)</f>
        <v>0</v>
      </c>
      <c r="AC197" s="48">
        <f t="shared" si="50"/>
        <v>-1</v>
      </c>
      <c r="AD197" s="39">
        <f>_xll.DBRW($C$2,$AD$1,AD$2,$D$18,$D$3,$D197,$E197,$F197,AD$3)</f>
        <v>0</v>
      </c>
      <c r="AE197" s="25" cm="1">
        <f t="array" ref="AE197">_xll.DBRW($E$2,AD$1,AD$2,$D$18,$D$3,$D197,$E197,$F197,$F$3,AE$3)</f>
        <v>0</v>
      </c>
      <c r="AF197" s="25">
        <f>_xll.DBRW($C$2,$AD$1,AD$2,$D$18,$D$3,$D197,$E197,$F197,AF$3)</f>
        <v>1</v>
      </c>
      <c r="AG197" s="64">
        <f>_xll.DBRW($C$2,$AD$1,AD$2,$D$18,$D$3,$D197,$E197,$F197,AG$3)</f>
        <v>0</v>
      </c>
      <c r="AH197" s="58">
        <f>_xll.DBRW($C$2,$AD$1,AD$2,$D$18,$D$3,$D197,$E197,$F197,AH$3)</f>
        <v>0</v>
      </c>
      <c r="AI197" s="48">
        <f t="shared" si="51"/>
        <v>-2</v>
      </c>
      <c r="AJ197" s="39">
        <f>_xll.DBRW($C$2,$AJ$1,AJ$2,$D$18,$D$3,$D197,$E197,$F197,AJ$3)</f>
        <v>0</v>
      </c>
      <c r="AK197" s="25" cm="1">
        <f t="array" ref="AK197">_xll.DBRW($E$2,AJ$1,AJ$2,$D$18,$D$3,$D197,$E197,$F197,$F$3,AK$3)</f>
        <v>0</v>
      </c>
      <c r="AL197" s="25">
        <f>_xll.DBRW($C$2,$AJ$1,AJ$2,$D$18,$D$3,$D197,$E197,$F197,AL$3)</f>
        <v>1</v>
      </c>
      <c r="AM197" s="64">
        <f>_xll.DBRW($C$2,$AJ$1,AJ$2,$D$18,$D$3,$D197,$E197,$F197,AM$3)</f>
        <v>0</v>
      </c>
      <c r="AN197" s="58">
        <f>_xll.DBRW($C$2,$AJ$1,AJ$2,$D$18,$D$3,$D197,$E197,$F197,AN$3)</f>
        <v>0</v>
      </c>
      <c r="AO197" s="48">
        <f t="shared" si="52"/>
        <v>-3</v>
      </c>
      <c r="AP197" s="39">
        <f>_xll.DBRW($C$2,$AP$1,AP$2,$D$18,$D$3,$D197,$E197,$F197,AP$3)</f>
        <v>0</v>
      </c>
      <c r="AQ197" s="25" cm="1">
        <f t="array" ref="AQ197">_xll.DBRW($E$2,AP$1,AP$2,$D$18,$D$3,$D197,$E197,$F197,$F$3,AQ$3)</f>
        <v>0</v>
      </c>
      <c r="AR197" s="25">
        <f>_xll.DBRW($C$2,$AP$1,AP$2,$D$18,$D$3,$D197,$E197,$F197,AR$3)</f>
        <v>1</v>
      </c>
      <c r="AS197" s="64">
        <f>_xll.DBRW($C$2,$AP$1,AP$2,$D$18,$D$3,$D197,$E197,$F197,AS$3)</f>
        <v>0</v>
      </c>
      <c r="AT197" s="58">
        <f>_xll.DBRW($C$2,$AP$1,AP$2,$D$18,$D$3,$D197,$E197,$F197,AT$3)</f>
        <v>0</v>
      </c>
      <c r="AU197" s="48">
        <f t="shared" si="53"/>
        <v>-4</v>
      </c>
      <c r="AV197" s="39">
        <f>_xll.DBRW($C$2,$AV$1,AV$2,$D$18,$D$3,$D197,$E197,$F197,AV$3)</f>
        <v>0</v>
      </c>
      <c r="AW197" s="25" cm="1">
        <f t="array" ref="AW197">_xll.DBRW($E$2,AV$1,AV$2,$D$18,$D$3,$D197,$E197,$F197,$F$3,AW$3)</f>
        <v>0</v>
      </c>
      <c r="AX197" s="25">
        <f>_xll.DBRW($C$2,$AV$1,AV$2,$D$18,$D$3,$D197,$E197,$F197,AX$3)</f>
        <v>1</v>
      </c>
      <c r="AY197" s="64">
        <f>_xll.DBRW($C$2,$AV$1,AV$2,$D$18,$D$3,$D197,$E197,$F197,AY$3)</f>
        <v>0</v>
      </c>
      <c r="AZ197" s="58">
        <f>_xll.DBRW($C$2,$AV$1,AV$2,$D$18,$D$3,$D197,$E197,$F197,AZ$3)</f>
        <v>0</v>
      </c>
      <c r="BA197" s="48">
        <f t="shared" si="54"/>
        <v>-5</v>
      </c>
      <c r="BB197" s="39">
        <f>_xll.DBRW($C$2,$BB$1,BB$2,$D$18,$D$3,$D197,$E197,$F197,BB$3)</f>
        <v>0</v>
      </c>
      <c r="BC197" s="25" cm="1">
        <f t="array" ref="BC197">_xll.DBRW($E$2,BB$1,BB$2,$D$18,$D$3,$D197,$E197,$F197,$F$3,BC$3)</f>
        <v>0</v>
      </c>
      <c r="BD197" s="25">
        <f>_xll.DBRW($C$2,$BB$1,BB$2,$D$18,$D$3,$D197,$E197,$F197,BD$3)</f>
        <v>1</v>
      </c>
      <c r="BE197" s="64">
        <f>_xll.DBRW($C$2,$BB$1,BB$2,$D$18,$D$3,$D197,$E197,$F197,BE$3)</f>
        <v>0</v>
      </c>
      <c r="BF197" s="58">
        <f>_xll.DBRW($C$2,$BB$1,BB$2,$D$18,$D$3,$D197,$E197,$F197,BF$3)</f>
        <v>0</v>
      </c>
      <c r="BG197" s="48">
        <f t="shared" si="55"/>
        <v>-6</v>
      </c>
      <c r="BH197" s="39">
        <f>_xll.DBRW($C$2,$BH$1,BH$2,$D$18,$D$3,$D197,$E197,$F197,BH$3)</f>
        <v>0</v>
      </c>
      <c r="BI197" s="25" cm="1">
        <f t="array" ref="BI197">_xll.DBRW($E$2,BH$1,BH$2,$D$18,$D$3,$D197,$E197,$F197,$F$3,BI$3)</f>
        <v>0</v>
      </c>
      <c r="BJ197" s="25">
        <f>_xll.DBRW($C$2,$BH$1,BH$2,$D$18,$D$3,$D197,$E197,$F197,BJ$3)</f>
        <v>1</v>
      </c>
      <c r="BK197" s="64">
        <f>_xll.DBRW($C$2,$BH$1,BH$2,$D$18,$D$3,$D197,$E197,$F197,BK$3)</f>
        <v>0</v>
      </c>
      <c r="BL197" s="58">
        <f>_xll.DBRW($C$2,$BH$1,BH$2,$D$18,$D$3,$D197,$E197,$F197,BL$3)</f>
        <v>0</v>
      </c>
      <c r="BM197" s="48">
        <f t="shared" si="56"/>
        <v>-7</v>
      </c>
      <c r="BN197" s="39">
        <f>_xll.DBRW($C$2,$BN$1,BN$2,$D$18,$D$3,$D197,$E197,$F197,BN$3)</f>
        <v>0</v>
      </c>
      <c r="BO197" s="25" cm="1">
        <f t="array" ref="BO197">_xll.DBRW($E$2,BN$1,BN$2,$D$18,$D$3,$D197,$E197,$F197,$F$3,BO$3)</f>
        <v>0</v>
      </c>
      <c r="BP197" s="25">
        <f>_xll.DBRW($C$2,$BN$1,BN$2,$D$18,$D$3,$D197,$E197,$F197,BP$3)</f>
        <v>1</v>
      </c>
      <c r="BQ197" s="64">
        <f>_xll.DBRW($C$2,$BN$1,BN$2,$D$18,$D$3,$D197,$E197,$F197,BQ$3)</f>
        <v>0</v>
      </c>
      <c r="BR197" s="58">
        <f>_xll.DBRW($C$2,$BN$1,BN$2,$D$18,$D$3,$D197,$E197,$F197,BR$3)</f>
        <v>0</v>
      </c>
      <c r="BS197" s="48">
        <f t="shared" si="57"/>
        <v>-8</v>
      </c>
      <c r="BT197" s="39">
        <f>_xll.DBRW($C$2,$BT$1,BT$2,$D$18,$D$3,$D197,$E197,$F197,BT$3)</f>
        <v>0</v>
      </c>
      <c r="BU197" s="25" cm="1">
        <f t="array" ref="BU197">_xll.DBRW($E$2,BT$1,BT$2,$D$18,$D$3,$D197,$E197,$F197,$F$3,BU$3)</f>
        <v>0</v>
      </c>
      <c r="BV197" s="25">
        <f>_xll.DBRW($C$2,$BT$1,BT$2,$D$18,$D$3,$D197,$E197,$F197,BV$3)</f>
        <v>1</v>
      </c>
      <c r="BW197" s="64">
        <f>_xll.DBRW($C$2,$BT$1,BT$2,$D$18,$D$3,$D197,$E197,$F197,BW$3)</f>
        <v>0</v>
      </c>
      <c r="BX197" s="58">
        <f>_xll.DBRW($C$2,$BT$1,BT$2,$D$18,$D$3,$D197,$E197,$F197,BX$3)</f>
        <v>0</v>
      </c>
      <c r="BY197" s="48">
        <f t="shared" si="58"/>
        <v>-9</v>
      </c>
      <c r="BZ197" s="39">
        <f>_xll.DBRW($C$2,$BZ$1,BZ$2,$D$18,$D$3,$D197,$E197,$F197,BZ$3)</f>
        <v>0</v>
      </c>
      <c r="CA197" s="25" cm="1">
        <f t="array" ref="CA197">_xll.DBRW($E$2,BZ$1,BZ$2,$D$18,$D$3,$D197,$E197,$F197,$F$3,CA$3)</f>
        <v>0</v>
      </c>
      <c r="CB197" s="25">
        <f>_xll.DBRW($C$2,$BZ$1,BZ$2,$D$18,$D$3,$D197,$E197,$F197,CB$3)</f>
        <v>1</v>
      </c>
      <c r="CC197" s="64">
        <f>_xll.DBRW($C$2,$BZ$1,BZ$2,$D$18,$D$3,$D197,$E197,$F197,CC$3)</f>
        <v>0</v>
      </c>
      <c r="CD197" s="58">
        <f>_xll.DBRW($C$2,$BZ$1,BZ$2,$D$18,$D$3,$D197,$E197,$F197,CD$3)</f>
        <v>0</v>
      </c>
      <c r="CE197" s="48">
        <f t="shared" si="59"/>
        <v>-10</v>
      </c>
    </row>
    <row r="198" spans="1:83" s="23" customFormat="1" outlineLevel="1" thickBot="1" x14ac:dyDescent="0.3">
      <c r="A198" s="91" t="str">
        <f>IF(_xll.TM1RPTELISCONSOLIDATED($F$22,$F198),IF(_xll.TM1RPTELLEV($F$22,$F198)&lt;=5,_xll.TM1RPTELLEV($F$22,$F198),"Default"),"Leaf")</f>
        <v>Leaf</v>
      </c>
      <c r="B198" s="24" t="str">
        <f>_xll.DBRW("TM1-S1_DEV:}ElementAttributes_SP_SKU",$D198,B$1)</f>
        <v>Primary</v>
      </c>
      <c r="C198" s="24" t="str">
        <f>_xll.DBRW("TM1-S1_DEV:}ElementAttributes_SP_SKU",$D198,C$1)</f>
        <v>CONTAINER</v>
      </c>
      <c r="D198" s="28" t="s">
        <v>182</v>
      </c>
      <c r="E198" s="28" t="s">
        <v>317</v>
      </c>
      <c r="F198" s="28" t="s">
        <v>328</v>
      </c>
      <c r="G198" s="4">
        <f>_xll.DBRW($C$2,$G$19,G$20,$D$18,$D$3,$D198,$E198,$F198,G$3)</f>
        <v>1</v>
      </c>
      <c r="H198" s="54">
        <f t="shared" si="48"/>
        <v>2</v>
      </c>
      <c r="I198" s="4"/>
      <c r="J198" s="25">
        <f>_xll.DBRW($C$2,$J$1,J$2,$D$18,$D$3,$D198,$E198,$F198,J$3)</f>
        <v>3</v>
      </c>
      <c r="K198" s="39">
        <f>_xll.DBRW($C$2,$J$1,J$2,$D$18,$D$3,$D198,$E198,$F198,K$3)</f>
        <v>0</v>
      </c>
      <c r="L198" s="25">
        <f>_xll.DBRW($C$2,$J$1,J$2,$D$18,$D$3,$D198,$E198,$F198,L$3)</f>
        <v>0</v>
      </c>
      <c r="M198" s="25">
        <f>_xll.DBRW($C$2,$J$1,J$2,$D$18,$D$3,$D198,$E198,$F198,M$3)</f>
        <v>0</v>
      </c>
      <c r="N198" s="25">
        <f>_xll.DBRW($C$2,$J$1,J$2,$D$18,$D$3,$D198,$E198,$F198,N$3)</f>
        <v>0</v>
      </c>
      <c r="O198" s="64">
        <f>_xll.DBRW($C$2,$J$1,J$2,$D$18,$D$3,$D198,$E198,$F198,O$3)</f>
        <v>0</v>
      </c>
      <c r="P198" s="58">
        <f>_xll.DBRW($C$2,$J$1,J$2,$D$18,$D$3,$D198,$E198,$F198,P$3)</f>
        <v>0</v>
      </c>
      <c r="Q198" s="48">
        <f>_xll.DBRW($C$2,$J$1,J$2,$D$18,$D$3,$D198,$E198,$F198,Q$3)</f>
        <v>3</v>
      </c>
      <c r="R198" s="39">
        <f>_xll.DBRW($C$2,$R$1,R$2,$D$18,$D$3,$D198,$E198,$F198,R$3)</f>
        <v>0</v>
      </c>
      <c r="S198" s="25" cm="1">
        <f t="array" ref="S198">_xll.DBRW($E$2,R$1,R$2,$D$18,$D$3,$D198,$E198,$F198,$F$3,S$3)</f>
        <v>0</v>
      </c>
      <c r="T198" s="25">
        <f>_xll.DBRW($C$2,$R$1,R$2,$D$18,$D$3,$D198,$E198,$F198,T$3)</f>
        <v>0</v>
      </c>
      <c r="U198" s="64">
        <f>_xll.DBRW($C$2,$R$1,R$2,$D$18,$D$3,$D198,$E198,$F198,U$3)</f>
        <v>0</v>
      </c>
      <c r="V198" s="58">
        <f>_xll.DBRW($C$2,$R$1,R$2,$D$18,$D$3,$D198,$E198,$F198,V$3)</f>
        <v>0</v>
      </c>
      <c r="W198" s="48">
        <f t="shared" si="49"/>
        <v>3</v>
      </c>
      <c r="X198" s="39">
        <f>_xll.DBRW($C$2,$X$1,X$2,$D$18,$D$3,$D198,$E198,$F198,X$3)</f>
        <v>0</v>
      </c>
      <c r="Y198" s="25" cm="1">
        <f t="array" ref="Y198">_xll.DBRW($E$2,X$1,X$2,$D$18,$D$3,$D198,$E198,$F198,$F$3,Y$3)</f>
        <v>0</v>
      </c>
      <c r="Z198" s="25">
        <f>_xll.DBRW($C$2,$X$1,X$2,$D$18,$D$3,$D198,$E198,$F198,Z$3)</f>
        <v>1</v>
      </c>
      <c r="AA198" s="64">
        <f>_xll.DBRW($C$2,$X$1,X$2,$D$18,$D$3,$D198,$E198,$F198,AA$3)</f>
        <v>0</v>
      </c>
      <c r="AB198" s="58">
        <f>_xll.DBRW($C$2,$X$1,X$2,$D$18,$D$3,$D198,$E198,$F198,AB$3)</f>
        <v>0</v>
      </c>
      <c r="AC198" s="48">
        <f t="shared" si="50"/>
        <v>2</v>
      </c>
      <c r="AD198" s="39">
        <f>_xll.DBRW($C$2,$AD$1,AD$2,$D$18,$D$3,$D198,$E198,$F198,AD$3)</f>
        <v>0</v>
      </c>
      <c r="AE198" s="25" cm="1">
        <f t="array" ref="AE198">_xll.DBRW($E$2,AD$1,AD$2,$D$18,$D$3,$D198,$E198,$F198,$F$3,AE$3)</f>
        <v>0</v>
      </c>
      <c r="AF198" s="25">
        <f>_xll.DBRW($C$2,$AD$1,AD$2,$D$18,$D$3,$D198,$E198,$F198,AF$3)</f>
        <v>1</v>
      </c>
      <c r="AG198" s="64">
        <f>_xll.DBRW($C$2,$AD$1,AD$2,$D$18,$D$3,$D198,$E198,$F198,AG$3)</f>
        <v>0</v>
      </c>
      <c r="AH198" s="58">
        <f>_xll.DBRW($C$2,$AD$1,AD$2,$D$18,$D$3,$D198,$E198,$F198,AH$3)</f>
        <v>0</v>
      </c>
      <c r="AI198" s="48">
        <f t="shared" si="51"/>
        <v>1</v>
      </c>
      <c r="AJ198" s="39">
        <f>_xll.DBRW($C$2,$AJ$1,AJ$2,$D$18,$D$3,$D198,$E198,$F198,AJ$3)</f>
        <v>0</v>
      </c>
      <c r="AK198" s="25" cm="1">
        <f t="array" ref="AK198">_xll.DBRW($E$2,AJ$1,AJ$2,$D$18,$D$3,$D198,$E198,$F198,$F$3,AK$3)</f>
        <v>0</v>
      </c>
      <c r="AL198" s="25">
        <f>_xll.DBRW($C$2,$AJ$1,AJ$2,$D$18,$D$3,$D198,$E198,$F198,AL$3)</f>
        <v>1</v>
      </c>
      <c r="AM198" s="64">
        <f>_xll.DBRW($C$2,$AJ$1,AJ$2,$D$18,$D$3,$D198,$E198,$F198,AM$3)</f>
        <v>0</v>
      </c>
      <c r="AN198" s="58">
        <f>_xll.DBRW($C$2,$AJ$1,AJ$2,$D$18,$D$3,$D198,$E198,$F198,AN$3)</f>
        <v>0</v>
      </c>
      <c r="AO198" s="48">
        <f t="shared" si="52"/>
        <v>0</v>
      </c>
      <c r="AP198" s="39">
        <f>_xll.DBRW($C$2,$AP$1,AP$2,$D$18,$D$3,$D198,$E198,$F198,AP$3)</f>
        <v>0</v>
      </c>
      <c r="AQ198" s="25" cm="1">
        <f t="array" ref="AQ198">_xll.DBRW($E$2,AP$1,AP$2,$D$18,$D$3,$D198,$E198,$F198,$F$3,AQ$3)</f>
        <v>0</v>
      </c>
      <c r="AR198" s="25">
        <f>_xll.DBRW($C$2,$AP$1,AP$2,$D$18,$D$3,$D198,$E198,$F198,AR$3)</f>
        <v>1</v>
      </c>
      <c r="AS198" s="64">
        <f>_xll.DBRW($C$2,$AP$1,AP$2,$D$18,$D$3,$D198,$E198,$F198,AS$3)</f>
        <v>0</v>
      </c>
      <c r="AT198" s="58">
        <f>_xll.DBRW($C$2,$AP$1,AP$2,$D$18,$D$3,$D198,$E198,$F198,AT$3)</f>
        <v>0</v>
      </c>
      <c r="AU198" s="48">
        <f t="shared" si="53"/>
        <v>-1</v>
      </c>
      <c r="AV198" s="39">
        <f>_xll.DBRW($C$2,$AV$1,AV$2,$D$18,$D$3,$D198,$E198,$F198,AV$3)</f>
        <v>0</v>
      </c>
      <c r="AW198" s="25" cm="1">
        <f t="array" ref="AW198">_xll.DBRW($E$2,AV$1,AV$2,$D$18,$D$3,$D198,$E198,$F198,$F$3,AW$3)</f>
        <v>0</v>
      </c>
      <c r="AX198" s="25">
        <f>_xll.DBRW($C$2,$AV$1,AV$2,$D$18,$D$3,$D198,$E198,$F198,AX$3)</f>
        <v>1</v>
      </c>
      <c r="AY198" s="64">
        <f>_xll.DBRW($C$2,$AV$1,AV$2,$D$18,$D$3,$D198,$E198,$F198,AY$3)</f>
        <v>0</v>
      </c>
      <c r="AZ198" s="58">
        <f>_xll.DBRW($C$2,$AV$1,AV$2,$D$18,$D$3,$D198,$E198,$F198,AZ$3)</f>
        <v>0</v>
      </c>
      <c r="BA198" s="48">
        <f t="shared" si="54"/>
        <v>-2</v>
      </c>
      <c r="BB198" s="39">
        <f>_xll.DBRW($C$2,$BB$1,BB$2,$D$18,$D$3,$D198,$E198,$F198,BB$3)</f>
        <v>0</v>
      </c>
      <c r="BC198" s="25" cm="1">
        <f t="array" ref="BC198">_xll.DBRW($E$2,BB$1,BB$2,$D$18,$D$3,$D198,$E198,$F198,$F$3,BC$3)</f>
        <v>0</v>
      </c>
      <c r="BD198" s="25">
        <f>_xll.DBRW($C$2,$BB$1,BB$2,$D$18,$D$3,$D198,$E198,$F198,BD$3)</f>
        <v>1</v>
      </c>
      <c r="BE198" s="64">
        <f>_xll.DBRW($C$2,$BB$1,BB$2,$D$18,$D$3,$D198,$E198,$F198,BE$3)</f>
        <v>0</v>
      </c>
      <c r="BF198" s="58">
        <f>_xll.DBRW($C$2,$BB$1,BB$2,$D$18,$D$3,$D198,$E198,$F198,BF$3)</f>
        <v>0</v>
      </c>
      <c r="BG198" s="48">
        <f t="shared" si="55"/>
        <v>-3</v>
      </c>
      <c r="BH198" s="39">
        <f>_xll.DBRW($C$2,$BH$1,BH$2,$D$18,$D$3,$D198,$E198,$F198,BH$3)</f>
        <v>0</v>
      </c>
      <c r="BI198" s="25" cm="1">
        <f t="array" ref="BI198">_xll.DBRW($E$2,BH$1,BH$2,$D$18,$D$3,$D198,$E198,$F198,$F$3,BI$3)</f>
        <v>0</v>
      </c>
      <c r="BJ198" s="25">
        <f>_xll.DBRW($C$2,$BH$1,BH$2,$D$18,$D$3,$D198,$E198,$F198,BJ$3)</f>
        <v>1</v>
      </c>
      <c r="BK198" s="64">
        <f>_xll.DBRW($C$2,$BH$1,BH$2,$D$18,$D$3,$D198,$E198,$F198,BK$3)</f>
        <v>0</v>
      </c>
      <c r="BL198" s="58">
        <f>_xll.DBRW($C$2,$BH$1,BH$2,$D$18,$D$3,$D198,$E198,$F198,BL$3)</f>
        <v>0</v>
      </c>
      <c r="BM198" s="48">
        <f t="shared" si="56"/>
        <v>-4</v>
      </c>
      <c r="BN198" s="39">
        <f>_xll.DBRW($C$2,$BN$1,BN$2,$D$18,$D$3,$D198,$E198,$F198,BN$3)</f>
        <v>0</v>
      </c>
      <c r="BO198" s="25" cm="1">
        <f t="array" ref="BO198">_xll.DBRW($E$2,BN$1,BN$2,$D$18,$D$3,$D198,$E198,$F198,$F$3,BO$3)</f>
        <v>0</v>
      </c>
      <c r="BP198" s="25">
        <f>_xll.DBRW($C$2,$BN$1,BN$2,$D$18,$D$3,$D198,$E198,$F198,BP$3)</f>
        <v>1</v>
      </c>
      <c r="BQ198" s="64">
        <f>_xll.DBRW($C$2,$BN$1,BN$2,$D$18,$D$3,$D198,$E198,$F198,BQ$3)</f>
        <v>0</v>
      </c>
      <c r="BR198" s="58">
        <f>_xll.DBRW($C$2,$BN$1,BN$2,$D$18,$D$3,$D198,$E198,$F198,BR$3)</f>
        <v>0</v>
      </c>
      <c r="BS198" s="48">
        <f t="shared" si="57"/>
        <v>-5</v>
      </c>
      <c r="BT198" s="39">
        <f>_xll.DBRW($C$2,$BT$1,BT$2,$D$18,$D$3,$D198,$E198,$F198,BT$3)</f>
        <v>0</v>
      </c>
      <c r="BU198" s="25" cm="1">
        <f t="array" ref="BU198">_xll.DBRW($E$2,BT$1,BT$2,$D$18,$D$3,$D198,$E198,$F198,$F$3,BU$3)</f>
        <v>0</v>
      </c>
      <c r="BV198" s="25">
        <f>_xll.DBRW($C$2,$BT$1,BT$2,$D$18,$D$3,$D198,$E198,$F198,BV$3)</f>
        <v>1</v>
      </c>
      <c r="BW198" s="64">
        <f>_xll.DBRW($C$2,$BT$1,BT$2,$D$18,$D$3,$D198,$E198,$F198,BW$3)</f>
        <v>0</v>
      </c>
      <c r="BX198" s="58">
        <f>_xll.DBRW($C$2,$BT$1,BT$2,$D$18,$D$3,$D198,$E198,$F198,BX$3)</f>
        <v>0</v>
      </c>
      <c r="BY198" s="48">
        <f t="shared" si="58"/>
        <v>-6</v>
      </c>
      <c r="BZ198" s="39">
        <f>_xll.DBRW($C$2,$BZ$1,BZ$2,$D$18,$D$3,$D198,$E198,$F198,BZ$3)</f>
        <v>0</v>
      </c>
      <c r="CA198" s="25" cm="1">
        <f t="array" ref="CA198">_xll.DBRW($E$2,BZ$1,BZ$2,$D$18,$D$3,$D198,$E198,$F198,$F$3,CA$3)</f>
        <v>0</v>
      </c>
      <c r="CB198" s="25">
        <f>_xll.DBRW($C$2,$BZ$1,BZ$2,$D$18,$D$3,$D198,$E198,$F198,CB$3)</f>
        <v>1</v>
      </c>
      <c r="CC198" s="64">
        <f>_xll.DBRW($C$2,$BZ$1,BZ$2,$D$18,$D$3,$D198,$E198,$F198,CC$3)</f>
        <v>0</v>
      </c>
      <c r="CD198" s="58">
        <f>_xll.DBRW($C$2,$BZ$1,BZ$2,$D$18,$D$3,$D198,$E198,$F198,CD$3)</f>
        <v>0</v>
      </c>
      <c r="CE198" s="48">
        <f t="shared" si="59"/>
        <v>-7</v>
      </c>
    </row>
    <row r="199" spans="1:83" s="23" customFormat="1" outlineLevel="1" thickBot="1" x14ac:dyDescent="0.3">
      <c r="A199" s="91" t="str">
        <f>IF(_xll.TM1RPTELISCONSOLIDATED($F$22,$F199),IF(_xll.TM1RPTELLEV($F$22,$F199)&lt;=5,_xll.TM1RPTELLEV($F$22,$F199),"Default"),"Leaf")</f>
        <v>Leaf</v>
      </c>
      <c r="B199" s="24" t="str">
        <f>_xll.DBRW("TM1-S1_DEV:}ElementAttributes_SP_SKU",$D199,B$1)</f>
        <v>Primary</v>
      </c>
      <c r="C199" s="24" t="str">
        <f>_xll.DBRW("TM1-S1_DEV:}ElementAttributes_SP_SKU",$D199,C$1)</f>
        <v>PAPER</v>
      </c>
      <c r="D199" s="28" t="s">
        <v>183</v>
      </c>
      <c r="E199" s="28" t="s">
        <v>318</v>
      </c>
      <c r="F199" s="28" t="s">
        <v>329</v>
      </c>
      <c r="G199" s="4">
        <f>_xll.DBRW($C$2,$G$19,G$20,$D$18,$D$3,$D199,$E199,$F199,G$3)</f>
        <v>19</v>
      </c>
      <c r="H199" s="54">
        <f t="shared" si="48"/>
        <v>-4</v>
      </c>
      <c r="I199" s="4"/>
      <c r="J199" s="25">
        <f>_xll.DBRW($C$2,$J$1,J$2,$D$18,$D$3,$D199,$E199,$F199,J$3)</f>
        <v>15</v>
      </c>
      <c r="K199" s="39">
        <f>_xll.DBRW($C$2,$J$1,J$2,$D$18,$D$3,$D199,$E199,$F199,K$3)</f>
        <v>0</v>
      </c>
      <c r="L199" s="25">
        <f>_xll.DBRW($C$2,$J$1,J$2,$D$18,$D$3,$D199,$E199,$F199,L$3)</f>
        <v>0</v>
      </c>
      <c r="M199" s="25">
        <f>_xll.DBRW($C$2,$J$1,J$2,$D$18,$D$3,$D199,$E199,$F199,M$3)</f>
        <v>0</v>
      </c>
      <c r="N199" s="25">
        <f>_xll.DBRW($C$2,$J$1,J$2,$D$18,$D$3,$D199,$E199,$F199,N$3)</f>
        <v>1</v>
      </c>
      <c r="O199" s="64">
        <f>_xll.DBRW($C$2,$J$1,J$2,$D$18,$D$3,$D199,$E199,$F199,O$3)</f>
        <v>1</v>
      </c>
      <c r="P199" s="58">
        <f>_xll.DBRW($C$2,$J$1,J$2,$D$18,$D$3,$D199,$E199,$F199,P$3)</f>
        <v>0</v>
      </c>
      <c r="Q199" s="48">
        <f>_xll.DBRW($C$2,$J$1,J$2,$D$18,$D$3,$D199,$E199,$F199,Q$3)</f>
        <v>14</v>
      </c>
      <c r="R199" s="39">
        <f>_xll.DBRW($C$2,$R$1,R$2,$D$18,$D$3,$D199,$E199,$F199,R$3)</f>
        <v>0</v>
      </c>
      <c r="S199" s="25" cm="1">
        <f t="array" ref="S199">_xll.DBRW($E$2,R$1,R$2,$D$18,$D$3,$D199,$E199,$F199,$F$3,S$3)</f>
        <v>0</v>
      </c>
      <c r="T199" s="25">
        <f>_xll.DBRW($C$2,$R$1,R$2,$D$18,$D$3,$D199,$E199,$F199,T$3)</f>
        <v>0</v>
      </c>
      <c r="U199" s="64">
        <f>_xll.DBRW($C$2,$R$1,R$2,$D$18,$D$3,$D199,$E199,$F199,U$3)</f>
        <v>0</v>
      </c>
      <c r="V199" s="58">
        <f>_xll.DBRW($C$2,$R$1,R$2,$D$18,$D$3,$D199,$E199,$F199,V$3)</f>
        <v>0</v>
      </c>
      <c r="W199" s="48">
        <f t="shared" si="49"/>
        <v>14</v>
      </c>
      <c r="X199" s="39">
        <f>_xll.DBRW($C$2,$X$1,X$2,$D$18,$D$3,$D199,$E199,$F199,X$3)</f>
        <v>0</v>
      </c>
      <c r="Y199" s="25" cm="1">
        <f t="array" ref="Y199">_xll.DBRW($E$2,X$1,X$2,$D$18,$D$3,$D199,$E199,$F199,$F$3,Y$3)</f>
        <v>0</v>
      </c>
      <c r="Z199" s="25">
        <f>_xll.DBRW($C$2,$X$1,X$2,$D$18,$D$3,$D199,$E199,$F199,Z$3)</f>
        <v>1</v>
      </c>
      <c r="AA199" s="64">
        <f>_xll.DBRW($C$2,$X$1,X$2,$D$18,$D$3,$D199,$E199,$F199,AA$3)</f>
        <v>0</v>
      </c>
      <c r="AB199" s="58">
        <f>_xll.DBRW($C$2,$X$1,X$2,$D$18,$D$3,$D199,$E199,$F199,AB$3)</f>
        <v>0</v>
      </c>
      <c r="AC199" s="48">
        <f t="shared" si="50"/>
        <v>13</v>
      </c>
      <c r="AD199" s="39">
        <f>_xll.DBRW($C$2,$AD$1,AD$2,$D$18,$D$3,$D199,$E199,$F199,AD$3)</f>
        <v>0</v>
      </c>
      <c r="AE199" s="25" cm="1">
        <f t="array" ref="AE199">_xll.DBRW($E$2,AD$1,AD$2,$D$18,$D$3,$D199,$E199,$F199,$F$3,AE$3)</f>
        <v>0</v>
      </c>
      <c r="AF199" s="25">
        <f>_xll.DBRW($C$2,$AD$1,AD$2,$D$18,$D$3,$D199,$E199,$F199,AF$3)</f>
        <v>1</v>
      </c>
      <c r="AG199" s="64">
        <f>_xll.DBRW($C$2,$AD$1,AD$2,$D$18,$D$3,$D199,$E199,$F199,AG$3)</f>
        <v>1</v>
      </c>
      <c r="AH199" s="58">
        <f>_xll.DBRW($C$2,$AD$1,AD$2,$D$18,$D$3,$D199,$E199,$F199,AH$3)</f>
        <v>0</v>
      </c>
      <c r="AI199" s="48">
        <f t="shared" si="51"/>
        <v>12</v>
      </c>
      <c r="AJ199" s="39">
        <f>_xll.DBRW($C$2,$AJ$1,AJ$2,$D$18,$D$3,$D199,$E199,$F199,AJ$3)</f>
        <v>0</v>
      </c>
      <c r="AK199" s="25" cm="1">
        <f t="array" ref="AK199">_xll.DBRW($E$2,AJ$1,AJ$2,$D$18,$D$3,$D199,$E199,$F199,$F$3,AK$3)</f>
        <v>0</v>
      </c>
      <c r="AL199" s="25">
        <f>_xll.DBRW($C$2,$AJ$1,AJ$2,$D$18,$D$3,$D199,$E199,$F199,AL$3)</f>
        <v>1</v>
      </c>
      <c r="AM199" s="64">
        <f>_xll.DBRW($C$2,$AJ$1,AJ$2,$D$18,$D$3,$D199,$E199,$F199,AM$3)</f>
        <v>0</v>
      </c>
      <c r="AN199" s="58">
        <f>_xll.DBRW($C$2,$AJ$1,AJ$2,$D$18,$D$3,$D199,$E199,$F199,AN$3)</f>
        <v>0</v>
      </c>
      <c r="AO199" s="48">
        <f t="shared" si="52"/>
        <v>11</v>
      </c>
      <c r="AP199" s="39">
        <f>_xll.DBRW($C$2,$AP$1,AP$2,$D$18,$D$3,$D199,$E199,$F199,AP$3)</f>
        <v>0</v>
      </c>
      <c r="AQ199" s="25" cm="1">
        <f t="array" ref="AQ199">_xll.DBRW($E$2,AP$1,AP$2,$D$18,$D$3,$D199,$E199,$F199,$F$3,AQ$3)</f>
        <v>0</v>
      </c>
      <c r="AR199" s="25">
        <f>_xll.DBRW($C$2,$AP$1,AP$2,$D$18,$D$3,$D199,$E199,$F199,AR$3)</f>
        <v>1</v>
      </c>
      <c r="AS199" s="64">
        <f>_xll.DBRW($C$2,$AP$1,AP$2,$D$18,$D$3,$D199,$E199,$F199,AS$3)</f>
        <v>0</v>
      </c>
      <c r="AT199" s="58">
        <f>_xll.DBRW($C$2,$AP$1,AP$2,$D$18,$D$3,$D199,$E199,$F199,AT$3)</f>
        <v>0</v>
      </c>
      <c r="AU199" s="48">
        <f t="shared" si="53"/>
        <v>10</v>
      </c>
      <c r="AV199" s="39">
        <f>_xll.DBRW($C$2,$AV$1,AV$2,$D$18,$D$3,$D199,$E199,$F199,AV$3)</f>
        <v>0</v>
      </c>
      <c r="AW199" s="25" cm="1">
        <f t="array" ref="AW199">_xll.DBRW($E$2,AV$1,AV$2,$D$18,$D$3,$D199,$E199,$F199,$F$3,AW$3)</f>
        <v>0</v>
      </c>
      <c r="AX199" s="25">
        <f>_xll.DBRW($C$2,$AV$1,AV$2,$D$18,$D$3,$D199,$E199,$F199,AX$3)</f>
        <v>1</v>
      </c>
      <c r="AY199" s="64">
        <f>_xll.DBRW($C$2,$AV$1,AV$2,$D$18,$D$3,$D199,$E199,$F199,AY$3)</f>
        <v>0</v>
      </c>
      <c r="AZ199" s="58">
        <f>_xll.DBRW($C$2,$AV$1,AV$2,$D$18,$D$3,$D199,$E199,$F199,AZ$3)</f>
        <v>0</v>
      </c>
      <c r="BA199" s="48">
        <f t="shared" si="54"/>
        <v>9</v>
      </c>
      <c r="BB199" s="39">
        <f>_xll.DBRW($C$2,$BB$1,BB$2,$D$18,$D$3,$D199,$E199,$F199,BB$3)</f>
        <v>0</v>
      </c>
      <c r="BC199" s="25" cm="1">
        <f t="array" ref="BC199">_xll.DBRW($E$2,BB$1,BB$2,$D$18,$D$3,$D199,$E199,$F199,$F$3,BC$3)</f>
        <v>0</v>
      </c>
      <c r="BD199" s="25">
        <f>_xll.DBRW($C$2,$BB$1,BB$2,$D$18,$D$3,$D199,$E199,$F199,BD$3)</f>
        <v>1</v>
      </c>
      <c r="BE199" s="64">
        <f>_xll.DBRW($C$2,$BB$1,BB$2,$D$18,$D$3,$D199,$E199,$F199,BE$3)</f>
        <v>0</v>
      </c>
      <c r="BF199" s="58">
        <f>_xll.DBRW($C$2,$BB$1,BB$2,$D$18,$D$3,$D199,$E199,$F199,BF$3)</f>
        <v>0</v>
      </c>
      <c r="BG199" s="48">
        <f t="shared" si="55"/>
        <v>8</v>
      </c>
      <c r="BH199" s="39">
        <f>_xll.DBRW($C$2,$BH$1,BH$2,$D$18,$D$3,$D199,$E199,$F199,BH$3)</f>
        <v>0</v>
      </c>
      <c r="BI199" s="25" cm="1">
        <f t="array" ref="BI199">_xll.DBRW($E$2,BH$1,BH$2,$D$18,$D$3,$D199,$E199,$F199,$F$3,BI$3)</f>
        <v>0</v>
      </c>
      <c r="BJ199" s="25">
        <f>_xll.DBRW($C$2,$BH$1,BH$2,$D$18,$D$3,$D199,$E199,$F199,BJ$3)</f>
        <v>1</v>
      </c>
      <c r="BK199" s="64">
        <f>_xll.DBRW($C$2,$BH$1,BH$2,$D$18,$D$3,$D199,$E199,$F199,BK$3)</f>
        <v>0</v>
      </c>
      <c r="BL199" s="58">
        <f>_xll.DBRW($C$2,$BH$1,BH$2,$D$18,$D$3,$D199,$E199,$F199,BL$3)</f>
        <v>0</v>
      </c>
      <c r="BM199" s="48">
        <f t="shared" si="56"/>
        <v>7</v>
      </c>
      <c r="BN199" s="39">
        <f>_xll.DBRW($C$2,$BN$1,BN$2,$D$18,$D$3,$D199,$E199,$F199,BN$3)</f>
        <v>0</v>
      </c>
      <c r="BO199" s="25" cm="1">
        <f t="array" ref="BO199">_xll.DBRW($E$2,BN$1,BN$2,$D$18,$D$3,$D199,$E199,$F199,$F$3,BO$3)</f>
        <v>0</v>
      </c>
      <c r="BP199" s="25">
        <f>_xll.DBRW($C$2,$BN$1,BN$2,$D$18,$D$3,$D199,$E199,$F199,BP$3)</f>
        <v>1</v>
      </c>
      <c r="BQ199" s="64">
        <f>_xll.DBRW($C$2,$BN$1,BN$2,$D$18,$D$3,$D199,$E199,$F199,BQ$3)</f>
        <v>0</v>
      </c>
      <c r="BR199" s="58">
        <f>_xll.DBRW($C$2,$BN$1,BN$2,$D$18,$D$3,$D199,$E199,$F199,BR$3)</f>
        <v>0</v>
      </c>
      <c r="BS199" s="48">
        <f t="shared" si="57"/>
        <v>6</v>
      </c>
      <c r="BT199" s="39">
        <f>_xll.DBRW($C$2,$BT$1,BT$2,$D$18,$D$3,$D199,$E199,$F199,BT$3)</f>
        <v>0</v>
      </c>
      <c r="BU199" s="25" cm="1">
        <f t="array" ref="BU199">_xll.DBRW($E$2,BT$1,BT$2,$D$18,$D$3,$D199,$E199,$F199,$F$3,BU$3)</f>
        <v>0</v>
      </c>
      <c r="BV199" s="25">
        <f>_xll.DBRW($C$2,$BT$1,BT$2,$D$18,$D$3,$D199,$E199,$F199,BV$3)</f>
        <v>1</v>
      </c>
      <c r="BW199" s="64">
        <f>_xll.DBRW($C$2,$BT$1,BT$2,$D$18,$D$3,$D199,$E199,$F199,BW$3)</f>
        <v>0</v>
      </c>
      <c r="BX199" s="58">
        <f>_xll.DBRW($C$2,$BT$1,BT$2,$D$18,$D$3,$D199,$E199,$F199,BX$3)</f>
        <v>0</v>
      </c>
      <c r="BY199" s="48">
        <f t="shared" si="58"/>
        <v>5</v>
      </c>
      <c r="BZ199" s="39">
        <f>_xll.DBRW($C$2,$BZ$1,BZ$2,$D$18,$D$3,$D199,$E199,$F199,BZ$3)</f>
        <v>0</v>
      </c>
      <c r="CA199" s="25" cm="1">
        <f t="array" ref="CA199">_xll.DBRW($E$2,BZ$1,BZ$2,$D$18,$D$3,$D199,$E199,$F199,$F$3,CA$3)</f>
        <v>0</v>
      </c>
      <c r="CB199" s="25">
        <f>_xll.DBRW($C$2,$BZ$1,BZ$2,$D$18,$D$3,$D199,$E199,$F199,CB$3)</f>
        <v>1</v>
      </c>
      <c r="CC199" s="64">
        <f>_xll.DBRW($C$2,$BZ$1,BZ$2,$D$18,$D$3,$D199,$E199,$F199,CC$3)</f>
        <v>0</v>
      </c>
      <c r="CD199" s="58">
        <f>_xll.DBRW($C$2,$BZ$1,BZ$2,$D$18,$D$3,$D199,$E199,$F199,CD$3)</f>
        <v>0</v>
      </c>
      <c r="CE199" s="48">
        <f t="shared" si="59"/>
        <v>4</v>
      </c>
    </row>
    <row r="200" spans="1:83" s="23" customFormat="1" outlineLevel="1" thickBot="1" x14ac:dyDescent="0.3">
      <c r="A200" s="91" t="str">
        <f>IF(_xll.TM1RPTELISCONSOLIDATED($F$22,$F200),IF(_xll.TM1RPTELLEV($F$22,$F200)&lt;=5,_xll.TM1RPTELLEV($F$22,$F200),"Default"),"Leaf")</f>
        <v>Leaf</v>
      </c>
      <c r="B200" s="24" t="str">
        <f>_xll.DBRW("TM1-S1_DEV:}ElementAttributes_SP_SKU",$D200,B$1)</f>
        <v>Primary</v>
      </c>
      <c r="C200" s="24" t="str">
        <f>_xll.DBRW("TM1-S1_DEV:}ElementAttributes_SP_SKU",$D200,C$1)</f>
        <v>FOIL</v>
      </c>
      <c r="D200" s="28" t="s">
        <v>184</v>
      </c>
      <c r="E200" s="28" t="s">
        <v>319</v>
      </c>
      <c r="F200" s="28" t="s">
        <v>332</v>
      </c>
      <c r="G200" s="4">
        <f>_xll.DBRW($C$2,$G$19,G$20,$D$18,$D$3,$D200,$E200,$F200,G$3)</f>
        <v>1</v>
      </c>
      <c r="H200" s="54">
        <f t="shared" si="48"/>
        <v>0</v>
      </c>
      <c r="I200" s="4"/>
      <c r="J200" s="25">
        <f>_xll.DBRW($C$2,$J$1,J$2,$D$18,$D$3,$D200,$E200,$F200,J$3)</f>
        <v>1</v>
      </c>
      <c r="K200" s="39">
        <f>_xll.DBRW($C$2,$J$1,J$2,$D$18,$D$3,$D200,$E200,$F200,K$3)</f>
        <v>0</v>
      </c>
      <c r="L200" s="25">
        <f>_xll.DBRW($C$2,$J$1,J$2,$D$18,$D$3,$D200,$E200,$F200,L$3)</f>
        <v>0</v>
      </c>
      <c r="M200" s="25">
        <f>_xll.DBRW($C$2,$J$1,J$2,$D$18,$D$3,$D200,$E200,$F200,M$3)</f>
        <v>0</v>
      </c>
      <c r="N200" s="25">
        <f>_xll.DBRW($C$2,$J$1,J$2,$D$18,$D$3,$D200,$E200,$F200,N$3)</f>
        <v>0</v>
      </c>
      <c r="O200" s="64">
        <f>_xll.DBRW($C$2,$J$1,J$2,$D$18,$D$3,$D200,$E200,$F200,O$3)</f>
        <v>0</v>
      </c>
      <c r="P200" s="58">
        <f>_xll.DBRW($C$2,$J$1,J$2,$D$18,$D$3,$D200,$E200,$F200,P$3)</f>
        <v>0</v>
      </c>
      <c r="Q200" s="48">
        <f>_xll.DBRW($C$2,$J$1,J$2,$D$18,$D$3,$D200,$E200,$F200,Q$3)</f>
        <v>1</v>
      </c>
      <c r="R200" s="39">
        <f>_xll.DBRW($C$2,$R$1,R$2,$D$18,$D$3,$D200,$E200,$F200,R$3)</f>
        <v>0</v>
      </c>
      <c r="S200" s="25" cm="1">
        <f t="array" ref="S200">_xll.DBRW($E$2,R$1,R$2,$D$18,$D$3,$D200,$E200,$F200,$F$3,S$3)</f>
        <v>0</v>
      </c>
      <c r="T200" s="25">
        <f>_xll.DBRW($C$2,$R$1,R$2,$D$18,$D$3,$D200,$E200,$F200,T$3)</f>
        <v>0</v>
      </c>
      <c r="U200" s="64">
        <f>_xll.DBRW($C$2,$R$1,R$2,$D$18,$D$3,$D200,$E200,$F200,U$3)</f>
        <v>0</v>
      </c>
      <c r="V200" s="58">
        <f>_xll.DBRW($C$2,$R$1,R$2,$D$18,$D$3,$D200,$E200,$F200,V$3)</f>
        <v>0</v>
      </c>
      <c r="W200" s="48">
        <f t="shared" si="49"/>
        <v>1</v>
      </c>
      <c r="X200" s="39">
        <f>_xll.DBRW($C$2,$X$1,X$2,$D$18,$D$3,$D200,$E200,$F200,X$3)</f>
        <v>0</v>
      </c>
      <c r="Y200" s="25" cm="1">
        <f t="array" ref="Y200">_xll.DBRW($E$2,X$1,X$2,$D$18,$D$3,$D200,$E200,$F200,$F$3,Y$3)</f>
        <v>0</v>
      </c>
      <c r="Z200" s="25">
        <f>_xll.DBRW($C$2,$X$1,X$2,$D$18,$D$3,$D200,$E200,$F200,Z$3)</f>
        <v>0</v>
      </c>
      <c r="AA200" s="64">
        <f>_xll.DBRW($C$2,$X$1,X$2,$D$18,$D$3,$D200,$E200,$F200,AA$3)</f>
        <v>0</v>
      </c>
      <c r="AB200" s="58">
        <f>_xll.DBRW($C$2,$X$1,X$2,$D$18,$D$3,$D200,$E200,$F200,AB$3)</f>
        <v>0</v>
      </c>
      <c r="AC200" s="48">
        <f t="shared" si="50"/>
        <v>1</v>
      </c>
      <c r="AD200" s="39">
        <f>_xll.DBRW($C$2,$AD$1,AD$2,$D$18,$D$3,$D200,$E200,$F200,AD$3)</f>
        <v>0</v>
      </c>
      <c r="AE200" s="25" cm="1">
        <f t="array" ref="AE200">_xll.DBRW($E$2,AD$1,AD$2,$D$18,$D$3,$D200,$E200,$F200,$F$3,AE$3)</f>
        <v>0</v>
      </c>
      <c r="AF200" s="25">
        <f>_xll.DBRW($C$2,$AD$1,AD$2,$D$18,$D$3,$D200,$E200,$F200,AF$3)</f>
        <v>0</v>
      </c>
      <c r="AG200" s="64">
        <f>_xll.DBRW($C$2,$AD$1,AD$2,$D$18,$D$3,$D200,$E200,$F200,AG$3)</f>
        <v>0</v>
      </c>
      <c r="AH200" s="58">
        <f>_xll.DBRW($C$2,$AD$1,AD$2,$D$18,$D$3,$D200,$E200,$F200,AH$3)</f>
        <v>0</v>
      </c>
      <c r="AI200" s="48">
        <f t="shared" si="51"/>
        <v>1</v>
      </c>
      <c r="AJ200" s="39">
        <f>_xll.DBRW($C$2,$AJ$1,AJ$2,$D$18,$D$3,$D200,$E200,$F200,AJ$3)</f>
        <v>0</v>
      </c>
      <c r="AK200" s="25" cm="1">
        <f t="array" ref="AK200">_xll.DBRW($E$2,AJ$1,AJ$2,$D$18,$D$3,$D200,$E200,$F200,$F$3,AK$3)</f>
        <v>0</v>
      </c>
      <c r="AL200" s="25">
        <f>_xll.DBRW($C$2,$AJ$1,AJ$2,$D$18,$D$3,$D200,$E200,$F200,AL$3)</f>
        <v>0</v>
      </c>
      <c r="AM200" s="64">
        <f>_xll.DBRW($C$2,$AJ$1,AJ$2,$D$18,$D$3,$D200,$E200,$F200,AM$3)</f>
        <v>0</v>
      </c>
      <c r="AN200" s="58">
        <f>_xll.DBRW($C$2,$AJ$1,AJ$2,$D$18,$D$3,$D200,$E200,$F200,AN$3)</f>
        <v>0</v>
      </c>
      <c r="AO200" s="48">
        <f t="shared" si="52"/>
        <v>1</v>
      </c>
      <c r="AP200" s="39">
        <f>_xll.DBRW($C$2,$AP$1,AP$2,$D$18,$D$3,$D200,$E200,$F200,AP$3)</f>
        <v>0</v>
      </c>
      <c r="AQ200" s="25" cm="1">
        <f t="array" ref="AQ200">_xll.DBRW($E$2,AP$1,AP$2,$D$18,$D$3,$D200,$E200,$F200,$F$3,AQ$3)</f>
        <v>0</v>
      </c>
      <c r="AR200" s="25">
        <f>_xll.DBRW($C$2,$AP$1,AP$2,$D$18,$D$3,$D200,$E200,$F200,AR$3)</f>
        <v>0</v>
      </c>
      <c r="AS200" s="64">
        <f>_xll.DBRW($C$2,$AP$1,AP$2,$D$18,$D$3,$D200,$E200,$F200,AS$3)</f>
        <v>0</v>
      </c>
      <c r="AT200" s="58">
        <f>_xll.DBRW($C$2,$AP$1,AP$2,$D$18,$D$3,$D200,$E200,$F200,AT$3)</f>
        <v>0</v>
      </c>
      <c r="AU200" s="48">
        <f t="shared" si="53"/>
        <v>1</v>
      </c>
      <c r="AV200" s="39">
        <f>_xll.DBRW($C$2,$AV$1,AV$2,$D$18,$D$3,$D200,$E200,$F200,AV$3)</f>
        <v>0</v>
      </c>
      <c r="AW200" s="25" cm="1">
        <f t="array" ref="AW200">_xll.DBRW($E$2,AV$1,AV$2,$D$18,$D$3,$D200,$E200,$F200,$F$3,AW$3)</f>
        <v>0</v>
      </c>
      <c r="AX200" s="25">
        <f>_xll.DBRW($C$2,$AV$1,AV$2,$D$18,$D$3,$D200,$E200,$F200,AX$3)</f>
        <v>0</v>
      </c>
      <c r="AY200" s="64">
        <f>_xll.DBRW($C$2,$AV$1,AV$2,$D$18,$D$3,$D200,$E200,$F200,AY$3)</f>
        <v>0</v>
      </c>
      <c r="AZ200" s="58">
        <f>_xll.DBRW($C$2,$AV$1,AV$2,$D$18,$D$3,$D200,$E200,$F200,AZ$3)</f>
        <v>0</v>
      </c>
      <c r="BA200" s="48">
        <f t="shared" si="54"/>
        <v>1</v>
      </c>
      <c r="BB200" s="39">
        <f>_xll.DBRW($C$2,$BB$1,BB$2,$D$18,$D$3,$D200,$E200,$F200,BB$3)</f>
        <v>0</v>
      </c>
      <c r="BC200" s="25" cm="1">
        <f t="array" ref="BC200">_xll.DBRW($E$2,BB$1,BB$2,$D$18,$D$3,$D200,$E200,$F200,$F$3,BC$3)</f>
        <v>0</v>
      </c>
      <c r="BD200" s="25">
        <f>_xll.DBRW($C$2,$BB$1,BB$2,$D$18,$D$3,$D200,$E200,$F200,BD$3)</f>
        <v>0</v>
      </c>
      <c r="BE200" s="64">
        <f>_xll.DBRW($C$2,$BB$1,BB$2,$D$18,$D$3,$D200,$E200,$F200,BE$3)</f>
        <v>0</v>
      </c>
      <c r="BF200" s="58">
        <f>_xll.DBRW($C$2,$BB$1,BB$2,$D$18,$D$3,$D200,$E200,$F200,BF$3)</f>
        <v>0</v>
      </c>
      <c r="BG200" s="48">
        <f t="shared" si="55"/>
        <v>1</v>
      </c>
      <c r="BH200" s="39">
        <f>_xll.DBRW($C$2,$BH$1,BH$2,$D$18,$D$3,$D200,$E200,$F200,BH$3)</f>
        <v>0</v>
      </c>
      <c r="BI200" s="25" cm="1">
        <f t="array" ref="BI200">_xll.DBRW($E$2,BH$1,BH$2,$D$18,$D$3,$D200,$E200,$F200,$F$3,BI$3)</f>
        <v>0</v>
      </c>
      <c r="BJ200" s="25">
        <f>_xll.DBRW($C$2,$BH$1,BH$2,$D$18,$D$3,$D200,$E200,$F200,BJ$3)</f>
        <v>0</v>
      </c>
      <c r="BK200" s="64">
        <f>_xll.DBRW($C$2,$BH$1,BH$2,$D$18,$D$3,$D200,$E200,$F200,BK$3)</f>
        <v>0</v>
      </c>
      <c r="BL200" s="58">
        <f>_xll.DBRW($C$2,$BH$1,BH$2,$D$18,$D$3,$D200,$E200,$F200,BL$3)</f>
        <v>0</v>
      </c>
      <c r="BM200" s="48">
        <f t="shared" si="56"/>
        <v>1</v>
      </c>
      <c r="BN200" s="39">
        <f>_xll.DBRW($C$2,$BN$1,BN$2,$D$18,$D$3,$D200,$E200,$F200,BN$3)</f>
        <v>0</v>
      </c>
      <c r="BO200" s="25" cm="1">
        <f t="array" ref="BO200">_xll.DBRW($E$2,BN$1,BN$2,$D$18,$D$3,$D200,$E200,$F200,$F$3,BO$3)</f>
        <v>0</v>
      </c>
      <c r="BP200" s="25">
        <f>_xll.DBRW($C$2,$BN$1,BN$2,$D$18,$D$3,$D200,$E200,$F200,BP$3)</f>
        <v>0</v>
      </c>
      <c r="BQ200" s="64">
        <f>_xll.DBRW($C$2,$BN$1,BN$2,$D$18,$D$3,$D200,$E200,$F200,BQ$3)</f>
        <v>0</v>
      </c>
      <c r="BR200" s="58">
        <f>_xll.DBRW($C$2,$BN$1,BN$2,$D$18,$D$3,$D200,$E200,$F200,BR$3)</f>
        <v>0</v>
      </c>
      <c r="BS200" s="48">
        <f t="shared" si="57"/>
        <v>1</v>
      </c>
      <c r="BT200" s="39">
        <f>_xll.DBRW($C$2,$BT$1,BT$2,$D$18,$D$3,$D200,$E200,$F200,BT$3)</f>
        <v>0</v>
      </c>
      <c r="BU200" s="25" cm="1">
        <f t="array" ref="BU200">_xll.DBRW($E$2,BT$1,BT$2,$D$18,$D$3,$D200,$E200,$F200,$F$3,BU$3)</f>
        <v>0</v>
      </c>
      <c r="BV200" s="25">
        <f>_xll.DBRW($C$2,$BT$1,BT$2,$D$18,$D$3,$D200,$E200,$F200,BV$3)</f>
        <v>0</v>
      </c>
      <c r="BW200" s="64">
        <f>_xll.DBRW($C$2,$BT$1,BT$2,$D$18,$D$3,$D200,$E200,$F200,BW$3)</f>
        <v>0</v>
      </c>
      <c r="BX200" s="58">
        <f>_xll.DBRW($C$2,$BT$1,BT$2,$D$18,$D$3,$D200,$E200,$F200,BX$3)</f>
        <v>0</v>
      </c>
      <c r="BY200" s="48">
        <f t="shared" si="58"/>
        <v>1</v>
      </c>
      <c r="BZ200" s="39">
        <f>_xll.DBRW($C$2,$BZ$1,BZ$2,$D$18,$D$3,$D200,$E200,$F200,BZ$3)</f>
        <v>0</v>
      </c>
      <c r="CA200" s="25" cm="1">
        <f t="array" ref="CA200">_xll.DBRW($E$2,BZ$1,BZ$2,$D$18,$D$3,$D200,$E200,$F200,$F$3,CA$3)</f>
        <v>0</v>
      </c>
      <c r="CB200" s="25">
        <f>_xll.DBRW($C$2,$BZ$1,BZ$2,$D$18,$D$3,$D200,$E200,$F200,CB$3)</f>
        <v>0</v>
      </c>
      <c r="CC200" s="64">
        <f>_xll.DBRW($C$2,$BZ$1,BZ$2,$D$18,$D$3,$D200,$E200,$F200,CC$3)</f>
        <v>0</v>
      </c>
      <c r="CD200" s="58">
        <f>_xll.DBRW($C$2,$BZ$1,BZ$2,$D$18,$D$3,$D200,$E200,$F200,CD$3)</f>
        <v>0</v>
      </c>
      <c r="CE200" s="48">
        <f t="shared" si="59"/>
        <v>1</v>
      </c>
    </row>
    <row r="201" spans="1:83" s="23" customFormat="1" outlineLevel="1" thickBot="1" x14ac:dyDescent="0.3">
      <c r="A201" s="91" t="str">
        <f>IF(_xll.TM1RPTELISCONSOLIDATED($F$22,$F201),IF(_xll.TM1RPTELLEV($F$22,$F201)&lt;=5,_xll.TM1RPTELLEV($F$22,$F201),"Default"),"Leaf")</f>
        <v>Leaf</v>
      </c>
      <c r="B201" s="24" t="str">
        <f>_xll.DBRW("TM1-S1_DEV:}ElementAttributes_SP_SKU",$D201,B$1)</f>
        <v>Primary</v>
      </c>
      <c r="C201" s="24" t="str">
        <f>_xll.DBRW("TM1-S1_DEV:}ElementAttributes_SP_SKU",$D201,C$1)</f>
        <v>INGREDIENT</v>
      </c>
      <c r="D201" s="28" t="s">
        <v>453</v>
      </c>
      <c r="E201" s="28" t="s">
        <v>320</v>
      </c>
      <c r="F201" s="28" t="s">
        <v>34</v>
      </c>
      <c r="G201" s="4">
        <f>_xll.DBRW($C$2,$G$19,G$20,$D$18,$D$3,$D201,$E201,$F201,G$3)</f>
        <v>54</v>
      </c>
      <c r="H201" s="54">
        <f t="shared" si="48"/>
        <v>-16</v>
      </c>
      <c r="I201" s="4"/>
      <c r="J201" s="25">
        <f>_xll.DBRW($C$2,$J$1,J$2,$D$18,$D$3,$D201,$E201,$F201,J$3)</f>
        <v>38</v>
      </c>
      <c r="K201" s="39">
        <f>_xll.DBRW($C$2,$J$1,J$2,$D$18,$D$3,$D201,$E201,$F201,K$3)</f>
        <v>0</v>
      </c>
      <c r="L201" s="25">
        <f>_xll.DBRW($C$2,$J$1,J$2,$D$18,$D$3,$D201,$E201,$F201,L$3)</f>
        <v>0</v>
      </c>
      <c r="M201" s="25">
        <f>_xll.DBRW($C$2,$J$1,J$2,$D$18,$D$3,$D201,$E201,$F201,M$3)</f>
        <v>0</v>
      </c>
      <c r="N201" s="25">
        <f>_xll.DBRW($C$2,$J$1,J$2,$D$18,$D$3,$D201,$E201,$F201,N$3)</f>
        <v>34</v>
      </c>
      <c r="O201" s="64">
        <f>_xll.DBRW($C$2,$J$1,J$2,$D$18,$D$3,$D201,$E201,$F201,O$3)</f>
        <v>1</v>
      </c>
      <c r="P201" s="58">
        <f>_xll.DBRW($C$2,$J$1,J$2,$D$18,$D$3,$D201,$E201,$F201,P$3)</f>
        <v>0</v>
      </c>
      <c r="Q201" s="48">
        <f>_xll.DBRW($C$2,$J$1,J$2,$D$18,$D$3,$D201,$E201,$F201,Q$3)</f>
        <v>4</v>
      </c>
      <c r="R201" s="39">
        <f>_xll.DBRW($C$2,$R$1,R$2,$D$18,$D$3,$D201,$E201,$F201,R$3)</f>
        <v>0</v>
      </c>
      <c r="S201" s="25" cm="1">
        <f t="array" ref="S201">_xll.DBRW($E$2,R$1,R$2,$D$18,$D$3,$D201,$E201,$F201,$F$3,S$3)</f>
        <v>0</v>
      </c>
      <c r="T201" s="25">
        <f>_xll.DBRW($C$2,$R$1,R$2,$D$18,$D$3,$D201,$E201,$F201,T$3)</f>
        <v>0</v>
      </c>
      <c r="U201" s="64">
        <f>_xll.DBRW($C$2,$R$1,R$2,$D$18,$D$3,$D201,$E201,$F201,U$3)</f>
        <v>0</v>
      </c>
      <c r="V201" s="58">
        <f>_xll.DBRW($C$2,$R$1,R$2,$D$18,$D$3,$D201,$E201,$F201,V$3)</f>
        <v>0</v>
      </c>
      <c r="W201" s="48">
        <f t="shared" si="49"/>
        <v>4</v>
      </c>
      <c r="X201" s="39">
        <f>_xll.DBRW($C$2,$X$1,X$2,$D$18,$D$3,$D201,$E201,$F201,X$3)</f>
        <v>0</v>
      </c>
      <c r="Y201" s="25" cm="1">
        <f t="array" ref="Y201">_xll.DBRW($E$2,X$1,X$2,$D$18,$D$3,$D201,$E201,$F201,$F$3,Y$3)</f>
        <v>0</v>
      </c>
      <c r="Z201" s="25">
        <f>_xll.DBRW($C$2,$X$1,X$2,$D$18,$D$3,$D201,$E201,$F201,Z$3)</f>
        <v>1</v>
      </c>
      <c r="AA201" s="64">
        <f>_xll.DBRW($C$2,$X$1,X$2,$D$18,$D$3,$D201,$E201,$F201,AA$3)</f>
        <v>0</v>
      </c>
      <c r="AB201" s="58">
        <f>_xll.DBRW($C$2,$X$1,X$2,$D$18,$D$3,$D201,$E201,$F201,AB$3)</f>
        <v>0</v>
      </c>
      <c r="AC201" s="48">
        <f t="shared" si="50"/>
        <v>3</v>
      </c>
      <c r="AD201" s="39">
        <f>_xll.DBRW($C$2,$AD$1,AD$2,$D$18,$D$3,$D201,$E201,$F201,AD$3)</f>
        <v>0</v>
      </c>
      <c r="AE201" s="25" cm="1">
        <f t="array" ref="AE201">_xll.DBRW($E$2,AD$1,AD$2,$D$18,$D$3,$D201,$E201,$F201,$F$3,AE$3)</f>
        <v>0</v>
      </c>
      <c r="AF201" s="25">
        <f>_xll.DBRW($C$2,$AD$1,AD$2,$D$18,$D$3,$D201,$E201,$F201,AF$3)</f>
        <v>1</v>
      </c>
      <c r="AG201" s="64">
        <f>_xll.DBRW($C$2,$AD$1,AD$2,$D$18,$D$3,$D201,$E201,$F201,AG$3)</f>
        <v>0</v>
      </c>
      <c r="AH201" s="58">
        <f>_xll.DBRW($C$2,$AD$1,AD$2,$D$18,$D$3,$D201,$E201,$F201,AH$3)</f>
        <v>0</v>
      </c>
      <c r="AI201" s="48">
        <f t="shared" si="51"/>
        <v>2</v>
      </c>
      <c r="AJ201" s="39">
        <f>_xll.DBRW($C$2,$AJ$1,AJ$2,$D$18,$D$3,$D201,$E201,$F201,AJ$3)</f>
        <v>0</v>
      </c>
      <c r="AK201" s="25" cm="1">
        <f t="array" ref="AK201">_xll.DBRW($E$2,AJ$1,AJ$2,$D$18,$D$3,$D201,$E201,$F201,$F$3,AK$3)</f>
        <v>0</v>
      </c>
      <c r="AL201" s="25">
        <f>_xll.DBRW($C$2,$AJ$1,AJ$2,$D$18,$D$3,$D201,$E201,$F201,AL$3)</f>
        <v>1</v>
      </c>
      <c r="AM201" s="64">
        <f>_xll.DBRW($C$2,$AJ$1,AJ$2,$D$18,$D$3,$D201,$E201,$F201,AM$3)</f>
        <v>0</v>
      </c>
      <c r="AN201" s="58">
        <f>_xll.DBRW($C$2,$AJ$1,AJ$2,$D$18,$D$3,$D201,$E201,$F201,AN$3)</f>
        <v>0</v>
      </c>
      <c r="AO201" s="48">
        <f t="shared" si="52"/>
        <v>1</v>
      </c>
      <c r="AP201" s="39">
        <f>_xll.DBRW($C$2,$AP$1,AP$2,$D$18,$D$3,$D201,$E201,$F201,AP$3)</f>
        <v>0</v>
      </c>
      <c r="AQ201" s="25" cm="1">
        <f t="array" ref="AQ201">_xll.DBRW($E$2,AP$1,AP$2,$D$18,$D$3,$D201,$E201,$F201,$F$3,AQ$3)</f>
        <v>0</v>
      </c>
      <c r="AR201" s="25">
        <f>_xll.DBRW($C$2,$AP$1,AP$2,$D$18,$D$3,$D201,$E201,$F201,AR$3)</f>
        <v>1</v>
      </c>
      <c r="AS201" s="64">
        <f>_xll.DBRW($C$2,$AP$1,AP$2,$D$18,$D$3,$D201,$E201,$F201,AS$3)</f>
        <v>0</v>
      </c>
      <c r="AT201" s="58">
        <f>_xll.DBRW($C$2,$AP$1,AP$2,$D$18,$D$3,$D201,$E201,$F201,AT$3)</f>
        <v>0</v>
      </c>
      <c r="AU201" s="48">
        <f t="shared" si="53"/>
        <v>0</v>
      </c>
      <c r="AV201" s="39">
        <f>_xll.DBRW($C$2,$AV$1,AV$2,$D$18,$D$3,$D201,$E201,$F201,AV$3)</f>
        <v>0</v>
      </c>
      <c r="AW201" s="25" cm="1">
        <f t="array" ref="AW201">_xll.DBRW($E$2,AV$1,AV$2,$D$18,$D$3,$D201,$E201,$F201,$F$3,AW$3)</f>
        <v>0</v>
      </c>
      <c r="AX201" s="25">
        <f>_xll.DBRW($C$2,$AV$1,AV$2,$D$18,$D$3,$D201,$E201,$F201,AX$3)</f>
        <v>1</v>
      </c>
      <c r="AY201" s="64">
        <f>_xll.DBRW($C$2,$AV$1,AV$2,$D$18,$D$3,$D201,$E201,$F201,AY$3)</f>
        <v>0</v>
      </c>
      <c r="AZ201" s="58">
        <f>_xll.DBRW($C$2,$AV$1,AV$2,$D$18,$D$3,$D201,$E201,$F201,AZ$3)</f>
        <v>0</v>
      </c>
      <c r="BA201" s="48">
        <f t="shared" si="54"/>
        <v>-1</v>
      </c>
      <c r="BB201" s="39">
        <f>_xll.DBRW($C$2,$BB$1,BB$2,$D$18,$D$3,$D201,$E201,$F201,BB$3)</f>
        <v>0</v>
      </c>
      <c r="BC201" s="25" cm="1">
        <f t="array" ref="BC201">_xll.DBRW($E$2,BB$1,BB$2,$D$18,$D$3,$D201,$E201,$F201,$F$3,BC$3)</f>
        <v>0</v>
      </c>
      <c r="BD201" s="25">
        <f>_xll.DBRW($C$2,$BB$1,BB$2,$D$18,$D$3,$D201,$E201,$F201,BD$3)</f>
        <v>1</v>
      </c>
      <c r="BE201" s="64">
        <f>_xll.DBRW($C$2,$BB$1,BB$2,$D$18,$D$3,$D201,$E201,$F201,BE$3)</f>
        <v>0</v>
      </c>
      <c r="BF201" s="58">
        <f>_xll.DBRW($C$2,$BB$1,BB$2,$D$18,$D$3,$D201,$E201,$F201,BF$3)</f>
        <v>0</v>
      </c>
      <c r="BG201" s="48">
        <f t="shared" si="55"/>
        <v>-2</v>
      </c>
      <c r="BH201" s="39">
        <f>_xll.DBRW($C$2,$BH$1,BH$2,$D$18,$D$3,$D201,$E201,$F201,BH$3)</f>
        <v>0</v>
      </c>
      <c r="BI201" s="25" cm="1">
        <f t="array" ref="BI201">_xll.DBRW($E$2,BH$1,BH$2,$D$18,$D$3,$D201,$E201,$F201,$F$3,BI$3)</f>
        <v>0</v>
      </c>
      <c r="BJ201" s="25">
        <f>_xll.DBRW($C$2,$BH$1,BH$2,$D$18,$D$3,$D201,$E201,$F201,BJ$3)</f>
        <v>1</v>
      </c>
      <c r="BK201" s="64">
        <f>_xll.DBRW($C$2,$BH$1,BH$2,$D$18,$D$3,$D201,$E201,$F201,BK$3)</f>
        <v>0</v>
      </c>
      <c r="BL201" s="58">
        <f>_xll.DBRW($C$2,$BH$1,BH$2,$D$18,$D$3,$D201,$E201,$F201,BL$3)</f>
        <v>0</v>
      </c>
      <c r="BM201" s="48">
        <f t="shared" si="56"/>
        <v>-3</v>
      </c>
      <c r="BN201" s="39">
        <f>_xll.DBRW($C$2,$BN$1,BN$2,$D$18,$D$3,$D201,$E201,$F201,BN$3)</f>
        <v>0</v>
      </c>
      <c r="BO201" s="25" cm="1">
        <f t="array" ref="BO201">_xll.DBRW($E$2,BN$1,BN$2,$D$18,$D$3,$D201,$E201,$F201,$F$3,BO$3)</f>
        <v>0</v>
      </c>
      <c r="BP201" s="25">
        <f>_xll.DBRW($C$2,$BN$1,BN$2,$D$18,$D$3,$D201,$E201,$F201,BP$3)</f>
        <v>1</v>
      </c>
      <c r="BQ201" s="64">
        <f>_xll.DBRW($C$2,$BN$1,BN$2,$D$18,$D$3,$D201,$E201,$F201,BQ$3)</f>
        <v>0</v>
      </c>
      <c r="BR201" s="58">
        <f>_xll.DBRW($C$2,$BN$1,BN$2,$D$18,$D$3,$D201,$E201,$F201,BR$3)</f>
        <v>0</v>
      </c>
      <c r="BS201" s="48">
        <f t="shared" si="57"/>
        <v>-4</v>
      </c>
      <c r="BT201" s="39">
        <f>_xll.DBRW($C$2,$BT$1,BT$2,$D$18,$D$3,$D201,$E201,$F201,BT$3)</f>
        <v>0</v>
      </c>
      <c r="BU201" s="25" cm="1">
        <f t="array" ref="BU201">_xll.DBRW($E$2,BT$1,BT$2,$D$18,$D$3,$D201,$E201,$F201,$F$3,BU$3)</f>
        <v>0</v>
      </c>
      <c r="BV201" s="25">
        <f>_xll.DBRW($C$2,$BT$1,BT$2,$D$18,$D$3,$D201,$E201,$F201,BV$3)</f>
        <v>1</v>
      </c>
      <c r="BW201" s="64">
        <f>_xll.DBRW($C$2,$BT$1,BT$2,$D$18,$D$3,$D201,$E201,$F201,BW$3)</f>
        <v>0</v>
      </c>
      <c r="BX201" s="58">
        <f>_xll.DBRW($C$2,$BT$1,BT$2,$D$18,$D$3,$D201,$E201,$F201,BX$3)</f>
        <v>0</v>
      </c>
      <c r="BY201" s="48">
        <f t="shared" si="58"/>
        <v>-5</v>
      </c>
      <c r="BZ201" s="39">
        <f>_xll.DBRW($C$2,$BZ$1,BZ$2,$D$18,$D$3,$D201,$E201,$F201,BZ$3)</f>
        <v>0</v>
      </c>
      <c r="CA201" s="25" cm="1">
        <f t="array" ref="CA201">_xll.DBRW($E$2,BZ$1,BZ$2,$D$18,$D$3,$D201,$E201,$F201,$F$3,CA$3)</f>
        <v>0</v>
      </c>
      <c r="CB201" s="25">
        <f>_xll.DBRW($C$2,$BZ$1,BZ$2,$D$18,$D$3,$D201,$E201,$F201,CB$3)</f>
        <v>1</v>
      </c>
      <c r="CC201" s="64">
        <f>_xll.DBRW($C$2,$BZ$1,BZ$2,$D$18,$D$3,$D201,$E201,$F201,CC$3)</f>
        <v>0</v>
      </c>
      <c r="CD201" s="58">
        <f>_xll.DBRW($C$2,$BZ$1,BZ$2,$D$18,$D$3,$D201,$E201,$F201,CD$3)</f>
        <v>0</v>
      </c>
      <c r="CE201" s="48">
        <f t="shared" si="59"/>
        <v>-6</v>
      </c>
    </row>
    <row r="202" spans="1:83" s="23" customFormat="1" outlineLevel="1" thickBot="1" x14ac:dyDescent="0.3">
      <c r="A202" s="91" t="str">
        <f>IF(_xll.TM1RPTELISCONSOLIDATED($F$22,$F202),IF(_xll.TM1RPTELLEV($F$22,$F202)&lt;=5,_xll.TM1RPTELLEV($F$22,$F202),"Default"),"Leaf")</f>
        <v>Leaf</v>
      </c>
      <c r="B202" s="24" t="str">
        <f>_xll.DBRW("TM1-S1_DEV:}ElementAttributes_SP_SKU",$D202,B$1)</f>
        <v>Primary</v>
      </c>
      <c r="C202" s="24" t="str">
        <f>_xll.DBRW("TM1-S1_DEV:}ElementAttributes_SP_SKU",$D202,C$1)</f>
        <v>INGREDIENT</v>
      </c>
      <c r="D202" s="28" t="s">
        <v>514</v>
      </c>
      <c r="E202" s="28" t="s">
        <v>150</v>
      </c>
      <c r="F202" s="28" t="s">
        <v>35</v>
      </c>
      <c r="G202" s="4">
        <f>_xll.DBRW($C$2,$G$19,G$20,$D$18,$D$3,$D202,$E202,$F202,G$3)</f>
        <v>1662</v>
      </c>
      <c r="H202" s="54">
        <f t="shared" si="48"/>
        <v>-255</v>
      </c>
      <c r="I202" s="4"/>
      <c r="J202" s="25">
        <f>_xll.DBRW($C$2,$J$1,J$2,$D$18,$D$3,$D202,$E202,$F202,J$3)</f>
        <v>1407</v>
      </c>
      <c r="K202" s="39">
        <f>_xll.DBRW($C$2,$J$1,J$2,$D$18,$D$3,$D202,$E202,$F202,K$3)</f>
        <v>0</v>
      </c>
      <c r="L202" s="25">
        <f>_xll.DBRW($C$2,$J$1,J$2,$D$18,$D$3,$D202,$E202,$F202,L$3)</f>
        <v>0</v>
      </c>
      <c r="M202" s="25">
        <f>_xll.DBRW($C$2,$J$1,J$2,$D$18,$D$3,$D202,$E202,$F202,M$3)</f>
        <v>0</v>
      </c>
      <c r="N202" s="25">
        <f>_xll.DBRW($C$2,$J$1,J$2,$D$18,$D$3,$D202,$E202,$F202,N$3)</f>
        <v>0</v>
      </c>
      <c r="O202" s="64">
        <f>_xll.DBRW($C$2,$J$1,J$2,$D$18,$D$3,$D202,$E202,$F202,O$3)</f>
        <v>0</v>
      </c>
      <c r="P202" s="58">
        <f>_xll.DBRW($C$2,$J$1,J$2,$D$18,$D$3,$D202,$E202,$F202,P$3)</f>
        <v>0</v>
      </c>
      <c r="Q202" s="48">
        <f>_xll.DBRW($C$2,$J$1,J$2,$D$18,$D$3,$D202,$E202,$F202,Q$3)</f>
        <v>1407</v>
      </c>
      <c r="R202" s="39">
        <f>_xll.DBRW($C$2,$R$1,R$2,$D$18,$D$3,$D202,$E202,$F202,R$3)</f>
        <v>0</v>
      </c>
      <c r="S202" s="25" cm="1">
        <f t="array" ref="S202">_xll.DBRW($E$2,R$1,R$2,$D$18,$D$3,$D202,$E202,$F202,$F$3,S$3)</f>
        <v>0</v>
      </c>
      <c r="T202" s="25">
        <f>_xll.DBRW($C$2,$R$1,R$2,$D$18,$D$3,$D202,$E202,$F202,T$3)</f>
        <v>0</v>
      </c>
      <c r="U202" s="64">
        <f>_xll.DBRW($C$2,$R$1,R$2,$D$18,$D$3,$D202,$E202,$F202,U$3)</f>
        <v>0</v>
      </c>
      <c r="V202" s="58">
        <f>_xll.DBRW($C$2,$R$1,R$2,$D$18,$D$3,$D202,$E202,$F202,V$3)</f>
        <v>0</v>
      </c>
      <c r="W202" s="48">
        <f t="shared" si="49"/>
        <v>1407</v>
      </c>
      <c r="X202" s="39">
        <f>_xll.DBRW($C$2,$X$1,X$2,$D$18,$D$3,$D202,$E202,$F202,X$3)</f>
        <v>0</v>
      </c>
      <c r="Y202" s="25" cm="1">
        <f t="array" ref="Y202">_xll.DBRW($E$2,X$1,X$2,$D$18,$D$3,$D202,$E202,$F202,$F$3,Y$3)</f>
        <v>0</v>
      </c>
      <c r="Z202" s="25">
        <f>_xll.DBRW($C$2,$X$1,X$2,$D$18,$D$3,$D202,$E202,$F202,Z$3)</f>
        <v>0</v>
      </c>
      <c r="AA202" s="64">
        <f>_xll.DBRW($C$2,$X$1,X$2,$D$18,$D$3,$D202,$E202,$F202,AA$3)</f>
        <v>0</v>
      </c>
      <c r="AB202" s="58">
        <f>_xll.DBRW($C$2,$X$1,X$2,$D$18,$D$3,$D202,$E202,$F202,AB$3)</f>
        <v>0</v>
      </c>
      <c r="AC202" s="48">
        <f t="shared" si="50"/>
        <v>1407</v>
      </c>
      <c r="AD202" s="39">
        <f>_xll.DBRW($C$2,$AD$1,AD$2,$D$18,$D$3,$D202,$E202,$F202,AD$3)</f>
        <v>0</v>
      </c>
      <c r="AE202" s="25" cm="1">
        <f t="array" ref="AE202">_xll.DBRW($E$2,AD$1,AD$2,$D$18,$D$3,$D202,$E202,$F202,$F$3,AE$3)</f>
        <v>0</v>
      </c>
      <c r="AF202" s="25">
        <f>_xll.DBRW($C$2,$AD$1,AD$2,$D$18,$D$3,$D202,$E202,$F202,AF$3)</f>
        <v>0</v>
      </c>
      <c r="AG202" s="64">
        <f>_xll.DBRW($C$2,$AD$1,AD$2,$D$18,$D$3,$D202,$E202,$F202,AG$3)</f>
        <v>0</v>
      </c>
      <c r="AH202" s="58">
        <f>_xll.DBRW($C$2,$AD$1,AD$2,$D$18,$D$3,$D202,$E202,$F202,AH$3)</f>
        <v>0</v>
      </c>
      <c r="AI202" s="48">
        <f t="shared" si="51"/>
        <v>1407</v>
      </c>
      <c r="AJ202" s="39">
        <f>_xll.DBRW($C$2,$AJ$1,AJ$2,$D$18,$D$3,$D202,$E202,$F202,AJ$3)</f>
        <v>0</v>
      </c>
      <c r="AK202" s="25" cm="1">
        <f t="array" ref="AK202">_xll.DBRW($E$2,AJ$1,AJ$2,$D$18,$D$3,$D202,$E202,$F202,$F$3,AK$3)</f>
        <v>0</v>
      </c>
      <c r="AL202" s="25">
        <f>_xll.DBRW($C$2,$AJ$1,AJ$2,$D$18,$D$3,$D202,$E202,$F202,AL$3)</f>
        <v>0</v>
      </c>
      <c r="AM202" s="64">
        <f>_xll.DBRW($C$2,$AJ$1,AJ$2,$D$18,$D$3,$D202,$E202,$F202,AM$3)</f>
        <v>0</v>
      </c>
      <c r="AN202" s="58">
        <f>_xll.DBRW($C$2,$AJ$1,AJ$2,$D$18,$D$3,$D202,$E202,$F202,AN$3)</f>
        <v>0</v>
      </c>
      <c r="AO202" s="48">
        <f t="shared" si="52"/>
        <v>1407</v>
      </c>
      <c r="AP202" s="39">
        <f>_xll.DBRW($C$2,$AP$1,AP$2,$D$18,$D$3,$D202,$E202,$F202,AP$3)</f>
        <v>0</v>
      </c>
      <c r="AQ202" s="25" cm="1">
        <f t="array" ref="AQ202">_xll.DBRW($E$2,AP$1,AP$2,$D$18,$D$3,$D202,$E202,$F202,$F$3,AQ$3)</f>
        <v>0</v>
      </c>
      <c r="AR202" s="25">
        <f>_xll.DBRW($C$2,$AP$1,AP$2,$D$18,$D$3,$D202,$E202,$F202,AR$3)</f>
        <v>0</v>
      </c>
      <c r="AS202" s="64">
        <f>_xll.DBRW($C$2,$AP$1,AP$2,$D$18,$D$3,$D202,$E202,$F202,AS$3)</f>
        <v>0</v>
      </c>
      <c r="AT202" s="58">
        <f>_xll.DBRW($C$2,$AP$1,AP$2,$D$18,$D$3,$D202,$E202,$F202,AT$3)</f>
        <v>0</v>
      </c>
      <c r="AU202" s="48">
        <f t="shared" si="53"/>
        <v>1407</v>
      </c>
      <c r="AV202" s="39">
        <f>_xll.DBRW($C$2,$AV$1,AV$2,$D$18,$D$3,$D202,$E202,$F202,AV$3)</f>
        <v>0</v>
      </c>
      <c r="AW202" s="25" cm="1">
        <f t="array" ref="AW202">_xll.DBRW($E$2,AV$1,AV$2,$D$18,$D$3,$D202,$E202,$F202,$F$3,AW$3)</f>
        <v>0</v>
      </c>
      <c r="AX202" s="25">
        <f>_xll.DBRW($C$2,$AV$1,AV$2,$D$18,$D$3,$D202,$E202,$F202,AX$3)</f>
        <v>0</v>
      </c>
      <c r="AY202" s="64">
        <f>_xll.DBRW($C$2,$AV$1,AV$2,$D$18,$D$3,$D202,$E202,$F202,AY$3)</f>
        <v>0</v>
      </c>
      <c r="AZ202" s="58">
        <f>_xll.DBRW($C$2,$AV$1,AV$2,$D$18,$D$3,$D202,$E202,$F202,AZ$3)</f>
        <v>0</v>
      </c>
      <c r="BA202" s="48">
        <f t="shared" si="54"/>
        <v>1407</v>
      </c>
      <c r="BB202" s="39">
        <f>_xll.DBRW($C$2,$BB$1,BB$2,$D$18,$D$3,$D202,$E202,$F202,BB$3)</f>
        <v>0</v>
      </c>
      <c r="BC202" s="25" cm="1">
        <f t="array" ref="BC202">_xll.DBRW($E$2,BB$1,BB$2,$D$18,$D$3,$D202,$E202,$F202,$F$3,BC$3)</f>
        <v>0</v>
      </c>
      <c r="BD202" s="25">
        <f>_xll.DBRW($C$2,$BB$1,BB$2,$D$18,$D$3,$D202,$E202,$F202,BD$3)</f>
        <v>0</v>
      </c>
      <c r="BE202" s="64">
        <f>_xll.DBRW($C$2,$BB$1,BB$2,$D$18,$D$3,$D202,$E202,$F202,BE$3)</f>
        <v>0</v>
      </c>
      <c r="BF202" s="58">
        <f>_xll.DBRW($C$2,$BB$1,BB$2,$D$18,$D$3,$D202,$E202,$F202,BF$3)</f>
        <v>0</v>
      </c>
      <c r="BG202" s="48">
        <f t="shared" si="55"/>
        <v>1407</v>
      </c>
      <c r="BH202" s="39">
        <f>_xll.DBRW($C$2,$BH$1,BH$2,$D$18,$D$3,$D202,$E202,$F202,BH$3)</f>
        <v>0</v>
      </c>
      <c r="BI202" s="25" cm="1">
        <f t="array" ref="BI202">_xll.DBRW($E$2,BH$1,BH$2,$D$18,$D$3,$D202,$E202,$F202,$F$3,BI$3)</f>
        <v>0</v>
      </c>
      <c r="BJ202" s="25">
        <f>_xll.DBRW($C$2,$BH$1,BH$2,$D$18,$D$3,$D202,$E202,$F202,BJ$3)</f>
        <v>0</v>
      </c>
      <c r="BK202" s="64">
        <f>_xll.DBRW($C$2,$BH$1,BH$2,$D$18,$D$3,$D202,$E202,$F202,BK$3)</f>
        <v>0</v>
      </c>
      <c r="BL202" s="58">
        <f>_xll.DBRW($C$2,$BH$1,BH$2,$D$18,$D$3,$D202,$E202,$F202,BL$3)</f>
        <v>0</v>
      </c>
      <c r="BM202" s="48">
        <f t="shared" si="56"/>
        <v>1407</v>
      </c>
      <c r="BN202" s="39">
        <f>_xll.DBRW($C$2,$BN$1,BN$2,$D$18,$D$3,$D202,$E202,$F202,BN$3)</f>
        <v>0</v>
      </c>
      <c r="BO202" s="25" cm="1">
        <f t="array" ref="BO202">_xll.DBRW($E$2,BN$1,BN$2,$D$18,$D$3,$D202,$E202,$F202,$F$3,BO$3)</f>
        <v>0</v>
      </c>
      <c r="BP202" s="25">
        <f>_xll.DBRW($C$2,$BN$1,BN$2,$D$18,$D$3,$D202,$E202,$F202,BP$3)</f>
        <v>0</v>
      </c>
      <c r="BQ202" s="64">
        <f>_xll.DBRW($C$2,$BN$1,BN$2,$D$18,$D$3,$D202,$E202,$F202,BQ$3)</f>
        <v>0</v>
      </c>
      <c r="BR202" s="58">
        <f>_xll.DBRW($C$2,$BN$1,BN$2,$D$18,$D$3,$D202,$E202,$F202,BR$3)</f>
        <v>0</v>
      </c>
      <c r="BS202" s="48">
        <f t="shared" si="57"/>
        <v>1407</v>
      </c>
      <c r="BT202" s="39">
        <f>_xll.DBRW($C$2,$BT$1,BT$2,$D$18,$D$3,$D202,$E202,$F202,BT$3)</f>
        <v>0</v>
      </c>
      <c r="BU202" s="25" cm="1">
        <f t="array" ref="BU202">_xll.DBRW($E$2,BT$1,BT$2,$D$18,$D$3,$D202,$E202,$F202,$F$3,BU$3)</f>
        <v>0</v>
      </c>
      <c r="BV202" s="25">
        <f>_xll.DBRW($C$2,$BT$1,BT$2,$D$18,$D$3,$D202,$E202,$F202,BV$3)</f>
        <v>0</v>
      </c>
      <c r="BW202" s="64">
        <f>_xll.DBRW($C$2,$BT$1,BT$2,$D$18,$D$3,$D202,$E202,$F202,BW$3)</f>
        <v>0</v>
      </c>
      <c r="BX202" s="58">
        <f>_xll.DBRW($C$2,$BT$1,BT$2,$D$18,$D$3,$D202,$E202,$F202,BX$3)</f>
        <v>0</v>
      </c>
      <c r="BY202" s="48">
        <f t="shared" si="58"/>
        <v>1407</v>
      </c>
      <c r="BZ202" s="39">
        <f>_xll.DBRW($C$2,$BZ$1,BZ$2,$D$18,$D$3,$D202,$E202,$F202,BZ$3)</f>
        <v>0</v>
      </c>
      <c r="CA202" s="25" cm="1">
        <f t="array" ref="CA202">_xll.DBRW($E$2,BZ$1,BZ$2,$D$18,$D$3,$D202,$E202,$F202,$F$3,CA$3)</f>
        <v>0</v>
      </c>
      <c r="CB202" s="25">
        <f>_xll.DBRW($C$2,$BZ$1,BZ$2,$D$18,$D$3,$D202,$E202,$F202,CB$3)</f>
        <v>0</v>
      </c>
      <c r="CC202" s="64">
        <f>_xll.DBRW($C$2,$BZ$1,BZ$2,$D$18,$D$3,$D202,$E202,$F202,CC$3)</f>
        <v>0</v>
      </c>
      <c r="CD202" s="58">
        <f>_xll.DBRW($C$2,$BZ$1,BZ$2,$D$18,$D$3,$D202,$E202,$F202,CD$3)</f>
        <v>0</v>
      </c>
      <c r="CE202" s="48">
        <f t="shared" si="59"/>
        <v>1407</v>
      </c>
    </row>
    <row r="203" spans="1:83" s="23" customFormat="1" outlineLevel="1" thickBot="1" x14ac:dyDescent="0.3">
      <c r="A203" s="91" t="str">
        <f>IF(_xll.TM1RPTELISCONSOLIDATED($F$22,$F203),IF(_xll.TM1RPTELLEV($F$22,$F203)&lt;=5,_xll.TM1RPTELLEV($F$22,$F203),"Default"),"Leaf")</f>
        <v>Leaf</v>
      </c>
      <c r="B203" s="24" t="str">
        <f>_xll.DBRW("TM1-S1_DEV:}ElementAttributes_SP_SKU",$D203,B$1)</f>
        <v>Primary</v>
      </c>
      <c r="C203" s="24" t="str">
        <f>_xll.DBRW("TM1-S1_DEV:}ElementAttributes_SP_SKU",$D203,C$1)</f>
        <v>CONTAINER</v>
      </c>
      <c r="D203" s="28" t="s">
        <v>454</v>
      </c>
      <c r="E203" s="28" t="s">
        <v>321</v>
      </c>
      <c r="F203" s="28" t="s">
        <v>46</v>
      </c>
      <c r="G203" s="4">
        <f>_xll.DBRW($C$2,$G$19,G$20,$D$18,$D$3,$D203,$E203,$F203,G$3)</f>
        <v>41</v>
      </c>
      <c r="H203" s="54">
        <f t="shared" si="48"/>
        <v>11</v>
      </c>
      <c r="I203" s="4"/>
      <c r="J203" s="25">
        <f>_xll.DBRW($C$2,$J$1,J$2,$D$18,$D$3,$D203,$E203,$F203,J$3)</f>
        <v>52</v>
      </c>
      <c r="K203" s="39">
        <f>_xll.DBRW($C$2,$J$1,J$2,$D$18,$D$3,$D203,$E203,$F203,K$3)</f>
        <v>0</v>
      </c>
      <c r="L203" s="25">
        <f>_xll.DBRW($C$2,$J$1,J$2,$D$18,$D$3,$D203,$E203,$F203,L$3)</f>
        <v>0</v>
      </c>
      <c r="M203" s="25">
        <f>_xll.DBRW($C$2,$J$1,J$2,$D$18,$D$3,$D203,$E203,$F203,M$3)</f>
        <v>0</v>
      </c>
      <c r="N203" s="25">
        <f>_xll.DBRW($C$2,$J$1,J$2,$D$18,$D$3,$D203,$E203,$F203,N$3)</f>
        <v>33</v>
      </c>
      <c r="O203" s="64">
        <f>_xll.DBRW($C$2,$J$1,J$2,$D$18,$D$3,$D203,$E203,$F203,O$3)</f>
        <v>1</v>
      </c>
      <c r="P203" s="58">
        <f>_xll.DBRW($C$2,$J$1,J$2,$D$18,$D$3,$D203,$E203,$F203,P$3)</f>
        <v>0</v>
      </c>
      <c r="Q203" s="48">
        <f>_xll.DBRW($C$2,$J$1,J$2,$D$18,$D$3,$D203,$E203,$F203,Q$3)</f>
        <v>19</v>
      </c>
      <c r="R203" s="39">
        <f>_xll.DBRW($C$2,$R$1,R$2,$D$18,$D$3,$D203,$E203,$F203,R$3)</f>
        <v>0</v>
      </c>
      <c r="S203" s="25" cm="1">
        <f t="array" ref="S203">_xll.DBRW($E$2,R$1,R$2,$D$18,$D$3,$D203,$E203,$F203,$F$3,S$3)</f>
        <v>0</v>
      </c>
      <c r="T203" s="25">
        <f>_xll.DBRW($C$2,$R$1,R$2,$D$18,$D$3,$D203,$E203,$F203,T$3)</f>
        <v>0</v>
      </c>
      <c r="U203" s="64">
        <f>_xll.DBRW($C$2,$R$1,R$2,$D$18,$D$3,$D203,$E203,$F203,U$3)</f>
        <v>0</v>
      </c>
      <c r="V203" s="58">
        <f>_xll.DBRW($C$2,$R$1,R$2,$D$18,$D$3,$D203,$E203,$F203,V$3)</f>
        <v>0</v>
      </c>
      <c r="W203" s="48">
        <f t="shared" si="49"/>
        <v>19</v>
      </c>
      <c r="X203" s="39">
        <f>_xll.DBRW($C$2,$X$1,X$2,$D$18,$D$3,$D203,$E203,$F203,X$3)</f>
        <v>0</v>
      </c>
      <c r="Y203" s="25" cm="1">
        <f t="array" ref="Y203">_xll.DBRW($E$2,X$1,X$2,$D$18,$D$3,$D203,$E203,$F203,$F$3,Y$3)</f>
        <v>0</v>
      </c>
      <c r="Z203" s="25">
        <f>_xll.DBRW($C$2,$X$1,X$2,$D$18,$D$3,$D203,$E203,$F203,Z$3)</f>
        <v>3</v>
      </c>
      <c r="AA203" s="64">
        <f>_xll.DBRW($C$2,$X$1,X$2,$D$18,$D$3,$D203,$E203,$F203,AA$3)</f>
        <v>0</v>
      </c>
      <c r="AB203" s="58">
        <f>_xll.DBRW($C$2,$X$1,X$2,$D$18,$D$3,$D203,$E203,$F203,AB$3)</f>
        <v>0</v>
      </c>
      <c r="AC203" s="48">
        <f t="shared" si="50"/>
        <v>16</v>
      </c>
      <c r="AD203" s="39">
        <f>_xll.DBRW($C$2,$AD$1,AD$2,$D$18,$D$3,$D203,$E203,$F203,AD$3)</f>
        <v>0</v>
      </c>
      <c r="AE203" s="25" cm="1">
        <f t="array" ref="AE203">_xll.DBRW($E$2,AD$1,AD$2,$D$18,$D$3,$D203,$E203,$F203,$F$3,AE$3)</f>
        <v>0</v>
      </c>
      <c r="AF203" s="25">
        <f>_xll.DBRW($C$2,$AD$1,AD$2,$D$18,$D$3,$D203,$E203,$F203,AF$3)</f>
        <v>3</v>
      </c>
      <c r="AG203" s="64">
        <f>_xll.DBRW($C$2,$AD$1,AD$2,$D$18,$D$3,$D203,$E203,$F203,AG$3)</f>
        <v>0</v>
      </c>
      <c r="AH203" s="58">
        <f>_xll.DBRW($C$2,$AD$1,AD$2,$D$18,$D$3,$D203,$E203,$F203,AH$3)</f>
        <v>0</v>
      </c>
      <c r="AI203" s="48">
        <f t="shared" si="51"/>
        <v>13</v>
      </c>
      <c r="AJ203" s="39">
        <f>_xll.DBRW($C$2,$AJ$1,AJ$2,$D$18,$D$3,$D203,$E203,$F203,AJ$3)</f>
        <v>0</v>
      </c>
      <c r="AK203" s="25" cm="1">
        <f t="array" ref="AK203">_xll.DBRW($E$2,AJ$1,AJ$2,$D$18,$D$3,$D203,$E203,$F203,$F$3,AK$3)</f>
        <v>0</v>
      </c>
      <c r="AL203" s="25">
        <f>_xll.DBRW($C$2,$AJ$1,AJ$2,$D$18,$D$3,$D203,$E203,$F203,AL$3)</f>
        <v>3</v>
      </c>
      <c r="AM203" s="64">
        <f>_xll.DBRW($C$2,$AJ$1,AJ$2,$D$18,$D$3,$D203,$E203,$F203,AM$3)</f>
        <v>0</v>
      </c>
      <c r="AN203" s="58">
        <f>_xll.DBRW($C$2,$AJ$1,AJ$2,$D$18,$D$3,$D203,$E203,$F203,AN$3)</f>
        <v>0</v>
      </c>
      <c r="AO203" s="48">
        <f t="shared" si="52"/>
        <v>10</v>
      </c>
      <c r="AP203" s="39">
        <f>_xll.DBRW($C$2,$AP$1,AP$2,$D$18,$D$3,$D203,$E203,$F203,AP$3)</f>
        <v>0</v>
      </c>
      <c r="AQ203" s="25" cm="1">
        <f t="array" ref="AQ203">_xll.DBRW($E$2,AP$1,AP$2,$D$18,$D$3,$D203,$E203,$F203,$F$3,AQ$3)</f>
        <v>0</v>
      </c>
      <c r="AR203" s="25">
        <f>_xll.DBRW($C$2,$AP$1,AP$2,$D$18,$D$3,$D203,$E203,$F203,AR$3)</f>
        <v>3</v>
      </c>
      <c r="AS203" s="64">
        <f>_xll.DBRW($C$2,$AP$1,AP$2,$D$18,$D$3,$D203,$E203,$F203,AS$3)</f>
        <v>0</v>
      </c>
      <c r="AT203" s="58">
        <f>_xll.DBRW($C$2,$AP$1,AP$2,$D$18,$D$3,$D203,$E203,$F203,AT$3)</f>
        <v>0</v>
      </c>
      <c r="AU203" s="48">
        <f t="shared" si="53"/>
        <v>7</v>
      </c>
      <c r="AV203" s="39">
        <f>_xll.DBRW($C$2,$AV$1,AV$2,$D$18,$D$3,$D203,$E203,$F203,AV$3)</f>
        <v>0</v>
      </c>
      <c r="AW203" s="25" cm="1">
        <f t="array" ref="AW203">_xll.DBRW($E$2,AV$1,AV$2,$D$18,$D$3,$D203,$E203,$F203,$F$3,AW$3)</f>
        <v>0</v>
      </c>
      <c r="AX203" s="25">
        <f>_xll.DBRW($C$2,$AV$1,AV$2,$D$18,$D$3,$D203,$E203,$F203,AX$3)</f>
        <v>3</v>
      </c>
      <c r="AY203" s="64">
        <f>_xll.DBRW($C$2,$AV$1,AV$2,$D$18,$D$3,$D203,$E203,$F203,AY$3)</f>
        <v>0</v>
      </c>
      <c r="AZ203" s="58">
        <f>_xll.DBRW($C$2,$AV$1,AV$2,$D$18,$D$3,$D203,$E203,$F203,AZ$3)</f>
        <v>0</v>
      </c>
      <c r="BA203" s="48">
        <f t="shared" si="54"/>
        <v>4</v>
      </c>
      <c r="BB203" s="39">
        <f>_xll.DBRW($C$2,$BB$1,BB$2,$D$18,$D$3,$D203,$E203,$F203,BB$3)</f>
        <v>0</v>
      </c>
      <c r="BC203" s="25" cm="1">
        <f t="array" ref="BC203">_xll.DBRW($E$2,BB$1,BB$2,$D$18,$D$3,$D203,$E203,$F203,$F$3,BC$3)</f>
        <v>0</v>
      </c>
      <c r="BD203" s="25">
        <f>_xll.DBRW($C$2,$BB$1,BB$2,$D$18,$D$3,$D203,$E203,$F203,BD$3)</f>
        <v>3</v>
      </c>
      <c r="BE203" s="64">
        <f>_xll.DBRW($C$2,$BB$1,BB$2,$D$18,$D$3,$D203,$E203,$F203,BE$3)</f>
        <v>0</v>
      </c>
      <c r="BF203" s="58">
        <f>_xll.DBRW($C$2,$BB$1,BB$2,$D$18,$D$3,$D203,$E203,$F203,BF$3)</f>
        <v>0</v>
      </c>
      <c r="BG203" s="48">
        <f t="shared" si="55"/>
        <v>1</v>
      </c>
      <c r="BH203" s="39">
        <f>_xll.DBRW($C$2,$BH$1,BH$2,$D$18,$D$3,$D203,$E203,$F203,BH$3)</f>
        <v>0</v>
      </c>
      <c r="BI203" s="25" cm="1">
        <f t="array" ref="BI203">_xll.DBRW($E$2,BH$1,BH$2,$D$18,$D$3,$D203,$E203,$F203,$F$3,BI$3)</f>
        <v>0</v>
      </c>
      <c r="BJ203" s="25">
        <f>_xll.DBRW($C$2,$BH$1,BH$2,$D$18,$D$3,$D203,$E203,$F203,BJ$3)</f>
        <v>3</v>
      </c>
      <c r="BK203" s="64">
        <f>_xll.DBRW($C$2,$BH$1,BH$2,$D$18,$D$3,$D203,$E203,$F203,BK$3)</f>
        <v>0</v>
      </c>
      <c r="BL203" s="58">
        <f>_xll.DBRW($C$2,$BH$1,BH$2,$D$18,$D$3,$D203,$E203,$F203,BL$3)</f>
        <v>0</v>
      </c>
      <c r="BM203" s="48">
        <f t="shared" si="56"/>
        <v>-2</v>
      </c>
      <c r="BN203" s="39">
        <f>_xll.DBRW($C$2,$BN$1,BN$2,$D$18,$D$3,$D203,$E203,$F203,BN$3)</f>
        <v>0</v>
      </c>
      <c r="BO203" s="25" cm="1">
        <f t="array" ref="BO203">_xll.DBRW($E$2,BN$1,BN$2,$D$18,$D$3,$D203,$E203,$F203,$F$3,BO$3)</f>
        <v>0</v>
      </c>
      <c r="BP203" s="25">
        <f>_xll.DBRW($C$2,$BN$1,BN$2,$D$18,$D$3,$D203,$E203,$F203,BP$3)</f>
        <v>3</v>
      </c>
      <c r="BQ203" s="64">
        <f>_xll.DBRW($C$2,$BN$1,BN$2,$D$18,$D$3,$D203,$E203,$F203,BQ$3)</f>
        <v>0</v>
      </c>
      <c r="BR203" s="58">
        <f>_xll.DBRW($C$2,$BN$1,BN$2,$D$18,$D$3,$D203,$E203,$F203,BR$3)</f>
        <v>0</v>
      </c>
      <c r="BS203" s="48">
        <f t="shared" si="57"/>
        <v>-5</v>
      </c>
      <c r="BT203" s="39">
        <f>_xll.DBRW($C$2,$BT$1,BT$2,$D$18,$D$3,$D203,$E203,$F203,BT$3)</f>
        <v>0</v>
      </c>
      <c r="BU203" s="25" cm="1">
        <f t="array" ref="BU203">_xll.DBRW($E$2,BT$1,BT$2,$D$18,$D$3,$D203,$E203,$F203,$F$3,BU$3)</f>
        <v>0</v>
      </c>
      <c r="BV203" s="25">
        <f>_xll.DBRW($C$2,$BT$1,BT$2,$D$18,$D$3,$D203,$E203,$F203,BV$3)</f>
        <v>3</v>
      </c>
      <c r="BW203" s="64">
        <f>_xll.DBRW($C$2,$BT$1,BT$2,$D$18,$D$3,$D203,$E203,$F203,BW$3)</f>
        <v>0</v>
      </c>
      <c r="BX203" s="58">
        <f>_xll.DBRW($C$2,$BT$1,BT$2,$D$18,$D$3,$D203,$E203,$F203,BX$3)</f>
        <v>0</v>
      </c>
      <c r="BY203" s="48">
        <f t="shared" si="58"/>
        <v>-8</v>
      </c>
      <c r="BZ203" s="39">
        <f>_xll.DBRW($C$2,$BZ$1,BZ$2,$D$18,$D$3,$D203,$E203,$F203,BZ$3)</f>
        <v>0</v>
      </c>
      <c r="CA203" s="25" cm="1">
        <f t="array" ref="CA203">_xll.DBRW($E$2,BZ$1,BZ$2,$D$18,$D$3,$D203,$E203,$F203,$F$3,CA$3)</f>
        <v>0</v>
      </c>
      <c r="CB203" s="25">
        <f>_xll.DBRW($C$2,$BZ$1,BZ$2,$D$18,$D$3,$D203,$E203,$F203,CB$3)</f>
        <v>3</v>
      </c>
      <c r="CC203" s="64">
        <f>_xll.DBRW($C$2,$BZ$1,BZ$2,$D$18,$D$3,$D203,$E203,$F203,CC$3)</f>
        <v>0</v>
      </c>
      <c r="CD203" s="58">
        <f>_xll.DBRW($C$2,$BZ$1,BZ$2,$D$18,$D$3,$D203,$E203,$F203,CD$3)</f>
        <v>0</v>
      </c>
      <c r="CE203" s="48">
        <f t="shared" si="59"/>
        <v>-11</v>
      </c>
    </row>
    <row r="204" spans="1:83" s="23" customFormat="1" outlineLevel="1" thickBot="1" x14ac:dyDescent="0.3">
      <c r="A204" s="91" t="str">
        <f>IF(_xll.TM1RPTELISCONSOLIDATED($F$22,$F204),IF(_xll.TM1RPTELLEV($F$22,$F204)&lt;=5,_xll.TM1RPTELLEV($F$22,$F204),"Default"),"Leaf")</f>
        <v>Leaf</v>
      </c>
      <c r="B204" s="24" t="str">
        <f>_xll.DBRW("TM1-S1_DEV:}ElementAttributes_SP_SKU",$D204,B$1)</f>
        <v>Primary</v>
      </c>
      <c r="C204" s="24" t="str">
        <f>_xll.DBRW("TM1-S1_DEV:}ElementAttributes_SP_SKU",$D204,C$1)</f>
        <v>PAPER</v>
      </c>
      <c r="D204" s="28" t="s">
        <v>455</v>
      </c>
      <c r="E204" s="28" t="s">
        <v>322</v>
      </c>
      <c r="F204" s="28" t="s">
        <v>36</v>
      </c>
      <c r="G204" s="4">
        <f>_xll.DBRW($C$2,$G$19,G$20,$D$18,$D$3,$D204,$E204,$F204,G$3)</f>
        <v>-4</v>
      </c>
      <c r="H204" s="54">
        <f t="shared" si="48"/>
        <v>4</v>
      </c>
      <c r="I204" s="4"/>
      <c r="J204" s="25">
        <f>_xll.DBRW($C$2,$J$1,J$2,$D$18,$D$3,$D204,$E204,$F204,J$3)</f>
        <v>0</v>
      </c>
      <c r="K204" s="39">
        <f>_xll.DBRW($C$2,$J$1,J$2,$D$18,$D$3,$D204,$E204,$F204,K$3)</f>
        <v>0</v>
      </c>
      <c r="L204" s="25">
        <f>_xll.DBRW($C$2,$J$1,J$2,$D$18,$D$3,$D204,$E204,$F204,L$3)</f>
        <v>0</v>
      </c>
      <c r="M204" s="25">
        <f>_xll.DBRW($C$2,$J$1,J$2,$D$18,$D$3,$D204,$E204,$F204,M$3)</f>
        <v>0</v>
      </c>
      <c r="N204" s="25">
        <f>_xll.DBRW($C$2,$J$1,J$2,$D$18,$D$3,$D204,$E204,$F204,N$3)</f>
        <v>1</v>
      </c>
      <c r="O204" s="64">
        <f>_xll.DBRW($C$2,$J$1,J$2,$D$18,$D$3,$D204,$E204,$F204,O$3)</f>
        <v>1</v>
      </c>
      <c r="P204" s="58">
        <f>_xll.DBRW($C$2,$J$1,J$2,$D$18,$D$3,$D204,$E204,$F204,P$3)</f>
        <v>0</v>
      </c>
      <c r="Q204" s="48">
        <f>_xll.DBRW($C$2,$J$1,J$2,$D$18,$D$3,$D204,$E204,$F204,Q$3)</f>
        <v>-1</v>
      </c>
      <c r="R204" s="39">
        <f>_xll.DBRW($C$2,$R$1,R$2,$D$18,$D$3,$D204,$E204,$F204,R$3)</f>
        <v>0</v>
      </c>
      <c r="S204" s="25" cm="1">
        <f t="array" ref="S204">_xll.DBRW($E$2,R$1,R$2,$D$18,$D$3,$D204,$E204,$F204,$F$3,S$3)</f>
        <v>0</v>
      </c>
      <c r="T204" s="25">
        <f>_xll.DBRW($C$2,$R$1,R$2,$D$18,$D$3,$D204,$E204,$F204,T$3)</f>
        <v>0</v>
      </c>
      <c r="U204" s="64">
        <f>_xll.DBRW($C$2,$R$1,R$2,$D$18,$D$3,$D204,$E204,$F204,U$3)</f>
        <v>0</v>
      </c>
      <c r="V204" s="58">
        <f>_xll.DBRW($C$2,$R$1,R$2,$D$18,$D$3,$D204,$E204,$F204,V$3)</f>
        <v>0</v>
      </c>
      <c r="W204" s="48">
        <f t="shared" si="49"/>
        <v>-1</v>
      </c>
      <c r="X204" s="39">
        <f>_xll.DBRW($C$2,$X$1,X$2,$D$18,$D$3,$D204,$E204,$F204,X$3)</f>
        <v>0</v>
      </c>
      <c r="Y204" s="25" cm="1">
        <f t="array" ref="Y204">_xll.DBRW($E$2,X$1,X$2,$D$18,$D$3,$D204,$E204,$F204,$F$3,Y$3)</f>
        <v>0</v>
      </c>
      <c r="Z204" s="25">
        <f>_xll.DBRW($C$2,$X$1,X$2,$D$18,$D$3,$D204,$E204,$F204,Z$3)</f>
        <v>1</v>
      </c>
      <c r="AA204" s="64">
        <f>_xll.DBRW($C$2,$X$1,X$2,$D$18,$D$3,$D204,$E204,$F204,AA$3)</f>
        <v>0</v>
      </c>
      <c r="AB204" s="58">
        <f>_xll.DBRW($C$2,$X$1,X$2,$D$18,$D$3,$D204,$E204,$F204,AB$3)</f>
        <v>0</v>
      </c>
      <c r="AC204" s="48">
        <f t="shared" si="50"/>
        <v>-2</v>
      </c>
      <c r="AD204" s="39">
        <f>_xll.DBRW($C$2,$AD$1,AD$2,$D$18,$D$3,$D204,$E204,$F204,AD$3)</f>
        <v>0</v>
      </c>
      <c r="AE204" s="25" cm="1">
        <f t="array" ref="AE204">_xll.DBRW($E$2,AD$1,AD$2,$D$18,$D$3,$D204,$E204,$F204,$F$3,AE$3)</f>
        <v>0</v>
      </c>
      <c r="AF204" s="25">
        <f>_xll.DBRW($C$2,$AD$1,AD$2,$D$18,$D$3,$D204,$E204,$F204,AF$3)</f>
        <v>1</v>
      </c>
      <c r="AG204" s="64">
        <f>_xll.DBRW($C$2,$AD$1,AD$2,$D$18,$D$3,$D204,$E204,$F204,AG$3)</f>
        <v>1</v>
      </c>
      <c r="AH204" s="58">
        <f>_xll.DBRW($C$2,$AD$1,AD$2,$D$18,$D$3,$D204,$E204,$F204,AH$3)</f>
        <v>0</v>
      </c>
      <c r="AI204" s="48">
        <f t="shared" si="51"/>
        <v>-3</v>
      </c>
      <c r="AJ204" s="39">
        <f>_xll.DBRW($C$2,$AJ$1,AJ$2,$D$18,$D$3,$D204,$E204,$F204,AJ$3)</f>
        <v>0</v>
      </c>
      <c r="AK204" s="25" cm="1">
        <f t="array" ref="AK204">_xll.DBRW($E$2,AJ$1,AJ$2,$D$18,$D$3,$D204,$E204,$F204,$F$3,AK$3)</f>
        <v>0</v>
      </c>
      <c r="AL204" s="25">
        <f>_xll.DBRW($C$2,$AJ$1,AJ$2,$D$18,$D$3,$D204,$E204,$F204,AL$3)</f>
        <v>1</v>
      </c>
      <c r="AM204" s="64">
        <f>_xll.DBRW($C$2,$AJ$1,AJ$2,$D$18,$D$3,$D204,$E204,$F204,AM$3)</f>
        <v>0</v>
      </c>
      <c r="AN204" s="58">
        <f>_xll.DBRW($C$2,$AJ$1,AJ$2,$D$18,$D$3,$D204,$E204,$F204,AN$3)</f>
        <v>0</v>
      </c>
      <c r="AO204" s="48">
        <f t="shared" si="52"/>
        <v>-4</v>
      </c>
      <c r="AP204" s="39">
        <f>_xll.DBRW($C$2,$AP$1,AP$2,$D$18,$D$3,$D204,$E204,$F204,AP$3)</f>
        <v>0</v>
      </c>
      <c r="AQ204" s="25" cm="1">
        <f t="array" ref="AQ204">_xll.DBRW($E$2,AP$1,AP$2,$D$18,$D$3,$D204,$E204,$F204,$F$3,AQ$3)</f>
        <v>0</v>
      </c>
      <c r="AR204" s="25">
        <f>_xll.DBRW($C$2,$AP$1,AP$2,$D$18,$D$3,$D204,$E204,$F204,AR$3)</f>
        <v>1</v>
      </c>
      <c r="AS204" s="64">
        <f>_xll.DBRW($C$2,$AP$1,AP$2,$D$18,$D$3,$D204,$E204,$F204,AS$3)</f>
        <v>0</v>
      </c>
      <c r="AT204" s="58">
        <f>_xll.DBRW($C$2,$AP$1,AP$2,$D$18,$D$3,$D204,$E204,$F204,AT$3)</f>
        <v>0</v>
      </c>
      <c r="AU204" s="48">
        <f t="shared" si="53"/>
        <v>-5</v>
      </c>
      <c r="AV204" s="39">
        <f>_xll.DBRW($C$2,$AV$1,AV$2,$D$18,$D$3,$D204,$E204,$F204,AV$3)</f>
        <v>0</v>
      </c>
      <c r="AW204" s="25" cm="1">
        <f t="array" ref="AW204">_xll.DBRW($E$2,AV$1,AV$2,$D$18,$D$3,$D204,$E204,$F204,$F$3,AW$3)</f>
        <v>0</v>
      </c>
      <c r="AX204" s="25">
        <f>_xll.DBRW($C$2,$AV$1,AV$2,$D$18,$D$3,$D204,$E204,$F204,AX$3)</f>
        <v>1</v>
      </c>
      <c r="AY204" s="64">
        <f>_xll.DBRW($C$2,$AV$1,AV$2,$D$18,$D$3,$D204,$E204,$F204,AY$3)</f>
        <v>0</v>
      </c>
      <c r="AZ204" s="58">
        <f>_xll.DBRW($C$2,$AV$1,AV$2,$D$18,$D$3,$D204,$E204,$F204,AZ$3)</f>
        <v>0</v>
      </c>
      <c r="BA204" s="48">
        <f t="shared" si="54"/>
        <v>-6</v>
      </c>
      <c r="BB204" s="39">
        <f>_xll.DBRW($C$2,$BB$1,BB$2,$D$18,$D$3,$D204,$E204,$F204,BB$3)</f>
        <v>0</v>
      </c>
      <c r="BC204" s="25" cm="1">
        <f t="array" ref="BC204">_xll.DBRW($E$2,BB$1,BB$2,$D$18,$D$3,$D204,$E204,$F204,$F$3,BC$3)</f>
        <v>0</v>
      </c>
      <c r="BD204" s="25">
        <f>_xll.DBRW($C$2,$BB$1,BB$2,$D$18,$D$3,$D204,$E204,$F204,BD$3)</f>
        <v>1</v>
      </c>
      <c r="BE204" s="64">
        <f>_xll.DBRW($C$2,$BB$1,BB$2,$D$18,$D$3,$D204,$E204,$F204,BE$3)</f>
        <v>0</v>
      </c>
      <c r="BF204" s="58">
        <f>_xll.DBRW($C$2,$BB$1,BB$2,$D$18,$D$3,$D204,$E204,$F204,BF$3)</f>
        <v>0</v>
      </c>
      <c r="BG204" s="48">
        <f t="shared" si="55"/>
        <v>-7</v>
      </c>
      <c r="BH204" s="39">
        <f>_xll.DBRW($C$2,$BH$1,BH$2,$D$18,$D$3,$D204,$E204,$F204,BH$3)</f>
        <v>0</v>
      </c>
      <c r="BI204" s="25" cm="1">
        <f t="array" ref="BI204">_xll.DBRW($E$2,BH$1,BH$2,$D$18,$D$3,$D204,$E204,$F204,$F$3,BI$3)</f>
        <v>0</v>
      </c>
      <c r="BJ204" s="25">
        <f>_xll.DBRW($C$2,$BH$1,BH$2,$D$18,$D$3,$D204,$E204,$F204,BJ$3)</f>
        <v>1</v>
      </c>
      <c r="BK204" s="64">
        <f>_xll.DBRW($C$2,$BH$1,BH$2,$D$18,$D$3,$D204,$E204,$F204,BK$3)</f>
        <v>0</v>
      </c>
      <c r="BL204" s="58">
        <f>_xll.DBRW($C$2,$BH$1,BH$2,$D$18,$D$3,$D204,$E204,$F204,BL$3)</f>
        <v>0</v>
      </c>
      <c r="BM204" s="48">
        <f t="shared" si="56"/>
        <v>-8</v>
      </c>
      <c r="BN204" s="39">
        <f>_xll.DBRW($C$2,$BN$1,BN$2,$D$18,$D$3,$D204,$E204,$F204,BN$3)</f>
        <v>0</v>
      </c>
      <c r="BO204" s="25" cm="1">
        <f t="array" ref="BO204">_xll.DBRW($E$2,BN$1,BN$2,$D$18,$D$3,$D204,$E204,$F204,$F$3,BO$3)</f>
        <v>0</v>
      </c>
      <c r="BP204" s="25">
        <f>_xll.DBRW($C$2,$BN$1,BN$2,$D$18,$D$3,$D204,$E204,$F204,BP$3)</f>
        <v>1</v>
      </c>
      <c r="BQ204" s="64">
        <f>_xll.DBRW($C$2,$BN$1,BN$2,$D$18,$D$3,$D204,$E204,$F204,BQ$3)</f>
        <v>0</v>
      </c>
      <c r="BR204" s="58">
        <f>_xll.DBRW($C$2,$BN$1,BN$2,$D$18,$D$3,$D204,$E204,$F204,BR$3)</f>
        <v>0</v>
      </c>
      <c r="BS204" s="48">
        <f t="shared" si="57"/>
        <v>-9</v>
      </c>
      <c r="BT204" s="39">
        <f>_xll.DBRW($C$2,$BT$1,BT$2,$D$18,$D$3,$D204,$E204,$F204,BT$3)</f>
        <v>0</v>
      </c>
      <c r="BU204" s="25" cm="1">
        <f t="array" ref="BU204">_xll.DBRW($E$2,BT$1,BT$2,$D$18,$D$3,$D204,$E204,$F204,$F$3,BU$3)</f>
        <v>0</v>
      </c>
      <c r="BV204" s="25">
        <f>_xll.DBRW($C$2,$BT$1,BT$2,$D$18,$D$3,$D204,$E204,$F204,BV$3)</f>
        <v>1</v>
      </c>
      <c r="BW204" s="64">
        <f>_xll.DBRW($C$2,$BT$1,BT$2,$D$18,$D$3,$D204,$E204,$F204,BW$3)</f>
        <v>0</v>
      </c>
      <c r="BX204" s="58">
        <f>_xll.DBRW($C$2,$BT$1,BT$2,$D$18,$D$3,$D204,$E204,$F204,BX$3)</f>
        <v>0</v>
      </c>
      <c r="BY204" s="48">
        <f t="shared" si="58"/>
        <v>-10</v>
      </c>
      <c r="BZ204" s="39">
        <f>_xll.DBRW($C$2,$BZ$1,BZ$2,$D$18,$D$3,$D204,$E204,$F204,BZ$3)</f>
        <v>0</v>
      </c>
      <c r="CA204" s="25" cm="1">
        <f t="array" ref="CA204">_xll.DBRW($E$2,BZ$1,BZ$2,$D$18,$D$3,$D204,$E204,$F204,$F$3,CA$3)</f>
        <v>0</v>
      </c>
      <c r="CB204" s="25">
        <f>_xll.DBRW($C$2,$BZ$1,BZ$2,$D$18,$D$3,$D204,$E204,$F204,CB$3)</f>
        <v>1</v>
      </c>
      <c r="CC204" s="64">
        <f>_xll.DBRW($C$2,$BZ$1,BZ$2,$D$18,$D$3,$D204,$E204,$F204,CC$3)</f>
        <v>0</v>
      </c>
      <c r="CD204" s="58">
        <f>_xll.DBRW($C$2,$BZ$1,BZ$2,$D$18,$D$3,$D204,$E204,$F204,CD$3)</f>
        <v>0</v>
      </c>
      <c r="CE204" s="48">
        <f t="shared" si="59"/>
        <v>-11</v>
      </c>
    </row>
    <row r="205" spans="1:83" s="23" customFormat="1" outlineLevel="1" thickBot="1" x14ac:dyDescent="0.3">
      <c r="A205" s="91" t="str">
        <f>IF(_xll.TM1RPTELISCONSOLIDATED($F$22,$F205),IF(_xll.TM1RPTELLEV($F$22,$F205)&lt;=5,_xll.TM1RPTELLEV($F$22,$F205),"Default"),"Leaf")</f>
        <v>Leaf</v>
      </c>
      <c r="B205" s="24" t="str">
        <f>_xll.DBRW("TM1-S1_DEV:}ElementAttributes_SP_SKU",$D205,B$1)</f>
        <v>Primary</v>
      </c>
      <c r="C205" s="24" t="str">
        <f>_xll.DBRW("TM1-S1_DEV:}ElementAttributes_SP_SKU",$D205,C$1)</f>
        <v>PROTEIN</v>
      </c>
      <c r="D205" s="28" t="s">
        <v>456</v>
      </c>
      <c r="E205" s="28" t="s">
        <v>149</v>
      </c>
      <c r="F205" s="28" t="s">
        <v>42</v>
      </c>
      <c r="G205" s="4">
        <f>_xll.DBRW($C$2,$G$19,G$20,$D$18,$D$3,$D205,$E205,$F205,G$3)</f>
        <v>8</v>
      </c>
      <c r="H205" s="54">
        <f t="shared" si="48"/>
        <v>1</v>
      </c>
      <c r="I205" s="4"/>
      <c r="J205" s="25">
        <f>_xll.DBRW($C$2,$J$1,J$2,$D$18,$D$3,$D205,$E205,$F205,J$3)</f>
        <v>9</v>
      </c>
      <c r="K205" s="39">
        <f>_xll.DBRW($C$2,$J$1,J$2,$D$18,$D$3,$D205,$E205,$F205,K$3)</f>
        <v>0</v>
      </c>
      <c r="L205" s="25">
        <f>_xll.DBRW($C$2,$J$1,J$2,$D$18,$D$3,$D205,$E205,$F205,L$3)</f>
        <v>0</v>
      </c>
      <c r="M205" s="25">
        <f>_xll.DBRW($C$2,$J$1,J$2,$D$18,$D$3,$D205,$E205,$F205,M$3)</f>
        <v>39</v>
      </c>
      <c r="N205" s="25">
        <f>_xll.DBRW($C$2,$J$1,J$2,$D$18,$D$3,$D205,$E205,$F205,N$3)</f>
        <v>11</v>
      </c>
      <c r="O205" s="64">
        <f>_xll.DBRW($C$2,$J$1,J$2,$D$18,$D$3,$D205,$E205,$F205,O$3)</f>
        <v>1</v>
      </c>
      <c r="P205" s="58">
        <f>_xll.DBRW($C$2,$J$1,J$2,$D$18,$D$3,$D205,$E205,$F205,P$3)</f>
        <v>0</v>
      </c>
      <c r="Q205" s="48">
        <f>_xll.DBRW($C$2,$J$1,J$2,$D$18,$D$3,$D205,$E205,$F205,Q$3)</f>
        <v>37</v>
      </c>
      <c r="R205" s="39">
        <f>_xll.DBRW($C$2,$R$1,R$2,$D$18,$D$3,$D205,$E205,$F205,R$3)</f>
        <v>0</v>
      </c>
      <c r="S205" s="25" cm="1">
        <f t="array" ref="S205">_xll.DBRW($E$2,R$1,R$2,$D$18,$D$3,$D205,$E205,$F205,$F$3,S$3)</f>
        <v>0</v>
      </c>
      <c r="T205" s="25">
        <f>_xll.DBRW($C$2,$R$1,R$2,$D$18,$D$3,$D205,$E205,$F205,T$3)</f>
        <v>0</v>
      </c>
      <c r="U205" s="64">
        <f>_xll.DBRW($C$2,$R$1,R$2,$D$18,$D$3,$D205,$E205,$F205,U$3)</f>
        <v>0</v>
      </c>
      <c r="V205" s="58">
        <f>_xll.DBRW($C$2,$R$1,R$2,$D$18,$D$3,$D205,$E205,$F205,V$3)</f>
        <v>0</v>
      </c>
      <c r="W205" s="48">
        <f t="shared" si="49"/>
        <v>37</v>
      </c>
      <c r="X205" s="39">
        <f>_xll.DBRW($C$2,$X$1,X$2,$D$18,$D$3,$D205,$E205,$F205,X$3)</f>
        <v>0</v>
      </c>
      <c r="Y205" s="25" cm="1">
        <f t="array" ref="Y205">_xll.DBRW($E$2,X$1,X$2,$D$18,$D$3,$D205,$E205,$F205,$F$3,Y$3)</f>
        <v>0</v>
      </c>
      <c r="Z205" s="25">
        <f>_xll.DBRW($C$2,$X$1,X$2,$D$18,$D$3,$D205,$E205,$F205,Z$3)</f>
        <v>13</v>
      </c>
      <c r="AA205" s="64">
        <f>_xll.DBRW($C$2,$X$1,X$2,$D$18,$D$3,$D205,$E205,$F205,AA$3)</f>
        <v>0</v>
      </c>
      <c r="AB205" s="58">
        <f>_xll.DBRW($C$2,$X$1,X$2,$D$18,$D$3,$D205,$E205,$F205,AB$3)</f>
        <v>0</v>
      </c>
      <c r="AC205" s="48">
        <f t="shared" si="50"/>
        <v>24</v>
      </c>
      <c r="AD205" s="39">
        <f>_xll.DBRW($C$2,$AD$1,AD$2,$D$18,$D$3,$D205,$E205,$F205,AD$3)</f>
        <v>0</v>
      </c>
      <c r="AE205" s="25" cm="1">
        <f t="array" ref="AE205">_xll.DBRW($E$2,AD$1,AD$2,$D$18,$D$3,$D205,$E205,$F205,$F$3,AE$3)</f>
        <v>0</v>
      </c>
      <c r="AF205" s="25">
        <f>_xll.DBRW($C$2,$AD$1,AD$2,$D$18,$D$3,$D205,$E205,$F205,AF$3)</f>
        <v>13</v>
      </c>
      <c r="AG205" s="64">
        <f>_xll.DBRW($C$2,$AD$1,AD$2,$D$18,$D$3,$D205,$E205,$F205,AG$3)</f>
        <v>0</v>
      </c>
      <c r="AH205" s="58">
        <f>_xll.DBRW($C$2,$AD$1,AD$2,$D$18,$D$3,$D205,$E205,$F205,AH$3)</f>
        <v>0</v>
      </c>
      <c r="AI205" s="48">
        <f t="shared" si="51"/>
        <v>11</v>
      </c>
      <c r="AJ205" s="39">
        <f>_xll.DBRW($C$2,$AJ$1,AJ$2,$D$18,$D$3,$D205,$E205,$F205,AJ$3)</f>
        <v>0</v>
      </c>
      <c r="AK205" s="25" cm="1">
        <f t="array" ref="AK205">_xll.DBRW($E$2,AJ$1,AJ$2,$D$18,$D$3,$D205,$E205,$F205,$F$3,AK$3)</f>
        <v>0</v>
      </c>
      <c r="AL205" s="25">
        <f>_xll.DBRW($C$2,$AJ$1,AJ$2,$D$18,$D$3,$D205,$E205,$F205,AL$3)</f>
        <v>13</v>
      </c>
      <c r="AM205" s="64">
        <f>_xll.DBRW($C$2,$AJ$1,AJ$2,$D$18,$D$3,$D205,$E205,$F205,AM$3)</f>
        <v>0</v>
      </c>
      <c r="AN205" s="58">
        <f>_xll.DBRW($C$2,$AJ$1,AJ$2,$D$18,$D$3,$D205,$E205,$F205,AN$3)</f>
        <v>0</v>
      </c>
      <c r="AO205" s="48">
        <f t="shared" si="52"/>
        <v>-2</v>
      </c>
      <c r="AP205" s="39">
        <f>_xll.DBRW($C$2,$AP$1,AP$2,$D$18,$D$3,$D205,$E205,$F205,AP$3)</f>
        <v>0</v>
      </c>
      <c r="AQ205" s="25" cm="1">
        <f t="array" ref="AQ205">_xll.DBRW($E$2,AP$1,AP$2,$D$18,$D$3,$D205,$E205,$F205,$F$3,AQ$3)</f>
        <v>0</v>
      </c>
      <c r="AR205" s="25">
        <f>_xll.DBRW($C$2,$AP$1,AP$2,$D$18,$D$3,$D205,$E205,$F205,AR$3)</f>
        <v>13</v>
      </c>
      <c r="AS205" s="64">
        <f>_xll.DBRW($C$2,$AP$1,AP$2,$D$18,$D$3,$D205,$E205,$F205,AS$3)</f>
        <v>0</v>
      </c>
      <c r="AT205" s="58">
        <f>_xll.DBRW($C$2,$AP$1,AP$2,$D$18,$D$3,$D205,$E205,$F205,AT$3)</f>
        <v>0</v>
      </c>
      <c r="AU205" s="48">
        <f t="shared" si="53"/>
        <v>-15</v>
      </c>
      <c r="AV205" s="39">
        <f>_xll.DBRW($C$2,$AV$1,AV$2,$D$18,$D$3,$D205,$E205,$F205,AV$3)</f>
        <v>0</v>
      </c>
      <c r="AW205" s="25" cm="1">
        <f t="array" ref="AW205">_xll.DBRW($E$2,AV$1,AV$2,$D$18,$D$3,$D205,$E205,$F205,$F$3,AW$3)</f>
        <v>0</v>
      </c>
      <c r="AX205" s="25">
        <f>_xll.DBRW($C$2,$AV$1,AV$2,$D$18,$D$3,$D205,$E205,$F205,AX$3)</f>
        <v>13</v>
      </c>
      <c r="AY205" s="64">
        <f>_xll.DBRW($C$2,$AV$1,AV$2,$D$18,$D$3,$D205,$E205,$F205,AY$3)</f>
        <v>0</v>
      </c>
      <c r="AZ205" s="58">
        <f>_xll.DBRW($C$2,$AV$1,AV$2,$D$18,$D$3,$D205,$E205,$F205,AZ$3)</f>
        <v>0</v>
      </c>
      <c r="BA205" s="48">
        <f t="shared" si="54"/>
        <v>-28</v>
      </c>
      <c r="BB205" s="39">
        <f>_xll.DBRW($C$2,$BB$1,BB$2,$D$18,$D$3,$D205,$E205,$F205,BB$3)</f>
        <v>0</v>
      </c>
      <c r="BC205" s="25" cm="1">
        <f t="array" ref="BC205">_xll.DBRW($E$2,BB$1,BB$2,$D$18,$D$3,$D205,$E205,$F205,$F$3,BC$3)</f>
        <v>0</v>
      </c>
      <c r="BD205" s="25">
        <f>_xll.DBRW($C$2,$BB$1,BB$2,$D$18,$D$3,$D205,$E205,$F205,BD$3)</f>
        <v>13</v>
      </c>
      <c r="BE205" s="64">
        <f>_xll.DBRW($C$2,$BB$1,BB$2,$D$18,$D$3,$D205,$E205,$F205,BE$3)</f>
        <v>0</v>
      </c>
      <c r="BF205" s="58">
        <f>_xll.DBRW($C$2,$BB$1,BB$2,$D$18,$D$3,$D205,$E205,$F205,BF$3)</f>
        <v>0</v>
      </c>
      <c r="BG205" s="48">
        <f t="shared" si="55"/>
        <v>-41</v>
      </c>
      <c r="BH205" s="39">
        <f>_xll.DBRW($C$2,$BH$1,BH$2,$D$18,$D$3,$D205,$E205,$F205,BH$3)</f>
        <v>0</v>
      </c>
      <c r="BI205" s="25" cm="1">
        <f t="array" ref="BI205">_xll.DBRW($E$2,BH$1,BH$2,$D$18,$D$3,$D205,$E205,$F205,$F$3,BI$3)</f>
        <v>0</v>
      </c>
      <c r="BJ205" s="25">
        <f>_xll.DBRW($C$2,$BH$1,BH$2,$D$18,$D$3,$D205,$E205,$F205,BJ$3)</f>
        <v>13</v>
      </c>
      <c r="BK205" s="64">
        <f>_xll.DBRW($C$2,$BH$1,BH$2,$D$18,$D$3,$D205,$E205,$F205,BK$3)</f>
        <v>0</v>
      </c>
      <c r="BL205" s="58">
        <f>_xll.DBRW($C$2,$BH$1,BH$2,$D$18,$D$3,$D205,$E205,$F205,BL$3)</f>
        <v>0</v>
      </c>
      <c r="BM205" s="48">
        <f t="shared" si="56"/>
        <v>-54</v>
      </c>
      <c r="BN205" s="39">
        <f>_xll.DBRW($C$2,$BN$1,BN$2,$D$18,$D$3,$D205,$E205,$F205,BN$3)</f>
        <v>0</v>
      </c>
      <c r="BO205" s="25" cm="1">
        <f t="array" ref="BO205">_xll.DBRW($E$2,BN$1,BN$2,$D$18,$D$3,$D205,$E205,$F205,$F$3,BO$3)</f>
        <v>0</v>
      </c>
      <c r="BP205" s="25">
        <f>_xll.DBRW($C$2,$BN$1,BN$2,$D$18,$D$3,$D205,$E205,$F205,BP$3)</f>
        <v>13</v>
      </c>
      <c r="BQ205" s="64">
        <f>_xll.DBRW($C$2,$BN$1,BN$2,$D$18,$D$3,$D205,$E205,$F205,BQ$3)</f>
        <v>0</v>
      </c>
      <c r="BR205" s="58">
        <f>_xll.DBRW($C$2,$BN$1,BN$2,$D$18,$D$3,$D205,$E205,$F205,BR$3)</f>
        <v>0</v>
      </c>
      <c r="BS205" s="48">
        <f t="shared" si="57"/>
        <v>-67</v>
      </c>
      <c r="BT205" s="39">
        <f>_xll.DBRW($C$2,$BT$1,BT$2,$D$18,$D$3,$D205,$E205,$F205,BT$3)</f>
        <v>0</v>
      </c>
      <c r="BU205" s="25" cm="1">
        <f t="array" ref="BU205">_xll.DBRW($E$2,BT$1,BT$2,$D$18,$D$3,$D205,$E205,$F205,$F$3,BU$3)</f>
        <v>0</v>
      </c>
      <c r="BV205" s="25">
        <f>_xll.DBRW($C$2,$BT$1,BT$2,$D$18,$D$3,$D205,$E205,$F205,BV$3)</f>
        <v>13</v>
      </c>
      <c r="BW205" s="64">
        <f>_xll.DBRW($C$2,$BT$1,BT$2,$D$18,$D$3,$D205,$E205,$F205,BW$3)</f>
        <v>0</v>
      </c>
      <c r="BX205" s="58">
        <f>_xll.DBRW($C$2,$BT$1,BT$2,$D$18,$D$3,$D205,$E205,$F205,BX$3)</f>
        <v>0</v>
      </c>
      <c r="BY205" s="48">
        <f t="shared" si="58"/>
        <v>-80</v>
      </c>
      <c r="BZ205" s="39">
        <f>_xll.DBRW($C$2,$BZ$1,BZ$2,$D$18,$D$3,$D205,$E205,$F205,BZ$3)</f>
        <v>0</v>
      </c>
      <c r="CA205" s="25" cm="1">
        <f t="array" ref="CA205">_xll.DBRW($E$2,BZ$1,BZ$2,$D$18,$D$3,$D205,$E205,$F205,$F$3,CA$3)</f>
        <v>0</v>
      </c>
      <c r="CB205" s="25">
        <f>_xll.DBRW($C$2,$BZ$1,BZ$2,$D$18,$D$3,$D205,$E205,$F205,CB$3)</f>
        <v>13</v>
      </c>
      <c r="CC205" s="64">
        <f>_xll.DBRW($C$2,$BZ$1,BZ$2,$D$18,$D$3,$D205,$E205,$F205,CC$3)</f>
        <v>0</v>
      </c>
      <c r="CD205" s="58">
        <f>_xll.DBRW($C$2,$BZ$1,BZ$2,$D$18,$D$3,$D205,$E205,$F205,CD$3)</f>
        <v>0</v>
      </c>
      <c r="CE205" s="48">
        <f t="shared" si="59"/>
        <v>-93</v>
      </c>
    </row>
    <row r="206" spans="1:83" s="23" customFormat="1" outlineLevel="1" thickBot="1" x14ac:dyDescent="0.3">
      <c r="A206" s="91" t="str">
        <f>IF(_xll.TM1RPTELISCONSOLIDATED($F$22,$F206),IF(_xll.TM1RPTELLEV($F$22,$F206)&lt;=5,_xll.TM1RPTELLEV($F$22,$F206),"Default"),"Leaf")</f>
        <v>Leaf</v>
      </c>
      <c r="B206" s="24" t="str">
        <f>_xll.DBRW("TM1-S1_DEV:}ElementAttributes_SP_SKU",$D206,B$1)</f>
        <v>Primary</v>
      </c>
      <c r="C206" s="24" t="str">
        <f>_xll.DBRW("TM1-S1_DEV:}ElementAttributes_SP_SKU",$D206,C$1)</f>
        <v>PAD</v>
      </c>
      <c r="D206" s="28" t="s">
        <v>457</v>
      </c>
      <c r="E206" s="28" t="s">
        <v>135</v>
      </c>
      <c r="F206" s="28" t="s">
        <v>63</v>
      </c>
      <c r="G206" s="4">
        <f>_xll.DBRW($C$2,$G$19,G$20,$D$18,$D$3,$D206,$E206,$F206,G$3)</f>
        <v>40</v>
      </c>
      <c r="H206" s="54">
        <f t="shared" si="48"/>
        <v>8</v>
      </c>
      <c r="I206" s="4"/>
      <c r="J206" s="25">
        <f>_xll.DBRW($C$2,$J$1,J$2,$D$18,$D$3,$D206,$E206,$F206,J$3)</f>
        <v>48</v>
      </c>
      <c r="K206" s="39">
        <f>_xll.DBRW($C$2,$J$1,J$2,$D$18,$D$3,$D206,$E206,$F206,K$3)</f>
        <v>0</v>
      </c>
      <c r="L206" s="25">
        <f>_xll.DBRW($C$2,$J$1,J$2,$D$18,$D$3,$D206,$E206,$F206,L$3)</f>
        <v>0</v>
      </c>
      <c r="M206" s="25">
        <f>_xll.DBRW($C$2,$J$1,J$2,$D$18,$D$3,$D206,$E206,$F206,M$3)</f>
        <v>0</v>
      </c>
      <c r="N206" s="25">
        <f>_xll.DBRW($C$2,$J$1,J$2,$D$18,$D$3,$D206,$E206,$F206,N$3)</f>
        <v>24</v>
      </c>
      <c r="O206" s="64">
        <f>_xll.DBRW($C$2,$J$1,J$2,$D$18,$D$3,$D206,$E206,$F206,O$3)</f>
        <v>1</v>
      </c>
      <c r="P206" s="58">
        <f>_xll.DBRW($C$2,$J$1,J$2,$D$18,$D$3,$D206,$E206,$F206,P$3)</f>
        <v>0</v>
      </c>
      <c r="Q206" s="48">
        <f>_xll.DBRW($C$2,$J$1,J$2,$D$18,$D$3,$D206,$E206,$F206,Q$3)</f>
        <v>24</v>
      </c>
      <c r="R206" s="39">
        <f>_xll.DBRW($C$2,$R$1,R$2,$D$18,$D$3,$D206,$E206,$F206,R$3)</f>
        <v>0</v>
      </c>
      <c r="S206" s="25" cm="1">
        <f t="array" ref="S206">_xll.DBRW($E$2,R$1,R$2,$D$18,$D$3,$D206,$E206,$F206,$F$3,S$3)</f>
        <v>0</v>
      </c>
      <c r="T206" s="25">
        <f>_xll.DBRW($C$2,$R$1,R$2,$D$18,$D$3,$D206,$E206,$F206,T$3)</f>
        <v>0</v>
      </c>
      <c r="U206" s="64">
        <f>_xll.DBRW($C$2,$R$1,R$2,$D$18,$D$3,$D206,$E206,$F206,U$3)</f>
        <v>0</v>
      </c>
      <c r="V206" s="58">
        <f>_xll.DBRW($C$2,$R$1,R$2,$D$18,$D$3,$D206,$E206,$F206,V$3)</f>
        <v>0</v>
      </c>
      <c r="W206" s="48">
        <f t="shared" si="49"/>
        <v>24</v>
      </c>
      <c r="X206" s="39">
        <f>_xll.DBRW($C$2,$X$1,X$2,$D$18,$D$3,$D206,$E206,$F206,X$3)</f>
        <v>0</v>
      </c>
      <c r="Y206" s="25" cm="1">
        <f t="array" ref="Y206">_xll.DBRW($E$2,X$1,X$2,$D$18,$D$3,$D206,$E206,$F206,$F$3,Y$3)</f>
        <v>0</v>
      </c>
      <c r="Z206" s="25">
        <f>_xll.DBRW($C$2,$X$1,X$2,$D$18,$D$3,$D206,$E206,$F206,Z$3)</f>
        <v>2</v>
      </c>
      <c r="AA206" s="64">
        <f>_xll.DBRW($C$2,$X$1,X$2,$D$18,$D$3,$D206,$E206,$F206,AA$3)</f>
        <v>0</v>
      </c>
      <c r="AB206" s="58">
        <f>_xll.DBRW($C$2,$X$1,X$2,$D$18,$D$3,$D206,$E206,$F206,AB$3)</f>
        <v>0</v>
      </c>
      <c r="AC206" s="48">
        <f t="shared" si="50"/>
        <v>22</v>
      </c>
      <c r="AD206" s="39">
        <f>_xll.DBRW($C$2,$AD$1,AD$2,$D$18,$D$3,$D206,$E206,$F206,AD$3)</f>
        <v>0</v>
      </c>
      <c r="AE206" s="25" cm="1">
        <f t="array" ref="AE206">_xll.DBRW($E$2,AD$1,AD$2,$D$18,$D$3,$D206,$E206,$F206,$F$3,AE$3)</f>
        <v>0</v>
      </c>
      <c r="AF206" s="25">
        <f>_xll.DBRW($C$2,$AD$1,AD$2,$D$18,$D$3,$D206,$E206,$F206,AF$3)</f>
        <v>2</v>
      </c>
      <c r="AG206" s="64">
        <f>_xll.DBRW($C$2,$AD$1,AD$2,$D$18,$D$3,$D206,$E206,$F206,AG$3)</f>
        <v>0</v>
      </c>
      <c r="AH206" s="58">
        <f>_xll.DBRW($C$2,$AD$1,AD$2,$D$18,$D$3,$D206,$E206,$F206,AH$3)</f>
        <v>0</v>
      </c>
      <c r="AI206" s="48">
        <f t="shared" si="51"/>
        <v>20</v>
      </c>
      <c r="AJ206" s="39">
        <f>_xll.DBRW($C$2,$AJ$1,AJ$2,$D$18,$D$3,$D206,$E206,$F206,AJ$3)</f>
        <v>0</v>
      </c>
      <c r="AK206" s="25" cm="1">
        <f t="array" ref="AK206">_xll.DBRW($E$2,AJ$1,AJ$2,$D$18,$D$3,$D206,$E206,$F206,$F$3,AK$3)</f>
        <v>0</v>
      </c>
      <c r="AL206" s="25">
        <f>_xll.DBRW($C$2,$AJ$1,AJ$2,$D$18,$D$3,$D206,$E206,$F206,AL$3)</f>
        <v>2</v>
      </c>
      <c r="AM206" s="64">
        <f>_xll.DBRW($C$2,$AJ$1,AJ$2,$D$18,$D$3,$D206,$E206,$F206,AM$3)</f>
        <v>0</v>
      </c>
      <c r="AN206" s="58">
        <f>_xll.DBRW($C$2,$AJ$1,AJ$2,$D$18,$D$3,$D206,$E206,$F206,AN$3)</f>
        <v>0</v>
      </c>
      <c r="AO206" s="48">
        <f t="shared" si="52"/>
        <v>18</v>
      </c>
      <c r="AP206" s="39">
        <f>_xll.DBRW($C$2,$AP$1,AP$2,$D$18,$D$3,$D206,$E206,$F206,AP$3)</f>
        <v>0</v>
      </c>
      <c r="AQ206" s="25" cm="1">
        <f t="array" ref="AQ206">_xll.DBRW($E$2,AP$1,AP$2,$D$18,$D$3,$D206,$E206,$F206,$F$3,AQ$3)</f>
        <v>0</v>
      </c>
      <c r="AR206" s="25">
        <f>_xll.DBRW($C$2,$AP$1,AP$2,$D$18,$D$3,$D206,$E206,$F206,AR$3)</f>
        <v>2</v>
      </c>
      <c r="AS206" s="64">
        <f>_xll.DBRW($C$2,$AP$1,AP$2,$D$18,$D$3,$D206,$E206,$F206,AS$3)</f>
        <v>0</v>
      </c>
      <c r="AT206" s="58">
        <f>_xll.DBRW($C$2,$AP$1,AP$2,$D$18,$D$3,$D206,$E206,$F206,AT$3)</f>
        <v>0</v>
      </c>
      <c r="AU206" s="48">
        <f t="shared" si="53"/>
        <v>16</v>
      </c>
      <c r="AV206" s="39">
        <f>_xll.DBRW($C$2,$AV$1,AV$2,$D$18,$D$3,$D206,$E206,$F206,AV$3)</f>
        <v>0</v>
      </c>
      <c r="AW206" s="25" cm="1">
        <f t="array" ref="AW206">_xll.DBRW($E$2,AV$1,AV$2,$D$18,$D$3,$D206,$E206,$F206,$F$3,AW$3)</f>
        <v>0</v>
      </c>
      <c r="AX206" s="25">
        <f>_xll.DBRW($C$2,$AV$1,AV$2,$D$18,$D$3,$D206,$E206,$F206,AX$3)</f>
        <v>2</v>
      </c>
      <c r="AY206" s="64">
        <f>_xll.DBRW($C$2,$AV$1,AV$2,$D$18,$D$3,$D206,$E206,$F206,AY$3)</f>
        <v>1</v>
      </c>
      <c r="AZ206" s="58">
        <f>_xll.DBRW($C$2,$AV$1,AV$2,$D$18,$D$3,$D206,$E206,$F206,AZ$3)</f>
        <v>0</v>
      </c>
      <c r="BA206" s="48">
        <f t="shared" si="54"/>
        <v>14</v>
      </c>
      <c r="BB206" s="39">
        <f>_xll.DBRW($C$2,$BB$1,BB$2,$D$18,$D$3,$D206,$E206,$F206,BB$3)</f>
        <v>0</v>
      </c>
      <c r="BC206" s="25" cm="1">
        <f t="array" ref="BC206">_xll.DBRW($E$2,BB$1,BB$2,$D$18,$D$3,$D206,$E206,$F206,$F$3,BC$3)</f>
        <v>0</v>
      </c>
      <c r="BD206" s="25">
        <f>_xll.DBRW($C$2,$BB$1,BB$2,$D$18,$D$3,$D206,$E206,$F206,BD$3)</f>
        <v>2</v>
      </c>
      <c r="BE206" s="64">
        <f>_xll.DBRW($C$2,$BB$1,BB$2,$D$18,$D$3,$D206,$E206,$F206,BE$3)</f>
        <v>0</v>
      </c>
      <c r="BF206" s="58">
        <f>_xll.DBRW($C$2,$BB$1,BB$2,$D$18,$D$3,$D206,$E206,$F206,BF$3)</f>
        <v>0</v>
      </c>
      <c r="BG206" s="48">
        <f t="shared" si="55"/>
        <v>12</v>
      </c>
      <c r="BH206" s="39">
        <f>_xll.DBRW($C$2,$BH$1,BH$2,$D$18,$D$3,$D206,$E206,$F206,BH$3)</f>
        <v>0</v>
      </c>
      <c r="BI206" s="25" cm="1">
        <f t="array" ref="BI206">_xll.DBRW($E$2,BH$1,BH$2,$D$18,$D$3,$D206,$E206,$F206,$F$3,BI$3)</f>
        <v>0</v>
      </c>
      <c r="BJ206" s="25">
        <f>_xll.DBRW($C$2,$BH$1,BH$2,$D$18,$D$3,$D206,$E206,$F206,BJ$3)</f>
        <v>2</v>
      </c>
      <c r="BK206" s="64">
        <f>_xll.DBRW($C$2,$BH$1,BH$2,$D$18,$D$3,$D206,$E206,$F206,BK$3)</f>
        <v>0</v>
      </c>
      <c r="BL206" s="58">
        <f>_xll.DBRW($C$2,$BH$1,BH$2,$D$18,$D$3,$D206,$E206,$F206,BL$3)</f>
        <v>0</v>
      </c>
      <c r="BM206" s="48">
        <f t="shared" si="56"/>
        <v>10</v>
      </c>
      <c r="BN206" s="39">
        <f>_xll.DBRW($C$2,$BN$1,BN$2,$D$18,$D$3,$D206,$E206,$F206,BN$3)</f>
        <v>0</v>
      </c>
      <c r="BO206" s="25" cm="1">
        <f t="array" ref="BO206">_xll.DBRW($E$2,BN$1,BN$2,$D$18,$D$3,$D206,$E206,$F206,$F$3,BO$3)</f>
        <v>0</v>
      </c>
      <c r="BP206" s="25">
        <f>_xll.DBRW($C$2,$BN$1,BN$2,$D$18,$D$3,$D206,$E206,$F206,BP$3)</f>
        <v>2</v>
      </c>
      <c r="BQ206" s="64">
        <f>_xll.DBRW($C$2,$BN$1,BN$2,$D$18,$D$3,$D206,$E206,$F206,BQ$3)</f>
        <v>0</v>
      </c>
      <c r="BR206" s="58">
        <f>_xll.DBRW($C$2,$BN$1,BN$2,$D$18,$D$3,$D206,$E206,$F206,BR$3)</f>
        <v>0</v>
      </c>
      <c r="BS206" s="48">
        <f t="shared" si="57"/>
        <v>8</v>
      </c>
      <c r="BT206" s="39">
        <f>_xll.DBRW($C$2,$BT$1,BT$2,$D$18,$D$3,$D206,$E206,$F206,BT$3)</f>
        <v>0</v>
      </c>
      <c r="BU206" s="25" cm="1">
        <f t="array" ref="BU206">_xll.DBRW($E$2,BT$1,BT$2,$D$18,$D$3,$D206,$E206,$F206,$F$3,BU$3)</f>
        <v>0</v>
      </c>
      <c r="BV206" s="25">
        <f>_xll.DBRW($C$2,$BT$1,BT$2,$D$18,$D$3,$D206,$E206,$F206,BV$3)</f>
        <v>2</v>
      </c>
      <c r="BW206" s="64">
        <f>_xll.DBRW($C$2,$BT$1,BT$2,$D$18,$D$3,$D206,$E206,$F206,BW$3)</f>
        <v>0</v>
      </c>
      <c r="BX206" s="58">
        <f>_xll.DBRW($C$2,$BT$1,BT$2,$D$18,$D$3,$D206,$E206,$F206,BX$3)</f>
        <v>0</v>
      </c>
      <c r="BY206" s="48">
        <f t="shared" si="58"/>
        <v>6</v>
      </c>
      <c r="BZ206" s="39">
        <f>_xll.DBRW($C$2,$BZ$1,BZ$2,$D$18,$D$3,$D206,$E206,$F206,BZ$3)</f>
        <v>0</v>
      </c>
      <c r="CA206" s="25" cm="1">
        <f t="array" ref="CA206">_xll.DBRW($E$2,BZ$1,BZ$2,$D$18,$D$3,$D206,$E206,$F206,$F$3,CA$3)</f>
        <v>0</v>
      </c>
      <c r="CB206" s="25">
        <f>_xll.DBRW($C$2,$BZ$1,BZ$2,$D$18,$D$3,$D206,$E206,$F206,CB$3)</f>
        <v>2</v>
      </c>
      <c r="CC206" s="64">
        <f>_xll.DBRW($C$2,$BZ$1,BZ$2,$D$18,$D$3,$D206,$E206,$F206,CC$3)</f>
        <v>0</v>
      </c>
      <c r="CD206" s="58">
        <f>_xll.DBRW($C$2,$BZ$1,BZ$2,$D$18,$D$3,$D206,$E206,$F206,CD$3)</f>
        <v>0</v>
      </c>
      <c r="CE206" s="48">
        <f t="shared" si="59"/>
        <v>4</v>
      </c>
    </row>
  </sheetData>
  <autoFilter ref="B21:CE22" xr:uid="{2BD6FA86-5748-4582-8756-4D08935EF554}"/>
  <mergeCells count="53">
    <mergeCell ref="G20:H20"/>
    <mergeCell ref="J20:Q20"/>
    <mergeCell ref="R20:W20"/>
    <mergeCell ref="X20:AC20"/>
    <mergeCell ref="AD20:AI20"/>
    <mergeCell ref="BZ20:CE20"/>
    <mergeCell ref="AP20:AU20"/>
    <mergeCell ref="AV20:BA20"/>
    <mergeCell ref="AJ20:AO20"/>
    <mergeCell ref="X19:AC19"/>
    <mergeCell ref="AD19:AI19"/>
    <mergeCell ref="AJ19:AO19"/>
    <mergeCell ref="AP19:AU19"/>
    <mergeCell ref="BB20:BG20"/>
    <mergeCell ref="BH20:BM20"/>
    <mergeCell ref="BN20:BS20"/>
    <mergeCell ref="BT20:BY20"/>
    <mergeCell ref="BZ19:CE19"/>
    <mergeCell ref="D16:E16"/>
    <mergeCell ref="D17:E17"/>
    <mergeCell ref="D18:E18"/>
    <mergeCell ref="G19:H19"/>
    <mergeCell ref="BT19:BY19"/>
    <mergeCell ref="R19:W19"/>
    <mergeCell ref="AV19:BA19"/>
    <mergeCell ref="BB19:BG19"/>
    <mergeCell ref="AV2:BA2"/>
    <mergeCell ref="BB2:BG2"/>
    <mergeCell ref="BH2:BM2"/>
    <mergeCell ref="BN2:BS2"/>
    <mergeCell ref="BH19:BM19"/>
    <mergeCell ref="BN19:BS19"/>
    <mergeCell ref="R2:W2"/>
    <mergeCell ref="X2:AC2"/>
    <mergeCell ref="AD2:AI2"/>
    <mergeCell ref="AJ2:AO2"/>
    <mergeCell ref="AP2:AU2"/>
    <mergeCell ref="J1:Q1"/>
    <mergeCell ref="J2:Q2"/>
    <mergeCell ref="J19:Q19"/>
    <mergeCell ref="BZ1:CE1"/>
    <mergeCell ref="R1:W1"/>
    <mergeCell ref="X1:AC1"/>
    <mergeCell ref="AD1:AI1"/>
    <mergeCell ref="AJ1:AO1"/>
    <mergeCell ref="AP1:AU1"/>
    <mergeCell ref="AV1:BA1"/>
    <mergeCell ref="BB1:BG1"/>
    <mergeCell ref="BH1:BM1"/>
    <mergeCell ref="BN1:BS1"/>
    <mergeCell ref="BT1:BY1"/>
    <mergeCell ref="BT2:BY2"/>
    <mergeCell ref="BZ2:CE2"/>
  </mergeCells>
  <conditionalFormatting sqref="Q4:Q11 Q22:Q206">
    <cfRule type="cellIs" dxfId="101" priority="2260" operator="lessThan">
      <formula>0</formula>
    </cfRule>
  </conditionalFormatting>
  <conditionalFormatting sqref="AC4:AC11">
    <cfRule type="cellIs" dxfId="100" priority="2259" operator="lessThan">
      <formula>0</formula>
    </cfRule>
  </conditionalFormatting>
  <conditionalFormatting sqref="AI4:AI11">
    <cfRule type="cellIs" dxfId="99" priority="2258" operator="lessThan">
      <formula>0</formula>
    </cfRule>
  </conditionalFormatting>
  <conditionalFormatting sqref="AO4:AO11">
    <cfRule type="cellIs" dxfId="98" priority="2257" operator="lessThan">
      <formula>0</formula>
    </cfRule>
  </conditionalFormatting>
  <conditionalFormatting sqref="AU4:AU11">
    <cfRule type="cellIs" dxfId="97" priority="2256" operator="lessThan">
      <formula>0</formula>
    </cfRule>
  </conditionalFormatting>
  <conditionalFormatting sqref="BA4:BA11">
    <cfRule type="cellIs" dxfId="96" priority="2255" operator="lessThan">
      <formula>0</formula>
    </cfRule>
  </conditionalFormatting>
  <conditionalFormatting sqref="BG4:BG11">
    <cfRule type="cellIs" dxfId="95" priority="2254" operator="lessThan">
      <formula>0</formula>
    </cfRule>
  </conditionalFormatting>
  <conditionalFormatting sqref="BM4:BM11">
    <cfRule type="cellIs" dxfId="94" priority="2253" operator="lessThan">
      <formula>0</formula>
    </cfRule>
  </conditionalFormatting>
  <conditionalFormatting sqref="BS4:BS11">
    <cfRule type="cellIs" dxfId="93" priority="2252" operator="lessThan">
      <formula>0</formula>
    </cfRule>
  </conditionalFormatting>
  <conditionalFormatting sqref="BY4:BY11">
    <cfRule type="cellIs" dxfId="92" priority="2251" operator="lessThan">
      <formula>0</formula>
    </cfRule>
  </conditionalFormatting>
  <conditionalFormatting sqref="CE4:CE11">
    <cfRule type="cellIs" dxfId="91" priority="2250" operator="lessThan">
      <formula>0</formula>
    </cfRule>
  </conditionalFormatting>
  <conditionalFormatting sqref="W4:W11">
    <cfRule type="cellIs" dxfId="90" priority="2249" operator="lessThan">
      <formula>0</formula>
    </cfRule>
  </conditionalFormatting>
  <conditionalFormatting sqref="P4:P11 P22:P206">
    <cfRule type="expression" dxfId="89" priority="2248">
      <formula>$O4=0</formula>
    </cfRule>
  </conditionalFormatting>
  <conditionalFormatting sqref="V4:V11 V22:V206">
    <cfRule type="expression" dxfId="88" priority="2247">
      <formula>$U4=0</formula>
    </cfRule>
  </conditionalFormatting>
  <conditionalFormatting sqref="AB4:AB11 AB22:AB206">
    <cfRule type="expression" dxfId="87" priority="2246">
      <formula>$AA4=0</formula>
    </cfRule>
  </conditionalFormatting>
  <conditionalFormatting sqref="AH4:AH11 AH22:AH206">
    <cfRule type="expression" dxfId="86" priority="2245">
      <formula>$AG4=0</formula>
    </cfRule>
  </conditionalFormatting>
  <conditionalFormatting sqref="AN4:AN11 AN22:AN206">
    <cfRule type="expression" dxfId="85" priority="2244">
      <formula>$AM4=0</formula>
    </cfRule>
  </conditionalFormatting>
  <conditionalFormatting sqref="AT4:AT11 AT22:AT206">
    <cfRule type="expression" dxfId="84" priority="2243">
      <formula>$AS4=0</formula>
    </cfRule>
  </conditionalFormatting>
  <conditionalFormatting sqref="AZ4:AZ11 AZ22:AZ206">
    <cfRule type="expression" dxfId="83" priority="2242">
      <formula>$AY4=0</formula>
    </cfRule>
  </conditionalFormatting>
  <conditionalFormatting sqref="BF4:BF11 BF22:BF206">
    <cfRule type="expression" dxfId="82" priority="2241">
      <formula>$BE4=0</formula>
    </cfRule>
  </conditionalFormatting>
  <conditionalFormatting sqref="BL4:BL11 BL22:BL206">
    <cfRule type="expression" dxfId="81" priority="2240">
      <formula>$BK4=0</formula>
    </cfRule>
  </conditionalFormatting>
  <conditionalFormatting sqref="BR4:BR11 BR22:BR206">
    <cfRule type="expression" dxfId="80" priority="2239">
      <formula>$BQ4=0</formula>
    </cfRule>
  </conditionalFormatting>
  <conditionalFormatting sqref="BX4:BX11 BX22:BX206">
    <cfRule type="expression" dxfId="79" priority="2238">
      <formula>$BW4=0</formula>
    </cfRule>
  </conditionalFormatting>
  <conditionalFormatting sqref="CD4:CD11 CD22:CD206">
    <cfRule type="expression" dxfId="78" priority="2237">
      <formula>$CC4=0</formula>
    </cfRule>
  </conditionalFormatting>
  <conditionalFormatting sqref="O4:O11 O22:O206">
    <cfRule type="expression" dxfId="77" priority="2159">
      <formula>#REF!="WRITE"</formula>
    </cfRule>
  </conditionalFormatting>
  <conditionalFormatting sqref="U4:U11">
    <cfRule type="expression" dxfId="76" priority="2114">
      <formula>#REF!="WRITE"</formula>
    </cfRule>
  </conditionalFormatting>
  <conditionalFormatting sqref="AA4:AA11">
    <cfRule type="expression" dxfId="75" priority="2069">
      <formula>#REF!="WRITE"</formula>
    </cfRule>
  </conditionalFormatting>
  <conditionalFormatting sqref="AG4:AG11">
    <cfRule type="expression" dxfId="74" priority="2046">
      <formula>#REF!="WRITE"</formula>
    </cfRule>
  </conditionalFormatting>
  <conditionalFormatting sqref="AM4:AM11">
    <cfRule type="expression" dxfId="73" priority="2023">
      <formula>#REF!="WRITE"</formula>
    </cfRule>
  </conditionalFormatting>
  <conditionalFormatting sqref="AS4:AS11">
    <cfRule type="expression" dxfId="72" priority="2022">
      <formula>#REF!="WRITE"</formula>
    </cfRule>
  </conditionalFormatting>
  <conditionalFormatting sqref="AY4:AY11">
    <cfRule type="expression" dxfId="71" priority="2021">
      <formula>#REF!="WRITE"</formula>
    </cfRule>
  </conditionalFormatting>
  <conditionalFormatting sqref="BE4:BE11">
    <cfRule type="expression" dxfId="70" priority="2020">
      <formula>#REF!="WRITE"</formula>
    </cfRule>
  </conditionalFormatting>
  <conditionalFormatting sqref="BK4:BK11">
    <cfRule type="expression" dxfId="69" priority="2019">
      <formula>#REF!="WRITE"</formula>
    </cfRule>
  </conditionalFormatting>
  <conditionalFormatting sqref="BQ4:BQ11">
    <cfRule type="expression" dxfId="68" priority="2018">
      <formula>#REF!="WRITE"</formula>
    </cfRule>
  </conditionalFormatting>
  <conditionalFormatting sqref="BW4:BW11">
    <cfRule type="expression" dxfId="67" priority="2017">
      <formula>#REF!="WRITE"</formula>
    </cfRule>
  </conditionalFormatting>
  <conditionalFormatting sqref="CC4:CC11">
    <cfRule type="expression" dxfId="66" priority="2016">
      <formula>#REF!="WRITE"</formula>
    </cfRule>
  </conditionalFormatting>
  <conditionalFormatting sqref="AC22:AC206">
    <cfRule type="cellIs" dxfId="21" priority="22" operator="lessThan">
      <formula>0</formula>
    </cfRule>
  </conditionalFormatting>
  <conditionalFormatting sqref="AI22:AI206">
    <cfRule type="cellIs" dxfId="20" priority="21" operator="lessThan">
      <formula>0</formula>
    </cfRule>
  </conditionalFormatting>
  <conditionalFormatting sqref="AO22:AO206">
    <cfRule type="cellIs" dxfId="19" priority="20" operator="lessThan">
      <formula>0</formula>
    </cfRule>
  </conditionalFormatting>
  <conditionalFormatting sqref="AU22:AU206">
    <cfRule type="cellIs" dxfId="18" priority="19" operator="lessThan">
      <formula>0</formula>
    </cfRule>
  </conditionalFormatting>
  <conditionalFormatting sqref="BA22:BA206">
    <cfRule type="cellIs" dxfId="17" priority="18" operator="lessThan">
      <formula>0</formula>
    </cfRule>
  </conditionalFormatting>
  <conditionalFormatting sqref="BG22:BG206">
    <cfRule type="cellIs" dxfId="16" priority="17" operator="lessThan">
      <formula>0</formula>
    </cfRule>
  </conditionalFormatting>
  <conditionalFormatting sqref="BM22:BM206">
    <cfRule type="cellIs" dxfId="15" priority="16" operator="lessThan">
      <formula>0</formula>
    </cfRule>
  </conditionalFormatting>
  <conditionalFormatting sqref="BS22:BS206">
    <cfRule type="cellIs" dxfId="14" priority="15" operator="lessThan">
      <formula>0</formula>
    </cfRule>
  </conditionalFormatting>
  <conditionalFormatting sqref="BY22:BY206">
    <cfRule type="cellIs" dxfId="13" priority="14" operator="lessThan">
      <formula>0</formula>
    </cfRule>
  </conditionalFormatting>
  <conditionalFormatting sqref="CE22:CE206">
    <cfRule type="cellIs" dxfId="12" priority="13" operator="lessThan">
      <formula>0</formula>
    </cfRule>
  </conditionalFormatting>
  <conditionalFormatting sqref="W22:W206">
    <cfRule type="cellIs" dxfId="11" priority="12" operator="lessThan">
      <formula>0</formula>
    </cfRule>
  </conditionalFormatting>
  <conditionalFormatting sqref="U22:U206">
    <cfRule type="expression" dxfId="10" priority="11">
      <formula>#REF!="WRITE"</formula>
    </cfRule>
  </conditionalFormatting>
  <conditionalFormatting sqref="AA22:AA206">
    <cfRule type="expression" dxfId="9" priority="10">
      <formula>#REF!="WRITE"</formula>
    </cfRule>
  </conditionalFormatting>
  <conditionalFormatting sqref="AG22:AG206">
    <cfRule type="expression" dxfId="8" priority="9">
      <formula>#REF!="WRITE"</formula>
    </cfRule>
  </conditionalFormatting>
  <conditionalFormatting sqref="AM22:AM206">
    <cfRule type="expression" dxfId="7" priority="8">
      <formula>#REF!="WRITE"</formula>
    </cfRule>
  </conditionalFormatting>
  <conditionalFormatting sqref="AS22:AS206">
    <cfRule type="expression" dxfId="6" priority="7">
      <formula>#REF!="WRITE"</formula>
    </cfRule>
  </conditionalFormatting>
  <conditionalFormatting sqref="AY22:AY206">
    <cfRule type="expression" dxfId="5" priority="6">
      <formula>#REF!="WRITE"</formula>
    </cfRule>
  </conditionalFormatting>
  <conditionalFormatting sqref="BE22:BE206">
    <cfRule type="expression" dxfId="4" priority="5">
      <formula>#REF!="WRITE"</formula>
    </cfRule>
  </conditionalFormatting>
  <conditionalFormatting sqref="BK22:BK206">
    <cfRule type="expression" dxfId="3" priority="4">
      <formula>#REF!="WRITE"</formula>
    </cfRule>
  </conditionalFormatting>
  <conditionalFormatting sqref="BQ22:BQ206">
    <cfRule type="expression" dxfId="2" priority="3">
      <formula>#REF!="WRITE"</formula>
    </cfRule>
  </conditionalFormatting>
  <conditionalFormatting sqref="BW22:BW206">
    <cfRule type="expression" dxfId="1" priority="2">
      <formula>#REF!="WRITE"</formula>
    </cfRule>
  </conditionalFormatting>
  <conditionalFormatting sqref="CC22:CC206">
    <cfRule type="expression" dxfId="0" priority="1">
      <formula>#REF!="WRITE"</formula>
    </cfRule>
  </conditionalFormatting>
  <pageMargins left="0.7" right="0.7" top="0.75" bottom="0.75" header="0.3" footer="0.3"/>
  <pageSetup orientation="portrait" r:id="rId1"/>
  <customProperties>
    <customPr name="TM1Actions" r:id="rId2"/>
  </customProperties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6A45F-CAD8-4C22-B18B-6173DBE424B5}">
  <sheetPr codeName="Sheet20"/>
  <dimension ref="A1:K72"/>
  <sheetViews>
    <sheetView workbookViewId="0">
      <pane xSplit="1" ySplit="24" topLeftCell="B25" activePane="bottomRight" state="frozen"/>
      <selection pane="topRight" activeCell="B1" sqref="B1"/>
      <selection pane="bottomLeft" activeCell="A25" sqref="A25"/>
      <selection pane="bottomRight"/>
    </sheetView>
  </sheetViews>
  <sheetFormatPr defaultRowHeight="15" outlineLevelRow="1" outlineLevelCol="1" x14ac:dyDescent="0.25"/>
  <cols>
    <col min="1" max="1" width="25.7109375" hidden="1" customWidth="1" outlineLevel="1"/>
    <col min="2" max="2" width="13.140625" customWidth="1" collapsed="1"/>
    <col min="3" max="3" width="15.140625" customWidth="1"/>
    <col min="4" max="4" width="16" hidden="1" customWidth="1" outlineLevel="1"/>
    <col min="5" max="5" width="50.28515625" style="59" customWidth="1" collapsed="1"/>
    <col min="6" max="6" width="19.140625" customWidth="1"/>
    <col min="7" max="7" width="22.28515625" customWidth="1"/>
    <col min="8" max="8" width="15" customWidth="1"/>
    <col min="9" max="9" width="12.28515625" style="60" bestFit="1" customWidth="1"/>
    <col min="10" max="10" width="16.140625" style="60" bestFit="1" customWidth="1"/>
    <col min="11" max="11" width="12.28515625" style="60" bestFit="1" customWidth="1"/>
  </cols>
  <sheetData>
    <row r="1" spans="1:11" hidden="1" outlineLevel="1" x14ac:dyDescent="0.25">
      <c r="B1" s="1" t="s">
        <v>85</v>
      </c>
      <c r="C1" s="1" t="s">
        <v>86</v>
      </c>
      <c r="D1" s="1" t="s">
        <v>87</v>
      </c>
      <c r="F1" s="1" t="s">
        <v>88</v>
      </c>
      <c r="G1" s="1" t="s">
        <v>7</v>
      </c>
      <c r="H1" s="1" t="s">
        <v>89</v>
      </c>
    </row>
    <row r="2" spans="1:11" hidden="1" outlineLevel="1" x14ac:dyDescent="0.25">
      <c r="B2" t="str">
        <f>_xll.TM1RPTVIEW("TM1-S1_DEV:SP_PO_Detail:59776080",1,_xll.TM1RPTTITLE("TM1-S1_DEV:SP_DistributionCenter",$C$20),_xll.TM1RPTTITLE("TM1-S1_DEV:SP_Locations",$C$4),TM1RPTFMTRNG59776080,TM1RPTFMTIDCOL59776080)</f>
        <v>TM1-S1_DEV:SP_PO_Detail:59776080</v>
      </c>
    </row>
    <row r="3" spans="1:11" hidden="1" outlineLevel="1" x14ac:dyDescent="0.25">
      <c r="B3" t="s">
        <v>84</v>
      </c>
    </row>
    <row r="4" spans="1:11" hidden="1" outlineLevel="1" x14ac:dyDescent="0.25">
      <c r="B4" s="26" t="s">
        <v>8</v>
      </c>
      <c r="C4" s="27" t="str">
        <f>_xll.SUBNM("TM1-S1_DEV:SP_Locations",,"No Store")</f>
        <v>No Store</v>
      </c>
    </row>
    <row r="5" spans="1:11" hidden="1" outlineLevel="1" x14ac:dyDescent="0.25">
      <c r="D5" s="1" t="s">
        <v>5</v>
      </c>
    </row>
    <row r="6" spans="1:11" hidden="1" outlineLevel="1" x14ac:dyDescent="0.25">
      <c r="E6" s="59" t="s">
        <v>83</v>
      </c>
    </row>
    <row r="7" spans="1:11" ht="15.75" hidden="1" outlineLevel="1" thickBot="1" x14ac:dyDescent="0.3">
      <c r="A7" s="1" t="s">
        <v>0</v>
      </c>
    </row>
    <row r="8" spans="1:11" s="2" customFormat="1" hidden="1" outlineLevel="1" thickBot="1" x14ac:dyDescent="0.3">
      <c r="A8" s="93">
        <v>0</v>
      </c>
      <c r="B8" s="101" t="s">
        <v>4</v>
      </c>
      <c r="C8" s="101" t="s">
        <v>4</v>
      </c>
      <c r="D8" s="118" t="s">
        <v>4</v>
      </c>
      <c r="E8" s="118" t="s">
        <v>4</v>
      </c>
      <c r="F8" s="101" t="s">
        <v>4</v>
      </c>
      <c r="G8" s="101" t="s">
        <v>4</v>
      </c>
      <c r="H8" s="101" t="s">
        <v>4</v>
      </c>
      <c r="I8" s="102">
        <v>123.456789</v>
      </c>
      <c r="J8" s="102">
        <v>123.456789</v>
      </c>
      <c r="K8" s="102">
        <v>123.456789</v>
      </c>
    </row>
    <row r="9" spans="1:11" s="5" customFormat="1" hidden="1" outlineLevel="1" thickBot="1" x14ac:dyDescent="0.3">
      <c r="A9" s="94">
        <v>1</v>
      </c>
      <c r="B9" s="103" t="s">
        <v>4</v>
      </c>
      <c r="C9" s="103" t="s">
        <v>4</v>
      </c>
      <c r="D9" s="119" t="s">
        <v>4</v>
      </c>
      <c r="E9" s="119" t="s">
        <v>4</v>
      </c>
      <c r="F9" s="103" t="s">
        <v>4</v>
      </c>
      <c r="G9" s="103" t="s">
        <v>4</v>
      </c>
      <c r="H9" s="103" t="s">
        <v>4</v>
      </c>
      <c r="I9" s="104">
        <v>123.456789</v>
      </c>
      <c r="J9" s="104">
        <v>123.456789</v>
      </c>
      <c r="K9" s="104">
        <v>123.456789</v>
      </c>
    </row>
    <row r="10" spans="1:11" s="8" customFormat="1" hidden="1" outlineLevel="1" thickBot="1" x14ac:dyDescent="0.3">
      <c r="A10" s="95">
        <v>2</v>
      </c>
      <c r="B10" s="105" t="s">
        <v>4</v>
      </c>
      <c r="C10" s="105" t="s">
        <v>4</v>
      </c>
      <c r="D10" s="120" t="s">
        <v>4</v>
      </c>
      <c r="E10" s="120" t="s">
        <v>4</v>
      </c>
      <c r="F10" s="105" t="s">
        <v>4</v>
      </c>
      <c r="G10" s="105" t="s">
        <v>4</v>
      </c>
      <c r="H10" s="105" t="s">
        <v>4</v>
      </c>
      <c r="I10" s="106">
        <v>123.456789</v>
      </c>
      <c r="J10" s="106">
        <v>123.456789</v>
      </c>
      <c r="K10" s="106">
        <v>123.456789</v>
      </c>
    </row>
    <row r="11" spans="1:11" s="11" customFormat="1" hidden="1" outlineLevel="1" thickBot="1" x14ac:dyDescent="0.3">
      <c r="A11" s="96">
        <v>3</v>
      </c>
      <c r="B11" s="107" t="s">
        <v>4</v>
      </c>
      <c r="C11" s="107" t="s">
        <v>4</v>
      </c>
      <c r="D11" s="121" t="s">
        <v>4</v>
      </c>
      <c r="E11" s="121" t="s">
        <v>4</v>
      </c>
      <c r="F11" s="107" t="s">
        <v>4</v>
      </c>
      <c r="G11" s="107" t="s">
        <v>4</v>
      </c>
      <c r="H11" s="107" t="s">
        <v>4</v>
      </c>
      <c r="I11" s="108">
        <v>123.456789</v>
      </c>
      <c r="J11" s="108">
        <v>123.456789</v>
      </c>
      <c r="K11" s="108">
        <v>123.456789</v>
      </c>
    </row>
    <row r="12" spans="1:11" s="14" customFormat="1" hidden="1" outlineLevel="1" thickBot="1" x14ac:dyDescent="0.3">
      <c r="A12" s="97">
        <v>4</v>
      </c>
      <c r="B12" s="109" t="s">
        <v>4</v>
      </c>
      <c r="C12" s="109" t="s">
        <v>4</v>
      </c>
      <c r="D12" s="122" t="s">
        <v>4</v>
      </c>
      <c r="E12" s="122" t="s">
        <v>4</v>
      </c>
      <c r="F12" s="109" t="s">
        <v>4</v>
      </c>
      <c r="G12" s="109" t="s">
        <v>4</v>
      </c>
      <c r="H12" s="109" t="s">
        <v>4</v>
      </c>
      <c r="I12" s="110">
        <v>123.456789</v>
      </c>
      <c r="J12" s="110">
        <v>123.456789</v>
      </c>
      <c r="K12" s="110">
        <v>123.456789</v>
      </c>
    </row>
    <row r="13" spans="1:11" s="17" customFormat="1" hidden="1" outlineLevel="1" thickBot="1" x14ac:dyDescent="0.3">
      <c r="A13" s="98">
        <v>5</v>
      </c>
      <c r="B13" s="111" t="s">
        <v>4</v>
      </c>
      <c r="C13" s="111" t="s">
        <v>4</v>
      </c>
      <c r="D13" s="123" t="s">
        <v>4</v>
      </c>
      <c r="E13" s="123" t="s">
        <v>4</v>
      </c>
      <c r="F13" s="111" t="s">
        <v>4</v>
      </c>
      <c r="G13" s="111" t="s">
        <v>4</v>
      </c>
      <c r="H13" s="111" t="s">
        <v>4</v>
      </c>
      <c r="I13" s="112">
        <v>123.456789</v>
      </c>
      <c r="J13" s="112">
        <v>123.456789</v>
      </c>
      <c r="K13" s="112">
        <v>123.456789</v>
      </c>
    </row>
    <row r="14" spans="1:11" s="20" customFormat="1" hidden="1" outlineLevel="1" thickBot="1" x14ac:dyDescent="0.3">
      <c r="A14" s="99" t="s">
        <v>1</v>
      </c>
      <c r="B14" s="113" t="s">
        <v>4</v>
      </c>
      <c r="C14" s="113" t="s">
        <v>4</v>
      </c>
      <c r="D14" s="124" t="s">
        <v>4</v>
      </c>
      <c r="E14" s="124" t="s">
        <v>4</v>
      </c>
      <c r="F14" s="113" t="s">
        <v>4</v>
      </c>
      <c r="G14" s="113" t="s">
        <v>4</v>
      </c>
      <c r="H14" s="113" t="s">
        <v>4</v>
      </c>
      <c r="I14" s="114">
        <v>123.456789</v>
      </c>
      <c r="J14" s="114">
        <v>123.456789</v>
      </c>
      <c r="K14" s="114">
        <v>123.456789</v>
      </c>
    </row>
    <row r="15" spans="1:11" s="23" customFormat="1" hidden="1" outlineLevel="1" thickBot="1" x14ac:dyDescent="0.3">
      <c r="A15" s="100" t="s">
        <v>2</v>
      </c>
      <c r="B15" s="115" t="s">
        <v>4</v>
      </c>
      <c r="C15" s="115" t="s">
        <v>4</v>
      </c>
      <c r="D15" s="125" t="s">
        <v>4</v>
      </c>
      <c r="E15" s="125" t="s">
        <v>4</v>
      </c>
      <c r="F15" s="115" t="s">
        <v>4</v>
      </c>
      <c r="G15" s="115" t="s">
        <v>4</v>
      </c>
      <c r="H15" s="115" t="s">
        <v>4</v>
      </c>
      <c r="I15" s="116">
        <v>123.456789</v>
      </c>
      <c r="J15" s="116">
        <v>123.456789</v>
      </c>
      <c r="K15" s="116">
        <v>123.456789</v>
      </c>
    </row>
    <row r="16" spans="1:11" hidden="1" outlineLevel="1" x14ac:dyDescent="0.25">
      <c r="A16" s="1" t="s">
        <v>3</v>
      </c>
    </row>
    <row r="17" spans="1:11" hidden="1" outlineLevel="1" x14ac:dyDescent="0.25"/>
    <row r="18" spans="1:11" hidden="1" outlineLevel="1" x14ac:dyDescent="0.25"/>
    <row r="19" spans="1:11" collapsed="1" x14ac:dyDescent="0.25">
      <c r="C19" s="65" t="s">
        <v>105</v>
      </c>
    </row>
    <row r="20" spans="1:11" ht="28.5" x14ac:dyDescent="0.25">
      <c r="B20" s="162" t="s">
        <v>68</v>
      </c>
      <c r="C20" s="181" t="str">
        <f>DistributionCenter</f>
        <v>Brown Foodservice</v>
      </c>
      <c r="D20" s="182"/>
      <c r="E20" s="183"/>
      <c r="F20" s="61"/>
    </row>
    <row r="23" spans="1:11" ht="15.75" thickBot="1" x14ac:dyDescent="0.3">
      <c r="B23" s="65" t="s">
        <v>106</v>
      </c>
    </row>
    <row r="24" spans="1:11" ht="15.75" thickBot="1" x14ac:dyDescent="0.3">
      <c r="B24" s="62" t="s">
        <v>90</v>
      </c>
      <c r="C24" s="62" t="s">
        <v>91</v>
      </c>
      <c r="D24" s="62" t="s">
        <v>92</v>
      </c>
      <c r="E24" s="63" t="s">
        <v>92</v>
      </c>
      <c r="F24" s="62" t="s">
        <v>93</v>
      </c>
      <c r="G24" s="62" t="s">
        <v>41</v>
      </c>
      <c r="H24" s="62" t="s">
        <v>94</v>
      </c>
      <c r="I24" s="62" t="s">
        <v>95</v>
      </c>
      <c r="J24" s="62" t="s">
        <v>96</v>
      </c>
      <c r="K24" s="62" t="s">
        <v>97</v>
      </c>
    </row>
    <row r="25" spans="1:11" s="23" customFormat="1" outlineLevel="1" thickBot="1" x14ac:dyDescent="0.3">
      <c r="A25" s="100" t="str">
        <f>IF(_xll.TM1RPTELISCONSOLIDATED($H$25,$H25),IF(_xll.TM1RPTELLEV($H$25,$H25)&lt;=5,_xll.TM1RPTELLEV($H$25,$H25),"Default"),"Leaf")</f>
        <v>Leaf</v>
      </c>
      <c r="B25" s="117" t="str">
        <f>_xll.TM1RPTROW($B$2,"TM1-S1_DEV:YEAR",,,,FALSE,B$1)</f>
        <v>FY 26</v>
      </c>
      <c r="C25" s="117" t="str">
        <f>_xll.TM1RPTROW($B$2,"TM1-S1_DEV:SP_Week",,,"MEMBER_NAME",FALSE,C$1)</f>
        <v>Wk 26</v>
      </c>
      <c r="D25" s="126" t="str">
        <f>_xll.TM1RPTROW($B$2,"TM1-S1_DEV:SP_SKU",,,"SKU Description",FALSE,D$1)</f>
        <v>120270 - PROTEIN BACON PEPPERED 16CT</v>
      </c>
      <c r="E25" s="125" t="str">
        <f>_xll.DBRW($B$3,$D25,$E$6)</f>
        <v>120270 - PROTEIN BACON PEPPERED 16CT</v>
      </c>
      <c r="F25" s="117" t="str">
        <f>_xll.TM1RPTROW($B$2,"TM1-S1_DEV:SP_DCItem",,,"MEMBER_NAME",FALSE,F$1)</f>
        <v>20224</v>
      </c>
      <c r="G25" s="117" t="str">
        <f>_xll.TM1RPTROW($B$2,"TM1-S1_DEV:SP_Manufacturer",,,"MEMBER_NAME",FALSE,G$1)</f>
        <v>Freshmark</v>
      </c>
      <c r="H25" s="117" t="str">
        <f>_xll.TM1RPTROW($B$2,"TM1-S1_DEV:SP_PO",,,"MEMBER_NAME",FALSE,H$1)</f>
        <v>222009</v>
      </c>
      <c r="I25" s="116">
        <f>_xll.DBRW($B$2,$B25,$C25,$C$20,$C$4,$D25,$F25,$G25,$H25,I$24)</f>
        <v>4</v>
      </c>
      <c r="J25" s="116" t="str">
        <f>_xll.DBRW($B$2,$B25,$C25,$C$20,$C$4,$D25,$F25,$G25,$H25,J$24)</f>
        <v>2026-03-23</v>
      </c>
      <c r="K25" s="116" t="str">
        <f>_xll.DBRW($B$2,$B25,$C25,$C$20,$C$4,$D25,$F25,$G25,$H25,K$24)</f>
        <v>Direct</v>
      </c>
    </row>
    <row r="26" spans="1:11" s="23" customFormat="1" outlineLevel="1" thickBot="1" x14ac:dyDescent="0.3">
      <c r="A26" s="100" t="str">
        <f>IF(_xll.TM1RPTELISCONSOLIDATED($H$25,$H26),IF(_xll.TM1RPTELLEV($H$25,$H26)&lt;=5,_xll.TM1RPTELLEV($H$25,$H26),"Default"),"Leaf")</f>
        <v>Leaf</v>
      </c>
      <c r="B26" s="117" t="s">
        <v>342</v>
      </c>
      <c r="C26" s="117" t="s">
        <v>343</v>
      </c>
      <c r="D26" s="126" t="s">
        <v>458</v>
      </c>
      <c r="E26" s="125" t="str">
        <f>_xll.DBRW($B$3,$D26,$E$6)</f>
        <v>160299 - DRESSING RANCH 12G PKT 200CT</v>
      </c>
      <c r="F26" s="117" t="s">
        <v>227</v>
      </c>
      <c r="G26" s="117" t="s">
        <v>44</v>
      </c>
      <c r="H26" s="117" t="s">
        <v>467</v>
      </c>
      <c r="I26" s="116">
        <f>_xll.DBRW($B$2,$B26,$C26,$C$20,$C$4,$D26,$F26,$G26,$H26,I$24)</f>
        <v>2</v>
      </c>
      <c r="J26" s="116" t="str">
        <f>_xll.DBRW($B$2,$B26,$C26,$C$20,$C$4,$D26,$F26,$G26,$H26,J$24)</f>
        <v>2026-03-23</v>
      </c>
      <c r="K26" s="116" t="str">
        <f>_xll.DBRW($B$2,$B26,$C26,$C$20,$C$4,$D26,$F26,$G26,$H26,K$24)</f>
        <v>Direct</v>
      </c>
    </row>
    <row r="27" spans="1:11" s="23" customFormat="1" outlineLevel="1" thickBot="1" x14ac:dyDescent="0.3">
      <c r="A27" s="100" t="str">
        <f>IF(_xll.TM1RPTELISCONSOLIDATED($H$25,$H27),IF(_xll.TM1RPTELLEV($H$25,$H27)&lt;=5,_xll.TM1RPTELLEV($H$25,$H27),"Default"),"Leaf")</f>
        <v>Leaf</v>
      </c>
      <c r="B27" s="117" t="s">
        <v>342</v>
      </c>
      <c r="C27" s="117" t="s">
        <v>343</v>
      </c>
      <c r="D27" s="126" t="s">
        <v>411</v>
      </c>
      <c r="E27" s="125" t="str">
        <f>_xll.DBRW($B$3,$D27,$E$6)</f>
        <v>180115 - CHEESE SWISS SLICED .75OZ 6/24PK</v>
      </c>
      <c r="F27" s="117" t="s">
        <v>118</v>
      </c>
      <c r="G27" s="117" t="s">
        <v>101</v>
      </c>
      <c r="H27" s="117" t="s">
        <v>345</v>
      </c>
      <c r="I27" s="116">
        <f>_xll.DBRW($B$2,$B27,$C27,$C$20,$C$4,$D27,$F27,$G27,$H27,I$24)</f>
        <v>52</v>
      </c>
      <c r="J27" s="116" t="str">
        <f>_xll.DBRW($B$2,$B27,$C27,$C$20,$C$4,$D27,$F27,$G27,$H27,J$24)</f>
        <v>2026-03-25</v>
      </c>
      <c r="K27" s="116" t="str">
        <f>_xll.DBRW($B$2,$B27,$C27,$C$20,$C$4,$D27,$F27,$G27,$H27,K$24)</f>
        <v>Direct</v>
      </c>
    </row>
    <row r="28" spans="1:11" s="23" customFormat="1" outlineLevel="1" thickBot="1" x14ac:dyDescent="0.3">
      <c r="A28" s="100" t="str">
        <f>IF(_xll.TM1RPTELISCONSOLIDATED($H$25,$H28),IF(_xll.TM1RPTELLEV($H$25,$H28)&lt;=5,_xll.TM1RPTELLEV($H$25,$H28),"Default"),"Leaf")</f>
        <v>Leaf</v>
      </c>
      <c r="B28" s="117" t="s">
        <v>342</v>
      </c>
      <c r="C28" s="117" t="s">
        <v>343</v>
      </c>
      <c r="D28" s="126" t="s">
        <v>412</v>
      </c>
      <c r="E28" s="125" t="str">
        <f>_xll.DBRW($B$3,$D28,$E$6)</f>
        <v>180168 - CONDIMENT MUSTARD HICKORY HONEY PKT 456CT</v>
      </c>
      <c r="F28" s="117" t="s">
        <v>144</v>
      </c>
      <c r="G28" s="117" t="s">
        <v>19</v>
      </c>
      <c r="H28" s="117" t="s">
        <v>467</v>
      </c>
      <c r="I28" s="116">
        <f>_xll.DBRW($B$2,$B28,$C28,$C$20,$C$4,$D28,$F28,$G28,$H28,I$24)</f>
        <v>26</v>
      </c>
      <c r="J28" s="116" t="str">
        <f>_xll.DBRW($B$2,$B28,$C28,$C$20,$C$4,$D28,$F28,$G28,$H28,J$24)</f>
        <v>2026-03-23</v>
      </c>
      <c r="K28" s="116" t="str">
        <f>_xll.DBRW($B$2,$B28,$C28,$C$20,$C$4,$D28,$F28,$G28,$H28,K$24)</f>
        <v>Direct</v>
      </c>
    </row>
    <row r="29" spans="1:11" s="23" customFormat="1" outlineLevel="1" thickBot="1" x14ac:dyDescent="0.3">
      <c r="A29" s="100" t="str">
        <f>IF(_xll.TM1RPTELISCONSOLIDATED($H$25,$H29),IF(_xll.TM1RPTELLEV($H$25,$H29)&lt;=5,_xll.TM1RPTELLEV($H$25,$H29),"Default"),"Leaf")</f>
        <v>Leaf</v>
      </c>
      <c r="B29" s="117" t="s">
        <v>342</v>
      </c>
      <c r="C29" s="117" t="s">
        <v>343</v>
      </c>
      <c r="D29" s="126" t="s">
        <v>459</v>
      </c>
      <c r="E29" s="125" t="str">
        <f>_xll.DBRW($B$3,$D29,$E$6)</f>
        <v>180269 - CHEESE MILD CHEDDAR .75OZ 6/24PK</v>
      </c>
      <c r="F29" s="117" t="s">
        <v>119</v>
      </c>
      <c r="G29" s="117" t="s">
        <v>101</v>
      </c>
      <c r="H29" s="117" t="s">
        <v>346</v>
      </c>
      <c r="I29" s="116">
        <f>_xll.DBRW($B$2,$B29,$C29,$C$20,$C$4,$D29,$F29,$G29,$H29,I$24)</f>
        <v>13</v>
      </c>
      <c r="J29" s="116" t="str">
        <f>_xll.DBRW($B$2,$B29,$C29,$C$20,$C$4,$D29,$F29,$G29,$H29,J$24)</f>
        <v>2026-03-23</v>
      </c>
      <c r="K29" s="116" t="str">
        <f>_xll.DBRW($B$2,$B29,$C29,$C$20,$C$4,$D29,$F29,$G29,$H29,K$24)</f>
        <v>Direct</v>
      </c>
    </row>
    <row r="30" spans="1:11" s="23" customFormat="1" outlineLevel="1" thickBot="1" x14ac:dyDescent="0.3">
      <c r="A30" s="100" t="str">
        <f>IF(_xll.TM1RPTELISCONSOLIDATED($H$25,$H30),IF(_xll.TM1RPTELLEV($H$25,$H30)&lt;=5,_xll.TM1RPTELLEV($H$25,$H30),"Default"),"Leaf")</f>
        <v>Leaf</v>
      </c>
      <c r="B30" s="117" t="s">
        <v>342</v>
      </c>
      <c r="C30" s="117" t="s">
        <v>343</v>
      </c>
      <c r="D30" s="126" t="s">
        <v>460</v>
      </c>
      <c r="E30" s="125" t="str">
        <f>_xll.DBRW($B$3,$D30,$E$6)</f>
        <v>181419 - INGREDIENT POTATO DCD 102OZ 6CT</v>
      </c>
      <c r="F30" s="117" t="s">
        <v>246</v>
      </c>
      <c r="G30" s="117" t="s">
        <v>23</v>
      </c>
      <c r="H30" s="117" t="s">
        <v>467</v>
      </c>
      <c r="I30" s="116">
        <f>_xll.DBRW($B$2,$B30,$C30,$C$20,$C$4,$D30,$F30,$G30,$H30,I$24)</f>
        <v>49</v>
      </c>
      <c r="J30" s="116" t="str">
        <f>_xll.DBRW($B$2,$B30,$C30,$C$20,$C$4,$D30,$F30,$G30,$H30,J$24)</f>
        <v>2026-03-23</v>
      </c>
      <c r="K30" s="116" t="str">
        <f>_xll.DBRW($B$2,$B30,$C30,$C$20,$C$4,$D30,$F30,$G30,$H30,K$24)</f>
        <v>Direct</v>
      </c>
    </row>
    <row r="31" spans="1:11" s="23" customFormat="1" outlineLevel="1" thickBot="1" x14ac:dyDescent="0.3">
      <c r="A31" s="100" t="str">
        <f>IF(_xll.TM1RPTELISCONSOLIDATED($H$25,$H31),IF(_xll.TM1RPTELLEV($H$25,$H31)&lt;=5,_xll.TM1RPTELLEV($H$25,$H31),"Default"),"Leaf")</f>
        <v>Leaf</v>
      </c>
      <c r="B31" s="117" t="s">
        <v>342</v>
      </c>
      <c r="C31" s="117" t="s">
        <v>343</v>
      </c>
      <c r="D31" s="126" t="s">
        <v>422</v>
      </c>
      <c r="E31" s="125" t="str">
        <f>_xll.DBRW($B$3,$D31,$E$6)</f>
        <v>182007 - SIDES DUKES COLESLAW 4/1GAL</v>
      </c>
      <c r="F31" s="117" t="s">
        <v>247</v>
      </c>
      <c r="G31" s="117" t="s">
        <v>44</v>
      </c>
      <c r="H31" s="117" t="s">
        <v>467</v>
      </c>
      <c r="I31" s="116">
        <f>_xll.DBRW($B$2,$B31,$C31,$C$20,$C$4,$D31,$F31,$G31,$H31,I$24)</f>
        <v>12</v>
      </c>
      <c r="J31" s="116" t="str">
        <f>_xll.DBRW($B$2,$B31,$C31,$C$20,$C$4,$D31,$F31,$G31,$H31,J$24)</f>
        <v>2026-03-23</v>
      </c>
      <c r="K31" s="116" t="str">
        <f>_xll.DBRW($B$2,$B31,$C31,$C$20,$C$4,$D31,$F31,$G31,$H31,K$24)</f>
        <v>Direct</v>
      </c>
    </row>
    <row r="32" spans="1:11" s="23" customFormat="1" outlineLevel="1" thickBot="1" x14ac:dyDescent="0.3">
      <c r="A32" s="100" t="str">
        <f>IF(_xll.TM1RPTELISCONSOLIDATED($H$25,$H32),IF(_xll.TM1RPTELLEV($H$25,$H32)&lt;=5,_xll.TM1RPTELLEV($H$25,$H32),"Default"),"Leaf")</f>
        <v>Leaf</v>
      </c>
      <c r="B32" s="117" t="s">
        <v>342</v>
      </c>
      <c r="C32" s="117" t="s">
        <v>343</v>
      </c>
      <c r="D32" s="126" t="s">
        <v>425</v>
      </c>
      <c r="E32" s="125" t="str">
        <f>_xll.DBRW($B$3,$D32,$E$6)</f>
        <v>182017 - INGREDIENT CRANBERRIES DRIED SWEETENED 2/48OZ</v>
      </c>
      <c r="F32" s="117" t="s">
        <v>250</v>
      </c>
      <c r="G32" s="117" t="s">
        <v>52</v>
      </c>
      <c r="H32" s="117" t="s">
        <v>467</v>
      </c>
      <c r="I32" s="116">
        <f>_xll.DBRW($B$2,$B32,$C32,$C$20,$C$4,$D32,$F32,$G32,$H32,I$24)</f>
        <v>32</v>
      </c>
      <c r="J32" s="116" t="str">
        <f>_xll.DBRW($B$2,$B32,$C32,$C$20,$C$4,$D32,$F32,$G32,$H32,J$24)</f>
        <v>2026-03-23</v>
      </c>
      <c r="K32" s="116" t="str">
        <f>_xll.DBRW($B$2,$B32,$C32,$C$20,$C$4,$D32,$F32,$G32,$H32,K$24)</f>
        <v>Direct</v>
      </c>
    </row>
    <row r="33" spans="1:11" s="23" customFormat="1" outlineLevel="1" thickBot="1" x14ac:dyDescent="0.3">
      <c r="A33" s="100" t="str">
        <f>IF(_xll.TM1RPTELISCONSOLIDATED($H$25,$H33),IF(_xll.TM1RPTELLEV($H$25,$H33)&lt;=5,_xll.TM1RPTELLEV($H$25,$H33),"Default"),"Leaf")</f>
        <v>Leaf</v>
      </c>
      <c r="B33" s="117" t="s">
        <v>342</v>
      </c>
      <c r="C33" s="117" t="s">
        <v>343</v>
      </c>
      <c r="D33" s="126" t="s">
        <v>426</v>
      </c>
      <c r="E33" s="125" t="str">
        <f>_xll.DBRW($B$3,$D33,$E$6)</f>
        <v>182027 - INGREDIENT PICKLE SPICY CRINKLE SLC 1/2GAL</v>
      </c>
      <c r="F33" s="117" t="s">
        <v>252</v>
      </c>
      <c r="G33" s="117" t="s">
        <v>62</v>
      </c>
      <c r="H33" s="117" t="s">
        <v>467</v>
      </c>
      <c r="I33" s="116">
        <f>_xll.DBRW($B$2,$B33,$C33,$C$20,$C$4,$D33,$F33,$G33,$H33,I$24)</f>
        <v>60</v>
      </c>
      <c r="J33" s="116" t="str">
        <f>_xll.DBRW($B$2,$B33,$C33,$C$20,$C$4,$D33,$F33,$G33,$H33,J$24)</f>
        <v>2026-03-23</v>
      </c>
      <c r="K33" s="116" t="str">
        <f>_xll.DBRW($B$2,$B33,$C33,$C$20,$C$4,$D33,$F33,$G33,$H33,K$24)</f>
        <v>Direct</v>
      </c>
    </row>
    <row r="34" spans="1:11" s="23" customFormat="1" outlineLevel="1" thickBot="1" x14ac:dyDescent="0.3">
      <c r="A34" s="100" t="str">
        <f>IF(_xll.TM1RPTELISCONSOLIDATED($H$25,$H34),IF(_xll.TM1RPTELLEV($H$25,$H34)&lt;=5,_xll.TM1RPTELLEV($H$25,$H34),"Default"),"Leaf")</f>
        <v>Leaf</v>
      </c>
      <c r="B34" s="117" t="s">
        <v>342</v>
      </c>
      <c r="C34" s="117" t="s">
        <v>343</v>
      </c>
      <c r="D34" s="126" t="s">
        <v>428</v>
      </c>
      <c r="E34" s="125" t="str">
        <f>_xll.DBRW($B$3,$D34,$E$6)</f>
        <v>182263 - COOKIE DOUGH WHITE CHOC MAC 150/2.5OZ</v>
      </c>
      <c r="F34" s="117" t="s">
        <v>254</v>
      </c>
      <c r="G34" s="117" t="s">
        <v>21</v>
      </c>
      <c r="H34" s="117" t="s">
        <v>467</v>
      </c>
      <c r="I34" s="116">
        <f>_xll.DBRW($B$2,$B34,$C34,$C$20,$C$4,$D34,$F34,$G34,$H34,I$24)</f>
        <v>10</v>
      </c>
      <c r="J34" s="116" t="str">
        <f>_xll.DBRW($B$2,$B34,$C34,$C$20,$C$4,$D34,$F34,$G34,$H34,J$24)</f>
        <v>2026-03-23</v>
      </c>
      <c r="K34" s="116" t="str">
        <f>_xll.DBRW($B$2,$B34,$C34,$C$20,$C$4,$D34,$F34,$G34,$H34,K$24)</f>
        <v>Direct</v>
      </c>
    </row>
    <row r="35" spans="1:11" s="23" customFormat="1" outlineLevel="1" thickBot="1" x14ac:dyDescent="0.3">
      <c r="A35" s="100" t="str">
        <f>IF(_xll.TM1RPTELISCONSOLIDATED($H$25,$H35),IF(_xll.TM1RPTELLEV($H$25,$H35)&lt;=5,_xll.TM1RPTELLEV($H$25,$H35),"Default"),"Leaf")</f>
        <v>Leaf</v>
      </c>
      <c r="B35" s="117" t="s">
        <v>342</v>
      </c>
      <c r="C35" s="117" t="s">
        <v>343</v>
      </c>
      <c r="D35" s="126" t="s">
        <v>461</v>
      </c>
      <c r="E35" s="125" t="str">
        <f>_xll.DBRW($B$3,$D35,$E$6)</f>
        <v>182265 - COOKIE DOUGH OATMEAL RAISIN 150/2.5OZ</v>
      </c>
      <c r="F35" s="117" t="s">
        <v>255</v>
      </c>
      <c r="G35" s="117" t="s">
        <v>21</v>
      </c>
      <c r="H35" s="117" t="s">
        <v>467</v>
      </c>
      <c r="I35" s="116">
        <f>_xll.DBRW($B$2,$B35,$C35,$C$20,$C$4,$D35,$F35,$G35,$H35,I$24)</f>
        <v>12</v>
      </c>
      <c r="J35" s="116" t="str">
        <f>_xll.DBRW($B$2,$B35,$C35,$C$20,$C$4,$D35,$F35,$G35,$H35,J$24)</f>
        <v>2026-03-23</v>
      </c>
      <c r="K35" s="116" t="str">
        <f>_xll.DBRW($B$2,$B35,$C35,$C$20,$C$4,$D35,$F35,$G35,$H35,K$24)</f>
        <v>Direct</v>
      </c>
    </row>
    <row r="36" spans="1:11" s="23" customFormat="1" outlineLevel="1" thickBot="1" x14ac:dyDescent="0.3">
      <c r="A36" s="100" t="str">
        <f>IF(_xll.TM1RPTELISCONSOLIDATED($H$25,$H36),IF(_xll.TM1RPTELLEV($H$25,$H36)&lt;=5,_xll.TM1RPTELLEV($H$25,$H36),"Default"),"Leaf")</f>
        <v>Leaf</v>
      </c>
      <c r="B36" s="117" t="s">
        <v>342</v>
      </c>
      <c r="C36" s="117" t="s">
        <v>343</v>
      </c>
      <c r="D36" s="126" t="s">
        <v>10</v>
      </c>
      <c r="E36" s="125" t="str">
        <f>_xll.DBRW($B$3,$D36,$E$6)</f>
        <v>182500 - Avocado Spread, 48ct.</v>
      </c>
      <c r="F36" s="117" t="s">
        <v>256</v>
      </c>
      <c r="G36" s="117" t="s">
        <v>25</v>
      </c>
      <c r="H36" s="117" t="s">
        <v>467</v>
      </c>
      <c r="I36" s="116">
        <f>_xll.DBRW($B$2,$B36,$C36,$C$20,$C$4,$D36,$F36,$G36,$H36,I$24)</f>
        <v>24</v>
      </c>
      <c r="J36" s="116" t="str">
        <f>_xll.DBRW($B$2,$B36,$C36,$C$20,$C$4,$D36,$F36,$G36,$H36,J$24)</f>
        <v>2026-03-23</v>
      </c>
      <c r="K36" s="116" t="str">
        <f>_xll.DBRW($B$2,$B36,$C36,$C$20,$C$4,$D36,$F36,$G36,$H36,K$24)</f>
        <v>Direct</v>
      </c>
    </row>
    <row r="37" spans="1:11" s="23" customFormat="1" outlineLevel="1" thickBot="1" x14ac:dyDescent="0.3">
      <c r="A37" s="100" t="str">
        <f>IF(_xll.TM1RPTELISCONSOLIDATED($H$25,$H37),IF(_xll.TM1RPTELLEV($H$25,$H37)&lt;=5,_xll.TM1RPTELLEV($H$25,$H37),"Default"),"Leaf")</f>
        <v>Leaf</v>
      </c>
      <c r="B37" s="117" t="s">
        <v>342</v>
      </c>
      <c r="C37" s="117" t="s">
        <v>343</v>
      </c>
      <c r="D37" s="126" t="s">
        <v>432</v>
      </c>
      <c r="E37" s="125" t="str">
        <f>_xll.DBRW($B$3,$D37,$E$6)</f>
        <v>200115 - TRAY LID DOME ROUND CLEAR 16" 25CT</v>
      </c>
      <c r="F37" s="117" t="s">
        <v>260</v>
      </c>
      <c r="G37" s="117" t="s">
        <v>30</v>
      </c>
      <c r="H37" s="117" t="s">
        <v>467</v>
      </c>
      <c r="I37" s="116">
        <f>_xll.DBRW($B$2,$B37,$C37,$C$20,$C$4,$D37,$F37,$G37,$H37,I$24)</f>
        <v>24</v>
      </c>
      <c r="J37" s="116" t="str">
        <f>_xll.DBRW($B$2,$B37,$C37,$C$20,$C$4,$D37,$F37,$G37,$H37,J$24)</f>
        <v>2026-03-23</v>
      </c>
      <c r="K37" s="116" t="str">
        <f>_xll.DBRW($B$2,$B37,$C37,$C$20,$C$4,$D37,$F37,$G37,$H37,K$24)</f>
        <v>Direct</v>
      </c>
    </row>
    <row r="38" spans="1:11" s="23" customFormat="1" outlineLevel="1" thickBot="1" x14ac:dyDescent="0.3">
      <c r="A38" s="100" t="str">
        <f>IF(_xll.TM1RPTELISCONSOLIDATED($H$25,$H38),IF(_xll.TM1RPTELLEV($H$25,$H38)&lt;=5,_xll.TM1RPTELLEV($H$25,$H38),"Default"),"Leaf")</f>
        <v>Leaf</v>
      </c>
      <c r="B38" s="117" t="s">
        <v>342</v>
      </c>
      <c r="C38" s="117" t="s">
        <v>343</v>
      </c>
      <c r="D38" s="126" t="s">
        <v>444</v>
      </c>
      <c r="E38" s="125" t="str">
        <f>_xll.DBRW($B$3,$D38,$E$6)</f>
        <v>200451 - UTENSIL TONG PLASTIC BLACK 9" 48CT</v>
      </c>
      <c r="F38" s="117" t="s">
        <v>275</v>
      </c>
      <c r="G38" s="117" t="s">
        <v>30</v>
      </c>
      <c r="H38" s="117" t="s">
        <v>467</v>
      </c>
      <c r="I38" s="116">
        <f>_xll.DBRW($B$2,$B38,$C38,$C$20,$C$4,$D38,$F38,$G38,$H38,I$24)</f>
        <v>16</v>
      </c>
      <c r="J38" s="116" t="str">
        <f>_xll.DBRW($B$2,$B38,$C38,$C$20,$C$4,$D38,$F38,$G38,$H38,J$24)</f>
        <v>2026-03-23</v>
      </c>
      <c r="K38" s="116" t="str">
        <f>_xll.DBRW($B$2,$B38,$C38,$C$20,$C$4,$D38,$F38,$G38,$H38,K$24)</f>
        <v>Direct</v>
      </c>
    </row>
    <row r="39" spans="1:11" s="23" customFormat="1" outlineLevel="1" thickBot="1" x14ac:dyDescent="0.3">
      <c r="A39" s="100" t="str">
        <f>IF(_xll.TM1RPTELISCONSOLIDATED($H$25,$H39),IF(_xll.TM1RPTELLEV($H$25,$H39)&lt;=5,_xll.TM1RPTELLEV($H$25,$H39),"Default"),"Leaf")</f>
        <v>Leaf</v>
      </c>
      <c r="B39" s="117" t="s">
        <v>342</v>
      </c>
      <c r="C39" s="117" t="s">
        <v>343</v>
      </c>
      <c r="D39" s="126" t="s">
        <v>446</v>
      </c>
      <c r="E39" s="125" t="str">
        <f>_xll.DBRW($B$3,$D39,$E$6)</f>
        <v>200589 - PROTEIN CHICKEN WHT FRZN COOKED BNLS SKNL LOW SOD PULL 2/5LB</v>
      </c>
      <c r="F39" s="117" t="s">
        <v>146</v>
      </c>
      <c r="G39" s="117" t="s">
        <v>31</v>
      </c>
      <c r="H39" s="117" t="s">
        <v>347</v>
      </c>
      <c r="I39" s="116">
        <f>_xll.DBRW($B$2,$B39,$C39,$C$20,$C$4,$D39,$F39,$G39,$H39,I$24)</f>
        <v>51</v>
      </c>
      <c r="J39" s="116" t="str">
        <f>_xll.DBRW($B$2,$B39,$C39,$C$20,$C$4,$D39,$F39,$G39,$H39,J$24)</f>
        <v>2026-03-27</v>
      </c>
      <c r="K39" s="116" t="str">
        <f>_xll.DBRW($B$2,$B39,$C39,$C$20,$C$4,$D39,$F39,$G39,$H39,K$24)</f>
        <v>Direct</v>
      </c>
    </row>
    <row r="40" spans="1:11" s="23" customFormat="1" outlineLevel="1" thickBot="1" x14ac:dyDescent="0.3">
      <c r="A40" s="100" t="str">
        <f>IF(_xll.TM1RPTELISCONSOLIDATED($H$25,$H40),IF(_xll.TM1RPTELLEV($H$25,$H40)&lt;=5,_xll.TM1RPTELLEV($H$25,$H40),"Default"),"Leaf")</f>
        <v>Leaf</v>
      </c>
      <c r="B40" s="117" t="s">
        <v>342</v>
      </c>
      <c r="C40" s="117" t="s">
        <v>343</v>
      </c>
      <c r="D40" s="126" t="s">
        <v>462</v>
      </c>
      <c r="E40" s="125" t="str">
        <f>_xll.DBRW($B$3,$D40,$E$6)</f>
        <v>200704 - PAPER WRAP SANDWICH LOGO 15X15 3000CT</v>
      </c>
      <c r="F40" s="117" t="s">
        <v>296</v>
      </c>
      <c r="G40" s="117" t="s">
        <v>55</v>
      </c>
      <c r="H40" s="117" t="s">
        <v>467</v>
      </c>
      <c r="I40" s="116">
        <f>_xll.DBRW($B$2,$B40,$C40,$C$20,$C$4,$D40,$F40,$G40,$H40,I$24)</f>
        <v>4</v>
      </c>
      <c r="J40" s="116" t="str">
        <f>_xll.DBRW($B$2,$B40,$C40,$C$20,$C$4,$D40,$F40,$G40,$H40,J$24)</f>
        <v>2026-03-23</v>
      </c>
      <c r="K40" s="116" t="str">
        <f>_xll.DBRW($B$2,$B40,$C40,$C$20,$C$4,$D40,$F40,$G40,$H40,K$24)</f>
        <v>Direct</v>
      </c>
    </row>
    <row r="41" spans="1:11" s="23" customFormat="1" outlineLevel="1" thickBot="1" x14ac:dyDescent="0.3">
      <c r="A41" s="100" t="str">
        <f>IF(_xll.TM1RPTELISCONSOLIDATED($H$25,$H41),IF(_xll.TM1RPTELLEV($H$25,$H41)&lt;=5,_xll.TM1RPTELLEV($H$25,$H41),"Default"),"Leaf")</f>
        <v>Leaf</v>
      </c>
      <c r="B41" s="117" t="s">
        <v>342</v>
      </c>
      <c r="C41" s="117" t="s">
        <v>343</v>
      </c>
      <c r="D41" s="126" t="s">
        <v>333</v>
      </c>
      <c r="E41" s="125" t="str">
        <f>_xll.DBRW($B$3,$D41,$E$6)</f>
        <v>201111 - CHIPS KETTLE ZESTY JALAPENO 64/1.375OZ</v>
      </c>
      <c r="F41" s="117" t="s">
        <v>126</v>
      </c>
      <c r="G41" s="117" t="s">
        <v>153</v>
      </c>
      <c r="H41" s="117" t="s">
        <v>468</v>
      </c>
      <c r="I41" s="116">
        <f>_xll.DBRW($B$2,$B41,$C41,$C$20,$C$4,$D41,$F41,$G41,$H41,I$24)</f>
        <v>48</v>
      </c>
      <c r="J41" s="116" t="str">
        <f>_xll.DBRW($B$2,$B41,$C41,$C$20,$C$4,$D41,$F41,$G41,$H41,J$24)</f>
        <v>2026-03-23</v>
      </c>
      <c r="K41" s="116" t="str">
        <f>_xll.DBRW($B$2,$B41,$C41,$C$20,$C$4,$D41,$F41,$G41,$H41,K$24)</f>
        <v>Direct</v>
      </c>
    </row>
    <row r="42" spans="1:11" s="23" customFormat="1" outlineLevel="1" thickBot="1" x14ac:dyDescent="0.3">
      <c r="A42" s="100" t="str">
        <f>IF(_xll.TM1RPTELISCONSOLIDATED($H$25,$H42),IF(_xll.TM1RPTELLEV($H$25,$H42)&lt;=5,_xll.TM1RPTELLEV($H$25,$H42),"Default"),"Leaf")</f>
        <v>Leaf</v>
      </c>
      <c r="B42" s="117" t="s">
        <v>342</v>
      </c>
      <c r="C42" s="117" t="s">
        <v>343</v>
      </c>
      <c r="D42" s="126" t="s">
        <v>334</v>
      </c>
      <c r="E42" s="125" t="str">
        <f>_xll.DBRW($B$3,$D42,$E$6)</f>
        <v>201112 - CHIPS KETTLE SEA SALT 64/1.375OZ</v>
      </c>
      <c r="F42" s="117" t="s">
        <v>127</v>
      </c>
      <c r="G42" s="117" t="s">
        <v>153</v>
      </c>
      <c r="H42" s="117" t="s">
        <v>468</v>
      </c>
      <c r="I42" s="116">
        <f>_xll.DBRW($B$2,$B42,$C42,$C$20,$C$4,$D42,$F42,$G42,$H42,I$24)</f>
        <v>180</v>
      </c>
      <c r="J42" s="116" t="str">
        <f>_xll.DBRW($B$2,$B42,$C42,$C$20,$C$4,$D42,$F42,$G42,$H42,J$24)</f>
        <v>2026-03-23</v>
      </c>
      <c r="K42" s="116" t="str">
        <f>_xll.DBRW($B$2,$B42,$C42,$C$20,$C$4,$D42,$F42,$G42,$H42,K$24)</f>
        <v>Direct</v>
      </c>
    </row>
    <row r="43" spans="1:11" s="23" customFormat="1" outlineLevel="1" thickBot="1" x14ac:dyDescent="0.3">
      <c r="A43" s="100" t="str">
        <f>IF(_xll.TM1RPTELISCONSOLIDATED($H$25,$H43),IF(_xll.TM1RPTELLEV($H$25,$H43)&lt;=5,_xll.TM1RPTELLEV($H$25,$H43),"Default"),"Leaf")</f>
        <v>Leaf</v>
      </c>
      <c r="B43" s="117" t="s">
        <v>342</v>
      </c>
      <c r="C43" s="117" t="s">
        <v>343</v>
      </c>
      <c r="D43" s="126" t="s">
        <v>335</v>
      </c>
      <c r="E43" s="125" t="str">
        <f>_xll.DBRW($B$3,$D43,$E$6)</f>
        <v>201113 - CHIPS KETTLE MESQUITE BBQ 64/1.375OZ</v>
      </c>
      <c r="F43" s="117" t="s">
        <v>128</v>
      </c>
      <c r="G43" s="117" t="s">
        <v>153</v>
      </c>
      <c r="H43" s="117" t="s">
        <v>468</v>
      </c>
      <c r="I43" s="116">
        <f>_xll.DBRW($B$2,$B43,$C43,$C$20,$C$4,$D43,$F43,$G43,$H43,I$24)</f>
        <v>60</v>
      </c>
      <c r="J43" s="116" t="str">
        <f>_xll.DBRW($B$2,$B43,$C43,$C$20,$C$4,$D43,$F43,$G43,$H43,J$24)</f>
        <v>2026-03-23</v>
      </c>
      <c r="K43" s="116" t="str">
        <f>_xll.DBRW($B$2,$B43,$C43,$C$20,$C$4,$D43,$F43,$G43,$H43,K$24)</f>
        <v>Direct</v>
      </c>
    </row>
    <row r="44" spans="1:11" s="23" customFormat="1" outlineLevel="1" thickBot="1" x14ac:dyDescent="0.3">
      <c r="A44" s="100" t="str">
        <f>IF(_xll.TM1RPTELISCONSOLIDATED($H$25,$H44),IF(_xll.TM1RPTELLEV($H$25,$H44)&lt;=5,_xll.TM1RPTELLEV($H$25,$H44),"Default"),"Leaf")</f>
        <v>Leaf</v>
      </c>
      <c r="B44" s="117" t="s">
        <v>342</v>
      </c>
      <c r="C44" s="117" t="s">
        <v>343</v>
      </c>
      <c r="D44" s="126" t="s">
        <v>336</v>
      </c>
      <c r="E44" s="125" t="str">
        <f>_xll.DBRW($B$3,$D44,$E$6)</f>
        <v>201114 - CHIPS KETTLE SW MAUI ONION 64/1.375OZ</v>
      </c>
      <c r="F44" s="117" t="s">
        <v>129</v>
      </c>
      <c r="G44" s="117" t="s">
        <v>153</v>
      </c>
      <c r="H44" s="117" t="s">
        <v>468</v>
      </c>
      <c r="I44" s="116">
        <f>_xll.DBRW($B$2,$B44,$C44,$C$20,$C$4,$D44,$F44,$G44,$H44,I$24)</f>
        <v>54</v>
      </c>
      <c r="J44" s="116" t="str">
        <f>_xll.DBRW($B$2,$B44,$C44,$C$20,$C$4,$D44,$F44,$G44,$H44,J$24)</f>
        <v>2026-03-23</v>
      </c>
      <c r="K44" s="116" t="str">
        <f>_xll.DBRW($B$2,$B44,$C44,$C$20,$C$4,$D44,$F44,$G44,$H44,K$24)</f>
        <v>Direct</v>
      </c>
    </row>
    <row r="45" spans="1:11" s="23" customFormat="1" outlineLevel="1" thickBot="1" x14ac:dyDescent="0.3">
      <c r="A45" s="100" t="str">
        <f>IF(_xll.TM1RPTELISCONSOLIDATED($H$25,$H45),IF(_xll.TM1RPTELLEV($H$25,$H45)&lt;=5,_xll.TM1RPTELLEV($H$25,$H45),"Default"),"Leaf")</f>
        <v>Leaf</v>
      </c>
      <c r="B45" s="117" t="s">
        <v>342</v>
      </c>
      <c r="C45" s="117" t="s">
        <v>343</v>
      </c>
      <c r="D45" s="126" t="s">
        <v>160</v>
      </c>
      <c r="E45" s="125" t="str">
        <f>_xll.DBRW($B$3,$D45,$E$6)</f>
        <v>201116 - CHEESE MILD CHEDDAR SHREDDED 20/1LB</v>
      </c>
      <c r="F45" s="117" t="s">
        <v>130</v>
      </c>
      <c r="G45" s="117" t="s">
        <v>154</v>
      </c>
      <c r="H45" s="117" t="s">
        <v>346</v>
      </c>
      <c r="I45" s="116">
        <f>_xll.DBRW($B$2,$B45,$C45,$C$20,$C$4,$D45,$F45,$G45,$H45,I$24)</f>
        <v>48</v>
      </c>
      <c r="J45" s="116" t="str">
        <f>_xll.DBRW($B$2,$B45,$C45,$C$20,$C$4,$D45,$F45,$G45,$H45,J$24)</f>
        <v>2026-03-23</v>
      </c>
      <c r="K45" s="116" t="str">
        <f>_xll.DBRW($B$2,$B45,$C45,$C$20,$C$4,$D45,$F45,$G45,$H45,K$24)</f>
        <v>Direct</v>
      </c>
    </row>
    <row r="46" spans="1:11" s="23" customFormat="1" outlineLevel="1" thickBot="1" x14ac:dyDescent="0.3">
      <c r="A46" s="100" t="str">
        <f>IF(_xll.TM1RPTELISCONSOLIDATED($H$25,$H46),IF(_xll.TM1RPTELLEV($H$25,$H46)&lt;=5,_xll.TM1RPTELLEV($H$25,$H46),"Default"),"Leaf")</f>
        <v>Leaf</v>
      </c>
      <c r="B46" s="117" t="s">
        <v>342</v>
      </c>
      <c r="C46" s="117" t="s">
        <v>343</v>
      </c>
      <c r="D46" s="126" t="s">
        <v>161</v>
      </c>
      <c r="E46" s="125" t="str">
        <f>_xll.DBRW($B$3,$D46,$E$6)</f>
        <v>201117 - CONDIMENT MAYO HD 4/1GAL</v>
      </c>
      <c r="F46" s="117" t="s">
        <v>147</v>
      </c>
      <c r="G46" s="117" t="s">
        <v>156</v>
      </c>
      <c r="H46" s="117" t="s">
        <v>348</v>
      </c>
      <c r="I46" s="116">
        <f>_xll.DBRW($B$2,$B46,$C46,$C$20,$C$4,$D46,$F46,$G46,$H46,I$24)</f>
        <v>144</v>
      </c>
      <c r="J46" s="116" t="str">
        <f>_xll.DBRW($B$2,$B46,$C46,$C$20,$C$4,$D46,$F46,$G46,$H46,J$24)</f>
        <v>2026-03-24</v>
      </c>
      <c r="K46" s="116" t="str">
        <f>_xll.DBRW($B$2,$B46,$C46,$C$20,$C$4,$D46,$F46,$G46,$H46,K$24)</f>
        <v>Direct</v>
      </c>
    </row>
    <row r="47" spans="1:11" s="23" customFormat="1" outlineLevel="1" thickBot="1" x14ac:dyDescent="0.3">
      <c r="A47" s="100" t="str">
        <f>IF(_xll.TM1RPTELISCONSOLIDATED($H$25,$H47),IF(_xll.TM1RPTELLEV($H$25,$H47)&lt;=5,_xll.TM1RPTELLEV($H$25,$H47),"Default"),"Leaf")</f>
        <v>Leaf</v>
      </c>
      <c r="B47" s="117" t="s">
        <v>342</v>
      </c>
      <c r="C47" s="117" t="s">
        <v>343</v>
      </c>
      <c r="D47" s="126" t="s">
        <v>162</v>
      </c>
      <c r="E47" s="125" t="str">
        <f>_xll.DBRW($B$3,$D47,$E$6)</f>
        <v>201119 - INGREDIENT BALSAMIC VINAIGRETTE SIGN 4/1GAL</v>
      </c>
      <c r="F47" s="117" t="s">
        <v>148</v>
      </c>
      <c r="G47" s="117" t="s">
        <v>156</v>
      </c>
      <c r="H47" s="117" t="s">
        <v>348</v>
      </c>
      <c r="I47" s="116">
        <f>_xll.DBRW($B$2,$B47,$C47,$C$20,$C$4,$D47,$F47,$G47,$H47,I$24)</f>
        <v>3</v>
      </c>
      <c r="J47" s="116" t="str">
        <f>_xll.DBRW($B$2,$B47,$C47,$C$20,$C$4,$D47,$F47,$G47,$H47,J$24)</f>
        <v>2026-03-24</v>
      </c>
      <c r="K47" s="116" t="str">
        <f>_xll.DBRW($B$2,$B47,$C47,$C$20,$C$4,$D47,$F47,$G47,$H47,K$24)</f>
        <v>Direct</v>
      </c>
    </row>
    <row r="48" spans="1:11" s="23" customFormat="1" outlineLevel="1" thickBot="1" x14ac:dyDescent="0.3">
      <c r="A48" s="100" t="str">
        <f>IF(_xll.TM1RPTELISCONSOLIDATED($H$25,$H48),IF(_xll.TM1RPTELLEV($H$25,$H48)&lt;=5,_xll.TM1RPTELLEV($H$25,$H48),"Default"),"Leaf")</f>
        <v>Leaf</v>
      </c>
      <c r="B48" s="117" t="s">
        <v>342</v>
      </c>
      <c r="C48" s="117" t="s">
        <v>343</v>
      </c>
      <c r="D48" s="126" t="s">
        <v>177</v>
      </c>
      <c r="E48" s="125" t="str">
        <f>_xll.DBRW($B$3,$D48,$E$6)</f>
        <v>201134 - GLOVE SMALL VINYL PF 10/100PK</v>
      </c>
      <c r="F48" s="117" t="s">
        <v>131</v>
      </c>
      <c r="G48" s="117" t="s">
        <v>155</v>
      </c>
      <c r="H48" s="117" t="s">
        <v>349</v>
      </c>
      <c r="I48" s="116">
        <f>_xll.DBRW($B$2,$B48,$C48,$C$20,$C$4,$D48,$F48,$G48,$H48,I$24)</f>
        <v>7</v>
      </c>
      <c r="J48" s="116" t="str">
        <f>_xll.DBRW($B$2,$B48,$C48,$C$20,$C$4,$D48,$F48,$G48,$H48,J$24)</f>
        <v>2026-03-24</v>
      </c>
      <c r="K48" s="116" t="str">
        <f>_xll.DBRW($B$2,$B48,$C48,$C$20,$C$4,$D48,$F48,$G48,$H48,K$24)</f>
        <v>Direct</v>
      </c>
    </row>
    <row r="49" spans="1:11" s="23" customFormat="1" outlineLevel="1" thickBot="1" x14ac:dyDescent="0.3">
      <c r="A49" s="100" t="str">
        <f>IF(_xll.TM1RPTELISCONSOLIDATED($H$25,$H49),IF(_xll.TM1RPTELLEV($H$25,$H49)&lt;=5,_xll.TM1RPTELLEV($H$25,$H49),"Default"),"Leaf")</f>
        <v>Leaf</v>
      </c>
      <c r="B49" s="117" t="s">
        <v>342</v>
      </c>
      <c r="C49" s="117" t="s">
        <v>343</v>
      </c>
      <c r="D49" s="126" t="s">
        <v>178</v>
      </c>
      <c r="E49" s="125" t="str">
        <f>_xll.DBRW($B$3,$D49,$E$6)</f>
        <v>201135 - GLOVE MEDIUM VINYL PF 10/100PK</v>
      </c>
      <c r="F49" s="117" t="s">
        <v>132</v>
      </c>
      <c r="G49" s="117" t="s">
        <v>155</v>
      </c>
      <c r="H49" s="117" t="s">
        <v>349</v>
      </c>
      <c r="I49" s="116">
        <f>_xll.DBRW($B$2,$B49,$C49,$C$20,$C$4,$D49,$F49,$G49,$H49,I$24)</f>
        <v>96</v>
      </c>
      <c r="J49" s="116" t="str">
        <f>_xll.DBRW($B$2,$B49,$C49,$C$20,$C$4,$D49,$F49,$G49,$H49,J$24)</f>
        <v>2026-03-24</v>
      </c>
      <c r="K49" s="116" t="str">
        <f>_xll.DBRW($B$2,$B49,$C49,$C$20,$C$4,$D49,$F49,$G49,$H49,K$24)</f>
        <v>Direct</v>
      </c>
    </row>
    <row r="50" spans="1:11" s="23" customFormat="1" outlineLevel="1" thickBot="1" x14ac:dyDescent="0.3">
      <c r="A50" s="100" t="str">
        <f>IF(_xll.TM1RPTELISCONSOLIDATED($H$25,$H50),IF(_xll.TM1RPTELLEV($H$25,$H50)&lt;=5,_xll.TM1RPTELLEV($H$25,$H50),"Default"),"Leaf")</f>
        <v>Leaf</v>
      </c>
      <c r="B50" s="117" t="s">
        <v>342</v>
      </c>
      <c r="C50" s="117" t="s">
        <v>343</v>
      </c>
      <c r="D50" s="126" t="s">
        <v>179</v>
      </c>
      <c r="E50" s="125" t="str">
        <f>_xll.DBRW($B$3,$D50,$E$6)</f>
        <v>201136 - GLOVE LARGE VINYL PF 10/100PK</v>
      </c>
      <c r="F50" s="117" t="s">
        <v>133</v>
      </c>
      <c r="G50" s="117" t="s">
        <v>155</v>
      </c>
      <c r="H50" s="117" t="s">
        <v>349</v>
      </c>
      <c r="I50" s="116">
        <f>_xll.DBRW($B$2,$B50,$C50,$C$20,$C$4,$D50,$F50,$G50,$H50,I$24)</f>
        <v>96</v>
      </c>
      <c r="J50" s="116" t="str">
        <f>_xll.DBRW($B$2,$B50,$C50,$C$20,$C$4,$D50,$F50,$G50,$H50,J$24)</f>
        <v>2026-03-24</v>
      </c>
      <c r="K50" s="116" t="str">
        <f>_xll.DBRW($B$2,$B50,$C50,$C$20,$C$4,$D50,$F50,$G50,$H50,K$24)</f>
        <v>Direct</v>
      </c>
    </row>
    <row r="51" spans="1:11" s="23" customFormat="1" outlineLevel="1" thickBot="1" x14ac:dyDescent="0.3">
      <c r="A51" s="100" t="str">
        <f>IF(_xll.TM1RPTELISCONSOLIDATED($H$25,$H51),IF(_xll.TM1RPTELLEV($H$25,$H51)&lt;=5,_xll.TM1RPTELLEV($H$25,$H51),"Default"),"Leaf")</f>
        <v>Leaf</v>
      </c>
      <c r="B51" s="117" t="s">
        <v>342</v>
      </c>
      <c r="C51" s="117" t="s">
        <v>343</v>
      </c>
      <c r="D51" s="126" t="s">
        <v>180</v>
      </c>
      <c r="E51" s="125" t="str">
        <f>_xll.DBRW($B$3,$D51,$E$6)</f>
        <v>201137 - GLOVE XLARGE VINYL PF 10/100PK</v>
      </c>
      <c r="F51" s="117" t="s">
        <v>134</v>
      </c>
      <c r="G51" s="117" t="s">
        <v>155</v>
      </c>
      <c r="H51" s="117" t="s">
        <v>349</v>
      </c>
      <c r="I51" s="116">
        <f>_xll.DBRW($B$2,$B51,$C51,$C$20,$C$4,$D51,$F51,$G51,$H51,I$24)</f>
        <v>288</v>
      </c>
      <c r="J51" s="116" t="str">
        <f>_xll.DBRW($B$2,$B51,$C51,$C$20,$C$4,$D51,$F51,$G51,$H51,J$24)</f>
        <v>2026-03-24</v>
      </c>
      <c r="K51" s="116" t="str">
        <f>_xll.DBRW($B$2,$B51,$C51,$C$20,$C$4,$D51,$F51,$G51,$H51,K$24)</f>
        <v>Direct</v>
      </c>
    </row>
    <row r="52" spans="1:11" s="23" customFormat="1" outlineLevel="1" thickBot="1" x14ac:dyDescent="0.3">
      <c r="A52" s="100" t="str">
        <f>IF(_xll.TM1RPTELISCONSOLIDATED($H$25,$H52),IF(_xll.TM1RPTELLEV($H$25,$H52)&lt;=5,_xll.TM1RPTELLEV($H$25,$H52),"Default"),"Leaf")</f>
        <v>Leaf</v>
      </c>
      <c r="B52" s="117" t="s">
        <v>342</v>
      </c>
      <c r="C52" s="117" t="s">
        <v>343</v>
      </c>
      <c r="D52" s="126" t="s">
        <v>456</v>
      </c>
      <c r="E52" s="125" t="str">
        <f>_xll.DBRW($B$3,$D52,$E$6)</f>
        <v>910395 - PROTEIN BACON PRECOOKED THICK 7" 2CT</v>
      </c>
      <c r="F52" s="117" t="s">
        <v>149</v>
      </c>
      <c r="G52" s="117" t="s">
        <v>42</v>
      </c>
      <c r="H52" s="117" t="s">
        <v>467</v>
      </c>
      <c r="I52" s="116">
        <f>_xll.DBRW($B$2,$B52,$C52,$C$20,$C$4,$D52,$F52,$G52,$H52,I$24)</f>
        <v>39</v>
      </c>
      <c r="J52" s="116" t="str">
        <f>_xll.DBRW($B$2,$B52,$C52,$C$20,$C$4,$D52,$F52,$G52,$H52,J$24)</f>
        <v>2026-03-23</v>
      </c>
      <c r="K52" s="116" t="str">
        <f>_xll.DBRW($B$2,$B52,$C52,$C$20,$C$4,$D52,$F52,$G52,$H52,K$24)</f>
        <v>Direct</v>
      </c>
    </row>
    <row r="53" spans="1:11" s="23" customFormat="1" outlineLevel="1" thickBot="1" x14ac:dyDescent="0.3">
      <c r="A53" s="100" t="str">
        <f>IF(_xll.TM1RPTELISCONSOLIDATED($H$25,$H53),IF(_xll.TM1RPTELLEV($H$25,$H53)&lt;=5,_xll.TM1RPTELLEV($H$25,$H53),"Default"),"Leaf")</f>
        <v>Leaf</v>
      </c>
      <c r="B53" s="117" t="s">
        <v>342</v>
      </c>
      <c r="C53" s="117" t="s">
        <v>344</v>
      </c>
      <c r="D53" s="126" t="s">
        <v>463</v>
      </c>
      <c r="E53" s="125" t="str">
        <f>_xll.DBRW($B$3,$D53,$E$6)</f>
        <v>100407 - HAM BI BROWN 13-17 4CT-FM</v>
      </c>
      <c r="F53" s="117" t="s">
        <v>466</v>
      </c>
      <c r="G53" s="117" t="s">
        <v>42</v>
      </c>
      <c r="H53" s="117" t="s">
        <v>469</v>
      </c>
      <c r="I53" s="116">
        <f>_xll.DBRW($B$2,$B53,$C53,$C$20,$C$4,$D53,$F53,$G53,$H53,I$24)</f>
        <v>5</v>
      </c>
      <c r="J53" s="116" t="str">
        <f>_xll.DBRW($B$2,$B53,$C53,$C$20,$C$4,$D53,$F53,$G53,$H53,J$24)</f>
        <v>2026-03-31</v>
      </c>
      <c r="K53" s="116" t="str">
        <f>_xll.DBRW($B$2,$B53,$C53,$C$20,$C$4,$D53,$F53,$G53,$H53,K$24)</f>
        <v>Direct</v>
      </c>
    </row>
    <row r="54" spans="1:11" s="23" customFormat="1" outlineLevel="1" thickBot="1" x14ac:dyDescent="0.3">
      <c r="A54" s="100" t="str">
        <f>IF(_xll.TM1RPTELISCONSOLIDATED($H$25,$H54),IF(_xll.TM1RPTELLEV($H$25,$H54)&lt;=5,_xll.TM1RPTELLEV($H$25,$H54),"Default"),"Leaf")</f>
        <v>Leaf</v>
      </c>
      <c r="B54" s="117" t="s">
        <v>342</v>
      </c>
      <c r="C54" s="117" t="s">
        <v>344</v>
      </c>
      <c r="D54" s="126" t="s">
        <v>464</v>
      </c>
      <c r="E54" s="125" t="str">
        <f>_xll.DBRW($B$3,$D54,$E$6)</f>
        <v>100408 - HAM BI RED 17-19 3CT-FM</v>
      </c>
      <c r="F54" s="117" t="s">
        <v>107</v>
      </c>
      <c r="G54" s="117" t="s">
        <v>42</v>
      </c>
      <c r="H54" s="117" t="s">
        <v>469</v>
      </c>
      <c r="I54" s="116">
        <f>_xll.DBRW($B$2,$B54,$C54,$C$20,$C$4,$D54,$F54,$G54,$H54,I$24)</f>
        <v>8</v>
      </c>
      <c r="J54" s="116" t="str">
        <f>_xll.DBRW($B$2,$B54,$C54,$C$20,$C$4,$D54,$F54,$G54,$H54,J$24)</f>
        <v>2026-03-31</v>
      </c>
      <c r="K54" s="116" t="str">
        <f>_xll.DBRW($B$2,$B54,$C54,$C$20,$C$4,$D54,$F54,$G54,$H54,K$24)</f>
        <v>Direct</v>
      </c>
    </row>
    <row r="55" spans="1:11" s="23" customFormat="1" outlineLevel="1" thickBot="1" x14ac:dyDescent="0.3">
      <c r="A55" s="100" t="str">
        <f>IF(_xll.TM1RPTELISCONSOLIDATED($H$25,$H55),IF(_xll.TM1RPTELLEV($H$25,$H55)&lt;=5,_xll.TM1RPTELLEV($H$25,$H55),"Default"),"Leaf")</f>
        <v>Leaf</v>
      </c>
      <c r="B55" s="117" t="s">
        <v>342</v>
      </c>
      <c r="C55" s="117" t="s">
        <v>344</v>
      </c>
      <c r="D55" s="126" t="s">
        <v>357</v>
      </c>
      <c r="E55" s="125" t="str">
        <f>_xll.DBRW($B$3,$D55,$E$6)</f>
        <v>100409 - HAM BI WHITE 19-21 3CT-FM</v>
      </c>
      <c r="F55" s="117" t="s">
        <v>108</v>
      </c>
      <c r="G55" s="117" t="s">
        <v>42</v>
      </c>
      <c r="H55" s="117" t="s">
        <v>469</v>
      </c>
      <c r="I55" s="116">
        <f>_xll.DBRW($B$2,$B55,$C55,$C$20,$C$4,$D55,$F55,$G55,$H55,I$24)</f>
        <v>9</v>
      </c>
      <c r="J55" s="116" t="str">
        <f>_xll.DBRW($B$2,$B55,$C55,$C$20,$C$4,$D55,$F55,$G55,$H55,J$24)</f>
        <v>2026-03-31</v>
      </c>
      <c r="K55" s="116" t="str">
        <f>_xll.DBRW($B$2,$B55,$C55,$C$20,$C$4,$D55,$F55,$G55,$H55,K$24)</f>
        <v>Direct</v>
      </c>
    </row>
    <row r="56" spans="1:11" s="23" customFormat="1" outlineLevel="1" thickBot="1" x14ac:dyDescent="0.3">
      <c r="A56" s="100" t="str">
        <f>IF(_xll.TM1RPTELISCONSOLIDATED($H$25,$H56),IF(_xll.TM1RPTELLEV($H$25,$H56)&lt;=5,_xll.TM1RPTELLEV($H$25,$H56),"Default"),"Leaf")</f>
        <v>Leaf</v>
      </c>
      <c r="B56" s="117" t="s">
        <v>342</v>
      </c>
      <c r="C56" s="117" t="s">
        <v>344</v>
      </c>
      <c r="D56" s="126" t="s">
        <v>360</v>
      </c>
      <c r="E56" s="125" t="str">
        <f>_xll.DBRW($B$3,$D56,$E$6)</f>
        <v>100504 - HAM BONELESS 6CT-FM</v>
      </c>
      <c r="F56" s="117" t="s">
        <v>111</v>
      </c>
      <c r="G56" s="117" t="s">
        <v>42</v>
      </c>
      <c r="H56" s="117" t="s">
        <v>469</v>
      </c>
      <c r="I56" s="116">
        <f>_xll.DBRW($B$2,$B56,$C56,$C$20,$C$4,$D56,$F56,$G56,$H56,I$24)</f>
        <v>16</v>
      </c>
      <c r="J56" s="116" t="str">
        <f>_xll.DBRW($B$2,$B56,$C56,$C$20,$C$4,$D56,$F56,$G56,$H56,J$24)</f>
        <v>2026-03-31</v>
      </c>
      <c r="K56" s="116" t="str">
        <f>_xll.DBRW($B$2,$B56,$C56,$C$20,$C$4,$D56,$F56,$G56,$H56,K$24)</f>
        <v>Direct</v>
      </c>
    </row>
    <row r="57" spans="1:11" s="23" customFormat="1" outlineLevel="1" thickBot="1" x14ac:dyDescent="0.3">
      <c r="A57" s="100" t="str">
        <f>IF(_xll.TM1RPTELISCONSOLIDATED($H$25,$H57),IF(_xll.TM1RPTELLEV($H$25,$H57)&lt;=5,_xll.TM1RPTELLEV($H$25,$H57),"Default"),"Leaf")</f>
        <v>Leaf</v>
      </c>
      <c r="B57" s="117" t="s">
        <v>342</v>
      </c>
      <c r="C57" s="117" t="s">
        <v>344</v>
      </c>
      <c r="D57" s="126" t="s">
        <v>411</v>
      </c>
      <c r="E57" s="125" t="str">
        <f>_xll.DBRW($B$3,$D57,$E$6)</f>
        <v>180115 - CHEESE SWISS SLICED .75OZ 6/24PK</v>
      </c>
      <c r="F57" s="117" t="s">
        <v>118</v>
      </c>
      <c r="G57" s="117" t="s">
        <v>101</v>
      </c>
      <c r="H57" s="117" t="s">
        <v>470</v>
      </c>
      <c r="I57" s="116">
        <f>_xll.DBRW($B$2,$B57,$C57,$C$20,$C$4,$D57,$F57,$G57,$H57,I$24)</f>
        <v>39</v>
      </c>
      <c r="J57" s="116" t="str">
        <f>_xll.DBRW($B$2,$B57,$C57,$C$20,$C$4,$D57,$F57,$G57,$H57,J$24)</f>
        <v>2026-04-01</v>
      </c>
      <c r="K57" s="116" t="str">
        <f>_xll.DBRW($B$2,$B57,$C57,$C$20,$C$4,$D57,$F57,$G57,$H57,K$24)</f>
        <v>Direct</v>
      </c>
    </row>
    <row r="58" spans="1:11" s="23" customFormat="1" outlineLevel="1" thickBot="1" x14ac:dyDescent="0.3">
      <c r="A58" s="100" t="str">
        <f>IF(_xll.TM1RPTELISCONSOLIDATED($H$25,$H58),IF(_xll.TM1RPTELLEV($H$25,$H58)&lt;=5,_xll.TM1RPTELLEV($H$25,$H58),"Default"),"Leaf")</f>
        <v>Leaf</v>
      </c>
      <c r="B58" s="117" t="s">
        <v>342</v>
      </c>
      <c r="C58" s="117" t="s">
        <v>344</v>
      </c>
      <c r="D58" s="126" t="s">
        <v>459</v>
      </c>
      <c r="E58" s="125" t="str">
        <f>_xll.DBRW($B$3,$D58,$E$6)</f>
        <v>180269 - CHEESE MILD CHEDDAR .75OZ 6/24PK</v>
      </c>
      <c r="F58" s="117" t="s">
        <v>119</v>
      </c>
      <c r="G58" s="117" t="s">
        <v>101</v>
      </c>
      <c r="H58" s="117" t="s">
        <v>350</v>
      </c>
      <c r="I58" s="116">
        <f>_xll.DBRW($B$2,$B58,$C58,$C$20,$C$4,$D58,$F58,$G58,$H58,I$24)</f>
        <v>13</v>
      </c>
      <c r="J58" s="116" t="str">
        <f>_xll.DBRW($B$2,$B58,$C58,$C$20,$C$4,$D58,$F58,$G58,$H58,J$24)</f>
        <v>2026-03-30</v>
      </c>
      <c r="K58" s="116" t="str">
        <f>_xll.DBRW($B$2,$B58,$C58,$C$20,$C$4,$D58,$F58,$G58,$H58,K$24)</f>
        <v>Direct</v>
      </c>
    </row>
    <row r="59" spans="1:11" s="23" customFormat="1" outlineLevel="1" thickBot="1" x14ac:dyDescent="0.3">
      <c r="A59" s="100" t="str">
        <f>IF(_xll.TM1RPTELISCONSOLIDATED($H$25,$H59),IF(_xll.TM1RPTELLEV($H$25,$H59)&lt;=5,_xll.TM1RPTELLEV($H$25,$H59),"Default"),"Leaf")</f>
        <v>Leaf</v>
      </c>
      <c r="B59" s="117" t="s">
        <v>342</v>
      </c>
      <c r="C59" s="117" t="s">
        <v>344</v>
      </c>
      <c r="D59" s="126" t="s">
        <v>423</v>
      </c>
      <c r="E59" s="125" t="str">
        <f>_xll.DBRW($B$3,$D59,$E$6)</f>
        <v>182010 - CONDIMENT MAYO DUKES IND 12G PKT 200CT</v>
      </c>
      <c r="F59" s="117" t="s">
        <v>248</v>
      </c>
      <c r="G59" s="117" t="s">
        <v>44</v>
      </c>
      <c r="H59" s="117" t="s">
        <v>351</v>
      </c>
      <c r="I59" s="116">
        <f>_xll.DBRW($B$2,$B59,$C59,$C$20,$C$4,$D59,$F59,$G59,$H59,I$24)</f>
        <v>192</v>
      </c>
      <c r="J59" s="116" t="str">
        <f>_xll.DBRW($B$2,$B59,$C59,$C$20,$C$4,$D59,$F59,$G59,$H59,J$24)</f>
        <v>2026-03-30</v>
      </c>
      <c r="K59" s="116" t="str">
        <f>_xll.DBRW($B$2,$B59,$C59,$C$20,$C$4,$D59,$F59,$G59,$H59,K$24)</f>
        <v>Direct</v>
      </c>
    </row>
    <row r="60" spans="1:11" s="23" customFormat="1" outlineLevel="1" thickBot="1" x14ac:dyDescent="0.3">
      <c r="A60" s="100" t="str">
        <f>IF(_xll.TM1RPTELISCONSOLIDATED($H$25,$H60),IF(_xll.TM1RPTELLEV($H$25,$H60)&lt;=5,_xll.TM1RPTELLEV($H$25,$H60),"Default"),"Leaf")</f>
        <v>Leaf</v>
      </c>
      <c r="B60" s="117" t="s">
        <v>342</v>
      </c>
      <c r="C60" s="117" t="s">
        <v>344</v>
      </c>
      <c r="D60" s="126" t="s">
        <v>465</v>
      </c>
      <c r="E60" s="125" t="str">
        <f>_xll.DBRW($B$3,$D60,$E$6)</f>
        <v>200450 - UTENSIL SPOON SERVING BLACK 9" 144CT</v>
      </c>
      <c r="F60" s="117" t="s">
        <v>151</v>
      </c>
      <c r="G60" s="117" t="s">
        <v>30</v>
      </c>
      <c r="H60" s="117" t="s">
        <v>352</v>
      </c>
      <c r="I60" s="116">
        <f>_xll.DBRW($B$2,$B60,$C60,$C$20,$C$4,$D60,$F60,$G60,$H60,I$24)</f>
        <v>50</v>
      </c>
      <c r="J60" s="116" t="str">
        <f>_xll.DBRW($B$2,$B60,$C60,$C$20,$C$4,$D60,$F60,$G60,$H60,J$24)</f>
        <v>2026-04-02</v>
      </c>
      <c r="K60" s="116" t="str">
        <f>_xll.DBRW($B$2,$B60,$C60,$C$20,$C$4,$D60,$F60,$G60,$H60,K$24)</f>
        <v>Direct</v>
      </c>
    </row>
    <row r="61" spans="1:11" s="23" customFormat="1" outlineLevel="1" thickBot="1" x14ac:dyDescent="0.3">
      <c r="A61" s="100" t="str">
        <f>IF(_xll.TM1RPTELISCONSOLIDATED($H$25,$H61),IF(_xll.TM1RPTELLEV($H$25,$H61)&lt;=5,_xll.TM1RPTELLEV($H$25,$H61),"Default"),"Leaf")</f>
        <v>Leaf</v>
      </c>
      <c r="B61" s="117" t="s">
        <v>342</v>
      </c>
      <c r="C61" s="117" t="s">
        <v>344</v>
      </c>
      <c r="D61" s="126" t="s">
        <v>160</v>
      </c>
      <c r="E61" s="125" t="str">
        <f>_xll.DBRW($B$3,$D61,$E$6)</f>
        <v>201116 - CHEESE MILD CHEDDAR SHREDDED 20/1LB</v>
      </c>
      <c r="F61" s="117" t="s">
        <v>130</v>
      </c>
      <c r="G61" s="117" t="s">
        <v>154</v>
      </c>
      <c r="H61" s="117" t="s">
        <v>350</v>
      </c>
      <c r="I61" s="116">
        <f>_xll.DBRW($B$2,$B61,$C61,$C$20,$C$4,$D61,$F61,$G61,$H61,I$24)</f>
        <v>56</v>
      </c>
      <c r="J61" s="116" t="str">
        <f>_xll.DBRW($B$2,$B61,$C61,$C$20,$C$4,$D61,$F61,$G61,$H61,J$24)</f>
        <v>2026-03-30</v>
      </c>
      <c r="K61" s="116" t="str">
        <f>_xll.DBRW($B$2,$B61,$C61,$C$20,$C$4,$D61,$F61,$G61,$H61,K$24)</f>
        <v>Direct</v>
      </c>
    </row>
    <row r="62" spans="1:11" s="23" customFormat="1" outlineLevel="1" thickBot="1" x14ac:dyDescent="0.3">
      <c r="A62" s="100" t="str">
        <f>IF(_xll.TM1RPTELISCONSOLIDATED($H$25,$H62),IF(_xll.TM1RPTELLEV($H$25,$H62)&lt;=5,_xll.TM1RPTELLEV($H$25,$H62),"Default"),"Leaf")</f>
        <v>Leaf</v>
      </c>
      <c r="B62" s="117" t="s">
        <v>342</v>
      </c>
      <c r="C62" s="117" t="s">
        <v>344</v>
      </c>
      <c r="D62" s="126" t="s">
        <v>161</v>
      </c>
      <c r="E62" s="125" t="str">
        <f>_xll.DBRW($B$3,$D62,$E$6)</f>
        <v>201117 - CONDIMENT MAYO HD 4/1GAL</v>
      </c>
      <c r="F62" s="117" t="s">
        <v>147</v>
      </c>
      <c r="G62" s="117" t="s">
        <v>156</v>
      </c>
      <c r="H62" s="117" t="s">
        <v>471</v>
      </c>
      <c r="I62" s="116">
        <f>_xll.DBRW($B$2,$B62,$C62,$C$20,$C$4,$D62,$F62,$G62,$H62,I$24)</f>
        <v>144</v>
      </c>
      <c r="J62" s="116" t="str">
        <f>_xll.DBRW($B$2,$B62,$C62,$C$20,$C$4,$D62,$F62,$G62,$H62,J$24)</f>
        <v>2026-04-03</v>
      </c>
      <c r="K62" s="116" t="str">
        <f>_xll.DBRW($B$2,$B62,$C62,$C$20,$C$4,$D62,$F62,$G62,$H62,K$24)</f>
        <v>Direct</v>
      </c>
    </row>
    <row r="63" spans="1:11" s="23" customFormat="1" outlineLevel="1" thickBot="1" x14ac:dyDescent="0.3">
      <c r="A63" s="100" t="str">
        <f>IF(_xll.TM1RPTELISCONSOLIDATED($H$25,$H63),IF(_xll.TM1RPTELLEV($H$25,$H63)&lt;=5,_xll.TM1RPTELLEV($H$25,$H63),"Default"),"Leaf")</f>
        <v>Leaf</v>
      </c>
      <c r="B63" s="117" t="s">
        <v>342</v>
      </c>
      <c r="C63" s="117" t="s">
        <v>344</v>
      </c>
      <c r="D63" s="126" t="s">
        <v>162</v>
      </c>
      <c r="E63" s="125" t="str">
        <f>_xll.DBRW($B$3,$D63,$E$6)</f>
        <v>201119 - INGREDIENT BALSAMIC VINAIGRETTE SIGN 4/1GAL</v>
      </c>
      <c r="F63" s="117" t="s">
        <v>148</v>
      </c>
      <c r="G63" s="117" t="s">
        <v>156</v>
      </c>
      <c r="H63" s="117" t="s">
        <v>471</v>
      </c>
      <c r="I63" s="116">
        <f>_xll.DBRW($B$2,$B63,$C63,$C$20,$C$4,$D63,$F63,$G63,$H63,I$24)</f>
        <v>5</v>
      </c>
      <c r="J63" s="116" t="str">
        <f>_xll.DBRW($B$2,$B63,$C63,$C$20,$C$4,$D63,$F63,$G63,$H63,J$24)</f>
        <v>2026-04-03</v>
      </c>
      <c r="K63" s="116" t="str">
        <f>_xll.DBRW($B$2,$B63,$C63,$C$20,$C$4,$D63,$F63,$G63,$H63,K$24)</f>
        <v>Direct</v>
      </c>
    </row>
    <row r="64" spans="1:11" s="23" customFormat="1" outlineLevel="1" thickBot="1" x14ac:dyDescent="0.3">
      <c r="A64" s="100" t="str">
        <f>IF(_xll.TM1RPTELISCONSOLIDATED($H$25,$H64),IF(_xll.TM1RPTELLEV($H$25,$H64)&lt;=5,_xll.TM1RPTELLEV($H$25,$H64),"Default"),"Leaf")</f>
        <v>Leaf</v>
      </c>
      <c r="B64" s="117" t="s">
        <v>342</v>
      </c>
      <c r="C64" s="117" t="s">
        <v>344</v>
      </c>
      <c r="D64" s="126" t="s">
        <v>175</v>
      </c>
      <c r="E64" s="125" t="str">
        <f>_xll.DBRW($B$3,$D64,$E$6)</f>
        <v>201132 - BAG TRASH XHVY BLK 60 GAL 38X58 100CT</v>
      </c>
      <c r="F64" s="117" t="s">
        <v>314</v>
      </c>
      <c r="G64" s="117" t="s">
        <v>330</v>
      </c>
      <c r="H64" s="117" t="s">
        <v>353</v>
      </c>
      <c r="I64" s="116">
        <f>_xll.DBRW($B$2,$B64,$C64,$C$20,$C$4,$D64,$F64,$G64,$H64,I$24)</f>
        <v>70</v>
      </c>
      <c r="J64" s="116" t="str">
        <f>_xll.DBRW($B$2,$B64,$C64,$C$20,$C$4,$D64,$F64,$G64,$H64,J$24)</f>
        <v>2026-04-01</v>
      </c>
      <c r="K64" s="116" t="str">
        <f>_xll.DBRW($B$2,$B64,$C64,$C$20,$C$4,$D64,$F64,$G64,$H64,K$24)</f>
        <v>Direct</v>
      </c>
    </row>
    <row r="65" spans="1:11" s="23" customFormat="1" outlineLevel="1" thickBot="1" x14ac:dyDescent="0.3">
      <c r="A65" s="100" t="str">
        <f>IF(_xll.TM1RPTELISCONSOLIDATED($H$25,$H65),IF(_xll.TM1RPTELLEV($H$25,$H65)&lt;=5,_xll.TM1RPTELLEV($H$25,$H65),"Default"),"Leaf")</f>
        <v>Leaf</v>
      </c>
      <c r="B65" s="117" t="s">
        <v>342</v>
      </c>
      <c r="C65" s="117" t="s">
        <v>344</v>
      </c>
      <c r="D65" s="126" t="s">
        <v>177</v>
      </c>
      <c r="E65" s="125" t="str">
        <f>_xll.DBRW($B$3,$D65,$E$6)</f>
        <v>201134 - GLOVE SMALL VINYL PF 10/100PK</v>
      </c>
      <c r="F65" s="117" t="s">
        <v>131</v>
      </c>
      <c r="G65" s="117" t="s">
        <v>155</v>
      </c>
      <c r="H65" s="117" t="s">
        <v>472</v>
      </c>
      <c r="I65" s="116">
        <f>_xll.DBRW($B$2,$B65,$C65,$C$20,$C$4,$D65,$F65,$G65,$H65,I$24)</f>
        <v>2</v>
      </c>
      <c r="J65" s="116" t="str">
        <f>_xll.DBRW($B$2,$B65,$C65,$C$20,$C$4,$D65,$F65,$G65,$H65,J$24)</f>
        <v>2026-03-30</v>
      </c>
      <c r="K65" s="116" t="str">
        <f>_xll.DBRW($B$2,$B65,$C65,$C$20,$C$4,$D65,$F65,$G65,$H65,K$24)</f>
        <v>Direct</v>
      </c>
    </row>
    <row r="66" spans="1:11" s="23" customFormat="1" outlineLevel="1" thickBot="1" x14ac:dyDescent="0.3">
      <c r="A66" s="100" t="str">
        <f>IF(_xll.TM1RPTELISCONSOLIDATED($H$25,$H66),IF(_xll.TM1RPTELLEV($H$25,$H66)&lt;=5,_xll.TM1RPTELLEV($H$25,$H66),"Default"),"Leaf")</f>
        <v>Leaf</v>
      </c>
      <c r="B66" s="117" t="s">
        <v>342</v>
      </c>
      <c r="C66" s="117" t="s">
        <v>344</v>
      </c>
      <c r="D66" s="126" t="s">
        <v>178</v>
      </c>
      <c r="E66" s="125" t="str">
        <f>_xll.DBRW($B$3,$D66,$E$6)</f>
        <v>201135 - GLOVE MEDIUM VINYL PF 10/100PK</v>
      </c>
      <c r="F66" s="117" t="s">
        <v>132</v>
      </c>
      <c r="G66" s="117" t="s">
        <v>155</v>
      </c>
      <c r="H66" s="117" t="s">
        <v>472</v>
      </c>
      <c r="I66" s="116">
        <f>_xll.DBRW($B$2,$B66,$C66,$C$20,$C$4,$D66,$F66,$G66,$H66,I$24)</f>
        <v>96</v>
      </c>
      <c r="J66" s="116" t="str">
        <f>_xll.DBRW($B$2,$B66,$C66,$C$20,$C$4,$D66,$F66,$G66,$H66,J$24)</f>
        <v>2026-03-30</v>
      </c>
      <c r="K66" s="116" t="str">
        <f>_xll.DBRW($B$2,$B66,$C66,$C$20,$C$4,$D66,$F66,$G66,$H66,K$24)</f>
        <v>Direct</v>
      </c>
    </row>
    <row r="67" spans="1:11" s="23" customFormat="1" outlineLevel="1" thickBot="1" x14ac:dyDescent="0.3">
      <c r="A67" s="100" t="str">
        <f>IF(_xll.TM1RPTELISCONSOLIDATED($H$25,$H67),IF(_xll.TM1RPTELLEV($H$25,$H67)&lt;=5,_xll.TM1RPTELLEV($H$25,$H67),"Default"),"Leaf")</f>
        <v>Leaf</v>
      </c>
      <c r="B67" s="117" t="s">
        <v>342</v>
      </c>
      <c r="C67" s="117" t="s">
        <v>344</v>
      </c>
      <c r="D67" s="126" t="s">
        <v>179</v>
      </c>
      <c r="E67" s="125" t="str">
        <f>_xll.DBRW($B$3,$D67,$E$6)</f>
        <v>201136 - GLOVE LARGE VINYL PF 10/100PK</v>
      </c>
      <c r="F67" s="117" t="s">
        <v>133</v>
      </c>
      <c r="G67" s="117" t="s">
        <v>155</v>
      </c>
      <c r="H67" s="117" t="s">
        <v>472</v>
      </c>
      <c r="I67" s="116">
        <f>_xll.DBRW($B$2,$B67,$C67,$C$20,$C$4,$D67,$F67,$G67,$H67,I$24)</f>
        <v>96</v>
      </c>
      <c r="J67" s="116" t="str">
        <f>_xll.DBRW($B$2,$B67,$C67,$C$20,$C$4,$D67,$F67,$G67,$H67,J$24)</f>
        <v>2026-03-30</v>
      </c>
      <c r="K67" s="116" t="str">
        <f>_xll.DBRW($B$2,$B67,$C67,$C$20,$C$4,$D67,$F67,$G67,$H67,K$24)</f>
        <v>Direct</v>
      </c>
    </row>
    <row r="68" spans="1:11" s="23" customFormat="1" outlineLevel="1" thickBot="1" x14ac:dyDescent="0.3">
      <c r="A68" s="100" t="str">
        <f>IF(_xll.TM1RPTELISCONSOLIDATED($H$25,$H68),IF(_xll.TM1RPTELLEV($H$25,$H68)&lt;=5,_xll.TM1RPTELLEV($H$25,$H68),"Default"),"Leaf")</f>
        <v>Leaf</v>
      </c>
      <c r="B68" s="117" t="s">
        <v>342</v>
      </c>
      <c r="C68" s="117" t="s">
        <v>344</v>
      </c>
      <c r="D68" s="126" t="s">
        <v>180</v>
      </c>
      <c r="E68" s="125" t="str">
        <f>_xll.DBRW($B$3,$D68,$E$6)</f>
        <v>201137 - GLOVE XLARGE VINYL PF 10/100PK</v>
      </c>
      <c r="F68" s="117" t="s">
        <v>134</v>
      </c>
      <c r="G68" s="117" t="s">
        <v>155</v>
      </c>
      <c r="H68" s="117" t="s">
        <v>472</v>
      </c>
      <c r="I68" s="116">
        <f>_xll.DBRW($B$2,$B68,$C68,$C$20,$C$4,$D68,$F68,$G68,$H68,I$24)</f>
        <v>96</v>
      </c>
      <c r="J68" s="116" t="str">
        <f>_xll.DBRW($B$2,$B68,$C68,$C$20,$C$4,$D68,$F68,$G68,$H68,J$24)</f>
        <v>2026-03-30</v>
      </c>
      <c r="K68" s="116" t="str">
        <f>_xll.DBRW($B$2,$B68,$C68,$C$20,$C$4,$D68,$F68,$G68,$H68,K$24)</f>
        <v>Direct</v>
      </c>
    </row>
    <row r="69" spans="1:11" s="23" customFormat="1" outlineLevel="1" thickBot="1" x14ac:dyDescent="0.3">
      <c r="A69" s="100" t="str">
        <f>IF(_xll.TM1RPTELISCONSOLIDATED($H$25,$H69),IF(_xll.TM1RPTELLEV($H$25,$H69)&lt;=5,_xll.TM1RPTELLEV($H$25,$H69),"Default"),"Leaf")</f>
        <v>Leaf</v>
      </c>
      <c r="B69" s="117" t="s">
        <v>342</v>
      </c>
      <c r="C69" s="117" t="s">
        <v>355</v>
      </c>
      <c r="D69" s="126" t="s">
        <v>459</v>
      </c>
      <c r="E69" s="125" t="str">
        <f>_xll.DBRW($B$3,$D69,$E$6)</f>
        <v>180269 - CHEESE MILD CHEDDAR .75OZ 6/24PK</v>
      </c>
      <c r="F69" s="117" t="s">
        <v>119</v>
      </c>
      <c r="G69" s="117" t="s">
        <v>101</v>
      </c>
      <c r="H69" s="117" t="s">
        <v>473</v>
      </c>
      <c r="I69" s="116">
        <f>_xll.DBRW($B$2,$B69,$C69,$C$20,$C$4,$D69,$F69,$G69,$H69,I$24)</f>
        <v>65</v>
      </c>
      <c r="J69" s="116" t="str">
        <f>_xll.DBRW($B$2,$B69,$C69,$C$20,$C$4,$D69,$F69,$G69,$H69,J$24)</f>
        <v>2026-04-06</v>
      </c>
      <c r="K69" s="116" t="str">
        <f>_xll.DBRW($B$2,$B69,$C69,$C$20,$C$4,$D69,$F69,$G69,$H69,K$24)</f>
        <v>Direct</v>
      </c>
    </row>
    <row r="70" spans="1:11" s="23" customFormat="1" outlineLevel="1" thickBot="1" x14ac:dyDescent="0.3">
      <c r="A70" s="100" t="str">
        <f>IF(_xll.TM1RPTELISCONSOLIDATED($H$25,$H70),IF(_xll.TM1RPTELLEV($H$25,$H70)&lt;=5,_xll.TM1RPTELLEV($H$25,$H70),"Default"),"Leaf")</f>
        <v>Leaf</v>
      </c>
      <c r="B70" s="117" t="s">
        <v>342</v>
      </c>
      <c r="C70" s="117" t="s">
        <v>355</v>
      </c>
      <c r="D70" s="126" t="s">
        <v>160</v>
      </c>
      <c r="E70" s="125" t="str">
        <f>_xll.DBRW($B$3,$D70,$E$6)</f>
        <v>201116 - CHEESE MILD CHEDDAR SHREDDED 20/1LB</v>
      </c>
      <c r="F70" s="117" t="s">
        <v>130</v>
      </c>
      <c r="G70" s="117" t="s">
        <v>154</v>
      </c>
      <c r="H70" s="117" t="s">
        <v>473</v>
      </c>
      <c r="I70" s="116">
        <f>_xll.DBRW($B$2,$B70,$C70,$C$20,$C$4,$D70,$F70,$G70,$H70,I$24)</f>
        <v>40</v>
      </c>
      <c r="J70" s="116" t="str">
        <f>_xll.DBRW($B$2,$B70,$C70,$C$20,$C$4,$D70,$F70,$G70,$H70,J$24)</f>
        <v>2026-04-06</v>
      </c>
      <c r="K70" s="116" t="str">
        <f>_xll.DBRW($B$2,$B70,$C70,$C$20,$C$4,$D70,$F70,$G70,$H70,K$24)</f>
        <v>Direct</v>
      </c>
    </row>
    <row r="71" spans="1:11" s="23" customFormat="1" outlineLevel="1" thickBot="1" x14ac:dyDescent="0.3">
      <c r="A71" s="100" t="str">
        <f>IF(_xll.TM1RPTELISCONSOLIDATED($H$25,$H71),IF(_xll.TM1RPTELLEV($H$25,$H71)&lt;=5,_xll.TM1RPTELLEV($H$25,$H71),"Default"),"Leaf")</f>
        <v>Leaf</v>
      </c>
      <c r="B71" s="117" t="s">
        <v>342</v>
      </c>
      <c r="C71" s="117" t="s">
        <v>355</v>
      </c>
      <c r="D71" s="126" t="s">
        <v>168</v>
      </c>
      <c r="E71" s="125" t="str">
        <f>_xll.DBRW($B$3,$D71,$E$6)</f>
        <v>201125 - CONTAINER DELI ROUND PLSTC CLR W/LID 240/16OZ</v>
      </c>
      <c r="F71" s="117" t="s">
        <v>307</v>
      </c>
      <c r="G71" s="117" t="s">
        <v>326</v>
      </c>
      <c r="H71" s="117" t="s">
        <v>474</v>
      </c>
      <c r="I71" s="116">
        <f>_xll.DBRW($B$2,$B71,$C71,$C$20,$C$4,$D71,$F71,$G71,$H71,I$24)</f>
        <v>32</v>
      </c>
      <c r="J71" s="116" t="str">
        <f>_xll.DBRW($B$2,$B71,$C71,$C$20,$C$4,$D71,$F71,$G71,$H71,J$24)</f>
        <v>2026-04-09</v>
      </c>
      <c r="K71" s="116" t="str">
        <f>_xll.DBRW($B$2,$B71,$C71,$C$20,$C$4,$D71,$F71,$G71,$H71,K$24)</f>
        <v>Direct</v>
      </c>
    </row>
    <row r="72" spans="1:11" s="23" customFormat="1" outlineLevel="1" thickBot="1" x14ac:dyDescent="0.3">
      <c r="A72" s="100" t="str">
        <f>IF(_xll.TM1RPTELISCONSOLIDATED($H$25,$H72),IF(_xll.TM1RPTELLEV($H$25,$H72)&lt;=5,_xll.TM1RPTELLEV($H$25,$H72),"Default"),"Leaf")</f>
        <v>Leaf</v>
      </c>
      <c r="B72" s="117" t="s">
        <v>342</v>
      </c>
      <c r="C72" s="117" t="s">
        <v>356</v>
      </c>
      <c r="D72" s="126" t="s">
        <v>175</v>
      </c>
      <c r="E72" s="125" t="str">
        <f>_xll.DBRW($B$3,$D72,$E$6)</f>
        <v>201132 - BAG TRASH XHVY BLK 60 GAL 38X58 100CT</v>
      </c>
      <c r="F72" s="117" t="s">
        <v>314</v>
      </c>
      <c r="G72" s="117" t="s">
        <v>330</v>
      </c>
      <c r="H72" s="117" t="s">
        <v>475</v>
      </c>
      <c r="I72" s="116">
        <f>_xll.DBRW($B$2,$B72,$C72,$C$20,$C$4,$D72,$F72,$G72,$H72,I$24)</f>
        <v>119</v>
      </c>
      <c r="J72" s="116" t="str">
        <f>_xll.DBRW($B$2,$B72,$C72,$C$20,$C$4,$D72,$F72,$G72,$H72,J$24)</f>
        <v>2026-04-14</v>
      </c>
      <c r="K72" s="116" t="str">
        <f>_xll.DBRW($B$2,$B72,$C72,$C$20,$C$4,$D72,$F72,$G72,$H72,K$24)</f>
        <v>Direct</v>
      </c>
    </row>
  </sheetData>
  <autoFilter ref="A24:K24" xr:uid="{5746A45F-CAD8-4C22-B18B-6173DBE424B5}"/>
  <mergeCells count="1">
    <mergeCell ref="C20:E20"/>
  </mergeCells>
  <hyperlinks>
    <hyperlink ref="D25" r:id="rId1" display="=@TM1RPTROW($B$2,&quot;TM1-S1_DEV:SP_SKU&quot;,,,&quot;SKU Description&quot;,FALSE,D$1)" xr:uid="{AD439E92-592A-49B0-BE05-76852D5D0931}"/>
    <hyperlink ref="D29" r:id="rId2" display="=@TM1RPTROW($B$2,&quot;TM1-S1_DEV:SP_SKU&quot;,,,&quot;SKU Description&quot;,FALSE,D$1)" xr:uid="{5B71E8A6-CA74-4F9F-A343-DBC93F818839}"/>
    <hyperlink ref="D30" r:id="rId3" display="=@TM1RPTROW($B$2,&quot;TM1-S1_DEV:SP_SKU&quot;,,,&quot;SKU Description&quot;,FALSE,D$1)" xr:uid="{2C15D618-7A98-40E7-BF39-BEB0B5799B7E}"/>
    <hyperlink ref="D31" r:id="rId4" display="=@TM1RPTROW($B$2,&quot;TM1-S1_DEV:SP_SKU&quot;,,,&quot;SKU Description&quot;,FALSE,D$1)" xr:uid="{7232B774-CC64-4978-87EE-68AFA864BCE5}"/>
    <hyperlink ref="D32" r:id="rId5" display="=@TM1RPTROW($B$2,&quot;TM1-S1_DEV:SP_SKU&quot;,,,&quot;SKU Description&quot;,FALSE,D$1)" xr:uid="{53C4F77C-1B69-40FF-81C7-59FA8E05BAB5}"/>
    <hyperlink ref="D33" r:id="rId6" display="=@TM1RPTROW($B$2,&quot;TM1-S1_DEV:SP_SKU&quot;,,,&quot;SKU Description&quot;,FALSE,D$1)" xr:uid="{5C5CB6D7-70D4-423C-AB6A-3A26083BD972}"/>
    <hyperlink ref="D34" r:id="rId7" display="=@TM1RPTROW($B$2,&quot;TM1-S1_DEV:SP_SKU&quot;,,,&quot;SKU Description&quot;,FALSE,D$1)" xr:uid="{6E659D9D-372D-4858-BF4C-67011CB84920}"/>
    <hyperlink ref="D35" r:id="rId8" display="=@TM1RPTROW($B$2,&quot;TM1-S1_DEV:SP_SKU&quot;,,,&quot;SKU Description&quot;,FALSE,D$1)" xr:uid="{F6B9EFCE-7538-4D6A-81F5-7AF8DA838280}"/>
    <hyperlink ref="D36" r:id="rId9" display="=@TM1RPTROW($B$2,&quot;TM1-S1_DEV:SP_SKU&quot;,,,&quot;SKU Description&quot;,FALSE,D$1)" xr:uid="{0D7CB5B8-1E0E-4D1D-999F-D053AA836F86}"/>
    <hyperlink ref="D37" r:id="rId10" display="=@TM1RPTROW($B$2,&quot;TM1-S1_DEV:SP_SKU&quot;,,,&quot;SKU Description&quot;,FALSE,D$1)" xr:uid="{5DA143C4-8B83-45C8-9AB2-EC701895E8FB}"/>
    <hyperlink ref="D38" r:id="rId11" display="=@TM1RPTROW($B$2,&quot;TM1-S1_DEV:SP_SKU&quot;,,,&quot;SKU Description&quot;,FALSE,D$1)" xr:uid="{D0044FAE-C082-4193-99CC-8D2894DAE1BB}"/>
    <hyperlink ref="D39" r:id="rId12" display="=@TM1RPTROW($B$2,&quot;TM1-S1_DEV:SP_SKU&quot;,,,&quot;SKU Description&quot;,FALSE,D$1)" xr:uid="{FC09AF74-8E64-4C25-886E-F3CF0A8DD32C}"/>
    <hyperlink ref="D40" r:id="rId13" display="=@TM1RPTROW($B$2,&quot;TM1-S1_DEV:SP_SKU&quot;,,,&quot;SKU Description&quot;,FALSE,D$1)" xr:uid="{CE90BAD7-8779-4707-9A9E-838479B52D90}"/>
    <hyperlink ref="D41" r:id="rId14" display="=@TM1RPTROW($B$2,&quot;TM1-S1_DEV:SP_SKU&quot;,,,&quot;SKU Description&quot;,FALSE,D$1)" xr:uid="{011C6BF7-462A-4CF4-8B18-9D0849FD268F}"/>
    <hyperlink ref="D42" r:id="rId15" display="=@TM1RPTROW($B$2,&quot;TM1-S1_DEV:SP_SKU&quot;,,,&quot;SKU Description&quot;,FALSE,D$1)" xr:uid="{DA615532-6280-4F77-AAD8-EBBCA19B6909}"/>
    <hyperlink ref="D43" r:id="rId16" display="=@TM1RPTROW($B$2,&quot;TM1-S1_DEV:SP_SKU&quot;,,,&quot;SKU Description&quot;,FALSE,D$1)" xr:uid="{E5BC64F8-20B4-4647-A96C-23A95E13B570}"/>
    <hyperlink ref="D44" r:id="rId17" display="=@TM1RPTROW($B$2,&quot;TM1-S1_DEV:SP_SKU&quot;,,,&quot;SKU Description&quot;,FALSE,D$1)" xr:uid="{06DC52E5-7152-4BAD-86A2-149C61CEB722}"/>
    <hyperlink ref="D45" r:id="rId18" display="=@TM1RPTROW($B$2,&quot;TM1-S1_DEV:SP_SKU&quot;,,,&quot;SKU Description&quot;,FALSE,D$1)" xr:uid="{33F15F02-8374-49F7-90E9-9BABD07A5C49}"/>
    <hyperlink ref="D46" r:id="rId19" display="=@TM1RPTROW($B$2,&quot;TM1-S1_DEV:SP_SKU&quot;,,,&quot;SKU Description&quot;,FALSE,D$1)" xr:uid="{1CA5F74E-053B-414E-B4F9-FBB33612B342}"/>
    <hyperlink ref="D47" r:id="rId20" display="=@TM1RPTROW($B$2,&quot;TM1-S1_DEV:SP_SKU&quot;,,,&quot;SKU Description&quot;,FALSE,D$1)" xr:uid="{F37FB19B-AB9D-4306-A47F-670EFF6746EB}"/>
    <hyperlink ref="D48" r:id="rId21" display="=@TM1RPTROW($B$2,&quot;TM1-S1_DEV:SP_SKU&quot;,,,&quot;SKU Description&quot;,FALSE,D$1)" xr:uid="{79018A1D-122D-46D6-9FE3-BFFED405E8EA}"/>
    <hyperlink ref="D49" r:id="rId22" display="=@TM1RPTROW($B$2,&quot;TM1-S1_DEV:SP_SKU&quot;,,,&quot;SKU Description&quot;,FALSE,D$1)" xr:uid="{BAEB7E03-E05B-4D7E-8D9A-EFAF91DB88A8}"/>
    <hyperlink ref="D50" r:id="rId23" display="=@TM1RPTROW($B$2,&quot;TM1-S1_DEV:SP_SKU&quot;,,,&quot;SKU Description&quot;,FALSE,D$1)" xr:uid="{F247BE40-5096-4ED3-B461-35109B3F2E45}"/>
    <hyperlink ref="D51" r:id="rId24" display="=@TM1RPTROW($B$2,&quot;TM1-S1_DEV:SP_SKU&quot;,,,&quot;SKU Description&quot;,FALSE,D$1)" xr:uid="{B10E93F8-5627-44AE-B11A-10F4D9FA3E1B}"/>
    <hyperlink ref="D52" r:id="rId25" display="=@TM1RPTROW($B$2,&quot;TM1-S1_DEV:SP_SKU&quot;,,,&quot;SKU Description&quot;,FALSE,D$1)" xr:uid="{BF636AF5-315F-40D4-9CFC-FFFA66F1421C}"/>
    <hyperlink ref="D53" r:id="rId26" display="=@TM1RPTROW($B$2,&quot;TM1-S1_DEV:SP_SKU&quot;,,,&quot;SKU Description&quot;,FALSE,D$1)" xr:uid="{DD8A8408-8058-4D39-9E94-999D817F31F2}"/>
    <hyperlink ref="D54" r:id="rId27" display="=@TM1RPTROW($B$2,&quot;TM1-S1_DEV:SP_SKU&quot;,,,&quot;SKU Description&quot;,FALSE,D$1)" xr:uid="{FE3A1675-99CC-40AC-B920-FABD734F663C}"/>
    <hyperlink ref="D55" r:id="rId28" display="=@TM1RPTROW($B$2,&quot;TM1-S1_DEV:SP_SKU&quot;,,,&quot;SKU Description&quot;,FALSE,D$1)" xr:uid="{87E078A6-63B5-43F9-A572-0A0FB4A408BC}"/>
    <hyperlink ref="D56" r:id="rId29" display="=@TM1RPTROW($B$2,&quot;TM1-S1_DEV:SP_SKU&quot;,,,&quot;SKU Description&quot;,FALSE,D$1)" xr:uid="{00A86331-D4D1-46F7-B268-B2AF2EFBA24E}"/>
    <hyperlink ref="D57" r:id="rId30" display="=@TM1RPTROW($B$2,&quot;TM1-S1_DEV:SP_SKU&quot;,,,&quot;SKU Description&quot;,FALSE,D$1)" xr:uid="{4EB97337-954D-4B1B-B91A-BDECB73BE00B}"/>
    <hyperlink ref="D58" r:id="rId31" display="=@TM1RPTROW($B$2,&quot;TM1-S1_DEV:SP_SKU&quot;,,,&quot;SKU Description&quot;,FALSE,D$1)" xr:uid="{54603A71-7765-4E0C-B241-ADCC1D6E0901}"/>
    <hyperlink ref="D59" r:id="rId32" display="=@TM1RPTROW($B$2,&quot;TM1-S1_DEV:SP_SKU&quot;,,,&quot;SKU Description&quot;,FALSE,D$1)" xr:uid="{96DE9C7B-6A41-49E9-8E6C-FEED6E9FCF9B}"/>
    <hyperlink ref="D60" r:id="rId33" display="=@TM1RPTROW($B$2,&quot;TM1-S1_DEV:SP_SKU&quot;,,,&quot;SKU Description&quot;,FALSE,D$1)" xr:uid="{F37F8CFA-D10F-42DF-BB24-A0D012F4FEAE}"/>
    <hyperlink ref="D61" r:id="rId34" display="=@TM1RPTROW($B$2,&quot;TM1-S1_DEV:SP_SKU&quot;,,,&quot;SKU Description&quot;,FALSE,D$1)" xr:uid="{D9962749-7355-4D40-9199-273D59BF6CBD}"/>
    <hyperlink ref="D62" r:id="rId35" display="=@TM1RPTROW($B$2,&quot;TM1-S1_DEV:SP_SKU&quot;,,,&quot;SKU Description&quot;,FALSE,D$1)" xr:uid="{823F8A1B-D0D3-4284-99CC-80193921CA34}"/>
    <hyperlink ref="D63" r:id="rId36" display="=@TM1RPTROW($B$2,&quot;TM1-S1_DEV:SP_SKU&quot;,,,&quot;SKU Description&quot;,FALSE,D$1)" xr:uid="{F25DDBE3-B62E-4FBC-BC5F-AC7EE77418E9}"/>
    <hyperlink ref="D64" r:id="rId37" display="=@TM1RPTROW($B$2,&quot;TM1-S1_DEV:SP_SKU&quot;,,,&quot;SKU Description&quot;,FALSE,D$1)" xr:uid="{B00E213E-E25F-453F-9D22-36D2A198AE8A}"/>
    <hyperlink ref="D65" r:id="rId38" display="=@TM1RPTROW($B$2,&quot;TM1-S1_DEV:SP_SKU&quot;,,,&quot;SKU Description&quot;,FALSE,D$1)" xr:uid="{508C6E4B-1D24-4640-BF49-C69CCC259DC1}"/>
    <hyperlink ref="D66" r:id="rId39" display="=@TM1RPTROW($B$2,&quot;TM1-S1_DEV:SP_SKU&quot;,,,&quot;SKU Description&quot;,FALSE,D$1)" xr:uid="{10BECEB2-352E-4C74-9CF3-175D42418C22}"/>
    <hyperlink ref="D67" r:id="rId40" display="=@TM1RPTROW($B$2,&quot;TM1-S1_DEV:SP_SKU&quot;,,,&quot;SKU Description&quot;,FALSE,D$1)" xr:uid="{10E7FE0E-B1A1-44E7-822C-1641E3E5069B}"/>
    <hyperlink ref="D68" r:id="rId41" display="=@TM1RPTROW($B$2,&quot;TM1-S1_DEV:SP_SKU&quot;,,,&quot;SKU Description&quot;,FALSE,D$1)" xr:uid="{BD4AE369-8CE2-49FF-A015-DD80F09DAAFB}"/>
    <hyperlink ref="D69" r:id="rId42" display="=@TM1RPTROW($B$2,&quot;TM1-S1_DEV:SP_SKU&quot;,,,&quot;SKU Description&quot;,FALSE,D$1)" xr:uid="{CA860F43-4F67-43CE-8DC6-FC87574589E4}"/>
    <hyperlink ref="D70" r:id="rId43" display="=@TM1RPTROW($B$2,&quot;TM1-S1_DEV:SP_SKU&quot;,,,&quot;SKU Description&quot;,FALSE,D$1)" xr:uid="{2126FE7A-EBC1-43DF-956C-CF5FAFABB7AA}"/>
    <hyperlink ref="D71" r:id="rId44" display="=@TM1RPTROW($B$2,&quot;TM1-S1_DEV:SP_SKU&quot;,,,&quot;SKU Description&quot;,FALSE,D$1)" xr:uid="{63B4CCBD-153B-469F-A82D-1E16D6E43937}"/>
    <hyperlink ref="D72" r:id="rId45" display="=@TM1RPTROW($B$2,&quot;TM1-S1_DEV:SP_SKU&quot;,,,&quot;SKU Description&quot;,FALSE,D$1)" xr:uid="{3772E01E-DA22-449F-ADB6-C8FAFD805615}"/>
    <hyperlink ref="D26" r:id="rId46" display="=@TM1RPTROW($B$2,&quot;TM1-S1_DEV:SP_SKU&quot;,,,&quot;SKU Description&quot;,FALSE,D$1)" xr:uid="{791F8FC0-9CEF-4082-AB50-4CFA221A5D43}"/>
    <hyperlink ref="D27" r:id="rId47" display="=@TM1RPTROW($B$2,&quot;TM1-S1_DEV:SP_SKU&quot;,,,&quot;SKU Description&quot;,FALSE,D$1)" xr:uid="{3E342269-C9A0-4611-8F87-2D92D4DBAC6B}"/>
    <hyperlink ref="D28" r:id="rId48" display="=@TM1RPTROW($B$2,&quot;TM1-S1_DEV:SP_SKU&quot;,,,&quot;SKU Description&quot;,FALSE,D$1)" xr:uid="{41920155-E16A-432A-88BB-9C4E6C8C6ACC}"/>
  </hyperlinks>
  <pageMargins left="0.7" right="0.7" top="0.75" bottom="0.75" header="0.3" footer="0.3"/>
  <customProperties>
    <customPr name="TM1Actions" r:id="rId49"/>
  </customProperties>
  <drawing r:id="rId5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97F4D7-942D-4988-83D3-A74FE6649BF6}">
  <dimension ref="A1:S137"/>
  <sheetViews>
    <sheetView showGridLines="0" topLeftCell="B16" workbookViewId="0"/>
  </sheetViews>
  <sheetFormatPr defaultRowHeight="15" outlineLevelRow="1" outlineLevelCol="1" x14ac:dyDescent="0.25"/>
  <cols>
    <col min="1" max="1" width="19.85546875" style="143" hidden="1" customWidth="1" outlineLevel="1"/>
    <col min="2" max="2" width="12.42578125" style="59" customWidth="1" collapsed="1"/>
    <col min="3" max="3" width="13" style="59" customWidth="1"/>
    <col min="4" max="4" width="48.28515625" customWidth="1"/>
    <col min="5" max="6" width="25.7109375" customWidth="1"/>
    <col min="7" max="7" width="10.85546875" customWidth="1"/>
  </cols>
  <sheetData>
    <row r="1" spans="1:19" s="143" customFormat="1" hidden="1" outlineLevel="1" x14ac:dyDescent="0.25">
      <c r="A1" s="141" t="str">
        <f>_xll.TM1RPTVIEW("TM1-S1_DEV:SP_Inventory:1153905",1,_xll.TM1RPTTITLE("TM1-S1_DEV:YEAR",$A$4),_xll.TM1RPTTITLE("TM1-S1_DEV:SP_DistributionCenter",$D$17),_xll.TM1RPTTITLE("TM1-S1_DEV:SP_Locations",$A$2),_xll.TM1RPTTITLE("TM1-S1_DEV:SP_Week",$A$3),TM1RPTFMTRNG1153905,TM1RPTFMTIDCOL1153905)</f>
        <v>TM1-S1_DEV:SP_Inventory:1153905</v>
      </c>
      <c r="B1" s="129" t="s">
        <v>57</v>
      </c>
      <c r="C1" s="128" t="s">
        <v>67</v>
      </c>
      <c r="D1" s="142" t="s">
        <v>87</v>
      </c>
      <c r="E1" s="142" t="s">
        <v>88</v>
      </c>
      <c r="F1" s="142" t="s">
        <v>7</v>
      </c>
    </row>
    <row r="2" spans="1:19" s="143" customFormat="1" hidden="1" outlineLevel="1" x14ac:dyDescent="0.25">
      <c r="A2" s="144" t="str">
        <f>_xll.SUBNM("TM1-S1_DEV:SP_Locations",,"No Store")</f>
        <v>No Store</v>
      </c>
      <c r="B2" s="145"/>
      <c r="C2" s="145"/>
      <c r="G2" s="146" t="str">
        <f>$A$4</f>
        <v>FY 26</v>
      </c>
      <c r="H2" s="146" t="str">
        <f>IF(RIGHT(H$3,2)&lt;RIGHT(G$3,2),RIGHT(G$2,2)+1,G$2)</f>
        <v>FY 26</v>
      </c>
      <c r="I2" s="146" t="str">
        <f t="shared" ref="I2:R2" si="0">IF(RIGHT(I$3,2)&lt;RIGHT(H$3,2),RIGHT(H$2,2)+1,H$2)</f>
        <v>FY 26</v>
      </c>
      <c r="J2" s="146" t="str">
        <f t="shared" si="0"/>
        <v>FY 26</v>
      </c>
      <c r="K2" s="146" t="str">
        <f t="shared" si="0"/>
        <v>FY 26</v>
      </c>
      <c r="L2" s="146" t="str">
        <f t="shared" si="0"/>
        <v>FY 26</v>
      </c>
      <c r="M2" s="146" t="str">
        <f t="shared" si="0"/>
        <v>FY 26</v>
      </c>
      <c r="N2" s="146" t="str">
        <f t="shared" si="0"/>
        <v>FY 26</v>
      </c>
      <c r="O2" s="146" t="str">
        <f t="shared" si="0"/>
        <v>FY 26</v>
      </c>
      <c r="P2" s="146" t="str">
        <f t="shared" si="0"/>
        <v>FY 26</v>
      </c>
      <c r="Q2" s="146" t="str">
        <f t="shared" si="0"/>
        <v>FY 26</v>
      </c>
      <c r="R2" s="146" t="str">
        <f t="shared" si="0"/>
        <v>FY 26</v>
      </c>
    </row>
    <row r="3" spans="1:19" s="143" customFormat="1" hidden="1" outlineLevel="1" x14ac:dyDescent="0.25">
      <c r="A3" s="144" t="str">
        <f>Main!D17</f>
        <v>Wk 26</v>
      </c>
      <c r="B3" s="145"/>
      <c r="C3" s="145"/>
      <c r="G3" s="146" t="str">
        <f>A3</f>
        <v>Wk 26</v>
      </c>
      <c r="H3" s="146" t="str">
        <f>IF(G$3="WK 52", "WK 1", "WK "&amp;TRIM(RIGHT(G$3,2))+1)</f>
        <v>WK 27</v>
      </c>
      <c r="I3" s="146" t="str">
        <f t="shared" ref="I3:R3" si="1">IF(H$3="WK 52", "WK 1", "WK "&amp;TRIM(RIGHT(H$3,2))+1)</f>
        <v>WK 28</v>
      </c>
      <c r="J3" s="146" t="str">
        <f t="shared" si="1"/>
        <v>WK 29</v>
      </c>
      <c r="K3" s="146" t="str">
        <f t="shared" si="1"/>
        <v>WK 30</v>
      </c>
      <c r="L3" s="146" t="str">
        <f t="shared" si="1"/>
        <v>WK 31</v>
      </c>
      <c r="M3" s="146" t="str">
        <f t="shared" si="1"/>
        <v>WK 32</v>
      </c>
      <c r="N3" s="146" t="str">
        <f t="shared" si="1"/>
        <v>WK 33</v>
      </c>
      <c r="O3" s="146" t="str">
        <f t="shared" si="1"/>
        <v>WK 34</v>
      </c>
      <c r="P3" s="146" t="str">
        <f t="shared" si="1"/>
        <v>WK 35</v>
      </c>
      <c r="Q3" s="146" t="str">
        <f t="shared" si="1"/>
        <v>WK 36</v>
      </c>
      <c r="R3" s="146" t="str">
        <f t="shared" si="1"/>
        <v>WK 37</v>
      </c>
      <c r="S3" s="147"/>
    </row>
    <row r="4" spans="1:19" s="143" customFormat="1" hidden="1" outlineLevel="1" x14ac:dyDescent="0.25">
      <c r="A4" s="144" t="str">
        <f>Main!$D$16</f>
        <v>FY 26</v>
      </c>
      <c r="B4" s="145"/>
      <c r="C4" s="145"/>
    </row>
    <row r="5" spans="1:19" s="143" customFormat="1" hidden="1" outlineLevel="1" x14ac:dyDescent="0.25">
      <c r="A5" s="148" t="s">
        <v>82</v>
      </c>
      <c r="B5" s="145"/>
      <c r="C5" s="145"/>
    </row>
    <row r="6" spans="1:19" s="143" customFormat="1" ht="15.75" hidden="1" outlineLevel="1" thickBot="1" x14ac:dyDescent="0.3">
      <c r="A6" s="149" t="s">
        <v>0</v>
      </c>
      <c r="B6" s="145"/>
      <c r="C6" s="145"/>
    </row>
    <row r="7" spans="1:19" s="2" customFormat="1" hidden="1" outlineLevel="1" thickBot="1" x14ac:dyDescent="0.3">
      <c r="A7" s="150">
        <v>0</v>
      </c>
      <c r="B7" s="3" t="s">
        <v>4</v>
      </c>
      <c r="C7" s="3" t="s">
        <v>4</v>
      </c>
      <c r="D7" s="3" t="s">
        <v>4</v>
      </c>
      <c r="E7" s="3" t="s">
        <v>4</v>
      </c>
      <c r="F7" s="3" t="s">
        <v>4</v>
      </c>
      <c r="G7" s="133">
        <v>123.456789</v>
      </c>
      <c r="H7" s="133">
        <v>123.456789</v>
      </c>
      <c r="I7" s="133">
        <v>123.456789</v>
      </c>
      <c r="J7" s="133">
        <v>123.456789</v>
      </c>
      <c r="K7" s="133">
        <v>123.456789</v>
      </c>
      <c r="L7" s="133">
        <v>123.456789</v>
      </c>
      <c r="M7" s="133">
        <v>123.456789</v>
      </c>
      <c r="N7" s="133">
        <v>123.456789</v>
      </c>
      <c r="O7" s="133">
        <v>123.456789</v>
      </c>
      <c r="P7" s="133">
        <v>123.456789</v>
      </c>
      <c r="Q7" s="133">
        <v>123.456789</v>
      </c>
      <c r="R7" s="133">
        <v>123.456789</v>
      </c>
    </row>
    <row r="8" spans="1:19" s="5" customFormat="1" hidden="1" outlineLevel="1" thickBot="1" x14ac:dyDescent="0.3">
      <c r="A8" s="151">
        <v>1</v>
      </c>
      <c r="B8" s="6" t="s">
        <v>4</v>
      </c>
      <c r="C8" s="6" t="s">
        <v>4</v>
      </c>
      <c r="D8" s="6" t="s">
        <v>4</v>
      </c>
      <c r="E8" s="6" t="s">
        <v>4</v>
      </c>
      <c r="F8" s="6" t="s">
        <v>4</v>
      </c>
      <c r="G8" s="134">
        <v>123.456789</v>
      </c>
      <c r="H8" s="134">
        <v>123.456789</v>
      </c>
      <c r="I8" s="134">
        <v>123.456789</v>
      </c>
      <c r="J8" s="134">
        <v>123.456789</v>
      </c>
      <c r="K8" s="134">
        <v>123.456789</v>
      </c>
      <c r="L8" s="134">
        <v>123.456789</v>
      </c>
      <c r="M8" s="134">
        <v>123.456789</v>
      </c>
      <c r="N8" s="134">
        <v>123.456789</v>
      </c>
      <c r="O8" s="134">
        <v>123.456789</v>
      </c>
      <c r="P8" s="134">
        <v>123.456789</v>
      </c>
      <c r="Q8" s="134">
        <v>123.456789</v>
      </c>
      <c r="R8" s="134">
        <v>123.456789</v>
      </c>
    </row>
    <row r="9" spans="1:19" s="8" customFormat="1" hidden="1" outlineLevel="1" thickBot="1" x14ac:dyDescent="0.3">
      <c r="A9" s="152">
        <v>2</v>
      </c>
      <c r="B9" s="9" t="s">
        <v>4</v>
      </c>
      <c r="C9" s="9" t="s">
        <v>4</v>
      </c>
      <c r="D9" s="9" t="s">
        <v>4</v>
      </c>
      <c r="E9" s="9" t="s">
        <v>4</v>
      </c>
      <c r="F9" s="9" t="s">
        <v>4</v>
      </c>
      <c r="G9" s="135">
        <v>123.456789</v>
      </c>
      <c r="H9" s="135">
        <v>123.456789</v>
      </c>
      <c r="I9" s="135">
        <v>123.456789</v>
      </c>
      <c r="J9" s="135">
        <v>123.456789</v>
      </c>
      <c r="K9" s="135">
        <v>123.456789</v>
      </c>
      <c r="L9" s="135">
        <v>123.456789</v>
      </c>
      <c r="M9" s="135">
        <v>123.456789</v>
      </c>
      <c r="N9" s="135">
        <v>123.456789</v>
      </c>
      <c r="O9" s="135">
        <v>123.456789</v>
      </c>
      <c r="P9" s="135">
        <v>123.456789</v>
      </c>
      <c r="Q9" s="135">
        <v>123.456789</v>
      </c>
      <c r="R9" s="135">
        <v>123.456789</v>
      </c>
    </row>
    <row r="10" spans="1:19" s="11" customFormat="1" hidden="1" outlineLevel="1" thickBot="1" x14ac:dyDescent="0.3">
      <c r="A10" s="153">
        <v>3</v>
      </c>
      <c r="B10" s="12" t="s">
        <v>4</v>
      </c>
      <c r="C10" s="12" t="s">
        <v>4</v>
      </c>
      <c r="D10" s="12" t="s">
        <v>4</v>
      </c>
      <c r="E10" s="12" t="s">
        <v>4</v>
      </c>
      <c r="F10" s="12" t="s">
        <v>4</v>
      </c>
      <c r="G10" s="136">
        <v>123.456789</v>
      </c>
      <c r="H10" s="136">
        <v>123.456789</v>
      </c>
      <c r="I10" s="136">
        <v>123.456789</v>
      </c>
      <c r="J10" s="136">
        <v>123.456789</v>
      </c>
      <c r="K10" s="136">
        <v>123.456789</v>
      </c>
      <c r="L10" s="136">
        <v>123.456789</v>
      </c>
      <c r="M10" s="136">
        <v>123.456789</v>
      </c>
      <c r="N10" s="136">
        <v>123.456789</v>
      </c>
      <c r="O10" s="136">
        <v>123.456789</v>
      </c>
      <c r="P10" s="136">
        <v>123.456789</v>
      </c>
      <c r="Q10" s="136">
        <v>123.456789</v>
      </c>
      <c r="R10" s="136">
        <v>123.456789</v>
      </c>
    </row>
    <row r="11" spans="1:19" s="14" customFormat="1" hidden="1" outlineLevel="1" thickBot="1" x14ac:dyDescent="0.3">
      <c r="A11" s="154">
        <v>4</v>
      </c>
      <c r="B11" s="15" t="s">
        <v>4</v>
      </c>
      <c r="C11" s="15" t="s">
        <v>4</v>
      </c>
      <c r="D11" s="15" t="s">
        <v>4</v>
      </c>
      <c r="E11" s="15" t="s">
        <v>4</v>
      </c>
      <c r="F11" s="15" t="s">
        <v>4</v>
      </c>
      <c r="G11" s="137">
        <v>123.456789</v>
      </c>
      <c r="H11" s="137">
        <v>123.456789</v>
      </c>
      <c r="I11" s="137">
        <v>123.456789</v>
      </c>
      <c r="J11" s="137">
        <v>123.456789</v>
      </c>
      <c r="K11" s="137">
        <v>123.456789</v>
      </c>
      <c r="L11" s="137">
        <v>123.456789</v>
      </c>
      <c r="M11" s="137">
        <v>123.456789</v>
      </c>
      <c r="N11" s="137">
        <v>123.456789</v>
      </c>
      <c r="O11" s="137">
        <v>123.456789</v>
      </c>
      <c r="P11" s="137">
        <v>123.456789</v>
      </c>
      <c r="Q11" s="137">
        <v>123.456789</v>
      </c>
      <c r="R11" s="137">
        <v>123.456789</v>
      </c>
    </row>
    <row r="12" spans="1:19" s="17" customFormat="1" hidden="1" outlineLevel="1" thickBot="1" x14ac:dyDescent="0.3">
      <c r="A12" s="155">
        <v>5</v>
      </c>
      <c r="B12" s="18" t="s">
        <v>4</v>
      </c>
      <c r="C12" s="18" t="s">
        <v>4</v>
      </c>
      <c r="D12" s="18" t="s">
        <v>4</v>
      </c>
      <c r="E12" s="18" t="s">
        <v>4</v>
      </c>
      <c r="F12" s="18" t="s">
        <v>4</v>
      </c>
      <c r="G12" s="138">
        <v>123.456789</v>
      </c>
      <c r="H12" s="138">
        <v>123.456789</v>
      </c>
      <c r="I12" s="138">
        <v>123.456789</v>
      </c>
      <c r="J12" s="138">
        <v>123.456789</v>
      </c>
      <c r="K12" s="138">
        <v>123.456789</v>
      </c>
      <c r="L12" s="138">
        <v>123.456789</v>
      </c>
      <c r="M12" s="138">
        <v>123.456789</v>
      </c>
      <c r="N12" s="138">
        <v>123.456789</v>
      </c>
      <c r="O12" s="138">
        <v>123.456789</v>
      </c>
      <c r="P12" s="138">
        <v>123.456789</v>
      </c>
      <c r="Q12" s="138">
        <v>123.456789</v>
      </c>
      <c r="R12" s="138">
        <v>123.456789</v>
      </c>
    </row>
    <row r="13" spans="1:19" s="20" customFormat="1" hidden="1" outlineLevel="1" thickBot="1" x14ac:dyDescent="0.3">
      <c r="A13" s="156" t="s">
        <v>1</v>
      </c>
      <c r="B13" s="21" t="s">
        <v>4</v>
      </c>
      <c r="C13" s="21" t="s">
        <v>4</v>
      </c>
      <c r="D13" s="21" t="s">
        <v>4</v>
      </c>
      <c r="E13" s="21" t="s">
        <v>4</v>
      </c>
      <c r="F13" s="21" t="s">
        <v>4</v>
      </c>
      <c r="G13" s="139">
        <v>123.456789</v>
      </c>
      <c r="H13" s="139">
        <v>123.456789</v>
      </c>
      <c r="I13" s="139">
        <v>123.456789</v>
      </c>
      <c r="J13" s="139">
        <v>123.456789</v>
      </c>
      <c r="K13" s="139">
        <v>123.456789</v>
      </c>
      <c r="L13" s="139">
        <v>123.456789</v>
      </c>
      <c r="M13" s="139">
        <v>123.456789</v>
      </c>
      <c r="N13" s="139">
        <v>123.456789</v>
      </c>
      <c r="O13" s="139">
        <v>123.456789</v>
      </c>
      <c r="P13" s="139">
        <v>123.456789</v>
      </c>
      <c r="Q13" s="139">
        <v>123.456789</v>
      </c>
      <c r="R13" s="139">
        <v>123.456789</v>
      </c>
    </row>
    <row r="14" spans="1:19" s="23" customFormat="1" hidden="1" outlineLevel="1" thickBot="1" x14ac:dyDescent="0.3">
      <c r="A14" s="157" t="s">
        <v>2</v>
      </c>
      <c r="B14" s="24" t="s">
        <v>4</v>
      </c>
      <c r="C14" s="24" t="s">
        <v>4</v>
      </c>
      <c r="D14" s="24" t="s">
        <v>4</v>
      </c>
      <c r="E14" s="24" t="s">
        <v>4</v>
      </c>
      <c r="F14" s="24" t="s">
        <v>4</v>
      </c>
      <c r="G14" s="140">
        <v>123.456789</v>
      </c>
      <c r="H14" s="140">
        <v>123.456789</v>
      </c>
      <c r="I14" s="140">
        <v>123.456789</v>
      </c>
      <c r="J14" s="140">
        <v>123.456789</v>
      </c>
      <c r="K14" s="140">
        <v>123.456789</v>
      </c>
      <c r="L14" s="140">
        <v>123.456789</v>
      </c>
      <c r="M14" s="140">
        <v>123.456789</v>
      </c>
      <c r="N14" s="140">
        <v>123.456789</v>
      </c>
      <c r="O14" s="140">
        <v>123.456789</v>
      </c>
      <c r="P14" s="140">
        <v>123.456789</v>
      </c>
      <c r="Q14" s="140">
        <v>123.456789</v>
      </c>
      <c r="R14" s="140">
        <v>123.456789</v>
      </c>
    </row>
    <row r="15" spans="1:19" hidden="1" outlineLevel="1" x14ac:dyDescent="0.25">
      <c r="A15" s="149" t="s">
        <v>3</v>
      </c>
    </row>
    <row r="16" spans="1:19" ht="18.75" collapsed="1" x14ac:dyDescent="0.3">
      <c r="D16" s="158"/>
    </row>
    <row r="17" spans="1:18" ht="15.75" x14ac:dyDescent="0.25">
      <c r="C17" s="160" t="s">
        <v>68</v>
      </c>
      <c r="D17" s="159" t="str">
        <f>Main!$D$18</f>
        <v>Brown Foodservice</v>
      </c>
    </row>
    <row r="18" spans="1:18" ht="15.75" thickBot="1" x14ac:dyDescent="0.3"/>
    <row r="19" spans="1:18" ht="15.75" thickBot="1" x14ac:dyDescent="0.3">
      <c r="G19" s="132" t="str">
        <f>G$2</f>
        <v>FY 26</v>
      </c>
      <c r="H19" s="132" t="str">
        <f t="shared" ref="H19:R19" si="2">H$2</f>
        <v>FY 26</v>
      </c>
      <c r="I19" s="132" t="str">
        <f t="shared" si="2"/>
        <v>FY 26</v>
      </c>
      <c r="J19" s="132" t="str">
        <f t="shared" si="2"/>
        <v>FY 26</v>
      </c>
      <c r="K19" s="132" t="str">
        <f t="shared" si="2"/>
        <v>FY 26</v>
      </c>
      <c r="L19" s="132" t="str">
        <f t="shared" si="2"/>
        <v>FY 26</v>
      </c>
      <c r="M19" s="132" t="str">
        <f t="shared" si="2"/>
        <v>FY 26</v>
      </c>
      <c r="N19" s="132" t="str">
        <f t="shared" si="2"/>
        <v>FY 26</v>
      </c>
      <c r="O19" s="132" t="str">
        <f t="shared" si="2"/>
        <v>FY 26</v>
      </c>
      <c r="P19" s="132" t="str">
        <f t="shared" si="2"/>
        <v>FY 26</v>
      </c>
      <c r="Q19" s="132" t="str">
        <f t="shared" si="2"/>
        <v>FY 26</v>
      </c>
      <c r="R19" s="132" t="str">
        <f t="shared" si="2"/>
        <v>FY 26</v>
      </c>
    </row>
    <row r="20" spans="1:18" ht="21.75" thickBot="1" x14ac:dyDescent="0.4">
      <c r="B20" s="161" t="s">
        <v>354</v>
      </c>
      <c r="G20" s="131" t="str">
        <f>G$3</f>
        <v>Wk 26</v>
      </c>
      <c r="H20" s="131" t="str">
        <f t="shared" ref="H20:R20" si="3">H$3</f>
        <v>WK 27</v>
      </c>
      <c r="I20" s="131" t="str">
        <f t="shared" si="3"/>
        <v>WK 28</v>
      </c>
      <c r="J20" s="131" t="str">
        <f t="shared" si="3"/>
        <v>WK 29</v>
      </c>
      <c r="K20" s="131" t="str">
        <f t="shared" si="3"/>
        <v>WK 30</v>
      </c>
      <c r="L20" s="131" t="str">
        <f t="shared" si="3"/>
        <v>WK 31</v>
      </c>
      <c r="M20" s="131" t="str">
        <f t="shared" si="3"/>
        <v>WK 32</v>
      </c>
      <c r="N20" s="131" t="str">
        <f t="shared" si="3"/>
        <v>WK 33</v>
      </c>
      <c r="O20" s="131" t="str">
        <f t="shared" si="3"/>
        <v>WK 34</v>
      </c>
      <c r="P20" s="131" t="str">
        <f t="shared" si="3"/>
        <v>WK 35</v>
      </c>
      <c r="Q20" s="131" t="str">
        <f t="shared" si="3"/>
        <v>WK 36</v>
      </c>
      <c r="R20" s="131" t="str">
        <f t="shared" si="3"/>
        <v>WK 37</v>
      </c>
    </row>
    <row r="21" spans="1:18" ht="31.5" customHeight="1" thickBot="1" x14ac:dyDescent="0.3">
      <c r="B21" s="30" t="s">
        <v>341</v>
      </c>
      <c r="C21" s="30" t="s">
        <v>67</v>
      </c>
      <c r="D21" s="30" t="s">
        <v>40</v>
      </c>
      <c r="E21" s="30" t="s">
        <v>39</v>
      </c>
      <c r="F21" s="30" t="s">
        <v>41</v>
      </c>
      <c r="G21" s="130" t="s">
        <v>37</v>
      </c>
      <c r="H21" s="130" t="s">
        <v>37</v>
      </c>
      <c r="I21" s="130" t="s">
        <v>37</v>
      </c>
      <c r="J21" s="130" t="s">
        <v>37</v>
      </c>
      <c r="K21" s="130" t="s">
        <v>37</v>
      </c>
      <c r="L21" s="130" t="s">
        <v>37</v>
      </c>
      <c r="M21" s="130" t="s">
        <v>37</v>
      </c>
      <c r="N21" s="130" t="s">
        <v>37</v>
      </c>
      <c r="O21" s="130" t="s">
        <v>37</v>
      </c>
      <c r="P21" s="130" t="s">
        <v>37</v>
      </c>
      <c r="Q21" s="130" t="s">
        <v>37</v>
      </c>
      <c r="R21" s="130" t="s">
        <v>37</v>
      </c>
    </row>
    <row r="22" spans="1:18" s="23" customFormat="1" outlineLevel="1" thickBot="1" x14ac:dyDescent="0.3">
      <c r="A22" s="157" t="str">
        <f>IF(_xll.TM1RPTELISCONSOLIDATED($F$22,$F22),IF(_xll.TM1RPTELLEV($F$22,$F22)&lt;=5,_xll.TM1RPTELLEV($F$22,$F22),"Default"),"Leaf")</f>
        <v>Leaf</v>
      </c>
      <c r="B22" s="24" t="str">
        <f>_xll.DBRW("TM1-S1_DEV:}ElementAttributes_SP_SKU",$D22,B$1)</f>
        <v>Primary</v>
      </c>
      <c r="C22" s="24" t="str">
        <f>_xll.DBRW("TM1-S1_DEV:}ElementAttributes_SP_SKU",$D22,C$1)</f>
        <v>PROTEIN</v>
      </c>
      <c r="D22" s="28" t="str">
        <f>_xll.TM1RPTROW($A$1,"TM1-S1_DEV:SP_SKU",,,"SKU Description",FALSE,D$1)</f>
        <v>100407 - HAM BI BROWN 13-17 4CT-FM</v>
      </c>
      <c r="E22" s="28" t="str">
        <f>_xll.TM1RPTROW($A$1,"TM1-S1_DEV:SP_DCItem",,,"MEMBER_NAME",FALSE,E$1)</f>
        <v>20202</v>
      </c>
      <c r="F22" s="28" t="str">
        <f>_xll.TM1RPTROW($A$1,"TM1-S1_DEV:SP_Manufacturer",,,"MEMBER_NAME",FALSE,F$1)</f>
        <v>Freshmark</v>
      </c>
      <c r="G22" s="140">
        <f>_xll.DBRW($A$1,G$2,G$3,$D$17,$A$2,$D22,$E22,$F22,$A$5)</f>
        <v>-10</v>
      </c>
      <c r="H22" s="140">
        <f>_xll.DBRW($A$1,H$2,H$3,$D$17,$A$2,$D22,$E22,$F22,$A$5)</f>
        <v>0</v>
      </c>
      <c r="I22" s="140">
        <f>_xll.DBRW($A$1,I$2,I$3,$D$17,$A$2,$D22,$E22,$F22,$A$5)</f>
        <v>3</v>
      </c>
      <c r="J22" s="140">
        <f>_xll.DBRW($A$1,J$2,J$3,$D$17,$A$2,$D22,$E22,$F22,$A$5)</f>
        <v>20</v>
      </c>
      <c r="K22" s="140">
        <f>_xll.DBRW($A$1,K$2,K$3,$D$17,$A$2,$D22,$E22,$F22,$A$5)</f>
        <v>24</v>
      </c>
      <c r="L22" s="140">
        <f>_xll.DBRW($A$1,L$2,L$3,$D$17,$A$2,$D22,$E22,$F22,$A$5)</f>
        <v>6</v>
      </c>
      <c r="M22" s="140">
        <f>_xll.DBRW($A$1,M$2,M$3,$D$17,$A$2,$D22,$E22,$F22,$A$5)</f>
        <v>14</v>
      </c>
      <c r="N22" s="140">
        <f>_xll.DBRW($A$1,N$2,N$3,$D$17,$A$2,$D22,$E22,$F22,$A$5)</f>
        <v>17</v>
      </c>
      <c r="O22" s="140">
        <f>_xll.DBRW($A$1,O$2,O$3,$D$17,$A$2,$D22,$E22,$F22,$A$5)</f>
        <v>16</v>
      </c>
      <c r="P22" s="140">
        <f>_xll.DBRW($A$1,P$2,P$3,$D$17,$A$2,$D22,$E22,$F22,$A$5)</f>
        <v>1</v>
      </c>
      <c r="Q22" s="140">
        <f>_xll.DBRW($A$1,Q$2,Q$3,$D$17,$A$2,$D22,$E22,$F22,$A$5)</f>
        <v>13</v>
      </c>
      <c r="R22" s="140">
        <f>_xll.DBRW($A$1,R$2,R$3,$D$17,$A$2,$D22,$E22,$F22,$A$5)</f>
        <v>11</v>
      </c>
    </row>
    <row r="23" spans="1:18" s="23" customFormat="1" outlineLevel="1" thickBot="1" x14ac:dyDescent="0.3">
      <c r="A23" s="157" t="str">
        <f>IF(_xll.TM1RPTELISCONSOLIDATED($F$22,$F23),IF(_xll.TM1RPTELLEV($F$22,$F23)&lt;=5,_xll.TM1RPTELLEV($F$22,$F23),"Default"),"Leaf")</f>
        <v>Leaf</v>
      </c>
      <c r="B23" s="24" t="str">
        <f>_xll.DBRW("TM1-S1_DEV:}ElementAttributes_SP_SKU",$D23,B$1)</f>
        <v>Primary</v>
      </c>
      <c r="C23" s="24" t="str">
        <f>_xll.DBRW("TM1-S1_DEV:}ElementAttributes_SP_SKU",$D23,C$1)</f>
        <v>PROTEIN</v>
      </c>
      <c r="D23" s="28" t="s">
        <v>464</v>
      </c>
      <c r="E23" s="28" t="s">
        <v>107</v>
      </c>
      <c r="F23" s="28" t="s">
        <v>42</v>
      </c>
      <c r="G23" s="140">
        <f>_xll.DBRW($A$1,G$2,G$3,$D$17,$A$2,$D23,$E23,$F23,$A$5)</f>
        <v>1466</v>
      </c>
      <c r="H23" s="140">
        <f>_xll.DBRW($A$1,H$2,H$3,$D$17,$A$2,$D23,$E23,$F23,$A$5)</f>
        <v>0</v>
      </c>
      <c r="I23" s="140">
        <f>_xll.DBRW($A$1,I$2,I$3,$D$17,$A$2,$D23,$E23,$F23,$A$5)</f>
        <v>5</v>
      </c>
      <c r="J23" s="140">
        <f>_xll.DBRW($A$1,J$2,J$3,$D$17,$A$2,$D23,$E23,$F23,$A$5)</f>
        <v>31</v>
      </c>
      <c r="K23" s="140">
        <f>_xll.DBRW($A$1,K$2,K$3,$D$17,$A$2,$D23,$E23,$F23,$A$5)</f>
        <v>37</v>
      </c>
      <c r="L23" s="140">
        <f>_xll.DBRW($A$1,L$2,L$3,$D$17,$A$2,$D23,$E23,$F23,$A$5)</f>
        <v>9</v>
      </c>
      <c r="M23" s="140">
        <f>_xll.DBRW($A$1,M$2,M$3,$D$17,$A$2,$D23,$E23,$F23,$A$5)</f>
        <v>16</v>
      </c>
      <c r="N23" s="140">
        <f>_xll.DBRW($A$1,N$2,N$3,$D$17,$A$2,$D23,$E23,$F23,$A$5)</f>
        <v>24</v>
      </c>
      <c r="O23" s="140">
        <f>_xll.DBRW($A$1,O$2,O$3,$D$17,$A$2,$D23,$E23,$F23,$A$5)</f>
        <v>21</v>
      </c>
      <c r="P23" s="140">
        <f>_xll.DBRW($A$1,P$2,P$3,$D$17,$A$2,$D23,$E23,$F23,$A$5)</f>
        <v>2</v>
      </c>
      <c r="Q23" s="140">
        <f>_xll.DBRW($A$1,Q$2,Q$3,$D$17,$A$2,$D23,$E23,$F23,$A$5)</f>
        <v>17</v>
      </c>
      <c r="R23" s="140">
        <f>_xll.DBRW($A$1,R$2,R$3,$D$17,$A$2,$D23,$E23,$F23,$A$5)</f>
        <v>45</v>
      </c>
    </row>
    <row r="24" spans="1:18" s="23" customFormat="1" outlineLevel="1" thickBot="1" x14ac:dyDescent="0.3">
      <c r="A24" s="157" t="str">
        <f>IF(_xll.TM1RPTELISCONSOLIDATED($F$22,$F24),IF(_xll.TM1RPTELLEV($F$22,$F24)&lt;=5,_xll.TM1RPTELLEV($F$22,$F24),"Default"),"Leaf")</f>
        <v>Leaf</v>
      </c>
      <c r="B24" s="24" t="str">
        <f>_xll.DBRW("TM1-S1_DEV:}ElementAttributes_SP_SKU",$D24,B$1)</f>
        <v>Primary</v>
      </c>
      <c r="C24" s="24" t="str">
        <f>_xll.DBRW("TM1-S1_DEV:}ElementAttributes_SP_SKU",$D24,C$1)</f>
        <v>PROTEIN</v>
      </c>
      <c r="D24" s="28" t="s">
        <v>357</v>
      </c>
      <c r="E24" s="28" t="s">
        <v>108</v>
      </c>
      <c r="F24" s="28" t="s">
        <v>42</v>
      </c>
      <c r="G24" s="140">
        <f>_xll.DBRW($A$1,G$2,G$3,$D$17,$A$2,$D24,$E24,$F24,$A$5)</f>
        <v>971</v>
      </c>
      <c r="H24" s="140">
        <f>_xll.DBRW($A$1,H$2,H$3,$D$17,$A$2,$D24,$E24,$F24,$A$5)</f>
        <v>0</v>
      </c>
      <c r="I24" s="140">
        <f>_xll.DBRW($A$1,I$2,I$3,$D$17,$A$2,$D24,$E24,$F24,$A$5)</f>
        <v>6</v>
      </c>
      <c r="J24" s="140">
        <f>_xll.DBRW($A$1,J$2,J$3,$D$17,$A$2,$D24,$E24,$F24,$A$5)</f>
        <v>77</v>
      </c>
      <c r="K24" s="140">
        <f>_xll.DBRW($A$1,K$2,K$3,$D$17,$A$2,$D24,$E24,$F24,$A$5)</f>
        <v>108</v>
      </c>
      <c r="L24" s="140">
        <f>_xll.DBRW($A$1,L$2,L$3,$D$17,$A$2,$D24,$E24,$F24,$A$5)</f>
        <v>24</v>
      </c>
      <c r="M24" s="140">
        <f>_xll.DBRW($A$1,M$2,M$3,$D$17,$A$2,$D24,$E24,$F24,$A$5)</f>
        <v>12</v>
      </c>
      <c r="N24" s="140">
        <f>_xll.DBRW($A$1,N$2,N$3,$D$17,$A$2,$D24,$E24,$F24,$A$5)</f>
        <v>122</v>
      </c>
      <c r="O24" s="140">
        <f>_xll.DBRW($A$1,O$2,O$3,$D$17,$A$2,$D24,$E24,$F24,$A$5)</f>
        <v>53</v>
      </c>
      <c r="P24" s="140">
        <f>_xll.DBRW($A$1,P$2,P$3,$D$17,$A$2,$D24,$E24,$F24,$A$5)</f>
        <v>10</v>
      </c>
      <c r="Q24" s="140">
        <f>_xll.DBRW($A$1,Q$2,Q$3,$D$17,$A$2,$D24,$E24,$F24,$A$5)</f>
        <v>12</v>
      </c>
      <c r="R24" s="140">
        <f>_xll.DBRW($A$1,R$2,R$3,$D$17,$A$2,$D24,$E24,$F24,$A$5)</f>
        <v>46</v>
      </c>
    </row>
    <row r="25" spans="1:18" s="23" customFormat="1" outlineLevel="1" thickBot="1" x14ac:dyDescent="0.3">
      <c r="A25" s="157" t="str">
        <f>IF(_xll.TM1RPTELISCONSOLIDATED($F$22,$F25),IF(_xll.TM1RPTELLEV($F$22,$F25)&lt;=5,_xll.TM1RPTELLEV($F$22,$F25),"Default"),"Leaf")</f>
        <v>Leaf</v>
      </c>
      <c r="B25" s="24" t="str">
        <f>_xll.DBRW("TM1-S1_DEV:}ElementAttributes_SP_SKU",$D25,B$1)</f>
        <v>Primary</v>
      </c>
      <c r="C25" s="24" t="str">
        <f>_xll.DBRW("TM1-S1_DEV:}ElementAttributes_SP_SKU",$D25,C$1)</f>
        <v>HAM</v>
      </c>
      <c r="D25" s="28" t="s">
        <v>358</v>
      </c>
      <c r="E25" s="28" t="s">
        <v>109</v>
      </c>
      <c r="F25" s="28" t="s">
        <v>42</v>
      </c>
      <c r="G25" s="140">
        <f>_xll.DBRW($A$1,G$2,G$3,$D$17,$A$2,$D25,$E25,$F25,$A$5)</f>
        <v>127</v>
      </c>
      <c r="H25" s="140">
        <f>_xll.DBRW($A$1,H$2,H$3,$D$17,$A$2,$D25,$E25,$F25,$A$5)</f>
        <v>0</v>
      </c>
      <c r="I25" s="140">
        <f>_xll.DBRW($A$1,I$2,I$3,$D$17,$A$2,$D25,$E25,$F25,$A$5)</f>
        <v>0</v>
      </c>
      <c r="J25" s="140">
        <f>_xll.DBRW($A$1,J$2,J$3,$D$17,$A$2,$D25,$E25,$F25,$A$5)</f>
        <v>0</v>
      </c>
      <c r="K25" s="140">
        <f>_xll.DBRW($A$1,K$2,K$3,$D$17,$A$2,$D25,$E25,$F25,$A$5)</f>
        <v>0</v>
      </c>
      <c r="L25" s="140">
        <f>_xll.DBRW($A$1,L$2,L$3,$D$17,$A$2,$D25,$E25,$F25,$A$5)</f>
        <v>0</v>
      </c>
      <c r="M25" s="140">
        <f>_xll.DBRW($A$1,M$2,M$3,$D$17,$A$2,$D25,$E25,$F25,$A$5)</f>
        <v>0</v>
      </c>
      <c r="N25" s="140">
        <f>_xll.DBRW($A$1,N$2,N$3,$D$17,$A$2,$D25,$E25,$F25,$A$5)</f>
        <v>0</v>
      </c>
      <c r="O25" s="140">
        <f>_xll.DBRW($A$1,O$2,O$3,$D$17,$A$2,$D25,$E25,$F25,$A$5)</f>
        <v>0</v>
      </c>
      <c r="P25" s="140">
        <f>_xll.DBRW($A$1,P$2,P$3,$D$17,$A$2,$D25,$E25,$F25,$A$5)</f>
        <v>0</v>
      </c>
      <c r="Q25" s="140">
        <f>_xll.DBRW($A$1,Q$2,Q$3,$D$17,$A$2,$D25,$E25,$F25,$A$5)</f>
        <v>0</v>
      </c>
      <c r="R25" s="140">
        <f>_xll.DBRW($A$1,R$2,R$3,$D$17,$A$2,$D25,$E25,$F25,$A$5)</f>
        <v>0</v>
      </c>
    </row>
    <row r="26" spans="1:18" s="23" customFormat="1" outlineLevel="1" thickBot="1" x14ac:dyDescent="0.3">
      <c r="A26" s="157" t="str">
        <f>IF(_xll.TM1RPTELISCONSOLIDATED($F$22,$F26),IF(_xll.TM1RPTELLEV($F$22,$F26)&lt;=5,_xll.TM1RPTELLEV($F$22,$F26),"Default"),"Leaf")</f>
        <v>Leaf</v>
      </c>
      <c r="B26" s="24" t="str">
        <f>_xll.DBRW("TM1-S1_DEV:}ElementAttributes_SP_SKU",$D26,B$1)</f>
        <v>Primary</v>
      </c>
      <c r="C26" s="24" t="str">
        <f>_xll.DBRW("TM1-S1_DEV:}ElementAttributes_SP_SKU",$D26,C$1)</f>
        <v>HAM</v>
      </c>
      <c r="D26" s="28" t="s">
        <v>359</v>
      </c>
      <c r="E26" s="28" t="s">
        <v>110</v>
      </c>
      <c r="F26" s="28" t="s">
        <v>42</v>
      </c>
      <c r="G26" s="140">
        <f>_xll.DBRW($A$1,G$2,G$3,$D$17,$A$2,$D26,$E26,$F26,$A$5)</f>
        <v>200</v>
      </c>
      <c r="H26" s="140">
        <f>_xll.DBRW($A$1,H$2,H$3,$D$17,$A$2,$D26,$E26,$F26,$A$5)</f>
        <v>0</v>
      </c>
      <c r="I26" s="140">
        <f>_xll.DBRW($A$1,I$2,I$3,$D$17,$A$2,$D26,$E26,$F26,$A$5)</f>
        <v>0</v>
      </c>
      <c r="J26" s="140">
        <f>_xll.DBRW($A$1,J$2,J$3,$D$17,$A$2,$D26,$E26,$F26,$A$5)</f>
        <v>1</v>
      </c>
      <c r="K26" s="140">
        <f>_xll.DBRW($A$1,K$2,K$3,$D$17,$A$2,$D26,$E26,$F26,$A$5)</f>
        <v>2</v>
      </c>
      <c r="L26" s="140">
        <f>_xll.DBRW($A$1,L$2,L$3,$D$17,$A$2,$D26,$E26,$F26,$A$5)</f>
        <v>0</v>
      </c>
      <c r="M26" s="140">
        <f>_xll.DBRW($A$1,M$2,M$3,$D$17,$A$2,$D26,$E26,$F26,$A$5)</f>
        <v>1</v>
      </c>
      <c r="N26" s="140">
        <f>_xll.DBRW($A$1,N$2,N$3,$D$17,$A$2,$D26,$E26,$F26,$A$5)</f>
        <v>1</v>
      </c>
      <c r="O26" s="140">
        <f>_xll.DBRW($A$1,O$2,O$3,$D$17,$A$2,$D26,$E26,$F26,$A$5)</f>
        <v>2</v>
      </c>
      <c r="P26" s="140">
        <f>_xll.DBRW($A$1,P$2,P$3,$D$17,$A$2,$D26,$E26,$F26,$A$5)</f>
        <v>0</v>
      </c>
      <c r="Q26" s="140">
        <f>_xll.DBRW($A$1,Q$2,Q$3,$D$17,$A$2,$D26,$E26,$F26,$A$5)</f>
        <v>2</v>
      </c>
      <c r="R26" s="140">
        <f>_xll.DBRW($A$1,R$2,R$3,$D$17,$A$2,$D26,$E26,$F26,$A$5)</f>
        <v>1</v>
      </c>
    </row>
    <row r="27" spans="1:18" s="23" customFormat="1" outlineLevel="1" thickBot="1" x14ac:dyDescent="0.3">
      <c r="A27" s="157" t="str">
        <f>IF(_xll.TM1RPTELISCONSOLIDATED($F$22,$F27),IF(_xll.TM1RPTELLEV($F$22,$F27)&lt;=5,_xll.TM1RPTELLEV($F$22,$F27),"Default"),"Leaf")</f>
        <v>Leaf</v>
      </c>
      <c r="B27" s="24" t="str">
        <f>_xll.DBRW("TM1-S1_DEV:}ElementAttributes_SP_SKU",$D27,B$1)</f>
        <v>Primary</v>
      </c>
      <c r="C27" s="24" t="str">
        <f>_xll.DBRW("TM1-S1_DEV:}ElementAttributes_SP_SKU",$D27,C$1)</f>
        <v>HAM</v>
      </c>
      <c r="D27" s="28" t="s">
        <v>360</v>
      </c>
      <c r="E27" s="28" t="s">
        <v>111</v>
      </c>
      <c r="F27" s="28" t="s">
        <v>42</v>
      </c>
      <c r="G27" s="140">
        <f>_xll.DBRW($A$1,G$2,G$3,$D$17,$A$2,$D27,$E27,$F27,$A$5)</f>
        <v>762</v>
      </c>
      <c r="H27" s="140">
        <f>_xll.DBRW($A$1,H$2,H$3,$D$17,$A$2,$D27,$E27,$F27,$A$5)</f>
        <v>0</v>
      </c>
      <c r="I27" s="140">
        <f>_xll.DBRW($A$1,I$2,I$3,$D$17,$A$2,$D27,$E27,$F27,$A$5)</f>
        <v>18</v>
      </c>
      <c r="J27" s="140">
        <f>_xll.DBRW($A$1,J$2,J$3,$D$17,$A$2,$D27,$E27,$F27,$A$5)</f>
        <v>17</v>
      </c>
      <c r="K27" s="140">
        <f>_xll.DBRW($A$1,K$2,K$3,$D$17,$A$2,$D27,$E27,$F27,$A$5)</f>
        <v>38</v>
      </c>
      <c r="L27" s="140">
        <f>_xll.DBRW($A$1,L$2,L$3,$D$17,$A$2,$D27,$E27,$F27,$A$5)</f>
        <v>10</v>
      </c>
      <c r="M27" s="140">
        <f>_xll.DBRW($A$1,M$2,M$3,$D$17,$A$2,$D27,$E27,$F27,$A$5)</f>
        <v>47</v>
      </c>
      <c r="N27" s="140">
        <f>_xll.DBRW($A$1,N$2,N$3,$D$17,$A$2,$D27,$E27,$F27,$A$5)</f>
        <v>17</v>
      </c>
      <c r="O27" s="140">
        <f>_xll.DBRW($A$1,O$2,O$3,$D$17,$A$2,$D27,$E27,$F27,$A$5)</f>
        <v>32</v>
      </c>
      <c r="P27" s="140">
        <f>_xll.DBRW($A$1,P$2,P$3,$D$17,$A$2,$D27,$E27,$F27,$A$5)</f>
        <v>1</v>
      </c>
      <c r="Q27" s="140">
        <f>_xll.DBRW($A$1,Q$2,Q$3,$D$17,$A$2,$D27,$E27,$F27,$A$5)</f>
        <v>56</v>
      </c>
      <c r="R27" s="140">
        <f>_xll.DBRW($A$1,R$2,R$3,$D$17,$A$2,$D27,$E27,$F27,$A$5)</f>
        <v>9</v>
      </c>
    </row>
    <row r="28" spans="1:18" s="23" customFormat="1" outlineLevel="1" thickBot="1" x14ac:dyDescent="0.3">
      <c r="A28" s="157" t="str">
        <f>IF(_xll.TM1RPTELISCONSOLIDATED($F$22,$F28),IF(_xll.TM1RPTELLEV($F$22,$F28)&lt;=5,_xll.TM1RPTELLEV($F$22,$F28),"Default"),"Leaf")</f>
        <v>Leaf</v>
      </c>
      <c r="B28" s="24" t="str">
        <f>_xll.DBRW("TM1-S1_DEV:}ElementAttributes_SP_SKU",$D28,B$1)</f>
        <v>Primary</v>
      </c>
      <c r="C28" s="24" t="str">
        <f>_xll.DBRW("TM1-S1_DEV:}ElementAttributes_SP_SKU",$D28,C$1)</f>
        <v>TURKEY</v>
      </c>
      <c r="D28" s="28" t="s">
        <v>361</v>
      </c>
      <c r="E28" s="28" t="s">
        <v>136</v>
      </c>
      <c r="F28" s="28" t="s">
        <v>13</v>
      </c>
      <c r="G28" s="140">
        <f>_xll.DBRW($A$1,G$2,G$3,$D$17,$A$2,$D28,$E28,$F28,$A$5)</f>
        <v>339</v>
      </c>
      <c r="H28" s="140">
        <f>_xll.DBRW($A$1,H$2,H$3,$D$17,$A$2,$D28,$E28,$F28,$A$5)</f>
        <v>0</v>
      </c>
      <c r="I28" s="140">
        <f>_xll.DBRW($A$1,I$2,I$3,$D$17,$A$2,$D28,$E28,$F28,$A$5)</f>
        <v>39</v>
      </c>
      <c r="J28" s="140">
        <f>_xll.DBRW($A$1,J$2,J$3,$D$17,$A$2,$D28,$E28,$F28,$A$5)</f>
        <v>39</v>
      </c>
      <c r="K28" s="140">
        <f>_xll.DBRW($A$1,K$2,K$3,$D$17,$A$2,$D28,$E28,$F28,$A$5)</f>
        <v>39</v>
      </c>
      <c r="L28" s="140">
        <f>_xll.DBRW($A$1,L$2,L$3,$D$17,$A$2,$D28,$E28,$F28,$A$5)</f>
        <v>39</v>
      </c>
      <c r="M28" s="140">
        <f>_xll.DBRW($A$1,M$2,M$3,$D$17,$A$2,$D28,$E28,$F28,$A$5)</f>
        <v>43</v>
      </c>
      <c r="N28" s="140">
        <f>_xll.DBRW($A$1,N$2,N$3,$D$17,$A$2,$D28,$E28,$F28,$A$5)</f>
        <v>39</v>
      </c>
      <c r="O28" s="140">
        <f>_xll.DBRW($A$1,O$2,O$3,$D$17,$A$2,$D28,$E28,$F28,$A$5)</f>
        <v>39</v>
      </c>
      <c r="P28" s="140">
        <f>_xll.DBRW($A$1,P$2,P$3,$D$17,$A$2,$D28,$E28,$F28,$A$5)</f>
        <v>39</v>
      </c>
      <c r="Q28" s="140">
        <f>_xll.DBRW($A$1,Q$2,Q$3,$D$17,$A$2,$D28,$E28,$F28,$A$5)</f>
        <v>39</v>
      </c>
      <c r="R28" s="140">
        <f>_xll.DBRW($A$1,R$2,R$3,$D$17,$A$2,$D28,$E28,$F28,$A$5)</f>
        <v>39</v>
      </c>
    </row>
    <row r="29" spans="1:18" s="23" customFormat="1" outlineLevel="1" thickBot="1" x14ac:dyDescent="0.3">
      <c r="A29" s="157" t="str">
        <f>IF(_xll.TM1RPTELISCONSOLIDATED($F$22,$F29),IF(_xll.TM1RPTELLEV($F$22,$F29)&lt;=5,_xll.TM1RPTELLEV($F$22,$F29),"Default"),"Leaf")</f>
        <v>Leaf</v>
      </c>
      <c r="B29" s="24" t="str">
        <f>_xll.DBRW("TM1-S1_DEV:}ElementAttributes_SP_SKU",$D29,B$1)</f>
        <v>Primary</v>
      </c>
      <c r="C29" s="24" t="str">
        <f>_xll.DBRW("TM1-S1_DEV:}ElementAttributes_SP_SKU",$D29,C$1)</f>
        <v>TURKEY</v>
      </c>
      <c r="D29" s="28" t="s">
        <v>362</v>
      </c>
      <c r="E29" s="28" t="s">
        <v>137</v>
      </c>
      <c r="F29" s="28" t="s">
        <v>13</v>
      </c>
      <c r="G29" s="140">
        <f>_xll.DBRW($A$1,G$2,G$3,$D$17,$A$2,$D29,$E29,$F29,$A$5)</f>
        <v>288</v>
      </c>
      <c r="H29" s="140">
        <f>_xll.DBRW($A$1,H$2,H$3,$D$17,$A$2,$D29,$E29,$F29,$A$5)</f>
        <v>0</v>
      </c>
      <c r="I29" s="140">
        <f>_xll.DBRW($A$1,I$2,I$3,$D$17,$A$2,$D29,$E29,$F29,$A$5)</f>
        <v>27</v>
      </c>
      <c r="J29" s="140">
        <f>_xll.DBRW($A$1,J$2,J$3,$D$17,$A$2,$D29,$E29,$F29,$A$5)</f>
        <v>27</v>
      </c>
      <c r="K29" s="140">
        <f>_xll.DBRW($A$1,K$2,K$3,$D$17,$A$2,$D29,$E29,$F29,$A$5)</f>
        <v>27</v>
      </c>
      <c r="L29" s="140">
        <f>_xll.DBRW($A$1,L$2,L$3,$D$17,$A$2,$D29,$E29,$F29,$A$5)</f>
        <v>27</v>
      </c>
      <c r="M29" s="140">
        <f>_xll.DBRW($A$1,M$2,M$3,$D$17,$A$2,$D29,$E29,$F29,$A$5)</f>
        <v>27</v>
      </c>
      <c r="N29" s="140">
        <f>_xll.DBRW($A$1,N$2,N$3,$D$17,$A$2,$D29,$E29,$F29,$A$5)</f>
        <v>27</v>
      </c>
      <c r="O29" s="140">
        <f>_xll.DBRW($A$1,O$2,O$3,$D$17,$A$2,$D29,$E29,$F29,$A$5)</f>
        <v>27</v>
      </c>
      <c r="P29" s="140">
        <f>_xll.DBRW($A$1,P$2,P$3,$D$17,$A$2,$D29,$E29,$F29,$A$5)</f>
        <v>27</v>
      </c>
      <c r="Q29" s="140">
        <f>_xll.DBRW($A$1,Q$2,Q$3,$D$17,$A$2,$D29,$E29,$F29,$A$5)</f>
        <v>27</v>
      </c>
      <c r="R29" s="140">
        <f>_xll.DBRW($A$1,R$2,R$3,$D$17,$A$2,$D29,$E29,$F29,$A$5)</f>
        <v>27</v>
      </c>
    </row>
    <row r="30" spans="1:18" s="23" customFormat="1" outlineLevel="1" thickBot="1" x14ac:dyDescent="0.3">
      <c r="A30" s="157" t="str">
        <f>IF(_xll.TM1RPTELISCONSOLIDATED($F$22,$F30),IF(_xll.TM1RPTELLEV($F$22,$F30)&lt;=5,_xll.TM1RPTELLEV($F$22,$F30),"Default"),"Leaf")</f>
        <v>Leaf</v>
      </c>
      <c r="B30" s="24" t="str">
        <f>_xll.DBRW("TM1-S1_DEV:}ElementAttributes_SP_SKU",$D30,B$1)</f>
        <v>Primary</v>
      </c>
      <c r="C30" s="24" t="str">
        <f>_xll.DBRW("TM1-S1_DEV:}ElementAttributes_SP_SKU",$D30,C$1)</f>
        <v>PROTEIN</v>
      </c>
      <c r="D30" s="28" t="s">
        <v>363</v>
      </c>
      <c r="E30" s="28" t="s">
        <v>188</v>
      </c>
      <c r="F30" s="28" t="s">
        <v>49</v>
      </c>
      <c r="G30" s="140">
        <f>_xll.DBRW($A$1,G$2,G$3,$D$17,$A$2,$D30,$E30,$F30,$A$5)</f>
        <v>5</v>
      </c>
      <c r="H30" s="140">
        <f>_xll.DBRW($A$1,H$2,H$3,$D$17,$A$2,$D30,$E30,$F30,$A$5)</f>
        <v>0</v>
      </c>
      <c r="I30" s="140">
        <f>_xll.DBRW($A$1,I$2,I$3,$D$17,$A$2,$D30,$E30,$F30,$A$5)</f>
        <v>5</v>
      </c>
      <c r="J30" s="140">
        <f>_xll.DBRW($A$1,J$2,J$3,$D$17,$A$2,$D30,$E30,$F30,$A$5)</f>
        <v>5</v>
      </c>
      <c r="K30" s="140">
        <f>_xll.DBRW($A$1,K$2,K$3,$D$17,$A$2,$D30,$E30,$F30,$A$5)</f>
        <v>5</v>
      </c>
      <c r="L30" s="140">
        <f>_xll.DBRW($A$1,L$2,L$3,$D$17,$A$2,$D30,$E30,$F30,$A$5)</f>
        <v>5</v>
      </c>
      <c r="M30" s="140">
        <f>_xll.DBRW($A$1,M$2,M$3,$D$17,$A$2,$D30,$E30,$F30,$A$5)</f>
        <v>5</v>
      </c>
      <c r="N30" s="140">
        <f>_xll.DBRW($A$1,N$2,N$3,$D$17,$A$2,$D30,$E30,$F30,$A$5)</f>
        <v>5</v>
      </c>
      <c r="O30" s="140">
        <f>_xll.DBRW($A$1,O$2,O$3,$D$17,$A$2,$D30,$E30,$F30,$A$5)</f>
        <v>5</v>
      </c>
      <c r="P30" s="140">
        <f>_xll.DBRW($A$1,P$2,P$3,$D$17,$A$2,$D30,$E30,$F30,$A$5)</f>
        <v>5</v>
      </c>
      <c r="Q30" s="140">
        <f>_xll.DBRW($A$1,Q$2,Q$3,$D$17,$A$2,$D30,$E30,$F30,$A$5)</f>
        <v>5</v>
      </c>
      <c r="R30" s="140">
        <f>_xll.DBRW($A$1,R$2,R$3,$D$17,$A$2,$D30,$E30,$F30,$A$5)</f>
        <v>5</v>
      </c>
    </row>
    <row r="31" spans="1:18" s="23" customFormat="1" outlineLevel="1" thickBot="1" x14ac:dyDescent="0.3">
      <c r="A31" s="157" t="str">
        <f>IF(_xll.TM1RPTELISCONSOLIDATED($F$22,$F31),IF(_xll.TM1RPTELLEV($F$22,$F31)&lt;=5,_xll.TM1RPTELLEV($F$22,$F31),"Default"),"Leaf")</f>
        <v>Leaf</v>
      </c>
      <c r="B31" s="24" t="str">
        <f>_xll.DBRW("TM1-S1_DEV:}ElementAttributes_SP_SKU",$D31,B$1)</f>
        <v>Primary</v>
      </c>
      <c r="C31" s="24" t="str">
        <f>_xll.DBRW("TM1-S1_DEV:}ElementAttributes_SP_SKU",$D31,C$1)</f>
        <v>PROTEIN</v>
      </c>
      <c r="D31" s="28" t="s">
        <v>364</v>
      </c>
      <c r="E31" s="28" t="s">
        <v>189</v>
      </c>
      <c r="F31" s="28" t="s">
        <v>49</v>
      </c>
      <c r="G31" s="140">
        <f>_xll.DBRW($A$1,G$2,G$3,$D$17,$A$2,$D31,$E31,$F31,$A$5)</f>
        <v>14</v>
      </c>
      <c r="H31" s="140">
        <f>_xll.DBRW($A$1,H$2,H$3,$D$17,$A$2,$D31,$E31,$F31,$A$5)</f>
        <v>0</v>
      </c>
      <c r="I31" s="140">
        <f>_xll.DBRW($A$1,I$2,I$3,$D$17,$A$2,$D31,$E31,$F31,$A$5)</f>
        <v>5</v>
      </c>
      <c r="J31" s="140">
        <f>_xll.DBRW($A$1,J$2,J$3,$D$17,$A$2,$D31,$E31,$F31,$A$5)</f>
        <v>5</v>
      </c>
      <c r="K31" s="140">
        <f>_xll.DBRW($A$1,K$2,K$3,$D$17,$A$2,$D31,$E31,$F31,$A$5)</f>
        <v>5</v>
      </c>
      <c r="L31" s="140">
        <f>_xll.DBRW($A$1,L$2,L$3,$D$17,$A$2,$D31,$E31,$F31,$A$5)</f>
        <v>5</v>
      </c>
      <c r="M31" s="140">
        <f>_xll.DBRW($A$1,M$2,M$3,$D$17,$A$2,$D31,$E31,$F31,$A$5)</f>
        <v>5</v>
      </c>
      <c r="N31" s="140">
        <f>_xll.DBRW($A$1,N$2,N$3,$D$17,$A$2,$D31,$E31,$F31,$A$5)</f>
        <v>5</v>
      </c>
      <c r="O31" s="140">
        <f>_xll.DBRW($A$1,O$2,O$3,$D$17,$A$2,$D31,$E31,$F31,$A$5)</f>
        <v>5</v>
      </c>
      <c r="P31" s="140">
        <f>_xll.DBRW($A$1,P$2,P$3,$D$17,$A$2,$D31,$E31,$F31,$A$5)</f>
        <v>5</v>
      </c>
      <c r="Q31" s="140">
        <f>_xll.DBRW($A$1,Q$2,Q$3,$D$17,$A$2,$D31,$E31,$F31,$A$5)</f>
        <v>5</v>
      </c>
      <c r="R31" s="140">
        <f>_xll.DBRW($A$1,R$2,R$3,$D$17,$A$2,$D31,$E31,$F31,$A$5)</f>
        <v>5</v>
      </c>
    </row>
    <row r="32" spans="1:18" s="23" customFormat="1" outlineLevel="1" thickBot="1" x14ac:dyDescent="0.3">
      <c r="A32" s="157" t="str">
        <f>IF(_xll.TM1RPTELISCONSOLIDATED($F$22,$F32),IF(_xll.TM1RPTELLEV($F$22,$F32)&lt;=5,_xll.TM1RPTELLEV($F$22,$F32),"Default"),"Leaf")</f>
        <v>Leaf</v>
      </c>
      <c r="B32" s="24" t="str">
        <f>_xll.DBRW("TM1-S1_DEV:}ElementAttributes_SP_SKU",$D32,B$1)</f>
        <v>Primary</v>
      </c>
      <c r="C32" s="24" t="str">
        <f>_xll.DBRW("TM1-S1_DEV:}ElementAttributes_SP_SKU",$D32,C$1)</f>
        <v>PROTEIN</v>
      </c>
      <c r="D32" s="28" t="s">
        <v>365</v>
      </c>
      <c r="E32" s="28" t="s">
        <v>190</v>
      </c>
      <c r="F32" s="28" t="s">
        <v>49</v>
      </c>
      <c r="G32" s="140">
        <f>_xll.DBRW($A$1,G$2,G$3,$D$17,$A$2,$D32,$E32,$F32,$A$5)</f>
        <v>4</v>
      </c>
      <c r="H32" s="140">
        <f>_xll.DBRW($A$1,H$2,H$3,$D$17,$A$2,$D32,$E32,$F32,$A$5)</f>
        <v>0</v>
      </c>
      <c r="I32" s="140">
        <f>_xll.DBRW($A$1,I$2,I$3,$D$17,$A$2,$D32,$E32,$F32,$A$5)</f>
        <v>2</v>
      </c>
      <c r="J32" s="140">
        <f>_xll.DBRW($A$1,J$2,J$3,$D$17,$A$2,$D32,$E32,$F32,$A$5)</f>
        <v>2</v>
      </c>
      <c r="K32" s="140">
        <f>_xll.DBRW($A$1,K$2,K$3,$D$17,$A$2,$D32,$E32,$F32,$A$5)</f>
        <v>2</v>
      </c>
      <c r="L32" s="140">
        <f>_xll.DBRW($A$1,L$2,L$3,$D$17,$A$2,$D32,$E32,$F32,$A$5)</f>
        <v>2</v>
      </c>
      <c r="M32" s="140">
        <f>_xll.DBRW($A$1,M$2,M$3,$D$17,$A$2,$D32,$E32,$F32,$A$5)</f>
        <v>2</v>
      </c>
      <c r="N32" s="140">
        <f>_xll.DBRW($A$1,N$2,N$3,$D$17,$A$2,$D32,$E32,$F32,$A$5)</f>
        <v>2</v>
      </c>
      <c r="O32" s="140">
        <f>_xll.DBRW($A$1,O$2,O$3,$D$17,$A$2,$D32,$E32,$F32,$A$5)</f>
        <v>2</v>
      </c>
      <c r="P32" s="140">
        <f>_xll.DBRW($A$1,P$2,P$3,$D$17,$A$2,$D32,$E32,$F32,$A$5)</f>
        <v>2</v>
      </c>
      <c r="Q32" s="140">
        <f>_xll.DBRW($A$1,Q$2,Q$3,$D$17,$A$2,$D32,$E32,$F32,$A$5)</f>
        <v>2</v>
      </c>
      <c r="R32" s="140">
        <f>_xll.DBRW($A$1,R$2,R$3,$D$17,$A$2,$D32,$E32,$F32,$A$5)</f>
        <v>2</v>
      </c>
    </row>
    <row r="33" spans="1:18" s="23" customFormat="1" outlineLevel="1" thickBot="1" x14ac:dyDescent="0.3">
      <c r="A33" s="157" t="str">
        <f>IF(_xll.TM1RPTELISCONSOLIDATED($F$22,$F33),IF(_xll.TM1RPTELLEV($F$22,$F33)&lt;=5,_xll.TM1RPTELLEV($F$22,$F33),"Default"),"Leaf")</f>
        <v>Leaf</v>
      </c>
      <c r="B33" s="24" t="str">
        <f>_xll.DBRW("TM1-S1_DEV:}ElementAttributes_SP_SKU",$D33,B$1)</f>
        <v>Primary</v>
      </c>
      <c r="C33" s="24" t="str">
        <f>_xll.DBRW("TM1-S1_DEV:}ElementAttributes_SP_SKU",$D33,C$1)</f>
        <v>SOUP</v>
      </c>
      <c r="D33" s="28" t="s">
        <v>366</v>
      </c>
      <c r="E33" s="28" t="s">
        <v>191</v>
      </c>
      <c r="F33" s="28" t="s">
        <v>14</v>
      </c>
      <c r="G33" s="140">
        <f>_xll.DBRW($A$1,G$2,G$3,$D$17,$A$2,$D33,$E33,$F33,$A$5)</f>
        <v>5</v>
      </c>
      <c r="H33" s="140">
        <f>_xll.DBRW($A$1,H$2,H$3,$D$17,$A$2,$D33,$E33,$F33,$A$5)</f>
        <v>0</v>
      </c>
      <c r="I33" s="140">
        <f>_xll.DBRW($A$1,I$2,I$3,$D$17,$A$2,$D33,$E33,$F33,$A$5)</f>
        <v>1</v>
      </c>
      <c r="J33" s="140">
        <f>_xll.DBRW($A$1,J$2,J$3,$D$17,$A$2,$D33,$E33,$F33,$A$5)</f>
        <v>1</v>
      </c>
      <c r="K33" s="140">
        <f>_xll.DBRW($A$1,K$2,K$3,$D$17,$A$2,$D33,$E33,$F33,$A$5)</f>
        <v>1</v>
      </c>
      <c r="L33" s="140">
        <f>_xll.DBRW($A$1,L$2,L$3,$D$17,$A$2,$D33,$E33,$F33,$A$5)</f>
        <v>1</v>
      </c>
      <c r="M33" s="140">
        <f>_xll.DBRW($A$1,M$2,M$3,$D$17,$A$2,$D33,$E33,$F33,$A$5)</f>
        <v>1</v>
      </c>
      <c r="N33" s="140">
        <f>_xll.DBRW($A$1,N$2,N$3,$D$17,$A$2,$D33,$E33,$F33,$A$5)</f>
        <v>1</v>
      </c>
      <c r="O33" s="140">
        <f>_xll.DBRW($A$1,O$2,O$3,$D$17,$A$2,$D33,$E33,$F33,$A$5)</f>
        <v>1</v>
      </c>
      <c r="P33" s="140">
        <f>_xll.DBRW($A$1,P$2,P$3,$D$17,$A$2,$D33,$E33,$F33,$A$5)</f>
        <v>1</v>
      </c>
      <c r="Q33" s="140">
        <f>_xll.DBRW($A$1,Q$2,Q$3,$D$17,$A$2,$D33,$E33,$F33,$A$5)</f>
        <v>1</v>
      </c>
      <c r="R33" s="140">
        <f>_xll.DBRW($A$1,R$2,R$3,$D$17,$A$2,$D33,$E33,$F33,$A$5)</f>
        <v>1</v>
      </c>
    </row>
    <row r="34" spans="1:18" s="23" customFormat="1" outlineLevel="1" thickBot="1" x14ac:dyDescent="0.3">
      <c r="A34" s="157" t="str">
        <f>IF(_xll.TM1RPTELISCONSOLIDATED($F$22,$F34),IF(_xll.TM1RPTELLEV($F$22,$F34)&lt;=5,_xll.TM1RPTELLEV($F$22,$F34),"Default"),"Leaf")</f>
        <v>Leaf</v>
      </c>
      <c r="B34" s="24" t="str">
        <f>_xll.DBRW("TM1-S1_DEV:}ElementAttributes_SP_SKU",$D34,B$1)</f>
        <v>Primary</v>
      </c>
      <c r="C34" s="24" t="str">
        <f>_xll.DBRW("TM1-S1_DEV:}ElementAttributes_SP_SKU",$D34,C$1)</f>
        <v>SOUP</v>
      </c>
      <c r="D34" s="28" t="s">
        <v>367</v>
      </c>
      <c r="E34" s="28" t="s">
        <v>192</v>
      </c>
      <c r="F34" s="28" t="s">
        <v>14</v>
      </c>
      <c r="G34" s="140">
        <f>_xll.DBRW($A$1,G$2,G$3,$D$17,$A$2,$D34,$E34,$F34,$A$5)</f>
        <v>9</v>
      </c>
      <c r="H34" s="140">
        <f>_xll.DBRW($A$1,H$2,H$3,$D$17,$A$2,$D34,$E34,$F34,$A$5)</f>
        <v>0</v>
      </c>
      <c r="I34" s="140">
        <f>_xll.DBRW($A$1,I$2,I$3,$D$17,$A$2,$D34,$E34,$F34,$A$5)</f>
        <v>1</v>
      </c>
      <c r="J34" s="140">
        <f>_xll.DBRW($A$1,J$2,J$3,$D$17,$A$2,$D34,$E34,$F34,$A$5)</f>
        <v>1</v>
      </c>
      <c r="K34" s="140">
        <f>_xll.DBRW($A$1,K$2,K$3,$D$17,$A$2,$D34,$E34,$F34,$A$5)</f>
        <v>1</v>
      </c>
      <c r="L34" s="140">
        <f>_xll.DBRW($A$1,L$2,L$3,$D$17,$A$2,$D34,$E34,$F34,$A$5)</f>
        <v>1</v>
      </c>
      <c r="M34" s="140">
        <f>_xll.DBRW($A$1,M$2,M$3,$D$17,$A$2,$D34,$E34,$F34,$A$5)</f>
        <v>1</v>
      </c>
      <c r="N34" s="140">
        <f>_xll.DBRW($A$1,N$2,N$3,$D$17,$A$2,$D34,$E34,$F34,$A$5)</f>
        <v>1</v>
      </c>
      <c r="O34" s="140">
        <f>_xll.DBRW($A$1,O$2,O$3,$D$17,$A$2,$D34,$E34,$F34,$A$5)</f>
        <v>1</v>
      </c>
      <c r="P34" s="140">
        <f>_xll.DBRW($A$1,P$2,P$3,$D$17,$A$2,$D34,$E34,$F34,$A$5)</f>
        <v>1</v>
      </c>
      <c r="Q34" s="140">
        <f>_xll.DBRW($A$1,Q$2,Q$3,$D$17,$A$2,$D34,$E34,$F34,$A$5)</f>
        <v>1</v>
      </c>
      <c r="R34" s="140">
        <f>_xll.DBRW($A$1,R$2,R$3,$D$17,$A$2,$D34,$E34,$F34,$A$5)</f>
        <v>1</v>
      </c>
    </row>
    <row r="35" spans="1:18" s="23" customFormat="1" outlineLevel="1" thickBot="1" x14ac:dyDescent="0.3">
      <c r="A35" s="157" t="str">
        <f>IF(_xll.TM1RPTELISCONSOLIDATED($F$22,$F35),IF(_xll.TM1RPTELLEV($F$22,$F35)&lt;=5,_xll.TM1RPTELLEV($F$22,$F35),"Default"),"Leaf")</f>
        <v>Leaf</v>
      </c>
      <c r="B35" s="24" t="str">
        <f>_xll.DBRW("TM1-S1_DEV:}ElementAttributes_SP_SKU",$D35,B$1)</f>
        <v>Primary</v>
      </c>
      <c r="C35" s="24" t="str">
        <f>_xll.DBRW("TM1-S1_DEV:}ElementAttributes_SP_SKU",$D35,C$1)</f>
        <v>SOUP</v>
      </c>
      <c r="D35" s="28" t="s">
        <v>368</v>
      </c>
      <c r="E35" s="28" t="s">
        <v>193</v>
      </c>
      <c r="F35" s="28" t="s">
        <v>14</v>
      </c>
      <c r="G35" s="140">
        <f>_xll.DBRW($A$1,G$2,G$3,$D$17,$A$2,$D35,$E35,$F35,$A$5)</f>
        <v>8</v>
      </c>
      <c r="H35" s="140">
        <f>_xll.DBRW($A$1,H$2,H$3,$D$17,$A$2,$D35,$E35,$F35,$A$5)</f>
        <v>0</v>
      </c>
      <c r="I35" s="140">
        <f>_xll.DBRW($A$1,I$2,I$3,$D$17,$A$2,$D35,$E35,$F35,$A$5)</f>
        <v>1</v>
      </c>
      <c r="J35" s="140">
        <f>_xll.DBRW($A$1,J$2,J$3,$D$17,$A$2,$D35,$E35,$F35,$A$5)</f>
        <v>1</v>
      </c>
      <c r="K35" s="140">
        <f>_xll.DBRW($A$1,K$2,K$3,$D$17,$A$2,$D35,$E35,$F35,$A$5)</f>
        <v>1</v>
      </c>
      <c r="L35" s="140">
        <f>_xll.DBRW($A$1,L$2,L$3,$D$17,$A$2,$D35,$E35,$F35,$A$5)</f>
        <v>1</v>
      </c>
      <c r="M35" s="140">
        <f>_xll.DBRW($A$1,M$2,M$3,$D$17,$A$2,$D35,$E35,$F35,$A$5)</f>
        <v>1</v>
      </c>
      <c r="N35" s="140">
        <f>_xll.DBRW($A$1,N$2,N$3,$D$17,$A$2,$D35,$E35,$F35,$A$5)</f>
        <v>1</v>
      </c>
      <c r="O35" s="140">
        <f>_xll.DBRW($A$1,O$2,O$3,$D$17,$A$2,$D35,$E35,$F35,$A$5)</f>
        <v>1</v>
      </c>
      <c r="P35" s="140">
        <f>_xll.DBRW($A$1,P$2,P$3,$D$17,$A$2,$D35,$E35,$F35,$A$5)</f>
        <v>1</v>
      </c>
      <c r="Q35" s="140">
        <f>_xll.DBRW($A$1,Q$2,Q$3,$D$17,$A$2,$D35,$E35,$F35,$A$5)</f>
        <v>1</v>
      </c>
      <c r="R35" s="140">
        <f>_xll.DBRW($A$1,R$2,R$3,$D$17,$A$2,$D35,$E35,$F35,$A$5)</f>
        <v>1</v>
      </c>
    </row>
    <row r="36" spans="1:18" s="23" customFormat="1" outlineLevel="1" thickBot="1" x14ac:dyDescent="0.3">
      <c r="A36" s="157" t="str">
        <f>IF(_xll.TM1RPTELISCONSOLIDATED($F$22,$F36),IF(_xll.TM1RPTELLEV($F$22,$F36)&lt;=5,_xll.TM1RPTELLEV($F$22,$F36),"Default"),"Leaf")</f>
        <v>Leaf</v>
      </c>
      <c r="B36" s="24" t="str">
        <f>_xll.DBRW("TM1-S1_DEV:}ElementAttributes_SP_SKU",$D36,B$1)</f>
        <v>Primary</v>
      </c>
      <c r="C36" s="24" t="str">
        <f>_xll.DBRW("TM1-S1_DEV:}ElementAttributes_SP_SKU",$D36,C$1)</f>
        <v>PROTEIN</v>
      </c>
      <c r="D36" s="28" t="s">
        <v>369</v>
      </c>
      <c r="E36" s="28" t="s">
        <v>194</v>
      </c>
      <c r="F36" s="28" t="s">
        <v>42</v>
      </c>
      <c r="G36" s="140">
        <f>_xll.DBRW($A$1,G$2,G$3,$D$17,$A$2,$D36,$E36,$F36,$A$5)</f>
        <v>5</v>
      </c>
      <c r="H36" s="140">
        <f>_xll.DBRW($A$1,H$2,H$3,$D$17,$A$2,$D36,$E36,$F36,$A$5)</f>
        <v>0</v>
      </c>
      <c r="I36" s="140">
        <f>_xll.DBRW($A$1,I$2,I$3,$D$17,$A$2,$D36,$E36,$F36,$A$5)</f>
        <v>2</v>
      </c>
      <c r="J36" s="140">
        <f>_xll.DBRW($A$1,J$2,J$3,$D$17,$A$2,$D36,$E36,$F36,$A$5)</f>
        <v>2</v>
      </c>
      <c r="K36" s="140">
        <f>_xll.DBRW($A$1,K$2,K$3,$D$17,$A$2,$D36,$E36,$F36,$A$5)</f>
        <v>2</v>
      </c>
      <c r="L36" s="140">
        <f>_xll.DBRW($A$1,L$2,L$3,$D$17,$A$2,$D36,$E36,$F36,$A$5)</f>
        <v>2</v>
      </c>
      <c r="M36" s="140">
        <f>_xll.DBRW($A$1,M$2,M$3,$D$17,$A$2,$D36,$E36,$F36,$A$5)</f>
        <v>2</v>
      </c>
      <c r="N36" s="140">
        <f>_xll.DBRW($A$1,N$2,N$3,$D$17,$A$2,$D36,$E36,$F36,$A$5)</f>
        <v>2</v>
      </c>
      <c r="O36" s="140">
        <f>_xll.DBRW($A$1,O$2,O$3,$D$17,$A$2,$D36,$E36,$F36,$A$5)</f>
        <v>2</v>
      </c>
      <c r="P36" s="140">
        <f>_xll.DBRW($A$1,P$2,P$3,$D$17,$A$2,$D36,$E36,$F36,$A$5)</f>
        <v>2</v>
      </c>
      <c r="Q36" s="140">
        <f>_xll.DBRW($A$1,Q$2,Q$3,$D$17,$A$2,$D36,$E36,$F36,$A$5)</f>
        <v>2</v>
      </c>
      <c r="R36" s="140">
        <f>_xll.DBRW($A$1,R$2,R$3,$D$17,$A$2,$D36,$E36,$F36,$A$5)</f>
        <v>2</v>
      </c>
    </row>
    <row r="37" spans="1:18" s="23" customFormat="1" outlineLevel="1" thickBot="1" x14ac:dyDescent="0.3">
      <c r="A37" s="157" t="str">
        <f>IF(_xll.TM1RPTELISCONSOLIDATED($F$22,$F37),IF(_xll.TM1RPTELLEV($F$22,$F37)&lt;=5,_xll.TM1RPTELLEV($F$22,$F37),"Default"),"Leaf")</f>
        <v>Leaf</v>
      </c>
      <c r="B37" s="24" t="str">
        <f>_xll.DBRW("TM1-S1_DEV:}ElementAttributes_SP_SKU",$D37,B$1)</f>
        <v>Primary</v>
      </c>
      <c r="C37" s="24" t="str">
        <f>_xll.DBRW("TM1-S1_DEV:}ElementAttributes_SP_SKU",$D37,C$1)</f>
        <v>PROTEIN</v>
      </c>
      <c r="D37" s="28" t="s">
        <v>370</v>
      </c>
      <c r="E37" s="28" t="s">
        <v>195</v>
      </c>
      <c r="F37" s="28" t="s">
        <v>42</v>
      </c>
      <c r="G37" s="140">
        <f>_xll.DBRW($A$1,G$2,G$3,$D$17,$A$2,$D37,$E37,$F37,$A$5)</f>
        <v>4</v>
      </c>
      <c r="H37" s="140">
        <f>_xll.DBRW($A$1,H$2,H$3,$D$17,$A$2,$D37,$E37,$F37,$A$5)</f>
        <v>0</v>
      </c>
      <c r="I37" s="140">
        <f>_xll.DBRW($A$1,I$2,I$3,$D$17,$A$2,$D37,$E37,$F37,$A$5)</f>
        <v>1</v>
      </c>
      <c r="J37" s="140">
        <f>_xll.DBRW($A$1,J$2,J$3,$D$17,$A$2,$D37,$E37,$F37,$A$5)</f>
        <v>1</v>
      </c>
      <c r="K37" s="140">
        <f>_xll.DBRW($A$1,K$2,K$3,$D$17,$A$2,$D37,$E37,$F37,$A$5)</f>
        <v>1</v>
      </c>
      <c r="L37" s="140">
        <f>_xll.DBRW($A$1,L$2,L$3,$D$17,$A$2,$D37,$E37,$F37,$A$5)</f>
        <v>1</v>
      </c>
      <c r="M37" s="140">
        <f>_xll.DBRW($A$1,M$2,M$3,$D$17,$A$2,$D37,$E37,$F37,$A$5)</f>
        <v>1</v>
      </c>
      <c r="N37" s="140">
        <f>_xll.DBRW($A$1,N$2,N$3,$D$17,$A$2,$D37,$E37,$F37,$A$5)</f>
        <v>1</v>
      </c>
      <c r="O37" s="140">
        <f>_xll.DBRW($A$1,O$2,O$3,$D$17,$A$2,$D37,$E37,$F37,$A$5)</f>
        <v>1</v>
      </c>
      <c r="P37" s="140">
        <f>_xll.DBRW($A$1,P$2,P$3,$D$17,$A$2,$D37,$E37,$F37,$A$5)</f>
        <v>1</v>
      </c>
      <c r="Q37" s="140">
        <f>_xll.DBRW($A$1,Q$2,Q$3,$D$17,$A$2,$D37,$E37,$F37,$A$5)</f>
        <v>1</v>
      </c>
      <c r="R37" s="140">
        <f>_xll.DBRW($A$1,R$2,R$3,$D$17,$A$2,$D37,$E37,$F37,$A$5)</f>
        <v>1</v>
      </c>
    </row>
    <row r="38" spans="1:18" s="23" customFormat="1" outlineLevel="1" thickBot="1" x14ac:dyDescent="0.3">
      <c r="A38" s="157" t="str">
        <f>IF(_xll.TM1RPTELISCONSOLIDATED($F$22,$F38),IF(_xll.TM1RPTELLEV($F$22,$F38)&lt;=5,_xll.TM1RPTELLEV($F$22,$F38),"Default"),"Leaf")</f>
        <v>Leaf</v>
      </c>
      <c r="B38" s="24" t="str">
        <f>_xll.DBRW("TM1-S1_DEV:}ElementAttributes_SP_SKU",$D38,B$1)</f>
        <v>Primary</v>
      </c>
      <c r="C38" s="24" t="str">
        <f>_xll.DBRW("TM1-S1_DEV:}ElementAttributes_SP_SKU",$D38,C$1)</f>
        <v>SIDES</v>
      </c>
      <c r="D38" s="28" t="s">
        <v>371</v>
      </c>
      <c r="E38" s="28" t="s">
        <v>198</v>
      </c>
      <c r="F38" s="28" t="s">
        <v>15</v>
      </c>
      <c r="G38" s="140">
        <f>_xll.DBRW($A$1,G$2,G$3,$D$17,$A$2,$D38,$E38,$F38,$A$5)</f>
        <v>34</v>
      </c>
      <c r="H38" s="140">
        <f>_xll.DBRW($A$1,H$2,H$3,$D$17,$A$2,$D38,$E38,$F38,$A$5)</f>
        <v>0</v>
      </c>
      <c r="I38" s="140">
        <f>_xll.DBRW($A$1,I$2,I$3,$D$17,$A$2,$D38,$E38,$F38,$A$5)</f>
        <v>2</v>
      </c>
      <c r="J38" s="140">
        <f>_xll.DBRW($A$1,J$2,J$3,$D$17,$A$2,$D38,$E38,$F38,$A$5)</f>
        <v>2</v>
      </c>
      <c r="K38" s="140">
        <f>_xll.DBRW($A$1,K$2,K$3,$D$17,$A$2,$D38,$E38,$F38,$A$5)</f>
        <v>2</v>
      </c>
      <c r="L38" s="140">
        <f>_xll.DBRW($A$1,L$2,L$3,$D$17,$A$2,$D38,$E38,$F38,$A$5)</f>
        <v>2</v>
      </c>
      <c r="M38" s="140">
        <f>_xll.DBRW($A$1,M$2,M$3,$D$17,$A$2,$D38,$E38,$F38,$A$5)</f>
        <v>2</v>
      </c>
      <c r="N38" s="140">
        <f>_xll.DBRW($A$1,N$2,N$3,$D$17,$A$2,$D38,$E38,$F38,$A$5)</f>
        <v>2</v>
      </c>
      <c r="O38" s="140">
        <f>_xll.DBRW($A$1,O$2,O$3,$D$17,$A$2,$D38,$E38,$F38,$A$5)</f>
        <v>2</v>
      </c>
      <c r="P38" s="140">
        <f>_xll.DBRW($A$1,P$2,P$3,$D$17,$A$2,$D38,$E38,$F38,$A$5)</f>
        <v>2</v>
      </c>
      <c r="Q38" s="140">
        <f>_xll.DBRW($A$1,Q$2,Q$3,$D$17,$A$2,$D38,$E38,$F38,$A$5)</f>
        <v>2</v>
      </c>
      <c r="R38" s="140">
        <f>_xll.DBRW($A$1,R$2,R$3,$D$17,$A$2,$D38,$E38,$F38,$A$5)</f>
        <v>2</v>
      </c>
    </row>
    <row r="39" spans="1:18" s="23" customFormat="1" outlineLevel="1" thickBot="1" x14ac:dyDescent="0.3">
      <c r="A39" s="157" t="str">
        <f>IF(_xll.TM1RPTELISCONSOLIDATED($F$22,$F39),IF(_xll.TM1RPTELLEV($F$22,$F39)&lt;=5,_xll.TM1RPTELLEV($F$22,$F39),"Default"),"Leaf")</f>
        <v>Leaf</v>
      </c>
      <c r="B39" s="24" t="str">
        <f>_xll.DBRW("TM1-S1_DEV:}ElementAttributes_SP_SKU",$D39,B$1)</f>
        <v>Primary</v>
      </c>
      <c r="C39" s="24" t="str">
        <f>_xll.DBRW("TM1-S1_DEV:}ElementAttributes_SP_SKU",$D39,C$1)</f>
        <v>SIDES</v>
      </c>
      <c r="D39" s="28" t="s">
        <v>372</v>
      </c>
      <c r="E39" s="28" t="s">
        <v>199</v>
      </c>
      <c r="F39" s="28" t="s">
        <v>15</v>
      </c>
      <c r="G39" s="140">
        <f>_xll.DBRW($A$1,G$2,G$3,$D$17,$A$2,$D39,$E39,$F39,$A$5)</f>
        <v>48</v>
      </c>
      <c r="H39" s="140">
        <f>_xll.DBRW($A$1,H$2,H$3,$D$17,$A$2,$D39,$E39,$F39,$A$5)</f>
        <v>0</v>
      </c>
      <c r="I39" s="140">
        <f>_xll.DBRW($A$1,I$2,I$3,$D$17,$A$2,$D39,$E39,$F39,$A$5)</f>
        <v>1</v>
      </c>
      <c r="J39" s="140">
        <f>_xll.DBRW($A$1,J$2,J$3,$D$17,$A$2,$D39,$E39,$F39,$A$5)</f>
        <v>1</v>
      </c>
      <c r="K39" s="140">
        <f>_xll.DBRW($A$1,K$2,K$3,$D$17,$A$2,$D39,$E39,$F39,$A$5)</f>
        <v>1</v>
      </c>
      <c r="L39" s="140">
        <f>_xll.DBRW($A$1,L$2,L$3,$D$17,$A$2,$D39,$E39,$F39,$A$5)</f>
        <v>1</v>
      </c>
      <c r="M39" s="140">
        <f>_xll.DBRW($A$1,M$2,M$3,$D$17,$A$2,$D39,$E39,$F39,$A$5)</f>
        <v>1</v>
      </c>
      <c r="N39" s="140">
        <f>_xll.DBRW($A$1,N$2,N$3,$D$17,$A$2,$D39,$E39,$F39,$A$5)</f>
        <v>1</v>
      </c>
      <c r="O39" s="140">
        <f>_xll.DBRW($A$1,O$2,O$3,$D$17,$A$2,$D39,$E39,$F39,$A$5)</f>
        <v>1</v>
      </c>
      <c r="P39" s="140">
        <f>_xll.DBRW($A$1,P$2,P$3,$D$17,$A$2,$D39,$E39,$F39,$A$5)</f>
        <v>1</v>
      </c>
      <c r="Q39" s="140">
        <f>_xll.DBRW($A$1,Q$2,Q$3,$D$17,$A$2,$D39,$E39,$F39,$A$5)</f>
        <v>1</v>
      </c>
      <c r="R39" s="140">
        <f>_xll.DBRW($A$1,R$2,R$3,$D$17,$A$2,$D39,$E39,$F39,$A$5)</f>
        <v>1</v>
      </c>
    </row>
    <row r="40" spans="1:18" s="23" customFormat="1" outlineLevel="1" thickBot="1" x14ac:dyDescent="0.3">
      <c r="A40" s="157" t="str">
        <f>IF(_xll.TM1RPTELISCONSOLIDATED($F$22,$F40),IF(_xll.TM1RPTELLEV($F$22,$F40)&lt;=5,_xll.TM1RPTELLEV($F$22,$F40),"Default"),"Leaf")</f>
        <v>Leaf</v>
      </c>
      <c r="B40" s="24" t="str">
        <f>_xll.DBRW("TM1-S1_DEV:}ElementAttributes_SP_SKU",$D40,B$1)</f>
        <v>Primary</v>
      </c>
      <c r="C40" s="24" t="str">
        <f>_xll.DBRW("TM1-S1_DEV:}ElementAttributes_SP_SKU",$D40,C$1)</f>
        <v>SIDES</v>
      </c>
      <c r="D40" s="28" t="s">
        <v>373</v>
      </c>
      <c r="E40" s="28" t="s">
        <v>201</v>
      </c>
      <c r="F40" s="28" t="s">
        <v>15</v>
      </c>
      <c r="G40" s="140">
        <f>_xll.DBRW($A$1,G$2,G$3,$D$17,$A$2,$D40,$E40,$F40,$A$5)</f>
        <v>47</v>
      </c>
      <c r="H40" s="140">
        <f>_xll.DBRW($A$1,H$2,H$3,$D$17,$A$2,$D40,$E40,$F40,$A$5)</f>
        <v>0</v>
      </c>
      <c r="I40" s="140">
        <f>_xll.DBRW($A$1,I$2,I$3,$D$17,$A$2,$D40,$E40,$F40,$A$5)</f>
        <v>1</v>
      </c>
      <c r="J40" s="140">
        <f>_xll.DBRW($A$1,J$2,J$3,$D$17,$A$2,$D40,$E40,$F40,$A$5)</f>
        <v>1</v>
      </c>
      <c r="K40" s="140">
        <f>_xll.DBRW($A$1,K$2,K$3,$D$17,$A$2,$D40,$E40,$F40,$A$5)</f>
        <v>1</v>
      </c>
      <c r="L40" s="140">
        <f>_xll.DBRW($A$1,L$2,L$3,$D$17,$A$2,$D40,$E40,$F40,$A$5)</f>
        <v>1</v>
      </c>
      <c r="M40" s="140">
        <f>_xll.DBRW($A$1,M$2,M$3,$D$17,$A$2,$D40,$E40,$F40,$A$5)</f>
        <v>1</v>
      </c>
      <c r="N40" s="140">
        <f>_xll.DBRW($A$1,N$2,N$3,$D$17,$A$2,$D40,$E40,$F40,$A$5)</f>
        <v>1</v>
      </c>
      <c r="O40" s="140">
        <f>_xll.DBRW($A$1,O$2,O$3,$D$17,$A$2,$D40,$E40,$F40,$A$5)</f>
        <v>1</v>
      </c>
      <c r="P40" s="140">
        <f>_xll.DBRW($A$1,P$2,P$3,$D$17,$A$2,$D40,$E40,$F40,$A$5)</f>
        <v>1</v>
      </c>
      <c r="Q40" s="140">
        <f>_xll.DBRW($A$1,Q$2,Q$3,$D$17,$A$2,$D40,$E40,$F40,$A$5)</f>
        <v>1</v>
      </c>
      <c r="R40" s="140">
        <f>_xll.DBRW($A$1,R$2,R$3,$D$17,$A$2,$D40,$E40,$F40,$A$5)</f>
        <v>1</v>
      </c>
    </row>
    <row r="41" spans="1:18" s="23" customFormat="1" outlineLevel="1" thickBot="1" x14ac:dyDescent="0.3">
      <c r="A41" s="157" t="str">
        <f>IF(_xll.TM1RPTELISCONSOLIDATED($F$22,$F41),IF(_xll.TM1RPTELLEV($F$22,$F41)&lt;=5,_xll.TM1RPTELLEV($F$22,$F41),"Default"),"Leaf")</f>
        <v>Leaf</v>
      </c>
      <c r="B41" s="24" t="str">
        <f>_xll.DBRW("TM1-S1_DEV:}ElementAttributes_SP_SKU",$D41,B$1)</f>
        <v>Primary</v>
      </c>
      <c r="C41" s="24" t="str">
        <f>_xll.DBRW("TM1-S1_DEV:}ElementAttributes_SP_SKU",$D41,C$1)</f>
        <v>SIDES</v>
      </c>
      <c r="D41" s="28" t="s">
        <v>374</v>
      </c>
      <c r="E41" s="28" t="s">
        <v>202</v>
      </c>
      <c r="F41" s="28" t="s">
        <v>15</v>
      </c>
      <c r="G41" s="140">
        <f>_xll.DBRW($A$1,G$2,G$3,$D$17,$A$2,$D41,$E41,$F41,$A$5)</f>
        <v>73</v>
      </c>
      <c r="H41" s="140">
        <f>_xll.DBRW($A$1,H$2,H$3,$D$17,$A$2,$D41,$E41,$F41,$A$5)</f>
        <v>0</v>
      </c>
      <c r="I41" s="140">
        <f>_xll.DBRW($A$1,I$2,I$3,$D$17,$A$2,$D41,$E41,$F41,$A$5)</f>
        <v>1</v>
      </c>
      <c r="J41" s="140">
        <f>_xll.DBRW($A$1,J$2,J$3,$D$17,$A$2,$D41,$E41,$F41,$A$5)</f>
        <v>1</v>
      </c>
      <c r="K41" s="140">
        <f>_xll.DBRW($A$1,K$2,K$3,$D$17,$A$2,$D41,$E41,$F41,$A$5)</f>
        <v>1</v>
      </c>
      <c r="L41" s="140">
        <f>_xll.DBRW($A$1,L$2,L$3,$D$17,$A$2,$D41,$E41,$F41,$A$5)</f>
        <v>1</v>
      </c>
      <c r="M41" s="140">
        <f>_xll.DBRW($A$1,M$2,M$3,$D$17,$A$2,$D41,$E41,$F41,$A$5)</f>
        <v>1</v>
      </c>
      <c r="N41" s="140">
        <f>_xll.DBRW($A$1,N$2,N$3,$D$17,$A$2,$D41,$E41,$F41,$A$5)</f>
        <v>1</v>
      </c>
      <c r="O41" s="140">
        <f>_xll.DBRW($A$1,O$2,O$3,$D$17,$A$2,$D41,$E41,$F41,$A$5)</f>
        <v>1</v>
      </c>
      <c r="P41" s="140">
        <f>_xll.DBRW($A$1,P$2,P$3,$D$17,$A$2,$D41,$E41,$F41,$A$5)</f>
        <v>1</v>
      </c>
      <c r="Q41" s="140">
        <f>_xll.DBRW($A$1,Q$2,Q$3,$D$17,$A$2,$D41,$E41,$F41,$A$5)</f>
        <v>1</v>
      </c>
      <c r="R41" s="140">
        <f>_xll.DBRW($A$1,R$2,R$3,$D$17,$A$2,$D41,$E41,$F41,$A$5)</f>
        <v>1</v>
      </c>
    </row>
    <row r="42" spans="1:18" s="23" customFormat="1" outlineLevel="1" thickBot="1" x14ac:dyDescent="0.3">
      <c r="A42" s="157" t="str">
        <f>IF(_xll.TM1RPTELISCONSOLIDATED($F$22,$F42),IF(_xll.TM1RPTELLEV($F$22,$F42)&lt;=5,_xll.TM1RPTELLEV($F$22,$F42),"Default"),"Leaf")</f>
        <v>Leaf</v>
      </c>
      <c r="B42" s="24" t="str">
        <f>_xll.DBRW("TM1-S1_DEV:}ElementAttributes_SP_SKU",$D42,B$1)</f>
        <v>Primary</v>
      </c>
      <c r="C42" s="24" t="str">
        <f>_xll.DBRW("TM1-S1_DEV:}ElementAttributes_SP_SKU",$D42,C$1)</f>
        <v>SIDES</v>
      </c>
      <c r="D42" s="28" t="s">
        <v>375</v>
      </c>
      <c r="E42" s="28" t="s">
        <v>138</v>
      </c>
      <c r="F42" s="28" t="s">
        <v>15</v>
      </c>
      <c r="G42" s="140">
        <f>_xll.DBRW($A$1,G$2,G$3,$D$17,$A$2,$D42,$E42,$F42,$A$5)</f>
        <v>85</v>
      </c>
      <c r="H42" s="140">
        <f>_xll.DBRW($A$1,H$2,H$3,$D$17,$A$2,$D42,$E42,$F42,$A$5)</f>
        <v>0</v>
      </c>
      <c r="I42" s="140">
        <f>_xll.DBRW($A$1,I$2,I$3,$D$17,$A$2,$D42,$E42,$F42,$A$5)</f>
        <v>2</v>
      </c>
      <c r="J42" s="140">
        <f>_xll.DBRW($A$1,J$2,J$3,$D$17,$A$2,$D42,$E42,$F42,$A$5)</f>
        <v>2</v>
      </c>
      <c r="K42" s="140">
        <f>_xll.DBRW($A$1,K$2,K$3,$D$17,$A$2,$D42,$E42,$F42,$A$5)</f>
        <v>2</v>
      </c>
      <c r="L42" s="140">
        <f>_xll.DBRW($A$1,L$2,L$3,$D$17,$A$2,$D42,$E42,$F42,$A$5)</f>
        <v>2</v>
      </c>
      <c r="M42" s="140">
        <f>_xll.DBRW($A$1,M$2,M$3,$D$17,$A$2,$D42,$E42,$F42,$A$5)</f>
        <v>2</v>
      </c>
      <c r="N42" s="140">
        <f>_xll.DBRW($A$1,N$2,N$3,$D$17,$A$2,$D42,$E42,$F42,$A$5)</f>
        <v>2</v>
      </c>
      <c r="O42" s="140">
        <f>_xll.DBRW($A$1,O$2,O$3,$D$17,$A$2,$D42,$E42,$F42,$A$5)</f>
        <v>2</v>
      </c>
      <c r="P42" s="140">
        <f>_xll.DBRW($A$1,P$2,P$3,$D$17,$A$2,$D42,$E42,$F42,$A$5)</f>
        <v>2</v>
      </c>
      <c r="Q42" s="140">
        <f>_xll.DBRW($A$1,Q$2,Q$3,$D$17,$A$2,$D42,$E42,$F42,$A$5)</f>
        <v>2</v>
      </c>
      <c r="R42" s="140">
        <f>_xll.DBRW($A$1,R$2,R$3,$D$17,$A$2,$D42,$E42,$F42,$A$5)</f>
        <v>2</v>
      </c>
    </row>
    <row r="43" spans="1:18" s="23" customFormat="1" outlineLevel="1" thickBot="1" x14ac:dyDescent="0.3">
      <c r="A43" s="157" t="str">
        <f>IF(_xll.TM1RPTELISCONSOLIDATED($F$22,$F43),IF(_xll.TM1RPTELLEV($F$22,$F43)&lt;=5,_xll.TM1RPTELLEV($F$22,$F43),"Default"),"Leaf")</f>
        <v>Leaf</v>
      </c>
      <c r="B43" s="24" t="str">
        <f>_xll.DBRW("TM1-S1_DEV:}ElementAttributes_SP_SKU",$D43,B$1)</f>
        <v>Primary</v>
      </c>
      <c r="C43" s="24" t="str">
        <f>_xll.DBRW("TM1-S1_DEV:}ElementAttributes_SP_SKU",$D43,C$1)</f>
        <v>SIDES</v>
      </c>
      <c r="D43" s="28" t="s">
        <v>376</v>
      </c>
      <c r="E43" s="28" t="s">
        <v>203</v>
      </c>
      <c r="F43" s="28" t="s">
        <v>15</v>
      </c>
      <c r="G43" s="140">
        <f>_xll.DBRW($A$1,G$2,G$3,$D$17,$A$2,$D43,$E43,$F43,$A$5)</f>
        <v>25</v>
      </c>
      <c r="H43" s="140">
        <f>_xll.DBRW($A$1,H$2,H$3,$D$17,$A$2,$D43,$E43,$F43,$A$5)</f>
        <v>0</v>
      </c>
      <c r="I43" s="140">
        <f>_xll.DBRW($A$1,I$2,I$3,$D$17,$A$2,$D43,$E43,$F43,$A$5)</f>
        <v>1</v>
      </c>
      <c r="J43" s="140">
        <f>_xll.DBRW($A$1,J$2,J$3,$D$17,$A$2,$D43,$E43,$F43,$A$5)</f>
        <v>1</v>
      </c>
      <c r="K43" s="140">
        <f>_xll.DBRW($A$1,K$2,K$3,$D$17,$A$2,$D43,$E43,$F43,$A$5)</f>
        <v>1</v>
      </c>
      <c r="L43" s="140">
        <f>_xll.DBRW($A$1,L$2,L$3,$D$17,$A$2,$D43,$E43,$F43,$A$5)</f>
        <v>1</v>
      </c>
      <c r="M43" s="140">
        <f>_xll.DBRW($A$1,M$2,M$3,$D$17,$A$2,$D43,$E43,$F43,$A$5)</f>
        <v>1</v>
      </c>
      <c r="N43" s="140">
        <f>_xll.DBRW($A$1,N$2,N$3,$D$17,$A$2,$D43,$E43,$F43,$A$5)</f>
        <v>1</v>
      </c>
      <c r="O43" s="140">
        <f>_xll.DBRW($A$1,O$2,O$3,$D$17,$A$2,$D43,$E43,$F43,$A$5)</f>
        <v>1</v>
      </c>
      <c r="P43" s="140">
        <f>_xll.DBRW($A$1,P$2,P$3,$D$17,$A$2,$D43,$E43,$F43,$A$5)</f>
        <v>1</v>
      </c>
      <c r="Q43" s="140">
        <f>_xll.DBRW($A$1,Q$2,Q$3,$D$17,$A$2,$D43,$E43,$F43,$A$5)</f>
        <v>1</v>
      </c>
      <c r="R43" s="140">
        <f>_xll.DBRW($A$1,R$2,R$3,$D$17,$A$2,$D43,$E43,$F43,$A$5)</f>
        <v>1</v>
      </c>
    </row>
    <row r="44" spans="1:18" s="23" customFormat="1" outlineLevel="1" thickBot="1" x14ac:dyDescent="0.3">
      <c r="A44" s="157" t="str">
        <f>IF(_xll.TM1RPTELISCONSOLIDATED($F$22,$F44),IF(_xll.TM1RPTELLEV($F$22,$F44)&lt;=5,_xll.TM1RPTELLEV($F$22,$F44),"Default"),"Leaf")</f>
        <v>Leaf</v>
      </c>
      <c r="B44" s="24" t="str">
        <f>_xll.DBRW("TM1-S1_DEV:}ElementAttributes_SP_SKU",$D44,B$1)</f>
        <v>Primary</v>
      </c>
      <c r="C44" s="24" t="str">
        <f>_xll.DBRW("TM1-S1_DEV:}ElementAttributes_SP_SKU",$D44,C$1)</f>
        <v>SIDES</v>
      </c>
      <c r="D44" s="28" t="s">
        <v>377</v>
      </c>
      <c r="E44" s="28" t="s">
        <v>205</v>
      </c>
      <c r="F44" s="28" t="s">
        <v>15</v>
      </c>
      <c r="G44" s="140">
        <f>_xll.DBRW($A$1,G$2,G$3,$D$17,$A$2,$D44,$E44,$F44,$A$5)</f>
        <v>22</v>
      </c>
      <c r="H44" s="140">
        <f>_xll.DBRW($A$1,H$2,H$3,$D$17,$A$2,$D44,$E44,$F44,$A$5)</f>
        <v>0</v>
      </c>
      <c r="I44" s="140">
        <f>_xll.DBRW($A$1,I$2,I$3,$D$17,$A$2,$D44,$E44,$F44,$A$5)</f>
        <v>1</v>
      </c>
      <c r="J44" s="140">
        <f>_xll.DBRW($A$1,J$2,J$3,$D$17,$A$2,$D44,$E44,$F44,$A$5)</f>
        <v>1</v>
      </c>
      <c r="K44" s="140">
        <f>_xll.DBRW($A$1,K$2,K$3,$D$17,$A$2,$D44,$E44,$F44,$A$5)</f>
        <v>1</v>
      </c>
      <c r="L44" s="140">
        <f>_xll.DBRW($A$1,L$2,L$3,$D$17,$A$2,$D44,$E44,$F44,$A$5)</f>
        <v>1</v>
      </c>
      <c r="M44" s="140">
        <f>_xll.DBRW($A$1,M$2,M$3,$D$17,$A$2,$D44,$E44,$F44,$A$5)</f>
        <v>1</v>
      </c>
      <c r="N44" s="140">
        <f>_xll.DBRW($A$1,N$2,N$3,$D$17,$A$2,$D44,$E44,$F44,$A$5)</f>
        <v>1</v>
      </c>
      <c r="O44" s="140">
        <f>_xll.DBRW($A$1,O$2,O$3,$D$17,$A$2,$D44,$E44,$F44,$A$5)</f>
        <v>1</v>
      </c>
      <c r="P44" s="140">
        <f>_xll.DBRW($A$1,P$2,P$3,$D$17,$A$2,$D44,$E44,$F44,$A$5)</f>
        <v>1</v>
      </c>
      <c r="Q44" s="140">
        <f>_xll.DBRW($A$1,Q$2,Q$3,$D$17,$A$2,$D44,$E44,$F44,$A$5)</f>
        <v>1</v>
      </c>
      <c r="R44" s="140">
        <f>_xll.DBRW($A$1,R$2,R$3,$D$17,$A$2,$D44,$E44,$F44,$A$5)</f>
        <v>1</v>
      </c>
    </row>
    <row r="45" spans="1:18" s="23" customFormat="1" outlineLevel="1" thickBot="1" x14ac:dyDescent="0.3">
      <c r="A45" s="157" t="str">
        <f>IF(_xll.TM1RPTELISCONSOLIDATED($F$22,$F45),IF(_xll.TM1RPTELLEV($F$22,$F45)&lt;=5,_xll.TM1RPTELLEV($F$22,$F45),"Default"),"Leaf")</f>
        <v>Leaf</v>
      </c>
      <c r="B45" s="24" t="str">
        <f>_xll.DBRW("TM1-S1_DEV:}ElementAttributes_SP_SKU",$D45,B$1)</f>
        <v>Primary</v>
      </c>
      <c r="C45" s="24" t="str">
        <f>_xll.DBRW("TM1-S1_DEV:}ElementAttributes_SP_SKU",$D45,C$1)</f>
        <v>DESSERT</v>
      </c>
      <c r="D45" s="28" t="s">
        <v>9</v>
      </c>
      <c r="E45" s="28" t="s">
        <v>206</v>
      </c>
      <c r="F45" s="28" t="s">
        <v>43</v>
      </c>
      <c r="G45" s="140">
        <f>_xll.DBRW($A$1,G$2,G$3,$D$17,$A$2,$D45,$E45,$F45,$A$5)</f>
        <v>6</v>
      </c>
      <c r="H45" s="140">
        <f>_xll.DBRW($A$1,H$2,H$3,$D$17,$A$2,$D45,$E45,$F45,$A$5)</f>
        <v>0</v>
      </c>
      <c r="I45" s="140">
        <f>_xll.DBRW($A$1,I$2,I$3,$D$17,$A$2,$D45,$E45,$F45,$A$5)</f>
        <v>2</v>
      </c>
      <c r="J45" s="140">
        <f>_xll.DBRW($A$1,J$2,J$3,$D$17,$A$2,$D45,$E45,$F45,$A$5)</f>
        <v>2</v>
      </c>
      <c r="K45" s="140">
        <f>_xll.DBRW($A$1,K$2,K$3,$D$17,$A$2,$D45,$E45,$F45,$A$5)</f>
        <v>2</v>
      </c>
      <c r="L45" s="140">
        <f>_xll.DBRW($A$1,L$2,L$3,$D$17,$A$2,$D45,$E45,$F45,$A$5)</f>
        <v>2</v>
      </c>
      <c r="M45" s="140">
        <f>_xll.DBRW($A$1,M$2,M$3,$D$17,$A$2,$D45,$E45,$F45,$A$5)</f>
        <v>2</v>
      </c>
      <c r="N45" s="140">
        <f>_xll.DBRW($A$1,N$2,N$3,$D$17,$A$2,$D45,$E45,$F45,$A$5)</f>
        <v>2</v>
      </c>
      <c r="O45" s="140">
        <f>_xll.DBRW($A$1,O$2,O$3,$D$17,$A$2,$D45,$E45,$F45,$A$5)</f>
        <v>2</v>
      </c>
      <c r="P45" s="140">
        <f>_xll.DBRW($A$1,P$2,P$3,$D$17,$A$2,$D45,$E45,$F45,$A$5)</f>
        <v>2</v>
      </c>
      <c r="Q45" s="140">
        <f>_xll.DBRW($A$1,Q$2,Q$3,$D$17,$A$2,$D45,$E45,$F45,$A$5)</f>
        <v>2</v>
      </c>
      <c r="R45" s="140">
        <f>_xll.DBRW($A$1,R$2,R$3,$D$17,$A$2,$D45,$E45,$F45,$A$5)</f>
        <v>2</v>
      </c>
    </row>
    <row r="46" spans="1:18" s="23" customFormat="1" outlineLevel="1" thickBot="1" x14ac:dyDescent="0.3">
      <c r="A46" s="157" t="str">
        <f>IF(_xll.TM1RPTELISCONSOLIDATED($F$22,$F46),IF(_xll.TM1RPTELLEV($F$22,$F46)&lt;=5,_xll.TM1RPTELLEV($F$22,$F46),"Default"),"Leaf")</f>
        <v>Leaf</v>
      </c>
      <c r="B46" s="24" t="str">
        <f>_xll.DBRW("TM1-S1_DEV:}ElementAttributes_SP_SKU",$D46,B$1)</f>
        <v>Primary</v>
      </c>
      <c r="C46" s="24" t="str">
        <f>_xll.DBRW("TM1-S1_DEV:}ElementAttributes_SP_SKU",$D46,C$1)</f>
        <v>PIE</v>
      </c>
      <c r="D46" s="28" t="s">
        <v>378</v>
      </c>
      <c r="E46" s="28" t="s">
        <v>207</v>
      </c>
      <c r="F46" s="28" t="s">
        <v>16</v>
      </c>
      <c r="G46" s="140">
        <f>_xll.DBRW($A$1,G$2,G$3,$D$17,$A$2,$D46,$E46,$F46,$A$5)</f>
        <v>13</v>
      </c>
      <c r="H46" s="140">
        <f>_xll.DBRW($A$1,H$2,H$3,$D$17,$A$2,$D46,$E46,$F46,$A$5)</f>
        <v>0</v>
      </c>
      <c r="I46" s="140">
        <f>_xll.DBRW($A$1,I$2,I$3,$D$17,$A$2,$D46,$E46,$F46,$A$5)</f>
        <v>1</v>
      </c>
      <c r="J46" s="140">
        <f>_xll.DBRW($A$1,J$2,J$3,$D$17,$A$2,$D46,$E46,$F46,$A$5)</f>
        <v>1</v>
      </c>
      <c r="K46" s="140">
        <f>_xll.DBRW($A$1,K$2,K$3,$D$17,$A$2,$D46,$E46,$F46,$A$5)</f>
        <v>1</v>
      </c>
      <c r="L46" s="140">
        <f>_xll.DBRW($A$1,L$2,L$3,$D$17,$A$2,$D46,$E46,$F46,$A$5)</f>
        <v>1</v>
      </c>
      <c r="M46" s="140">
        <f>_xll.DBRW($A$1,M$2,M$3,$D$17,$A$2,$D46,$E46,$F46,$A$5)</f>
        <v>1</v>
      </c>
      <c r="N46" s="140">
        <f>_xll.DBRW($A$1,N$2,N$3,$D$17,$A$2,$D46,$E46,$F46,$A$5)</f>
        <v>1</v>
      </c>
      <c r="O46" s="140">
        <f>_xll.DBRW($A$1,O$2,O$3,$D$17,$A$2,$D46,$E46,$F46,$A$5)</f>
        <v>1</v>
      </c>
      <c r="P46" s="140">
        <f>_xll.DBRW($A$1,P$2,P$3,$D$17,$A$2,$D46,$E46,$F46,$A$5)</f>
        <v>1</v>
      </c>
      <c r="Q46" s="140">
        <f>_xll.DBRW($A$1,Q$2,Q$3,$D$17,$A$2,$D46,$E46,$F46,$A$5)</f>
        <v>1</v>
      </c>
      <c r="R46" s="140">
        <f>_xll.DBRW($A$1,R$2,R$3,$D$17,$A$2,$D46,$E46,$F46,$A$5)</f>
        <v>1</v>
      </c>
    </row>
    <row r="47" spans="1:18" s="23" customFormat="1" outlineLevel="1" thickBot="1" x14ac:dyDescent="0.3">
      <c r="A47" s="157" t="str">
        <f>IF(_xll.TM1RPTELISCONSOLIDATED($F$22,$F47),IF(_xll.TM1RPTELLEV($F$22,$F47)&lt;=5,_xll.TM1RPTELLEV($F$22,$F47),"Default"),"Leaf")</f>
        <v>Leaf</v>
      </c>
      <c r="B47" s="24" t="str">
        <f>_xll.DBRW("TM1-S1_DEV:}ElementAttributes_SP_SKU",$D47,B$1)</f>
        <v>Primary</v>
      </c>
      <c r="C47" s="24" t="str">
        <f>_xll.DBRW("TM1-S1_DEV:}ElementAttributes_SP_SKU",$D47,C$1)</f>
        <v>PIE</v>
      </c>
      <c r="D47" s="28" t="s">
        <v>379</v>
      </c>
      <c r="E47" s="28" t="s">
        <v>208</v>
      </c>
      <c r="F47" s="28" t="s">
        <v>16</v>
      </c>
      <c r="G47" s="140">
        <f>_xll.DBRW($A$1,G$2,G$3,$D$17,$A$2,$D47,$E47,$F47,$A$5)</f>
        <v>9</v>
      </c>
      <c r="H47" s="140">
        <f>_xll.DBRW($A$1,H$2,H$3,$D$17,$A$2,$D47,$E47,$F47,$A$5)</f>
        <v>0</v>
      </c>
      <c r="I47" s="140">
        <f>_xll.DBRW($A$1,I$2,I$3,$D$17,$A$2,$D47,$E47,$F47,$A$5)</f>
        <v>1</v>
      </c>
      <c r="J47" s="140">
        <f>_xll.DBRW($A$1,J$2,J$3,$D$17,$A$2,$D47,$E47,$F47,$A$5)</f>
        <v>1</v>
      </c>
      <c r="K47" s="140">
        <f>_xll.DBRW($A$1,K$2,K$3,$D$17,$A$2,$D47,$E47,$F47,$A$5)</f>
        <v>1</v>
      </c>
      <c r="L47" s="140">
        <f>_xll.DBRW($A$1,L$2,L$3,$D$17,$A$2,$D47,$E47,$F47,$A$5)</f>
        <v>1</v>
      </c>
      <c r="M47" s="140">
        <f>_xll.DBRW($A$1,M$2,M$3,$D$17,$A$2,$D47,$E47,$F47,$A$5)</f>
        <v>1</v>
      </c>
      <c r="N47" s="140">
        <f>_xll.DBRW($A$1,N$2,N$3,$D$17,$A$2,$D47,$E47,$F47,$A$5)</f>
        <v>1</v>
      </c>
      <c r="O47" s="140">
        <f>_xll.DBRW($A$1,O$2,O$3,$D$17,$A$2,$D47,$E47,$F47,$A$5)</f>
        <v>1</v>
      </c>
      <c r="P47" s="140">
        <f>_xll.DBRW($A$1,P$2,P$3,$D$17,$A$2,$D47,$E47,$F47,$A$5)</f>
        <v>1</v>
      </c>
      <c r="Q47" s="140">
        <f>_xll.DBRW($A$1,Q$2,Q$3,$D$17,$A$2,$D47,$E47,$F47,$A$5)</f>
        <v>1</v>
      </c>
      <c r="R47" s="140">
        <f>_xll.DBRW($A$1,R$2,R$3,$D$17,$A$2,$D47,$E47,$F47,$A$5)</f>
        <v>1</v>
      </c>
    </row>
    <row r="48" spans="1:18" s="23" customFormat="1" outlineLevel="1" thickBot="1" x14ac:dyDescent="0.3">
      <c r="A48" s="157" t="str">
        <f>IF(_xll.TM1RPTELISCONSOLIDATED($F$22,$F48),IF(_xll.TM1RPTELLEV($F$22,$F48)&lt;=5,_xll.TM1RPTELLEV($F$22,$F48),"Default"),"Leaf")</f>
        <v>Leaf</v>
      </c>
      <c r="B48" s="24" t="str">
        <f>_xll.DBRW("TM1-S1_DEV:}ElementAttributes_SP_SKU",$D48,B$1)</f>
        <v>Primary</v>
      </c>
      <c r="C48" s="24" t="str">
        <f>_xll.DBRW("TM1-S1_DEV:}ElementAttributes_SP_SKU",$D48,C$1)</f>
        <v>CAKE</v>
      </c>
      <c r="D48" s="28" t="s">
        <v>380</v>
      </c>
      <c r="E48" s="28" t="s">
        <v>209</v>
      </c>
      <c r="F48" s="28" t="s">
        <v>48</v>
      </c>
      <c r="G48" s="140">
        <f>_xll.DBRW($A$1,G$2,G$3,$D$17,$A$2,$D48,$E48,$F48,$A$5)</f>
        <v>13</v>
      </c>
      <c r="H48" s="140">
        <f>_xll.DBRW($A$1,H$2,H$3,$D$17,$A$2,$D48,$E48,$F48,$A$5)</f>
        <v>0</v>
      </c>
      <c r="I48" s="140">
        <f>_xll.DBRW($A$1,I$2,I$3,$D$17,$A$2,$D48,$E48,$F48,$A$5)</f>
        <v>1</v>
      </c>
      <c r="J48" s="140">
        <f>_xll.DBRW($A$1,J$2,J$3,$D$17,$A$2,$D48,$E48,$F48,$A$5)</f>
        <v>1</v>
      </c>
      <c r="K48" s="140">
        <f>_xll.DBRW($A$1,K$2,K$3,$D$17,$A$2,$D48,$E48,$F48,$A$5)</f>
        <v>1</v>
      </c>
      <c r="L48" s="140">
        <f>_xll.DBRW($A$1,L$2,L$3,$D$17,$A$2,$D48,$E48,$F48,$A$5)</f>
        <v>1</v>
      </c>
      <c r="M48" s="140">
        <f>_xll.DBRW($A$1,M$2,M$3,$D$17,$A$2,$D48,$E48,$F48,$A$5)</f>
        <v>1</v>
      </c>
      <c r="N48" s="140">
        <f>_xll.DBRW($A$1,N$2,N$3,$D$17,$A$2,$D48,$E48,$F48,$A$5)</f>
        <v>1</v>
      </c>
      <c r="O48" s="140">
        <f>_xll.DBRW($A$1,O$2,O$3,$D$17,$A$2,$D48,$E48,$F48,$A$5)</f>
        <v>1</v>
      </c>
      <c r="P48" s="140">
        <f>_xll.DBRW($A$1,P$2,P$3,$D$17,$A$2,$D48,$E48,$F48,$A$5)</f>
        <v>1</v>
      </c>
      <c r="Q48" s="140">
        <f>_xll.DBRW($A$1,Q$2,Q$3,$D$17,$A$2,$D48,$E48,$F48,$A$5)</f>
        <v>1</v>
      </c>
      <c r="R48" s="140">
        <f>_xll.DBRW($A$1,R$2,R$3,$D$17,$A$2,$D48,$E48,$F48,$A$5)</f>
        <v>1</v>
      </c>
    </row>
    <row r="49" spans="1:18" s="23" customFormat="1" outlineLevel="1" thickBot="1" x14ac:dyDescent="0.3">
      <c r="A49" s="157" t="str">
        <f>IF(_xll.TM1RPTELISCONSOLIDATED($F$22,$F49),IF(_xll.TM1RPTELLEV($F$22,$F49)&lt;=5,_xll.TM1RPTELLEV($F$22,$F49),"Default"),"Leaf")</f>
        <v>Leaf</v>
      </c>
      <c r="B49" s="24" t="str">
        <f>_xll.DBRW("TM1-S1_DEV:}ElementAttributes_SP_SKU",$D49,B$1)</f>
        <v>Primary</v>
      </c>
      <c r="C49" s="24" t="str">
        <f>_xll.DBRW("TM1-S1_DEV:}ElementAttributes_SP_SKU",$D49,C$1)</f>
        <v>CAKE</v>
      </c>
      <c r="D49" s="28" t="s">
        <v>381</v>
      </c>
      <c r="E49" s="28" t="s">
        <v>210</v>
      </c>
      <c r="F49" s="28" t="s">
        <v>48</v>
      </c>
      <c r="G49" s="140">
        <f>_xll.DBRW($A$1,G$2,G$3,$D$17,$A$2,$D49,$E49,$F49,$A$5)</f>
        <v>12</v>
      </c>
      <c r="H49" s="140">
        <f>_xll.DBRW($A$1,H$2,H$3,$D$17,$A$2,$D49,$E49,$F49,$A$5)</f>
        <v>0</v>
      </c>
      <c r="I49" s="140">
        <f>_xll.DBRW($A$1,I$2,I$3,$D$17,$A$2,$D49,$E49,$F49,$A$5)</f>
        <v>2</v>
      </c>
      <c r="J49" s="140">
        <f>_xll.DBRW($A$1,J$2,J$3,$D$17,$A$2,$D49,$E49,$F49,$A$5)</f>
        <v>2</v>
      </c>
      <c r="K49" s="140">
        <f>_xll.DBRW($A$1,K$2,K$3,$D$17,$A$2,$D49,$E49,$F49,$A$5)</f>
        <v>2</v>
      </c>
      <c r="L49" s="140">
        <f>_xll.DBRW($A$1,L$2,L$3,$D$17,$A$2,$D49,$E49,$F49,$A$5)</f>
        <v>2</v>
      </c>
      <c r="M49" s="140">
        <f>_xll.DBRW($A$1,M$2,M$3,$D$17,$A$2,$D49,$E49,$F49,$A$5)</f>
        <v>2</v>
      </c>
      <c r="N49" s="140">
        <f>_xll.DBRW($A$1,N$2,N$3,$D$17,$A$2,$D49,$E49,$F49,$A$5)</f>
        <v>2</v>
      </c>
      <c r="O49" s="140">
        <f>_xll.DBRW($A$1,O$2,O$3,$D$17,$A$2,$D49,$E49,$F49,$A$5)</f>
        <v>2</v>
      </c>
      <c r="P49" s="140">
        <f>_xll.DBRW($A$1,P$2,P$3,$D$17,$A$2,$D49,$E49,$F49,$A$5)</f>
        <v>2</v>
      </c>
      <c r="Q49" s="140">
        <f>_xll.DBRW($A$1,Q$2,Q$3,$D$17,$A$2,$D49,$E49,$F49,$A$5)</f>
        <v>2</v>
      </c>
      <c r="R49" s="140">
        <f>_xll.DBRW($A$1,R$2,R$3,$D$17,$A$2,$D49,$E49,$F49,$A$5)</f>
        <v>2</v>
      </c>
    </row>
    <row r="50" spans="1:18" s="23" customFormat="1" outlineLevel="1" thickBot="1" x14ac:dyDescent="0.3">
      <c r="A50" s="157" t="str">
        <f>IF(_xll.TM1RPTELISCONSOLIDATED($F$22,$F50),IF(_xll.TM1RPTELLEV($F$22,$F50)&lt;=5,_xll.TM1RPTELLEV($F$22,$F50),"Default"),"Leaf")</f>
        <v>Leaf</v>
      </c>
      <c r="B50" s="24" t="str">
        <f>_xll.DBRW("TM1-S1_DEV:}ElementAttributes_SP_SKU",$D50,B$1)</f>
        <v>Primary</v>
      </c>
      <c r="C50" s="24" t="str">
        <f>_xll.DBRW("TM1-S1_DEV:}ElementAttributes_SP_SKU",$D50,C$1)</f>
        <v>CAKE</v>
      </c>
      <c r="D50" s="28" t="s">
        <v>382</v>
      </c>
      <c r="E50" s="28" t="s">
        <v>113</v>
      </c>
      <c r="F50" s="28" t="s">
        <v>48</v>
      </c>
      <c r="G50" s="140">
        <f>_xll.DBRW($A$1,G$2,G$3,$D$17,$A$2,$D50,$E50,$F50,$A$5)</f>
        <v>15</v>
      </c>
      <c r="H50" s="140">
        <f>_xll.DBRW($A$1,H$2,H$3,$D$17,$A$2,$D50,$E50,$F50,$A$5)</f>
        <v>0</v>
      </c>
      <c r="I50" s="140">
        <f>_xll.DBRW($A$1,I$2,I$3,$D$17,$A$2,$D50,$E50,$F50,$A$5)</f>
        <v>1</v>
      </c>
      <c r="J50" s="140">
        <f>_xll.DBRW($A$1,J$2,J$3,$D$17,$A$2,$D50,$E50,$F50,$A$5)</f>
        <v>1</v>
      </c>
      <c r="K50" s="140">
        <f>_xll.DBRW($A$1,K$2,K$3,$D$17,$A$2,$D50,$E50,$F50,$A$5)</f>
        <v>1</v>
      </c>
      <c r="L50" s="140">
        <f>_xll.DBRW($A$1,L$2,L$3,$D$17,$A$2,$D50,$E50,$F50,$A$5)</f>
        <v>1</v>
      </c>
      <c r="M50" s="140">
        <f>_xll.DBRW($A$1,M$2,M$3,$D$17,$A$2,$D50,$E50,$F50,$A$5)</f>
        <v>1</v>
      </c>
      <c r="N50" s="140">
        <f>_xll.DBRW($A$1,N$2,N$3,$D$17,$A$2,$D50,$E50,$F50,$A$5)</f>
        <v>1</v>
      </c>
      <c r="O50" s="140">
        <f>_xll.DBRW($A$1,O$2,O$3,$D$17,$A$2,$D50,$E50,$F50,$A$5)</f>
        <v>1</v>
      </c>
      <c r="P50" s="140">
        <f>_xll.DBRW($A$1,P$2,P$3,$D$17,$A$2,$D50,$E50,$F50,$A$5)</f>
        <v>1</v>
      </c>
      <c r="Q50" s="140">
        <f>_xll.DBRW($A$1,Q$2,Q$3,$D$17,$A$2,$D50,$E50,$F50,$A$5)</f>
        <v>1</v>
      </c>
      <c r="R50" s="140">
        <f>_xll.DBRW($A$1,R$2,R$3,$D$17,$A$2,$D50,$E50,$F50,$A$5)</f>
        <v>1</v>
      </c>
    </row>
    <row r="51" spans="1:18" s="23" customFormat="1" outlineLevel="1" thickBot="1" x14ac:dyDescent="0.3">
      <c r="A51" s="157" t="str">
        <f>IF(_xll.TM1RPTELISCONSOLIDATED($F$22,$F51),IF(_xll.TM1RPTELLEV($F$22,$F51)&lt;=5,_xll.TM1RPTELLEV($F$22,$F51),"Default"),"Leaf")</f>
        <v>Leaf</v>
      </c>
      <c r="B51" s="24" t="str">
        <f>_xll.DBRW("TM1-S1_DEV:}ElementAttributes_SP_SKU",$D51,B$1)</f>
        <v>Primary</v>
      </c>
      <c r="C51" s="24" t="str">
        <f>_xll.DBRW("TM1-S1_DEV:}ElementAttributes_SP_SKU",$D51,C$1)</f>
        <v>CAKE</v>
      </c>
      <c r="D51" s="28" t="s">
        <v>383</v>
      </c>
      <c r="E51" s="28" t="s">
        <v>211</v>
      </c>
      <c r="F51" s="28" t="s">
        <v>17</v>
      </c>
      <c r="G51" s="140">
        <f>_xll.DBRW($A$1,G$2,G$3,$D$17,$A$2,$D51,$E51,$F51,$A$5)</f>
        <v>3</v>
      </c>
      <c r="H51" s="140">
        <f>_xll.DBRW($A$1,H$2,H$3,$D$17,$A$2,$D51,$E51,$F51,$A$5)</f>
        <v>0</v>
      </c>
      <c r="I51" s="140">
        <f>_xll.DBRW($A$1,I$2,I$3,$D$17,$A$2,$D51,$E51,$F51,$A$5)</f>
        <v>2</v>
      </c>
      <c r="J51" s="140">
        <f>_xll.DBRW($A$1,J$2,J$3,$D$17,$A$2,$D51,$E51,$F51,$A$5)</f>
        <v>2</v>
      </c>
      <c r="K51" s="140">
        <f>_xll.DBRW($A$1,K$2,K$3,$D$17,$A$2,$D51,$E51,$F51,$A$5)</f>
        <v>2</v>
      </c>
      <c r="L51" s="140">
        <f>_xll.DBRW($A$1,L$2,L$3,$D$17,$A$2,$D51,$E51,$F51,$A$5)</f>
        <v>2</v>
      </c>
      <c r="M51" s="140">
        <f>_xll.DBRW($A$1,M$2,M$3,$D$17,$A$2,$D51,$E51,$F51,$A$5)</f>
        <v>2</v>
      </c>
      <c r="N51" s="140">
        <f>_xll.DBRW($A$1,N$2,N$3,$D$17,$A$2,$D51,$E51,$F51,$A$5)</f>
        <v>2</v>
      </c>
      <c r="O51" s="140">
        <f>_xll.DBRW($A$1,O$2,O$3,$D$17,$A$2,$D51,$E51,$F51,$A$5)</f>
        <v>2</v>
      </c>
      <c r="P51" s="140">
        <f>_xll.DBRW($A$1,P$2,P$3,$D$17,$A$2,$D51,$E51,$F51,$A$5)</f>
        <v>2</v>
      </c>
      <c r="Q51" s="140">
        <f>_xll.DBRW($A$1,Q$2,Q$3,$D$17,$A$2,$D51,$E51,$F51,$A$5)</f>
        <v>2</v>
      </c>
      <c r="R51" s="140">
        <f>_xll.DBRW($A$1,R$2,R$3,$D$17,$A$2,$D51,$E51,$F51,$A$5)</f>
        <v>2</v>
      </c>
    </row>
    <row r="52" spans="1:18" s="23" customFormat="1" outlineLevel="1" thickBot="1" x14ac:dyDescent="0.3">
      <c r="A52" s="157" t="str">
        <f>IF(_xll.TM1RPTELISCONSOLIDATED($F$22,$F52),IF(_xll.TM1RPTELLEV($F$22,$F52)&lt;=5,_xll.TM1RPTELLEV($F$22,$F52),"Default"),"Leaf")</f>
        <v>Leaf</v>
      </c>
      <c r="B52" s="24" t="str">
        <f>_xll.DBRW("TM1-S1_DEV:}ElementAttributes_SP_SKU",$D52,B$1)</f>
        <v>Primary</v>
      </c>
      <c r="C52" s="24" t="str">
        <f>_xll.DBRW("TM1-S1_DEV:}ElementAttributes_SP_SKU",$D52,C$1)</f>
        <v>DESSERT</v>
      </c>
      <c r="D52" s="28" t="s">
        <v>384</v>
      </c>
      <c r="E52" s="28" t="s">
        <v>212</v>
      </c>
      <c r="F52" s="28" t="s">
        <v>18</v>
      </c>
      <c r="G52" s="140">
        <f>_xll.DBRW($A$1,G$2,G$3,$D$17,$A$2,$D52,$E52,$F52,$A$5)</f>
        <v>10</v>
      </c>
      <c r="H52" s="140">
        <f>_xll.DBRW($A$1,H$2,H$3,$D$17,$A$2,$D52,$E52,$F52,$A$5)</f>
        <v>0</v>
      </c>
      <c r="I52" s="140">
        <f>_xll.DBRW($A$1,I$2,I$3,$D$17,$A$2,$D52,$E52,$F52,$A$5)</f>
        <v>1</v>
      </c>
      <c r="J52" s="140">
        <f>_xll.DBRW($A$1,J$2,J$3,$D$17,$A$2,$D52,$E52,$F52,$A$5)</f>
        <v>1</v>
      </c>
      <c r="K52" s="140">
        <f>_xll.DBRW($A$1,K$2,K$3,$D$17,$A$2,$D52,$E52,$F52,$A$5)</f>
        <v>1</v>
      </c>
      <c r="L52" s="140">
        <f>_xll.DBRW($A$1,L$2,L$3,$D$17,$A$2,$D52,$E52,$F52,$A$5)</f>
        <v>1</v>
      </c>
      <c r="M52" s="140">
        <f>_xll.DBRW($A$1,M$2,M$3,$D$17,$A$2,$D52,$E52,$F52,$A$5)</f>
        <v>1</v>
      </c>
      <c r="N52" s="140">
        <f>_xll.DBRW($A$1,N$2,N$3,$D$17,$A$2,$D52,$E52,$F52,$A$5)</f>
        <v>1</v>
      </c>
      <c r="O52" s="140">
        <f>_xll.DBRW($A$1,O$2,O$3,$D$17,$A$2,$D52,$E52,$F52,$A$5)</f>
        <v>1</v>
      </c>
      <c r="P52" s="140">
        <f>_xll.DBRW($A$1,P$2,P$3,$D$17,$A$2,$D52,$E52,$F52,$A$5)</f>
        <v>1</v>
      </c>
      <c r="Q52" s="140">
        <f>_xll.DBRW($A$1,Q$2,Q$3,$D$17,$A$2,$D52,$E52,$F52,$A$5)</f>
        <v>1</v>
      </c>
      <c r="R52" s="140">
        <f>_xll.DBRW($A$1,R$2,R$3,$D$17,$A$2,$D52,$E52,$F52,$A$5)</f>
        <v>1</v>
      </c>
    </row>
    <row r="53" spans="1:18" s="23" customFormat="1" outlineLevel="1" thickBot="1" x14ac:dyDescent="0.3">
      <c r="A53" s="157" t="str">
        <f>IF(_xll.TM1RPTELISCONSOLIDATED($F$22,$F53),IF(_xll.TM1RPTELLEV($F$22,$F53)&lt;=5,_xll.TM1RPTELLEV($F$22,$F53),"Default"),"Leaf")</f>
        <v>Leaf</v>
      </c>
      <c r="B53" s="24" t="str">
        <f>_xll.DBRW("TM1-S1_DEV:}ElementAttributes_SP_SKU",$D53,B$1)</f>
        <v>Primary</v>
      </c>
      <c r="C53" s="24" t="str">
        <f>_xll.DBRW("TM1-S1_DEV:}ElementAttributes_SP_SKU",$D53,C$1)</f>
        <v>DESSERT</v>
      </c>
      <c r="D53" s="28" t="s">
        <v>385</v>
      </c>
      <c r="E53" s="28" t="s">
        <v>213</v>
      </c>
      <c r="F53" s="28" t="s">
        <v>18</v>
      </c>
      <c r="G53" s="140">
        <f>_xll.DBRW($A$1,G$2,G$3,$D$17,$A$2,$D53,$E53,$F53,$A$5)</f>
        <v>13</v>
      </c>
      <c r="H53" s="140">
        <f>_xll.DBRW($A$1,H$2,H$3,$D$17,$A$2,$D53,$E53,$F53,$A$5)</f>
        <v>0</v>
      </c>
      <c r="I53" s="140">
        <f>_xll.DBRW($A$1,I$2,I$3,$D$17,$A$2,$D53,$E53,$F53,$A$5)</f>
        <v>2</v>
      </c>
      <c r="J53" s="140">
        <f>_xll.DBRW($A$1,J$2,J$3,$D$17,$A$2,$D53,$E53,$F53,$A$5)</f>
        <v>2</v>
      </c>
      <c r="K53" s="140">
        <f>_xll.DBRW($A$1,K$2,K$3,$D$17,$A$2,$D53,$E53,$F53,$A$5)</f>
        <v>2</v>
      </c>
      <c r="L53" s="140">
        <f>_xll.DBRW($A$1,L$2,L$3,$D$17,$A$2,$D53,$E53,$F53,$A$5)</f>
        <v>2</v>
      </c>
      <c r="M53" s="140">
        <f>_xll.DBRW($A$1,M$2,M$3,$D$17,$A$2,$D53,$E53,$F53,$A$5)</f>
        <v>2</v>
      </c>
      <c r="N53" s="140">
        <f>_xll.DBRW($A$1,N$2,N$3,$D$17,$A$2,$D53,$E53,$F53,$A$5)</f>
        <v>2</v>
      </c>
      <c r="O53" s="140">
        <f>_xll.DBRW($A$1,O$2,O$3,$D$17,$A$2,$D53,$E53,$F53,$A$5)</f>
        <v>2</v>
      </c>
      <c r="P53" s="140">
        <f>_xll.DBRW($A$1,P$2,P$3,$D$17,$A$2,$D53,$E53,$F53,$A$5)</f>
        <v>2</v>
      </c>
      <c r="Q53" s="140">
        <f>_xll.DBRW($A$1,Q$2,Q$3,$D$17,$A$2,$D53,$E53,$F53,$A$5)</f>
        <v>2</v>
      </c>
      <c r="R53" s="140">
        <f>_xll.DBRW($A$1,R$2,R$3,$D$17,$A$2,$D53,$E53,$F53,$A$5)</f>
        <v>2</v>
      </c>
    </row>
    <row r="54" spans="1:18" s="23" customFormat="1" outlineLevel="1" thickBot="1" x14ac:dyDescent="0.3">
      <c r="A54" s="157" t="str">
        <f>IF(_xll.TM1RPTELISCONSOLIDATED($F$22,$F54),IF(_xll.TM1RPTELLEV($F$22,$F54)&lt;=5,_xll.TM1RPTELLEV($F$22,$F54),"Default"),"Leaf")</f>
        <v>Leaf</v>
      </c>
      <c r="B54" s="24" t="str">
        <f>_xll.DBRW("TM1-S1_DEV:}ElementAttributes_SP_SKU",$D54,B$1)</f>
        <v>Primary</v>
      </c>
      <c r="C54" s="24" t="str">
        <f>_xll.DBRW("TM1-S1_DEV:}ElementAttributes_SP_SKU",$D54,C$1)</f>
        <v>PIE</v>
      </c>
      <c r="D54" s="28" t="s">
        <v>386</v>
      </c>
      <c r="E54" s="28" t="s">
        <v>338</v>
      </c>
      <c r="F54" s="28" t="s">
        <v>16</v>
      </c>
      <c r="G54" s="140">
        <f>_xll.DBRW($A$1,G$2,G$3,$D$17,$A$2,$D54,$E54,$F54,$A$5)</f>
        <v>1</v>
      </c>
      <c r="H54" s="140">
        <f>_xll.DBRW($A$1,H$2,H$3,$D$17,$A$2,$D54,$E54,$F54,$A$5)</f>
        <v>0</v>
      </c>
      <c r="I54" s="140">
        <f>_xll.DBRW($A$1,I$2,I$3,$D$17,$A$2,$D54,$E54,$F54,$A$5)</f>
        <v>0</v>
      </c>
      <c r="J54" s="140">
        <f>_xll.DBRW($A$1,J$2,J$3,$D$17,$A$2,$D54,$E54,$F54,$A$5)</f>
        <v>0</v>
      </c>
      <c r="K54" s="140">
        <f>_xll.DBRW($A$1,K$2,K$3,$D$17,$A$2,$D54,$E54,$F54,$A$5)</f>
        <v>0</v>
      </c>
      <c r="L54" s="140">
        <f>_xll.DBRW($A$1,L$2,L$3,$D$17,$A$2,$D54,$E54,$F54,$A$5)</f>
        <v>0</v>
      </c>
      <c r="M54" s="140">
        <f>_xll.DBRW($A$1,M$2,M$3,$D$17,$A$2,$D54,$E54,$F54,$A$5)</f>
        <v>0</v>
      </c>
      <c r="N54" s="140">
        <f>_xll.DBRW($A$1,N$2,N$3,$D$17,$A$2,$D54,$E54,$F54,$A$5)</f>
        <v>0</v>
      </c>
      <c r="O54" s="140">
        <f>_xll.DBRW($A$1,O$2,O$3,$D$17,$A$2,$D54,$E54,$F54,$A$5)</f>
        <v>0</v>
      </c>
      <c r="P54" s="140">
        <f>_xll.DBRW($A$1,P$2,P$3,$D$17,$A$2,$D54,$E54,$F54,$A$5)</f>
        <v>0</v>
      </c>
      <c r="Q54" s="140">
        <f>_xll.DBRW($A$1,Q$2,Q$3,$D$17,$A$2,$D54,$E54,$F54,$A$5)</f>
        <v>0</v>
      </c>
      <c r="R54" s="140">
        <f>_xll.DBRW($A$1,R$2,R$3,$D$17,$A$2,$D54,$E54,$F54,$A$5)</f>
        <v>0</v>
      </c>
    </row>
    <row r="55" spans="1:18" s="23" customFormat="1" outlineLevel="1" thickBot="1" x14ac:dyDescent="0.3">
      <c r="A55" s="157" t="str">
        <f>IF(_xll.TM1RPTELISCONSOLIDATED($F$22,$F55),IF(_xll.TM1RPTELLEV($F$22,$F55)&lt;=5,_xll.TM1RPTELLEV($F$22,$F55),"Default"),"Leaf")</f>
        <v>Leaf</v>
      </c>
      <c r="B55" s="24" t="str">
        <f>_xll.DBRW("TM1-S1_DEV:}ElementAttributes_SP_SKU",$D55,B$1)</f>
        <v>Primary</v>
      </c>
      <c r="C55" s="24" t="str">
        <f>_xll.DBRW("TM1-S1_DEV:}ElementAttributes_SP_SKU",$D55,C$1)</f>
        <v>CAKE</v>
      </c>
      <c r="D55" s="28" t="s">
        <v>387</v>
      </c>
      <c r="E55" s="28" t="s">
        <v>214</v>
      </c>
      <c r="F55" s="28" t="s">
        <v>59</v>
      </c>
      <c r="G55" s="140">
        <f>_xll.DBRW($A$1,G$2,G$3,$D$17,$A$2,$D55,$E55,$F55,$A$5)</f>
        <v>8</v>
      </c>
      <c r="H55" s="140">
        <f>_xll.DBRW($A$1,H$2,H$3,$D$17,$A$2,$D55,$E55,$F55,$A$5)</f>
        <v>0</v>
      </c>
      <c r="I55" s="140">
        <f>_xll.DBRW($A$1,I$2,I$3,$D$17,$A$2,$D55,$E55,$F55,$A$5)</f>
        <v>1</v>
      </c>
      <c r="J55" s="140">
        <f>_xll.DBRW($A$1,J$2,J$3,$D$17,$A$2,$D55,$E55,$F55,$A$5)</f>
        <v>1</v>
      </c>
      <c r="K55" s="140">
        <f>_xll.DBRW($A$1,K$2,K$3,$D$17,$A$2,$D55,$E55,$F55,$A$5)</f>
        <v>1</v>
      </c>
      <c r="L55" s="140">
        <f>_xll.DBRW($A$1,L$2,L$3,$D$17,$A$2,$D55,$E55,$F55,$A$5)</f>
        <v>1</v>
      </c>
      <c r="M55" s="140">
        <f>_xll.DBRW($A$1,M$2,M$3,$D$17,$A$2,$D55,$E55,$F55,$A$5)</f>
        <v>1</v>
      </c>
      <c r="N55" s="140">
        <f>_xll.DBRW($A$1,N$2,N$3,$D$17,$A$2,$D55,$E55,$F55,$A$5)</f>
        <v>1</v>
      </c>
      <c r="O55" s="140">
        <f>_xll.DBRW($A$1,O$2,O$3,$D$17,$A$2,$D55,$E55,$F55,$A$5)</f>
        <v>1</v>
      </c>
      <c r="P55" s="140">
        <f>_xll.DBRW($A$1,P$2,P$3,$D$17,$A$2,$D55,$E55,$F55,$A$5)</f>
        <v>1</v>
      </c>
      <c r="Q55" s="140">
        <f>_xll.DBRW($A$1,Q$2,Q$3,$D$17,$A$2,$D55,$E55,$F55,$A$5)</f>
        <v>1</v>
      </c>
      <c r="R55" s="140">
        <f>_xll.DBRW($A$1,R$2,R$3,$D$17,$A$2,$D55,$E55,$F55,$A$5)</f>
        <v>1</v>
      </c>
    </row>
    <row r="56" spans="1:18" s="23" customFormat="1" outlineLevel="1" thickBot="1" x14ac:dyDescent="0.3">
      <c r="A56" s="157" t="str">
        <f>IF(_xll.TM1RPTELISCONSOLIDATED($F$22,$F56),IF(_xll.TM1RPTELLEV($F$22,$F56)&lt;=5,_xll.TM1RPTELLEV($F$22,$F56),"Default"),"Leaf")</f>
        <v>Leaf</v>
      </c>
      <c r="B56" s="24" t="str">
        <f>_xll.DBRW("TM1-S1_DEV:}ElementAttributes_SP_SKU",$D56,B$1)</f>
        <v>Primary</v>
      </c>
      <c r="C56" s="24" t="str">
        <f>_xll.DBRW("TM1-S1_DEV:}ElementAttributes_SP_SKU",$D56,C$1)</f>
        <v>CAKE</v>
      </c>
      <c r="D56" s="28" t="s">
        <v>388</v>
      </c>
      <c r="E56" s="28" t="s">
        <v>215</v>
      </c>
      <c r="F56" s="28" t="s">
        <v>59</v>
      </c>
      <c r="G56" s="140">
        <f>_xll.DBRW($A$1,G$2,G$3,$D$17,$A$2,$D56,$E56,$F56,$A$5)</f>
        <v>6</v>
      </c>
      <c r="H56" s="140">
        <f>_xll.DBRW($A$1,H$2,H$3,$D$17,$A$2,$D56,$E56,$F56,$A$5)</f>
        <v>0</v>
      </c>
      <c r="I56" s="140">
        <f>_xll.DBRW($A$1,I$2,I$3,$D$17,$A$2,$D56,$E56,$F56,$A$5)</f>
        <v>1</v>
      </c>
      <c r="J56" s="140">
        <f>_xll.DBRW($A$1,J$2,J$3,$D$17,$A$2,$D56,$E56,$F56,$A$5)</f>
        <v>1</v>
      </c>
      <c r="K56" s="140">
        <f>_xll.DBRW($A$1,K$2,K$3,$D$17,$A$2,$D56,$E56,$F56,$A$5)</f>
        <v>1</v>
      </c>
      <c r="L56" s="140">
        <f>_xll.DBRW($A$1,L$2,L$3,$D$17,$A$2,$D56,$E56,$F56,$A$5)</f>
        <v>1</v>
      </c>
      <c r="M56" s="140">
        <f>_xll.DBRW($A$1,M$2,M$3,$D$17,$A$2,$D56,$E56,$F56,$A$5)</f>
        <v>1</v>
      </c>
      <c r="N56" s="140">
        <f>_xll.DBRW($A$1,N$2,N$3,$D$17,$A$2,$D56,$E56,$F56,$A$5)</f>
        <v>1</v>
      </c>
      <c r="O56" s="140">
        <f>_xll.DBRW($A$1,O$2,O$3,$D$17,$A$2,$D56,$E56,$F56,$A$5)</f>
        <v>1</v>
      </c>
      <c r="P56" s="140">
        <f>_xll.DBRW($A$1,P$2,P$3,$D$17,$A$2,$D56,$E56,$F56,$A$5)</f>
        <v>1</v>
      </c>
      <c r="Q56" s="140">
        <f>_xll.DBRW($A$1,Q$2,Q$3,$D$17,$A$2,$D56,$E56,$F56,$A$5)</f>
        <v>1</v>
      </c>
      <c r="R56" s="140">
        <f>_xll.DBRW($A$1,R$2,R$3,$D$17,$A$2,$D56,$E56,$F56,$A$5)</f>
        <v>1</v>
      </c>
    </row>
    <row r="57" spans="1:18" s="23" customFormat="1" outlineLevel="1" thickBot="1" x14ac:dyDescent="0.3">
      <c r="A57" s="157" t="str">
        <f>IF(_xll.TM1RPTELISCONSOLIDATED($F$22,$F57),IF(_xll.TM1RPTELLEV($F$22,$F57)&lt;=5,_xll.TM1RPTELLEV($F$22,$F57),"Default"),"Leaf")</f>
        <v>Leaf</v>
      </c>
      <c r="B57" s="24" t="str">
        <f>_xll.DBRW("TM1-S1_DEV:}ElementAttributes_SP_SKU",$D57,B$1)</f>
        <v>Primary</v>
      </c>
      <c r="C57" s="24" t="str">
        <f>_xll.DBRW("TM1-S1_DEV:}ElementAttributes_SP_SKU",$D57,C$1)</f>
        <v>CAKE</v>
      </c>
      <c r="D57" s="28" t="s">
        <v>389</v>
      </c>
      <c r="E57" s="28" t="s">
        <v>216</v>
      </c>
      <c r="F57" s="28" t="s">
        <v>48</v>
      </c>
      <c r="G57" s="140">
        <f>_xll.DBRW($A$1,G$2,G$3,$D$17,$A$2,$D57,$E57,$F57,$A$5)</f>
        <v>2</v>
      </c>
      <c r="H57" s="140">
        <f>_xll.DBRW($A$1,H$2,H$3,$D$17,$A$2,$D57,$E57,$F57,$A$5)</f>
        <v>0</v>
      </c>
      <c r="I57" s="140">
        <f>_xll.DBRW($A$1,I$2,I$3,$D$17,$A$2,$D57,$E57,$F57,$A$5)</f>
        <v>0</v>
      </c>
      <c r="J57" s="140">
        <f>_xll.DBRW($A$1,J$2,J$3,$D$17,$A$2,$D57,$E57,$F57,$A$5)</f>
        <v>0</v>
      </c>
      <c r="K57" s="140">
        <f>_xll.DBRW($A$1,K$2,K$3,$D$17,$A$2,$D57,$E57,$F57,$A$5)</f>
        <v>0</v>
      </c>
      <c r="L57" s="140">
        <f>_xll.DBRW($A$1,L$2,L$3,$D$17,$A$2,$D57,$E57,$F57,$A$5)</f>
        <v>0</v>
      </c>
      <c r="M57" s="140">
        <f>_xll.DBRW($A$1,M$2,M$3,$D$17,$A$2,$D57,$E57,$F57,$A$5)</f>
        <v>0</v>
      </c>
      <c r="N57" s="140">
        <f>_xll.DBRW($A$1,N$2,N$3,$D$17,$A$2,$D57,$E57,$F57,$A$5)</f>
        <v>0</v>
      </c>
      <c r="O57" s="140">
        <f>_xll.DBRW($A$1,O$2,O$3,$D$17,$A$2,$D57,$E57,$F57,$A$5)</f>
        <v>0</v>
      </c>
      <c r="P57" s="140">
        <f>_xll.DBRW($A$1,P$2,P$3,$D$17,$A$2,$D57,$E57,$F57,$A$5)</f>
        <v>0</v>
      </c>
      <c r="Q57" s="140">
        <f>_xll.DBRW($A$1,Q$2,Q$3,$D$17,$A$2,$D57,$E57,$F57,$A$5)</f>
        <v>0</v>
      </c>
      <c r="R57" s="140">
        <f>_xll.DBRW($A$1,R$2,R$3,$D$17,$A$2,$D57,$E57,$F57,$A$5)</f>
        <v>0</v>
      </c>
    </row>
    <row r="58" spans="1:18" s="23" customFormat="1" outlineLevel="1" thickBot="1" x14ac:dyDescent="0.3">
      <c r="A58" s="157" t="str">
        <f>IF(_xll.TM1RPTELISCONSOLIDATED($F$22,$F58),IF(_xll.TM1RPTELLEV($F$22,$F58)&lt;=5,_xll.TM1RPTELLEV($F$22,$F58),"Default"),"Leaf")</f>
        <v>Leaf</v>
      </c>
      <c r="B58" s="24" t="str">
        <f>_xll.DBRW("TM1-S1_DEV:}ElementAttributes_SP_SKU",$D58,B$1)</f>
        <v>Primary</v>
      </c>
      <c r="C58" s="24" t="str">
        <f>_xll.DBRW("TM1-S1_DEV:}ElementAttributes_SP_SKU",$D58,C$1)</f>
        <v>CAKE</v>
      </c>
      <c r="D58" s="28" t="s">
        <v>390</v>
      </c>
      <c r="E58" s="28" t="s">
        <v>217</v>
      </c>
      <c r="F58" s="28" t="s">
        <v>17</v>
      </c>
      <c r="G58" s="140">
        <f>_xll.DBRW($A$1,G$2,G$3,$D$17,$A$2,$D58,$E58,$F58,$A$5)</f>
        <v>8</v>
      </c>
      <c r="H58" s="140">
        <f>_xll.DBRW($A$1,H$2,H$3,$D$17,$A$2,$D58,$E58,$F58,$A$5)</f>
        <v>0</v>
      </c>
      <c r="I58" s="140">
        <f>_xll.DBRW($A$1,I$2,I$3,$D$17,$A$2,$D58,$E58,$F58,$A$5)</f>
        <v>4</v>
      </c>
      <c r="J58" s="140">
        <f>_xll.DBRW($A$1,J$2,J$3,$D$17,$A$2,$D58,$E58,$F58,$A$5)</f>
        <v>4</v>
      </c>
      <c r="K58" s="140">
        <f>_xll.DBRW($A$1,K$2,K$3,$D$17,$A$2,$D58,$E58,$F58,$A$5)</f>
        <v>4</v>
      </c>
      <c r="L58" s="140">
        <f>_xll.DBRW($A$1,L$2,L$3,$D$17,$A$2,$D58,$E58,$F58,$A$5)</f>
        <v>4</v>
      </c>
      <c r="M58" s="140">
        <f>_xll.DBRW($A$1,M$2,M$3,$D$17,$A$2,$D58,$E58,$F58,$A$5)</f>
        <v>4</v>
      </c>
      <c r="N58" s="140">
        <f>_xll.DBRW($A$1,N$2,N$3,$D$17,$A$2,$D58,$E58,$F58,$A$5)</f>
        <v>4</v>
      </c>
      <c r="O58" s="140">
        <f>_xll.DBRW($A$1,O$2,O$3,$D$17,$A$2,$D58,$E58,$F58,$A$5)</f>
        <v>4</v>
      </c>
      <c r="P58" s="140">
        <f>_xll.DBRW($A$1,P$2,P$3,$D$17,$A$2,$D58,$E58,$F58,$A$5)</f>
        <v>4</v>
      </c>
      <c r="Q58" s="140">
        <f>_xll.DBRW($A$1,Q$2,Q$3,$D$17,$A$2,$D58,$E58,$F58,$A$5)</f>
        <v>4</v>
      </c>
      <c r="R58" s="140">
        <f>_xll.DBRW($A$1,R$2,R$3,$D$17,$A$2,$D58,$E58,$F58,$A$5)</f>
        <v>4</v>
      </c>
    </row>
    <row r="59" spans="1:18" s="23" customFormat="1" outlineLevel="1" thickBot="1" x14ac:dyDescent="0.3">
      <c r="A59" s="157" t="str">
        <f>IF(_xll.TM1RPTELISCONSOLIDATED($F$22,$F59),IF(_xll.TM1RPTELLEV($F$22,$F59)&lt;=5,_xll.TM1RPTELLEV($F$22,$F59),"Default"),"Leaf")</f>
        <v>Leaf</v>
      </c>
      <c r="B59" s="24" t="str">
        <f>_xll.DBRW("TM1-S1_DEV:}ElementAttributes_SP_SKU",$D59,B$1)</f>
        <v>Primary</v>
      </c>
      <c r="C59" s="24" t="str">
        <f>_xll.DBRW("TM1-S1_DEV:}ElementAttributes_SP_SKU",$D59,C$1)</f>
        <v>CAKE</v>
      </c>
      <c r="D59" s="28" t="s">
        <v>391</v>
      </c>
      <c r="E59" s="28" t="s">
        <v>218</v>
      </c>
      <c r="F59" s="28" t="s">
        <v>17</v>
      </c>
      <c r="G59" s="140">
        <f>_xll.DBRW($A$1,G$2,G$3,$D$17,$A$2,$D59,$E59,$F59,$A$5)</f>
        <v>3</v>
      </c>
      <c r="H59" s="140">
        <f>_xll.DBRW($A$1,H$2,H$3,$D$17,$A$2,$D59,$E59,$F59,$A$5)</f>
        <v>0</v>
      </c>
      <c r="I59" s="140">
        <f>_xll.DBRW($A$1,I$2,I$3,$D$17,$A$2,$D59,$E59,$F59,$A$5)</f>
        <v>3</v>
      </c>
      <c r="J59" s="140">
        <f>_xll.DBRW($A$1,J$2,J$3,$D$17,$A$2,$D59,$E59,$F59,$A$5)</f>
        <v>3</v>
      </c>
      <c r="K59" s="140">
        <f>_xll.DBRW($A$1,K$2,K$3,$D$17,$A$2,$D59,$E59,$F59,$A$5)</f>
        <v>3</v>
      </c>
      <c r="L59" s="140">
        <f>_xll.DBRW($A$1,L$2,L$3,$D$17,$A$2,$D59,$E59,$F59,$A$5)</f>
        <v>3</v>
      </c>
      <c r="M59" s="140">
        <f>_xll.DBRW($A$1,M$2,M$3,$D$17,$A$2,$D59,$E59,$F59,$A$5)</f>
        <v>3</v>
      </c>
      <c r="N59" s="140">
        <f>_xll.DBRW($A$1,N$2,N$3,$D$17,$A$2,$D59,$E59,$F59,$A$5)</f>
        <v>3</v>
      </c>
      <c r="O59" s="140">
        <f>_xll.DBRW($A$1,O$2,O$3,$D$17,$A$2,$D59,$E59,$F59,$A$5)</f>
        <v>3</v>
      </c>
      <c r="P59" s="140">
        <f>_xll.DBRW($A$1,P$2,P$3,$D$17,$A$2,$D59,$E59,$F59,$A$5)</f>
        <v>3</v>
      </c>
      <c r="Q59" s="140">
        <f>_xll.DBRW($A$1,Q$2,Q$3,$D$17,$A$2,$D59,$E59,$F59,$A$5)</f>
        <v>3</v>
      </c>
      <c r="R59" s="140">
        <f>_xll.DBRW($A$1,R$2,R$3,$D$17,$A$2,$D59,$E59,$F59,$A$5)</f>
        <v>3</v>
      </c>
    </row>
    <row r="60" spans="1:18" s="23" customFormat="1" outlineLevel="1" thickBot="1" x14ac:dyDescent="0.3">
      <c r="A60" s="157" t="str">
        <f>IF(_xll.TM1RPTELISCONSOLIDATED($F$22,$F60),IF(_xll.TM1RPTELLEV($F$22,$F60)&lt;=5,_xll.TM1RPTELLEV($F$22,$F60),"Default"),"Leaf")</f>
        <v>Leaf</v>
      </c>
      <c r="B60" s="24" t="str">
        <f>_xll.DBRW("TM1-S1_DEV:}ElementAttributes_SP_SKU",$D60,B$1)</f>
        <v>Primary</v>
      </c>
      <c r="C60" s="24" t="str">
        <f>_xll.DBRW("TM1-S1_DEV:}ElementAttributes_SP_SKU",$D60,C$1)</f>
        <v>CONDIMENT</v>
      </c>
      <c r="D60" s="28" t="s">
        <v>392</v>
      </c>
      <c r="E60" s="28" t="s">
        <v>219</v>
      </c>
      <c r="F60" s="28" t="s">
        <v>60</v>
      </c>
      <c r="G60" s="140">
        <f>_xll.DBRW($A$1,G$2,G$3,$D$17,$A$2,$D60,$E60,$F60,$A$5)</f>
        <v>7</v>
      </c>
      <c r="H60" s="140">
        <f>_xll.DBRW($A$1,H$2,H$3,$D$17,$A$2,$D60,$E60,$F60,$A$5)</f>
        <v>0</v>
      </c>
      <c r="I60" s="140">
        <f>_xll.DBRW($A$1,I$2,I$3,$D$17,$A$2,$D60,$E60,$F60,$A$5)</f>
        <v>1</v>
      </c>
      <c r="J60" s="140">
        <f>_xll.DBRW($A$1,J$2,J$3,$D$17,$A$2,$D60,$E60,$F60,$A$5)</f>
        <v>1</v>
      </c>
      <c r="K60" s="140">
        <f>_xll.DBRW($A$1,K$2,K$3,$D$17,$A$2,$D60,$E60,$F60,$A$5)</f>
        <v>1</v>
      </c>
      <c r="L60" s="140">
        <f>_xll.DBRW($A$1,L$2,L$3,$D$17,$A$2,$D60,$E60,$F60,$A$5)</f>
        <v>1</v>
      </c>
      <c r="M60" s="140">
        <f>_xll.DBRW($A$1,M$2,M$3,$D$17,$A$2,$D60,$E60,$F60,$A$5)</f>
        <v>1</v>
      </c>
      <c r="N60" s="140">
        <f>_xll.DBRW($A$1,N$2,N$3,$D$17,$A$2,$D60,$E60,$F60,$A$5)</f>
        <v>1</v>
      </c>
      <c r="O60" s="140">
        <f>_xll.DBRW($A$1,O$2,O$3,$D$17,$A$2,$D60,$E60,$F60,$A$5)</f>
        <v>1</v>
      </c>
      <c r="P60" s="140">
        <f>_xll.DBRW($A$1,P$2,P$3,$D$17,$A$2,$D60,$E60,$F60,$A$5)</f>
        <v>1</v>
      </c>
      <c r="Q60" s="140">
        <f>_xll.DBRW($A$1,Q$2,Q$3,$D$17,$A$2,$D60,$E60,$F60,$A$5)</f>
        <v>1</v>
      </c>
      <c r="R60" s="140">
        <f>_xll.DBRW($A$1,R$2,R$3,$D$17,$A$2,$D60,$E60,$F60,$A$5)</f>
        <v>1</v>
      </c>
    </row>
    <row r="61" spans="1:18" s="23" customFormat="1" outlineLevel="1" thickBot="1" x14ac:dyDescent="0.3">
      <c r="A61" s="157" t="str">
        <f>IF(_xll.TM1RPTELISCONSOLIDATED($F$22,$F61),IF(_xll.TM1RPTELLEV($F$22,$F61)&lt;=5,_xll.TM1RPTELLEV($F$22,$F61),"Default"),"Leaf")</f>
        <v>Leaf</v>
      </c>
      <c r="B61" s="24" t="str">
        <f>_xll.DBRW("TM1-S1_DEV:}ElementAttributes_SP_SKU",$D61,B$1)</f>
        <v>Primary</v>
      </c>
      <c r="C61" s="24" t="str">
        <f>_xll.DBRW("TM1-S1_DEV:}ElementAttributes_SP_SKU",$D61,C$1)</f>
        <v>CONDIMENT</v>
      </c>
      <c r="D61" s="28" t="s">
        <v>393</v>
      </c>
      <c r="E61" s="28" t="s">
        <v>140</v>
      </c>
      <c r="F61" s="28" t="s">
        <v>19</v>
      </c>
      <c r="G61" s="140">
        <f>_xll.DBRW($A$1,G$2,G$3,$D$17,$A$2,$D61,$E61,$F61,$A$5)</f>
        <v>5</v>
      </c>
      <c r="H61" s="140">
        <f>_xll.DBRW($A$1,H$2,H$3,$D$17,$A$2,$D61,$E61,$F61,$A$5)</f>
        <v>0</v>
      </c>
      <c r="I61" s="140">
        <f>_xll.DBRW($A$1,I$2,I$3,$D$17,$A$2,$D61,$E61,$F61,$A$5)</f>
        <v>2</v>
      </c>
      <c r="J61" s="140">
        <f>_xll.DBRW($A$1,J$2,J$3,$D$17,$A$2,$D61,$E61,$F61,$A$5)</f>
        <v>2</v>
      </c>
      <c r="K61" s="140">
        <f>_xll.DBRW($A$1,K$2,K$3,$D$17,$A$2,$D61,$E61,$F61,$A$5)</f>
        <v>2</v>
      </c>
      <c r="L61" s="140">
        <f>_xll.DBRW($A$1,L$2,L$3,$D$17,$A$2,$D61,$E61,$F61,$A$5)</f>
        <v>2</v>
      </c>
      <c r="M61" s="140">
        <f>_xll.DBRW($A$1,M$2,M$3,$D$17,$A$2,$D61,$E61,$F61,$A$5)</f>
        <v>2</v>
      </c>
      <c r="N61" s="140">
        <f>_xll.DBRW($A$1,N$2,N$3,$D$17,$A$2,$D61,$E61,$F61,$A$5)</f>
        <v>2</v>
      </c>
      <c r="O61" s="140">
        <f>_xll.DBRW($A$1,O$2,O$3,$D$17,$A$2,$D61,$E61,$F61,$A$5)</f>
        <v>2</v>
      </c>
      <c r="P61" s="140">
        <f>_xll.DBRW($A$1,P$2,P$3,$D$17,$A$2,$D61,$E61,$F61,$A$5)</f>
        <v>2</v>
      </c>
      <c r="Q61" s="140">
        <f>_xll.DBRW($A$1,Q$2,Q$3,$D$17,$A$2,$D61,$E61,$F61,$A$5)</f>
        <v>2</v>
      </c>
      <c r="R61" s="140">
        <f>_xll.DBRW($A$1,R$2,R$3,$D$17,$A$2,$D61,$E61,$F61,$A$5)</f>
        <v>2</v>
      </c>
    </row>
    <row r="62" spans="1:18" s="23" customFormat="1" outlineLevel="1" thickBot="1" x14ac:dyDescent="0.3">
      <c r="A62" s="157" t="str">
        <f>IF(_xll.TM1RPTELISCONSOLIDATED($F$22,$F62),IF(_xll.TM1RPTELLEV($F$22,$F62)&lt;=5,_xll.TM1RPTELLEV($F$22,$F62),"Default"),"Leaf")</f>
        <v>Leaf</v>
      </c>
      <c r="B62" s="24" t="str">
        <f>_xll.DBRW("TM1-S1_DEV:}ElementAttributes_SP_SKU",$D62,B$1)</f>
        <v>Primary</v>
      </c>
      <c r="C62" s="24" t="str">
        <f>_xll.DBRW("TM1-S1_DEV:}ElementAttributes_SP_SKU",$D62,C$1)</f>
        <v>CONDIMENT</v>
      </c>
      <c r="D62" s="28" t="s">
        <v>394</v>
      </c>
      <c r="E62" s="28" t="s">
        <v>220</v>
      </c>
      <c r="F62" s="28" t="s">
        <v>19</v>
      </c>
      <c r="G62" s="140">
        <f>_xll.DBRW($A$1,G$2,G$3,$D$17,$A$2,$D62,$E62,$F62,$A$5)</f>
        <v>13</v>
      </c>
      <c r="H62" s="140">
        <f>_xll.DBRW($A$1,H$2,H$3,$D$17,$A$2,$D62,$E62,$F62,$A$5)</f>
        <v>0</v>
      </c>
      <c r="I62" s="140">
        <f>_xll.DBRW($A$1,I$2,I$3,$D$17,$A$2,$D62,$E62,$F62,$A$5)</f>
        <v>1</v>
      </c>
      <c r="J62" s="140">
        <f>_xll.DBRW($A$1,J$2,J$3,$D$17,$A$2,$D62,$E62,$F62,$A$5)</f>
        <v>1</v>
      </c>
      <c r="K62" s="140">
        <f>_xll.DBRW($A$1,K$2,K$3,$D$17,$A$2,$D62,$E62,$F62,$A$5)</f>
        <v>1</v>
      </c>
      <c r="L62" s="140">
        <f>_xll.DBRW($A$1,L$2,L$3,$D$17,$A$2,$D62,$E62,$F62,$A$5)</f>
        <v>1</v>
      </c>
      <c r="M62" s="140">
        <f>_xll.DBRW($A$1,M$2,M$3,$D$17,$A$2,$D62,$E62,$F62,$A$5)</f>
        <v>1</v>
      </c>
      <c r="N62" s="140">
        <f>_xll.DBRW($A$1,N$2,N$3,$D$17,$A$2,$D62,$E62,$F62,$A$5)</f>
        <v>1</v>
      </c>
      <c r="O62" s="140">
        <f>_xll.DBRW($A$1,O$2,O$3,$D$17,$A$2,$D62,$E62,$F62,$A$5)</f>
        <v>1</v>
      </c>
      <c r="P62" s="140">
        <f>_xll.DBRW($A$1,P$2,P$3,$D$17,$A$2,$D62,$E62,$F62,$A$5)</f>
        <v>1</v>
      </c>
      <c r="Q62" s="140">
        <f>_xll.DBRW($A$1,Q$2,Q$3,$D$17,$A$2,$D62,$E62,$F62,$A$5)</f>
        <v>1</v>
      </c>
      <c r="R62" s="140">
        <f>_xll.DBRW($A$1,R$2,R$3,$D$17,$A$2,$D62,$E62,$F62,$A$5)</f>
        <v>1</v>
      </c>
    </row>
    <row r="63" spans="1:18" s="23" customFormat="1" outlineLevel="1" thickBot="1" x14ac:dyDescent="0.3">
      <c r="A63" s="157" t="str">
        <f>IF(_xll.TM1RPTELISCONSOLIDATED($F$22,$F63),IF(_xll.TM1RPTELLEV($F$22,$F63)&lt;=5,_xll.TM1RPTELLEV($F$22,$F63),"Default"),"Leaf")</f>
        <v>Leaf</v>
      </c>
      <c r="B63" s="24" t="str">
        <f>_xll.DBRW("TM1-S1_DEV:}ElementAttributes_SP_SKU",$D63,B$1)</f>
        <v>Primary</v>
      </c>
      <c r="C63" s="24" t="str">
        <f>_xll.DBRW("TM1-S1_DEV:}ElementAttributes_SP_SKU",$D63,C$1)</f>
        <v>CONDIMENT</v>
      </c>
      <c r="D63" s="28" t="s">
        <v>395</v>
      </c>
      <c r="E63" s="28" t="s">
        <v>141</v>
      </c>
      <c r="F63" s="28" t="s">
        <v>19</v>
      </c>
      <c r="G63" s="140">
        <f>_xll.DBRW($A$1,G$2,G$3,$D$17,$A$2,$D63,$E63,$F63,$A$5)</f>
        <v>14</v>
      </c>
      <c r="H63" s="140">
        <f>_xll.DBRW($A$1,H$2,H$3,$D$17,$A$2,$D63,$E63,$F63,$A$5)</f>
        <v>0</v>
      </c>
      <c r="I63" s="140">
        <f>_xll.DBRW($A$1,I$2,I$3,$D$17,$A$2,$D63,$E63,$F63,$A$5)</f>
        <v>1</v>
      </c>
      <c r="J63" s="140">
        <f>_xll.DBRW($A$1,J$2,J$3,$D$17,$A$2,$D63,$E63,$F63,$A$5)</f>
        <v>1</v>
      </c>
      <c r="K63" s="140">
        <f>_xll.DBRW($A$1,K$2,K$3,$D$17,$A$2,$D63,$E63,$F63,$A$5)</f>
        <v>1</v>
      </c>
      <c r="L63" s="140">
        <f>_xll.DBRW($A$1,L$2,L$3,$D$17,$A$2,$D63,$E63,$F63,$A$5)</f>
        <v>1</v>
      </c>
      <c r="M63" s="140">
        <f>_xll.DBRW($A$1,M$2,M$3,$D$17,$A$2,$D63,$E63,$F63,$A$5)</f>
        <v>1</v>
      </c>
      <c r="N63" s="140">
        <f>_xll.DBRW($A$1,N$2,N$3,$D$17,$A$2,$D63,$E63,$F63,$A$5)</f>
        <v>1</v>
      </c>
      <c r="O63" s="140">
        <f>_xll.DBRW($A$1,O$2,O$3,$D$17,$A$2,$D63,$E63,$F63,$A$5)</f>
        <v>1</v>
      </c>
      <c r="P63" s="140">
        <f>_xll.DBRW($A$1,P$2,P$3,$D$17,$A$2,$D63,$E63,$F63,$A$5)</f>
        <v>1</v>
      </c>
      <c r="Q63" s="140">
        <f>_xll.DBRW($A$1,Q$2,Q$3,$D$17,$A$2,$D63,$E63,$F63,$A$5)</f>
        <v>1</v>
      </c>
      <c r="R63" s="140">
        <f>_xll.DBRW($A$1,R$2,R$3,$D$17,$A$2,$D63,$E63,$F63,$A$5)</f>
        <v>1</v>
      </c>
    </row>
    <row r="64" spans="1:18" s="23" customFormat="1" outlineLevel="1" thickBot="1" x14ac:dyDescent="0.3">
      <c r="A64" s="157" t="str">
        <f>IF(_xll.TM1RPTELISCONSOLIDATED($F$22,$F64),IF(_xll.TM1RPTELLEV($F$22,$F64)&lt;=5,_xll.TM1RPTELLEV($F$22,$F64),"Default"),"Leaf")</f>
        <v>Leaf</v>
      </c>
      <c r="B64" s="24" t="str">
        <f>_xll.DBRW("TM1-S1_DEV:}ElementAttributes_SP_SKU",$D64,B$1)</f>
        <v>Primary</v>
      </c>
      <c r="C64" s="24" t="str">
        <f>_xll.DBRW("TM1-S1_DEV:}ElementAttributes_SP_SKU",$D64,C$1)</f>
        <v>CONDIMENT</v>
      </c>
      <c r="D64" s="28" t="s">
        <v>396</v>
      </c>
      <c r="E64" s="28" t="s">
        <v>221</v>
      </c>
      <c r="F64" s="28" t="s">
        <v>19</v>
      </c>
      <c r="G64" s="140">
        <f>_xll.DBRW($A$1,G$2,G$3,$D$17,$A$2,$D64,$E64,$F64,$A$5)</f>
        <v>11</v>
      </c>
      <c r="H64" s="140">
        <f>_xll.DBRW($A$1,H$2,H$3,$D$17,$A$2,$D64,$E64,$F64,$A$5)</f>
        <v>0</v>
      </c>
      <c r="I64" s="140">
        <f>_xll.DBRW($A$1,I$2,I$3,$D$17,$A$2,$D64,$E64,$F64,$A$5)</f>
        <v>1</v>
      </c>
      <c r="J64" s="140">
        <f>_xll.DBRW($A$1,J$2,J$3,$D$17,$A$2,$D64,$E64,$F64,$A$5)</f>
        <v>1</v>
      </c>
      <c r="K64" s="140">
        <f>_xll.DBRW($A$1,K$2,K$3,$D$17,$A$2,$D64,$E64,$F64,$A$5)</f>
        <v>1</v>
      </c>
      <c r="L64" s="140">
        <f>_xll.DBRW($A$1,L$2,L$3,$D$17,$A$2,$D64,$E64,$F64,$A$5)</f>
        <v>1</v>
      </c>
      <c r="M64" s="140">
        <f>_xll.DBRW($A$1,M$2,M$3,$D$17,$A$2,$D64,$E64,$F64,$A$5)</f>
        <v>1</v>
      </c>
      <c r="N64" s="140">
        <f>_xll.DBRW($A$1,N$2,N$3,$D$17,$A$2,$D64,$E64,$F64,$A$5)</f>
        <v>1</v>
      </c>
      <c r="O64" s="140">
        <f>_xll.DBRW($A$1,O$2,O$3,$D$17,$A$2,$D64,$E64,$F64,$A$5)</f>
        <v>1</v>
      </c>
      <c r="P64" s="140">
        <f>_xll.DBRW($A$1,P$2,P$3,$D$17,$A$2,$D64,$E64,$F64,$A$5)</f>
        <v>1</v>
      </c>
      <c r="Q64" s="140">
        <f>_xll.DBRW($A$1,Q$2,Q$3,$D$17,$A$2,$D64,$E64,$F64,$A$5)</f>
        <v>1</v>
      </c>
      <c r="R64" s="140">
        <f>_xll.DBRW($A$1,R$2,R$3,$D$17,$A$2,$D64,$E64,$F64,$A$5)</f>
        <v>1</v>
      </c>
    </row>
    <row r="65" spans="1:18" s="23" customFormat="1" outlineLevel="1" thickBot="1" x14ac:dyDescent="0.3">
      <c r="A65" s="157" t="str">
        <f>IF(_xll.TM1RPTELISCONSOLIDATED($F$22,$F65),IF(_xll.TM1RPTELLEV($F$22,$F65)&lt;=5,_xll.TM1RPTELLEV($F$22,$F65),"Default"),"Leaf")</f>
        <v>Leaf</v>
      </c>
      <c r="B65" s="24" t="str">
        <f>_xll.DBRW("TM1-S1_DEV:}ElementAttributes_SP_SKU",$D65,B$1)</f>
        <v>Primary</v>
      </c>
      <c r="C65" s="24" t="str">
        <f>_xll.DBRW("TM1-S1_DEV:}ElementAttributes_SP_SKU",$D65,C$1)</f>
        <v>CONDIMENT</v>
      </c>
      <c r="D65" s="28" t="s">
        <v>397</v>
      </c>
      <c r="E65" s="28" t="s">
        <v>222</v>
      </c>
      <c r="F65" s="28" t="s">
        <v>19</v>
      </c>
      <c r="G65" s="140">
        <f>_xll.DBRW($A$1,G$2,G$3,$D$17,$A$2,$D65,$E65,$F65,$A$5)</f>
        <v>10</v>
      </c>
      <c r="H65" s="140">
        <f>_xll.DBRW($A$1,H$2,H$3,$D$17,$A$2,$D65,$E65,$F65,$A$5)</f>
        <v>0</v>
      </c>
      <c r="I65" s="140">
        <f>_xll.DBRW($A$1,I$2,I$3,$D$17,$A$2,$D65,$E65,$F65,$A$5)</f>
        <v>2</v>
      </c>
      <c r="J65" s="140">
        <f>_xll.DBRW($A$1,J$2,J$3,$D$17,$A$2,$D65,$E65,$F65,$A$5)</f>
        <v>2</v>
      </c>
      <c r="K65" s="140">
        <f>_xll.DBRW($A$1,K$2,K$3,$D$17,$A$2,$D65,$E65,$F65,$A$5)</f>
        <v>2</v>
      </c>
      <c r="L65" s="140">
        <f>_xll.DBRW($A$1,L$2,L$3,$D$17,$A$2,$D65,$E65,$F65,$A$5)</f>
        <v>2</v>
      </c>
      <c r="M65" s="140">
        <f>_xll.DBRW($A$1,M$2,M$3,$D$17,$A$2,$D65,$E65,$F65,$A$5)</f>
        <v>2</v>
      </c>
      <c r="N65" s="140">
        <f>_xll.DBRW($A$1,N$2,N$3,$D$17,$A$2,$D65,$E65,$F65,$A$5)</f>
        <v>2</v>
      </c>
      <c r="O65" s="140">
        <f>_xll.DBRW($A$1,O$2,O$3,$D$17,$A$2,$D65,$E65,$F65,$A$5)</f>
        <v>2</v>
      </c>
      <c r="P65" s="140">
        <f>_xll.DBRW($A$1,P$2,P$3,$D$17,$A$2,$D65,$E65,$F65,$A$5)</f>
        <v>2</v>
      </c>
      <c r="Q65" s="140">
        <f>_xll.DBRW($A$1,Q$2,Q$3,$D$17,$A$2,$D65,$E65,$F65,$A$5)</f>
        <v>2</v>
      </c>
      <c r="R65" s="140">
        <f>_xll.DBRW($A$1,R$2,R$3,$D$17,$A$2,$D65,$E65,$F65,$A$5)</f>
        <v>2</v>
      </c>
    </row>
    <row r="66" spans="1:18" s="23" customFormat="1" outlineLevel="1" thickBot="1" x14ac:dyDescent="0.3">
      <c r="A66" s="157" t="str">
        <f>IF(_xll.TM1RPTELISCONSOLIDATED($F$22,$F66),IF(_xll.TM1RPTELLEV($F$22,$F66)&lt;=5,_xll.TM1RPTELLEV($F$22,$F66),"Default"),"Leaf")</f>
        <v>Leaf</v>
      </c>
      <c r="B66" s="24" t="str">
        <f>_xll.DBRW("TM1-S1_DEV:}ElementAttributes_SP_SKU",$D66,B$1)</f>
        <v>Primary</v>
      </c>
      <c r="C66" s="24" t="str">
        <f>_xll.DBRW("TM1-S1_DEV:}ElementAttributes_SP_SKU",$D66,C$1)</f>
        <v>CONDIMENT</v>
      </c>
      <c r="D66" s="28" t="s">
        <v>398</v>
      </c>
      <c r="E66" s="28" t="s">
        <v>223</v>
      </c>
      <c r="F66" s="28" t="s">
        <v>19</v>
      </c>
      <c r="G66" s="140">
        <f>_xll.DBRW($A$1,G$2,G$3,$D$17,$A$2,$D66,$E66,$F66,$A$5)</f>
        <v>15</v>
      </c>
      <c r="H66" s="140">
        <f>_xll.DBRW($A$1,H$2,H$3,$D$17,$A$2,$D66,$E66,$F66,$A$5)</f>
        <v>0</v>
      </c>
      <c r="I66" s="140">
        <f>_xll.DBRW($A$1,I$2,I$3,$D$17,$A$2,$D66,$E66,$F66,$A$5)</f>
        <v>1</v>
      </c>
      <c r="J66" s="140">
        <f>_xll.DBRW($A$1,J$2,J$3,$D$17,$A$2,$D66,$E66,$F66,$A$5)</f>
        <v>1</v>
      </c>
      <c r="K66" s="140">
        <f>_xll.DBRW($A$1,K$2,K$3,$D$17,$A$2,$D66,$E66,$F66,$A$5)</f>
        <v>1</v>
      </c>
      <c r="L66" s="140">
        <f>_xll.DBRW($A$1,L$2,L$3,$D$17,$A$2,$D66,$E66,$F66,$A$5)</f>
        <v>1</v>
      </c>
      <c r="M66" s="140">
        <f>_xll.DBRW($A$1,M$2,M$3,$D$17,$A$2,$D66,$E66,$F66,$A$5)</f>
        <v>1</v>
      </c>
      <c r="N66" s="140">
        <f>_xll.DBRW($A$1,N$2,N$3,$D$17,$A$2,$D66,$E66,$F66,$A$5)</f>
        <v>1</v>
      </c>
      <c r="O66" s="140">
        <f>_xll.DBRW($A$1,O$2,O$3,$D$17,$A$2,$D66,$E66,$F66,$A$5)</f>
        <v>1</v>
      </c>
      <c r="P66" s="140">
        <f>_xll.DBRW($A$1,P$2,P$3,$D$17,$A$2,$D66,$E66,$F66,$A$5)</f>
        <v>1</v>
      </c>
      <c r="Q66" s="140">
        <f>_xll.DBRW($A$1,Q$2,Q$3,$D$17,$A$2,$D66,$E66,$F66,$A$5)</f>
        <v>1</v>
      </c>
      <c r="R66" s="140">
        <f>_xll.DBRW($A$1,R$2,R$3,$D$17,$A$2,$D66,$E66,$F66,$A$5)</f>
        <v>1</v>
      </c>
    </row>
    <row r="67" spans="1:18" s="23" customFormat="1" outlineLevel="1" thickBot="1" x14ac:dyDescent="0.3">
      <c r="A67" s="157" t="str">
        <f>IF(_xll.TM1RPTELISCONSOLIDATED($F$22,$F67),IF(_xll.TM1RPTELLEV($F$22,$F67)&lt;=5,_xll.TM1RPTELLEV($F$22,$F67),"Default"),"Leaf")</f>
        <v>Leaf</v>
      </c>
      <c r="B67" s="24" t="str">
        <f>_xll.DBRW("TM1-S1_DEV:}ElementAttributes_SP_SKU",$D67,B$1)</f>
        <v>Primary</v>
      </c>
      <c r="C67" s="24" t="str">
        <f>_xll.DBRW("TM1-S1_DEV:}ElementAttributes_SP_SKU",$D67,C$1)</f>
        <v>CONDIMENT</v>
      </c>
      <c r="D67" s="28" t="s">
        <v>399</v>
      </c>
      <c r="E67" s="28" t="s">
        <v>142</v>
      </c>
      <c r="F67" s="28" t="s">
        <v>19</v>
      </c>
      <c r="G67" s="140">
        <f>_xll.DBRW($A$1,G$2,G$3,$D$17,$A$2,$D67,$E67,$F67,$A$5)</f>
        <v>23</v>
      </c>
      <c r="H67" s="140">
        <f>_xll.DBRW($A$1,H$2,H$3,$D$17,$A$2,$D67,$E67,$F67,$A$5)</f>
        <v>0</v>
      </c>
      <c r="I67" s="140">
        <f>_xll.DBRW($A$1,I$2,I$3,$D$17,$A$2,$D67,$E67,$F67,$A$5)</f>
        <v>3</v>
      </c>
      <c r="J67" s="140">
        <f>_xll.DBRW($A$1,J$2,J$3,$D$17,$A$2,$D67,$E67,$F67,$A$5)</f>
        <v>3</v>
      </c>
      <c r="K67" s="140">
        <f>_xll.DBRW($A$1,K$2,K$3,$D$17,$A$2,$D67,$E67,$F67,$A$5)</f>
        <v>3</v>
      </c>
      <c r="L67" s="140">
        <f>_xll.DBRW($A$1,L$2,L$3,$D$17,$A$2,$D67,$E67,$F67,$A$5)</f>
        <v>3</v>
      </c>
      <c r="M67" s="140">
        <f>_xll.DBRW($A$1,M$2,M$3,$D$17,$A$2,$D67,$E67,$F67,$A$5)</f>
        <v>3</v>
      </c>
      <c r="N67" s="140">
        <f>_xll.DBRW($A$1,N$2,N$3,$D$17,$A$2,$D67,$E67,$F67,$A$5)</f>
        <v>3</v>
      </c>
      <c r="O67" s="140">
        <f>_xll.DBRW($A$1,O$2,O$3,$D$17,$A$2,$D67,$E67,$F67,$A$5)</f>
        <v>3</v>
      </c>
      <c r="P67" s="140">
        <f>_xll.DBRW($A$1,P$2,P$3,$D$17,$A$2,$D67,$E67,$F67,$A$5)</f>
        <v>3</v>
      </c>
      <c r="Q67" s="140">
        <f>_xll.DBRW($A$1,Q$2,Q$3,$D$17,$A$2,$D67,$E67,$F67,$A$5)</f>
        <v>3</v>
      </c>
      <c r="R67" s="140">
        <f>_xll.DBRW($A$1,R$2,R$3,$D$17,$A$2,$D67,$E67,$F67,$A$5)</f>
        <v>3</v>
      </c>
    </row>
    <row r="68" spans="1:18" s="23" customFormat="1" outlineLevel="1" thickBot="1" x14ac:dyDescent="0.3">
      <c r="A68" s="157" t="str">
        <f>IF(_xll.TM1RPTELISCONSOLIDATED($F$22,$F68),IF(_xll.TM1RPTELLEV($F$22,$F68)&lt;=5,_xll.TM1RPTELLEV($F$22,$F68),"Default"),"Leaf")</f>
        <v>Leaf</v>
      </c>
      <c r="B68" s="24" t="str">
        <f>_xll.DBRW("TM1-S1_DEV:}ElementAttributes_SP_SKU",$D68,B$1)</f>
        <v>Primary</v>
      </c>
      <c r="C68" s="24" t="str">
        <f>_xll.DBRW("TM1-S1_DEV:}ElementAttributes_SP_SKU",$D68,C$1)</f>
        <v>DRESSING</v>
      </c>
      <c r="D68" s="28" t="s">
        <v>400</v>
      </c>
      <c r="E68" s="28" t="s">
        <v>114</v>
      </c>
      <c r="F68" s="28" t="s">
        <v>152</v>
      </c>
      <c r="G68" s="140">
        <f>_xll.DBRW($A$1,G$2,G$3,$D$17,$A$2,$D68,$E68,$F68,$A$5)</f>
        <v>2</v>
      </c>
      <c r="H68" s="140">
        <f>_xll.DBRW($A$1,H$2,H$3,$D$17,$A$2,$D68,$E68,$F68,$A$5)</f>
        <v>0</v>
      </c>
      <c r="I68" s="140">
        <f>_xll.DBRW($A$1,I$2,I$3,$D$17,$A$2,$D68,$E68,$F68,$A$5)</f>
        <v>4</v>
      </c>
      <c r="J68" s="140">
        <f>_xll.DBRW($A$1,J$2,J$3,$D$17,$A$2,$D68,$E68,$F68,$A$5)</f>
        <v>4</v>
      </c>
      <c r="K68" s="140">
        <f>_xll.DBRW($A$1,K$2,K$3,$D$17,$A$2,$D68,$E68,$F68,$A$5)</f>
        <v>4</v>
      </c>
      <c r="L68" s="140">
        <f>_xll.DBRW($A$1,L$2,L$3,$D$17,$A$2,$D68,$E68,$F68,$A$5)</f>
        <v>4</v>
      </c>
      <c r="M68" s="140">
        <f>_xll.DBRW($A$1,M$2,M$3,$D$17,$A$2,$D68,$E68,$F68,$A$5)</f>
        <v>4</v>
      </c>
      <c r="N68" s="140">
        <f>_xll.DBRW($A$1,N$2,N$3,$D$17,$A$2,$D68,$E68,$F68,$A$5)</f>
        <v>4</v>
      </c>
      <c r="O68" s="140">
        <f>_xll.DBRW($A$1,O$2,O$3,$D$17,$A$2,$D68,$E68,$F68,$A$5)</f>
        <v>4</v>
      </c>
      <c r="P68" s="140">
        <f>_xll.DBRW($A$1,P$2,P$3,$D$17,$A$2,$D68,$E68,$F68,$A$5)</f>
        <v>4</v>
      </c>
      <c r="Q68" s="140">
        <f>_xll.DBRW($A$1,Q$2,Q$3,$D$17,$A$2,$D68,$E68,$F68,$A$5)</f>
        <v>4</v>
      </c>
      <c r="R68" s="140">
        <f>_xll.DBRW($A$1,R$2,R$3,$D$17,$A$2,$D68,$E68,$F68,$A$5)</f>
        <v>4</v>
      </c>
    </row>
    <row r="69" spans="1:18" s="23" customFormat="1" outlineLevel="1" thickBot="1" x14ac:dyDescent="0.3">
      <c r="A69" s="157" t="str">
        <f>IF(_xll.TM1RPTELISCONSOLIDATED($F$22,$F69),IF(_xll.TM1RPTELLEV($F$22,$F69)&lt;=5,_xll.TM1RPTELLEV($F$22,$F69),"Default"),"Leaf")</f>
        <v>Leaf</v>
      </c>
      <c r="B69" s="24" t="str">
        <f>_xll.DBRW("TM1-S1_DEV:}ElementAttributes_SP_SKU",$D69,B$1)</f>
        <v>Primary</v>
      </c>
      <c r="C69" s="24" t="str">
        <f>_xll.DBRW("TM1-S1_DEV:}ElementAttributes_SP_SKU",$D69,C$1)</f>
        <v>BREAD</v>
      </c>
      <c r="D69" s="28" t="s">
        <v>401</v>
      </c>
      <c r="E69" s="28" t="s">
        <v>143</v>
      </c>
      <c r="F69" s="28" t="s">
        <v>61</v>
      </c>
      <c r="G69" s="140">
        <f>_xll.DBRW($A$1,G$2,G$3,$D$17,$A$2,$D69,$E69,$F69,$A$5)</f>
        <v>13</v>
      </c>
      <c r="H69" s="140">
        <f>_xll.DBRW($A$1,H$2,H$3,$D$17,$A$2,$D69,$E69,$F69,$A$5)</f>
        <v>0</v>
      </c>
      <c r="I69" s="140">
        <f>_xll.DBRW($A$1,I$2,I$3,$D$17,$A$2,$D69,$E69,$F69,$A$5)</f>
        <v>21</v>
      </c>
      <c r="J69" s="140">
        <f>_xll.DBRW($A$1,J$2,J$3,$D$17,$A$2,$D69,$E69,$F69,$A$5)</f>
        <v>21</v>
      </c>
      <c r="K69" s="140">
        <f>_xll.DBRW($A$1,K$2,K$3,$D$17,$A$2,$D69,$E69,$F69,$A$5)</f>
        <v>21</v>
      </c>
      <c r="L69" s="140">
        <f>_xll.DBRW($A$1,L$2,L$3,$D$17,$A$2,$D69,$E69,$F69,$A$5)</f>
        <v>21</v>
      </c>
      <c r="M69" s="140">
        <f>_xll.DBRW($A$1,M$2,M$3,$D$17,$A$2,$D69,$E69,$F69,$A$5)</f>
        <v>21</v>
      </c>
      <c r="N69" s="140">
        <f>_xll.DBRW($A$1,N$2,N$3,$D$17,$A$2,$D69,$E69,$F69,$A$5)</f>
        <v>21</v>
      </c>
      <c r="O69" s="140">
        <f>_xll.DBRW($A$1,O$2,O$3,$D$17,$A$2,$D69,$E69,$F69,$A$5)</f>
        <v>21</v>
      </c>
      <c r="P69" s="140">
        <f>_xll.DBRW($A$1,P$2,P$3,$D$17,$A$2,$D69,$E69,$F69,$A$5)</f>
        <v>21</v>
      </c>
      <c r="Q69" s="140">
        <f>_xll.DBRW($A$1,Q$2,Q$3,$D$17,$A$2,$D69,$E69,$F69,$A$5)</f>
        <v>21</v>
      </c>
      <c r="R69" s="140">
        <f>_xll.DBRW($A$1,R$2,R$3,$D$17,$A$2,$D69,$E69,$F69,$A$5)</f>
        <v>21</v>
      </c>
    </row>
    <row r="70" spans="1:18" s="23" customFormat="1" outlineLevel="1" thickBot="1" x14ac:dyDescent="0.3">
      <c r="A70" s="157" t="str">
        <f>IF(_xll.TM1RPTELISCONSOLIDATED($F$22,$F70),IF(_xll.TM1RPTELLEV($F$22,$F70)&lt;=5,_xll.TM1RPTELLEV($F$22,$F70),"Default"),"Leaf")</f>
        <v>Leaf</v>
      </c>
      <c r="B70" s="24" t="str">
        <f>_xll.DBRW("TM1-S1_DEV:}ElementAttributes_SP_SKU",$D70,B$1)</f>
        <v>Primary</v>
      </c>
      <c r="C70" s="24" t="str">
        <f>_xll.DBRW("TM1-S1_DEV:}ElementAttributes_SP_SKU",$D70,C$1)</f>
        <v>BREAD</v>
      </c>
      <c r="D70" s="28" t="s">
        <v>402</v>
      </c>
      <c r="E70" s="28" t="s">
        <v>116</v>
      </c>
      <c r="F70" s="28" t="s">
        <v>61</v>
      </c>
      <c r="G70" s="140">
        <f>_xll.DBRW($A$1,G$2,G$3,$D$17,$A$2,$D70,$E70,$F70,$A$5)</f>
        <v>19</v>
      </c>
      <c r="H70" s="140">
        <f>_xll.DBRW($A$1,H$2,H$3,$D$17,$A$2,$D70,$E70,$F70,$A$5)</f>
        <v>0</v>
      </c>
      <c r="I70" s="140">
        <f>_xll.DBRW($A$1,I$2,I$3,$D$17,$A$2,$D70,$E70,$F70,$A$5)</f>
        <v>27</v>
      </c>
      <c r="J70" s="140">
        <f>_xll.DBRW($A$1,J$2,J$3,$D$17,$A$2,$D70,$E70,$F70,$A$5)</f>
        <v>27</v>
      </c>
      <c r="K70" s="140">
        <f>_xll.DBRW($A$1,K$2,K$3,$D$17,$A$2,$D70,$E70,$F70,$A$5)</f>
        <v>27</v>
      </c>
      <c r="L70" s="140">
        <f>_xll.DBRW($A$1,L$2,L$3,$D$17,$A$2,$D70,$E70,$F70,$A$5)</f>
        <v>27</v>
      </c>
      <c r="M70" s="140">
        <f>_xll.DBRW($A$1,M$2,M$3,$D$17,$A$2,$D70,$E70,$F70,$A$5)</f>
        <v>27</v>
      </c>
      <c r="N70" s="140">
        <f>_xll.DBRW($A$1,N$2,N$3,$D$17,$A$2,$D70,$E70,$F70,$A$5)</f>
        <v>27</v>
      </c>
      <c r="O70" s="140">
        <f>_xll.DBRW($A$1,O$2,O$3,$D$17,$A$2,$D70,$E70,$F70,$A$5)</f>
        <v>27</v>
      </c>
      <c r="P70" s="140">
        <f>_xll.DBRW($A$1,P$2,P$3,$D$17,$A$2,$D70,$E70,$F70,$A$5)</f>
        <v>27</v>
      </c>
      <c r="Q70" s="140">
        <f>_xll.DBRW($A$1,Q$2,Q$3,$D$17,$A$2,$D70,$E70,$F70,$A$5)</f>
        <v>27</v>
      </c>
      <c r="R70" s="140">
        <f>_xll.DBRW($A$1,R$2,R$3,$D$17,$A$2,$D70,$E70,$F70,$A$5)</f>
        <v>27</v>
      </c>
    </row>
    <row r="71" spans="1:18" s="23" customFormat="1" outlineLevel="1" thickBot="1" x14ac:dyDescent="0.3">
      <c r="A71" s="157" t="str">
        <f>IF(_xll.TM1RPTELISCONSOLIDATED($F$22,$F71),IF(_xll.TM1RPTELLEV($F$22,$F71)&lt;=5,_xll.TM1RPTELLEV($F$22,$F71),"Default"),"Leaf")</f>
        <v>Leaf</v>
      </c>
      <c r="B71" s="24" t="str">
        <f>_xll.DBRW("TM1-S1_DEV:}ElementAttributes_SP_SKU",$D71,B$1)</f>
        <v>Primary</v>
      </c>
      <c r="C71" s="24" t="str">
        <f>_xll.DBRW("TM1-S1_DEV:}ElementAttributes_SP_SKU",$D71,C$1)</f>
        <v>BREAD</v>
      </c>
      <c r="D71" s="28" t="s">
        <v>403</v>
      </c>
      <c r="E71" s="28" t="s">
        <v>230</v>
      </c>
      <c r="F71" s="28" t="s">
        <v>50</v>
      </c>
      <c r="G71" s="140">
        <f>_xll.DBRW($A$1,G$2,G$3,$D$17,$A$2,$D71,$E71,$F71,$A$5)</f>
        <v>66</v>
      </c>
      <c r="H71" s="140">
        <f>_xll.DBRW($A$1,H$2,H$3,$D$17,$A$2,$D71,$E71,$F71,$A$5)</f>
        <v>0</v>
      </c>
      <c r="I71" s="140">
        <f>_xll.DBRW($A$1,I$2,I$3,$D$17,$A$2,$D71,$E71,$F71,$A$5)</f>
        <v>15</v>
      </c>
      <c r="J71" s="140">
        <f>_xll.DBRW($A$1,J$2,J$3,$D$17,$A$2,$D71,$E71,$F71,$A$5)</f>
        <v>15</v>
      </c>
      <c r="K71" s="140">
        <f>_xll.DBRW($A$1,K$2,K$3,$D$17,$A$2,$D71,$E71,$F71,$A$5)</f>
        <v>15</v>
      </c>
      <c r="L71" s="140">
        <f>_xll.DBRW($A$1,L$2,L$3,$D$17,$A$2,$D71,$E71,$F71,$A$5)</f>
        <v>15</v>
      </c>
      <c r="M71" s="140">
        <f>_xll.DBRW($A$1,M$2,M$3,$D$17,$A$2,$D71,$E71,$F71,$A$5)</f>
        <v>15</v>
      </c>
      <c r="N71" s="140">
        <f>_xll.DBRW($A$1,N$2,N$3,$D$17,$A$2,$D71,$E71,$F71,$A$5)</f>
        <v>15</v>
      </c>
      <c r="O71" s="140">
        <f>_xll.DBRW($A$1,O$2,O$3,$D$17,$A$2,$D71,$E71,$F71,$A$5)</f>
        <v>15</v>
      </c>
      <c r="P71" s="140">
        <f>_xll.DBRW($A$1,P$2,P$3,$D$17,$A$2,$D71,$E71,$F71,$A$5)</f>
        <v>15</v>
      </c>
      <c r="Q71" s="140">
        <f>_xll.DBRW($A$1,Q$2,Q$3,$D$17,$A$2,$D71,$E71,$F71,$A$5)</f>
        <v>15</v>
      </c>
      <c r="R71" s="140">
        <f>_xll.DBRW($A$1,R$2,R$3,$D$17,$A$2,$D71,$E71,$F71,$A$5)</f>
        <v>15</v>
      </c>
    </row>
    <row r="72" spans="1:18" s="23" customFormat="1" outlineLevel="1" thickBot="1" x14ac:dyDescent="0.3">
      <c r="A72" s="157" t="str">
        <f>IF(_xll.TM1RPTELISCONSOLIDATED($F$22,$F72),IF(_xll.TM1RPTELLEV($F$22,$F72)&lt;=5,_xll.TM1RPTELLEV($F$22,$F72),"Default"),"Leaf")</f>
        <v>Leaf</v>
      </c>
      <c r="B72" s="24" t="str">
        <f>_xll.DBRW("TM1-S1_DEV:}ElementAttributes_SP_SKU",$D72,B$1)</f>
        <v>Primary</v>
      </c>
      <c r="C72" s="24" t="str">
        <f>_xll.DBRW("TM1-S1_DEV:}ElementAttributes_SP_SKU",$D72,C$1)</f>
        <v>BREAD</v>
      </c>
      <c r="D72" s="28" t="s">
        <v>404</v>
      </c>
      <c r="E72" s="28" t="s">
        <v>231</v>
      </c>
      <c r="F72" s="28" t="s">
        <v>33</v>
      </c>
      <c r="G72" s="140">
        <f>_xll.DBRW($A$1,G$2,G$3,$D$17,$A$2,$D72,$E72,$F72,$A$5)</f>
        <v>40</v>
      </c>
      <c r="H72" s="140">
        <f>_xll.DBRW($A$1,H$2,H$3,$D$17,$A$2,$D72,$E72,$F72,$A$5)</f>
        <v>0</v>
      </c>
      <c r="I72" s="140">
        <f>_xll.DBRW($A$1,I$2,I$3,$D$17,$A$2,$D72,$E72,$F72,$A$5)</f>
        <v>26</v>
      </c>
      <c r="J72" s="140">
        <f>_xll.DBRW($A$1,J$2,J$3,$D$17,$A$2,$D72,$E72,$F72,$A$5)</f>
        <v>26</v>
      </c>
      <c r="K72" s="140">
        <f>_xll.DBRW($A$1,K$2,K$3,$D$17,$A$2,$D72,$E72,$F72,$A$5)</f>
        <v>26</v>
      </c>
      <c r="L72" s="140">
        <f>_xll.DBRW($A$1,L$2,L$3,$D$17,$A$2,$D72,$E72,$F72,$A$5)</f>
        <v>26</v>
      </c>
      <c r="M72" s="140">
        <f>_xll.DBRW($A$1,M$2,M$3,$D$17,$A$2,$D72,$E72,$F72,$A$5)</f>
        <v>26</v>
      </c>
      <c r="N72" s="140">
        <f>_xll.DBRW($A$1,N$2,N$3,$D$17,$A$2,$D72,$E72,$F72,$A$5)</f>
        <v>26</v>
      </c>
      <c r="O72" s="140">
        <f>_xll.DBRW($A$1,O$2,O$3,$D$17,$A$2,$D72,$E72,$F72,$A$5)</f>
        <v>26</v>
      </c>
      <c r="P72" s="140">
        <f>_xll.DBRW($A$1,P$2,P$3,$D$17,$A$2,$D72,$E72,$F72,$A$5)</f>
        <v>26</v>
      </c>
      <c r="Q72" s="140">
        <f>_xll.DBRW($A$1,Q$2,Q$3,$D$17,$A$2,$D72,$E72,$F72,$A$5)</f>
        <v>26</v>
      </c>
      <c r="R72" s="140">
        <f>_xll.DBRW($A$1,R$2,R$3,$D$17,$A$2,$D72,$E72,$F72,$A$5)</f>
        <v>26</v>
      </c>
    </row>
    <row r="73" spans="1:18" s="23" customFormat="1" outlineLevel="1" thickBot="1" x14ac:dyDescent="0.3">
      <c r="A73" s="157" t="str">
        <f>IF(_xll.TM1RPTELISCONSOLIDATED($F$22,$F73),IF(_xll.TM1RPTELLEV($F$22,$F73)&lt;=5,_xll.TM1RPTELLEV($F$22,$F73),"Default"),"Leaf")</f>
        <v>Leaf</v>
      </c>
      <c r="B73" s="24" t="str">
        <f>_xll.DBRW("TM1-S1_DEV:}ElementAttributes_SP_SKU",$D73,B$1)</f>
        <v>Primary</v>
      </c>
      <c r="C73" s="24" t="str">
        <f>_xll.DBRW("TM1-S1_DEV:}ElementAttributes_SP_SKU",$D73,C$1)</f>
        <v>BREAD</v>
      </c>
      <c r="D73" s="28" t="s">
        <v>405</v>
      </c>
      <c r="E73" s="28" t="s">
        <v>232</v>
      </c>
      <c r="F73" s="28" t="s">
        <v>50</v>
      </c>
      <c r="G73" s="140">
        <f>_xll.DBRW($A$1,G$2,G$3,$D$17,$A$2,$D73,$E73,$F73,$A$5)</f>
        <v>33</v>
      </c>
      <c r="H73" s="140">
        <f>_xll.DBRW($A$1,H$2,H$3,$D$17,$A$2,$D73,$E73,$F73,$A$5)</f>
        <v>0</v>
      </c>
      <c r="I73" s="140">
        <f>_xll.DBRW($A$1,I$2,I$3,$D$17,$A$2,$D73,$E73,$F73,$A$5)</f>
        <v>10</v>
      </c>
      <c r="J73" s="140">
        <f>_xll.DBRW($A$1,J$2,J$3,$D$17,$A$2,$D73,$E73,$F73,$A$5)</f>
        <v>10</v>
      </c>
      <c r="K73" s="140">
        <f>_xll.DBRW($A$1,K$2,K$3,$D$17,$A$2,$D73,$E73,$F73,$A$5)</f>
        <v>10</v>
      </c>
      <c r="L73" s="140">
        <f>_xll.DBRW($A$1,L$2,L$3,$D$17,$A$2,$D73,$E73,$F73,$A$5)</f>
        <v>10</v>
      </c>
      <c r="M73" s="140">
        <f>_xll.DBRW($A$1,M$2,M$3,$D$17,$A$2,$D73,$E73,$F73,$A$5)</f>
        <v>10</v>
      </c>
      <c r="N73" s="140">
        <f>_xll.DBRW($A$1,N$2,N$3,$D$17,$A$2,$D73,$E73,$F73,$A$5)</f>
        <v>10</v>
      </c>
      <c r="O73" s="140">
        <f>_xll.DBRW($A$1,O$2,O$3,$D$17,$A$2,$D73,$E73,$F73,$A$5)</f>
        <v>10</v>
      </c>
      <c r="P73" s="140">
        <f>_xll.DBRW($A$1,P$2,P$3,$D$17,$A$2,$D73,$E73,$F73,$A$5)</f>
        <v>10</v>
      </c>
      <c r="Q73" s="140">
        <f>_xll.DBRW($A$1,Q$2,Q$3,$D$17,$A$2,$D73,$E73,$F73,$A$5)</f>
        <v>10</v>
      </c>
      <c r="R73" s="140">
        <f>_xll.DBRW($A$1,R$2,R$3,$D$17,$A$2,$D73,$E73,$F73,$A$5)</f>
        <v>10</v>
      </c>
    </row>
    <row r="74" spans="1:18" s="23" customFormat="1" outlineLevel="1" thickBot="1" x14ac:dyDescent="0.3">
      <c r="A74" s="157" t="str">
        <f>IF(_xll.TM1RPTELISCONSOLIDATED($F$22,$F74),IF(_xll.TM1RPTELLEV($F$22,$F74)&lt;=5,_xll.TM1RPTELLEV($F$22,$F74),"Default"),"Leaf")</f>
        <v>Leaf</v>
      </c>
      <c r="B74" s="24" t="str">
        <f>_xll.DBRW("TM1-S1_DEV:}ElementAttributes_SP_SKU",$D74,B$1)</f>
        <v>Primary</v>
      </c>
      <c r="C74" s="24" t="str">
        <f>_xll.DBRW("TM1-S1_DEV:}ElementAttributes_SP_SKU",$D74,C$1)</f>
        <v>BREAD</v>
      </c>
      <c r="D74" s="28" t="s">
        <v>406</v>
      </c>
      <c r="E74" s="28" t="s">
        <v>233</v>
      </c>
      <c r="F74" s="28" t="s">
        <v>50</v>
      </c>
      <c r="G74" s="140">
        <f>_xll.DBRW($A$1,G$2,G$3,$D$17,$A$2,$D74,$E74,$F74,$A$5)</f>
        <v>15</v>
      </c>
      <c r="H74" s="140">
        <f>_xll.DBRW($A$1,H$2,H$3,$D$17,$A$2,$D74,$E74,$F74,$A$5)</f>
        <v>0</v>
      </c>
      <c r="I74" s="140">
        <f>_xll.DBRW($A$1,I$2,I$3,$D$17,$A$2,$D74,$E74,$F74,$A$5)</f>
        <v>2</v>
      </c>
      <c r="J74" s="140">
        <f>_xll.DBRW($A$1,J$2,J$3,$D$17,$A$2,$D74,$E74,$F74,$A$5)</f>
        <v>2</v>
      </c>
      <c r="K74" s="140">
        <f>_xll.DBRW($A$1,K$2,K$3,$D$17,$A$2,$D74,$E74,$F74,$A$5)</f>
        <v>2</v>
      </c>
      <c r="L74" s="140">
        <f>_xll.DBRW($A$1,L$2,L$3,$D$17,$A$2,$D74,$E74,$F74,$A$5)</f>
        <v>2</v>
      </c>
      <c r="M74" s="140">
        <f>_xll.DBRW($A$1,M$2,M$3,$D$17,$A$2,$D74,$E74,$F74,$A$5)</f>
        <v>2</v>
      </c>
      <c r="N74" s="140">
        <f>_xll.DBRW($A$1,N$2,N$3,$D$17,$A$2,$D74,$E74,$F74,$A$5)</f>
        <v>3</v>
      </c>
      <c r="O74" s="140">
        <f>_xll.DBRW($A$1,O$2,O$3,$D$17,$A$2,$D74,$E74,$F74,$A$5)</f>
        <v>2</v>
      </c>
      <c r="P74" s="140">
        <f>_xll.DBRW($A$1,P$2,P$3,$D$17,$A$2,$D74,$E74,$F74,$A$5)</f>
        <v>2</v>
      </c>
      <c r="Q74" s="140">
        <f>_xll.DBRW($A$1,Q$2,Q$3,$D$17,$A$2,$D74,$E74,$F74,$A$5)</f>
        <v>2</v>
      </c>
      <c r="R74" s="140">
        <f>_xll.DBRW($A$1,R$2,R$3,$D$17,$A$2,$D74,$E74,$F74,$A$5)</f>
        <v>2</v>
      </c>
    </row>
    <row r="75" spans="1:18" s="23" customFormat="1" outlineLevel="1" thickBot="1" x14ac:dyDescent="0.3">
      <c r="A75" s="157" t="str">
        <f>IF(_xll.TM1RPTELISCONSOLIDATED($F$22,$F75),IF(_xll.TM1RPTELLEV($F$22,$F75)&lt;=5,_xll.TM1RPTELLEV($F$22,$F75),"Default"),"Leaf")</f>
        <v>Leaf</v>
      </c>
      <c r="B75" s="24" t="str">
        <f>_xll.DBRW("TM1-S1_DEV:}ElementAttributes_SP_SKU",$D75,B$1)</f>
        <v>Primary</v>
      </c>
      <c r="C75" s="24" t="str">
        <f>_xll.DBRW("TM1-S1_DEV:}ElementAttributes_SP_SKU",$D75,C$1)</f>
        <v>BREAD</v>
      </c>
      <c r="D75" s="28" t="s">
        <v>407</v>
      </c>
      <c r="E75" s="28" t="s">
        <v>117</v>
      </c>
      <c r="F75" s="28" t="s">
        <v>20</v>
      </c>
      <c r="G75" s="140">
        <f>_xll.DBRW($A$1,G$2,G$3,$D$17,$A$2,$D75,$E75,$F75,$A$5)</f>
        <v>34</v>
      </c>
      <c r="H75" s="140">
        <f>_xll.DBRW($A$1,H$2,H$3,$D$17,$A$2,$D75,$E75,$F75,$A$5)</f>
        <v>0</v>
      </c>
      <c r="I75" s="140">
        <f>_xll.DBRW($A$1,I$2,I$3,$D$17,$A$2,$D75,$E75,$F75,$A$5)</f>
        <v>22</v>
      </c>
      <c r="J75" s="140">
        <f>_xll.DBRW($A$1,J$2,J$3,$D$17,$A$2,$D75,$E75,$F75,$A$5)</f>
        <v>22</v>
      </c>
      <c r="K75" s="140">
        <f>_xll.DBRW($A$1,K$2,K$3,$D$17,$A$2,$D75,$E75,$F75,$A$5)</f>
        <v>22</v>
      </c>
      <c r="L75" s="140">
        <f>_xll.DBRW($A$1,L$2,L$3,$D$17,$A$2,$D75,$E75,$F75,$A$5)</f>
        <v>22</v>
      </c>
      <c r="M75" s="140">
        <f>_xll.DBRW($A$1,M$2,M$3,$D$17,$A$2,$D75,$E75,$F75,$A$5)</f>
        <v>22</v>
      </c>
      <c r="N75" s="140">
        <f>_xll.DBRW($A$1,N$2,N$3,$D$17,$A$2,$D75,$E75,$F75,$A$5)</f>
        <v>22</v>
      </c>
      <c r="O75" s="140">
        <f>_xll.DBRW($A$1,O$2,O$3,$D$17,$A$2,$D75,$E75,$F75,$A$5)</f>
        <v>22</v>
      </c>
      <c r="P75" s="140">
        <f>_xll.DBRW($A$1,P$2,P$3,$D$17,$A$2,$D75,$E75,$F75,$A$5)</f>
        <v>22</v>
      </c>
      <c r="Q75" s="140">
        <f>_xll.DBRW($A$1,Q$2,Q$3,$D$17,$A$2,$D75,$E75,$F75,$A$5)</f>
        <v>22</v>
      </c>
      <c r="R75" s="140">
        <f>_xll.DBRW($A$1,R$2,R$3,$D$17,$A$2,$D75,$E75,$F75,$A$5)</f>
        <v>22</v>
      </c>
    </row>
    <row r="76" spans="1:18" s="23" customFormat="1" outlineLevel="1" thickBot="1" x14ac:dyDescent="0.3">
      <c r="A76" s="157" t="str">
        <f>IF(_xll.TM1RPTELISCONSOLIDATED($F$22,$F76),IF(_xll.TM1RPTELLEV($F$22,$F76)&lt;=5,_xll.TM1RPTELLEV($F$22,$F76),"Default"),"Leaf")</f>
        <v>Leaf</v>
      </c>
      <c r="B76" s="24" t="str">
        <f>_xll.DBRW("TM1-S1_DEV:}ElementAttributes_SP_SKU",$D76,B$1)</f>
        <v>Primary</v>
      </c>
      <c r="C76" s="24" t="str">
        <f>_xll.DBRW("TM1-S1_DEV:}ElementAttributes_SP_SKU",$D76,C$1)</f>
        <v>BREAD</v>
      </c>
      <c r="D76" s="28" t="s">
        <v>408</v>
      </c>
      <c r="E76" s="28" t="s">
        <v>234</v>
      </c>
      <c r="F76" s="28" t="s">
        <v>20</v>
      </c>
      <c r="G76" s="140">
        <f>_xll.DBRW($A$1,G$2,G$3,$D$17,$A$2,$D76,$E76,$F76,$A$5)</f>
        <v>2</v>
      </c>
      <c r="H76" s="140">
        <f>_xll.DBRW($A$1,H$2,H$3,$D$17,$A$2,$D76,$E76,$F76,$A$5)</f>
        <v>0</v>
      </c>
      <c r="I76" s="140">
        <f>_xll.DBRW($A$1,I$2,I$3,$D$17,$A$2,$D76,$E76,$F76,$A$5)</f>
        <v>1</v>
      </c>
      <c r="J76" s="140">
        <f>_xll.DBRW($A$1,J$2,J$3,$D$17,$A$2,$D76,$E76,$F76,$A$5)</f>
        <v>1</v>
      </c>
      <c r="K76" s="140">
        <f>_xll.DBRW($A$1,K$2,K$3,$D$17,$A$2,$D76,$E76,$F76,$A$5)</f>
        <v>1</v>
      </c>
      <c r="L76" s="140">
        <f>_xll.DBRW($A$1,L$2,L$3,$D$17,$A$2,$D76,$E76,$F76,$A$5)</f>
        <v>1</v>
      </c>
      <c r="M76" s="140">
        <f>_xll.DBRW($A$1,M$2,M$3,$D$17,$A$2,$D76,$E76,$F76,$A$5)</f>
        <v>1</v>
      </c>
      <c r="N76" s="140">
        <f>_xll.DBRW($A$1,N$2,N$3,$D$17,$A$2,$D76,$E76,$F76,$A$5)</f>
        <v>1</v>
      </c>
      <c r="O76" s="140">
        <f>_xll.DBRW($A$1,O$2,O$3,$D$17,$A$2,$D76,$E76,$F76,$A$5)</f>
        <v>1</v>
      </c>
      <c r="P76" s="140">
        <f>_xll.DBRW($A$1,P$2,P$3,$D$17,$A$2,$D76,$E76,$F76,$A$5)</f>
        <v>1</v>
      </c>
      <c r="Q76" s="140">
        <f>_xll.DBRW($A$1,Q$2,Q$3,$D$17,$A$2,$D76,$E76,$F76,$A$5)</f>
        <v>1</v>
      </c>
      <c r="R76" s="140">
        <f>_xll.DBRW($A$1,R$2,R$3,$D$17,$A$2,$D76,$E76,$F76,$A$5)</f>
        <v>1</v>
      </c>
    </row>
    <row r="77" spans="1:18" s="23" customFormat="1" outlineLevel="1" thickBot="1" x14ac:dyDescent="0.3">
      <c r="A77" s="157" t="str">
        <f>IF(_xll.TM1RPTELISCONSOLIDATED($F$22,$F77),IF(_xll.TM1RPTELLEV($F$22,$F77)&lt;=5,_xll.TM1RPTELLEV($F$22,$F77),"Default"),"Leaf")</f>
        <v>Leaf</v>
      </c>
      <c r="B77" s="24" t="str">
        <f>_xll.DBRW("TM1-S1_DEV:}ElementAttributes_SP_SKU",$D77,B$1)</f>
        <v>Primary</v>
      </c>
      <c r="C77" s="24" t="str">
        <f>_xll.DBRW("TM1-S1_DEV:}ElementAttributes_SP_SKU",$D77,C$1)</f>
        <v>BREAD</v>
      </c>
      <c r="D77" s="28" t="s">
        <v>409</v>
      </c>
      <c r="E77" s="28" t="s">
        <v>235</v>
      </c>
      <c r="F77" s="28" t="s">
        <v>20</v>
      </c>
      <c r="G77" s="140">
        <f>_xll.DBRW($A$1,G$2,G$3,$D$17,$A$2,$D77,$E77,$F77,$A$5)</f>
        <v>1</v>
      </c>
      <c r="H77" s="140">
        <f>_xll.DBRW($A$1,H$2,H$3,$D$17,$A$2,$D77,$E77,$F77,$A$5)</f>
        <v>0</v>
      </c>
      <c r="I77" s="140">
        <f>_xll.DBRW($A$1,I$2,I$3,$D$17,$A$2,$D77,$E77,$F77,$A$5)</f>
        <v>0</v>
      </c>
      <c r="J77" s="140">
        <f>_xll.DBRW($A$1,J$2,J$3,$D$17,$A$2,$D77,$E77,$F77,$A$5)</f>
        <v>0</v>
      </c>
      <c r="K77" s="140">
        <f>_xll.DBRW($A$1,K$2,K$3,$D$17,$A$2,$D77,$E77,$F77,$A$5)</f>
        <v>0</v>
      </c>
      <c r="L77" s="140">
        <f>_xll.DBRW($A$1,L$2,L$3,$D$17,$A$2,$D77,$E77,$F77,$A$5)</f>
        <v>0</v>
      </c>
      <c r="M77" s="140">
        <f>_xll.DBRW($A$1,M$2,M$3,$D$17,$A$2,$D77,$E77,$F77,$A$5)</f>
        <v>0</v>
      </c>
      <c r="N77" s="140">
        <f>_xll.DBRW($A$1,N$2,N$3,$D$17,$A$2,$D77,$E77,$F77,$A$5)</f>
        <v>0</v>
      </c>
      <c r="O77" s="140">
        <f>_xll.DBRW($A$1,O$2,O$3,$D$17,$A$2,$D77,$E77,$F77,$A$5)</f>
        <v>0</v>
      </c>
      <c r="P77" s="140">
        <f>_xll.DBRW($A$1,P$2,P$3,$D$17,$A$2,$D77,$E77,$F77,$A$5)</f>
        <v>0</v>
      </c>
      <c r="Q77" s="140">
        <f>_xll.DBRW($A$1,Q$2,Q$3,$D$17,$A$2,$D77,$E77,$F77,$A$5)</f>
        <v>0</v>
      </c>
      <c r="R77" s="140">
        <f>_xll.DBRW($A$1,R$2,R$3,$D$17,$A$2,$D77,$E77,$F77,$A$5)</f>
        <v>0</v>
      </c>
    </row>
    <row r="78" spans="1:18" s="23" customFormat="1" outlineLevel="1" thickBot="1" x14ac:dyDescent="0.3">
      <c r="A78" s="157" t="str">
        <f>IF(_xll.TM1RPTELISCONSOLIDATED($F$22,$F78),IF(_xll.TM1RPTELLEV($F$22,$F78)&lt;=5,_xll.TM1RPTELLEV($F$22,$F78),"Default"),"Leaf")</f>
        <v>Leaf</v>
      </c>
      <c r="B78" s="24" t="str">
        <f>_xll.DBRW("TM1-S1_DEV:}ElementAttributes_SP_SKU",$D78,B$1)</f>
        <v>Primary</v>
      </c>
      <c r="C78" s="24" t="str">
        <f>_xll.DBRW("TM1-S1_DEV:}ElementAttributes_SP_SKU",$D78,C$1)</f>
        <v>BREAD</v>
      </c>
      <c r="D78" s="28" t="s">
        <v>410</v>
      </c>
      <c r="E78" s="28" t="s">
        <v>236</v>
      </c>
      <c r="F78" s="28" t="s">
        <v>20</v>
      </c>
      <c r="G78" s="140">
        <f>_xll.DBRW($A$1,G$2,G$3,$D$17,$A$2,$D78,$E78,$F78,$A$5)</f>
        <v>2</v>
      </c>
      <c r="H78" s="140">
        <f>_xll.DBRW($A$1,H$2,H$3,$D$17,$A$2,$D78,$E78,$F78,$A$5)</f>
        <v>0</v>
      </c>
      <c r="I78" s="140">
        <f>_xll.DBRW($A$1,I$2,I$3,$D$17,$A$2,$D78,$E78,$F78,$A$5)</f>
        <v>1</v>
      </c>
      <c r="J78" s="140">
        <f>_xll.DBRW($A$1,J$2,J$3,$D$17,$A$2,$D78,$E78,$F78,$A$5)</f>
        <v>1</v>
      </c>
      <c r="K78" s="140">
        <f>_xll.DBRW($A$1,K$2,K$3,$D$17,$A$2,$D78,$E78,$F78,$A$5)</f>
        <v>1</v>
      </c>
      <c r="L78" s="140">
        <f>_xll.DBRW($A$1,L$2,L$3,$D$17,$A$2,$D78,$E78,$F78,$A$5)</f>
        <v>1</v>
      </c>
      <c r="M78" s="140">
        <f>_xll.DBRW($A$1,M$2,M$3,$D$17,$A$2,$D78,$E78,$F78,$A$5)</f>
        <v>1</v>
      </c>
      <c r="N78" s="140">
        <f>_xll.DBRW($A$1,N$2,N$3,$D$17,$A$2,$D78,$E78,$F78,$A$5)</f>
        <v>1</v>
      </c>
      <c r="O78" s="140">
        <f>_xll.DBRW($A$1,O$2,O$3,$D$17,$A$2,$D78,$E78,$F78,$A$5)</f>
        <v>1</v>
      </c>
      <c r="P78" s="140">
        <f>_xll.DBRW($A$1,P$2,P$3,$D$17,$A$2,$D78,$E78,$F78,$A$5)</f>
        <v>1</v>
      </c>
      <c r="Q78" s="140">
        <f>_xll.DBRW($A$1,Q$2,Q$3,$D$17,$A$2,$D78,$E78,$F78,$A$5)</f>
        <v>1</v>
      </c>
      <c r="R78" s="140">
        <f>_xll.DBRW($A$1,R$2,R$3,$D$17,$A$2,$D78,$E78,$F78,$A$5)</f>
        <v>1</v>
      </c>
    </row>
    <row r="79" spans="1:18" s="23" customFormat="1" outlineLevel="1" thickBot="1" x14ac:dyDescent="0.3">
      <c r="A79" s="157" t="str">
        <f>IF(_xll.TM1RPTELISCONSOLIDATED($F$22,$F79),IF(_xll.TM1RPTELLEV($F$22,$F79)&lt;=5,_xll.TM1RPTELLEV($F$22,$F79),"Default"),"Leaf")</f>
        <v>Leaf</v>
      </c>
      <c r="B79" s="24" t="str">
        <f>_xll.DBRW("TM1-S1_DEV:}ElementAttributes_SP_SKU",$D79,B$1)</f>
        <v>Primary</v>
      </c>
      <c r="C79" s="24" t="str">
        <f>_xll.DBRW("TM1-S1_DEV:}ElementAttributes_SP_SKU",$D79,C$1)</f>
        <v>CHEESE</v>
      </c>
      <c r="D79" s="28" t="s">
        <v>411</v>
      </c>
      <c r="E79" s="28" t="s">
        <v>118</v>
      </c>
      <c r="F79" s="28" t="s">
        <v>101</v>
      </c>
      <c r="G79" s="140">
        <f>_xll.DBRW($A$1,G$2,G$3,$D$17,$A$2,$D79,$E79,$F79,$A$5)</f>
        <v>26</v>
      </c>
      <c r="H79" s="140">
        <f>_xll.DBRW($A$1,H$2,H$3,$D$17,$A$2,$D79,$E79,$F79,$A$5)</f>
        <v>0</v>
      </c>
      <c r="I79" s="140">
        <f>_xll.DBRW($A$1,I$2,I$3,$D$17,$A$2,$D79,$E79,$F79,$A$5)</f>
        <v>24</v>
      </c>
      <c r="J79" s="140">
        <f>_xll.DBRW($A$1,J$2,J$3,$D$17,$A$2,$D79,$E79,$F79,$A$5)</f>
        <v>24</v>
      </c>
      <c r="K79" s="140">
        <f>_xll.DBRW($A$1,K$2,K$3,$D$17,$A$2,$D79,$E79,$F79,$A$5)</f>
        <v>24</v>
      </c>
      <c r="L79" s="140">
        <f>_xll.DBRW($A$1,L$2,L$3,$D$17,$A$2,$D79,$E79,$F79,$A$5)</f>
        <v>24</v>
      </c>
      <c r="M79" s="140">
        <f>_xll.DBRW($A$1,M$2,M$3,$D$17,$A$2,$D79,$E79,$F79,$A$5)</f>
        <v>24</v>
      </c>
      <c r="N79" s="140">
        <f>_xll.DBRW($A$1,N$2,N$3,$D$17,$A$2,$D79,$E79,$F79,$A$5)</f>
        <v>24</v>
      </c>
      <c r="O79" s="140">
        <f>_xll.DBRW($A$1,O$2,O$3,$D$17,$A$2,$D79,$E79,$F79,$A$5)</f>
        <v>24</v>
      </c>
      <c r="P79" s="140">
        <f>_xll.DBRW($A$1,P$2,P$3,$D$17,$A$2,$D79,$E79,$F79,$A$5)</f>
        <v>24</v>
      </c>
      <c r="Q79" s="140">
        <f>_xll.DBRW($A$1,Q$2,Q$3,$D$17,$A$2,$D79,$E79,$F79,$A$5)</f>
        <v>24</v>
      </c>
      <c r="R79" s="140">
        <f>_xll.DBRW($A$1,R$2,R$3,$D$17,$A$2,$D79,$E79,$F79,$A$5)</f>
        <v>24</v>
      </c>
    </row>
    <row r="80" spans="1:18" s="23" customFormat="1" outlineLevel="1" thickBot="1" x14ac:dyDescent="0.3">
      <c r="A80" s="157" t="str">
        <f>IF(_xll.TM1RPTELISCONSOLIDATED($F$22,$F80),IF(_xll.TM1RPTELLEV($F$22,$F80)&lt;=5,_xll.TM1RPTELLEV($F$22,$F80),"Default"),"Leaf")</f>
        <v>Leaf</v>
      </c>
      <c r="B80" s="24" t="str">
        <f>_xll.DBRW("TM1-S1_DEV:}ElementAttributes_SP_SKU",$D80,B$1)</f>
        <v>Primary</v>
      </c>
      <c r="C80" s="24" t="str">
        <f>_xll.DBRW("TM1-S1_DEV:}ElementAttributes_SP_SKU",$D80,C$1)</f>
        <v>CONDIMENT</v>
      </c>
      <c r="D80" s="28" t="s">
        <v>412</v>
      </c>
      <c r="E80" s="28" t="s">
        <v>144</v>
      </c>
      <c r="F80" s="28" t="s">
        <v>19</v>
      </c>
      <c r="G80" s="140">
        <f>_xll.DBRW($A$1,G$2,G$3,$D$17,$A$2,$D80,$E80,$F80,$A$5)</f>
        <v>5</v>
      </c>
      <c r="H80" s="140">
        <f>_xll.DBRW($A$1,H$2,H$3,$D$17,$A$2,$D80,$E80,$F80,$A$5)</f>
        <v>0</v>
      </c>
      <c r="I80" s="140">
        <f>_xll.DBRW($A$1,I$2,I$3,$D$17,$A$2,$D80,$E80,$F80,$A$5)</f>
        <v>8</v>
      </c>
      <c r="J80" s="140">
        <f>_xll.DBRW($A$1,J$2,J$3,$D$17,$A$2,$D80,$E80,$F80,$A$5)</f>
        <v>8</v>
      </c>
      <c r="K80" s="140">
        <f>_xll.DBRW($A$1,K$2,K$3,$D$17,$A$2,$D80,$E80,$F80,$A$5)</f>
        <v>8</v>
      </c>
      <c r="L80" s="140">
        <f>_xll.DBRW($A$1,L$2,L$3,$D$17,$A$2,$D80,$E80,$F80,$A$5)</f>
        <v>8</v>
      </c>
      <c r="M80" s="140">
        <f>_xll.DBRW($A$1,M$2,M$3,$D$17,$A$2,$D80,$E80,$F80,$A$5)</f>
        <v>8</v>
      </c>
      <c r="N80" s="140">
        <f>_xll.DBRW($A$1,N$2,N$3,$D$17,$A$2,$D80,$E80,$F80,$A$5)</f>
        <v>8</v>
      </c>
      <c r="O80" s="140">
        <f>_xll.DBRW($A$1,O$2,O$3,$D$17,$A$2,$D80,$E80,$F80,$A$5)</f>
        <v>8</v>
      </c>
      <c r="P80" s="140">
        <f>_xll.DBRW($A$1,P$2,P$3,$D$17,$A$2,$D80,$E80,$F80,$A$5)</f>
        <v>8</v>
      </c>
      <c r="Q80" s="140">
        <f>_xll.DBRW($A$1,Q$2,Q$3,$D$17,$A$2,$D80,$E80,$F80,$A$5)</f>
        <v>8</v>
      </c>
      <c r="R80" s="140">
        <f>_xll.DBRW($A$1,R$2,R$3,$D$17,$A$2,$D80,$E80,$F80,$A$5)</f>
        <v>8</v>
      </c>
    </row>
    <row r="81" spans="1:18" s="23" customFormat="1" outlineLevel="1" thickBot="1" x14ac:dyDescent="0.3">
      <c r="A81" s="157" t="str">
        <f>IF(_xll.TM1RPTELISCONSOLIDATED($F$22,$F81),IF(_xll.TM1RPTELLEV($F$22,$F81)&lt;=5,_xll.TM1RPTELLEV($F$22,$F81),"Default"),"Leaf")</f>
        <v>Leaf</v>
      </c>
      <c r="B81" s="24" t="str">
        <f>_xll.DBRW("TM1-S1_DEV:}ElementAttributes_SP_SKU",$D81,B$1)</f>
        <v>Primary</v>
      </c>
      <c r="C81" s="24" t="str">
        <f>_xll.DBRW("TM1-S1_DEV:}ElementAttributes_SP_SKU",$D81,C$1)</f>
        <v>CONDIMENT</v>
      </c>
      <c r="D81" s="28" t="s">
        <v>413</v>
      </c>
      <c r="E81" s="28" t="s">
        <v>238</v>
      </c>
      <c r="F81" s="28" t="s">
        <v>19</v>
      </c>
      <c r="G81" s="140">
        <f>_xll.DBRW($A$1,G$2,G$3,$D$17,$A$2,$D81,$E81,$F81,$A$5)</f>
        <v>7</v>
      </c>
      <c r="H81" s="140">
        <f>_xll.DBRW($A$1,H$2,H$3,$D$17,$A$2,$D81,$E81,$F81,$A$5)</f>
        <v>0</v>
      </c>
      <c r="I81" s="140">
        <f>_xll.DBRW($A$1,I$2,I$3,$D$17,$A$2,$D81,$E81,$F81,$A$5)</f>
        <v>1</v>
      </c>
      <c r="J81" s="140">
        <f>_xll.DBRW($A$1,J$2,J$3,$D$17,$A$2,$D81,$E81,$F81,$A$5)</f>
        <v>1</v>
      </c>
      <c r="K81" s="140">
        <f>_xll.DBRW($A$1,K$2,K$3,$D$17,$A$2,$D81,$E81,$F81,$A$5)</f>
        <v>1</v>
      </c>
      <c r="L81" s="140">
        <f>_xll.DBRW($A$1,L$2,L$3,$D$17,$A$2,$D81,$E81,$F81,$A$5)</f>
        <v>1</v>
      </c>
      <c r="M81" s="140">
        <f>_xll.DBRW($A$1,M$2,M$3,$D$17,$A$2,$D81,$E81,$F81,$A$5)</f>
        <v>1</v>
      </c>
      <c r="N81" s="140">
        <f>_xll.DBRW($A$1,N$2,N$3,$D$17,$A$2,$D81,$E81,$F81,$A$5)</f>
        <v>1</v>
      </c>
      <c r="O81" s="140">
        <f>_xll.DBRW($A$1,O$2,O$3,$D$17,$A$2,$D81,$E81,$F81,$A$5)</f>
        <v>1</v>
      </c>
      <c r="P81" s="140">
        <f>_xll.DBRW($A$1,P$2,P$3,$D$17,$A$2,$D81,$E81,$F81,$A$5)</f>
        <v>1</v>
      </c>
      <c r="Q81" s="140">
        <f>_xll.DBRW($A$1,Q$2,Q$3,$D$17,$A$2,$D81,$E81,$F81,$A$5)</f>
        <v>1</v>
      </c>
      <c r="R81" s="140">
        <f>_xll.DBRW($A$1,R$2,R$3,$D$17,$A$2,$D81,$E81,$F81,$A$5)</f>
        <v>1</v>
      </c>
    </row>
    <row r="82" spans="1:18" s="23" customFormat="1" outlineLevel="1" thickBot="1" x14ac:dyDescent="0.3">
      <c r="A82" s="157" t="str">
        <f>IF(_xll.TM1RPTELISCONSOLIDATED($F$22,$F82),IF(_xll.TM1RPTELLEV($F$22,$F82)&lt;=5,_xll.TM1RPTELLEV($F$22,$F82),"Default"),"Leaf")</f>
        <v>Leaf</v>
      </c>
      <c r="B82" s="24" t="str">
        <f>_xll.DBRW("TM1-S1_DEV:}ElementAttributes_SP_SKU",$D82,B$1)</f>
        <v>Primary</v>
      </c>
      <c r="C82" s="24" t="str">
        <f>_xll.DBRW("TM1-S1_DEV:}ElementAttributes_SP_SKU",$D82,C$1)</f>
        <v>INGREDIENT</v>
      </c>
      <c r="D82" s="28" t="s">
        <v>414</v>
      </c>
      <c r="E82" s="28" t="s">
        <v>239</v>
      </c>
      <c r="F82" s="28" t="s">
        <v>44</v>
      </c>
      <c r="G82" s="140">
        <f>_xll.DBRW($A$1,G$2,G$3,$D$17,$A$2,$D82,$E82,$F82,$A$5)</f>
        <v>3</v>
      </c>
      <c r="H82" s="140">
        <f>_xll.DBRW($A$1,H$2,H$3,$D$17,$A$2,$D82,$E82,$F82,$A$5)</f>
        <v>0</v>
      </c>
      <c r="I82" s="140">
        <f>_xll.DBRW($A$1,I$2,I$3,$D$17,$A$2,$D82,$E82,$F82,$A$5)</f>
        <v>1</v>
      </c>
      <c r="J82" s="140">
        <f>_xll.DBRW($A$1,J$2,J$3,$D$17,$A$2,$D82,$E82,$F82,$A$5)</f>
        <v>1</v>
      </c>
      <c r="K82" s="140">
        <f>_xll.DBRW($A$1,K$2,K$3,$D$17,$A$2,$D82,$E82,$F82,$A$5)</f>
        <v>1</v>
      </c>
      <c r="L82" s="140">
        <f>_xll.DBRW($A$1,L$2,L$3,$D$17,$A$2,$D82,$E82,$F82,$A$5)</f>
        <v>1</v>
      </c>
      <c r="M82" s="140">
        <f>_xll.DBRW($A$1,M$2,M$3,$D$17,$A$2,$D82,$E82,$F82,$A$5)</f>
        <v>1</v>
      </c>
      <c r="N82" s="140">
        <f>_xll.DBRW($A$1,N$2,N$3,$D$17,$A$2,$D82,$E82,$F82,$A$5)</f>
        <v>1</v>
      </c>
      <c r="O82" s="140">
        <f>_xll.DBRW($A$1,O$2,O$3,$D$17,$A$2,$D82,$E82,$F82,$A$5)</f>
        <v>1</v>
      </c>
      <c r="P82" s="140">
        <f>_xll.DBRW($A$1,P$2,P$3,$D$17,$A$2,$D82,$E82,$F82,$A$5)</f>
        <v>1</v>
      </c>
      <c r="Q82" s="140">
        <f>_xll.DBRW($A$1,Q$2,Q$3,$D$17,$A$2,$D82,$E82,$F82,$A$5)</f>
        <v>1</v>
      </c>
      <c r="R82" s="140">
        <f>_xll.DBRW($A$1,R$2,R$3,$D$17,$A$2,$D82,$E82,$F82,$A$5)</f>
        <v>1</v>
      </c>
    </row>
    <row r="83" spans="1:18" s="23" customFormat="1" outlineLevel="1" thickBot="1" x14ac:dyDescent="0.3">
      <c r="A83" s="157" t="str">
        <f>IF(_xll.TM1RPTELISCONSOLIDATED($F$22,$F83),IF(_xll.TM1RPTELLEV($F$22,$F83)&lt;=5,_xll.TM1RPTELLEV($F$22,$F83),"Default"),"Leaf")</f>
        <v>Leaf</v>
      </c>
      <c r="B83" s="24" t="str">
        <f>_xll.DBRW("TM1-S1_DEV:}ElementAttributes_SP_SKU",$D83,B$1)</f>
        <v>Primary</v>
      </c>
      <c r="C83" s="24" t="str">
        <f>_xll.DBRW("TM1-S1_DEV:}ElementAttributes_SP_SKU",$D83,C$1)</f>
        <v>CONDIMENT</v>
      </c>
      <c r="D83" s="28" t="s">
        <v>415</v>
      </c>
      <c r="E83" s="28" t="s">
        <v>240</v>
      </c>
      <c r="F83" s="28" t="s">
        <v>19</v>
      </c>
      <c r="G83" s="140">
        <f>_xll.DBRW($A$1,G$2,G$3,$D$17,$A$2,$D83,$E83,$F83,$A$5)</f>
        <v>5</v>
      </c>
      <c r="H83" s="140">
        <f>_xll.DBRW($A$1,H$2,H$3,$D$17,$A$2,$D83,$E83,$F83,$A$5)</f>
        <v>0</v>
      </c>
      <c r="I83" s="140">
        <f>_xll.DBRW($A$1,I$2,I$3,$D$17,$A$2,$D83,$E83,$F83,$A$5)</f>
        <v>1</v>
      </c>
      <c r="J83" s="140">
        <f>_xll.DBRW($A$1,J$2,J$3,$D$17,$A$2,$D83,$E83,$F83,$A$5)</f>
        <v>1</v>
      </c>
      <c r="K83" s="140">
        <f>_xll.DBRW($A$1,K$2,K$3,$D$17,$A$2,$D83,$E83,$F83,$A$5)</f>
        <v>1</v>
      </c>
      <c r="L83" s="140">
        <f>_xll.DBRW($A$1,L$2,L$3,$D$17,$A$2,$D83,$E83,$F83,$A$5)</f>
        <v>1</v>
      </c>
      <c r="M83" s="140">
        <f>_xll.DBRW($A$1,M$2,M$3,$D$17,$A$2,$D83,$E83,$F83,$A$5)</f>
        <v>1</v>
      </c>
      <c r="N83" s="140">
        <f>_xll.DBRW($A$1,N$2,N$3,$D$17,$A$2,$D83,$E83,$F83,$A$5)</f>
        <v>1</v>
      </c>
      <c r="O83" s="140">
        <f>_xll.DBRW($A$1,O$2,O$3,$D$17,$A$2,$D83,$E83,$F83,$A$5)</f>
        <v>1</v>
      </c>
      <c r="P83" s="140">
        <f>_xll.DBRW($A$1,P$2,P$3,$D$17,$A$2,$D83,$E83,$F83,$A$5)</f>
        <v>1</v>
      </c>
      <c r="Q83" s="140">
        <f>_xll.DBRW($A$1,Q$2,Q$3,$D$17,$A$2,$D83,$E83,$F83,$A$5)</f>
        <v>1</v>
      </c>
      <c r="R83" s="140">
        <f>_xll.DBRW($A$1,R$2,R$3,$D$17,$A$2,$D83,$E83,$F83,$A$5)</f>
        <v>1</v>
      </c>
    </row>
    <row r="84" spans="1:18" s="23" customFormat="1" outlineLevel="1" thickBot="1" x14ac:dyDescent="0.3">
      <c r="A84" s="157" t="str">
        <f>IF(_xll.TM1RPTELISCONSOLIDATED($F$22,$F84),IF(_xll.TM1RPTELLEV($F$22,$F84)&lt;=5,_xll.TM1RPTELLEV($F$22,$F84),"Default"),"Leaf")</f>
        <v>Leaf</v>
      </c>
      <c r="B84" s="24" t="str">
        <f>_xll.DBRW("TM1-S1_DEV:}ElementAttributes_SP_SKU",$D84,B$1)</f>
        <v>Primary</v>
      </c>
      <c r="C84" s="24" t="str">
        <f>_xll.DBRW("TM1-S1_DEV:}ElementAttributes_SP_SKU",$D84,C$1)</f>
        <v>CONDIMENT</v>
      </c>
      <c r="D84" s="28" t="s">
        <v>416</v>
      </c>
      <c r="E84" s="28" t="s">
        <v>241</v>
      </c>
      <c r="F84" s="28" t="s">
        <v>19</v>
      </c>
      <c r="G84" s="140">
        <f>_xll.DBRW($A$1,G$2,G$3,$D$17,$A$2,$D84,$E84,$F84,$A$5)</f>
        <v>2</v>
      </c>
      <c r="H84" s="140">
        <f>_xll.DBRW($A$1,H$2,H$3,$D$17,$A$2,$D84,$E84,$F84,$A$5)</f>
        <v>0</v>
      </c>
      <c r="I84" s="140">
        <f>_xll.DBRW($A$1,I$2,I$3,$D$17,$A$2,$D84,$E84,$F84,$A$5)</f>
        <v>2</v>
      </c>
      <c r="J84" s="140">
        <f>_xll.DBRW($A$1,J$2,J$3,$D$17,$A$2,$D84,$E84,$F84,$A$5)</f>
        <v>2</v>
      </c>
      <c r="K84" s="140">
        <f>_xll.DBRW($A$1,K$2,K$3,$D$17,$A$2,$D84,$E84,$F84,$A$5)</f>
        <v>2</v>
      </c>
      <c r="L84" s="140">
        <f>_xll.DBRW($A$1,L$2,L$3,$D$17,$A$2,$D84,$E84,$F84,$A$5)</f>
        <v>2</v>
      </c>
      <c r="M84" s="140">
        <f>_xll.DBRW($A$1,M$2,M$3,$D$17,$A$2,$D84,$E84,$F84,$A$5)</f>
        <v>2</v>
      </c>
      <c r="N84" s="140">
        <f>_xll.DBRW($A$1,N$2,N$3,$D$17,$A$2,$D84,$E84,$F84,$A$5)</f>
        <v>2</v>
      </c>
      <c r="O84" s="140">
        <f>_xll.DBRW($A$1,O$2,O$3,$D$17,$A$2,$D84,$E84,$F84,$A$5)</f>
        <v>2</v>
      </c>
      <c r="P84" s="140">
        <f>_xll.DBRW($A$1,P$2,P$3,$D$17,$A$2,$D84,$E84,$F84,$A$5)</f>
        <v>2</v>
      </c>
      <c r="Q84" s="140">
        <f>_xll.DBRW($A$1,Q$2,Q$3,$D$17,$A$2,$D84,$E84,$F84,$A$5)</f>
        <v>2</v>
      </c>
      <c r="R84" s="140">
        <f>_xll.DBRW($A$1,R$2,R$3,$D$17,$A$2,$D84,$E84,$F84,$A$5)</f>
        <v>2</v>
      </c>
    </row>
    <row r="85" spans="1:18" s="23" customFormat="1" outlineLevel="1" thickBot="1" x14ac:dyDescent="0.3">
      <c r="A85" s="157" t="str">
        <f>IF(_xll.TM1RPTELISCONSOLIDATED($F$22,$F85),IF(_xll.TM1RPTELLEV($F$22,$F85)&lt;=5,_xll.TM1RPTELLEV($F$22,$F85),"Default"),"Leaf")</f>
        <v>Leaf</v>
      </c>
      <c r="B85" s="24" t="str">
        <f>_xll.DBRW("TM1-S1_DEV:}ElementAttributes_SP_SKU",$D85,B$1)</f>
        <v>Primary</v>
      </c>
      <c r="C85" s="24" t="str">
        <f>_xll.DBRW("TM1-S1_DEV:}ElementAttributes_SP_SKU",$D85,C$1)</f>
        <v>COOKIE</v>
      </c>
      <c r="D85" s="28" t="s">
        <v>417</v>
      </c>
      <c r="E85" s="28" t="s">
        <v>120</v>
      </c>
      <c r="F85" s="28" t="s">
        <v>21</v>
      </c>
      <c r="G85" s="140">
        <f>_xll.DBRW($A$1,G$2,G$3,$D$17,$A$2,$D85,$E85,$F85,$A$5)</f>
        <v>10</v>
      </c>
      <c r="H85" s="140">
        <f>_xll.DBRW($A$1,H$2,H$3,$D$17,$A$2,$D85,$E85,$F85,$A$5)</f>
        <v>0</v>
      </c>
      <c r="I85" s="140">
        <f>_xll.DBRW($A$1,I$2,I$3,$D$17,$A$2,$D85,$E85,$F85,$A$5)</f>
        <v>10</v>
      </c>
      <c r="J85" s="140">
        <f>_xll.DBRW($A$1,J$2,J$3,$D$17,$A$2,$D85,$E85,$F85,$A$5)</f>
        <v>10</v>
      </c>
      <c r="K85" s="140">
        <f>_xll.DBRW($A$1,K$2,K$3,$D$17,$A$2,$D85,$E85,$F85,$A$5)</f>
        <v>10</v>
      </c>
      <c r="L85" s="140">
        <f>_xll.DBRW($A$1,L$2,L$3,$D$17,$A$2,$D85,$E85,$F85,$A$5)</f>
        <v>10</v>
      </c>
      <c r="M85" s="140">
        <f>_xll.DBRW($A$1,M$2,M$3,$D$17,$A$2,$D85,$E85,$F85,$A$5)</f>
        <v>10</v>
      </c>
      <c r="N85" s="140">
        <f>_xll.DBRW($A$1,N$2,N$3,$D$17,$A$2,$D85,$E85,$F85,$A$5)</f>
        <v>10</v>
      </c>
      <c r="O85" s="140">
        <f>_xll.DBRW($A$1,O$2,O$3,$D$17,$A$2,$D85,$E85,$F85,$A$5)</f>
        <v>10</v>
      </c>
      <c r="P85" s="140">
        <f>_xll.DBRW($A$1,P$2,P$3,$D$17,$A$2,$D85,$E85,$F85,$A$5)</f>
        <v>10</v>
      </c>
      <c r="Q85" s="140">
        <f>_xll.DBRW($A$1,Q$2,Q$3,$D$17,$A$2,$D85,$E85,$F85,$A$5)</f>
        <v>10</v>
      </c>
      <c r="R85" s="140">
        <f>_xll.DBRW($A$1,R$2,R$3,$D$17,$A$2,$D85,$E85,$F85,$A$5)</f>
        <v>10</v>
      </c>
    </row>
    <row r="86" spans="1:18" s="23" customFormat="1" outlineLevel="1" thickBot="1" x14ac:dyDescent="0.3">
      <c r="A86" s="157" t="str">
        <f>IF(_xll.TM1RPTELISCONSOLIDATED($F$22,$F86),IF(_xll.TM1RPTELLEV($F$22,$F86)&lt;=5,_xll.TM1RPTELLEV($F$22,$F86),"Default"),"Leaf")</f>
        <v>Leaf</v>
      </c>
      <c r="B86" s="24" t="str">
        <f>_xll.DBRW("TM1-S1_DEV:}ElementAttributes_SP_SKU",$D86,B$1)</f>
        <v>Primary</v>
      </c>
      <c r="C86" s="24" t="str">
        <f>_xll.DBRW("TM1-S1_DEV:}ElementAttributes_SP_SKU",$D86,C$1)</f>
        <v>COOKIE</v>
      </c>
      <c r="D86" s="28" t="s">
        <v>418</v>
      </c>
      <c r="E86" s="28" t="s">
        <v>121</v>
      </c>
      <c r="F86" s="28" t="s">
        <v>21</v>
      </c>
      <c r="G86" s="140">
        <f>_xll.DBRW($A$1,G$2,G$3,$D$17,$A$2,$D86,$E86,$F86,$A$5)</f>
        <v>11</v>
      </c>
      <c r="H86" s="140">
        <f>_xll.DBRW($A$1,H$2,H$3,$D$17,$A$2,$D86,$E86,$F86,$A$5)</f>
        <v>0</v>
      </c>
      <c r="I86" s="140">
        <f>_xll.DBRW($A$1,I$2,I$3,$D$17,$A$2,$D86,$E86,$F86,$A$5)</f>
        <v>11</v>
      </c>
      <c r="J86" s="140">
        <f>_xll.DBRW($A$1,J$2,J$3,$D$17,$A$2,$D86,$E86,$F86,$A$5)</f>
        <v>11</v>
      </c>
      <c r="K86" s="140">
        <f>_xll.DBRW($A$1,K$2,K$3,$D$17,$A$2,$D86,$E86,$F86,$A$5)</f>
        <v>11</v>
      </c>
      <c r="L86" s="140">
        <f>_xll.DBRW($A$1,L$2,L$3,$D$17,$A$2,$D86,$E86,$F86,$A$5)</f>
        <v>11</v>
      </c>
      <c r="M86" s="140">
        <f>_xll.DBRW($A$1,M$2,M$3,$D$17,$A$2,$D86,$E86,$F86,$A$5)</f>
        <v>11</v>
      </c>
      <c r="N86" s="140">
        <f>_xll.DBRW($A$1,N$2,N$3,$D$17,$A$2,$D86,$E86,$F86,$A$5)</f>
        <v>11</v>
      </c>
      <c r="O86" s="140">
        <f>_xll.DBRW($A$1,O$2,O$3,$D$17,$A$2,$D86,$E86,$F86,$A$5)</f>
        <v>11</v>
      </c>
      <c r="P86" s="140">
        <f>_xll.DBRW($A$1,P$2,P$3,$D$17,$A$2,$D86,$E86,$F86,$A$5)</f>
        <v>11</v>
      </c>
      <c r="Q86" s="140">
        <f>_xll.DBRW($A$1,Q$2,Q$3,$D$17,$A$2,$D86,$E86,$F86,$A$5)</f>
        <v>11</v>
      </c>
      <c r="R86" s="140">
        <f>_xll.DBRW($A$1,R$2,R$3,$D$17,$A$2,$D86,$E86,$F86,$A$5)</f>
        <v>11</v>
      </c>
    </row>
    <row r="87" spans="1:18" s="23" customFormat="1" outlineLevel="1" thickBot="1" x14ac:dyDescent="0.3">
      <c r="A87" s="157" t="str">
        <f>IF(_xll.TM1RPTELISCONSOLIDATED($F$22,$F87),IF(_xll.TM1RPTELLEV($F$22,$F87)&lt;=5,_xll.TM1RPTELLEV($F$22,$F87),"Default"),"Leaf")</f>
        <v>Leaf</v>
      </c>
      <c r="B87" s="24" t="str">
        <f>_xll.DBRW("TM1-S1_DEV:}ElementAttributes_SP_SKU",$D87,B$1)</f>
        <v>Primary</v>
      </c>
      <c r="C87" s="24" t="str">
        <f>_xll.DBRW("TM1-S1_DEV:}ElementAttributes_SP_SKU",$D87,C$1)</f>
        <v>COOKIE</v>
      </c>
      <c r="D87" s="28" t="s">
        <v>419</v>
      </c>
      <c r="E87" s="28" t="s">
        <v>242</v>
      </c>
      <c r="F87" s="28" t="s">
        <v>21</v>
      </c>
      <c r="G87" s="140">
        <f>_xll.DBRW($A$1,G$2,G$3,$D$17,$A$2,$D87,$E87,$F87,$A$5)</f>
        <v>12</v>
      </c>
      <c r="H87" s="140">
        <f>_xll.DBRW($A$1,H$2,H$3,$D$17,$A$2,$D87,$E87,$F87,$A$5)</f>
        <v>0</v>
      </c>
      <c r="I87" s="140">
        <f>_xll.DBRW($A$1,I$2,I$3,$D$17,$A$2,$D87,$E87,$F87,$A$5)</f>
        <v>15</v>
      </c>
      <c r="J87" s="140">
        <f>_xll.DBRW($A$1,J$2,J$3,$D$17,$A$2,$D87,$E87,$F87,$A$5)</f>
        <v>15</v>
      </c>
      <c r="K87" s="140">
        <f>_xll.DBRW($A$1,K$2,K$3,$D$17,$A$2,$D87,$E87,$F87,$A$5)</f>
        <v>15</v>
      </c>
      <c r="L87" s="140">
        <f>_xll.DBRW($A$1,L$2,L$3,$D$17,$A$2,$D87,$E87,$F87,$A$5)</f>
        <v>15</v>
      </c>
      <c r="M87" s="140">
        <f>_xll.DBRW($A$1,M$2,M$3,$D$17,$A$2,$D87,$E87,$F87,$A$5)</f>
        <v>15</v>
      </c>
      <c r="N87" s="140">
        <f>_xll.DBRW($A$1,N$2,N$3,$D$17,$A$2,$D87,$E87,$F87,$A$5)</f>
        <v>15</v>
      </c>
      <c r="O87" s="140">
        <f>_xll.DBRW($A$1,O$2,O$3,$D$17,$A$2,$D87,$E87,$F87,$A$5)</f>
        <v>15</v>
      </c>
      <c r="P87" s="140">
        <f>_xll.DBRW($A$1,P$2,P$3,$D$17,$A$2,$D87,$E87,$F87,$A$5)</f>
        <v>15</v>
      </c>
      <c r="Q87" s="140">
        <f>_xll.DBRW($A$1,Q$2,Q$3,$D$17,$A$2,$D87,$E87,$F87,$A$5)</f>
        <v>15</v>
      </c>
      <c r="R87" s="140">
        <f>_xll.DBRW($A$1,R$2,R$3,$D$17,$A$2,$D87,$E87,$F87,$A$5)</f>
        <v>15</v>
      </c>
    </row>
    <row r="88" spans="1:18" s="23" customFormat="1" outlineLevel="1" thickBot="1" x14ac:dyDescent="0.3">
      <c r="A88" s="157" t="str">
        <f>IF(_xll.TM1RPTELISCONSOLIDATED($F$22,$F88),IF(_xll.TM1RPTELLEV($F$22,$F88)&lt;=5,_xll.TM1RPTELLEV($F$22,$F88),"Default"),"Leaf")</f>
        <v>Leaf</v>
      </c>
      <c r="B88" s="24" t="str">
        <f>_xll.DBRW("TM1-S1_DEV:}ElementAttributes_SP_SKU",$D88,B$1)</f>
        <v>Primary</v>
      </c>
      <c r="C88" s="24" t="str">
        <f>_xll.DBRW("TM1-S1_DEV:}ElementAttributes_SP_SKU",$D88,C$1)</f>
        <v>COOKIE</v>
      </c>
      <c r="D88" s="28" t="s">
        <v>420</v>
      </c>
      <c r="E88" s="28" t="s">
        <v>122</v>
      </c>
      <c r="F88" s="28" t="s">
        <v>21</v>
      </c>
      <c r="G88" s="140">
        <f>_xll.DBRW($A$1,G$2,G$3,$D$17,$A$2,$D88,$E88,$F88,$A$5)</f>
        <v>18</v>
      </c>
      <c r="H88" s="140">
        <f>_xll.DBRW($A$1,H$2,H$3,$D$17,$A$2,$D88,$E88,$F88,$A$5)</f>
        <v>0</v>
      </c>
      <c r="I88" s="140">
        <f>_xll.DBRW($A$1,I$2,I$3,$D$17,$A$2,$D88,$E88,$F88,$A$5)</f>
        <v>15</v>
      </c>
      <c r="J88" s="140">
        <f>_xll.DBRW($A$1,J$2,J$3,$D$17,$A$2,$D88,$E88,$F88,$A$5)</f>
        <v>15</v>
      </c>
      <c r="K88" s="140">
        <f>_xll.DBRW($A$1,K$2,K$3,$D$17,$A$2,$D88,$E88,$F88,$A$5)</f>
        <v>15</v>
      </c>
      <c r="L88" s="140">
        <f>_xll.DBRW($A$1,L$2,L$3,$D$17,$A$2,$D88,$E88,$F88,$A$5)</f>
        <v>15</v>
      </c>
      <c r="M88" s="140">
        <f>_xll.DBRW($A$1,M$2,M$3,$D$17,$A$2,$D88,$E88,$F88,$A$5)</f>
        <v>15</v>
      </c>
      <c r="N88" s="140">
        <f>_xll.DBRW($A$1,N$2,N$3,$D$17,$A$2,$D88,$E88,$F88,$A$5)</f>
        <v>15</v>
      </c>
      <c r="O88" s="140">
        <f>_xll.DBRW($A$1,O$2,O$3,$D$17,$A$2,$D88,$E88,$F88,$A$5)</f>
        <v>15</v>
      </c>
      <c r="P88" s="140">
        <f>_xll.DBRW($A$1,P$2,P$3,$D$17,$A$2,$D88,$E88,$F88,$A$5)</f>
        <v>15</v>
      </c>
      <c r="Q88" s="140">
        <f>_xll.DBRW($A$1,Q$2,Q$3,$D$17,$A$2,$D88,$E88,$F88,$A$5)</f>
        <v>15</v>
      </c>
      <c r="R88" s="140">
        <f>_xll.DBRW($A$1,R$2,R$3,$D$17,$A$2,$D88,$E88,$F88,$A$5)</f>
        <v>15</v>
      </c>
    </row>
    <row r="89" spans="1:18" s="23" customFormat="1" outlineLevel="1" thickBot="1" x14ac:dyDescent="0.3">
      <c r="A89" s="157" t="str">
        <f>IF(_xll.TM1RPTELISCONSOLIDATED($F$22,$F89),IF(_xll.TM1RPTELLEV($F$22,$F89)&lt;=5,_xll.TM1RPTELLEV($F$22,$F89),"Default"),"Leaf")</f>
        <v>Leaf</v>
      </c>
      <c r="B89" s="24" t="str">
        <f>_xll.DBRW("TM1-S1_DEV:}ElementAttributes_SP_SKU",$D89,B$1)</f>
        <v>Primary</v>
      </c>
      <c r="C89" s="24" t="str">
        <f>_xll.DBRW("TM1-S1_DEV:}ElementAttributes_SP_SKU",$D89,C$1)</f>
        <v>INGREDIENT</v>
      </c>
      <c r="D89" s="28" t="s">
        <v>421</v>
      </c>
      <c r="E89" s="28" t="s">
        <v>244</v>
      </c>
      <c r="F89" s="28" t="s">
        <v>51</v>
      </c>
      <c r="G89" s="140">
        <f>_xll.DBRW($A$1,G$2,G$3,$D$17,$A$2,$D89,$E89,$F89,$A$5)</f>
        <v>12</v>
      </c>
      <c r="H89" s="140">
        <f>_xll.DBRW($A$1,H$2,H$3,$D$17,$A$2,$D89,$E89,$F89,$A$5)</f>
        <v>0</v>
      </c>
      <c r="I89" s="140">
        <f>_xll.DBRW($A$1,I$2,I$3,$D$17,$A$2,$D89,$E89,$F89,$A$5)</f>
        <v>4</v>
      </c>
      <c r="J89" s="140">
        <f>_xll.DBRW($A$1,J$2,J$3,$D$17,$A$2,$D89,$E89,$F89,$A$5)</f>
        <v>4</v>
      </c>
      <c r="K89" s="140">
        <f>_xll.DBRW($A$1,K$2,K$3,$D$17,$A$2,$D89,$E89,$F89,$A$5)</f>
        <v>4</v>
      </c>
      <c r="L89" s="140">
        <f>_xll.DBRW($A$1,L$2,L$3,$D$17,$A$2,$D89,$E89,$F89,$A$5)</f>
        <v>4</v>
      </c>
      <c r="M89" s="140">
        <f>_xll.DBRW($A$1,M$2,M$3,$D$17,$A$2,$D89,$E89,$F89,$A$5)</f>
        <v>4</v>
      </c>
      <c r="N89" s="140">
        <f>_xll.DBRW($A$1,N$2,N$3,$D$17,$A$2,$D89,$E89,$F89,$A$5)</f>
        <v>4</v>
      </c>
      <c r="O89" s="140">
        <f>_xll.DBRW($A$1,O$2,O$3,$D$17,$A$2,$D89,$E89,$F89,$A$5)</f>
        <v>4</v>
      </c>
      <c r="P89" s="140">
        <f>_xll.DBRW($A$1,P$2,P$3,$D$17,$A$2,$D89,$E89,$F89,$A$5)</f>
        <v>4</v>
      </c>
      <c r="Q89" s="140">
        <f>_xll.DBRW($A$1,Q$2,Q$3,$D$17,$A$2,$D89,$E89,$F89,$A$5)</f>
        <v>4</v>
      </c>
      <c r="R89" s="140">
        <f>_xll.DBRW($A$1,R$2,R$3,$D$17,$A$2,$D89,$E89,$F89,$A$5)</f>
        <v>4</v>
      </c>
    </row>
    <row r="90" spans="1:18" s="23" customFormat="1" outlineLevel="1" thickBot="1" x14ac:dyDescent="0.3">
      <c r="A90" s="157" t="str">
        <f>IF(_xll.TM1RPTELISCONSOLIDATED($F$22,$F90),IF(_xll.TM1RPTELLEV($F$22,$F90)&lt;=5,_xll.TM1RPTELLEV($F$22,$F90),"Default"),"Leaf")</f>
        <v>Leaf</v>
      </c>
      <c r="B90" s="24" t="str">
        <f>_xll.DBRW("TM1-S1_DEV:}ElementAttributes_SP_SKU",$D90,B$1)</f>
        <v>Primary</v>
      </c>
      <c r="C90" s="24" t="str">
        <f>_xll.DBRW("TM1-S1_DEV:}ElementAttributes_SP_SKU",$D90,C$1)</f>
        <v>SIDES</v>
      </c>
      <c r="D90" s="28" t="s">
        <v>422</v>
      </c>
      <c r="E90" s="28" t="s">
        <v>247</v>
      </c>
      <c r="F90" s="28" t="s">
        <v>44</v>
      </c>
      <c r="G90" s="140">
        <f>_xll.DBRW($A$1,G$2,G$3,$D$17,$A$2,$D90,$E90,$F90,$A$5)</f>
        <v>5</v>
      </c>
      <c r="H90" s="140">
        <f>_xll.DBRW($A$1,H$2,H$3,$D$17,$A$2,$D90,$E90,$F90,$A$5)</f>
        <v>0</v>
      </c>
      <c r="I90" s="140">
        <f>_xll.DBRW($A$1,I$2,I$3,$D$17,$A$2,$D90,$E90,$F90,$A$5)</f>
        <v>6</v>
      </c>
      <c r="J90" s="140">
        <f>_xll.DBRW($A$1,J$2,J$3,$D$17,$A$2,$D90,$E90,$F90,$A$5)</f>
        <v>6</v>
      </c>
      <c r="K90" s="140">
        <f>_xll.DBRW($A$1,K$2,K$3,$D$17,$A$2,$D90,$E90,$F90,$A$5)</f>
        <v>6</v>
      </c>
      <c r="L90" s="140">
        <f>_xll.DBRW($A$1,L$2,L$3,$D$17,$A$2,$D90,$E90,$F90,$A$5)</f>
        <v>6</v>
      </c>
      <c r="M90" s="140">
        <f>_xll.DBRW($A$1,M$2,M$3,$D$17,$A$2,$D90,$E90,$F90,$A$5)</f>
        <v>6</v>
      </c>
      <c r="N90" s="140">
        <f>_xll.DBRW($A$1,N$2,N$3,$D$17,$A$2,$D90,$E90,$F90,$A$5)</f>
        <v>6</v>
      </c>
      <c r="O90" s="140">
        <f>_xll.DBRW($A$1,O$2,O$3,$D$17,$A$2,$D90,$E90,$F90,$A$5)</f>
        <v>6</v>
      </c>
      <c r="P90" s="140">
        <f>_xll.DBRW($A$1,P$2,P$3,$D$17,$A$2,$D90,$E90,$F90,$A$5)</f>
        <v>6</v>
      </c>
      <c r="Q90" s="140">
        <f>_xll.DBRW($A$1,Q$2,Q$3,$D$17,$A$2,$D90,$E90,$F90,$A$5)</f>
        <v>6</v>
      </c>
      <c r="R90" s="140">
        <f>_xll.DBRW($A$1,R$2,R$3,$D$17,$A$2,$D90,$E90,$F90,$A$5)</f>
        <v>6</v>
      </c>
    </row>
    <row r="91" spans="1:18" s="23" customFormat="1" outlineLevel="1" thickBot="1" x14ac:dyDescent="0.3">
      <c r="A91" s="157" t="str">
        <f>IF(_xll.TM1RPTELISCONSOLIDATED($F$22,$F91),IF(_xll.TM1RPTELLEV($F$22,$F91)&lt;=5,_xll.TM1RPTELLEV($F$22,$F91),"Default"),"Leaf")</f>
        <v>Leaf</v>
      </c>
      <c r="B91" s="24" t="str">
        <f>_xll.DBRW("TM1-S1_DEV:}ElementAttributes_SP_SKU",$D91,B$1)</f>
        <v>Primary</v>
      </c>
      <c r="C91" s="24" t="str">
        <f>_xll.DBRW("TM1-S1_DEV:}ElementAttributes_SP_SKU",$D91,C$1)</f>
        <v>CONDIMENT</v>
      </c>
      <c r="D91" s="28" t="s">
        <v>423</v>
      </c>
      <c r="E91" s="28" t="s">
        <v>248</v>
      </c>
      <c r="F91" s="28" t="s">
        <v>44</v>
      </c>
      <c r="G91" s="140">
        <f>_xll.DBRW($A$1,G$2,G$3,$D$17,$A$2,$D91,$E91,$F91,$A$5)</f>
        <v>5</v>
      </c>
      <c r="H91" s="140">
        <f>_xll.DBRW($A$1,H$2,H$3,$D$17,$A$2,$D91,$E91,$F91,$A$5)</f>
        <v>0</v>
      </c>
      <c r="I91" s="140">
        <f>_xll.DBRW($A$1,I$2,I$3,$D$17,$A$2,$D91,$E91,$F91,$A$5)</f>
        <v>18</v>
      </c>
      <c r="J91" s="140">
        <f>_xll.DBRW($A$1,J$2,J$3,$D$17,$A$2,$D91,$E91,$F91,$A$5)</f>
        <v>18</v>
      </c>
      <c r="K91" s="140">
        <f>_xll.DBRW($A$1,K$2,K$3,$D$17,$A$2,$D91,$E91,$F91,$A$5)</f>
        <v>18</v>
      </c>
      <c r="L91" s="140">
        <f>_xll.DBRW($A$1,L$2,L$3,$D$17,$A$2,$D91,$E91,$F91,$A$5)</f>
        <v>18</v>
      </c>
      <c r="M91" s="140">
        <f>_xll.DBRW($A$1,M$2,M$3,$D$17,$A$2,$D91,$E91,$F91,$A$5)</f>
        <v>18</v>
      </c>
      <c r="N91" s="140">
        <f>_xll.DBRW($A$1,N$2,N$3,$D$17,$A$2,$D91,$E91,$F91,$A$5)</f>
        <v>18</v>
      </c>
      <c r="O91" s="140">
        <f>_xll.DBRW($A$1,O$2,O$3,$D$17,$A$2,$D91,$E91,$F91,$A$5)</f>
        <v>18</v>
      </c>
      <c r="P91" s="140">
        <f>_xll.DBRW($A$1,P$2,P$3,$D$17,$A$2,$D91,$E91,$F91,$A$5)</f>
        <v>18</v>
      </c>
      <c r="Q91" s="140">
        <f>_xll.DBRW($A$1,Q$2,Q$3,$D$17,$A$2,$D91,$E91,$F91,$A$5)</f>
        <v>18</v>
      </c>
      <c r="R91" s="140">
        <f>_xll.DBRW($A$1,R$2,R$3,$D$17,$A$2,$D91,$E91,$F91,$A$5)</f>
        <v>18</v>
      </c>
    </row>
    <row r="92" spans="1:18" s="23" customFormat="1" outlineLevel="1" thickBot="1" x14ac:dyDescent="0.3">
      <c r="A92" s="157" t="str">
        <f>IF(_xll.TM1RPTELISCONSOLIDATED($F$22,$F92),IF(_xll.TM1RPTELLEV($F$22,$F92)&lt;=5,_xll.TM1RPTELLEV($F$22,$F92),"Default"),"Leaf")</f>
        <v>Leaf</v>
      </c>
      <c r="B92" s="24" t="str">
        <f>_xll.DBRW("TM1-S1_DEV:}ElementAttributes_SP_SKU",$D92,B$1)</f>
        <v>Primary</v>
      </c>
      <c r="C92" s="24" t="str">
        <f>_xll.DBRW("TM1-S1_DEV:}ElementAttributes_SP_SKU",$D92,C$1)</f>
        <v>INGREDIENT</v>
      </c>
      <c r="D92" s="28" t="s">
        <v>424</v>
      </c>
      <c r="E92" s="28" t="s">
        <v>249</v>
      </c>
      <c r="F92" s="28" t="s">
        <v>45</v>
      </c>
      <c r="G92" s="140">
        <f>_xll.DBRW($A$1,G$2,G$3,$D$17,$A$2,$D92,$E92,$F92,$A$5)</f>
        <v>2</v>
      </c>
      <c r="H92" s="140">
        <f>_xll.DBRW($A$1,H$2,H$3,$D$17,$A$2,$D92,$E92,$F92,$A$5)</f>
        <v>0</v>
      </c>
      <c r="I92" s="140">
        <f>_xll.DBRW($A$1,I$2,I$3,$D$17,$A$2,$D92,$E92,$F92,$A$5)</f>
        <v>1</v>
      </c>
      <c r="J92" s="140">
        <f>_xll.DBRW($A$1,J$2,J$3,$D$17,$A$2,$D92,$E92,$F92,$A$5)</f>
        <v>1</v>
      </c>
      <c r="K92" s="140">
        <f>_xll.DBRW($A$1,K$2,K$3,$D$17,$A$2,$D92,$E92,$F92,$A$5)</f>
        <v>1</v>
      </c>
      <c r="L92" s="140">
        <f>_xll.DBRW($A$1,L$2,L$3,$D$17,$A$2,$D92,$E92,$F92,$A$5)</f>
        <v>1</v>
      </c>
      <c r="M92" s="140">
        <f>_xll.DBRW($A$1,M$2,M$3,$D$17,$A$2,$D92,$E92,$F92,$A$5)</f>
        <v>2</v>
      </c>
      <c r="N92" s="140">
        <f>_xll.DBRW($A$1,N$2,N$3,$D$17,$A$2,$D92,$E92,$F92,$A$5)</f>
        <v>1</v>
      </c>
      <c r="O92" s="140">
        <f>_xll.DBRW($A$1,O$2,O$3,$D$17,$A$2,$D92,$E92,$F92,$A$5)</f>
        <v>1</v>
      </c>
      <c r="P92" s="140">
        <f>_xll.DBRW($A$1,P$2,P$3,$D$17,$A$2,$D92,$E92,$F92,$A$5)</f>
        <v>1</v>
      </c>
      <c r="Q92" s="140">
        <f>_xll.DBRW($A$1,Q$2,Q$3,$D$17,$A$2,$D92,$E92,$F92,$A$5)</f>
        <v>1</v>
      </c>
      <c r="R92" s="140">
        <f>_xll.DBRW($A$1,R$2,R$3,$D$17,$A$2,$D92,$E92,$F92,$A$5)</f>
        <v>1</v>
      </c>
    </row>
    <row r="93" spans="1:18" s="23" customFormat="1" outlineLevel="1" thickBot="1" x14ac:dyDescent="0.3">
      <c r="A93" s="157" t="str">
        <f>IF(_xll.TM1RPTELISCONSOLIDATED($F$22,$F93),IF(_xll.TM1RPTELLEV($F$22,$F93)&lt;=5,_xll.TM1RPTELLEV($F$22,$F93),"Default"),"Leaf")</f>
        <v>Leaf</v>
      </c>
      <c r="B93" s="24" t="str">
        <f>_xll.DBRW("TM1-S1_DEV:}ElementAttributes_SP_SKU",$D93,B$1)</f>
        <v>Primary</v>
      </c>
      <c r="C93" s="24" t="str">
        <f>_xll.DBRW("TM1-S1_DEV:}ElementAttributes_SP_SKU",$D93,C$1)</f>
        <v>INGREDIENT</v>
      </c>
      <c r="D93" s="28" t="s">
        <v>425</v>
      </c>
      <c r="E93" s="28" t="s">
        <v>250</v>
      </c>
      <c r="F93" s="28" t="s">
        <v>52</v>
      </c>
      <c r="G93" s="140">
        <f>_xll.DBRW($A$1,G$2,G$3,$D$17,$A$2,$D93,$E93,$F93,$A$5)</f>
        <v>10</v>
      </c>
      <c r="H93" s="140">
        <f>_xll.DBRW($A$1,H$2,H$3,$D$17,$A$2,$D93,$E93,$F93,$A$5)</f>
        <v>0</v>
      </c>
      <c r="I93" s="140">
        <f>_xll.DBRW($A$1,I$2,I$3,$D$17,$A$2,$D93,$E93,$F93,$A$5)</f>
        <v>10</v>
      </c>
      <c r="J93" s="140">
        <f>_xll.DBRW($A$1,J$2,J$3,$D$17,$A$2,$D93,$E93,$F93,$A$5)</f>
        <v>10</v>
      </c>
      <c r="K93" s="140">
        <f>_xll.DBRW($A$1,K$2,K$3,$D$17,$A$2,$D93,$E93,$F93,$A$5)</f>
        <v>10</v>
      </c>
      <c r="L93" s="140">
        <f>_xll.DBRW($A$1,L$2,L$3,$D$17,$A$2,$D93,$E93,$F93,$A$5)</f>
        <v>10</v>
      </c>
      <c r="M93" s="140">
        <f>_xll.DBRW($A$1,M$2,M$3,$D$17,$A$2,$D93,$E93,$F93,$A$5)</f>
        <v>10</v>
      </c>
      <c r="N93" s="140">
        <f>_xll.DBRW($A$1,N$2,N$3,$D$17,$A$2,$D93,$E93,$F93,$A$5)</f>
        <v>10</v>
      </c>
      <c r="O93" s="140">
        <f>_xll.DBRW($A$1,O$2,O$3,$D$17,$A$2,$D93,$E93,$F93,$A$5)</f>
        <v>10</v>
      </c>
      <c r="P93" s="140">
        <f>_xll.DBRW($A$1,P$2,P$3,$D$17,$A$2,$D93,$E93,$F93,$A$5)</f>
        <v>10</v>
      </c>
      <c r="Q93" s="140">
        <f>_xll.DBRW($A$1,Q$2,Q$3,$D$17,$A$2,$D93,$E93,$F93,$A$5)</f>
        <v>10</v>
      </c>
      <c r="R93" s="140">
        <f>_xll.DBRW($A$1,R$2,R$3,$D$17,$A$2,$D93,$E93,$F93,$A$5)</f>
        <v>10</v>
      </c>
    </row>
    <row r="94" spans="1:18" s="23" customFormat="1" outlineLevel="1" thickBot="1" x14ac:dyDescent="0.3">
      <c r="A94" s="157" t="str">
        <f>IF(_xll.TM1RPTELISCONSOLIDATED($F$22,$F94),IF(_xll.TM1RPTELLEV($F$22,$F94)&lt;=5,_xll.TM1RPTELLEV($F$22,$F94),"Default"),"Leaf")</f>
        <v>Leaf</v>
      </c>
      <c r="B94" s="24" t="str">
        <f>_xll.DBRW("TM1-S1_DEV:}ElementAttributes_SP_SKU",$D94,B$1)</f>
        <v>Primary</v>
      </c>
      <c r="C94" s="24" t="str">
        <f>_xll.DBRW("TM1-S1_DEV:}ElementAttributes_SP_SKU",$D94,C$1)</f>
        <v>INGREDIENT</v>
      </c>
      <c r="D94" s="28" t="s">
        <v>426</v>
      </c>
      <c r="E94" s="28" t="s">
        <v>252</v>
      </c>
      <c r="F94" s="28" t="s">
        <v>62</v>
      </c>
      <c r="G94" s="140">
        <f>_xll.DBRW($A$1,G$2,G$3,$D$17,$A$2,$D94,$E94,$F94,$A$5)</f>
        <v>19</v>
      </c>
      <c r="H94" s="140">
        <f>_xll.DBRW($A$1,H$2,H$3,$D$17,$A$2,$D94,$E94,$F94,$A$5)</f>
        <v>0</v>
      </c>
      <c r="I94" s="140">
        <f>_xll.DBRW($A$1,I$2,I$3,$D$17,$A$2,$D94,$E94,$F94,$A$5)</f>
        <v>16</v>
      </c>
      <c r="J94" s="140">
        <f>_xll.DBRW($A$1,J$2,J$3,$D$17,$A$2,$D94,$E94,$F94,$A$5)</f>
        <v>16</v>
      </c>
      <c r="K94" s="140">
        <f>_xll.DBRW($A$1,K$2,K$3,$D$17,$A$2,$D94,$E94,$F94,$A$5)</f>
        <v>16</v>
      </c>
      <c r="L94" s="140">
        <f>_xll.DBRW($A$1,L$2,L$3,$D$17,$A$2,$D94,$E94,$F94,$A$5)</f>
        <v>16</v>
      </c>
      <c r="M94" s="140">
        <f>_xll.DBRW($A$1,M$2,M$3,$D$17,$A$2,$D94,$E94,$F94,$A$5)</f>
        <v>16</v>
      </c>
      <c r="N94" s="140">
        <f>_xll.DBRW($A$1,N$2,N$3,$D$17,$A$2,$D94,$E94,$F94,$A$5)</f>
        <v>16</v>
      </c>
      <c r="O94" s="140">
        <f>_xll.DBRW($A$1,O$2,O$3,$D$17,$A$2,$D94,$E94,$F94,$A$5)</f>
        <v>16</v>
      </c>
      <c r="P94" s="140">
        <f>_xll.DBRW($A$1,P$2,P$3,$D$17,$A$2,$D94,$E94,$F94,$A$5)</f>
        <v>16</v>
      </c>
      <c r="Q94" s="140">
        <f>_xll.DBRW($A$1,Q$2,Q$3,$D$17,$A$2,$D94,$E94,$F94,$A$5)</f>
        <v>16</v>
      </c>
      <c r="R94" s="140">
        <f>_xll.DBRW($A$1,R$2,R$3,$D$17,$A$2,$D94,$E94,$F94,$A$5)</f>
        <v>16</v>
      </c>
    </row>
    <row r="95" spans="1:18" s="23" customFormat="1" outlineLevel="1" thickBot="1" x14ac:dyDescent="0.3">
      <c r="A95" s="157" t="str">
        <f>IF(_xll.TM1RPTELISCONSOLIDATED($F$22,$F95),IF(_xll.TM1RPTELLEV($F$22,$F95)&lt;=5,_xll.TM1RPTELLEV($F$22,$F95),"Default"),"Leaf")</f>
        <v>Leaf</v>
      </c>
      <c r="B95" s="24" t="str">
        <f>_xll.DBRW("TM1-S1_DEV:}ElementAttributes_SP_SKU",$D95,B$1)</f>
        <v>Primary</v>
      </c>
      <c r="C95" s="24" t="str">
        <f>_xll.DBRW("TM1-S1_DEV:}ElementAttributes_SP_SKU",$D95,C$1)</f>
        <v>COOKIE</v>
      </c>
      <c r="D95" s="28" t="s">
        <v>427</v>
      </c>
      <c r="E95" s="28" t="s">
        <v>253</v>
      </c>
      <c r="F95" s="28" t="s">
        <v>21</v>
      </c>
      <c r="G95" s="140">
        <f>_xll.DBRW($A$1,G$2,G$3,$D$17,$A$2,$D95,$E95,$F95,$A$5)</f>
        <v>2</v>
      </c>
      <c r="H95" s="140">
        <f>_xll.DBRW($A$1,H$2,H$3,$D$17,$A$2,$D95,$E95,$F95,$A$5)</f>
        <v>0</v>
      </c>
      <c r="I95" s="140">
        <f>_xll.DBRW($A$1,I$2,I$3,$D$17,$A$2,$D95,$E95,$F95,$A$5)</f>
        <v>5</v>
      </c>
      <c r="J95" s="140">
        <f>_xll.DBRW($A$1,J$2,J$3,$D$17,$A$2,$D95,$E95,$F95,$A$5)</f>
        <v>5</v>
      </c>
      <c r="K95" s="140">
        <f>_xll.DBRW($A$1,K$2,K$3,$D$17,$A$2,$D95,$E95,$F95,$A$5)</f>
        <v>5</v>
      </c>
      <c r="L95" s="140">
        <f>_xll.DBRW($A$1,L$2,L$3,$D$17,$A$2,$D95,$E95,$F95,$A$5)</f>
        <v>5</v>
      </c>
      <c r="M95" s="140">
        <f>_xll.DBRW($A$1,M$2,M$3,$D$17,$A$2,$D95,$E95,$F95,$A$5)</f>
        <v>5</v>
      </c>
      <c r="N95" s="140">
        <f>_xll.DBRW($A$1,N$2,N$3,$D$17,$A$2,$D95,$E95,$F95,$A$5)</f>
        <v>5</v>
      </c>
      <c r="O95" s="140">
        <f>_xll.DBRW($A$1,O$2,O$3,$D$17,$A$2,$D95,$E95,$F95,$A$5)</f>
        <v>5</v>
      </c>
      <c r="P95" s="140">
        <f>_xll.DBRW($A$1,P$2,P$3,$D$17,$A$2,$D95,$E95,$F95,$A$5)</f>
        <v>5</v>
      </c>
      <c r="Q95" s="140">
        <f>_xll.DBRW($A$1,Q$2,Q$3,$D$17,$A$2,$D95,$E95,$F95,$A$5)</f>
        <v>5</v>
      </c>
      <c r="R95" s="140">
        <f>_xll.DBRW($A$1,R$2,R$3,$D$17,$A$2,$D95,$E95,$F95,$A$5)</f>
        <v>5</v>
      </c>
    </row>
    <row r="96" spans="1:18" s="23" customFormat="1" outlineLevel="1" thickBot="1" x14ac:dyDescent="0.3">
      <c r="A96" s="157" t="str">
        <f>IF(_xll.TM1RPTELISCONSOLIDATED($F$22,$F96),IF(_xll.TM1RPTELLEV($F$22,$F96)&lt;=5,_xll.TM1RPTELLEV($F$22,$F96),"Default"),"Leaf")</f>
        <v>Leaf</v>
      </c>
      <c r="B96" s="24" t="str">
        <f>_xll.DBRW("TM1-S1_DEV:}ElementAttributes_SP_SKU",$D96,B$1)</f>
        <v>Primary</v>
      </c>
      <c r="C96" s="24" t="str">
        <f>_xll.DBRW("TM1-S1_DEV:}ElementAttributes_SP_SKU",$D96,C$1)</f>
        <v>COOKIE</v>
      </c>
      <c r="D96" s="28" t="s">
        <v>428</v>
      </c>
      <c r="E96" s="28" t="s">
        <v>254</v>
      </c>
      <c r="F96" s="28" t="s">
        <v>21</v>
      </c>
      <c r="G96" s="140">
        <f>_xll.DBRW($A$1,G$2,G$3,$D$17,$A$2,$D96,$E96,$F96,$A$5)</f>
        <v>1</v>
      </c>
      <c r="H96" s="140">
        <f>_xll.DBRW($A$1,H$2,H$3,$D$17,$A$2,$D96,$E96,$F96,$A$5)</f>
        <v>0</v>
      </c>
      <c r="I96" s="140">
        <f>_xll.DBRW($A$1,I$2,I$3,$D$17,$A$2,$D96,$E96,$F96,$A$5)</f>
        <v>4</v>
      </c>
      <c r="J96" s="140">
        <f>_xll.DBRW($A$1,J$2,J$3,$D$17,$A$2,$D96,$E96,$F96,$A$5)</f>
        <v>4</v>
      </c>
      <c r="K96" s="140">
        <f>_xll.DBRW($A$1,K$2,K$3,$D$17,$A$2,$D96,$E96,$F96,$A$5)</f>
        <v>4</v>
      </c>
      <c r="L96" s="140">
        <f>_xll.DBRW($A$1,L$2,L$3,$D$17,$A$2,$D96,$E96,$F96,$A$5)</f>
        <v>4</v>
      </c>
      <c r="M96" s="140">
        <f>_xll.DBRW($A$1,M$2,M$3,$D$17,$A$2,$D96,$E96,$F96,$A$5)</f>
        <v>4</v>
      </c>
      <c r="N96" s="140">
        <f>_xll.DBRW($A$1,N$2,N$3,$D$17,$A$2,$D96,$E96,$F96,$A$5)</f>
        <v>4</v>
      </c>
      <c r="O96" s="140">
        <f>_xll.DBRW($A$1,O$2,O$3,$D$17,$A$2,$D96,$E96,$F96,$A$5)</f>
        <v>4</v>
      </c>
      <c r="P96" s="140">
        <f>_xll.DBRW($A$1,P$2,P$3,$D$17,$A$2,$D96,$E96,$F96,$A$5)</f>
        <v>4</v>
      </c>
      <c r="Q96" s="140">
        <f>_xll.DBRW($A$1,Q$2,Q$3,$D$17,$A$2,$D96,$E96,$F96,$A$5)</f>
        <v>4</v>
      </c>
      <c r="R96" s="140">
        <f>_xll.DBRW($A$1,R$2,R$3,$D$17,$A$2,$D96,$E96,$F96,$A$5)</f>
        <v>4</v>
      </c>
    </row>
    <row r="97" spans="1:18" s="23" customFormat="1" outlineLevel="1" thickBot="1" x14ac:dyDescent="0.3">
      <c r="A97" s="157" t="str">
        <f>IF(_xll.TM1RPTELISCONSOLIDATED($F$22,$F97),IF(_xll.TM1RPTELLEV($F$22,$F97)&lt;=5,_xll.TM1RPTELLEV($F$22,$F97),"Default"),"Leaf")</f>
        <v>Leaf</v>
      </c>
      <c r="B97" s="24" t="str">
        <f>_xll.DBRW("TM1-S1_DEV:}ElementAttributes_SP_SKU",$D97,B$1)</f>
        <v>Primary</v>
      </c>
      <c r="C97" s="24" t="str">
        <f>_xll.DBRW("TM1-S1_DEV:}ElementAttributes_SP_SKU",$D97,C$1)</f>
        <v>INGREDIENT</v>
      </c>
      <c r="D97" s="28" t="s">
        <v>429</v>
      </c>
      <c r="E97" s="28" t="s">
        <v>123</v>
      </c>
      <c r="F97" s="28" t="s">
        <v>44</v>
      </c>
      <c r="G97" s="140">
        <f>_xll.DBRW($A$1,G$2,G$3,$D$17,$A$2,$D97,$E97,$F97,$A$5)</f>
        <v>2</v>
      </c>
      <c r="H97" s="140">
        <f>_xll.DBRW($A$1,H$2,H$3,$D$17,$A$2,$D97,$E97,$F97,$A$5)</f>
        <v>0</v>
      </c>
      <c r="I97" s="140">
        <f>_xll.DBRW($A$1,I$2,I$3,$D$17,$A$2,$D97,$E97,$F97,$A$5)</f>
        <v>2</v>
      </c>
      <c r="J97" s="140">
        <f>_xll.DBRW($A$1,J$2,J$3,$D$17,$A$2,$D97,$E97,$F97,$A$5)</f>
        <v>2</v>
      </c>
      <c r="K97" s="140">
        <f>_xll.DBRW($A$1,K$2,K$3,$D$17,$A$2,$D97,$E97,$F97,$A$5)</f>
        <v>2</v>
      </c>
      <c r="L97" s="140">
        <f>_xll.DBRW($A$1,L$2,L$3,$D$17,$A$2,$D97,$E97,$F97,$A$5)</f>
        <v>2</v>
      </c>
      <c r="M97" s="140">
        <f>_xll.DBRW($A$1,M$2,M$3,$D$17,$A$2,$D97,$E97,$F97,$A$5)</f>
        <v>2</v>
      </c>
      <c r="N97" s="140">
        <f>_xll.DBRW($A$1,N$2,N$3,$D$17,$A$2,$D97,$E97,$F97,$A$5)</f>
        <v>2</v>
      </c>
      <c r="O97" s="140">
        <f>_xll.DBRW($A$1,O$2,O$3,$D$17,$A$2,$D97,$E97,$F97,$A$5)</f>
        <v>2</v>
      </c>
      <c r="P97" s="140">
        <f>_xll.DBRW($A$1,P$2,P$3,$D$17,$A$2,$D97,$E97,$F97,$A$5)</f>
        <v>2</v>
      </c>
      <c r="Q97" s="140">
        <f>_xll.DBRW($A$1,Q$2,Q$3,$D$17,$A$2,$D97,$E97,$F97,$A$5)</f>
        <v>2</v>
      </c>
      <c r="R97" s="140">
        <f>_xll.DBRW($A$1,R$2,R$3,$D$17,$A$2,$D97,$E97,$F97,$A$5)</f>
        <v>2</v>
      </c>
    </row>
    <row r="98" spans="1:18" s="23" customFormat="1" outlineLevel="1" thickBot="1" x14ac:dyDescent="0.3">
      <c r="A98" s="157" t="str">
        <f>IF(_xll.TM1RPTELISCONSOLIDATED($F$22,$F98),IF(_xll.TM1RPTELLEV($F$22,$F98)&lt;=5,_xll.TM1RPTELLEV($F$22,$F98),"Default"),"Leaf")</f>
        <v>Leaf</v>
      </c>
      <c r="B98" s="24" t="str">
        <f>_xll.DBRW("TM1-S1_DEV:}ElementAttributes_SP_SKU",$D98,B$1)</f>
        <v>Primary</v>
      </c>
      <c r="C98" s="24" t="str">
        <f>_xll.DBRW("TM1-S1_DEV:}ElementAttributes_SP_SKU",$D98,C$1)</f>
        <v>INGREDIENT</v>
      </c>
      <c r="D98" s="28" t="s">
        <v>430</v>
      </c>
      <c r="E98" s="28" t="s">
        <v>257</v>
      </c>
      <c r="F98" s="28" t="s">
        <v>26</v>
      </c>
      <c r="G98" s="140">
        <f>_xll.DBRW($A$1,G$2,G$3,$D$17,$A$2,$D98,$E98,$F98,$A$5)</f>
        <v>2</v>
      </c>
      <c r="H98" s="140">
        <f>_xll.DBRW($A$1,H$2,H$3,$D$17,$A$2,$D98,$E98,$F98,$A$5)</f>
        <v>0</v>
      </c>
      <c r="I98" s="140">
        <f>_xll.DBRW($A$1,I$2,I$3,$D$17,$A$2,$D98,$E98,$F98,$A$5)</f>
        <v>5</v>
      </c>
      <c r="J98" s="140">
        <f>_xll.DBRW($A$1,J$2,J$3,$D$17,$A$2,$D98,$E98,$F98,$A$5)</f>
        <v>5</v>
      </c>
      <c r="K98" s="140">
        <f>_xll.DBRW($A$1,K$2,K$3,$D$17,$A$2,$D98,$E98,$F98,$A$5)</f>
        <v>5</v>
      </c>
      <c r="L98" s="140">
        <f>_xll.DBRW($A$1,L$2,L$3,$D$17,$A$2,$D98,$E98,$F98,$A$5)</f>
        <v>5</v>
      </c>
      <c r="M98" s="140">
        <f>_xll.DBRW($A$1,M$2,M$3,$D$17,$A$2,$D98,$E98,$F98,$A$5)</f>
        <v>5</v>
      </c>
      <c r="N98" s="140">
        <f>_xll.DBRW($A$1,N$2,N$3,$D$17,$A$2,$D98,$E98,$F98,$A$5)</f>
        <v>5</v>
      </c>
      <c r="O98" s="140">
        <f>_xll.DBRW($A$1,O$2,O$3,$D$17,$A$2,$D98,$E98,$F98,$A$5)</f>
        <v>5</v>
      </c>
      <c r="P98" s="140">
        <f>_xll.DBRW($A$1,P$2,P$3,$D$17,$A$2,$D98,$E98,$F98,$A$5)</f>
        <v>5</v>
      </c>
      <c r="Q98" s="140">
        <f>_xll.DBRW($A$1,Q$2,Q$3,$D$17,$A$2,$D98,$E98,$F98,$A$5)</f>
        <v>5</v>
      </c>
      <c r="R98" s="140">
        <f>_xll.DBRW($A$1,R$2,R$3,$D$17,$A$2,$D98,$E98,$F98,$A$5)</f>
        <v>5</v>
      </c>
    </row>
    <row r="99" spans="1:18" s="23" customFormat="1" outlineLevel="1" thickBot="1" x14ac:dyDescent="0.3">
      <c r="A99" s="157" t="str">
        <f>IF(_xll.TM1RPTELISCONSOLIDATED($F$22,$F99),IF(_xll.TM1RPTELLEV($F$22,$F99)&lt;=5,_xll.TM1RPTELLEV($F$22,$F99),"Default"),"Leaf")</f>
        <v>Leaf</v>
      </c>
      <c r="B99" s="24" t="str">
        <f>_xll.DBRW("TM1-S1_DEV:}ElementAttributes_SP_SKU",$D99,B$1)</f>
        <v>Primary</v>
      </c>
      <c r="C99" s="24" t="str">
        <f>_xll.DBRW("TM1-S1_DEV:}ElementAttributes_SP_SKU",$D99,C$1)</f>
        <v>TRAY</v>
      </c>
      <c r="D99" s="28" t="s">
        <v>431</v>
      </c>
      <c r="E99" s="28" t="s">
        <v>259</v>
      </c>
      <c r="F99" s="28" t="s">
        <v>30</v>
      </c>
      <c r="G99" s="140">
        <f>_xll.DBRW($A$1,G$2,G$3,$D$17,$A$2,$D99,$E99,$F99,$A$5)</f>
        <v>1</v>
      </c>
      <c r="H99" s="140">
        <f>_xll.DBRW($A$1,H$2,H$3,$D$17,$A$2,$D99,$E99,$F99,$A$5)</f>
        <v>0</v>
      </c>
      <c r="I99" s="140">
        <f>_xll.DBRW($A$1,I$2,I$3,$D$17,$A$2,$D99,$E99,$F99,$A$5)</f>
        <v>1</v>
      </c>
      <c r="J99" s="140">
        <f>_xll.DBRW($A$1,J$2,J$3,$D$17,$A$2,$D99,$E99,$F99,$A$5)</f>
        <v>1</v>
      </c>
      <c r="K99" s="140">
        <f>_xll.DBRW($A$1,K$2,K$3,$D$17,$A$2,$D99,$E99,$F99,$A$5)</f>
        <v>1</v>
      </c>
      <c r="L99" s="140">
        <f>_xll.DBRW($A$1,L$2,L$3,$D$17,$A$2,$D99,$E99,$F99,$A$5)</f>
        <v>1</v>
      </c>
      <c r="M99" s="140">
        <f>_xll.DBRW($A$1,M$2,M$3,$D$17,$A$2,$D99,$E99,$F99,$A$5)</f>
        <v>1</v>
      </c>
      <c r="N99" s="140">
        <f>_xll.DBRW($A$1,N$2,N$3,$D$17,$A$2,$D99,$E99,$F99,$A$5)</f>
        <v>1</v>
      </c>
      <c r="O99" s="140">
        <f>_xll.DBRW($A$1,O$2,O$3,$D$17,$A$2,$D99,$E99,$F99,$A$5)</f>
        <v>1</v>
      </c>
      <c r="P99" s="140">
        <f>_xll.DBRW($A$1,P$2,P$3,$D$17,$A$2,$D99,$E99,$F99,$A$5)</f>
        <v>1</v>
      </c>
      <c r="Q99" s="140">
        <f>_xll.DBRW($A$1,Q$2,Q$3,$D$17,$A$2,$D99,$E99,$F99,$A$5)</f>
        <v>1</v>
      </c>
      <c r="R99" s="140">
        <f>_xll.DBRW($A$1,R$2,R$3,$D$17,$A$2,$D99,$E99,$F99,$A$5)</f>
        <v>1</v>
      </c>
    </row>
    <row r="100" spans="1:18" s="23" customFormat="1" outlineLevel="1" thickBot="1" x14ac:dyDescent="0.3">
      <c r="A100" s="157" t="str">
        <f>IF(_xll.TM1RPTELISCONSOLIDATED($F$22,$F100),IF(_xll.TM1RPTELLEV($F$22,$F100)&lt;=5,_xll.TM1RPTELLEV($F$22,$F100),"Default"),"Leaf")</f>
        <v>Leaf</v>
      </c>
      <c r="B100" s="24" t="str">
        <f>_xll.DBRW("TM1-S1_DEV:}ElementAttributes_SP_SKU",$D100,B$1)</f>
        <v>Primary</v>
      </c>
      <c r="C100" s="24" t="str">
        <f>_xll.DBRW("TM1-S1_DEV:}ElementAttributes_SP_SKU",$D100,C$1)</f>
        <v>TRAY</v>
      </c>
      <c r="D100" s="28" t="s">
        <v>432</v>
      </c>
      <c r="E100" s="28" t="s">
        <v>260</v>
      </c>
      <c r="F100" s="28" t="s">
        <v>30</v>
      </c>
      <c r="G100" s="140">
        <f>_xll.DBRW($A$1,G$2,G$3,$D$17,$A$2,$D100,$E100,$F100,$A$5)</f>
        <v>1</v>
      </c>
      <c r="H100" s="140">
        <f>_xll.DBRW($A$1,H$2,H$3,$D$17,$A$2,$D100,$E100,$F100,$A$5)</f>
        <v>0</v>
      </c>
      <c r="I100" s="140">
        <f>_xll.DBRW($A$1,I$2,I$3,$D$17,$A$2,$D100,$E100,$F100,$A$5)</f>
        <v>3</v>
      </c>
      <c r="J100" s="140">
        <f>_xll.DBRW($A$1,J$2,J$3,$D$17,$A$2,$D100,$E100,$F100,$A$5)</f>
        <v>3</v>
      </c>
      <c r="K100" s="140">
        <f>_xll.DBRW($A$1,K$2,K$3,$D$17,$A$2,$D100,$E100,$F100,$A$5)</f>
        <v>3</v>
      </c>
      <c r="L100" s="140">
        <f>_xll.DBRW($A$1,L$2,L$3,$D$17,$A$2,$D100,$E100,$F100,$A$5)</f>
        <v>3</v>
      </c>
      <c r="M100" s="140">
        <f>_xll.DBRW($A$1,M$2,M$3,$D$17,$A$2,$D100,$E100,$F100,$A$5)</f>
        <v>3</v>
      </c>
      <c r="N100" s="140">
        <f>_xll.DBRW($A$1,N$2,N$3,$D$17,$A$2,$D100,$E100,$F100,$A$5)</f>
        <v>3</v>
      </c>
      <c r="O100" s="140">
        <f>_xll.DBRW($A$1,O$2,O$3,$D$17,$A$2,$D100,$E100,$F100,$A$5)</f>
        <v>3</v>
      </c>
      <c r="P100" s="140">
        <f>_xll.DBRW($A$1,P$2,P$3,$D$17,$A$2,$D100,$E100,$F100,$A$5)</f>
        <v>3</v>
      </c>
      <c r="Q100" s="140">
        <f>_xll.DBRW($A$1,Q$2,Q$3,$D$17,$A$2,$D100,$E100,$F100,$A$5)</f>
        <v>3</v>
      </c>
      <c r="R100" s="140">
        <f>_xll.DBRW($A$1,R$2,R$3,$D$17,$A$2,$D100,$E100,$F100,$A$5)</f>
        <v>3</v>
      </c>
    </row>
    <row r="101" spans="1:18" s="23" customFormat="1" outlineLevel="1" thickBot="1" x14ac:dyDescent="0.3">
      <c r="A101" s="157" t="str">
        <f>IF(_xll.TM1RPTELISCONSOLIDATED($F$22,$F101),IF(_xll.TM1RPTELLEV($F$22,$F101)&lt;=5,_xll.TM1RPTELLEV($F$22,$F101),"Default"),"Leaf")</f>
        <v>Leaf</v>
      </c>
      <c r="B101" s="24" t="str">
        <f>_xll.DBRW("TM1-S1_DEV:}ElementAttributes_SP_SKU",$D101,B$1)</f>
        <v>Primary</v>
      </c>
      <c r="C101" s="24" t="str">
        <f>_xll.DBRW("TM1-S1_DEV:}ElementAttributes_SP_SKU",$D101,C$1)</f>
        <v>TRAY</v>
      </c>
      <c r="D101" s="28" t="s">
        <v>433</v>
      </c>
      <c r="E101" s="28" t="s">
        <v>261</v>
      </c>
      <c r="F101" s="28" t="s">
        <v>30</v>
      </c>
      <c r="G101" s="140">
        <f>_xll.DBRW($A$1,G$2,G$3,$D$17,$A$2,$D101,$E101,$F101,$A$5)</f>
        <v>5</v>
      </c>
      <c r="H101" s="140">
        <f>_xll.DBRW($A$1,H$2,H$3,$D$17,$A$2,$D101,$E101,$F101,$A$5)</f>
        <v>0</v>
      </c>
      <c r="I101" s="140">
        <f>_xll.DBRW($A$1,I$2,I$3,$D$17,$A$2,$D101,$E101,$F101,$A$5)</f>
        <v>2</v>
      </c>
      <c r="J101" s="140">
        <f>_xll.DBRW($A$1,J$2,J$3,$D$17,$A$2,$D101,$E101,$F101,$A$5)</f>
        <v>2</v>
      </c>
      <c r="K101" s="140">
        <f>_xll.DBRW($A$1,K$2,K$3,$D$17,$A$2,$D101,$E101,$F101,$A$5)</f>
        <v>2</v>
      </c>
      <c r="L101" s="140">
        <f>_xll.DBRW($A$1,L$2,L$3,$D$17,$A$2,$D101,$E101,$F101,$A$5)</f>
        <v>2</v>
      </c>
      <c r="M101" s="140">
        <f>_xll.DBRW($A$1,M$2,M$3,$D$17,$A$2,$D101,$E101,$F101,$A$5)</f>
        <v>2</v>
      </c>
      <c r="N101" s="140">
        <f>_xll.DBRW($A$1,N$2,N$3,$D$17,$A$2,$D101,$E101,$F101,$A$5)</f>
        <v>2</v>
      </c>
      <c r="O101" s="140">
        <f>_xll.DBRW($A$1,O$2,O$3,$D$17,$A$2,$D101,$E101,$F101,$A$5)</f>
        <v>2</v>
      </c>
      <c r="P101" s="140">
        <f>_xll.DBRW($A$1,P$2,P$3,$D$17,$A$2,$D101,$E101,$F101,$A$5)</f>
        <v>2</v>
      </c>
      <c r="Q101" s="140">
        <f>_xll.DBRW($A$1,Q$2,Q$3,$D$17,$A$2,$D101,$E101,$F101,$A$5)</f>
        <v>2</v>
      </c>
      <c r="R101" s="140">
        <f>_xll.DBRW($A$1,R$2,R$3,$D$17,$A$2,$D101,$E101,$F101,$A$5)</f>
        <v>2</v>
      </c>
    </row>
    <row r="102" spans="1:18" s="23" customFormat="1" outlineLevel="1" thickBot="1" x14ac:dyDescent="0.3">
      <c r="A102" s="157" t="str">
        <f>IF(_xll.TM1RPTELISCONSOLIDATED($F$22,$F102),IF(_xll.TM1RPTELLEV($F$22,$F102)&lt;=5,_xll.TM1RPTELLEV($F$22,$F102),"Default"),"Leaf")</f>
        <v>Leaf</v>
      </c>
      <c r="B102" s="24" t="str">
        <f>_xll.DBRW("TM1-S1_DEV:}ElementAttributes_SP_SKU",$D102,B$1)</f>
        <v>Primary</v>
      </c>
      <c r="C102" s="24" t="str">
        <f>_xll.DBRW("TM1-S1_DEV:}ElementAttributes_SP_SKU",$D102,C$1)</f>
        <v>TRAY</v>
      </c>
      <c r="D102" s="28" t="s">
        <v>434</v>
      </c>
      <c r="E102" s="28" t="s">
        <v>262</v>
      </c>
      <c r="F102" s="28" t="s">
        <v>30</v>
      </c>
      <c r="G102" s="140">
        <f>_xll.DBRW($A$1,G$2,G$3,$D$17,$A$2,$D102,$E102,$F102,$A$5)</f>
        <v>5</v>
      </c>
      <c r="H102" s="140">
        <f>_xll.DBRW($A$1,H$2,H$3,$D$17,$A$2,$D102,$E102,$F102,$A$5)</f>
        <v>0</v>
      </c>
      <c r="I102" s="140">
        <f>_xll.DBRW($A$1,I$2,I$3,$D$17,$A$2,$D102,$E102,$F102,$A$5)</f>
        <v>3</v>
      </c>
      <c r="J102" s="140">
        <f>_xll.DBRW($A$1,J$2,J$3,$D$17,$A$2,$D102,$E102,$F102,$A$5)</f>
        <v>3</v>
      </c>
      <c r="K102" s="140">
        <f>_xll.DBRW($A$1,K$2,K$3,$D$17,$A$2,$D102,$E102,$F102,$A$5)</f>
        <v>3</v>
      </c>
      <c r="L102" s="140">
        <f>_xll.DBRW($A$1,L$2,L$3,$D$17,$A$2,$D102,$E102,$F102,$A$5)</f>
        <v>3</v>
      </c>
      <c r="M102" s="140">
        <f>_xll.DBRW($A$1,M$2,M$3,$D$17,$A$2,$D102,$E102,$F102,$A$5)</f>
        <v>3</v>
      </c>
      <c r="N102" s="140">
        <f>_xll.DBRW($A$1,N$2,N$3,$D$17,$A$2,$D102,$E102,$F102,$A$5)</f>
        <v>3</v>
      </c>
      <c r="O102" s="140">
        <f>_xll.DBRW($A$1,O$2,O$3,$D$17,$A$2,$D102,$E102,$F102,$A$5)</f>
        <v>3</v>
      </c>
      <c r="P102" s="140">
        <f>_xll.DBRW($A$1,P$2,P$3,$D$17,$A$2,$D102,$E102,$F102,$A$5)</f>
        <v>3</v>
      </c>
      <c r="Q102" s="140">
        <f>_xll.DBRW($A$1,Q$2,Q$3,$D$17,$A$2,$D102,$E102,$F102,$A$5)</f>
        <v>3</v>
      </c>
      <c r="R102" s="140">
        <f>_xll.DBRW($A$1,R$2,R$3,$D$17,$A$2,$D102,$E102,$F102,$A$5)</f>
        <v>3</v>
      </c>
    </row>
    <row r="103" spans="1:18" s="23" customFormat="1" outlineLevel="1" thickBot="1" x14ac:dyDescent="0.3">
      <c r="A103" s="157" t="str">
        <f>IF(_xll.TM1RPTELISCONSOLIDATED($F$22,$F103),IF(_xll.TM1RPTELLEV($F$22,$F103)&lt;=5,_xll.TM1RPTELLEV($F$22,$F103),"Default"),"Leaf")</f>
        <v>Leaf</v>
      </c>
      <c r="B103" s="24" t="str">
        <f>_xll.DBRW("TM1-S1_DEV:}ElementAttributes_SP_SKU",$D103,B$1)</f>
        <v>Primary</v>
      </c>
      <c r="C103" s="24" t="str">
        <f>_xll.DBRW("TM1-S1_DEV:}ElementAttributes_SP_SKU",$D103,C$1)</f>
        <v>FOIL</v>
      </c>
      <c r="D103" s="28" t="s">
        <v>435</v>
      </c>
      <c r="E103" s="28" t="s">
        <v>263</v>
      </c>
      <c r="F103" s="28" t="s">
        <v>29</v>
      </c>
      <c r="G103" s="140">
        <f>_xll.DBRW($A$1,G$2,G$3,$D$17,$A$2,$D103,$E103,$F103,$A$5)</f>
        <v>27</v>
      </c>
      <c r="H103" s="140">
        <f>_xll.DBRW($A$1,H$2,H$3,$D$17,$A$2,$D103,$E103,$F103,$A$5)</f>
        <v>0</v>
      </c>
      <c r="I103" s="140">
        <f>_xll.DBRW($A$1,I$2,I$3,$D$17,$A$2,$D103,$E103,$F103,$A$5)</f>
        <v>1</v>
      </c>
      <c r="J103" s="140">
        <f>_xll.DBRW($A$1,J$2,J$3,$D$17,$A$2,$D103,$E103,$F103,$A$5)</f>
        <v>1</v>
      </c>
      <c r="K103" s="140">
        <f>_xll.DBRW($A$1,K$2,K$3,$D$17,$A$2,$D103,$E103,$F103,$A$5)</f>
        <v>1</v>
      </c>
      <c r="L103" s="140">
        <f>_xll.DBRW($A$1,L$2,L$3,$D$17,$A$2,$D103,$E103,$F103,$A$5)</f>
        <v>1</v>
      </c>
      <c r="M103" s="140">
        <f>_xll.DBRW($A$1,M$2,M$3,$D$17,$A$2,$D103,$E103,$F103,$A$5)</f>
        <v>1</v>
      </c>
      <c r="N103" s="140">
        <f>_xll.DBRW($A$1,N$2,N$3,$D$17,$A$2,$D103,$E103,$F103,$A$5)</f>
        <v>1</v>
      </c>
      <c r="O103" s="140">
        <f>_xll.DBRW($A$1,O$2,O$3,$D$17,$A$2,$D103,$E103,$F103,$A$5)</f>
        <v>1</v>
      </c>
      <c r="P103" s="140">
        <f>_xll.DBRW($A$1,P$2,P$3,$D$17,$A$2,$D103,$E103,$F103,$A$5)</f>
        <v>1</v>
      </c>
      <c r="Q103" s="140">
        <f>_xll.DBRW($A$1,Q$2,Q$3,$D$17,$A$2,$D103,$E103,$F103,$A$5)</f>
        <v>1</v>
      </c>
      <c r="R103" s="140">
        <f>_xll.DBRW($A$1,R$2,R$3,$D$17,$A$2,$D103,$E103,$F103,$A$5)</f>
        <v>1</v>
      </c>
    </row>
    <row r="104" spans="1:18" s="23" customFormat="1" outlineLevel="1" thickBot="1" x14ac:dyDescent="0.3">
      <c r="A104" s="157" t="str">
        <f>IF(_xll.TM1RPTELISCONSOLIDATED($F$22,$F104),IF(_xll.TM1RPTELLEV($F$22,$F104)&lt;=5,_xll.TM1RPTELLEV($F$22,$F104),"Default"),"Leaf")</f>
        <v>Leaf</v>
      </c>
      <c r="B104" s="24" t="str">
        <f>_xll.DBRW("TM1-S1_DEV:}ElementAttributes_SP_SKU",$D104,B$1)</f>
        <v>Primary</v>
      </c>
      <c r="C104" s="24" t="str">
        <f>_xll.DBRW("TM1-S1_DEV:}ElementAttributes_SP_SKU",$D104,C$1)</f>
        <v>BAG</v>
      </c>
      <c r="D104" s="28" t="s">
        <v>436</v>
      </c>
      <c r="E104" s="28" t="s">
        <v>264</v>
      </c>
      <c r="F104" s="28" t="s">
        <v>28</v>
      </c>
      <c r="G104" s="140">
        <f>_xll.DBRW($A$1,G$2,G$3,$D$17,$A$2,$D104,$E104,$F104,$A$5)</f>
        <v>5</v>
      </c>
      <c r="H104" s="140">
        <f>_xll.DBRW($A$1,H$2,H$3,$D$17,$A$2,$D104,$E104,$F104,$A$5)</f>
        <v>0</v>
      </c>
      <c r="I104" s="140">
        <f>_xll.DBRW($A$1,I$2,I$3,$D$17,$A$2,$D104,$E104,$F104,$A$5)</f>
        <v>1</v>
      </c>
      <c r="J104" s="140">
        <f>_xll.DBRW($A$1,J$2,J$3,$D$17,$A$2,$D104,$E104,$F104,$A$5)</f>
        <v>1</v>
      </c>
      <c r="K104" s="140">
        <f>_xll.DBRW($A$1,K$2,K$3,$D$17,$A$2,$D104,$E104,$F104,$A$5)</f>
        <v>1</v>
      </c>
      <c r="L104" s="140">
        <f>_xll.DBRW($A$1,L$2,L$3,$D$17,$A$2,$D104,$E104,$F104,$A$5)</f>
        <v>1</v>
      </c>
      <c r="M104" s="140">
        <f>_xll.DBRW($A$1,M$2,M$3,$D$17,$A$2,$D104,$E104,$F104,$A$5)</f>
        <v>1</v>
      </c>
      <c r="N104" s="140">
        <f>_xll.DBRW($A$1,N$2,N$3,$D$17,$A$2,$D104,$E104,$F104,$A$5)</f>
        <v>1</v>
      </c>
      <c r="O104" s="140">
        <f>_xll.DBRW($A$1,O$2,O$3,$D$17,$A$2,$D104,$E104,$F104,$A$5)</f>
        <v>1</v>
      </c>
      <c r="P104" s="140">
        <f>_xll.DBRW($A$1,P$2,P$3,$D$17,$A$2,$D104,$E104,$F104,$A$5)</f>
        <v>1</v>
      </c>
      <c r="Q104" s="140">
        <f>_xll.DBRW($A$1,Q$2,Q$3,$D$17,$A$2,$D104,$E104,$F104,$A$5)</f>
        <v>1</v>
      </c>
      <c r="R104" s="140">
        <f>_xll.DBRW($A$1,R$2,R$3,$D$17,$A$2,$D104,$E104,$F104,$A$5)</f>
        <v>1</v>
      </c>
    </row>
    <row r="105" spans="1:18" s="23" customFormat="1" outlineLevel="1" thickBot="1" x14ac:dyDescent="0.3">
      <c r="A105" s="157" t="str">
        <f>IF(_xll.TM1RPTELISCONSOLIDATED($F$22,$F105),IF(_xll.TM1RPTELLEV($F$22,$F105)&lt;=5,_xll.TM1RPTELLEV($F$22,$F105),"Default"),"Leaf")</f>
        <v>Leaf</v>
      </c>
      <c r="B105" s="24" t="str">
        <f>_xll.DBRW("TM1-S1_DEV:}ElementAttributes_SP_SKU",$D105,B$1)</f>
        <v>Primary</v>
      </c>
      <c r="C105" s="24" t="str">
        <f>_xll.DBRW("TM1-S1_DEV:}ElementAttributes_SP_SKU",$D105,C$1)</f>
        <v>FOIL</v>
      </c>
      <c r="D105" s="28" t="s">
        <v>437</v>
      </c>
      <c r="E105" s="28" t="s">
        <v>265</v>
      </c>
      <c r="F105" s="28" t="s">
        <v>29</v>
      </c>
      <c r="G105" s="140">
        <f>_xll.DBRW($A$1,G$2,G$3,$D$17,$A$2,$D105,$E105,$F105,$A$5)</f>
        <v>18</v>
      </c>
      <c r="H105" s="140">
        <f>_xll.DBRW($A$1,H$2,H$3,$D$17,$A$2,$D105,$E105,$F105,$A$5)</f>
        <v>0</v>
      </c>
      <c r="I105" s="140">
        <f>_xll.DBRW($A$1,I$2,I$3,$D$17,$A$2,$D105,$E105,$F105,$A$5)</f>
        <v>1</v>
      </c>
      <c r="J105" s="140">
        <f>_xll.DBRW($A$1,J$2,J$3,$D$17,$A$2,$D105,$E105,$F105,$A$5)</f>
        <v>1</v>
      </c>
      <c r="K105" s="140">
        <f>_xll.DBRW($A$1,K$2,K$3,$D$17,$A$2,$D105,$E105,$F105,$A$5)</f>
        <v>1</v>
      </c>
      <c r="L105" s="140">
        <f>_xll.DBRW($A$1,L$2,L$3,$D$17,$A$2,$D105,$E105,$F105,$A$5)</f>
        <v>1</v>
      </c>
      <c r="M105" s="140">
        <f>_xll.DBRW($A$1,M$2,M$3,$D$17,$A$2,$D105,$E105,$F105,$A$5)</f>
        <v>1</v>
      </c>
      <c r="N105" s="140">
        <f>_xll.DBRW($A$1,N$2,N$3,$D$17,$A$2,$D105,$E105,$F105,$A$5)</f>
        <v>1</v>
      </c>
      <c r="O105" s="140">
        <f>_xll.DBRW($A$1,O$2,O$3,$D$17,$A$2,$D105,$E105,$F105,$A$5)</f>
        <v>1</v>
      </c>
      <c r="P105" s="140">
        <f>_xll.DBRW($A$1,P$2,P$3,$D$17,$A$2,$D105,$E105,$F105,$A$5)</f>
        <v>1</v>
      </c>
      <c r="Q105" s="140">
        <f>_xll.DBRW($A$1,Q$2,Q$3,$D$17,$A$2,$D105,$E105,$F105,$A$5)</f>
        <v>1</v>
      </c>
      <c r="R105" s="140">
        <f>_xll.DBRW($A$1,R$2,R$3,$D$17,$A$2,$D105,$E105,$F105,$A$5)</f>
        <v>1</v>
      </c>
    </row>
    <row r="106" spans="1:18" s="23" customFormat="1" outlineLevel="1" thickBot="1" x14ac:dyDescent="0.3">
      <c r="A106" s="157" t="str">
        <f>IF(_xll.TM1RPTELISCONSOLIDATED($F$22,$F106),IF(_xll.TM1RPTELLEV($F$22,$F106)&lt;=5,_xll.TM1RPTELLEV($F$22,$F106),"Default"),"Leaf")</f>
        <v>Leaf</v>
      </c>
      <c r="B106" s="24" t="str">
        <f>_xll.DBRW("TM1-S1_DEV:}ElementAttributes_SP_SKU",$D106,B$1)</f>
        <v>Primary</v>
      </c>
      <c r="C106" s="24" t="str">
        <f>_xll.DBRW("TM1-S1_DEV:}ElementAttributes_SP_SKU",$D106,C$1)</f>
        <v>BAG</v>
      </c>
      <c r="D106" s="28" t="s">
        <v>438</v>
      </c>
      <c r="E106" s="28" t="s">
        <v>267</v>
      </c>
      <c r="F106" s="28" t="s">
        <v>28</v>
      </c>
      <c r="G106" s="140">
        <f>_xll.DBRW($A$1,G$2,G$3,$D$17,$A$2,$D106,$E106,$F106,$A$5)</f>
        <v>10</v>
      </c>
      <c r="H106" s="140">
        <f>_xll.DBRW($A$1,H$2,H$3,$D$17,$A$2,$D106,$E106,$F106,$A$5)</f>
        <v>0</v>
      </c>
      <c r="I106" s="140">
        <f>_xll.DBRW($A$1,I$2,I$3,$D$17,$A$2,$D106,$E106,$F106,$A$5)</f>
        <v>1</v>
      </c>
      <c r="J106" s="140">
        <f>_xll.DBRW($A$1,J$2,J$3,$D$17,$A$2,$D106,$E106,$F106,$A$5)</f>
        <v>1</v>
      </c>
      <c r="K106" s="140">
        <f>_xll.DBRW($A$1,K$2,K$3,$D$17,$A$2,$D106,$E106,$F106,$A$5)</f>
        <v>1</v>
      </c>
      <c r="L106" s="140">
        <f>_xll.DBRW($A$1,L$2,L$3,$D$17,$A$2,$D106,$E106,$F106,$A$5)</f>
        <v>1</v>
      </c>
      <c r="M106" s="140">
        <f>_xll.DBRW($A$1,M$2,M$3,$D$17,$A$2,$D106,$E106,$F106,$A$5)</f>
        <v>2</v>
      </c>
      <c r="N106" s="140">
        <f>_xll.DBRW($A$1,N$2,N$3,$D$17,$A$2,$D106,$E106,$F106,$A$5)</f>
        <v>1</v>
      </c>
      <c r="O106" s="140">
        <f>_xll.DBRW($A$1,O$2,O$3,$D$17,$A$2,$D106,$E106,$F106,$A$5)</f>
        <v>1</v>
      </c>
      <c r="P106" s="140">
        <f>_xll.DBRW($A$1,P$2,P$3,$D$17,$A$2,$D106,$E106,$F106,$A$5)</f>
        <v>1</v>
      </c>
      <c r="Q106" s="140">
        <f>_xll.DBRW($A$1,Q$2,Q$3,$D$17,$A$2,$D106,$E106,$F106,$A$5)</f>
        <v>1</v>
      </c>
      <c r="R106" s="140">
        <f>_xll.DBRW($A$1,R$2,R$3,$D$17,$A$2,$D106,$E106,$F106,$A$5)</f>
        <v>1</v>
      </c>
    </row>
    <row r="107" spans="1:18" s="23" customFormat="1" outlineLevel="1" thickBot="1" x14ac:dyDescent="0.3">
      <c r="A107" s="157" t="str">
        <f>IF(_xll.TM1RPTELISCONSOLIDATED($F$22,$F107),IF(_xll.TM1RPTELLEV($F$22,$F107)&lt;=5,_xll.TM1RPTELLEV($F$22,$F107),"Default"),"Leaf")</f>
        <v>Leaf</v>
      </c>
      <c r="B107" s="24" t="str">
        <f>_xll.DBRW("TM1-S1_DEV:}ElementAttributes_SP_SKU",$D107,B$1)</f>
        <v>Primary</v>
      </c>
      <c r="C107" s="24" t="str">
        <f>_xll.DBRW("TM1-S1_DEV:}ElementAttributes_SP_SKU",$D107,C$1)</f>
        <v>BAG</v>
      </c>
      <c r="D107" s="28" t="s">
        <v>439</v>
      </c>
      <c r="E107" s="28" t="s">
        <v>268</v>
      </c>
      <c r="F107" s="28" t="s">
        <v>28</v>
      </c>
      <c r="G107" s="140">
        <f>_xll.DBRW($A$1,G$2,G$3,$D$17,$A$2,$D107,$E107,$F107,$A$5)</f>
        <v>28</v>
      </c>
      <c r="H107" s="140">
        <f>_xll.DBRW($A$1,H$2,H$3,$D$17,$A$2,$D107,$E107,$F107,$A$5)</f>
        <v>0</v>
      </c>
      <c r="I107" s="140">
        <f>_xll.DBRW($A$1,I$2,I$3,$D$17,$A$2,$D107,$E107,$F107,$A$5)</f>
        <v>2</v>
      </c>
      <c r="J107" s="140">
        <f>_xll.DBRW($A$1,J$2,J$3,$D$17,$A$2,$D107,$E107,$F107,$A$5)</f>
        <v>2</v>
      </c>
      <c r="K107" s="140">
        <f>_xll.DBRW($A$1,K$2,K$3,$D$17,$A$2,$D107,$E107,$F107,$A$5)</f>
        <v>2</v>
      </c>
      <c r="L107" s="140">
        <f>_xll.DBRW($A$1,L$2,L$3,$D$17,$A$2,$D107,$E107,$F107,$A$5)</f>
        <v>2</v>
      </c>
      <c r="M107" s="140">
        <f>_xll.DBRW($A$1,M$2,M$3,$D$17,$A$2,$D107,$E107,$F107,$A$5)</f>
        <v>2</v>
      </c>
      <c r="N107" s="140">
        <f>_xll.DBRW($A$1,N$2,N$3,$D$17,$A$2,$D107,$E107,$F107,$A$5)</f>
        <v>2</v>
      </c>
      <c r="O107" s="140">
        <f>_xll.DBRW($A$1,O$2,O$3,$D$17,$A$2,$D107,$E107,$F107,$A$5)</f>
        <v>2</v>
      </c>
      <c r="P107" s="140">
        <f>_xll.DBRW($A$1,P$2,P$3,$D$17,$A$2,$D107,$E107,$F107,$A$5)</f>
        <v>2</v>
      </c>
      <c r="Q107" s="140">
        <f>_xll.DBRW($A$1,Q$2,Q$3,$D$17,$A$2,$D107,$E107,$F107,$A$5)</f>
        <v>2</v>
      </c>
      <c r="R107" s="140">
        <f>_xll.DBRW($A$1,R$2,R$3,$D$17,$A$2,$D107,$E107,$F107,$A$5)</f>
        <v>2</v>
      </c>
    </row>
    <row r="108" spans="1:18" s="23" customFormat="1" outlineLevel="1" thickBot="1" x14ac:dyDescent="0.3">
      <c r="A108" s="157" t="str">
        <f>IF(_xll.TM1RPTELISCONSOLIDATED($F$22,$F108),IF(_xll.TM1RPTELLEV($F$22,$F108)&lt;=5,_xll.TM1RPTELLEV($F$22,$F108),"Default"),"Leaf")</f>
        <v>Leaf</v>
      </c>
      <c r="B108" s="24" t="str">
        <f>_xll.DBRW("TM1-S1_DEV:}ElementAttributes_SP_SKU",$D108,B$1)</f>
        <v>Primary</v>
      </c>
      <c r="C108" s="24" t="str">
        <f>_xll.DBRW("TM1-S1_DEV:}ElementAttributes_SP_SKU",$D108,C$1)</f>
        <v>BAG</v>
      </c>
      <c r="D108" s="28" t="s">
        <v>440</v>
      </c>
      <c r="E108" s="28" t="s">
        <v>269</v>
      </c>
      <c r="F108" s="28" t="s">
        <v>28</v>
      </c>
      <c r="G108" s="140">
        <f>_xll.DBRW($A$1,G$2,G$3,$D$17,$A$2,$D108,$E108,$F108,$A$5)</f>
        <v>3</v>
      </c>
      <c r="H108" s="140">
        <f>_xll.DBRW($A$1,H$2,H$3,$D$17,$A$2,$D108,$E108,$F108,$A$5)</f>
        <v>0</v>
      </c>
      <c r="I108" s="140">
        <f>_xll.DBRW($A$1,I$2,I$3,$D$17,$A$2,$D108,$E108,$F108,$A$5)</f>
        <v>2</v>
      </c>
      <c r="J108" s="140">
        <f>_xll.DBRW($A$1,J$2,J$3,$D$17,$A$2,$D108,$E108,$F108,$A$5)</f>
        <v>2</v>
      </c>
      <c r="K108" s="140">
        <f>_xll.DBRW($A$1,K$2,K$3,$D$17,$A$2,$D108,$E108,$F108,$A$5)</f>
        <v>2</v>
      </c>
      <c r="L108" s="140">
        <f>_xll.DBRW($A$1,L$2,L$3,$D$17,$A$2,$D108,$E108,$F108,$A$5)</f>
        <v>2</v>
      </c>
      <c r="M108" s="140">
        <f>_xll.DBRW($A$1,M$2,M$3,$D$17,$A$2,$D108,$E108,$F108,$A$5)</f>
        <v>2</v>
      </c>
      <c r="N108" s="140">
        <f>_xll.DBRW($A$1,N$2,N$3,$D$17,$A$2,$D108,$E108,$F108,$A$5)</f>
        <v>2</v>
      </c>
      <c r="O108" s="140">
        <f>_xll.DBRW($A$1,O$2,O$3,$D$17,$A$2,$D108,$E108,$F108,$A$5)</f>
        <v>2</v>
      </c>
      <c r="P108" s="140">
        <f>_xll.DBRW($A$1,P$2,P$3,$D$17,$A$2,$D108,$E108,$F108,$A$5)</f>
        <v>2</v>
      </c>
      <c r="Q108" s="140">
        <f>_xll.DBRW($A$1,Q$2,Q$3,$D$17,$A$2,$D108,$E108,$F108,$A$5)</f>
        <v>2</v>
      </c>
      <c r="R108" s="140">
        <f>_xll.DBRW($A$1,R$2,R$3,$D$17,$A$2,$D108,$E108,$F108,$A$5)</f>
        <v>2</v>
      </c>
    </row>
    <row r="109" spans="1:18" s="23" customFormat="1" outlineLevel="1" thickBot="1" x14ac:dyDescent="0.3">
      <c r="A109" s="157" t="str">
        <f>IF(_xll.TM1RPTELISCONSOLIDATED($F$22,$F109),IF(_xll.TM1RPTELLEV($F$22,$F109)&lt;=5,_xll.TM1RPTELLEV($F$22,$F109),"Default"),"Leaf")</f>
        <v>Leaf</v>
      </c>
      <c r="B109" s="24" t="str">
        <f>_xll.DBRW("TM1-S1_DEV:}ElementAttributes_SP_SKU",$D109,B$1)</f>
        <v>Primary</v>
      </c>
      <c r="C109" s="24" t="str">
        <f>_xll.DBRW("TM1-S1_DEV:}ElementAttributes_SP_SKU",$D109,C$1)</f>
        <v>TRAY</v>
      </c>
      <c r="D109" s="28" t="s">
        <v>441</v>
      </c>
      <c r="E109" s="28" t="s">
        <v>271</v>
      </c>
      <c r="F109" s="28" t="s">
        <v>30</v>
      </c>
      <c r="G109" s="140">
        <f>_xll.DBRW($A$1,G$2,G$3,$D$17,$A$2,$D109,$E109,$F109,$A$5)</f>
        <v>3</v>
      </c>
      <c r="H109" s="140">
        <f>_xll.DBRW($A$1,H$2,H$3,$D$17,$A$2,$D109,$E109,$F109,$A$5)</f>
        <v>0</v>
      </c>
      <c r="I109" s="140">
        <f>_xll.DBRW($A$1,I$2,I$3,$D$17,$A$2,$D109,$E109,$F109,$A$5)</f>
        <v>1</v>
      </c>
      <c r="J109" s="140">
        <f>_xll.DBRW($A$1,J$2,J$3,$D$17,$A$2,$D109,$E109,$F109,$A$5)</f>
        <v>1</v>
      </c>
      <c r="K109" s="140">
        <f>_xll.DBRW($A$1,K$2,K$3,$D$17,$A$2,$D109,$E109,$F109,$A$5)</f>
        <v>1</v>
      </c>
      <c r="L109" s="140">
        <f>_xll.DBRW($A$1,L$2,L$3,$D$17,$A$2,$D109,$E109,$F109,$A$5)</f>
        <v>1</v>
      </c>
      <c r="M109" s="140">
        <f>_xll.DBRW($A$1,M$2,M$3,$D$17,$A$2,$D109,$E109,$F109,$A$5)</f>
        <v>1</v>
      </c>
      <c r="N109" s="140">
        <f>_xll.DBRW($A$1,N$2,N$3,$D$17,$A$2,$D109,$E109,$F109,$A$5)</f>
        <v>1</v>
      </c>
      <c r="O109" s="140">
        <f>_xll.DBRW($A$1,O$2,O$3,$D$17,$A$2,$D109,$E109,$F109,$A$5)</f>
        <v>1</v>
      </c>
      <c r="P109" s="140">
        <f>_xll.DBRW($A$1,P$2,P$3,$D$17,$A$2,$D109,$E109,$F109,$A$5)</f>
        <v>1</v>
      </c>
      <c r="Q109" s="140">
        <f>_xll.DBRW($A$1,Q$2,Q$3,$D$17,$A$2,$D109,$E109,$F109,$A$5)</f>
        <v>1</v>
      </c>
      <c r="R109" s="140">
        <f>_xll.DBRW($A$1,R$2,R$3,$D$17,$A$2,$D109,$E109,$F109,$A$5)</f>
        <v>1</v>
      </c>
    </row>
    <row r="110" spans="1:18" s="23" customFormat="1" outlineLevel="1" thickBot="1" x14ac:dyDescent="0.3">
      <c r="A110" s="157" t="str">
        <f>IF(_xll.TM1RPTELISCONSOLIDATED($F$22,$F110),IF(_xll.TM1RPTELLEV($F$22,$F110)&lt;=5,_xll.TM1RPTELLEV($F$22,$F110),"Default"),"Leaf")</f>
        <v>Leaf</v>
      </c>
      <c r="B110" s="24" t="str">
        <f>_xll.DBRW("TM1-S1_DEV:}ElementAttributes_SP_SKU",$D110,B$1)</f>
        <v>Primary</v>
      </c>
      <c r="C110" s="24" t="str">
        <f>_xll.DBRW("TM1-S1_DEV:}ElementAttributes_SP_SKU",$D110,C$1)</f>
        <v>TRAY</v>
      </c>
      <c r="D110" s="28" t="s">
        <v>442</v>
      </c>
      <c r="E110" s="28" t="s">
        <v>272</v>
      </c>
      <c r="F110" s="28" t="s">
        <v>30</v>
      </c>
      <c r="G110" s="140">
        <f>_xll.DBRW($A$1,G$2,G$3,$D$17,$A$2,$D110,$E110,$F110,$A$5)</f>
        <v>5</v>
      </c>
      <c r="H110" s="140">
        <f>_xll.DBRW($A$1,H$2,H$3,$D$17,$A$2,$D110,$E110,$F110,$A$5)</f>
        <v>0</v>
      </c>
      <c r="I110" s="140">
        <f>_xll.DBRW($A$1,I$2,I$3,$D$17,$A$2,$D110,$E110,$F110,$A$5)</f>
        <v>2</v>
      </c>
      <c r="J110" s="140">
        <f>_xll.DBRW($A$1,J$2,J$3,$D$17,$A$2,$D110,$E110,$F110,$A$5)</f>
        <v>2</v>
      </c>
      <c r="K110" s="140">
        <f>_xll.DBRW($A$1,K$2,K$3,$D$17,$A$2,$D110,$E110,$F110,$A$5)</f>
        <v>2</v>
      </c>
      <c r="L110" s="140">
        <f>_xll.DBRW($A$1,L$2,L$3,$D$17,$A$2,$D110,$E110,$F110,$A$5)</f>
        <v>2</v>
      </c>
      <c r="M110" s="140">
        <f>_xll.DBRW($A$1,M$2,M$3,$D$17,$A$2,$D110,$E110,$F110,$A$5)</f>
        <v>2</v>
      </c>
      <c r="N110" s="140">
        <f>_xll.DBRW($A$1,N$2,N$3,$D$17,$A$2,$D110,$E110,$F110,$A$5)</f>
        <v>2</v>
      </c>
      <c r="O110" s="140">
        <f>_xll.DBRW($A$1,O$2,O$3,$D$17,$A$2,$D110,$E110,$F110,$A$5)</f>
        <v>2</v>
      </c>
      <c r="P110" s="140">
        <f>_xll.DBRW($A$1,P$2,P$3,$D$17,$A$2,$D110,$E110,$F110,$A$5)</f>
        <v>2</v>
      </c>
      <c r="Q110" s="140">
        <f>_xll.DBRW($A$1,Q$2,Q$3,$D$17,$A$2,$D110,$E110,$F110,$A$5)</f>
        <v>2</v>
      </c>
      <c r="R110" s="140">
        <f>_xll.DBRW($A$1,R$2,R$3,$D$17,$A$2,$D110,$E110,$F110,$A$5)</f>
        <v>2</v>
      </c>
    </row>
    <row r="111" spans="1:18" s="23" customFormat="1" outlineLevel="1" thickBot="1" x14ac:dyDescent="0.3">
      <c r="A111" s="157" t="str">
        <f>IF(_xll.TM1RPTELISCONSOLIDATED($F$22,$F111),IF(_xll.TM1RPTELLEV($F$22,$F111)&lt;=5,_xll.TM1RPTELLEV($F$22,$F111),"Default"),"Leaf")</f>
        <v>Leaf</v>
      </c>
      <c r="B111" s="24" t="str">
        <f>_xll.DBRW("TM1-S1_DEV:}ElementAttributes_SP_SKU",$D111,B$1)</f>
        <v>Primary</v>
      </c>
      <c r="C111" s="24" t="str">
        <f>_xll.DBRW("TM1-S1_DEV:}ElementAttributes_SP_SKU",$D111,C$1)</f>
        <v>BOWL</v>
      </c>
      <c r="D111" s="28" t="s">
        <v>443</v>
      </c>
      <c r="E111" s="28" t="s">
        <v>273</v>
      </c>
      <c r="F111" s="28" t="s">
        <v>30</v>
      </c>
      <c r="G111" s="140">
        <f>_xll.DBRW($A$1,G$2,G$3,$D$17,$A$2,$D111,$E111,$F111,$A$5)</f>
        <v>4</v>
      </c>
      <c r="H111" s="140">
        <f>_xll.DBRW($A$1,H$2,H$3,$D$17,$A$2,$D111,$E111,$F111,$A$5)</f>
        <v>0</v>
      </c>
      <c r="I111" s="140">
        <f>_xll.DBRW($A$1,I$2,I$3,$D$17,$A$2,$D111,$E111,$F111,$A$5)</f>
        <v>2</v>
      </c>
      <c r="J111" s="140">
        <f>_xll.DBRW($A$1,J$2,J$3,$D$17,$A$2,$D111,$E111,$F111,$A$5)</f>
        <v>1</v>
      </c>
      <c r="K111" s="140">
        <f>_xll.DBRW($A$1,K$2,K$3,$D$17,$A$2,$D111,$E111,$F111,$A$5)</f>
        <v>1</v>
      </c>
      <c r="L111" s="140">
        <f>_xll.DBRW($A$1,L$2,L$3,$D$17,$A$2,$D111,$E111,$F111,$A$5)</f>
        <v>1</v>
      </c>
      <c r="M111" s="140">
        <f>_xll.DBRW($A$1,M$2,M$3,$D$17,$A$2,$D111,$E111,$F111,$A$5)</f>
        <v>1</v>
      </c>
      <c r="N111" s="140">
        <f>_xll.DBRW($A$1,N$2,N$3,$D$17,$A$2,$D111,$E111,$F111,$A$5)</f>
        <v>1</v>
      </c>
      <c r="O111" s="140">
        <f>_xll.DBRW($A$1,O$2,O$3,$D$17,$A$2,$D111,$E111,$F111,$A$5)</f>
        <v>1</v>
      </c>
      <c r="P111" s="140">
        <f>_xll.DBRW($A$1,P$2,P$3,$D$17,$A$2,$D111,$E111,$F111,$A$5)</f>
        <v>1</v>
      </c>
      <c r="Q111" s="140">
        <f>_xll.DBRW($A$1,Q$2,Q$3,$D$17,$A$2,$D111,$E111,$F111,$A$5)</f>
        <v>1</v>
      </c>
      <c r="R111" s="140">
        <f>_xll.DBRW($A$1,R$2,R$3,$D$17,$A$2,$D111,$E111,$F111,$A$5)</f>
        <v>1</v>
      </c>
    </row>
    <row r="112" spans="1:18" s="23" customFormat="1" outlineLevel="1" thickBot="1" x14ac:dyDescent="0.3">
      <c r="A112" s="157" t="str">
        <f>IF(_xll.TM1RPTELISCONSOLIDATED($F$22,$F112),IF(_xll.TM1RPTELLEV($F$22,$F112)&lt;=5,_xll.TM1RPTELLEV($F$22,$F112),"Default"),"Leaf")</f>
        <v>Leaf</v>
      </c>
      <c r="B112" s="24" t="str">
        <f>_xll.DBRW("TM1-S1_DEV:}ElementAttributes_SP_SKU",$D112,B$1)</f>
        <v>Primary</v>
      </c>
      <c r="C112" s="24" t="str">
        <f>_xll.DBRW("TM1-S1_DEV:}ElementAttributes_SP_SKU",$D112,C$1)</f>
        <v>UTENSIL</v>
      </c>
      <c r="D112" s="28" t="s">
        <v>444</v>
      </c>
      <c r="E112" s="28" t="s">
        <v>275</v>
      </c>
      <c r="F112" s="28" t="s">
        <v>30</v>
      </c>
      <c r="G112" s="140">
        <f>_xll.DBRW($A$1,G$2,G$3,$D$17,$A$2,$D112,$E112,$F112,$A$5)</f>
        <v>4</v>
      </c>
      <c r="H112" s="140">
        <f>_xll.DBRW($A$1,H$2,H$3,$D$17,$A$2,$D112,$E112,$F112,$A$5)</f>
        <v>0</v>
      </c>
      <c r="I112" s="140">
        <f>_xll.DBRW($A$1,I$2,I$3,$D$17,$A$2,$D112,$E112,$F112,$A$5)</f>
        <v>3</v>
      </c>
      <c r="J112" s="140">
        <f>_xll.DBRW($A$1,J$2,J$3,$D$17,$A$2,$D112,$E112,$F112,$A$5)</f>
        <v>3</v>
      </c>
      <c r="K112" s="140">
        <f>_xll.DBRW($A$1,K$2,K$3,$D$17,$A$2,$D112,$E112,$F112,$A$5)</f>
        <v>3</v>
      </c>
      <c r="L112" s="140">
        <f>_xll.DBRW($A$1,L$2,L$3,$D$17,$A$2,$D112,$E112,$F112,$A$5)</f>
        <v>3</v>
      </c>
      <c r="M112" s="140">
        <f>_xll.DBRW($A$1,M$2,M$3,$D$17,$A$2,$D112,$E112,$F112,$A$5)</f>
        <v>3</v>
      </c>
      <c r="N112" s="140">
        <f>_xll.DBRW($A$1,N$2,N$3,$D$17,$A$2,$D112,$E112,$F112,$A$5)</f>
        <v>3</v>
      </c>
      <c r="O112" s="140">
        <f>_xll.DBRW($A$1,O$2,O$3,$D$17,$A$2,$D112,$E112,$F112,$A$5)</f>
        <v>3</v>
      </c>
      <c r="P112" s="140">
        <f>_xll.DBRW($A$1,P$2,P$3,$D$17,$A$2,$D112,$E112,$F112,$A$5)</f>
        <v>3</v>
      </c>
      <c r="Q112" s="140">
        <f>_xll.DBRW($A$1,Q$2,Q$3,$D$17,$A$2,$D112,$E112,$F112,$A$5)</f>
        <v>3</v>
      </c>
      <c r="R112" s="140">
        <f>_xll.DBRW($A$1,R$2,R$3,$D$17,$A$2,$D112,$E112,$F112,$A$5)</f>
        <v>3</v>
      </c>
    </row>
    <row r="113" spans="1:18" s="23" customFormat="1" outlineLevel="1" thickBot="1" x14ac:dyDescent="0.3">
      <c r="A113" s="157" t="str">
        <f>IF(_xll.TM1RPTELISCONSOLIDATED($F$22,$F113),IF(_xll.TM1RPTELLEV($F$22,$F113)&lt;=5,_xll.TM1RPTELLEV($F$22,$F113),"Default"),"Leaf")</f>
        <v>Leaf</v>
      </c>
      <c r="B113" s="24" t="str">
        <f>_xll.DBRW("TM1-S1_DEV:}ElementAttributes_SP_SKU",$D113,B$1)</f>
        <v>Primary</v>
      </c>
      <c r="C113" s="24" t="str">
        <f>_xll.DBRW("TM1-S1_DEV:}ElementAttributes_SP_SKU",$D113,C$1)</f>
        <v>BAG</v>
      </c>
      <c r="D113" s="28" t="s">
        <v>445</v>
      </c>
      <c r="E113" s="28" t="s">
        <v>281</v>
      </c>
      <c r="F113" s="28" t="s">
        <v>28</v>
      </c>
      <c r="G113" s="140">
        <f>_xll.DBRW($A$1,G$2,G$3,$D$17,$A$2,$D113,$E113,$F113,$A$5)</f>
        <v>6</v>
      </c>
      <c r="H113" s="140">
        <f>_xll.DBRW($A$1,H$2,H$3,$D$17,$A$2,$D113,$E113,$F113,$A$5)</f>
        <v>0</v>
      </c>
      <c r="I113" s="140">
        <f>_xll.DBRW($A$1,I$2,I$3,$D$17,$A$2,$D113,$E113,$F113,$A$5)</f>
        <v>2</v>
      </c>
      <c r="J113" s="140">
        <f>_xll.DBRW($A$1,J$2,J$3,$D$17,$A$2,$D113,$E113,$F113,$A$5)</f>
        <v>2</v>
      </c>
      <c r="K113" s="140">
        <f>_xll.DBRW($A$1,K$2,K$3,$D$17,$A$2,$D113,$E113,$F113,$A$5)</f>
        <v>2</v>
      </c>
      <c r="L113" s="140">
        <f>_xll.DBRW($A$1,L$2,L$3,$D$17,$A$2,$D113,$E113,$F113,$A$5)</f>
        <v>2</v>
      </c>
      <c r="M113" s="140">
        <f>_xll.DBRW($A$1,M$2,M$3,$D$17,$A$2,$D113,$E113,$F113,$A$5)</f>
        <v>2</v>
      </c>
      <c r="N113" s="140">
        <f>_xll.DBRW($A$1,N$2,N$3,$D$17,$A$2,$D113,$E113,$F113,$A$5)</f>
        <v>2</v>
      </c>
      <c r="O113" s="140">
        <f>_xll.DBRW($A$1,O$2,O$3,$D$17,$A$2,$D113,$E113,$F113,$A$5)</f>
        <v>2</v>
      </c>
      <c r="P113" s="140">
        <f>_xll.DBRW($A$1,P$2,P$3,$D$17,$A$2,$D113,$E113,$F113,$A$5)</f>
        <v>2</v>
      </c>
      <c r="Q113" s="140">
        <f>_xll.DBRW($A$1,Q$2,Q$3,$D$17,$A$2,$D113,$E113,$F113,$A$5)</f>
        <v>2</v>
      </c>
      <c r="R113" s="140">
        <f>_xll.DBRW($A$1,R$2,R$3,$D$17,$A$2,$D113,$E113,$F113,$A$5)</f>
        <v>2</v>
      </c>
    </row>
    <row r="114" spans="1:18" s="23" customFormat="1" outlineLevel="1" thickBot="1" x14ac:dyDescent="0.3">
      <c r="A114" s="157" t="str">
        <f>IF(_xll.TM1RPTELISCONSOLIDATED($F$22,$F114),IF(_xll.TM1RPTELLEV($F$22,$F114)&lt;=5,_xll.TM1RPTELLEV($F$22,$F114),"Default"),"Leaf")</f>
        <v>Leaf</v>
      </c>
      <c r="B114" s="24" t="str">
        <f>_xll.DBRW("TM1-S1_DEV:}ElementAttributes_SP_SKU",$D114,B$1)</f>
        <v>Primary</v>
      </c>
      <c r="C114" s="24" t="str">
        <f>_xll.DBRW("TM1-S1_DEV:}ElementAttributes_SP_SKU",$D114,C$1)</f>
        <v>PROTEIN</v>
      </c>
      <c r="D114" s="28" t="s">
        <v>446</v>
      </c>
      <c r="E114" s="28" t="s">
        <v>146</v>
      </c>
      <c r="F114" s="28" t="s">
        <v>31</v>
      </c>
      <c r="G114" s="140">
        <f>_xll.DBRW($A$1,G$2,G$3,$D$17,$A$2,$D114,$E114,$F114,$A$5)</f>
        <v>63</v>
      </c>
      <c r="H114" s="140">
        <f>_xll.DBRW($A$1,H$2,H$3,$D$17,$A$2,$D114,$E114,$F114,$A$5)</f>
        <v>0</v>
      </c>
      <c r="I114" s="140">
        <f>_xll.DBRW($A$1,I$2,I$3,$D$17,$A$2,$D114,$E114,$F114,$A$5)</f>
        <v>22</v>
      </c>
      <c r="J114" s="140">
        <f>_xll.DBRW($A$1,J$2,J$3,$D$17,$A$2,$D114,$E114,$F114,$A$5)</f>
        <v>22</v>
      </c>
      <c r="K114" s="140">
        <f>_xll.DBRW($A$1,K$2,K$3,$D$17,$A$2,$D114,$E114,$F114,$A$5)</f>
        <v>22</v>
      </c>
      <c r="L114" s="140">
        <f>_xll.DBRW($A$1,L$2,L$3,$D$17,$A$2,$D114,$E114,$F114,$A$5)</f>
        <v>22</v>
      </c>
      <c r="M114" s="140">
        <f>_xll.DBRW($A$1,M$2,M$3,$D$17,$A$2,$D114,$E114,$F114,$A$5)</f>
        <v>22</v>
      </c>
      <c r="N114" s="140">
        <f>_xll.DBRW($A$1,N$2,N$3,$D$17,$A$2,$D114,$E114,$F114,$A$5)</f>
        <v>22</v>
      </c>
      <c r="O114" s="140">
        <f>_xll.DBRW($A$1,O$2,O$3,$D$17,$A$2,$D114,$E114,$F114,$A$5)</f>
        <v>22</v>
      </c>
      <c r="P114" s="140">
        <f>_xll.DBRW($A$1,P$2,P$3,$D$17,$A$2,$D114,$E114,$F114,$A$5)</f>
        <v>22</v>
      </c>
      <c r="Q114" s="140">
        <f>_xll.DBRW($A$1,Q$2,Q$3,$D$17,$A$2,$D114,$E114,$F114,$A$5)</f>
        <v>22</v>
      </c>
      <c r="R114" s="140">
        <f>_xll.DBRW($A$1,R$2,R$3,$D$17,$A$2,$D114,$E114,$F114,$A$5)</f>
        <v>22</v>
      </c>
    </row>
    <row r="115" spans="1:18" s="23" customFormat="1" outlineLevel="1" thickBot="1" x14ac:dyDescent="0.3">
      <c r="A115" s="157" t="str">
        <f>IF(_xll.TM1RPTELISCONSOLIDATED($F$22,$F115),IF(_xll.TM1RPTELLEV($F$22,$F115)&lt;=5,_xll.TM1RPTELLEV($F$22,$F115),"Default"),"Leaf")</f>
        <v>Leaf</v>
      </c>
      <c r="B115" s="24" t="str">
        <f>_xll.DBRW("TM1-S1_DEV:}ElementAttributes_SP_SKU",$D115,B$1)</f>
        <v>Primary</v>
      </c>
      <c r="C115" s="24" t="str">
        <f>_xll.DBRW("TM1-S1_DEV:}ElementAttributes_SP_SKU",$D115,C$1)</f>
        <v>TRAY</v>
      </c>
      <c r="D115" s="28" t="s">
        <v>447</v>
      </c>
      <c r="E115" s="28" t="s">
        <v>284</v>
      </c>
      <c r="F115" s="28" t="s">
        <v>46</v>
      </c>
      <c r="G115" s="140">
        <f>_xll.DBRW($A$1,G$2,G$3,$D$17,$A$2,$D115,$E115,$F115,$A$5)</f>
        <v>1</v>
      </c>
      <c r="H115" s="140">
        <f>_xll.DBRW($A$1,H$2,H$3,$D$17,$A$2,$D115,$E115,$F115,$A$5)</f>
        <v>0</v>
      </c>
      <c r="I115" s="140">
        <f>_xll.DBRW($A$1,I$2,I$3,$D$17,$A$2,$D115,$E115,$F115,$A$5)</f>
        <v>1</v>
      </c>
      <c r="J115" s="140">
        <f>_xll.DBRW($A$1,J$2,J$3,$D$17,$A$2,$D115,$E115,$F115,$A$5)</f>
        <v>1</v>
      </c>
      <c r="K115" s="140">
        <f>_xll.DBRW($A$1,K$2,K$3,$D$17,$A$2,$D115,$E115,$F115,$A$5)</f>
        <v>1</v>
      </c>
      <c r="L115" s="140">
        <f>_xll.DBRW($A$1,L$2,L$3,$D$17,$A$2,$D115,$E115,$F115,$A$5)</f>
        <v>1</v>
      </c>
      <c r="M115" s="140">
        <f>_xll.DBRW($A$1,M$2,M$3,$D$17,$A$2,$D115,$E115,$F115,$A$5)</f>
        <v>1</v>
      </c>
      <c r="N115" s="140">
        <f>_xll.DBRW($A$1,N$2,N$3,$D$17,$A$2,$D115,$E115,$F115,$A$5)</f>
        <v>1</v>
      </c>
      <c r="O115" s="140">
        <f>_xll.DBRW($A$1,O$2,O$3,$D$17,$A$2,$D115,$E115,$F115,$A$5)</f>
        <v>1</v>
      </c>
      <c r="P115" s="140">
        <f>_xll.DBRW($A$1,P$2,P$3,$D$17,$A$2,$D115,$E115,$F115,$A$5)</f>
        <v>1</v>
      </c>
      <c r="Q115" s="140">
        <f>_xll.DBRW($A$1,Q$2,Q$3,$D$17,$A$2,$D115,$E115,$F115,$A$5)</f>
        <v>1</v>
      </c>
      <c r="R115" s="140">
        <f>_xll.DBRW($A$1,R$2,R$3,$D$17,$A$2,$D115,$E115,$F115,$A$5)</f>
        <v>1</v>
      </c>
    </row>
    <row r="116" spans="1:18" s="23" customFormat="1" outlineLevel="1" thickBot="1" x14ac:dyDescent="0.3">
      <c r="A116" s="157" t="str">
        <f>IF(_xll.TM1RPTELISCONSOLIDATED($F$22,$F116),IF(_xll.TM1RPTELLEV($F$22,$F116)&lt;=5,_xll.TM1RPTELLEV($F$22,$F116),"Default"),"Leaf")</f>
        <v>Leaf</v>
      </c>
      <c r="B116" s="24" t="str">
        <f>_xll.DBRW("TM1-S1_DEV:}ElementAttributes_SP_SKU",$D116,B$1)</f>
        <v>Primary</v>
      </c>
      <c r="C116" s="24" t="str">
        <f>_xll.DBRW("TM1-S1_DEV:}ElementAttributes_SP_SKU",$D116,C$1)</f>
        <v>TRAY</v>
      </c>
      <c r="D116" s="28" t="s">
        <v>448</v>
      </c>
      <c r="E116" s="28" t="s">
        <v>285</v>
      </c>
      <c r="F116" s="28" t="s">
        <v>46</v>
      </c>
      <c r="G116" s="140">
        <f>_xll.DBRW($A$1,G$2,G$3,$D$17,$A$2,$D116,$E116,$F116,$A$5)</f>
        <v>1</v>
      </c>
      <c r="H116" s="140">
        <f>_xll.DBRW($A$1,H$2,H$3,$D$17,$A$2,$D116,$E116,$F116,$A$5)</f>
        <v>0</v>
      </c>
      <c r="I116" s="140">
        <f>_xll.DBRW($A$1,I$2,I$3,$D$17,$A$2,$D116,$E116,$F116,$A$5)</f>
        <v>1</v>
      </c>
      <c r="J116" s="140">
        <f>_xll.DBRW($A$1,J$2,J$3,$D$17,$A$2,$D116,$E116,$F116,$A$5)</f>
        <v>1</v>
      </c>
      <c r="K116" s="140">
        <f>_xll.DBRW($A$1,K$2,K$3,$D$17,$A$2,$D116,$E116,$F116,$A$5)</f>
        <v>1</v>
      </c>
      <c r="L116" s="140">
        <f>_xll.DBRW($A$1,L$2,L$3,$D$17,$A$2,$D116,$E116,$F116,$A$5)</f>
        <v>1</v>
      </c>
      <c r="M116" s="140">
        <f>_xll.DBRW($A$1,M$2,M$3,$D$17,$A$2,$D116,$E116,$F116,$A$5)</f>
        <v>1</v>
      </c>
      <c r="N116" s="140">
        <f>_xll.DBRW($A$1,N$2,N$3,$D$17,$A$2,$D116,$E116,$F116,$A$5)</f>
        <v>1</v>
      </c>
      <c r="O116" s="140">
        <f>_xll.DBRW($A$1,O$2,O$3,$D$17,$A$2,$D116,$E116,$F116,$A$5)</f>
        <v>1</v>
      </c>
      <c r="P116" s="140">
        <f>_xll.DBRW($A$1,P$2,P$3,$D$17,$A$2,$D116,$E116,$F116,$A$5)</f>
        <v>1</v>
      </c>
      <c r="Q116" s="140">
        <f>_xll.DBRW($A$1,Q$2,Q$3,$D$17,$A$2,$D116,$E116,$F116,$A$5)</f>
        <v>1</v>
      </c>
      <c r="R116" s="140">
        <f>_xll.DBRW($A$1,R$2,R$3,$D$17,$A$2,$D116,$E116,$F116,$A$5)</f>
        <v>1</v>
      </c>
    </row>
    <row r="117" spans="1:18" s="23" customFormat="1" outlineLevel="1" thickBot="1" x14ac:dyDescent="0.3">
      <c r="A117" s="157" t="str">
        <f>IF(_xll.TM1RPTELISCONSOLIDATED($F$22,$F117),IF(_xll.TM1RPTELLEV($F$22,$F117)&lt;=5,_xll.TM1RPTELLEV($F$22,$F117),"Default"),"Leaf")</f>
        <v>Leaf</v>
      </c>
      <c r="B117" s="24" t="str">
        <f>_xll.DBRW("TM1-S1_DEV:}ElementAttributes_SP_SKU",$D117,B$1)</f>
        <v>Primary</v>
      </c>
      <c r="C117" s="24" t="str">
        <f>_xll.DBRW("TM1-S1_DEV:}ElementAttributes_SP_SKU",$D117,C$1)</f>
        <v>TRAY</v>
      </c>
      <c r="D117" s="28" t="s">
        <v>449</v>
      </c>
      <c r="E117" s="28" t="s">
        <v>289</v>
      </c>
      <c r="F117" s="28" t="s">
        <v>32</v>
      </c>
      <c r="G117" s="140">
        <f>_xll.DBRW($A$1,G$2,G$3,$D$17,$A$2,$D117,$E117,$F117,$A$5)</f>
        <v>8</v>
      </c>
      <c r="H117" s="140">
        <f>_xll.DBRW($A$1,H$2,H$3,$D$17,$A$2,$D117,$E117,$F117,$A$5)</f>
        <v>0</v>
      </c>
      <c r="I117" s="140">
        <f>_xll.DBRW($A$1,I$2,I$3,$D$17,$A$2,$D117,$E117,$F117,$A$5)</f>
        <v>2</v>
      </c>
      <c r="J117" s="140">
        <f>_xll.DBRW($A$1,J$2,J$3,$D$17,$A$2,$D117,$E117,$F117,$A$5)</f>
        <v>2</v>
      </c>
      <c r="K117" s="140">
        <f>_xll.DBRW($A$1,K$2,K$3,$D$17,$A$2,$D117,$E117,$F117,$A$5)</f>
        <v>2</v>
      </c>
      <c r="L117" s="140">
        <f>_xll.DBRW($A$1,L$2,L$3,$D$17,$A$2,$D117,$E117,$F117,$A$5)</f>
        <v>2</v>
      </c>
      <c r="M117" s="140">
        <f>_xll.DBRW($A$1,M$2,M$3,$D$17,$A$2,$D117,$E117,$F117,$A$5)</f>
        <v>2</v>
      </c>
      <c r="N117" s="140">
        <f>_xll.DBRW($A$1,N$2,N$3,$D$17,$A$2,$D117,$E117,$F117,$A$5)</f>
        <v>2</v>
      </c>
      <c r="O117" s="140">
        <f>_xll.DBRW($A$1,O$2,O$3,$D$17,$A$2,$D117,$E117,$F117,$A$5)</f>
        <v>2</v>
      </c>
      <c r="P117" s="140">
        <f>_xll.DBRW($A$1,P$2,P$3,$D$17,$A$2,$D117,$E117,$F117,$A$5)</f>
        <v>2</v>
      </c>
      <c r="Q117" s="140">
        <f>_xll.DBRW($A$1,Q$2,Q$3,$D$17,$A$2,$D117,$E117,$F117,$A$5)</f>
        <v>2</v>
      </c>
      <c r="R117" s="140">
        <f>_xll.DBRW($A$1,R$2,R$3,$D$17,$A$2,$D117,$E117,$F117,$A$5)</f>
        <v>2</v>
      </c>
    </row>
    <row r="118" spans="1:18" s="23" customFormat="1" outlineLevel="1" thickBot="1" x14ac:dyDescent="0.3">
      <c r="A118" s="157" t="str">
        <f>IF(_xll.TM1RPTELISCONSOLIDATED($F$22,$F118),IF(_xll.TM1RPTELLEV($F$22,$F118)&lt;=5,_xll.TM1RPTELLEV($F$22,$F118),"Default"),"Leaf")</f>
        <v>Leaf</v>
      </c>
      <c r="B118" s="24" t="str">
        <f>_xll.DBRW("TM1-S1_DEV:}ElementAttributes_SP_SKU",$D118,B$1)</f>
        <v>Primary</v>
      </c>
      <c r="C118" s="24" t="str">
        <f>_xll.DBRW("TM1-S1_DEV:}ElementAttributes_SP_SKU",$D118,C$1)</f>
        <v>BAG</v>
      </c>
      <c r="D118" s="28" t="s">
        <v>450</v>
      </c>
      <c r="E118" s="28" t="s">
        <v>290</v>
      </c>
      <c r="F118" s="28" t="s">
        <v>323</v>
      </c>
      <c r="G118" s="140">
        <f>_xll.DBRW($A$1,G$2,G$3,$D$17,$A$2,$D118,$E118,$F118,$A$5)</f>
        <v>7</v>
      </c>
      <c r="H118" s="140">
        <f>_xll.DBRW($A$1,H$2,H$3,$D$17,$A$2,$D118,$E118,$F118,$A$5)</f>
        <v>0</v>
      </c>
      <c r="I118" s="140">
        <f>_xll.DBRW($A$1,I$2,I$3,$D$17,$A$2,$D118,$E118,$F118,$A$5)</f>
        <v>1</v>
      </c>
      <c r="J118" s="140">
        <f>_xll.DBRW($A$1,J$2,J$3,$D$17,$A$2,$D118,$E118,$F118,$A$5)</f>
        <v>1</v>
      </c>
      <c r="K118" s="140">
        <f>_xll.DBRW($A$1,K$2,K$3,$D$17,$A$2,$D118,$E118,$F118,$A$5)</f>
        <v>1</v>
      </c>
      <c r="L118" s="140">
        <f>_xll.DBRW($A$1,L$2,L$3,$D$17,$A$2,$D118,$E118,$F118,$A$5)</f>
        <v>1</v>
      </c>
      <c r="M118" s="140">
        <f>_xll.DBRW($A$1,M$2,M$3,$D$17,$A$2,$D118,$E118,$F118,$A$5)</f>
        <v>1</v>
      </c>
      <c r="N118" s="140">
        <f>_xll.DBRW($A$1,N$2,N$3,$D$17,$A$2,$D118,$E118,$F118,$A$5)</f>
        <v>1</v>
      </c>
      <c r="O118" s="140">
        <f>_xll.DBRW($A$1,O$2,O$3,$D$17,$A$2,$D118,$E118,$F118,$A$5)</f>
        <v>1</v>
      </c>
      <c r="P118" s="140">
        <f>_xll.DBRW($A$1,P$2,P$3,$D$17,$A$2,$D118,$E118,$F118,$A$5)</f>
        <v>1</v>
      </c>
      <c r="Q118" s="140">
        <f>_xll.DBRW($A$1,Q$2,Q$3,$D$17,$A$2,$D118,$E118,$F118,$A$5)</f>
        <v>1</v>
      </c>
      <c r="R118" s="140">
        <f>_xll.DBRW($A$1,R$2,R$3,$D$17,$A$2,$D118,$E118,$F118,$A$5)</f>
        <v>1</v>
      </c>
    </row>
    <row r="119" spans="1:18" s="23" customFormat="1" outlineLevel="1" thickBot="1" x14ac:dyDescent="0.3">
      <c r="A119" s="157" t="str">
        <f>IF(_xll.TM1RPTELISCONSOLIDATED($F$22,$F119),IF(_xll.TM1RPTELLEV($F$22,$F119)&lt;=5,_xll.TM1RPTELLEV($F$22,$F119),"Default"),"Leaf")</f>
        <v>Leaf</v>
      </c>
      <c r="B119" s="24" t="str">
        <f>_xll.DBRW("TM1-S1_DEV:}ElementAttributes_SP_SKU",$D119,B$1)</f>
        <v>Primary</v>
      </c>
      <c r="C119" s="24" t="str">
        <f>_xll.DBRW("TM1-S1_DEV:}ElementAttributes_SP_SKU",$D119,C$1)</f>
        <v>FILM</v>
      </c>
      <c r="D119" s="28" t="s">
        <v>451</v>
      </c>
      <c r="E119" s="28" t="s">
        <v>291</v>
      </c>
      <c r="F119" s="28" t="s">
        <v>324</v>
      </c>
      <c r="G119" s="140">
        <f>_xll.DBRW($A$1,G$2,G$3,$D$17,$A$2,$D119,$E119,$F119,$A$5)</f>
        <v>1</v>
      </c>
      <c r="H119" s="140">
        <f>_xll.DBRW($A$1,H$2,H$3,$D$17,$A$2,$D119,$E119,$F119,$A$5)</f>
        <v>0</v>
      </c>
      <c r="I119" s="140">
        <f>_xll.DBRW($A$1,I$2,I$3,$D$17,$A$2,$D119,$E119,$F119,$A$5)</f>
        <v>1</v>
      </c>
      <c r="J119" s="140">
        <f>_xll.DBRW($A$1,J$2,J$3,$D$17,$A$2,$D119,$E119,$F119,$A$5)</f>
        <v>1</v>
      </c>
      <c r="K119" s="140">
        <f>_xll.DBRW($A$1,K$2,K$3,$D$17,$A$2,$D119,$E119,$F119,$A$5)</f>
        <v>1</v>
      </c>
      <c r="L119" s="140">
        <f>_xll.DBRW($A$1,L$2,L$3,$D$17,$A$2,$D119,$E119,$F119,$A$5)</f>
        <v>1</v>
      </c>
      <c r="M119" s="140">
        <f>_xll.DBRW($A$1,M$2,M$3,$D$17,$A$2,$D119,$E119,$F119,$A$5)</f>
        <v>1</v>
      </c>
      <c r="N119" s="140">
        <f>_xll.DBRW($A$1,N$2,N$3,$D$17,$A$2,$D119,$E119,$F119,$A$5)</f>
        <v>1</v>
      </c>
      <c r="O119" s="140">
        <f>_xll.DBRW($A$1,O$2,O$3,$D$17,$A$2,$D119,$E119,$F119,$A$5)</f>
        <v>1</v>
      </c>
      <c r="P119" s="140">
        <f>_xll.DBRW($A$1,P$2,P$3,$D$17,$A$2,$D119,$E119,$F119,$A$5)</f>
        <v>1</v>
      </c>
      <c r="Q119" s="140">
        <f>_xll.DBRW($A$1,Q$2,Q$3,$D$17,$A$2,$D119,$E119,$F119,$A$5)</f>
        <v>1</v>
      </c>
      <c r="R119" s="140">
        <f>_xll.DBRW($A$1,R$2,R$3,$D$17,$A$2,$D119,$E119,$F119,$A$5)</f>
        <v>1</v>
      </c>
    </row>
    <row r="120" spans="1:18" s="23" customFormat="1" outlineLevel="1" thickBot="1" x14ac:dyDescent="0.3">
      <c r="A120" s="157" t="str">
        <f>IF(_xll.TM1RPTELISCONSOLIDATED($F$22,$F120),IF(_xll.TM1RPTELLEV($F$22,$F120)&lt;=5,_xll.TM1RPTELLEV($F$22,$F120),"Default"),"Leaf")</f>
        <v>Leaf</v>
      </c>
      <c r="B120" s="24" t="str">
        <f>_xll.DBRW("TM1-S1_DEV:}ElementAttributes_SP_SKU",$D120,B$1)</f>
        <v>Primary</v>
      </c>
      <c r="C120" s="24" t="str">
        <f>_xll.DBRW("TM1-S1_DEV:}ElementAttributes_SP_SKU",$D120,C$1)</f>
        <v>BOWL</v>
      </c>
      <c r="D120" s="28" t="s">
        <v>452</v>
      </c>
      <c r="E120" s="28" t="s">
        <v>125</v>
      </c>
      <c r="F120" s="28" t="s">
        <v>30</v>
      </c>
      <c r="G120" s="140">
        <f>_xll.DBRW($A$1,G$2,G$3,$D$17,$A$2,$D120,$E120,$F120,$A$5)</f>
        <v>2</v>
      </c>
      <c r="H120" s="140">
        <f>_xll.DBRW($A$1,H$2,H$3,$D$17,$A$2,$D120,$E120,$F120,$A$5)</f>
        <v>0</v>
      </c>
      <c r="I120" s="140">
        <f>_xll.DBRW($A$1,I$2,I$3,$D$17,$A$2,$D120,$E120,$F120,$A$5)</f>
        <v>1</v>
      </c>
      <c r="J120" s="140">
        <f>_xll.DBRW($A$1,J$2,J$3,$D$17,$A$2,$D120,$E120,$F120,$A$5)</f>
        <v>1</v>
      </c>
      <c r="K120" s="140">
        <f>_xll.DBRW($A$1,K$2,K$3,$D$17,$A$2,$D120,$E120,$F120,$A$5)</f>
        <v>1</v>
      </c>
      <c r="L120" s="140">
        <f>_xll.DBRW($A$1,L$2,L$3,$D$17,$A$2,$D120,$E120,$F120,$A$5)</f>
        <v>1</v>
      </c>
      <c r="M120" s="140">
        <f>_xll.DBRW($A$1,M$2,M$3,$D$17,$A$2,$D120,$E120,$F120,$A$5)</f>
        <v>1</v>
      </c>
      <c r="N120" s="140">
        <f>_xll.DBRW($A$1,N$2,N$3,$D$17,$A$2,$D120,$E120,$F120,$A$5)</f>
        <v>1</v>
      </c>
      <c r="O120" s="140">
        <f>_xll.DBRW($A$1,O$2,O$3,$D$17,$A$2,$D120,$E120,$F120,$A$5)</f>
        <v>1</v>
      </c>
      <c r="P120" s="140">
        <f>_xll.DBRW($A$1,P$2,P$3,$D$17,$A$2,$D120,$E120,$F120,$A$5)</f>
        <v>1</v>
      </c>
      <c r="Q120" s="140">
        <f>_xll.DBRW($A$1,Q$2,Q$3,$D$17,$A$2,$D120,$E120,$F120,$A$5)</f>
        <v>1</v>
      </c>
      <c r="R120" s="140">
        <f>_xll.DBRW($A$1,R$2,R$3,$D$17,$A$2,$D120,$E120,$F120,$A$5)</f>
        <v>1</v>
      </c>
    </row>
    <row r="121" spans="1:18" s="23" customFormat="1" outlineLevel="1" thickBot="1" x14ac:dyDescent="0.3">
      <c r="A121" s="157" t="str">
        <f>IF(_xll.TM1RPTELISCONSOLIDATED($F$22,$F121),IF(_xll.TM1RPTELLEV($F$22,$F121)&lt;=5,_xll.TM1RPTELLEV($F$22,$F121),"Default"),"Leaf")</f>
        <v>Leaf</v>
      </c>
      <c r="B121" s="24" t="str">
        <f>_xll.DBRW("TM1-S1_DEV:}ElementAttributes_SP_SKU",$D121,B$1)</f>
        <v>Primary</v>
      </c>
      <c r="C121" s="24" t="str">
        <f>_xll.DBRW("TM1-S1_DEV:}ElementAttributes_SP_SKU",$D121,C$1)</f>
        <v>CHIPS</v>
      </c>
      <c r="D121" s="28" t="s">
        <v>333</v>
      </c>
      <c r="E121" s="28" t="s">
        <v>126</v>
      </c>
      <c r="F121" s="28" t="s">
        <v>153</v>
      </c>
      <c r="G121" s="140">
        <f>_xll.DBRW($A$1,G$2,G$3,$D$17,$A$2,$D121,$E121,$F121,$A$5)</f>
        <v>13</v>
      </c>
      <c r="H121" s="140">
        <f>_xll.DBRW($A$1,H$2,H$3,$D$17,$A$2,$D121,$E121,$F121,$A$5)</f>
        <v>0</v>
      </c>
      <c r="I121" s="140">
        <f>_xll.DBRW($A$1,I$2,I$3,$D$17,$A$2,$D121,$E121,$F121,$A$5)</f>
        <v>9</v>
      </c>
      <c r="J121" s="140">
        <f>_xll.DBRW($A$1,J$2,J$3,$D$17,$A$2,$D121,$E121,$F121,$A$5)</f>
        <v>9</v>
      </c>
      <c r="K121" s="140">
        <f>_xll.DBRW($A$1,K$2,K$3,$D$17,$A$2,$D121,$E121,$F121,$A$5)</f>
        <v>9</v>
      </c>
      <c r="L121" s="140">
        <f>_xll.DBRW($A$1,L$2,L$3,$D$17,$A$2,$D121,$E121,$F121,$A$5)</f>
        <v>9</v>
      </c>
      <c r="M121" s="140">
        <f>_xll.DBRW($A$1,M$2,M$3,$D$17,$A$2,$D121,$E121,$F121,$A$5)</f>
        <v>9</v>
      </c>
      <c r="N121" s="140">
        <f>_xll.DBRW($A$1,N$2,N$3,$D$17,$A$2,$D121,$E121,$F121,$A$5)</f>
        <v>9</v>
      </c>
      <c r="O121" s="140">
        <f>_xll.DBRW($A$1,O$2,O$3,$D$17,$A$2,$D121,$E121,$F121,$A$5)</f>
        <v>9</v>
      </c>
      <c r="P121" s="140">
        <f>_xll.DBRW($A$1,P$2,P$3,$D$17,$A$2,$D121,$E121,$F121,$A$5)</f>
        <v>9</v>
      </c>
      <c r="Q121" s="140">
        <f>_xll.DBRW($A$1,Q$2,Q$3,$D$17,$A$2,$D121,$E121,$F121,$A$5)</f>
        <v>9</v>
      </c>
      <c r="R121" s="140">
        <f>_xll.DBRW($A$1,R$2,R$3,$D$17,$A$2,$D121,$E121,$F121,$A$5)</f>
        <v>9</v>
      </c>
    </row>
    <row r="122" spans="1:18" s="23" customFormat="1" outlineLevel="1" thickBot="1" x14ac:dyDescent="0.3">
      <c r="A122" s="157" t="str">
        <f>IF(_xll.TM1RPTELISCONSOLIDATED($F$22,$F122),IF(_xll.TM1RPTELLEV($F$22,$F122)&lt;=5,_xll.TM1RPTELLEV($F$22,$F122),"Default"),"Leaf")</f>
        <v>Leaf</v>
      </c>
      <c r="B122" s="24" t="str">
        <f>_xll.DBRW("TM1-S1_DEV:}ElementAttributes_SP_SKU",$D122,B$1)</f>
        <v>Primary</v>
      </c>
      <c r="C122" s="24" t="str">
        <f>_xll.DBRW("TM1-S1_DEV:}ElementAttributes_SP_SKU",$D122,C$1)</f>
        <v>CHIPS</v>
      </c>
      <c r="D122" s="28" t="s">
        <v>334</v>
      </c>
      <c r="E122" s="28" t="s">
        <v>127</v>
      </c>
      <c r="F122" s="28" t="s">
        <v>153</v>
      </c>
      <c r="G122" s="140">
        <f>_xll.DBRW($A$1,G$2,G$3,$D$17,$A$2,$D122,$E122,$F122,$A$5)</f>
        <v>21</v>
      </c>
      <c r="H122" s="140">
        <f>_xll.DBRW($A$1,H$2,H$3,$D$17,$A$2,$D122,$E122,$F122,$A$5)</f>
        <v>0</v>
      </c>
      <c r="I122" s="140">
        <f>_xll.DBRW($A$1,I$2,I$3,$D$17,$A$2,$D122,$E122,$F122,$A$5)</f>
        <v>26</v>
      </c>
      <c r="J122" s="140">
        <f>_xll.DBRW($A$1,J$2,J$3,$D$17,$A$2,$D122,$E122,$F122,$A$5)</f>
        <v>26</v>
      </c>
      <c r="K122" s="140">
        <f>_xll.DBRW($A$1,K$2,K$3,$D$17,$A$2,$D122,$E122,$F122,$A$5)</f>
        <v>26</v>
      </c>
      <c r="L122" s="140">
        <f>_xll.DBRW($A$1,L$2,L$3,$D$17,$A$2,$D122,$E122,$F122,$A$5)</f>
        <v>26</v>
      </c>
      <c r="M122" s="140">
        <f>_xll.DBRW($A$1,M$2,M$3,$D$17,$A$2,$D122,$E122,$F122,$A$5)</f>
        <v>26</v>
      </c>
      <c r="N122" s="140">
        <f>_xll.DBRW($A$1,N$2,N$3,$D$17,$A$2,$D122,$E122,$F122,$A$5)</f>
        <v>26</v>
      </c>
      <c r="O122" s="140">
        <f>_xll.DBRW($A$1,O$2,O$3,$D$17,$A$2,$D122,$E122,$F122,$A$5)</f>
        <v>26</v>
      </c>
      <c r="P122" s="140">
        <f>_xll.DBRW($A$1,P$2,P$3,$D$17,$A$2,$D122,$E122,$F122,$A$5)</f>
        <v>26</v>
      </c>
      <c r="Q122" s="140">
        <f>_xll.DBRW($A$1,Q$2,Q$3,$D$17,$A$2,$D122,$E122,$F122,$A$5)</f>
        <v>26</v>
      </c>
      <c r="R122" s="140">
        <f>_xll.DBRW($A$1,R$2,R$3,$D$17,$A$2,$D122,$E122,$F122,$A$5)</f>
        <v>26</v>
      </c>
    </row>
    <row r="123" spans="1:18" s="23" customFormat="1" outlineLevel="1" thickBot="1" x14ac:dyDescent="0.3">
      <c r="A123" s="157" t="str">
        <f>IF(_xll.TM1RPTELISCONSOLIDATED($F$22,$F123),IF(_xll.TM1RPTELLEV($F$22,$F123)&lt;=5,_xll.TM1RPTELLEV($F$22,$F123),"Default"),"Leaf")</f>
        <v>Leaf</v>
      </c>
      <c r="B123" s="24" t="str">
        <f>_xll.DBRW("TM1-S1_DEV:}ElementAttributes_SP_SKU",$D123,B$1)</f>
        <v>Primary</v>
      </c>
      <c r="C123" s="24" t="str">
        <f>_xll.DBRW("TM1-S1_DEV:}ElementAttributes_SP_SKU",$D123,C$1)</f>
        <v>CHIPS</v>
      </c>
      <c r="D123" s="28" t="s">
        <v>335</v>
      </c>
      <c r="E123" s="28" t="s">
        <v>128</v>
      </c>
      <c r="F123" s="28" t="s">
        <v>153</v>
      </c>
      <c r="G123" s="140">
        <f>_xll.DBRW($A$1,G$2,G$3,$D$17,$A$2,$D123,$E123,$F123,$A$5)</f>
        <v>20</v>
      </c>
      <c r="H123" s="140">
        <f>_xll.DBRW($A$1,H$2,H$3,$D$17,$A$2,$D123,$E123,$F123,$A$5)</f>
        <v>0</v>
      </c>
      <c r="I123" s="140">
        <f>_xll.DBRW($A$1,I$2,I$3,$D$17,$A$2,$D123,$E123,$F123,$A$5)</f>
        <v>21</v>
      </c>
      <c r="J123" s="140">
        <f>_xll.DBRW($A$1,J$2,J$3,$D$17,$A$2,$D123,$E123,$F123,$A$5)</f>
        <v>21</v>
      </c>
      <c r="K123" s="140">
        <f>_xll.DBRW($A$1,K$2,K$3,$D$17,$A$2,$D123,$E123,$F123,$A$5)</f>
        <v>21</v>
      </c>
      <c r="L123" s="140">
        <f>_xll.DBRW($A$1,L$2,L$3,$D$17,$A$2,$D123,$E123,$F123,$A$5)</f>
        <v>21</v>
      </c>
      <c r="M123" s="140">
        <f>_xll.DBRW($A$1,M$2,M$3,$D$17,$A$2,$D123,$E123,$F123,$A$5)</f>
        <v>21</v>
      </c>
      <c r="N123" s="140">
        <f>_xll.DBRW($A$1,N$2,N$3,$D$17,$A$2,$D123,$E123,$F123,$A$5)</f>
        <v>21</v>
      </c>
      <c r="O123" s="140">
        <f>_xll.DBRW($A$1,O$2,O$3,$D$17,$A$2,$D123,$E123,$F123,$A$5)</f>
        <v>21</v>
      </c>
      <c r="P123" s="140">
        <f>_xll.DBRW($A$1,P$2,P$3,$D$17,$A$2,$D123,$E123,$F123,$A$5)</f>
        <v>21</v>
      </c>
      <c r="Q123" s="140">
        <f>_xll.DBRW($A$1,Q$2,Q$3,$D$17,$A$2,$D123,$E123,$F123,$A$5)</f>
        <v>21</v>
      </c>
      <c r="R123" s="140">
        <f>_xll.DBRW($A$1,R$2,R$3,$D$17,$A$2,$D123,$E123,$F123,$A$5)</f>
        <v>21</v>
      </c>
    </row>
    <row r="124" spans="1:18" s="23" customFormat="1" outlineLevel="1" thickBot="1" x14ac:dyDescent="0.3">
      <c r="A124" s="157" t="str">
        <f>IF(_xll.TM1RPTELISCONSOLIDATED($F$22,$F124),IF(_xll.TM1RPTELLEV($F$22,$F124)&lt;=5,_xll.TM1RPTELLEV($F$22,$F124),"Default"),"Leaf")</f>
        <v>Leaf</v>
      </c>
      <c r="B124" s="24" t="str">
        <f>_xll.DBRW("TM1-S1_DEV:}ElementAttributes_SP_SKU",$D124,B$1)</f>
        <v>Primary</v>
      </c>
      <c r="C124" s="24" t="str">
        <f>_xll.DBRW("TM1-S1_DEV:}ElementAttributes_SP_SKU",$D124,C$1)</f>
        <v>CHIPS</v>
      </c>
      <c r="D124" s="28" t="s">
        <v>336</v>
      </c>
      <c r="E124" s="28" t="s">
        <v>129</v>
      </c>
      <c r="F124" s="28" t="s">
        <v>153</v>
      </c>
      <c r="G124" s="140">
        <f>_xll.DBRW($A$1,G$2,G$3,$D$17,$A$2,$D124,$E124,$F124,$A$5)</f>
        <v>15</v>
      </c>
      <c r="H124" s="140">
        <f>_xll.DBRW($A$1,H$2,H$3,$D$17,$A$2,$D124,$E124,$F124,$A$5)</f>
        <v>0</v>
      </c>
      <c r="I124" s="140">
        <f>_xll.DBRW($A$1,I$2,I$3,$D$17,$A$2,$D124,$E124,$F124,$A$5)</f>
        <v>13</v>
      </c>
      <c r="J124" s="140">
        <f>_xll.DBRW($A$1,J$2,J$3,$D$17,$A$2,$D124,$E124,$F124,$A$5)</f>
        <v>13</v>
      </c>
      <c r="K124" s="140">
        <f>_xll.DBRW($A$1,K$2,K$3,$D$17,$A$2,$D124,$E124,$F124,$A$5)</f>
        <v>13</v>
      </c>
      <c r="L124" s="140">
        <f>_xll.DBRW($A$1,L$2,L$3,$D$17,$A$2,$D124,$E124,$F124,$A$5)</f>
        <v>13</v>
      </c>
      <c r="M124" s="140">
        <f>_xll.DBRW($A$1,M$2,M$3,$D$17,$A$2,$D124,$E124,$F124,$A$5)</f>
        <v>13</v>
      </c>
      <c r="N124" s="140">
        <f>_xll.DBRW($A$1,N$2,N$3,$D$17,$A$2,$D124,$E124,$F124,$A$5)</f>
        <v>13</v>
      </c>
      <c r="O124" s="140">
        <f>_xll.DBRW($A$1,O$2,O$3,$D$17,$A$2,$D124,$E124,$F124,$A$5)</f>
        <v>13</v>
      </c>
      <c r="P124" s="140">
        <f>_xll.DBRW($A$1,P$2,P$3,$D$17,$A$2,$D124,$E124,$F124,$A$5)</f>
        <v>13</v>
      </c>
      <c r="Q124" s="140">
        <f>_xll.DBRW($A$1,Q$2,Q$3,$D$17,$A$2,$D124,$E124,$F124,$A$5)</f>
        <v>13</v>
      </c>
      <c r="R124" s="140">
        <f>_xll.DBRW($A$1,R$2,R$3,$D$17,$A$2,$D124,$E124,$F124,$A$5)</f>
        <v>13</v>
      </c>
    </row>
    <row r="125" spans="1:18" s="23" customFormat="1" outlineLevel="1" thickBot="1" x14ac:dyDescent="0.3">
      <c r="A125" s="157" t="str">
        <f>IF(_xll.TM1RPTELISCONSOLIDATED($F$22,$F125),IF(_xll.TM1RPTELLEV($F$22,$F125)&lt;=5,_xll.TM1RPTELLEV($F$22,$F125),"Default"),"Leaf")</f>
        <v>Leaf</v>
      </c>
      <c r="B125" s="24" t="str">
        <f>_xll.DBRW("TM1-S1_DEV:}ElementAttributes_SP_SKU",$D125,B$1)</f>
        <v>Primary</v>
      </c>
      <c r="C125" s="24" t="str">
        <f>_xll.DBRW("TM1-S1_DEV:}ElementAttributes_SP_SKU",$D125,C$1)</f>
        <v>CONDIMENT</v>
      </c>
      <c r="D125" s="28" t="s">
        <v>161</v>
      </c>
      <c r="E125" s="28" t="s">
        <v>147</v>
      </c>
      <c r="F125" s="28" t="s">
        <v>156</v>
      </c>
      <c r="G125" s="140">
        <f>_xll.DBRW($A$1,G$2,G$3,$D$17,$A$2,$D125,$E125,$F125,$A$5)</f>
        <v>10</v>
      </c>
      <c r="H125" s="140">
        <f>_xll.DBRW($A$1,H$2,H$3,$D$17,$A$2,$D125,$E125,$F125,$A$5)</f>
        <v>0</v>
      </c>
      <c r="I125" s="140">
        <f>_xll.DBRW($A$1,I$2,I$3,$D$17,$A$2,$D125,$E125,$F125,$A$5)</f>
        <v>7</v>
      </c>
      <c r="J125" s="140">
        <f>_xll.DBRW($A$1,J$2,J$3,$D$17,$A$2,$D125,$E125,$F125,$A$5)</f>
        <v>7</v>
      </c>
      <c r="K125" s="140">
        <f>_xll.DBRW($A$1,K$2,K$3,$D$17,$A$2,$D125,$E125,$F125,$A$5)</f>
        <v>7</v>
      </c>
      <c r="L125" s="140">
        <f>_xll.DBRW($A$1,L$2,L$3,$D$17,$A$2,$D125,$E125,$F125,$A$5)</f>
        <v>7</v>
      </c>
      <c r="M125" s="140">
        <f>_xll.DBRW($A$1,M$2,M$3,$D$17,$A$2,$D125,$E125,$F125,$A$5)</f>
        <v>7</v>
      </c>
      <c r="N125" s="140">
        <f>_xll.DBRW($A$1,N$2,N$3,$D$17,$A$2,$D125,$E125,$F125,$A$5)</f>
        <v>7</v>
      </c>
      <c r="O125" s="140">
        <f>_xll.DBRW($A$1,O$2,O$3,$D$17,$A$2,$D125,$E125,$F125,$A$5)</f>
        <v>7</v>
      </c>
      <c r="P125" s="140">
        <f>_xll.DBRW($A$1,P$2,P$3,$D$17,$A$2,$D125,$E125,$F125,$A$5)</f>
        <v>7</v>
      </c>
      <c r="Q125" s="140">
        <f>_xll.DBRW($A$1,Q$2,Q$3,$D$17,$A$2,$D125,$E125,$F125,$A$5)</f>
        <v>7</v>
      </c>
      <c r="R125" s="140">
        <f>_xll.DBRW($A$1,R$2,R$3,$D$17,$A$2,$D125,$E125,$F125,$A$5)</f>
        <v>7</v>
      </c>
    </row>
    <row r="126" spans="1:18" s="23" customFormat="1" outlineLevel="1" thickBot="1" x14ac:dyDescent="0.3">
      <c r="A126" s="157" t="str">
        <f>IF(_xll.TM1RPTELISCONSOLIDATED($F$22,$F126),IF(_xll.TM1RPTELLEV($F$22,$F126)&lt;=5,_xll.TM1RPTELLEV($F$22,$F126),"Default"),"Leaf")</f>
        <v>Leaf</v>
      </c>
      <c r="B126" s="24" t="str">
        <f>_xll.DBRW("TM1-S1_DEV:}ElementAttributes_SP_SKU",$D126,B$1)</f>
        <v>Primary</v>
      </c>
      <c r="C126" s="24" t="str">
        <f>_xll.DBRW("TM1-S1_DEV:}ElementAttributes_SP_SKU",$D126,C$1)</f>
        <v>PLATE</v>
      </c>
      <c r="D126" s="28" t="s">
        <v>164</v>
      </c>
      <c r="E126" s="28" t="s">
        <v>303</v>
      </c>
      <c r="F126" s="28" t="s">
        <v>326</v>
      </c>
      <c r="G126" s="140">
        <f>_xll.DBRW($A$1,G$2,G$3,$D$17,$A$2,$D126,$E126,$F126,$A$5)</f>
        <v>1</v>
      </c>
      <c r="H126" s="140">
        <f>_xll.DBRW($A$1,H$2,H$3,$D$17,$A$2,$D126,$E126,$F126,$A$5)</f>
        <v>0</v>
      </c>
      <c r="I126" s="140">
        <f>_xll.DBRW($A$1,I$2,I$3,$D$17,$A$2,$D126,$E126,$F126,$A$5)</f>
        <v>2</v>
      </c>
      <c r="J126" s="140">
        <f>_xll.DBRW($A$1,J$2,J$3,$D$17,$A$2,$D126,$E126,$F126,$A$5)</f>
        <v>2</v>
      </c>
      <c r="K126" s="140">
        <f>_xll.DBRW($A$1,K$2,K$3,$D$17,$A$2,$D126,$E126,$F126,$A$5)</f>
        <v>2</v>
      </c>
      <c r="L126" s="140">
        <f>_xll.DBRW($A$1,L$2,L$3,$D$17,$A$2,$D126,$E126,$F126,$A$5)</f>
        <v>2</v>
      </c>
      <c r="M126" s="140">
        <f>_xll.DBRW($A$1,M$2,M$3,$D$17,$A$2,$D126,$E126,$F126,$A$5)</f>
        <v>2</v>
      </c>
      <c r="N126" s="140">
        <f>_xll.DBRW($A$1,N$2,N$3,$D$17,$A$2,$D126,$E126,$F126,$A$5)</f>
        <v>2</v>
      </c>
      <c r="O126" s="140">
        <f>_xll.DBRW($A$1,O$2,O$3,$D$17,$A$2,$D126,$E126,$F126,$A$5)</f>
        <v>2</v>
      </c>
      <c r="P126" s="140">
        <f>_xll.DBRW($A$1,P$2,P$3,$D$17,$A$2,$D126,$E126,$F126,$A$5)</f>
        <v>2</v>
      </c>
      <c r="Q126" s="140">
        <f>_xll.DBRW($A$1,Q$2,Q$3,$D$17,$A$2,$D126,$E126,$F126,$A$5)</f>
        <v>2</v>
      </c>
      <c r="R126" s="140">
        <f>_xll.DBRW($A$1,R$2,R$3,$D$17,$A$2,$D126,$E126,$F126,$A$5)</f>
        <v>2</v>
      </c>
    </row>
    <row r="127" spans="1:18" s="23" customFormat="1" outlineLevel="1" thickBot="1" x14ac:dyDescent="0.3">
      <c r="A127" s="157" t="str">
        <f>IF(_xll.TM1RPTELISCONSOLIDATED($F$22,$F127),IF(_xll.TM1RPTELLEV($F$22,$F127)&lt;=5,_xll.TM1RPTELLEV($F$22,$F127),"Default"),"Leaf")</f>
        <v>Leaf</v>
      </c>
      <c r="B127" s="24" t="str">
        <f>_xll.DBRW("TM1-S1_DEV:}ElementAttributes_SP_SKU",$D127,B$1)</f>
        <v>Primary</v>
      </c>
      <c r="C127" s="24" t="str">
        <f>_xll.DBRW("TM1-S1_DEV:}ElementAttributes_SP_SKU",$D127,C$1)</f>
        <v>CONTAINER</v>
      </c>
      <c r="D127" s="28" t="s">
        <v>168</v>
      </c>
      <c r="E127" s="28" t="s">
        <v>307</v>
      </c>
      <c r="F127" s="28" t="s">
        <v>326</v>
      </c>
      <c r="G127" s="140">
        <f>_xll.DBRW($A$1,G$2,G$3,$D$17,$A$2,$D127,$E127,$F127,$A$5)</f>
        <v>3</v>
      </c>
      <c r="H127" s="140">
        <f>_xll.DBRW($A$1,H$2,H$3,$D$17,$A$2,$D127,$E127,$F127,$A$5)</f>
        <v>0</v>
      </c>
      <c r="I127" s="140">
        <f>_xll.DBRW($A$1,I$2,I$3,$D$17,$A$2,$D127,$E127,$F127,$A$5)</f>
        <v>3</v>
      </c>
      <c r="J127" s="140">
        <f>_xll.DBRW($A$1,J$2,J$3,$D$17,$A$2,$D127,$E127,$F127,$A$5)</f>
        <v>3</v>
      </c>
      <c r="K127" s="140">
        <f>_xll.DBRW($A$1,K$2,K$3,$D$17,$A$2,$D127,$E127,$F127,$A$5)</f>
        <v>3</v>
      </c>
      <c r="L127" s="140">
        <f>_xll.DBRW($A$1,L$2,L$3,$D$17,$A$2,$D127,$E127,$F127,$A$5)</f>
        <v>3</v>
      </c>
      <c r="M127" s="140">
        <f>_xll.DBRW($A$1,M$2,M$3,$D$17,$A$2,$D127,$E127,$F127,$A$5)</f>
        <v>3</v>
      </c>
      <c r="N127" s="140">
        <f>_xll.DBRW($A$1,N$2,N$3,$D$17,$A$2,$D127,$E127,$F127,$A$5)</f>
        <v>3</v>
      </c>
      <c r="O127" s="140">
        <f>_xll.DBRW($A$1,O$2,O$3,$D$17,$A$2,$D127,$E127,$F127,$A$5)</f>
        <v>3</v>
      </c>
      <c r="P127" s="140">
        <f>_xll.DBRW($A$1,P$2,P$3,$D$17,$A$2,$D127,$E127,$F127,$A$5)</f>
        <v>3</v>
      </c>
      <c r="Q127" s="140">
        <f>_xll.DBRW($A$1,Q$2,Q$3,$D$17,$A$2,$D127,$E127,$F127,$A$5)</f>
        <v>3</v>
      </c>
      <c r="R127" s="140">
        <f>_xll.DBRW($A$1,R$2,R$3,$D$17,$A$2,$D127,$E127,$F127,$A$5)</f>
        <v>3</v>
      </c>
    </row>
    <row r="128" spans="1:18" s="23" customFormat="1" outlineLevel="1" thickBot="1" x14ac:dyDescent="0.3">
      <c r="A128" s="157" t="str">
        <f>IF(_xll.TM1RPTELISCONSOLIDATED($F$22,$F128),IF(_xll.TM1RPTELLEV($F$22,$F128)&lt;=5,_xll.TM1RPTELLEV($F$22,$F128),"Default"),"Leaf")</f>
        <v>Leaf</v>
      </c>
      <c r="B128" s="24" t="str">
        <f>_xll.DBRW("TM1-S1_DEV:}ElementAttributes_SP_SKU",$D128,B$1)</f>
        <v>Primary</v>
      </c>
      <c r="C128" s="24" t="str">
        <f>_xll.DBRW("TM1-S1_DEV:}ElementAttributes_SP_SKU",$D128,C$1)</f>
        <v>BAG</v>
      </c>
      <c r="D128" s="28" t="s">
        <v>175</v>
      </c>
      <c r="E128" s="28" t="s">
        <v>314</v>
      </c>
      <c r="F128" s="28" t="s">
        <v>330</v>
      </c>
      <c r="G128" s="140">
        <f>_xll.DBRW($A$1,G$2,G$3,$D$17,$A$2,$D128,$E128,$F128,$A$5)</f>
        <v>2</v>
      </c>
      <c r="H128" s="140">
        <f>_xll.DBRW($A$1,H$2,H$3,$D$17,$A$2,$D128,$E128,$F128,$A$5)</f>
        <v>0</v>
      </c>
      <c r="I128" s="140">
        <f>_xll.DBRW($A$1,I$2,I$3,$D$17,$A$2,$D128,$E128,$F128,$A$5)</f>
        <v>2</v>
      </c>
      <c r="J128" s="140">
        <f>_xll.DBRW($A$1,J$2,J$3,$D$17,$A$2,$D128,$E128,$F128,$A$5)</f>
        <v>2</v>
      </c>
      <c r="K128" s="140">
        <f>_xll.DBRW($A$1,K$2,K$3,$D$17,$A$2,$D128,$E128,$F128,$A$5)</f>
        <v>2</v>
      </c>
      <c r="L128" s="140">
        <f>_xll.DBRW($A$1,L$2,L$3,$D$17,$A$2,$D128,$E128,$F128,$A$5)</f>
        <v>2</v>
      </c>
      <c r="M128" s="140">
        <f>_xll.DBRW($A$1,M$2,M$3,$D$17,$A$2,$D128,$E128,$F128,$A$5)</f>
        <v>2</v>
      </c>
      <c r="N128" s="140">
        <f>_xll.DBRW($A$1,N$2,N$3,$D$17,$A$2,$D128,$E128,$F128,$A$5)</f>
        <v>2</v>
      </c>
      <c r="O128" s="140">
        <f>_xll.DBRW($A$1,O$2,O$3,$D$17,$A$2,$D128,$E128,$F128,$A$5)</f>
        <v>2</v>
      </c>
      <c r="P128" s="140">
        <f>_xll.DBRW($A$1,P$2,P$3,$D$17,$A$2,$D128,$E128,$F128,$A$5)</f>
        <v>2</v>
      </c>
      <c r="Q128" s="140">
        <f>_xll.DBRW($A$1,Q$2,Q$3,$D$17,$A$2,$D128,$E128,$F128,$A$5)</f>
        <v>2</v>
      </c>
      <c r="R128" s="140">
        <f>_xll.DBRW($A$1,R$2,R$3,$D$17,$A$2,$D128,$E128,$F128,$A$5)</f>
        <v>2</v>
      </c>
    </row>
    <row r="129" spans="1:18" s="23" customFormat="1" outlineLevel="1" thickBot="1" x14ac:dyDescent="0.3">
      <c r="A129" s="157" t="str">
        <f>IF(_xll.TM1RPTELISCONSOLIDATED($F$22,$F129),IF(_xll.TM1RPTELLEV($F$22,$F129)&lt;=5,_xll.TM1RPTELLEV($F$22,$F129),"Default"),"Leaf")</f>
        <v>Leaf</v>
      </c>
      <c r="B129" s="24" t="str">
        <f>_xll.DBRW("TM1-S1_DEV:}ElementAttributes_SP_SKU",$D129,B$1)</f>
        <v>Primary</v>
      </c>
      <c r="C129" s="24" t="str">
        <f>_xll.DBRW("TM1-S1_DEV:}ElementAttributes_SP_SKU",$D129,C$1)</f>
        <v>GLOVES</v>
      </c>
      <c r="D129" s="28" t="s">
        <v>178</v>
      </c>
      <c r="E129" s="28" t="s">
        <v>132</v>
      </c>
      <c r="F129" s="28" t="s">
        <v>155</v>
      </c>
      <c r="G129" s="140">
        <f>_xll.DBRW($A$1,G$2,G$3,$D$17,$A$2,$D129,$E129,$F129,$A$5)</f>
        <v>1</v>
      </c>
      <c r="H129" s="140">
        <f>_xll.DBRW($A$1,H$2,H$3,$D$17,$A$2,$D129,$E129,$F129,$A$5)</f>
        <v>0</v>
      </c>
      <c r="I129" s="140">
        <f>_xll.DBRW($A$1,I$2,I$3,$D$17,$A$2,$D129,$E129,$F129,$A$5)</f>
        <v>2</v>
      </c>
      <c r="J129" s="140">
        <f>_xll.DBRW($A$1,J$2,J$3,$D$17,$A$2,$D129,$E129,$F129,$A$5)</f>
        <v>2</v>
      </c>
      <c r="K129" s="140">
        <f>_xll.DBRW($A$1,K$2,K$3,$D$17,$A$2,$D129,$E129,$F129,$A$5)</f>
        <v>2</v>
      </c>
      <c r="L129" s="140">
        <f>_xll.DBRW($A$1,L$2,L$3,$D$17,$A$2,$D129,$E129,$F129,$A$5)</f>
        <v>2</v>
      </c>
      <c r="M129" s="140">
        <f>_xll.DBRW($A$1,M$2,M$3,$D$17,$A$2,$D129,$E129,$F129,$A$5)</f>
        <v>2</v>
      </c>
      <c r="N129" s="140">
        <f>_xll.DBRW($A$1,N$2,N$3,$D$17,$A$2,$D129,$E129,$F129,$A$5)</f>
        <v>2</v>
      </c>
      <c r="O129" s="140">
        <f>_xll.DBRW($A$1,O$2,O$3,$D$17,$A$2,$D129,$E129,$F129,$A$5)</f>
        <v>2</v>
      </c>
      <c r="P129" s="140">
        <f>_xll.DBRW($A$1,P$2,P$3,$D$17,$A$2,$D129,$E129,$F129,$A$5)</f>
        <v>2</v>
      </c>
      <c r="Q129" s="140">
        <f>_xll.DBRW($A$1,Q$2,Q$3,$D$17,$A$2,$D129,$E129,$F129,$A$5)</f>
        <v>2</v>
      </c>
      <c r="R129" s="140">
        <f>_xll.DBRW($A$1,R$2,R$3,$D$17,$A$2,$D129,$E129,$F129,$A$5)</f>
        <v>2</v>
      </c>
    </row>
    <row r="130" spans="1:18" s="23" customFormat="1" outlineLevel="1" thickBot="1" x14ac:dyDescent="0.3">
      <c r="A130" s="157" t="str">
        <f>IF(_xll.TM1RPTELISCONSOLIDATED($F$22,$F130),IF(_xll.TM1RPTELLEV($F$22,$F130)&lt;=5,_xll.TM1RPTELLEV($F$22,$F130),"Default"),"Leaf")</f>
        <v>Leaf</v>
      </c>
      <c r="B130" s="24" t="str">
        <f>_xll.DBRW("TM1-S1_DEV:}ElementAttributes_SP_SKU",$D130,B$1)</f>
        <v>Primary</v>
      </c>
      <c r="C130" s="24" t="str">
        <f>_xll.DBRW("TM1-S1_DEV:}ElementAttributes_SP_SKU",$D130,C$1)</f>
        <v>GLOVES</v>
      </c>
      <c r="D130" s="28" t="s">
        <v>179</v>
      </c>
      <c r="E130" s="28" t="s">
        <v>133</v>
      </c>
      <c r="F130" s="28" t="s">
        <v>155</v>
      </c>
      <c r="G130" s="140">
        <f>_xll.DBRW($A$1,G$2,G$3,$D$17,$A$2,$D130,$E130,$F130,$A$5)</f>
        <v>3</v>
      </c>
      <c r="H130" s="140">
        <f>_xll.DBRW($A$1,H$2,H$3,$D$17,$A$2,$D130,$E130,$F130,$A$5)</f>
        <v>0</v>
      </c>
      <c r="I130" s="140">
        <f>_xll.DBRW($A$1,I$2,I$3,$D$17,$A$2,$D130,$E130,$F130,$A$5)</f>
        <v>2</v>
      </c>
      <c r="J130" s="140">
        <f>_xll.DBRW($A$1,J$2,J$3,$D$17,$A$2,$D130,$E130,$F130,$A$5)</f>
        <v>2</v>
      </c>
      <c r="K130" s="140">
        <f>_xll.DBRW($A$1,K$2,K$3,$D$17,$A$2,$D130,$E130,$F130,$A$5)</f>
        <v>2</v>
      </c>
      <c r="L130" s="140">
        <f>_xll.DBRW($A$1,L$2,L$3,$D$17,$A$2,$D130,$E130,$F130,$A$5)</f>
        <v>2</v>
      </c>
      <c r="M130" s="140">
        <f>_xll.DBRW($A$1,M$2,M$3,$D$17,$A$2,$D130,$E130,$F130,$A$5)</f>
        <v>2</v>
      </c>
      <c r="N130" s="140">
        <f>_xll.DBRW($A$1,N$2,N$3,$D$17,$A$2,$D130,$E130,$F130,$A$5)</f>
        <v>2</v>
      </c>
      <c r="O130" s="140">
        <f>_xll.DBRW($A$1,O$2,O$3,$D$17,$A$2,$D130,$E130,$F130,$A$5)</f>
        <v>2</v>
      </c>
      <c r="P130" s="140">
        <f>_xll.DBRW($A$1,P$2,P$3,$D$17,$A$2,$D130,$E130,$F130,$A$5)</f>
        <v>2</v>
      </c>
      <c r="Q130" s="140">
        <f>_xll.DBRW($A$1,Q$2,Q$3,$D$17,$A$2,$D130,$E130,$F130,$A$5)</f>
        <v>2</v>
      </c>
      <c r="R130" s="140">
        <f>_xll.DBRW($A$1,R$2,R$3,$D$17,$A$2,$D130,$E130,$F130,$A$5)</f>
        <v>2</v>
      </c>
    </row>
    <row r="131" spans="1:18" s="23" customFormat="1" outlineLevel="1" thickBot="1" x14ac:dyDescent="0.3">
      <c r="A131" s="157" t="str">
        <f>IF(_xll.TM1RPTELISCONSOLIDATED($F$22,$F131),IF(_xll.TM1RPTELLEV($F$22,$F131)&lt;=5,_xll.TM1RPTELLEV($F$22,$F131),"Default"),"Leaf")</f>
        <v>Leaf</v>
      </c>
      <c r="B131" s="24" t="str">
        <f>_xll.DBRW("TM1-S1_DEV:}ElementAttributes_SP_SKU",$D131,B$1)</f>
        <v>Primary</v>
      </c>
      <c r="C131" s="24" t="str">
        <f>_xll.DBRW("TM1-S1_DEV:}ElementAttributes_SP_SKU",$D131,C$1)</f>
        <v>GLOVES</v>
      </c>
      <c r="D131" s="28" t="s">
        <v>180</v>
      </c>
      <c r="E131" s="28" t="s">
        <v>134</v>
      </c>
      <c r="F131" s="28" t="s">
        <v>155</v>
      </c>
      <c r="G131" s="140">
        <f>_xll.DBRW($A$1,G$2,G$3,$D$17,$A$2,$D131,$E131,$F131,$A$5)</f>
        <v>17</v>
      </c>
      <c r="H131" s="140">
        <f>_xll.DBRW($A$1,H$2,H$3,$D$17,$A$2,$D131,$E131,$F131,$A$5)</f>
        <v>0</v>
      </c>
      <c r="I131" s="140">
        <f>_xll.DBRW($A$1,I$2,I$3,$D$17,$A$2,$D131,$E131,$F131,$A$5)</f>
        <v>4</v>
      </c>
      <c r="J131" s="140">
        <f>_xll.DBRW($A$1,J$2,J$3,$D$17,$A$2,$D131,$E131,$F131,$A$5)</f>
        <v>4</v>
      </c>
      <c r="K131" s="140">
        <f>_xll.DBRW($A$1,K$2,K$3,$D$17,$A$2,$D131,$E131,$F131,$A$5)</f>
        <v>4</v>
      </c>
      <c r="L131" s="140">
        <f>_xll.DBRW($A$1,L$2,L$3,$D$17,$A$2,$D131,$E131,$F131,$A$5)</f>
        <v>4</v>
      </c>
      <c r="M131" s="140">
        <f>_xll.DBRW($A$1,M$2,M$3,$D$17,$A$2,$D131,$E131,$F131,$A$5)</f>
        <v>4</v>
      </c>
      <c r="N131" s="140">
        <f>_xll.DBRW($A$1,N$2,N$3,$D$17,$A$2,$D131,$E131,$F131,$A$5)</f>
        <v>4</v>
      </c>
      <c r="O131" s="140">
        <f>_xll.DBRW($A$1,O$2,O$3,$D$17,$A$2,$D131,$E131,$F131,$A$5)</f>
        <v>4</v>
      </c>
      <c r="P131" s="140">
        <f>_xll.DBRW($A$1,P$2,P$3,$D$17,$A$2,$D131,$E131,$F131,$A$5)</f>
        <v>4</v>
      </c>
      <c r="Q131" s="140">
        <f>_xll.DBRW($A$1,Q$2,Q$3,$D$17,$A$2,$D131,$E131,$F131,$A$5)</f>
        <v>4</v>
      </c>
      <c r="R131" s="140">
        <f>_xll.DBRW($A$1,R$2,R$3,$D$17,$A$2,$D131,$E131,$F131,$A$5)</f>
        <v>4</v>
      </c>
    </row>
    <row r="132" spans="1:18" s="23" customFormat="1" outlineLevel="1" thickBot="1" x14ac:dyDescent="0.3">
      <c r="A132" s="157" t="str">
        <f>IF(_xll.TM1RPTELISCONSOLIDATED($F$22,$F132),IF(_xll.TM1RPTELLEV($F$22,$F132)&lt;=5,_xll.TM1RPTELLEV($F$22,$F132),"Default"),"Leaf")</f>
        <v>Leaf</v>
      </c>
      <c r="B132" s="24" t="str">
        <f>_xll.DBRW("TM1-S1_DEV:}ElementAttributes_SP_SKU",$D132,B$1)</f>
        <v>Primary</v>
      </c>
      <c r="C132" s="24" t="str">
        <f>_xll.DBRW("TM1-S1_DEV:}ElementAttributes_SP_SKU",$D132,C$1)</f>
        <v>PAPER</v>
      </c>
      <c r="D132" s="28" t="s">
        <v>183</v>
      </c>
      <c r="E132" s="28" t="s">
        <v>318</v>
      </c>
      <c r="F132" s="28" t="s">
        <v>329</v>
      </c>
      <c r="G132" s="140">
        <f>_xll.DBRW($A$1,G$2,G$3,$D$17,$A$2,$D132,$E132,$F132,$A$5)</f>
        <v>1</v>
      </c>
      <c r="H132" s="140">
        <f>_xll.DBRW($A$1,H$2,H$3,$D$17,$A$2,$D132,$E132,$F132,$A$5)</f>
        <v>0</v>
      </c>
      <c r="I132" s="140">
        <f>_xll.DBRW($A$1,I$2,I$3,$D$17,$A$2,$D132,$E132,$F132,$A$5)</f>
        <v>1</v>
      </c>
      <c r="J132" s="140">
        <f>_xll.DBRW($A$1,J$2,J$3,$D$17,$A$2,$D132,$E132,$F132,$A$5)</f>
        <v>1</v>
      </c>
      <c r="K132" s="140">
        <f>_xll.DBRW($A$1,K$2,K$3,$D$17,$A$2,$D132,$E132,$F132,$A$5)</f>
        <v>1</v>
      </c>
      <c r="L132" s="140">
        <f>_xll.DBRW($A$1,L$2,L$3,$D$17,$A$2,$D132,$E132,$F132,$A$5)</f>
        <v>1</v>
      </c>
      <c r="M132" s="140">
        <f>_xll.DBRW($A$1,M$2,M$3,$D$17,$A$2,$D132,$E132,$F132,$A$5)</f>
        <v>1</v>
      </c>
      <c r="N132" s="140">
        <f>_xll.DBRW($A$1,N$2,N$3,$D$17,$A$2,$D132,$E132,$F132,$A$5)</f>
        <v>1</v>
      </c>
      <c r="O132" s="140">
        <f>_xll.DBRW($A$1,O$2,O$3,$D$17,$A$2,$D132,$E132,$F132,$A$5)</f>
        <v>1</v>
      </c>
      <c r="P132" s="140">
        <f>_xll.DBRW($A$1,P$2,P$3,$D$17,$A$2,$D132,$E132,$F132,$A$5)</f>
        <v>1</v>
      </c>
      <c r="Q132" s="140">
        <f>_xll.DBRW($A$1,Q$2,Q$3,$D$17,$A$2,$D132,$E132,$F132,$A$5)</f>
        <v>1</v>
      </c>
      <c r="R132" s="140">
        <f>_xll.DBRW($A$1,R$2,R$3,$D$17,$A$2,$D132,$E132,$F132,$A$5)</f>
        <v>1</v>
      </c>
    </row>
    <row r="133" spans="1:18" s="23" customFormat="1" outlineLevel="1" thickBot="1" x14ac:dyDescent="0.3">
      <c r="A133" s="157" t="str">
        <f>IF(_xll.TM1RPTELISCONSOLIDATED($F$22,$F133),IF(_xll.TM1RPTELLEV($F$22,$F133)&lt;=5,_xll.TM1RPTELLEV($F$22,$F133),"Default"),"Leaf")</f>
        <v>Leaf</v>
      </c>
      <c r="B133" s="24" t="str">
        <f>_xll.DBRW("TM1-S1_DEV:}ElementAttributes_SP_SKU",$D133,B$1)</f>
        <v>Primary</v>
      </c>
      <c r="C133" s="24" t="str">
        <f>_xll.DBRW("TM1-S1_DEV:}ElementAttributes_SP_SKU",$D133,C$1)</f>
        <v>INGREDIENT</v>
      </c>
      <c r="D133" s="28" t="s">
        <v>453</v>
      </c>
      <c r="E133" s="28" t="s">
        <v>320</v>
      </c>
      <c r="F133" s="28" t="s">
        <v>34</v>
      </c>
      <c r="G133" s="140">
        <f>_xll.DBRW($A$1,G$2,G$3,$D$17,$A$2,$D133,$E133,$F133,$A$5)</f>
        <v>34</v>
      </c>
      <c r="H133" s="140">
        <f>_xll.DBRW($A$1,H$2,H$3,$D$17,$A$2,$D133,$E133,$F133,$A$5)</f>
        <v>0</v>
      </c>
      <c r="I133" s="140">
        <f>_xll.DBRW($A$1,I$2,I$3,$D$17,$A$2,$D133,$E133,$F133,$A$5)</f>
        <v>1</v>
      </c>
      <c r="J133" s="140">
        <f>_xll.DBRW($A$1,J$2,J$3,$D$17,$A$2,$D133,$E133,$F133,$A$5)</f>
        <v>1</v>
      </c>
      <c r="K133" s="140">
        <f>_xll.DBRW($A$1,K$2,K$3,$D$17,$A$2,$D133,$E133,$F133,$A$5)</f>
        <v>1</v>
      </c>
      <c r="L133" s="140">
        <f>_xll.DBRW($A$1,L$2,L$3,$D$17,$A$2,$D133,$E133,$F133,$A$5)</f>
        <v>1</v>
      </c>
      <c r="M133" s="140">
        <f>_xll.DBRW($A$1,M$2,M$3,$D$17,$A$2,$D133,$E133,$F133,$A$5)</f>
        <v>1</v>
      </c>
      <c r="N133" s="140">
        <f>_xll.DBRW($A$1,N$2,N$3,$D$17,$A$2,$D133,$E133,$F133,$A$5)</f>
        <v>1</v>
      </c>
      <c r="O133" s="140">
        <f>_xll.DBRW($A$1,O$2,O$3,$D$17,$A$2,$D133,$E133,$F133,$A$5)</f>
        <v>1</v>
      </c>
      <c r="P133" s="140">
        <f>_xll.DBRW($A$1,P$2,P$3,$D$17,$A$2,$D133,$E133,$F133,$A$5)</f>
        <v>1</v>
      </c>
      <c r="Q133" s="140">
        <f>_xll.DBRW($A$1,Q$2,Q$3,$D$17,$A$2,$D133,$E133,$F133,$A$5)</f>
        <v>1</v>
      </c>
      <c r="R133" s="140">
        <f>_xll.DBRW($A$1,R$2,R$3,$D$17,$A$2,$D133,$E133,$F133,$A$5)</f>
        <v>1</v>
      </c>
    </row>
    <row r="134" spans="1:18" s="23" customFormat="1" outlineLevel="1" thickBot="1" x14ac:dyDescent="0.3">
      <c r="A134" s="157" t="str">
        <f>IF(_xll.TM1RPTELISCONSOLIDATED($F$22,$F134),IF(_xll.TM1RPTELLEV($F$22,$F134)&lt;=5,_xll.TM1RPTELLEV($F$22,$F134),"Default"),"Leaf")</f>
        <v>Leaf</v>
      </c>
      <c r="B134" s="24" t="str">
        <f>_xll.DBRW("TM1-S1_DEV:}ElementAttributes_SP_SKU",$D134,B$1)</f>
        <v>Primary</v>
      </c>
      <c r="C134" s="24" t="str">
        <f>_xll.DBRW("TM1-S1_DEV:}ElementAttributes_SP_SKU",$D134,C$1)</f>
        <v>CONTAINER</v>
      </c>
      <c r="D134" s="28" t="s">
        <v>454</v>
      </c>
      <c r="E134" s="28" t="s">
        <v>321</v>
      </c>
      <c r="F134" s="28" t="s">
        <v>46</v>
      </c>
      <c r="G134" s="140">
        <f>_xll.DBRW($A$1,G$2,G$3,$D$17,$A$2,$D134,$E134,$F134,$A$5)</f>
        <v>33</v>
      </c>
      <c r="H134" s="140">
        <f>_xll.DBRW($A$1,H$2,H$3,$D$17,$A$2,$D134,$E134,$F134,$A$5)</f>
        <v>0</v>
      </c>
      <c r="I134" s="140">
        <f>_xll.DBRW($A$1,I$2,I$3,$D$17,$A$2,$D134,$E134,$F134,$A$5)</f>
        <v>3</v>
      </c>
      <c r="J134" s="140">
        <f>_xll.DBRW($A$1,J$2,J$3,$D$17,$A$2,$D134,$E134,$F134,$A$5)</f>
        <v>3</v>
      </c>
      <c r="K134" s="140">
        <f>_xll.DBRW($A$1,K$2,K$3,$D$17,$A$2,$D134,$E134,$F134,$A$5)</f>
        <v>3</v>
      </c>
      <c r="L134" s="140">
        <f>_xll.DBRW($A$1,L$2,L$3,$D$17,$A$2,$D134,$E134,$F134,$A$5)</f>
        <v>3</v>
      </c>
      <c r="M134" s="140">
        <f>_xll.DBRW($A$1,M$2,M$3,$D$17,$A$2,$D134,$E134,$F134,$A$5)</f>
        <v>3</v>
      </c>
      <c r="N134" s="140">
        <f>_xll.DBRW($A$1,N$2,N$3,$D$17,$A$2,$D134,$E134,$F134,$A$5)</f>
        <v>3</v>
      </c>
      <c r="O134" s="140">
        <f>_xll.DBRW($A$1,O$2,O$3,$D$17,$A$2,$D134,$E134,$F134,$A$5)</f>
        <v>3</v>
      </c>
      <c r="P134" s="140">
        <f>_xll.DBRW($A$1,P$2,P$3,$D$17,$A$2,$D134,$E134,$F134,$A$5)</f>
        <v>3</v>
      </c>
      <c r="Q134" s="140">
        <f>_xll.DBRW($A$1,Q$2,Q$3,$D$17,$A$2,$D134,$E134,$F134,$A$5)</f>
        <v>3</v>
      </c>
      <c r="R134" s="140">
        <f>_xll.DBRW($A$1,R$2,R$3,$D$17,$A$2,$D134,$E134,$F134,$A$5)</f>
        <v>3</v>
      </c>
    </row>
    <row r="135" spans="1:18" s="23" customFormat="1" outlineLevel="1" thickBot="1" x14ac:dyDescent="0.3">
      <c r="A135" s="157" t="str">
        <f>IF(_xll.TM1RPTELISCONSOLIDATED($F$22,$F135),IF(_xll.TM1RPTELLEV($F$22,$F135)&lt;=5,_xll.TM1RPTELLEV($F$22,$F135),"Default"),"Leaf")</f>
        <v>Leaf</v>
      </c>
      <c r="B135" s="24" t="str">
        <f>_xll.DBRW("TM1-S1_DEV:}ElementAttributes_SP_SKU",$D135,B$1)</f>
        <v>Primary</v>
      </c>
      <c r="C135" s="24" t="str">
        <f>_xll.DBRW("TM1-S1_DEV:}ElementAttributes_SP_SKU",$D135,C$1)</f>
        <v>PAPER</v>
      </c>
      <c r="D135" s="28" t="s">
        <v>455</v>
      </c>
      <c r="E135" s="28" t="s">
        <v>322</v>
      </c>
      <c r="F135" s="28" t="s">
        <v>36</v>
      </c>
      <c r="G135" s="140">
        <f>_xll.DBRW($A$1,G$2,G$3,$D$17,$A$2,$D135,$E135,$F135,$A$5)</f>
        <v>1</v>
      </c>
      <c r="H135" s="140">
        <f>_xll.DBRW($A$1,H$2,H$3,$D$17,$A$2,$D135,$E135,$F135,$A$5)</f>
        <v>0</v>
      </c>
      <c r="I135" s="140">
        <f>_xll.DBRW($A$1,I$2,I$3,$D$17,$A$2,$D135,$E135,$F135,$A$5)</f>
        <v>1</v>
      </c>
      <c r="J135" s="140">
        <f>_xll.DBRW($A$1,J$2,J$3,$D$17,$A$2,$D135,$E135,$F135,$A$5)</f>
        <v>1</v>
      </c>
      <c r="K135" s="140">
        <f>_xll.DBRW($A$1,K$2,K$3,$D$17,$A$2,$D135,$E135,$F135,$A$5)</f>
        <v>1</v>
      </c>
      <c r="L135" s="140">
        <f>_xll.DBRW($A$1,L$2,L$3,$D$17,$A$2,$D135,$E135,$F135,$A$5)</f>
        <v>1</v>
      </c>
      <c r="M135" s="140">
        <f>_xll.DBRW($A$1,M$2,M$3,$D$17,$A$2,$D135,$E135,$F135,$A$5)</f>
        <v>1</v>
      </c>
      <c r="N135" s="140">
        <f>_xll.DBRW($A$1,N$2,N$3,$D$17,$A$2,$D135,$E135,$F135,$A$5)</f>
        <v>1</v>
      </c>
      <c r="O135" s="140">
        <f>_xll.DBRW($A$1,O$2,O$3,$D$17,$A$2,$D135,$E135,$F135,$A$5)</f>
        <v>1</v>
      </c>
      <c r="P135" s="140">
        <f>_xll.DBRW($A$1,P$2,P$3,$D$17,$A$2,$D135,$E135,$F135,$A$5)</f>
        <v>1</v>
      </c>
      <c r="Q135" s="140">
        <f>_xll.DBRW($A$1,Q$2,Q$3,$D$17,$A$2,$D135,$E135,$F135,$A$5)</f>
        <v>1</v>
      </c>
      <c r="R135" s="140">
        <f>_xll.DBRW($A$1,R$2,R$3,$D$17,$A$2,$D135,$E135,$F135,$A$5)</f>
        <v>1</v>
      </c>
    </row>
    <row r="136" spans="1:18" s="23" customFormat="1" outlineLevel="1" thickBot="1" x14ac:dyDescent="0.3">
      <c r="A136" s="157" t="str">
        <f>IF(_xll.TM1RPTELISCONSOLIDATED($F$22,$F136),IF(_xll.TM1RPTELLEV($F$22,$F136)&lt;=5,_xll.TM1RPTELLEV($F$22,$F136),"Default"),"Leaf")</f>
        <v>Leaf</v>
      </c>
      <c r="B136" s="24" t="str">
        <f>_xll.DBRW("TM1-S1_DEV:}ElementAttributes_SP_SKU",$D136,B$1)</f>
        <v>Primary</v>
      </c>
      <c r="C136" s="24" t="str">
        <f>_xll.DBRW("TM1-S1_DEV:}ElementAttributes_SP_SKU",$D136,C$1)</f>
        <v>PROTEIN</v>
      </c>
      <c r="D136" s="28" t="s">
        <v>456</v>
      </c>
      <c r="E136" s="28" t="s">
        <v>149</v>
      </c>
      <c r="F136" s="28" t="s">
        <v>42</v>
      </c>
      <c r="G136" s="140">
        <f>_xll.DBRW($A$1,G$2,G$3,$D$17,$A$2,$D136,$E136,$F136,$A$5)</f>
        <v>11</v>
      </c>
      <c r="H136" s="140">
        <f>_xll.DBRW($A$1,H$2,H$3,$D$17,$A$2,$D136,$E136,$F136,$A$5)</f>
        <v>0</v>
      </c>
      <c r="I136" s="140">
        <f>_xll.DBRW($A$1,I$2,I$3,$D$17,$A$2,$D136,$E136,$F136,$A$5)</f>
        <v>13</v>
      </c>
      <c r="J136" s="140">
        <f>_xll.DBRW($A$1,J$2,J$3,$D$17,$A$2,$D136,$E136,$F136,$A$5)</f>
        <v>13</v>
      </c>
      <c r="K136" s="140">
        <f>_xll.DBRW($A$1,K$2,K$3,$D$17,$A$2,$D136,$E136,$F136,$A$5)</f>
        <v>13</v>
      </c>
      <c r="L136" s="140">
        <f>_xll.DBRW($A$1,L$2,L$3,$D$17,$A$2,$D136,$E136,$F136,$A$5)</f>
        <v>13</v>
      </c>
      <c r="M136" s="140">
        <f>_xll.DBRW($A$1,M$2,M$3,$D$17,$A$2,$D136,$E136,$F136,$A$5)</f>
        <v>13</v>
      </c>
      <c r="N136" s="140">
        <f>_xll.DBRW($A$1,N$2,N$3,$D$17,$A$2,$D136,$E136,$F136,$A$5)</f>
        <v>13</v>
      </c>
      <c r="O136" s="140">
        <f>_xll.DBRW($A$1,O$2,O$3,$D$17,$A$2,$D136,$E136,$F136,$A$5)</f>
        <v>13</v>
      </c>
      <c r="P136" s="140">
        <f>_xll.DBRW($A$1,P$2,P$3,$D$17,$A$2,$D136,$E136,$F136,$A$5)</f>
        <v>13</v>
      </c>
      <c r="Q136" s="140">
        <f>_xll.DBRW($A$1,Q$2,Q$3,$D$17,$A$2,$D136,$E136,$F136,$A$5)</f>
        <v>13</v>
      </c>
      <c r="R136" s="140">
        <f>_xll.DBRW($A$1,R$2,R$3,$D$17,$A$2,$D136,$E136,$F136,$A$5)</f>
        <v>13</v>
      </c>
    </row>
    <row r="137" spans="1:18" s="23" customFormat="1" outlineLevel="1" thickBot="1" x14ac:dyDescent="0.3">
      <c r="A137" s="157" t="str">
        <f>IF(_xll.TM1RPTELISCONSOLIDATED($F$22,$F137),IF(_xll.TM1RPTELLEV($F$22,$F137)&lt;=5,_xll.TM1RPTELLEV($F$22,$F137),"Default"),"Leaf")</f>
        <v>Leaf</v>
      </c>
      <c r="B137" s="24" t="str">
        <f>_xll.DBRW("TM1-S1_DEV:}ElementAttributes_SP_SKU",$D137,B$1)</f>
        <v>Primary</v>
      </c>
      <c r="C137" s="24" t="str">
        <f>_xll.DBRW("TM1-S1_DEV:}ElementAttributes_SP_SKU",$D137,C$1)</f>
        <v>PAD</v>
      </c>
      <c r="D137" s="28" t="s">
        <v>457</v>
      </c>
      <c r="E137" s="28" t="s">
        <v>135</v>
      </c>
      <c r="F137" s="28" t="s">
        <v>63</v>
      </c>
      <c r="G137" s="140">
        <f>_xll.DBRW($A$1,G$2,G$3,$D$17,$A$2,$D137,$E137,$F137,$A$5)</f>
        <v>24</v>
      </c>
      <c r="H137" s="140">
        <f>_xll.DBRW($A$1,H$2,H$3,$D$17,$A$2,$D137,$E137,$F137,$A$5)</f>
        <v>0</v>
      </c>
      <c r="I137" s="140">
        <f>_xll.DBRW($A$1,I$2,I$3,$D$17,$A$2,$D137,$E137,$F137,$A$5)</f>
        <v>2</v>
      </c>
      <c r="J137" s="140">
        <f>_xll.DBRW($A$1,J$2,J$3,$D$17,$A$2,$D137,$E137,$F137,$A$5)</f>
        <v>2</v>
      </c>
      <c r="K137" s="140">
        <f>_xll.DBRW($A$1,K$2,K$3,$D$17,$A$2,$D137,$E137,$F137,$A$5)</f>
        <v>2</v>
      </c>
      <c r="L137" s="140">
        <f>_xll.DBRW($A$1,L$2,L$3,$D$17,$A$2,$D137,$E137,$F137,$A$5)</f>
        <v>2</v>
      </c>
      <c r="M137" s="140">
        <f>_xll.DBRW($A$1,M$2,M$3,$D$17,$A$2,$D137,$E137,$F137,$A$5)</f>
        <v>2</v>
      </c>
      <c r="N137" s="140">
        <f>_xll.DBRW($A$1,N$2,N$3,$D$17,$A$2,$D137,$E137,$F137,$A$5)</f>
        <v>2</v>
      </c>
      <c r="O137" s="140">
        <f>_xll.DBRW($A$1,O$2,O$3,$D$17,$A$2,$D137,$E137,$F137,$A$5)</f>
        <v>2</v>
      </c>
      <c r="P137" s="140">
        <f>_xll.DBRW($A$1,P$2,P$3,$D$17,$A$2,$D137,$E137,$F137,$A$5)</f>
        <v>2</v>
      </c>
      <c r="Q137" s="140">
        <f>_xll.DBRW($A$1,Q$2,Q$3,$D$17,$A$2,$D137,$E137,$F137,$A$5)</f>
        <v>2</v>
      </c>
      <c r="R137" s="140">
        <f>_xll.DBRW($A$1,R$2,R$3,$D$17,$A$2,$D137,$E137,$F137,$A$5)</f>
        <v>2</v>
      </c>
    </row>
  </sheetData>
  <hyperlinks>
    <hyperlink ref="E22" r:id="rId1" display="=@TM1RPTROW($C$1,&quot;TM1-S1_DEV:SP_DCItem&quot;,,,&quot;MEMBER_NAME&quot;,FALSE,E$1)" xr:uid="{CE696D67-CC93-43AD-9D28-9431BFF49B89}"/>
    <hyperlink ref="E24" r:id="rId2" display="=@TM1RPTROW($C$1,&quot;TM1-S1_DEV:SP_DCItem&quot;,,,&quot;MEMBER_NAME&quot;,FALSE,E$1)" xr:uid="{4A10857E-BC9D-4096-AF13-6E444A05104C}"/>
    <hyperlink ref="E25" r:id="rId3" display="=@TM1RPTROW($C$1,&quot;TM1-S1_DEV:SP_DCItem&quot;,,,&quot;MEMBER_NAME&quot;,FALSE,E$1)" xr:uid="{A6F01868-B53B-4136-9A99-0F479EE1A160}"/>
    <hyperlink ref="E26" r:id="rId4" display="=@TM1RPTROW($C$1,&quot;TM1-S1_DEV:SP_DCItem&quot;,,,&quot;MEMBER_NAME&quot;,FALSE,E$1)" xr:uid="{5912C783-118C-4ABA-BE88-AD180BF00B4A}"/>
    <hyperlink ref="E27" r:id="rId5" display="=@TM1RPTROW($C$1,&quot;TM1-S1_DEV:SP_DCItem&quot;,,,&quot;MEMBER_NAME&quot;,FALSE,E$1)" xr:uid="{59CB9536-909C-45CA-8F4F-3454C6FD80C0}"/>
    <hyperlink ref="E28" r:id="rId6" display="=@TM1RPTROW($C$1,&quot;TM1-S1_DEV:SP_DCItem&quot;,,,&quot;MEMBER_NAME&quot;,FALSE,E$1)" xr:uid="{493551FF-E778-4E9B-B120-2C65EE67F629}"/>
    <hyperlink ref="E29" r:id="rId7" display="=@TM1RPTROW($C$1,&quot;TM1-S1_DEV:SP_DCItem&quot;,,,&quot;MEMBER_NAME&quot;,FALSE,E$1)" xr:uid="{D26F064F-912F-4598-B1EF-CE00EC8B2252}"/>
    <hyperlink ref="E30" r:id="rId8" display="=@TM1RPTROW($C$1,&quot;TM1-S1_DEV:SP_DCItem&quot;,,,&quot;MEMBER_NAME&quot;,FALSE,E$1)" xr:uid="{2DD740CB-7B06-4862-AD12-9DB7ACC9CE2F}"/>
    <hyperlink ref="E31" r:id="rId9" display="=@TM1RPTROW($C$1,&quot;TM1-S1_DEV:SP_DCItem&quot;,,,&quot;MEMBER_NAME&quot;,FALSE,E$1)" xr:uid="{1C94483F-FA84-4C5E-B9D4-E6733393BA8B}"/>
    <hyperlink ref="E32" r:id="rId10" display="=@TM1RPTROW($C$1,&quot;TM1-S1_DEV:SP_DCItem&quot;,,,&quot;MEMBER_NAME&quot;,FALSE,E$1)" xr:uid="{73245000-88D0-4928-B727-90D775D7E206}"/>
    <hyperlink ref="E33" r:id="rId11" display="=@TM1RPTROW($C$1,&quot;TM1-S1_DEV:SP_DCItem&quot;,,,&quot;MEMBER_NAME&quot;,FALSE,E$1)" xr:uid="{02B929E8-1040-4F98-8ABF-0D059E2D0E09}"/>
    <hyperlink ref="E34" r:id="rId12" display="=@TM1RPTROW($C$1,&quot;TM1-S1_DEV:SP_DCItem&quot;,,,&quot;MEMBER_NAME&quot;,FALSE,E$1)" xr:uid="{C98D0E0F-61A2-49D8-9541-C3CBC421AEE0}"/>
    <hyperlink ref="E35" r:id="rId13" display="=@TM1RPTROW($C$1,&quot;TM1-S1_DEV:SP_DCItem&quot;,,,&quot;MEMBER_NAME&quot;,FALSE,E$1)" xr:uid="{EDD82E56-F209-4913-80B3-E05B36D845FB}"/>
    <hyperlink ref="E36" r:id="rId14" display="=@TM1RPTROW($C$1,&quot;TM1-S1_DEV:SP_DCItem&quot;,,,&quot;MEMBER_NAME&quot;,FALSE,E$1)" xr:uid="{99606241-5AA4-43D9-B2C0-058EFC7557DE}"/>
    <hyperlink ref="E37" r:id="rId15" display="=@TM1RPTROW($C$1,&quot;TM1-S1_DEV:SP_DCItem&quot;,,,&quot;MEMBER_NAME&quot;,FALSE,E$1)" xr:uid="{850BE9FF-D245-44C2-B1AC-705929BCC3E3}"/>
    <hyperlink ref="E38" r:id="rId16" display="=@TM1RPTROW($C$1,&quot;TM1-S1_DEV:SP_DCItem&quot;,,,&quot;MEMBER_NAME&quot;,FALSE,E$1)" xr:uid="{A92CE24A-7092-487E-9CFE-8895B823D82C}"/>
    <hyperlink ref="E39" r:id="rId17" display="=@TM1RPTROW($C$1,&quot;TM1-S1_DEV:SP_DCItem&quot;,,,&quot;MEMBER_NAME&quot;,FALSE,E$1)" xr:uid="{2C353AF7-E461-435D-993E-66BAD1531B65}"/>
    <hyperlink ref="E40" r:id="rId18" display="=@TM1RPTROW($C$1,&quot;TM1-S1_DEV:SP_DCItem&quot;,,,&quot;MEMBER_NAME&quot;,FALSE,E$1)" xr:uid="{00CA2607-1F2F-4D63-A4A5-B09674E5C85B}"/>
    <hyperlink ref="E41" r:id="rId19" display="=@TM1RPTROW($C$1,&quot;TM1-S1_DEV:SP_DCItem&quot;,,,&quot;MEMBER_NAME&quot;,FALSE,E$1)" xr:uid="{CEF19760-C07E-4936-8FFF-D4DF39403D1B}"/>
    <hyperlink ref="E42" r:id="rId20" display="=@TM1RPTROW($C$1,&quot;TM1-S1_DEV:SP_DCItem&quot;,,,&quot;MEMBER_NAME&quot;,FALSE,E$1)" xr:uid="{2EDC7EE6-8895-4AD2-B7A7-279B412DBE43}"/>
    <hyperlink ref="E43" r:id="rId21" display="=@TM1RPTROW($C$1,&quot;TM1-S1_DEV:SP_DCItem&quot;,,,&quot;MEMBER_NAME&quot;,FALSE,E$1)" xr:uid="{E3583C64-E6FA-473A-95B3-A11A7215327F}"/>
    <hyperlink ref="E44" r:id="rId22" display="=@TM1RPTROW($C$1,&quot;TM1-S1_DEV:SP_DCItem&quot;,,,&quot;MEMBER_NAME&quot;,FALSE,E$1)" xr:uid="{14D6253F-E5FB-4BEE-B97F-9F13981AC4E7}"/>
    <hyperlink ref="E45" r:id="rId23" display="=@TM1RPTROW($C$1,&quot;TM1-S1_DEV:SP_DCItem&quot;,,,&quot;MEMBER_NAME&quot;,FALSE,E$1)" xr:uid="{A312BB8D-5092-443D-B50A-03BFAA287DAB}"/>
    <hyperlink ref="E46" r:id="rId24" display="=@TM1RPTROW($C$1,&quot;TM1-S1_DEV:SP_DCItem&quot;,,,&quot;MEMBER_NAME&quot;,FALSE,E$1)" xr:uid="{87DFD00E-149A-4C05-888C-5190BC32C5DD}"/>
    <hyperlink ref="E47" r:id="rId25" display="=@TM1RPTROW($C$1,&quot;TM1-S1_DEV:SP_DCItem&quot;,,,&quot;MEMBER_NAME&quot;,FALSE,E$1)" xr:uid="{EC4A9A37-C040-49A1-9A01-B8296A527854}"/>
    <hyperlink ref="E48" r:id="rId26" display="=@TM1RPTROW($C$1,&quot;TM1-S1_DEV:SP_DCItem&quot;,,,&quot;MEMBER_NAME&quot;,FALSE,E$1)" xr:uid="{761A0F10-E841-49BA-B6AF-0FD045A18547}"/>
    <hyperlink ref="E49" r:id="rId27" display="=@TM1RPTROW($C$1,&quot;TM1-S1_DEV:SP_DCItem&quot;,,,&quot;MEMBER_NAME&quot;,FALSE,E$1)" xr:uid="{A85EFF92-E279-4A35-B7A2-A1F00E429C8A}"/>
    <hyperlink ref="E50" r:id="rId28" display="=@TM1RPTROW($C$1,&quot;TM1-S1_DEV:SP_DCItem&quot;,,,&quot;MEMBER_NAME&quot;,FALSE,E$1)" xr:uid="{31FDFD36-4D8C-47E7-A9E3-C89073BDDB65}"/>
    <hyperlink ref="E51" r:id="rId29" display="=@TM1RPTROW($C$1,&quot;TM1-S1_DEV:SP_DCItem&quot;,,,&quot;MEMBER_NAME&quot;,FALSE,E$1)" xr:uid="{3CC951C1-6804-41CC-AA23-C1C95A9D5FB0}"/>
    <hyperlink ref="E52" r:id="rId30" display="=@TM1RPTROW($C$1,&quot;TM1-S1_DEV:SP_DCItem&quot;,,,&quot;MEMBER_NAME&quot;,FALSE,E$1)" xr:uid="{4ACD0379-F284-47E1-ADE4-FA5728412922}"/>
    <hyperlink ref="E53" r:id="rId31" display="=@TM1RPTROW($C$1,&quot;TM1-S1_DEV:SP_DCItem&quot;,,,&quot;MEMBER_NAME&quot;,FALSE,E$1)" xr:uid="{4AAE8FBF-7B8F-4942-BDC3-E925CAC7CEFD}"/>
    <hyperlink ref="E54" r:id="rId32" display="=@TM1RPTROW($C$1,&quot;TM1-S1_DEV:SP_DCItem&quot;,,,&quot;MEMBER_NAME&quot;,FALSE,E$1)" xr:uid="{8A6786D4-AB16-4F76-AC84-9C0846BBC300}"/>
    <hyperlink ref="E55" r:id="rId33" display="=@TM1RPTROW($C$1,&quot;TM1-S1_DEV:SP_DCItem&quot;,,,&quot;MEMBER_NAME&quot;,FALSE,E$1)" xr:uid="{833D5718-AC8B-4D1F-9B42-FC0B268EB0DF}"/>
    <hyperlink ref="E56" r:id="rId34" display="=@TM1RPTROW($C$1,&quot;TM1-S1_DEV:SP_DCItem&quot;,,,&quot;MEMBER_NAME&quot;,FALSE,E$1)" xr:uid="{90DEA8F5-97F1-4A87-A69D-7158299CDE3C}"/>
    <hyperlink ref="E57" r:id="rId35" display="=@TM1RPTROW($C$1,&quot;TM1-S1_DEV:SP_DCItem&quot;,,,&quot;MEMBER_NAME&quot;,FALSE,E$1)" xr:uid="{8BB8C36A-7138-48FE-BB91-9FEC6444A63F}"/>
    <hyperlink ref="E58" r:id="rId36" display="=@TM1RPTROW($C$1,&quot;TM1-S1_DEV:SP_DCItem&quot;,,,&quot;MEMBER_NAME&quot;,FALSE,E$1)" xr:uid="{ABD8F13F-2628-4F4D-90E6-E1197ED885E1}"/>
    <hyperlink ref="E59" r:id="rId37" display="=@TM1RPTROW($C$1,&quot;TM1-S1_DEV:SP_DCItem&quot;,,,&quot;MEMBER_NAME&quot;,FALSE,E$1)" xr:uid="{B1CF1257-5D90-4CA1-9D7E-D27248B67A7C}"/>
    <hyperlink ref="E60" r:id="rId38" display="=@TM1RPTROW($C$1,&quot;TM1-S1_DEV:SP_DCItem&quot;,,,&quot;MEMBER_NAME&quot;,FALSE,E$1)" xr:uid="{AD2F306C-C86C-4EE7-9EB2-565B4CA873E6}"/>
    <hyperlink ref="E61" r:id="rId39" display="=@TM1RPTROW($C$1,&quot;TM1-S1_DEV:SP_DCItem&quot;,,,&quot;MEMBER_NAME&quot;,FALSE,E$1)" xr:uid="{A58B6B18-379C-4947-8324-F2EC7F320A78}"/>
    <hyperlink ref="E62" r:id="rId40" display="=@TM1RPTROW($C$1,&quot;TM1-S1_DEV:SP_DCItem&quot;,,,&quot;MEMBER_NAME&quot;,FALSE,E$1)" xr:uid="{0D4289DD-0698-4F17-8D65-6667945DB5E1}"/>
    <hyperlink ref="E63" r:id="rId41" display="=@TM1RPTROW($C$1,&quot;TM1-S1_DEV:SP_DCItem&quot;,,,&quot;MEMBER_NAME&quot;,FALSE,E$1)" xr:uid="{A790B18B-1A46-4C48-86B8-189B7943DB7A}"/>
    <hyperlink ref="E64" r:id="rId42" display="=@TM1RPTROW($C$1,&quot;TM1-S1_DEV:SP_DCItem&quot;,,,&quot;MEMBER_NAME&quot;,FALSE,E$1)" xr:uid="{A3293FE7-53D2-4870-BAAA-D59BC34F428F}"/>
    <hyperlink ref="E65" r:id="rId43" display="=@TM1RPTROW($C$1,&quot;TM1-S1_DEV:SP_DCItem&quot;,,,&quot;MEMBER_NAME&quot;,FALSE,E$1)" xr:uid="{53BC9E67-DF3D-4D30-B64D-7E429B7813ED}"/>
    <hyperlink ref="E66" r:id="rId44" display="=@TM1RPTROW($C$1,&quot;TM1-S1_DEV:SP_DCItem&quot;,,,&quot;MEMBER_NAME&quot;,FALSE,E$1)" xr:uid="{BA9381D6-B44D-4FF6-ABFF-2CE388C419D2}"/>
    <hyperlink ref="E67" r:id="rId45" display="=@TM1RPTROW($C$1,&quot;TM1-S1_DEV:SP_DCItem&quot;,,,&quot;MEMBER_NAME&quot;,FALSE,E$1)" xr:uid="{84650630-B70A-403E-9A25-79D786405E90}"/>
    <hyperlink ref="E68" r:id="rId46" display="=@TM1RPTROW($C$1,&quot;TM1-S1_DEV:SP_DCItem&quot;,,,&quot;MEMBER_NAME&quot;,FALSE,E$1)" xr:uid="{11AE9BB9-66C4-4F08-BE55-E230D9D98192}"/>
    <hyperlink ref="E69" r:id="rId47" display="=@TM1RPTROW($C$1,&quot;TM1-S1_DEV:SP_DCItem&quot;,,,&quot;MEMBER_NAME&quot;,FALSE,E$1)" xr:uid="{A911E04C-2639-4613-B74B-72F687E6A145}"/>
    <hyperlink ref="E70" r:id="rId48" display="=@TM1RPTROW($C$1,&quot;TM1-S1_DEV:SP_DCItem&quot;,,,&quot;MEMBER_NAME&quot;,FALSE,E$1)" xr:uid="{F602C074-D68B-4F25-A9DF-0CE060D1C926}"/>
    <hyperlink ref="E71" r:id="rId49" display="=@TM1RPTROW($C$1,&quot;TM1-S1_DEV:SP_DCItem&quot;,,,&quot;MEMBER_NAME&quot;,FALSE,E$1)" xr:uid="{906D1E1F-205E-4A8A-91F5-43891DA6F68B}"/>
    <hyperlink ref="E72" r:id="rId50" display="=@TM1RPTROW($C$1,&quot;TM1-S1_DEV:SP_DCItem&quot;,,,&quot;MEMBER_NAME&quot;,FALSE,E$1)" xr:uid="{3E67D602-F48C-42CB-B5E0-4C11F7CEE64D}"/>
    <hyperlink ref="E73" r:id="rId51" display="=@TM1RPTROW($C$1,&quot;TM1-S1_DEV:SP_DCItem&quot;,,,&quot;MEMBER_NAME&quot;,FALSE,E$1)" xr:uid="{E5453BA1-F043-4FC8-BA80-E192967CBD4E}"/>
    <hyperlink ref="E74" r:id="rId52" display="=@TM1RPTROW($C$1,&quot;TM1-S1_DEV:SP_DCItem&quot;,,,&quot;MEMBER_NAME&quot;,FALSE,E$1)" xr:uid="{5F755D85-38C7-441A-9728-AB7DE5F68665}"/>
    <hyperlink ref="E75" r:id="rId53" display="=@TM1RPTROW($C$1,&quot;TM1-S1_DEV:SP_DCItem&quot;,,,&quot;MEMBER_NAME&quot;,FALSE,E$1)" xr:uid="{F306C3F2-3073-4EC5-B53A-A7C6B16038AD}"/>
    <hyperlink ref="E76" r:id="rId54" display="=@TM1RPTROW($C$1,&quot;TM1-S1_DEV:SP_DCItem&quot;,,,&quot;MEMBER_NAME&quot;,FALSE,E$1)" xr:uid="{2CB420C4-1530-4628-A87E-0B7DDD09BB24}"/>
    <hyperlink ref="E77" r:id="rId55" display="=@TM1RPTROW($C$1,&quot;TM1-S1_DEV:SP_DCItem&quot;,,,&quot;MEMBER_NAME&quot;,FALSE,E$1)" xr:uid="{CEE11E14-5475-4CD8-A20D-B46D62436B16}"/>
    <hyperlink ref="E78" r:id="rId56" display="=@TM1RPTROW($C$1,&quot;TM1-S1_DEV:SP_DCItem&quot;,,,&quot;MEMBER_NAME&quot;,FALSE,E$1)" xr:uid="{6167020A-348A-4547-93C5-E102962F9EEA}"/>
    <hyperlink ref="E79" r:id="rId57" display="=@TM1RPTROW($C$1,&quot;TM1-S1_DEV:SP_DCItem&quot;,,,&quot;MEMBER_NAME&quot;,FALSE,E$1)" xr:uid="{97197993-B435-4A43-9E27-529EC9996A33}"/>
    <hyperlink ref="E80" r:id="rId58" display="=@TM1RPTROW($C$1,&quot;TM1-S1_DEV:SP_DCItem&quot;,,,&quot;MEMBER_NAME&quot;,FALSE,E$1)" xr:uid="{3FE74E9A-FEB1-44EE-8B2C-A10D36107A72}"/>
    <hyperlink ref="E81" r:id="rId59" display="=@TM1RPTROW($C$1,&quot;TM1-S1_DEV:SP_DCItem&quot;,,,&quot;MEMBER_NAME&quot;,FALSE,E$1)" xr:uid="{F93F112D-CC2E-40A2-A92C-173816E8657C}"/>
    <hyperlink ref="E82" r:id="rId60" display="=@TM1RPTROW($C$1,&quot;TM1-S1_DEV:SP_DCItem&quot;,,,&quot;MEMBER_NAME&quot;,FALSE,E$1)" xr:uid="{03C323AA-E68B-426C-9EF3-A918B91A1659}"/>
    <hyperlink ref="E83" r:id="rId61" display="=@TM1RPTROW($C$1,&quot;TM1-S1_DEV:SP_DCItem&quot;,,,&quot;MEMBER_NAME&quot;,FALSE,E$1)" xr:uid="{EFCD8E6D-EABE-4F00-9AE4-45AF7658790F}"/>
    <hyperlink ref="E84" r:id="rId62" display="=@TM1RPTROW($C$1,&quot;TM1-S1_DEV:SP_DCItem&quot;,,,&quot;MEMBER_NAME&quot;,FALSE,E$1)" xr:uid="{75BAB6E9-33E1-4332-84E0-E37B1612DC6C}"/>
    <hyperlink ref="E85" r:id="rId63" display="=@TM1RPTROW($C$1,&quot;TM1-S1_DEV:SP_DCItem&quot;,,,&quot;MEMBER_NAME&quot;,FALSE,E$1)" xr:uid="{311CEB96-6B15-4303-8DE2-3523EB898ABB}"/>
    <hyperlink ref="E86" r:id="rId64" display="=@TM1RPTROW($C$1,&quot;TM1-S1_DEV:SP_DCItem&quot;,,,&quot;MEMBER_NAME&quot;,FALSE,E$1)" xr:uid="{730E1747-2B44-42E4-ADB1-B5A0B164F61F}"/>
    <hyperlink ref="E87" r:id="rId65" display="=@TM1RPTROW($C$1,&quot;TM1-S1_DEV:SP_DCItem&quot;,,,&quot;MEMBER_NAME&quot;,FALSE,E$1)" xr:uid="{34BA801D-0863-48C4-BAEA-FE9F25503763}"/>
    <hyperlink ref="E88" r:id="rId66" display="=@TM1RPTROW($C$1,&quot;TM1-S1_DEV:SP_DCItem&quot;,,,&quot;MEMBER_NAME&quot;,FALSE,E$1)" xr:uid="{810C6B97-301F-4F43-B817-68896E40C07C}"/>
    <hyperlink ref="E89" r:id="rId67" display="=@TM1RPTROW($C$1,&quot;TM1-S1_DEV:SP_DCItem&quot;,,,&quot;MEMBER_NAME&quot;,FALSE,E$1)" xr:uid="{C758DCDC-550E-49E7-A018-104253EDFF20}"/>
    <hyperlink ref="E90" r:id="rId68" display="=@TM1RPTROW($C$1,&quot;TM1-S1_DEV:SP_DCItem&quot;,,,&quot;MEMBER_NAME&quot;,FALSE,E$1)" xr:uid="{D0009AC2-4D97-47A0-B748-039BD4CD88B4}"/>
    <hyperlink ref="E91" r:id="rId69" display="=@TM1RPTROW($C$1,&quot;TM1-S1_DEV:SP_DCItem&quot;,,,&quot;MEMBER_NAME&quot;,FALSE,E$1)" xr:uid="{95429BBD-86A1-4D85-8BBD-A6837FA5C6DB}"/>
    <hyperlink ref="E92" r:id="rId70" display="=@TM1RPTROW($C$1,&quot;TM1-S1_DEV:SP_DCItem&quot;,,,&quot;MEMBER_NAME&quot;,FALSE,E$1)" xr:uid="{763C227B-5001-4ECB-AE97-42CD201D007B}"/>
    <hyperlink ref="E93" r:id="rId71" display="=@TM1RPTROW($C$1,&quot;TM1-S1_DEV:SP_DCItem&quot;,,,&quot;MEMBER_NAME&quot;,FALSE,E$1)" xr:uid="{2A033D21-CC05-41FE-830E-7D89495669C8}"/>
    <hyperlink ref="E94" r:id="rId72" display="=@TM1RPTROW($C$1,&quot;TM1-S1_DEV:SP_DCItem&quot;,,,&quot;MEMBER_NAME&quot;,FALSE,E$1)" xr:uid="{6E8D2E55-A078-4E1A-B50C-CCC7C5EA32BD}"/>
    <hyperlink ref="E95" r:id="rId73" display="=@TM1RPTROW($C$1,&quot;TM1-S1_DEV:SP_DCItem&quot;,,,&quot;MEMBER_NAME&quot;,FALSE,E$1)" xr:uid="{CE9D6166-ADDF-42D4-B0AA-538C2D3284F5}"/>
    <hyperlink ref="E96" r:id="rId74" display="=@TM1RPTROW($C$1,&quot;TM1-S1_DEV:SP_DCItem&quot;,,,&quot;MEMBER_NAME&quot;,FALSE,E$1)" xr:uid="{D105A8E9-833E-4210-A9F3-46813C3E3D1D}"/>
    <hyperlink ref="E97" r:id="rId75" display="=@TM1RPTROW($C$1,&quot;TM1-S1_DEV:SP_DCItem&quot;,,,&quot;MEMBER_NAME&quot;,FALSE,E$1)" xr:uid="{8E8AF169-252D-4D28-90BA-13740DAFB436}"/>
    <hyperlink ref="E98" r:id="rId76" display="=@TM1RPTROW($C$1,&quot;TM1-S1_DEV:SP_DCItem&quot;,,,&quot;MEMBER_NAME&quot;,FALSE,E$1)" xr:uid="{3CEA06B8-8FDD-4B38-9C71-EEF053E93E32}"/>
    <hyperlink ref="E99" r:id="rId77" display="=@TM1RPTROW($C$1,&quot;TM1-S1_DEV:SP_DCItem&quot;,,,&quot;MEMBER_NAME&quot;,FALSE,E$1)" xr:uid="{15F5E6CA-D364-449D-8356-C010988DC97F}"/>
    <hyperlink ref="E100" r:id="rId78" display="=@TM1RPTROW($C$1,&quot;TM1-S1_DEV:SP_DCItem&quot;,,,&quot;MEMBER_NAME&quot;,FALSE,E$1)" xr:uid="{D5866871-5295-458F-9782-C0A3286795A6}"/>
    <hyperlink ref="E101" r:id="rId79" display="=@TM1RPTROW($C$1,&quot;TM1-S1_DEV:SP_DCItem&quot;,,,&quot;MEMBER_NAME&quot;,FALSE,E$1)" xr:uid="{43623AA9-616E-4757-888B-6B65921410FF}"/>
    <hyperlink ref="E102" r:id="rId80" display="=@TM1RPTROW($C$1,&quot;TM1-S1_DEV:SP_DCItem&quot;,,,&quot;MEMBER_NAME&quot;,FALSE,E$1)" xr:uid="{464163F0-EEF9-4156-9D69-EA6B98C4639F}"/>
    <hyperlink ref="E103" r:id="rId81" display="=@TM1RPTROW($C$1,&quot;TM1-S1_DEV:SP_DCItem&quot;,,,&quot;MEMBER_NAME&quot;,FALSE,E$1)" xr:uid="{29B71DF2-D1D4-4BC2-8C38-706AD79BD80B}"/>
    <hyperlink ref="E104" r:id="rId82" display="=@TM1RPTROW($C$1,&quot;TM1-S1_DEV:SP_DCItem&quot;,,,&quot;MEMBER_NAME&quot;,FALSE,E$1)" xr:uid="{92931BC3-0576-45D9-9E3B-154F05451DC8}"/>
    <hyperlink ref="E105" r:id="rId83" display="=@TM1RPTROW($C$1,&quot;TM1-S1_DEV:SP_DCItem&quot;,,,&quot;MEMBER_NAME&quot;,FALSE,E$1)" xr:uid="{621681C5-FB2B-45E4-BAB6-81D20A162829}"/>
    <hyperlink ref="E106" r:id="rId84" display="=@TM1RPTROW($C$1,&quot;TM1-S1_DEV:SP_DCItem&quot;,,,&quot;MEMBER_NAME&quot;,FALSE,E$1)" xr:uid="{E2F4CF82-0571-49A6-9F33-98261E152B7B}"/>
    <hyperlink ref="E107" r:id="rId85" display="=@TM1RPTROW($C$1,&quot;TM1-S1_DEV:SP_DCItem&quot;,,,&quot;MEMBER_NAME&quot;,FALSE,E$1)" xr:uid="{79FC4508-D1CE-4F72-8E0E-018D2672E970}"/>
    <hyperlink ref="E108" r:id="rId86" display="=@TM1RPTROW($C$1,&quot;TM1-S1_DEV:SP_DCItem&quot;,,,&quot;MEMBER_NAME&quot;,FALSE,E$1)" xr:uid="{BA04F3F5-EE73-4218-AB93-56828629F3B4}"/>
    <hyperlink ref="E109" r:id="rId87" display="=@TM1RPTROW($C$1,&quot;TM1-S1_DEV:SP_DCItem&quot;,,,&quot;MEMBER_NAME&quot;,FALSE,E$1)" xr:uid="{CF9F476F-82F9-4C4A-AF65-4E109B653B00}"/>
    <hyperlink ref="E110" r:id="rId88" display="=@TM1RPTROW($C$1,&quot;TM1-S1_DEV:SP_DCItem&quot;,,,&quot;MEMBER_NAME&quot;,FALSE,E$1)" xr:uid="{7B27DC19-AE9C-4DC1-A009-676421DDB374}"/>
    <hyperlink ref="E111" r:id="rId89" display="=@TM1RPTROW($C$1,&quot;TM1-S1_DEV:SP_DCItem&quot;,,,&quot;MEMBER_NAME&quot;,FALSE,E$1)" xr:uid="{3D53AEAA-34A7-480B-9FF4-526DDED1ADC7}"/>
    <hyperlink ref="E112" r:id="rId90" display="=@TM1RPTROW($C$1,&quot;TM1-S1_DEV:SP_DCItem&quot;,,,&quot;MEMBER_NAME&quot;,FALSE,E$1)" xr:uid="{97620BE3-A16F-4064-9D7B-33B1A513C8DA}"/>
    <hyperlink ref="E113" r:id="rId91" display="=@TM1RPTROW($C$1,&quot;TM1-S1_DEV:SP_DCItem&quot;,,,&quot;MEMBER_NAME&quot;,FALSE,E$1)" xr:uid="{A21AC023-5C88-4A01-8F51-8241C3AA123D}"/>
    <hyperlink ref="E114" r:id="rId92" display="=@TM1RPTROW($C$1,&quot;TM1-S1_DEV:SP_DCItem&quot;,,,&quot;MEMBER_NAME&quot;,FALSE,E$1)" xr:uid="{47229751-0E6C-4D7C-8AB4-F0226FB43007}"/>
    <hyperlink ref="E115" r:id="rId93" display="=@TM1RPTROW($C$1,&quot;TM1-S1_DEV:SP_DCItem&quot;,,,&quot;MEMBER_NAME&quot;,FALSE,E$1)" xr:uid="{727E414B-D4A2-499E-A69E-B0C25FC3F4D3}"/>
    <hyperlink ref="E116" r:id="rId94" display="=@TM1RPTROW($C$1,&quot;TM1-S1_DEV:SP_DCItem&quot;,,,&quot;MEMBER_NAME&quot;,FALSE,E$1)" xr:uid="{139CE565-1E1A-43BB-9A7A-D6E933D98709}"/>
    <hyperlink ref="E117" r:id="rId95" display="=@TM1RPTROW($C$1,&quot;TM1-S1_DEV:SP_DCItem&quot;,,,&quot;MEMBER_NAME&quot;,FALSE,E$1)" xr:uid="{219C2300-B60B-4FF6-8B46-E94AA33AE669}"/>
    <hyperlink ref="E118" r:id="rId96" display="=@TM1RPTROW($C$1,&quot;TM1-S1_DEV:SP_DCItem&quot;,,,&quot;MEMBER_NAME&quot;,FALSE,E$1)" xr:uid="{F256DD43-0EA2-4B3E-A151-D1431267D505}"/>
    <hyperlink ref="E119" r:id="rId97" display="=@TM1RPTROW($C$1,&quot;TM1-S1_DEV:SP_DCItem&quot;,,,&quot;MEMBER_NAME&quot;,FALSE,E$1)" xr:uid="{A8591985-D950-468C-82CB-16C8157A508F}"/>
    <hyperlink ref="E120" r:id="rId98" display="=@TM1RPTROW($C$1,&quot;TM1-S1_DEV:SP_DCItem&quot;,,,&quot;MEMBER_NAME&quot;,FALSE,E$1)" xr:uid="{351FDA47-9192-423A-866D-9665F933F75B}"/>
    <hyperlink ref="E121" r:id="rId99" display="=@TM1RPTROW($C$1,&quot;TM1-S1_DEV:SP_DCItem&quot;,,,&quot;MEMBER_NAME&quot;,FALSE,E$1)" xr:uid="{9D295818-9D91-4508-BB37-B6334C4E108B}"/>
    <hyperlink ref="E122" r:id="rId100" display="=@TM1RPTROW($C$1,&quot;TM1-S1_DEV:SP_DCItem&quot;,,,&quot;MEMBER_NAME&quot;,FALSE,E$1)" xr:uid="{5C6F2A8A-35E0-40A5-9799-6E3C8BD2382A}"/>
    <hyperlink ref="E123" r:id="rId101" display="=@TM1RPTROW($C$1,&quot;TM1-S1_DEV:SP_DCItem&quot;,,,&quot;MEMBER_NAME&quot;,FALSE,E$1)" xr:uid="{168F35FE-17CC-426A-A0A8-B3169E042B4F}"/>
    <hyperlink ref="E124" r:id="rId102" display="=@TM1RPTROW($C$1,&quot;TM1-S1_DEV:SP_DCItem&quot;,,,&quot;MEMBER_NAME&quot;,FALSE,E$1)" xr:uid="{DD9D3960-A465-4997-8267-254DCA365F0B}"/>
    <hyperlink ref="E125" r:id="rId103" display="=@TM1RPTROW($C$1,&quot;TM1-S1_DEV:SP_DCItem&quot;,,,&quot;MEMBER_NAME&quot;,FALSE,E$1)" xr:uid="{6CAE424D-2B5F-41DA-9CC6-1533AD9E676A}"/>
    <hyperlink ref="E126" r:id="rId104" display="=@TM1RPTROW($C$1,&quot;TM1-S1_DEV:SP_DCItem&quot;,,,&quot;MEMBER_NAME&quot;,FALSE,E$1)" xr:uid="{A3C0E60D-BBB1-4DDD-A85E-B030F766B94E}"/>
    <hyperlink ref="E127" r:id="rId105" display="=@TM1RPTROW($C$1,&quot;TM1-S1_DEV:SP_DCItem&quot;,,,&quot;MEMBER_NAME&quot;,FALSE,E$1)" xr:uid="{0E8FD5F3-44B3-4A86-9854-A746A9880A88}"/>
    <hyperlink ref="E128" r:id="rId106" display="=@TM1RPTROW($C$1,&quot;TM1-S1_DEV:SP_DCItem&quot;,,,&quot;MEMBER_NAME&quot;,FALSE,E$1)" xr:uid="{C8F02638-8FD7-4C41-A11C-134ED0271829}"/>
    <hyperlink ref="E129" r:id="rId107" display="=@TM1RPTROW($C$1,&quot;TM1-S1_DEV:SP_DCItem&quot;,,,&quot;MEMBER_NAME&quot;,FALSE,E$1)" xr:uid="{DA048E44-054D-45B2-B46D-19A696DD03FC}"/>
    <hyperlink ref="E130" r:id="rId108" display="=@TM1RPTROW($C$1,&quot;TM1-S1_DEV:SP_DCItem&quot;,,,&quot;MEMBER_NAME&quot;,FALSE,E$1)" xr:uid="{9684F256-CCA4-43BB-86DD-CF00AB53DB81}"/>
    <hyperlink ref="E131" r:id="rId109" display="=@TM1RPTROW($C$1,&quot;TM1-S1_DEV:SP_DCItem&quot;,,,&quot;MEMBER_NAME&quot;,FALSE,E$1)" xr:uid="{8ADFD8DE-46B6-43EC-8E3D-D0717A7A781D}"/>
    <hyperlink ref="E132" r:id="rId110" display="=@TM1RPTROW($C$1,&quot;TM1-S1_DEV:SP_DCItem&quot;,,,&quot;MEMBER_NAME&quot;,FALSE,E$1)" xr:uid="{D134122C-C838-42AF-9995-7F567B193206}"/>
    <hyperlink ref="E133" r:id="rId111" display="=@TM1RPTROW($C$1,&quot;TM1-S1_DEV:SP_DCItem&quot;,,,&quot;MEMBER_NAME&quot;,FALSE,E$1)" xr:uid="{84501003-1123-492D-B088-3BEC6FB9B8F5}"/>
    <hyperlink ref="E134" r:id="rId112" display="=@TM1RPTROW($C$1,&quot;TM1-S1_DEV:SP_DCItem&quot;,,,&quot;MEMBER_NAME&quot;,FALSE,E$1)" xr:uid="{EE5A6224-E574-4595-B7F8-8C4986C98EC9}"/>
    <hyperlink ref="E135" r:id="rId113" display="=@TM1RPTROW($C$1,&quot;TM1-S1_DEV:SP_DCItem&quot;,,,&quot;MEMBER_NAME&quot;,FALSE,E$1)" xr:uid="{99DD990D-5047-48CA-87DB-124ABD9D4054}"/>
    <hyperlink ref="E136" r:id="rId114" display="=@TM1RPTROW($C$1,&quot;TM1-S1_DEV:SP_DCItem&quot;,,,&quot;MEMBER_NAME&quot;,FALSE,E$1)" xr:uid="{84DBC148-2871-4FBA-A919-8EF00DAFE0D1}"/>
    <hyperlink ref="E137" r:id="rId115" display="=@TM1RPTROW($C$1,&quot;TM1-S1_DEV:SP_DCItem&quot;,,,&quot;MEMBER_NAME&quot;,FALSE,E$1)" xr:uid="{33E2A7BD-8613-45E4-9872-6152FC9DF52D}"/>
    <hyperlink ref="E23" r:id="rId116" display="=@TM1RPTROW($C$1,&quot;TM1-S1_DEV:SP_DCItem&quot;,,,&quot;MEMBER_NAME&quot;,FALSE,E$1)" xr:uid="{F5070C3B-F02D-428F-A1E2-6A215B89DCDC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17</vt:i4>
      </vt:variant>
    </vt:vector>
  </HeadingPairs>
  <TitlesOfParts>
    <vt:vector size="20" baseType="lpstr">
      <vt:lpstr>Main</vt:lpstr>
      <vt:lpstr>PO Detail</vt:lpstr>
      <vt:lpstr>12-Wk Forecast</vt:lpstr>
      <vt:lpstr>DistributionCenter</vt:lpstr>
      <vt:lpstr>'12-Wk Forecast'!TM1RPTDATARNG1153905</vt:lpstr>
      <vt:lpstr>Main!TM1RPTDATARNG33279711</vt:lpstr>
      <vt:lpstr>'PO Detail'!TM1RPTDATARNG59776080</vt:lpstr>
      <vt:lpstr>'PO Detail'!TM1RPTDATARNG59776080_1</vt:lpstr>
      <vt:lpstr>'12-Wk Forecast'!TM1RPTFMTIDCOL1153905</vt:lpstr>
      <vt:lpstr>Main!TM1RPTFMTIDCOL33279711</vt:lpstr>
      <vt:lpstr>'PO Detail'!TM1RPTFMTIDCOL59776080</vt:lpstr>
      <vt:lpstr>'12-Wk Forecast'!TM1RPTFMTRNG1153905</vt:lpstr>
      <vt:lpstr>Main!TM1RPTFMTRNG33279711</vt:lpstr>
      <vt:lpstr>'PO Detail'!TM1RPTFMTRNG59776080</vt:lpstr>
      <vt:lpstr>'12-Wk Forecast'!TM1RPTQRYRNG1153905</vt:lpstr>
      <vt:lpstr>Main!TM1RPTQRYRNG33279711</vt:lpstr>
      <vt:lpstr>'PO Detail'!TM1RPTQRYRNG59776080</vt:lpstr>
      <vt:lpstr>'12-Wk Forecast'!TM1RPTVIEWRNG1153905</vt:lpstr>
      <vt:lpstr>Main!TM1RPTVIEWRNG33279711</vt:lpstr>
      <vt:lpstr>'PO Detail'!TM1RPTVIEWRNG59776080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Santiago, Michelle</dc:creator>
  <cp:lastModifiedBy>Santiago, Michelle</cp:lastModifiedBy>
  <dcterms:created xsi:type="dcterms:W3CDTF">2026-02-09T20:08:25Z</dcterms:created>
  <dcterms:modified xsi:type="dcterms:W3CDTF">2026-03-23T14:21:34Z</dcterms:modified>
</cp:coreProperties>
</file>