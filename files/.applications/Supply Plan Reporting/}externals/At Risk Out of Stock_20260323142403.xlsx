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AppData\Local\Temp\"/>
    </mc:Choice>
  </mc:AlternateContent>
  <xr:revisionPtr revIDLastSave="0" documentId="8_{B5DFB36B-23F0-43CE-A7BE-B7FCFA556A63}" xr6:coauthVersionLast="47" xr6:coauthVersionMax="47" xr10:uidLastSave="{00000000-0000-0000-0000-000000000000}"/>
  <bookViews>
    <workbookView xWindow="2040" yWindow="1035" windowWidth="34080" windowHeight="14055" firstSheet="1" activeTab="1" xr2:uid="{A055DE57-8455-44F2-BC52-3A2FB30CDEA3}"/>
  </bookViews>
  <sheets>
    <sheet name="Cognos_Office_Connection_Cache" sheetId="2" state="veryHidden" r:id="rId1"/>
    <sheet name="At Risk Out of Stock" sheetId="3" r:id="rId2"/>
  </sheets>
  <definedNames>
    <definedName name="_xlnm._FilterDatabase" localSheetId="1" hidden="1">'At Risk Out of Stock'!$B$19:$J$3698</definedName>
    <definedName name="ID" localSheetId="1" hidden="1">"ca97b59d-dd0a-443b-aacc-7acee0d2a7f2"</definedName>
    <definedName name="ID" localSheetId="0" hidden="1">"e4879d2e-f75c-48da-b7ca-fe54e0bec3ef"</definedName>
    <definedName name="TM1RPTDATARNG40479590" localSheetId="1">'At Risk Out of Stock'!$20:$3698</definedName>
    <definedName name="TM1RPTFMTIDCOL40479590" localSheetId="1">'At Risk Out of Stock'!$B$3:$B$12</definedName>
    <definedName name="TM1RPTFMTRNG40479590" localSheetId="1">'At Risk Out of Stock'!$C$3:$J$12</definedName>
    <definedName name="TM1RPTQRYRNG40479590" localSheetId="1">'At Risk Out of Stock'!$C$13:$H$13</definedName>
    <definedName name="TM1RPTVIEWRNG40479590" localSheetId="1">'At Risk Out of Stock'!$A$1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E529" i="3"/>
  <c r="D749" i="3"/>
  <c r="E500" i="3"/>
  <c r="D1230" i="3"/>
  <c r="E348" i="3"/>
  <c r="D268" i="3"/>
  <c r="E619" i="3"/>
  <c r="D1969" i="3"/>
  <c r="E1983" i="3"/>
  <c r="E360" i="3"/>
  <c r="D280" i="3"/>
  <c r="E631" i="3"/>
  <c r="D1981" i="3"/>
  <c r="E1995" i="3"/>
  <c r="D409" i="3"/>
  <c r="E712" i="3"/>
  <c r="D776" i="3"/>
  <c r="E1693" i="3"/>
  <c r="D623" i="3"/>
  <c r="E62" i="3"/>
  <c r="E773" i="3"/>
  <c r="E285" i="3"/>
  <c r="E930" i="3"/>
  <c r="D912" i="3"/>
  <c r="E747" i="3"/>
  <c r="D739" i="3"/>
  <c r="D1106" i="3"/>
  <c r="D1125" i="3"/>
  <c r="E984" i="3"/>
  <c r="E172" i="3"/>
  <c r="D236" i="3"/>
  <c r="E1106" i="3"/>
  <c r="E1274" i="3"/>
  <c r="D360" i="3"/>
  <c r="E195" i="3"/>
  <c r="D187" i="3"/>
  <c r="E862" i="3"/>
  <c r="D2019" i="3"/>
  <c r="D959" i="3"/>
  <c r="E398" i="3"/>
  <c r="E621" i="3"/>
  <c r="E1390" i="3"/>
  <c r="D683" i="3"/>
  <c r="E122" i="3"/>
  <c r="E833" i="3"/>
  <c r="E345" i="3"/>
  <c r="D1050" i="3"/>
  <c r="E1032" i="3"/>
  <c r="E220" i="3"/>
  <c r="D284" i="3"/>
  <c r="E1170" i="3"/>
  <c r="E1327" i="3"/>
  <c r="D278" i="3"/>
  <c r="D177" i="3"/>
  <c r="D1670" i="3"/>
  <c r="D143" i="3"/>
  <c r="D578" i="3"/>
  <c r="E293" i="3"/>
  <c r="D477" i="3"/>
  <c r="D1019" i="3"/>
  <c r="E458" i="3"/>
  <c r="D78" i="3"/>
  <c r="E681" i="3"/>
  <c r="E1453" i="3"/>
  <c r="D314" i="3"/>
  <c r="E29" i="3"/>
  <c r="D213" i="3"/>
  <c r="D1706" i="3"/>
  <c r="D1032" i="3"/>
  <c r="E867" i="3"/>
  <c r="D859" i="3"/>
  <c r="E515" i="3"/>
  <c r="D63" i="3"/>
  <c r="F14" i="3"/>
  <c r="D146" i="3"/>
  <c r="D1037" i="3"/>
  <c r="D45" i="3"/>
  <c r="D1538" i="3"/>
  <c r="E636" i="3"/>
  <c r="D556" i="3"/>
  <c r="E907" i="3"/>
  <c r="D2257" i="3"/>
  <c r="E2271" i="3"/>
  <c r="E648" i="3"/>
  <c r="D568" i="3"/>
  <c r="E919" i="3"/>
  <c r="D2269" i="3"/>
  <c r="E2283" i="3"/>
  <c r="D697" i="3"/>
  <c r="D209" i="3"/>
  <c r="D1064" i="3"/>
  <c r="E1981" i="3"/>
  <c r="D911" i="3"/>
  <c r="E350" i="3"/>
  <c r="E1061" i="3"/>
  <c r="E573" i="3"/>
  <c r="D1339" i="3"/>
  <c r="D1200" i="3"/>
  <c r="E1035" i="3"/>
  <c r="E91" i="3"/>
  <c r="D1439" i="3"/>
  <c r="E1454" i="3"/>
  <c r="D157" i="3"/>
  <c r="E460" i="3"/>
  <c r="D524" i="3"/>
  <c r="D1440" i="3"/>
  <c r="D1576" i="3"/>
  <c r="D648" i="3"/>
  <c r="E483" i="3"/>
  <c r="D475" i="3"/>
  <c r="E1150" i="3"/>
  <c r="D2307" i="3"/>
  <c r="E131" i="3"/>
  <c r="E686" i="3"/>
  <c r="D306" i="3"/>
  <c r="D94" i="3"/>
  <c r="E1682" i="3"/>
  <c r="D971" i="3"/>
  <c r="E410" i="3"/>
  <c r="D30" i="3"/>
  <c r="E633" i="3"/>
  <c r="D1403" i="3"/>
  <c r="D205" i="3"/>
  <c r="E508" i="3"/>
  <c r="D572" i="3"/>
  <c r="E1489" i="3"/>
  <c r="D131" i="3"/>
  <c r="D566" i="3"/>
  <c r="E281" i="3"/>
  <c r="D465" i="3"/>
  <c r="D1958" i="3"/>
  <c r="D431" i="3"/>
  <c r="D866" i="3"/>
  <c r="E581" i="3"/>
  <c r="E93" i="3"/>
  <c r="E191" i="3"/>
  <c r="E746" i="3"/>
  <c r="D366" i="3"/>
  <c r="D154" i="3"/>
  <c r="D167" i="3"/>
  <c r="D602" i="3"/>
  <c r="E317" i="3"/>
  <c r="D501" i="3"/>
  <c r="D1994" i="3"/>
  <c r="D1320" i="3"/>
  <c r="E1155" i="3"/>
  <c r="D434" i="3"/>
  <c r="E149" i="3"/>
  <c r="D333" i="3"/>
  <c r="D1826" i="3"/>
  <c r="E924" i="3"/>
  <c r="E112" i="3"/>
  <c r="D176" i="3"/>
  <c r="E1005" i="3"/>
  <c r="D1204" i="3"/>
  <c r="E936" i="3"/>
  <c r="E124" i="3"/>
  <c r="D188" i="3"/>
  <c r="D1027" i="3"/>
  <c r="D1218" i="3"/>
  <c r="E277" i="3"/>
  <c r="D497" i="3"/>
  <c r="E248" i="3"/>
  <c r="D681" i="3"/>
  <c r="E83" i="3"/>
  <c r="E638" i="3"/>
  <c r="D258" i="3"/>
  <c r="D46" i="3"/>
  <c r="E1634" i="3"/>
  <c r="E108" i="3"/>
  <c r="D28" i="3"/>
  <c r="E379" i="3"/>
  <c r="D1729" i="3"/>
  <c r="E1743" i="3"/>
  <c r="D445" i="3"/>
  <c r="E748" i="3"/>
  <c r="D812" i="3"/>
  <c r="E1729" i="3"/>
  <c r="D1864" i="3"/>
  <c r="D936" i="3"/>
  <c r="E771" i="3"/>
  <c r="D763" i="3"/>
  <c r="E1137" i="3"/>
  <c r="D1158" i="3"/>
  <c r="E419" i="3"/>
  <c r="E974" i="3"/>
  <c r="D594" i="3"/>
  <c r="D382" i="3"/>
  <c r="E1970" i="3"/>
  <c r="E143" i="3"/>
  <c r="E698" i="3"/>
  <c r="D318" i="3"/>
  <c r="D106" i="3"/>
  <c r="E1694" i="3"/>
  <c r="D493" i="3"/>
  <c r="D860" i="3"/>
  <c r="E1777" i="3"/>
  <c r="D419" i="3"/>
  <c r="D854" i="3"/>
  <c r="E569" i="3"/>
  <c r="E81" i="3"/>
  <c r="D2246" i="3"/>
  <c r="D719" i="3"/>
  <c r="E158" i="3"/>
  <c r="E869" i="3"/>
  <c r="E381" i="3"/>
  <c r="E479" i="3"/>
  <c r="D27" i="3"/>
  <c r="D654" i="3"/>
  <c r="D442" i="3"/>
  <c r="D455" i="3"/>
  <c r="D890" i="3"/>
  <c r="E605" i="3"/>
  <c r="E117" i="3"/>
  <c r="D2282" i="3"/>
  <c r="E228" i="3"/>
  <c r="D148" i="3"/>
  <c r="E499" i="3"/>
  <c r="E1091" i="3"/>
  <c r="D287" i="3"/>
  <c r="D722" i="3"/>
  <c r="E437" i="3"/>
  <c r="D621" i="3"/>
  <c r="D2114" i="3"/>
  <c r="D97" i="3"/>
  <c r="E400" i="3"/>
  <c r="D464" i="3"/>
  <c r="D1377" i="3"/>
  <c r="D1516" i="3"/>
  <c r="D109" i="3"/>
  <c r="E412" i="3"/>
  <c r="D476" i="3"/>
  <c r="E1389" i="3"/>
  <c r="D1528" i="3"/>
  <c r="E565" i="3"/>
  <c r="D785" i="3"/>
  <c r="E536" i="3"/>
  <c r="E1272" i="3"/>
  <c r="E371" i="3"/>
  <c r="E926" i="3"/>
  <c r="D546" i="3"/>
  <c r="D334" i="3"/>
  <c r="E1922" i="3"/>
  <c r="E396" i="3"/>
  <c r="D316" i="3"/>
  <c r="E667" i="3"/>
  <c r="D2017" i="3"/>
  <c r="E2031" i="3"/>
  <c r="E25" i="3"/>
  <c r="D245" i="3"/>
  <c r="E2017" i="3"/>
  <c r="D2152" i="3"/>
  <c r="D1224" i="3"/>
  <c r="E1059" i="3"/>
  <c r="E115" i="3"/>
  <c r="E1464" i="3"/>
  <c r="E1479" i="3"/>
  <c r="E707" i="3"/>
  <c r="D255" i="3"/>
  <c r="D882" i="3"/>
  <c r="D670" i="3"/>
  <c r="E2258" i="3"/>
  <c r="E431" i="3"/>
  <c r="E986" i="3"/>
  <c r="D606" i="3"/>
  <c r="D394" i="3"/>
  <c r="E1982" i="3"/>
  <c r="E73" i="3"/>
  <c r="D293" i="3"/>
  <c r="E44" i="3"/>
  <c r="E2065" i="3"/>
  <c r="D707" i="3"/>
  <c r="E146" i="3"/>
  <c r="E857" i="3"/>
  <c r="E369" i="3"/>
  <c r="D1089" i="3"/>
  <c r="D1007" i="3"/>
  <c r="E446" i="3"/>
  <c r="D66" i="3"/>
  <c r="E669" i="3"/>
  <c r="E767" i="3"/>
  <c r="D315" i="3"/>
  <c r="E30" i="3"/>
  <c r="D730" i="3"/>
  <c r="D743" i="3"/>
  <c r="E182" i="3"/>
  <c r="E893" i="3"/>
  <c r="E405" i="3"/>
  <c r="E1140" i="3"/>
  <c r="E516" i="3"/>
  <c r="D436" i="3"/>
  <c r="E787" i="3"/>
  <c r="E1379" i="3"/>
  <c r="D927" i="3"/>
  <c r="E642" i="3"/>
  <c r="E394" i="3"/>
  <c r="D1551" i="3"/>
  <c r="D1344" i="3"/>
  <c r="E1179" i="3"/>
  <c r="E235" i="3"/>
  <c r="D1585" i="3"/>
  <c r="E1599" i="3"/>
  <c r="D362" i="3"/>
  <c r="E77" i="3"/>
  <c r="D261" i="3"/>
  <c r="D1754" i="3"/>
  <c r="E852" i="3"/>
  <c r="D575" i="3"/>
  <c r="E725" i="3"/>
  <c r="E237" i="3"/>
  <c r="D765" i="3"/>
  <c r="D385" i="3"/>
  <c r="E688" i="3"/>
  <c r="D752" i="3"/>
  <c r="E1669" i="3"/>
  <c r="D1804" i="3"/>
  <c r="D397" i="3"/>
  <c r="E700" i="3"/>
  <c r="D764" i="3"/>
  <c r="E1681" i="3"/>
  <c r="D1816" i="3"/>
  <c r="D182" i="3"/>
  <c r="D1073" i="3"/>
  <c r="D81" i="3"/>
  <c r="D1574" i="3"/>
  <c r="E659" i="3"/>
  <c r="D207" i="3"/>
  <c r="D834" i="3"/>
  <c r="D622" i="3"/>
  <c r="E2210" i="3"/>
  <c r="E684" i="3"/>
  <c r="D604" i="3"/>
  <c r="E955" i="3"/>
  <c r="D2305" i="3"/>
  <c r="E2319" i="3"/>
  <c r="E313" i="3"/>
  <c r="D533" i="3"/>
  <c r="E284" i="3"/>
  <c r="E853" i="3"/>
  <c r="D1159" i="3"/>
  <c r="E132" i="3"/>
  <c r="D52" i="3"/>
  <c r="E403" i="3"/>
  <c r="D1753" i="3"/>
  <c r="E1767" i="3"/>
  <c r="E995" i="3"/>
  <c r="D543" i="3"/>
  <c r="E258" i="3"/>
  <c r="E1124" i="3"/>
  <c r="E719" i="3"/>
  <c r="D267" i="3"/>
  <c r="D894" i="3"/>
  <c r="D682" i="3"/>
  <c r="E2270" i="3"/>
  <c r="E361" i="3"/>
  <c r="D581" i="3"/>
  <c r="E332" i="3"/>
  <c r="E981" i="3"/>
  <c r="D995" i="3"/>
  <c r="E434" i="3"/>
  <c r="D54" i="3"/>
  <c r="E657" i="3"/>
  <c r="E1428" i="3"/>
  <c r="E179" i="3"/>
  <c r="E734" i="3"/>
  <c r="D354" i="3"/>
  <c r="D142" i="3"/>
  <c r="E1055" i="3"/>
  <c r="D603" i="3"/>
  <c r="E318" i="3"/>
  <c r="E70" i="3"/>
  <c r="D1031" i="3"/>
  <c r="E470" i="3"/>
  <c r="D90" i="3"/>
  <c r="E693" i="3"/>
  <c r="D1466" i="3"/>
  <c r="E804" i="3"/>
  <c r="D724" i="3"/>
  <c r="D56" i="3"/>
  <c r="D180" i="3"/>
  <c r="E682" i="3"/>
  <c r="D863" i="3"/>
  <c r="E302" i="3"/>
  <c r="E1013" i="3"/>
  <c r="E525" i="3"/>
  <c r="E1286" i="3"/>
  <c r="D673" i="3"/>
  <c r="D185" i="3"/>
  <c r="D1040" i="3"/>
  <c r="E1957" i="3"/>
  <c r="D2092" i="3"/>
  <c r="D685" i="3"/>
  <c r="D197" i="3"/>
  <c r="D1052" i="3"/>
  <c r="E1969" i="3"/>
  <c r="D35" i="3"/>
  <c r="D470" i="3"/>
  <c r="E185" i="3"/>
  <c r="D369" i="3"/>
  <c r="D1862" i="3"/>
  <c r="E947" i="3"/>
  <c r="D495" i="3"/>
  <c r="E210" i="3"/>
  <c r="D910" i="3"/>
  <c r="E1050" i="3"/>
  <c r="E972" i="3"/>
  <c r="E160" i="3"/>
  <c r="D224" i="3"/>
  <c r="E1087" i="3"/>
  <c r="D1261" i="3"/>
  <c r="E601" i="3"/>
  <c r="D821" i="3"/>
  <c r="E572" i="3"/>
  <c r="E1312" i="3"/>
  <c r="E1480" i="3"/>
  <c r="E420" i="3"/>
  <c r="D340" i="3"/>
  <c r="E691" i="3"/>
  <c r="D2041" i="3"/>
  <c r="E2055" i="3"/>
  <c r="E1283" i="3"/>
  <c r="D831" i="3"/>
  <c r="E546" i="3"/>
  <c r="E298" i="3"/>
  <c r="D1454" i="3"/>
  <c r="E1007" i="3"/>
  <c r="D555" i="3"/>
  <c r="E270" i="3"/>
  <c r="E22" i="3"/>
  <c r="D1141" i="3"/>
  <c r="E649" i="3"/>
  <c r="D869" i="3"/>
  <c r="E620" i="3"/>
  <c r="E1364" i="3"/>
  <c r="E167" i="3"/>
  <c r="E722" i="3"/>
  <c r="D342" i="3"/>
  <c r="D130" i="3"/>
  <c r="E1718" i="3"/>
  <c r="E467" i="3"/>
  <c r="D642" i="3"/>
  <c r="D430" i="3"/>
  <c r="E1343" i="3"/>
  <c r="D891" i="3"/>
  <c r="E606" i="3"/>
  <c r="E358" i="3"/>
  <c r="E203" i="3"/>
  <c r="E758" i="3"/>
  <c r="D378" i="3"/>
  <c r="D166" i="3"/>
  <c r="E1754" i="3"/>
  <c r="E1092" i="3"/>
  <c r="E280" i="3"/>
  <c r="D344" i="3"/>
  <c r="D468" i="3"/>
  <c r="E303" i="3"/>
  <c r="D295" i="3"/>
  <c r="E970" i="3"/>
  <c r="D2127" i="3"/>
  <c r="E35" i="3"/>
  <c r="E590" i="3"/>
  <c r="D210" i="3"/>
  <c r="E1586" i="3"/>
  <c r="E253" i="3"/>
  <c r="D473" i="3"/>
  <c r="E224" i="3"/>
  <c r="E2245" i="3"/>
  <c r="D1074" i="3"/>
  <c r="E265" i="3"/>
  <c r="D485" i="3"/>
  <c r="E236" i="3"/>
  <c r="E2257" i="3"/>
  <c r="D323" i="3"/>
  <c r="D758" i="3"/>
  <c r="E473" i="3"/>
  <c r="D657" i="3"/>
  <c r="D2150" i="3"/>
  <c r="E1235" i="3"/>
  <c r="D783" i="3"/>
  <c r="E498" i="3"/>
  <c r="E250" i="3"/>
  <c r="D1404" i="3"/>
  <c r="D145" i="3"/>
  <c r="E448" i="3"/>
  <c r="D512" i="3"/>
  <c r="D1427" i="3"/>
  <c r="D1564" i="3"/>
  <c r="D218" i="3"/>
  <c r="D1109" i="3"/>
  <c r="D117" i="3"/>
  <c r="D1610" i="3"/>
  <c r="E1768" i="3"/>
  <c r="E708" i="3"/>
  <c r="D628" i="3"/>
  <c r="E979" i="3"/>
  <c r="D2329" i="3"/>
  <c r="D772" i="3"/>
  <c r="D84" i="3"/>
  <c r="D1119" i="3"/>
  <c r="E834" i="3"/>
  <c r="E586" i="3"/>
  <c r="D1743" i="3"/>
  <c r="E1295" i="3"/>
  <c r="D843" i="3"/>
  <c r="E558" i="3"/>
  <c r="E310" i="3"/>
  <c r="E1466" i="3"/>
  <c r="D266" i="3"/>
  <c r="D1157" i="3"/>
  <c r="D165" i="3"/>
  <c r="D1658" i="3"/>
  <c r="E455" i="3"/>
  <c r="D630" i="3"/>
  <c r="D418" i="3"/>
  <c r="E2006" i="3"/>
  <c r="E755" i="3"/>
  <c r="D303" i="3"/>
  <c r="D718" i="3"/>
  <c r="D144" i="3"/>
  <c r="D1179" i="3"/>
  <c r="E894" i="3"/>
  <c r="E646" i="3"/>
  <c r="E491" i="3"/>
  <c r="D39" i="3"/>
  <c r="D666" i="3"/>
  <c r="D454" i="3"/>
  <c r="E2042" i="3"/>
  <c r="D265" i="3"/>
  <c r="E568" i="3"/>
  <c r="D632" i="3"/>
  <c r="D756" i="3"/>
  <c r="E591" i="3"/>
  <c r="D583" i="3"/>
  <c r="D669" i="3"/>
  <c r="E769" i="3"/>
  <c r="E828" i="3"/>
  <c r="D80" i="3"/>
  <c r="E673" i="3"/>
  <c r="D791" i="3"/>
  <c r="E230" i="3"/>
  <c r="E941" i="3"/>
  <c r="E453" i="3"/>
  <c r="E323" i="3"/>
  <c r="E878" i="3"/>
  <c r="D498" i="3"/>
  <c r="D286" i="3"/>
  <c r="E1874" i="3"/>
  <c r="E541" i="3"/>
  <c r="D761" i="3"/>
  <c r="E512" i="3"/>
  <c r="D1244" i="3"/>
  <c r="D1418" i="3"/>
  <c r="E553" i="3"/>
  <c r="D773" i="3"/>
  <c r="E524" i="3"/>
  <c r="D1258" i="3"/>
  <c r="D611" i="3"/>
  <c r="E50" i="3"/>
  <c r="E761" i="3"/>
  <c r="E273" i="3"/>
  <c r="D897" i="3"/>
  <c r="D36" i="3"/>
  <c r="D1071" i="3"/>
  <c r="E786" i="3"/>
  <c r="E538" i="3"/>
  <c r="D1695" i="3"/>
  <c r="D433" i="3"/>
  <c r="E736" i="3"/>
  <c r="D800" i="3"/>
  <c r="E1717" i="3"/>
  <c r="D71" i="3"/>
  <c r="D506" i="3"/>
  <c r="E221" i="3"/>
  <c r="D405" i="3"/>
  <c r="D1898" i="3"/>
  <c r="E2056" i="3"/>
  <c r="E996" i="3"/>
  <c r="E184" i="3"/>
  <c r="D248" i="3"/>
  <c r="D1123" i="3"/>
  <c r="E1288" i="3"/>
  <c r="D372" i="3"/>
  <c r="E207" i="3"/>
  <c r="D199" i="3"/>
  <c r="E874" i="3"/>
  <c r="D2031" i="3"/>
  <c r="D96" i="3"/>
  <c r="D1131" i="3"/>
  <c r="E846" i="3"/>
  <c r="E598" i="3"/>
  <c r="D119" i="3"/>
  <c r="D554" i="3"/>
  <c r="E269" i="3"/>
  <c r="D453" i="3"/>
  <c r="D1946" i="3"/>
  <c r="E743" i="3"/>
  <c r="D291" i="3"/>
  <c r="D706" i="3"/>
  <c r="E2294" i="3"/>
  <c r="E1043" i="3"/>
  <c r="D591" i="3"/>
  <c r="E306" i="3"/>
  <c r="E58" i="3"/>
  <c r="D432" i="3"/>
  <c r="E267" i="3"/>
  <c r="D259" i="3"/>
  <c r="E934" i="3"/>
  <c r="E779" i="3"/>
  <c r="D327" i="3"/>
  <c r="E611" i="3"/>
  <c r="D159" i="3"/>
  <c r="D786" i="3"/>
  <c r="D574" i="3"/>
  <c r="E2162" i="3"/>
  <c r="D158" i="3"/>
  <c r="D1049" i="3"/>
  <c r="D57" i="3"/>
  <c r="D1550" i="3"/>
  <c r="E1708" i="3"/>
  <c r="D170" i="3"/>
  <c r="D1061" i="3"/>
  <c r="D69" i="3"/>
  <c r="D1562" i="3"/>
  <c r="D899" i="3"/>
  <c r="E338" i="3"/>
  <c r="E1049" i="3"/>
  <c r="E561" i="3"/>
  <c r="D1326" i="3"/>
  <c r="D324" i="3"/>
  <c r="E159" i="3"/>
  <c r="D151" i="3"/>
  <c r="E826" i="3"/>
  <c r="D1983" i="3"/>
  <c r="D233" i="3"/>
  <c r="D1088" i="3"/>
  <c r="E2005" i="3"/>
  <c r="D359" i="3"/>
  <c r="D794" i="3"/>
  <c r="E509" i="3"/>
  <c r="E21" i="3"/>
  <c r="D2186" i="3"/>
  <c r="D937" i="3"/>
  <c r="D169" i="3"/>
  <c r="E472" i="3"/>
  <c r="D536" i="3"/>
  <c r="E1452" i="3"/>
  <c r="D1588" i="3"/>
  <c r="D660" i="3"/>
  <c r="E495" i="3"/>
  <c r="D487" i="3"/>
  <c r="E1162" i="3"/>
  <c r="D2319" i="3"/>
  <c r="D384" i="3"/>
  <c r="E219" i="3"/>
  <c r="D211" i="3"/>
  <c r="E886" i="3"/>
  <c r="D407" i="3"/>
  <c r="D842" i="3"/>
  <c r="E557" i="3"/>
  <c r="E69" i="3"/>
  <c r="D2234" i="3"/>
  <c r="E1031" i="3"/>
  <c r="D579" i="3"/>
  <c r="E294" i="3"/>
  <c r="E46" i="3"/>
  <c r="D1172" i="3"/>
  <c r="E1331" i="3"/>
  <c r="D879" i="3"/>
  <c r="E594" i="3"/>
  <c r="E346" i="3"/>
  <c r="D720" i="3"/>
  <c r="E555" i="3"/>
  <c r="D547" i="3"/>
  <c r="E1222" i="3"/>
  <c r="E1067" i="3"/>
  <c r="D615" i="3"/>
  <c r="E330" i="3"/>
  <c r="E82" i="3"/>
  <c r="D1217" i="3"/>
  <c r="E133" i="3"/>
  <c r="D353" i="3"/>
  <c r="E104" i="3"/>
  <c r="D1332" i="3"/>
  <c r="E1167" i="3"/>
  <c r="E223" i="3"/>
  <c r="D1573" i="3"/>
  <c r="E1587" i="3"/>
  <c r="E899" i="3"/>
  <c r="D447" i="3"/>
  <c r="E162" i="3"/>
  <c r="D862" i="3"/>
  <c r="D446" i="3"/>
  <c r="E161" i="3"/>
  <c r="D345" i="3"/>
  <c r="D1838" i="3"/>
  <c r="D23" i="3"/>
  <c r="D458" i="3"/>
  <c r="E173" i="3"/>
  <c r="D357" i="3"/>
  <c r="D1850" i="3"/>
  <c r="E71" i="3"/>
  <c r="E626" i="3"/>
  <c r="D246" i="3"/>
  <c r="D34" i="3"/>
  <c r="E1622" i="3"/>
  <c r="D612" i="3"/>
  <c r="E447" i="3"/>
  <c r="D439" i="3"/>
  <c r="E1114" i="3"/>
  <c r="D2271" i="3"/>
  <c r="E301" i="3"/>
  <c r="D521" i="3"/>
  <c r="E272" i="3"/>
  <c r="D813" i="3"/>
  <c r="D647" i="3"/>
  <c r="E86" i="3"/>
  <c r="E797" i="3"/>
  <c r="E309" i="3"/>
  <c r="D982" i="3"/>
  <c r="E1341" i="3"/>
  <c r="D457" i="3"/>
  <c r="E760" i="3"/>
  <c r="D824" i="3"/>
  <c r="E1741" i="3"/>
  <c r="D1876" i="3"/>
  <c r="D948" i="3"/>
  <c r="E783" i="3"/>
  <c r="D775" i="3"/>
  <c r="D1154" i="3"/>
  <c r="E1172" i="3"/>
  <c r="D672" i="3"/>
  <c r="E507" i="3"/>
  <c r="D499" i="3"/>
  <c r="E1174" i="3"/>
  <c r="D695" i="3"/>
  <c r="E134" i="3"/>
  <c r="E845" i="3"/>
  <c r="E357" i="3"/>
  <c r="D1070" i="3"/>
  <c r="E1319" i="3"/>
  <c r="D867" i="3"/>
  <c r="E582" i="3"/>
  <c r="E334" i="3"/>
  <c r="D1491" i="3"/>
  <c r="D132" i="3"/>
  <c r="D1167" i="3"/>
  <c r="E882" i="3"/>
  <c r="E634" i="3"/>
  <c r="D1008" i="3"/>
  <c r="E843" i="3"/>
  <c r="D835" i="3"/>
  <c r="D1229" i="3"/>
  <c r="E1355" i="3"/>
  <c r="D903" i="3"/>
  <c r="E618" i="3"/>
  <c r="E370" i="3"/>
  <c r="D1527" i="3"/>
  <c r="E421" i="3"/>
  <c r="D641" i="3"/>
  <c r="E392" i="3"/>
  <c r="E240" i="3"/>
  <c r="D160" i="3"/>
  <c r="E511" i="3"/>
  <c r="D1861" i="3"/>
  <c r="E1875" i="3"/>
  <c r="D577" i="3"/>
  <c r="D89" i="3"/>
  <c r="D944" i="3"/>
  <c r="E1861" i="3"/>
  <c r="E539" i="3"/>
  <c r="D87" i="3"/>
  <c r="D714" i="3"/>
  <c r="D502" i="3"/>
  <c r="E2090" i="3"/>
  <c r="D86" i="3"/>
  <c r="D977" i="3"/>
  <c r="E728" i="3"/>
  <c r="D1478" i="3"/>
  <c r="E1215" i="3"/>
  <c r="E271" i="3"/>
  <c r="D1621" i="3"/>
  <c r="D827" i="3"/>
  <c r="E266" i="3"/>
  <c r="E977" i="3"/>
  <c r="E489" i="3"/>
  <c r="E299" i="3"/>
  <c r="E854" i="3"/>
  <c r="E1187" i="3"/>
  <c r="D735" i="3"/>
  <c r="E450" i="3"/>
  <c r="E202" i="3"/>
  <c r="D299" i="3"/>
  <c r="D734" i="3"/>
  <c r="E449" i="3"/>
  <c r="D633" i="3"/>
  <c r="D2126" i="3"/>
  <c r="D311" i="3"/>
  <c r="D746" i="3"/>
  <c r="E461" i="3"/>
  <c r="D645" i="3"/>
  <c r="D2138" i="3"/>
  <c r="E359" i="3"/>
  <c r="E914" i="3"/>
  <c r="D534" i="3"/>
  <c r="D322" i="3"/>
  <c r="E1910" i="3"/>
  <c r="D900" i="3"/>
  <c r="E735" i="3"/>
  <c r="D727" i="3"/>
  <c r="D1087" i="3"/>
  <c r="D1110" i="3"/>
  <c r="E589" i="3"/>
  <c r="D809" i="3"/>
  <c r="E560" i="3"/>
  <c r="E1299" i="3"/>
  <c r="D935" i="3"/>
  <c r="E374" i="3"/>
  <c r="E597" i="3"/>
  <c r="D1365" i="3"/>
  <c r="D1637" i="3"/>
  <c r="E37" i="3"/>
  <c r="D257" i="3"/>
  <c r="E2029" i="3"/>
  <c r="D2164" i="3"/>
  <c r="D1236" i="3"/>
  <c r="E1071" i="3"/>
  <c r="E127" i="3"/>
  <c r="D1477" i="3"/>
  <c r="E1491" i="3"/>
  <c r="D960" i="3"/>
  <c r="E795" i="3"/>
  <c r="D787" i="3"/>
  <c r="D1170" i="3"/>
  <c r="D983" i="3"/>
  <c r="E422" i="3"/>
  <c r="D42" i="3"/>
  <c r="E645" i="3"/>
  <c r="D1416" i="3"/>
  <c r="D120" i="3"/>
  <c r="D1155" i="3"/>
  <c r="E870" i="3"/>
  <c r="E622" i="3"/>
  <c r="D1779" i="3"/>
  <c r="D420" i="3"/>
  <c r="E255" i="3"/>
  <c r="D247" i="3"/>
  <c r="E922" i="3"/>
  <c r="D1296" i="3"/>
  <c r="E1131" i="3"/>
  <c r="E187" i="3"/>
  <c r="D1537" i="3"/>
  <c r="D156" i="3"/>
  <c r="D1191" i="3"/>
  <c r="E906" i="3"/>
  <c r="E658" i="3"/>
  <c r="D1815" i="3"/>
  <c r="D38" i="3"/>
  <c r="D929" i="3"/>
  <c r="E680" i="3"/>
  <c r="E528" i="3"/>
  <c r="D448" i="3"/>
  <c r="E799" i="3"/>
  <c r="D2149" i="3"/>
  <c r="E1475" i="3"/>
  <c r="D1023" i="3"/>
  <c r="E738" i="3"/>
  <c r="E490" i="3"/>
  <c r="D587" i="3"/>
  <c r="E26" i="3"/>
  <c r="E737" i="3"/>
  <c r="E249" i="3"/>
  <c r="E813" i="3"/>
  <c r="D599" i="3"/>
  <c r="E38" i="3"/>
  <c r="E749" i="3"/>
  <c r="E261" i="3"/>
  <c r="D856" i="3"/>
  <c r="E647" i="3"/>
  <c r="D195" i="3"/>
  <c r="D822" i="3"/>
  <c r="D610" i="3"/>
  <c r="E2198" i="3"/>
  <c r="D1188" i="3"/>
  <c r="E1023" i="3"/>
  <c r="E79" i="3"/>
  <c r="E1426" i="3"/>
  <c r="D1442" i="3"/>
  <c r="D206" i="3"/>
  <c r="D1097" i="3"/>
  <c r="D105" i="3"/>
  <c r="D1598" i="3"/>
  <c r="E107" i="3"/>
  <c r="E662" i="3"/>
  <c r="D282" i="3"/>
  <c r="D70" i="3"/>
  <c r="E1658" i="3"/>
  <c r="D1925" i="3"/>
  <c r="E325" i="3"/>
  <c r="D545" i="3"/>
  <c r="E296" i="3"/>
  <c r="E896" i="3"/>
  <c r="E1173" i="3"/>
  <c r="E144" i="3"/>
  <c r="D64" i="3"/>
  <c r="E415" i="3"/>
  <c r="D1765" i="3"/>
  <c r="E1779" i="3"/>
  <c r="D1248" i="3"/>
  <c r="E1083" i="3"/>
  <c r="E139" i="3"/>
  <c r="D1489" i="3"/>
  <c r="E155" i="3"/>
  <c r="E710" i="3"/>
  <c r="D330" i="3"/>
  <c r="D118" i="3"/>
  <c r="E1706" i="3"/>
  <c r="D408" i="3"/>
  <c r="E243" i="3"/>
  <c r="D235" i="3"/>
  <c r="E910" i="3"/>
  <c r="D2067" i="3"/>
  <c r="D708" i="3"/>
  <c r="E543" i="3"/>
  <c r="D535" i="3"/>
  <c r="E1210" i="3"/>
  <c r="E204" i="3"/>
  <c r="D124" i="3"/>
  <c r="E475" i="3"/>
  <c r="D1825" i="3"/>
  <c r="D444" i="3"/>
  <c r="E279" i="3"/>
  <c r="D271" i="3"/>
  <c r="E946" i="3"/>
  <c r="D2103" i="3"/>
  <c r="D326" i="3"/>
  <c r="E41" i="3"/>
  <c r="D225" i="3"/>
  <c r="E816" i="3"/>
  <c r="D68" i="3"/>
  <c r="D2437" i="3"/>
  <c r="E1051" i="3"/>
  <c r="E445" i="3"/>
  <c r="D665" i="3"/>
  <c r="E416" i="3"/>
  <c r="E1123" i="3"/>
  <c r="E1115" i="3"/>
  <c r="D663" i="3"/>
  <c r="E378" i="3"/>
  <c r="E130" i="3"/>
  <c r="D227" i="3"/>
  <c r="D662" i="3"/>
  <c r="E377" i="3"/>
  <c r="D561" i="3"/>
  <c r="D2054" i="3"/>
  <c r="D276" i="3"/>
  <c r="E111" i="3"/>
  <c r="D103" i="3"/>
  <c r="E778" i="3"/>
  <c r="D875" i="3"/>
  <c r="E314" i="3"/>
  <c r="E1025" i="3"/>
  <c r="E537" i="3"/>
  <c r="D1300" i="3"/>
  <c r="D887" i="3"/>
  <c r="E326" i="3"/>
  <c r="E1037" i="3"/>
  <c r="E549" i="3"/>
  <c r="D1313" i="3"/>
  <c r="E935" i="3"/>
  <c r="D483" i="3"/>
  <c r="E198" i="3"/>
  <c r="D898" i="3"/>
  <c r="D1029" i="3"/>
  <c r="E96" i="3"/>
  <c r="E367" i="3"/>
  <c r="D1717" i="3"/>
  <c r="D59" i="3"/>
  <c r="D494" i="3"/>
  <c r="E209" i="3"/>
  <c r="D393" i="3"/>
  <c r="D1886" i="3"/>
  <c r="E395" i="3"/>
  <c r="E950" i="3"/>
  <c r="D570" i="3"/>
  <c r="D358" i="3"/>
  <c r="E1946" i="3"/>
  <c r="D1075" i="3"/>
  <c r="E613" i="3"/>
  <c r="D833" i="3"/>
  <c r="E584" i="3"/>
  <c r="E1325" i="3"/>
  <c r="E1492" i="3"/>
  <c r="E432" i="3"/>
  <c r="D352" i="3"/>
  <c r="E703" i="3"/>
  <c r="D2053" i="3"/>
  <c r="E2067" i="3"/>
  <c r="E156" i="3"/>
  <c r="D76" i="3"/>
  <c r="E427" i="3"/>
  <c r="D1777" i="3"/>
  <c r="E443" i="3"/>
  <c r="E998" i="3"/>
  <c r="D618" i="3"/>
  <c r="D406" i="3"/>
  <c r="E1994" i="3"/>
  <c r="D696" i="3"/>
  <c r="E531" i="3"/>
  <c r="D523" i="3"/>
  <c r="E1198" i="3"/>
  <c r="D2355" i="3"/>
  <c r="D996" i="3"/>
  <c r="E831" i="3"/>
  <c r="D823" i="3"/>
  <c r="E1214" i="3"/>
  <c r="E492" i="3"/>
  <c r="D412" i="3"/>
  <c r="E763" i="3"/>
  <c r="D2113" i="3"/>
  <c r="D564" i="3"/>
  <c r="E399" i="3"/>
  <c r="D391" i="3"/>
  <c r="E1066" i="3"/>
  <c r="E47" i="3"/>
  <c r="E602" i="3"/>
  <c r="D222" i="3"/>
  <c r="E1598" i="3"/>
  <c r="E59" i="3"/>
  <c r="E614" i="3"/>
  <c r="D234" i="3"/>
  <c r="D22" i="3"/>
  <c r="E1610" i="3"/>
  <c r="E1223" i="3"/>
  <c r="D771" i="3"/>
  <c r="E486" i="3"/>
  <c r="E238" i="3"/>
  <c r="D1391" i="3"/>
  <c r="E384" i="3"/>
  <c r="D304" i="3"/>
  <c r="E655" i="3"/>
  <c r="D2005" i="3"/>
  <c r="D347" i="3"/>
  <c r="D782" i="3"/>
  <c r="E497" i="3"/>
  <c r="D2174" i="3"/>
  <c r="E683" i="3"/>
  <c r="D231" i="3"/>
  <c r="D858" i="3"/>
  <c r="D646" i="3"/>
  <c r="E2234" i="3"/>
  <c r="D1419" i="3"/>
  <c r="D230" i="3"/>
  <c r="D1121" i="3"/>
  <c r="D129" i="3"/>
  <c r="D1622" i="3"/>
  <c r="E1780" i="3"/>
  <c r="E720" i="3"/>
  <c r="D640" i="3"/>
  <c r="E991" i="3"/>
  <c r="D2341" i="3"/>
  <c r="D820" i="3"/>
  <c r="E444" i="3"/>
  <c r="D364" i="3"/>
  <c r="E715" i="3"/>
  <c r="D2065" i="3"/>
  <c r="E731" i="3"/>
  <c r="D279" i="3"/>
  <c r="D694" i="3"/>
  <c r="E2282" i="3"/>
  <c r="D984" i="3"/>
  <c r="E819" i="3"/>
  <c r="D811" i="3"/>
  <c r="E1200" i="3"/>
  <c r="E1217" i="3"/>
  <c r="D1284" i="3"/>
  <c r="E1119" i="3"/>
  <c r="E175" i="3"/>
  <c r="D1525" i="3"/>
  <c r="E780" i="3"/>
  <c r="D700" i="3"/>
  <c r="D32" i="3"/>
  <c r="D2401" i="3"/>
  <c r="D1020" i="3"/>
  <c r="E855" i="3"/>
  <c r="D847" i="3"/>
  <c r="D1243" i="3"/>
  <c r="D467" i="3"/>
  <c r="D902" i="3"/>
  <c r="E617" i="3"/>
  <c r="E129" i="3"/>
  <c r="D277" i="3"/>
  <c r="E580" i="3"/>
  <c r="D644" i="3"/>
  <c r="E1561" i="3"/>
  <c r="D1696" i="3"/>
  <c r="D350" i="3"/>
  <c r="E65" i="3"/>
  <c r="D249" i="3"/>
  <c r="D1742" i="3"/>
  <c r="D204" i="3"/>
  <c r="E39" i="3"/>
  <c r="D31" i="3"/>
  <c r="E706" i="3"/>
  <c r="D803" i="3"/>
  <c r="E242" i="3"/>
  <c r="E953" i="3"/>
  <c r="E465" i="3"/>
  <c r="E1216" i="3"/>
  <c r="D37" i="3"/>
  <c r="E340" i="3"/>
  <c r="D404" i="3"/>
  <c r="D852" i="3"/>
  <c r="E687" i="3"/>
  <c r="D679" i="3"/>
  <c r="D1005" i="3"/>
  <c r="E335" i="3"/>
  <c r="E890" i="3"/>
  <c r="D510" i="3"/>
  <c r="D298" i="3"/>
  <c r="E1886" i="3"/>
  <c r="E347" i="3"/>
  <c r="E902" i="3"/>
  <c r="D522" i="3"/>
  <c r="D310" i="3"/>
  <c r="E1898" i="3"/>
  <c r="D24" i="3"/>
  <c r="D1059" i="3"/>
  <c r="E774" i="3"/>
  <c r="E526" i="3"/>
  <c r="D1683" i="3"/>
  <c r="E672" i="3"/>
  <c r="D592" i="3"/>
  <c r="E943" i="3"/>
  <c r="D2293" i="3"/>
  <c r="D635" i="3"/>
  <c r="E74" i="3"/>
  <c r="E785" i="3"/>
  <c r="E297" i="3"/>
  <c r="D957" i="3"/>
  <c r="E971" i="3"/>
  <c r="D519" i="3"/>
  <c r="E234" i="3"/>
  <c r="D934" i="3"/>
  <c r="E1089" i="3"/>
  <c r="D83" i="3"/>
  <c r="D518" i="3"/>
  <c r="E233" i="3"/>
  <c r="D417" i="3"/>
  <c r="D1910" i="3"/>
  <c r="E2068" i="3"/>
  <c r="E1008" i="3"/>
  <c r="E196" i="3"/>
  <c r="D260" i="3"/>
  <c r="D1138" i="3"/>
  <c r="E1301" i="3"/>
  <c r="E732" i="3"/>
  <c r="D652" i="3"/>
  <c r="E1003" i="3"/>
  <c r="D2353" i="3"/>
  <c r="E1019" i="3"/>
  <c r="D567" i="3"/>
  <c r="E282" i="3"/>
  <c r="E34" i="3"/>
  <c r="E1157" i="3"/>
  <c r="D1272" i="3"/>
  <c r="E1107" i="3"/>
  <c r="E163" i="3"/>
  <c r="D1513" i="3"/>
  <c r="E1527" i="3"/>
  <c r="E192" i="3"/>
  <c r="D112" i="3"/>
  <c r="E463" i="3"/>
  <c r="D1813" i="3"/>
  <c r="E1068" i="3"/>
  <c r="E256" i="3"/>
  <c r="D320" i="3"/>
  <c r="D1215" i="3"/>
  <c r="D1308" i="3"/>
  <c r="E1143" i="3"/>
  <c r="E199" i="3"/>
  <c r="D1549" i="3"/>
  <c r="D755" i="3"/>
  <c r="E194" i="3"/>
  <c r="E905" i="3"/>
  <c r="E417" i="3"/>
  <c r="D565" i="3"/>
  <c r="D77" i="3"/>
  <c r="D932" i="3"/>
  <c r="E1849" i="3"/>
  <c r="D203" i="3"/>
  <c r="D638" i="3"/>
  <c r="E353" i="3"/>
  <c r="D537" i="3"/>
  <c r="D2030" i="3"/>
  <c r="D492" i="3"/>
  <c r="E327" i="3"/>
  <c r="D319" i="3"/>
  <c r="E994" i="3"/>
  <c r="D1091" i="3"/>
  <c r="E530" i="3"/>
  <c r="D150" i="3"/>
  <c r="E753" i="3"/>
  <c r="E1526" i="3"/>
  <c r="D325" i="3"/>
  <c r="E628" i="3"/>
  <c r="D692" i="3"/>
  <c r="E1609" i="3"/>
  <c r="E1151" i="3"/>
  <c r="D699" i="3"/>
  <c r="E414" i="3"/>
  <c r="E166" i="3"/>
  <c r="D252" i="3"/>
  <c r="E87" i="3"/>
  <c r="D79" i="3"/>
  <c r="E754" i="3"/>
  <c r="D1911" i="3"/>
  <c r="E229" i="3"/>
  <c r="D449" i="3"/>
  <c r="E200" i="3"/>
  <c r="D2379" i="3"/>
  <c r="E2010" i="3"/>
  <c r="D918" i="3"/>
  <c r="D1548" i="3"/>
  <c r="E2349" i="3"/>
  <c r="E1576" i="3"/>
  <c r="D1446" i="3"/>
  <c r="D1834" i="3"/>
  <c r="D2646" i="3"/>
  <c r="E2960" i="3"/>
  <c r="E1924" i="3"/>
  <c r="E1747" i="3"/>
  <c r="D2134" i="3"/>
  <c r="D2946" i="3"/>
  <c r="E2151" i="3"/>
  <c r="E1304" i="3"/>
  <c r="E1665" i="3"/>
  <c r="D2160" i="3"/>
  <c r="E1647" i="3"/>
  <c r="D1140" i="3"/>
  <c r="E975" i="3"/>
  <c r="E31" i="3"/>
  <c r="E1376" i="3"/>
  <c r="E623" i="3"/>
  <c r="D171" i="3"/>
  <c r="D798" i="3"/>
  <c r="D586" i="3"/>
  <c r="E2174" i="3"/>
  <c r="E635" i="3"/>
  <c r="D183" i="3"/>
  <c r="D810" i="3"/>
  <c r="D598" i="3"/>
  <c r="E2186" i="3"/>
  <c r="D312" i="3"/>
  <c r="E147" i="3"/>
  <c r="D139" i="3"/>
  <c r="E814" i="3"/>
  <c r="D1971" i="3"/>
  <c r="E960" i="3"/>
  <c r="E148" i="3"/>
  <c r="D212" i="3"/>
  <c r="D1069" i="3"/>
  <c r="D923" i="3"/>
  <c r="E362" i="3"/>
  <c r="E1073" i="3"/>
  <c r="E585" i="3"/>
  <c r="D1352" i="3"/>
  <c r="E1259" i="3"/>
  <c r="D807" i="3"/>
  <c r="E522" i="3"/>
  <c r="E274" i="3"/>
  <c r="D1429" i="3"/>
  <c r="D371" i="3"/>
  <c r="D806" i="3"/>
  <c r="E521" i="3"/>
  <c r="E33" i="3"/>
  <c r="D2198" i="3"/>
  <c r="D964" i="3"/>
  <c r="D181" i="3"/>
  <c r="E484" i="3"/>
  <c r="D548" i="3"/>
  <c r="D1465" i="3"/>
  <c r="D1600" i="3"/>
  <c r="E1020" i="3"/>
  <c r="E208" i="3"/>
  <c r="D272" i="3"/>
  <c r="E1154" i="3"/>
  <c r="E1307" i="3"/>
  <c r="D855" i="3"/>
  <c r="E570" i="3"/>
  <c r="E322" i="3"/>
  <c r="D1479" i="3"/>
  <c r="E180" i="3"/>
  <c r="D100" i="3"/>
  <c r="E48" i="3"/>
  <c r="E1263" i="3"/>
  <c r="E319" i="3"/>
  <c r="D1669" i="3"/>
  <c r="E911" i="3"/>
  <c r="D459" i="3"/>
  <c r="E174" i="3"/>
  <c r="D874" i="3"/>
  <c r="D985" i="3"/>
  <c r="E923" i="3"/>
  <c r="D471" i="3"/>
  <c r="E186" i="3"/>
  <c r="D886" i="3"/>
  <c r="E1009" i="3"/>
  <c r="D600" i="3"/>
  <c r="E435" i="3"/>
  <c r="D427" i="3"/>
  <c r="E1102" i="3"/>
  <c r="D2259" i="3"/>
  <c r="D133" i="3"/>
  <c r="E436" i="3"/>
  <c r="D500" i="3"/>
  <c r="E1414" i="3"/>
  <c r="E95" i="3"/>
  <c r="E650" i="3"/>
  <c r="D270" i="3"/>
  <c r="D58" i="3"/>
  <c r="E1646" i="3"/>
  <c r="D60" i="3"/>
  <c r="D1095" i="3"/>
  <c r="E810" i="3"/>
  <c r="E562" i="3"/>
  <c r="D1719" i="3"/>
  <c r="D659" i="3"/>
  <c r="E98" i="3"/>
  <c r="E809" i="3"/>
  <c r="E321" i="3"/>
  <c r="D1009" i="3"/>
  <c r="E1354" i="3"/>
  <c r="D469" i="3"/>
  <c r="E772" i="3"/>
  <c r="D836" i="3"/>
  <c r="E1753" i="3"/>
  <c r="D1888" i="3"/>
  <c r="D193" i="3"/>
  <c r="E496" i="3"/>
  <c r="D560" i="3"/>
  <c r="E1477" i="3"/>
  <c r="D108" i="3"/>
  <c r="D1143" i="3"/>
  <c r="E858" i="3"/>
  <c r="E610" i="3"/>
  <c r="D1767" i="3"/>
  <c r="E468" i="3"/>
  <c r="D388" i="3"/>
  <c r="E739" i="3"/>
  <c r="D2089" i="3"/>
  <c r="E2103" i="3"/>
  <c r="E768" i="3"/>
  <c r="D688" i="3"/>
  <c r="D2389" i="3"/>
  <c r="D529" i="3"/>
  <c r="D41" i="3"/>
  <c r="D896" i="3"/>
  <c r="E1813" i="3"/>
  <c r="E504" i="3"/>
  <c r="D424" i="3"/>
  <c r="E775" i="3"/>
  <c r="D2125" i="3"/>
  <c r="E215" i="3"/>
  <c r="E770" i="3"/>
  <c r="D390" i="3"/>
  <c r="D178" i="3"/>
  <c r="E336" i="3"/>
  <c r="D256" i="3"/>
  <c r="E607" i="3"/>
  <c r="D1957" i="3"/>
  <c r="E1199" i="3"/>
  <c r="D747" i="3"/>
  <c r="E462" i="3"/>
  <c r="E214" i="3"/>
  <c r="E1365" i="3"/>
  <c r="E1211" i="3"/>
  <c r="D759" i="3"/>
  <c r="E474" i="3"/>
  <c r="E226" i="3"/>
  <c r="E1378" i="3"/>
  <c r="D888" i="3"/>
  <c r="E723" i="3"/>
  <c r="D715" i="3"/>
  <c r="D1066" i="3"/>
  <c r="D1090" i="3"/>
  <c r="D421" i="3"/>
  <c r="E724" i="3"/>
  <c r="D788" i="3"/>
  <c r="E1705" i="3"/>
  <c r="E383" i="3"/>
  <c r="E938" i="3"/>
  <c r="D558" i="3"/>
  <c r="D346" i="3"/>
  <c r="E1934" i="3"/>
  <c r="D348" i="3"/>
  <c r="E183" i="3"/>
  <c r="D175" i="3"/>
  <c r="E850" i="3"/>
  <c r="D2007" i="3"/>
  <c r="D947" i="3"/>
  <c r="E386" i="3"/>
  <c r="E609" i="3"/>
  <c r="D1378" i="3"/>
  <c r="D1649" i="3"/>
  <c r="E49" i="3"/>
  <c r="D269" i="3"/>
  <c r="E2041" i="3"/>
  <c r="D2176" i="3"/>
  <c r="D481" i="3"/>
  <c r="D848" i="3"/>
  <c r="E1765" i="3"/>
  <c r="D396" i="3"/>
  <c r="E231" i="3"/>
  <c r="D223" i="3"/>
  <c r="E898" i="3"/>
  <c r="D2055" i="3"/>
  <c r="E756" i="3"/>
  <c r="D676" i="3"/>
  <c r="D2377" i="3"/>
  <c r="D933" i="3"/>
  <c r="E1056" i="3"/>
  <c r="E244" i="3"/>
  <c r="D308" i="3"/>
  <c r="D1201" i="3"/>
  <c r="E109" i="3"/>
  <c r="D329" i="3"/>
  <c r="E80" i="3"/>
  <c r="E2101" i="3"/>
  <c r="E792" i="3"/>
  <c r="D712" i="3"/>
  <c r="D44" i="3"/>
  <c r="D2413" i="3"/>
  <c r="E503" i="3"/>
  <c r="D51" i="3"/>
  <c r="D678" i="3"/>
  <c r="D466" i="3"/>
  <c r="D50" i="3"/>
  <c r="D941" i="3"/>
  <c r="E692" i="3"/>
  <c r="E1440" i="3"/>
  <c r="D1067" i="3"/>
  <c r="E506" i="3"/>
  <c r="D126" i="3"/>
  <c r="E729" i="3"/>
  <c r="E1502" i="3"/>
  <c r="D1356" i="3"/>
  <c r="E1191" i="3"/>
  <c r="E247" i="3"/>
  <c r="D1597" i="3"/>
  <c r="E624" i="3"/>
  <c r="D544" i="3"/>
  <c r="E895" i="3"/>
  <c r="D2245" i="3"/>
  <c r="D1035" i="3"/>
  <c r="E750" i="3"/>
  <c r="E502" i="3"/>
  <c r="D1659" i="3"/>
  <c r="D1047" i="3"/>
  <c r="E762" i="3"/>
  <c r="E514" i="3"/>
  <c r="D1671" i="3"/>
  <c r="D1176" i="3"/>
  <c r="E1011" i="3"/>
  <c r="E67" i="3"/>
  <c r="D1414" i="3"/>
  <c r="E1429" i="3"/>
  <c r="D221" i="3"/>
  <c r="D1076" i="3"/>
  <c r="E1993" i="3"/>
  <c r="E671" i="3"/>
  <c r="D219" i="3"/>
  <c r="D846" i="3"/>
  <c r="D634" i="3"/>
  <c r="E2222" i="3"/>
  <c r="D636" i="3"/>
  <c r="E471" i="3"/>
  <c r="D463" i="3"/>
  <c r="E1138" i="3"/>
  <c r="D2295" i="3"/>
  <c r="E119" i="3"/>
  <c r="E674" i="3"/>
  <c r="D294" i="3"/>
  <c r="D82" i="3"/>
  <c r="E1670" i="3"/>
  <c r="D1937" i="3"/>
  <c r="E337" i="3"/>
  <c r="D557" i="3"/>
  <c r="E308" i="3"/>
  <c r="D930" i="3"/>
  <c r="E1189" i="3"/>
  <c r="E61" i="3"/>
  <c r="D281" i="3"/>
  <c r="E32" i="3"/>
  <c r="E2053" i="3"/>
  <c r="D684" i="3"/>
  <c r="E519" i="3"/>
  <c r="D511" i="3"/>
  <c r="E1186" i="3"/>
  <c r="D2343" i="3"/>
  <c r="E1044" i="3"/>
  <c r="E232" i="3"/>
  <c r="D296" i="3"/>
  <c r="D1185" i="3"/>
  <c r="E1340" i="3"/>
  <c r="D229" i="3"/>
  <c r="E532" i="3"/>
  <c r="D596" i="3"/>
  <c r="E1513" i="3"/>
  <c r="E397" i="3"/>
  <c r="D617" i="3"/>
  <c r="E368" i="3"/>
  <c r="E1048" i="3"/>
  <c r="E1080" i="3"/>
  <c r="E268" i="3"/>
  <c r="D332" i="3"/>
  <c r="E1229" i="3"/>
  <c r="E791" i="3"/>
  <c r="D339" i="3"/>
  <c r="E54" i="3"/>
  <c r="D754" i="3"/>
  <c r="D338" i="3"/>
  <c r="E53" i="3"/>
  <c r="D237" i="3"/>
  <c r="D1730" i="3"/>
  <c r="E239" i="3"/>
  <c r="E794" i="3"/>
  <c r="D414" i="3"/>
  <c r="D202" i="3"/>
  <c r="E1790" i="3"/>
  <c r="E264" i="3"/>
  <c r="D184" i="3"/>
  <c r="E535" i="3"/>
  <c r="D1885" i="3"/>
  <c r="E1127" i="3"/>
  <c r="D675" i="3"/>
  <c r="E390" i="3"/>
  <c r="E142" i="3"/>
  <c r="D1287" i="3"/>
  <c r="E912" i="3"/>
  <c r="E100" i="3"/>
  <c r="D164" i="3"/>
  <c r="D981" i="3"/>
  <c r="D288" i="3"/>
  <c r="E123" i="3"/>
  <c r="D115" i="3"/>
  <c r="E790" i="3"/>
  <c r="D1947" i="3"/>
  <c r="D300" i="3"/>
  <c r="E135" i="3"/>
  <c r="D127" i="3"/>
  <c r="E802" i="3"/>
  <c r="D1959" i="3"/>
  <c r="E84" i="3"/>
  <c r="E355" i="3"/>
  <c r="D1705" i="3"/>
  <c r="E1719" i="3"/>
  <c r="E289" i="3"/>
  <c r="D509" i="3"/>
  <c r="E260" i="3"/>
  <c r="E764" i="3"/>
  <c r="E959" i="3"/>
  <c r="D507" i="3"/>
  <c r="E222" i="3"/>
  <c r="D922" i="3"/>
  <c r="E1070" i="3"/>
  <c r="D924" i="3"/>
  <c r="E759" i="3"/>
  <c r="D751" i="3"/>
  <c r="E1122" i="3"/>
  <c r="E1141" i="3"/>
  <c r="E407" i="3"/>
  <c r="E962" i="3"/>
  <c r="D582" i="3"/>
  <c r="D370" i="3"/>
  <c r="E1958" i="3"/>
  <c r="E1094" i="3"/>
  <c r="E625" i="3"/>
  <c r="D845" i="3"/>
  <c r="E596" i="3"/>
  <c r="E1338" i="3"/>
  <c r="E1504" i="3"/>
  <c r="E349" i="3"/>
  <c r="D569" i="3"/>
  <c r="E320" i="3"/>
  <c r="E956" i="3"/>
  <c r="D972" i="3"/>
  <c r="E807" i="3"/>
  <c r="D799" i="3"/>
  <c r="E1184" i="3"/>
  <c r="D1203" i="3"/>
  <c r="D217" i="3"/>
  <c r="E520" i="3"/>
  <c r="D584" i="3"/>
  <c r="E1501" i="3"/>
  <c r="D1636" i="3"/>
  <c r="D517" i="3"/>
  <c r="D29" i="3"/>
  <c r="D884" i="3"/>
  <c r="E1801" i="3"/>
  <c r="D905" i="3"/>
  <c r="E656" i="3"/>
  <c r="E1402" i="3"/>
  <c r="D253" i="3"/>
  <c r="E556" i="3"/>
  <c r="D620" i="3"/>
  <c r="E1537" i="3"/>
  <c r="E1079" i="3"/>
  <c r="D627" i="3"/>
  <c r="E342" i="3"/>
  <c r="D191" i="3"/>
  <c r="D626" i="3"/>
  <c r="E341" i="3"/>
  <c r="D525" i="3"/>
  <c r="D2018" i="3"/>
  <c r="D85" i="3"/>
  <c r="E388" i="3"/>
  <c r="D452" i="3"/>
  <c r="D1364" i="3"/>
  <c r="D576" i="3"/>
  <c r="E411" i="3"/>
  <c r="D403" i="3"/>
  <c r="E1078" i="3"/>
  <c r="D2235" i="3"/>
  <c r="D588" i="3"/>
  <c r="E423" i="3"/>
  <c r="D415" i="3"/>
  <c r="E1090" i="3"/>
  <c r="D2247" i="3"/>
  <c r="E372" i="3"/>
  <c r="D292" i="3"/>
  <c r="E643" i="3"/>
  <c r="D1993" i="3"/>
  <c r="E2007" i="3"/>
  <c r="E577" i="3"/>
  <c r="D797" i="3"/>
  <c r="E548" i="3"/>
  <c r="D1286" i="3"/>
  <c r="E1247" i="3"/>
  <c r="D795" i="3"/>
  <c r="E510" i="3"/>
  <c r="E262" i="3"/>
  <c r="E1416" i="3"/>
  <c r="D1212" i="3"/>
  <c r="E1047" i="3"/>
  <c r="E103" i="3"/>
  <c r="D1452" i="3"/>
  <c r="D1467" i="3"/>
  <c r="E695" i="3"/>
  <c r="D243" i="3"/>
  <c r="D870" i="3"/>
  <c r="D658" i="3"/>
  <c r="E2246" i="3"/>
  <c r="E1431" i="3"/>
  <c r="D242" i="3"/>
  <c r="D1133" i="3"/>
  <c r="D141" i="3"/>
  <c r="D1634" i="3"/>
  <c r="E1792" i="3"/>
  <c r="E637" i="3"/>
  <c r="D857" i="3"/>
  <c r="E608" i="3"/>
  <c r="E1351" i="3"/>
  <c r="D1260" i="3"/>
  <c r="E1095" i="3"/>
  <c r="E151" i="3"/>
  <c r="D1501" i="3"/>
  <c r="E1515" i="3"/>
  <c r="D505" i="3"/>
  <c r="D872" i="3"/>
  <c r="E1789" i="3"/>
  <c r="D1924" i="3"/>
  <c r="E97" i="3"/>
  <c r="D317" i="3"/>
  <c r="E68" i="3"/>
  <c r="E2089" i="3"/>
  <c r="D302" i="3"/>
  <c r="D201" i="3"/>
  <c r="D1694" i="3"/>
  <c r="D541" i="3"/>
  <c r="D53" i="3"/>
  <c r="D908" i="3"/>
  <c r="E1825" i="3"/>
  <c r="E1367" i="3"/>
  <c r="D915" i="3"/>
  <c r="E630" i="3"/>
  <c r="D479" i="3"/>
  <c r="D914" i="3"/>
  <c r="E629" i="3"/>
  <c r="E141" i="3"/>
  <c r="D2306" i="3"/>
  <c r="E815" i="3"/>
  <c r="D363" i="3"/>
  <c r="E78" i="3"/>
  <c r="D778" i="3"/>
  <c r="E2366" i="3"/>
  <c r="E840" i="3"/>
  <c r="E28" i="3"/>
  <c r="D92" i="3"/>
  <c r="D760" i="3"/>
  <c r="D216" i="3"/>
  <c r="E51" i="3"/>
  <c r="D43" i="3"/>
  <c r="D373" i="3"/>
  <c r="E676" i="3"/>
  <c r="D740" i="3"/>
  <c r="E1657" i="3"/>
  <c r="D864" i="3"/>
  <c r="E699" i="3"/>
  <c r="D691" i="3"/>
  <c r="E1026" i="3"/>
  <c r="D1051" i="3"/>
  <c r="D876" i="3"/>
  <c r="E711" i="3"/>
  <c r="D703" i="3"/>
  <c r="E1046" i="3"/>
  <c r="D1072" i="3"/>
  <c r="E660" i="3"/>
  <c r="D580" i="3"/>
  <c r="E931" i="3"/>
  <c r="D2281" i="3"/>
  <c r="E2295" i="3"/>
  <c r="D194" i="3"/>
  <c r="D1085" i="3"/>
  <c r="D93" i="3"/>
  <c r="D1586" i="3"/>
  <c r="D48" i="3"/>
  <c r="D1083" i="3"/>
  <c r="E798" i="3"/>
  <c r="E550" i="3"/>
  <c r="D1707" i="3"/>
  <c r="E120" i="3"/>
  <c r="D40" i="3"/>
  <c r="E391" i="3"/>
  <c r="D1741" i="3"/>
  <c r="E1755" i="3"/>
  <c r="E983" i="3"/>
  <c r="D531" i="3"/>
  <c r="E246" i="3"/>
  <c r="E1109" i="3"/>
  <c r="D95" i="3"/>
  <c r="D530" i="3"/>
  <c r="E245" i="3"/>
  <c r="D429" i="3"/>
  <c r="D1922" i="3"/>
  <c r="E2080" i="3"/>
  <c r="D254" i="3"/>
  <c r="D1145" i="3"/>
  <c r="D153" i="3"/>
  <c r="D1646" i="3"/>
  <c r="E168" i="3"/>
  <c r="D88" i="3"/>
  <c r="E439" i="3"/>
  <c r="D1789" i="3"/>
  <c r="E1803" i="3"/>
  <c r="E85" i="3"/>
  <c r="D305" i="3"/>
  <c r="E56" i="3"/>
  <c r="E2077" i="3"/>
  <c r="D2212" i="3"/>
  <c r="E385" i="3"/>
  <c r="D605" i="3"/>
  <c r="E356" i="3"/>
  <c r="D155" i="3"/>
  <c r="D590" i="3"/>
  <c r="E305" i="3"/>
  <c r="D489" i="3"/>
  <c r="D1982" i="3"/>
  <c r="E121" i="3"/>
  <c r="D341" i="3"/>
  <c r="E92" i="3"/>
  <c r="E2113" i="3"/>
  <c r="D168" i="3"/>
  <c r="D767" i="3"/>
  <c r="E206" i="3"/>
  <c r="E917" i="3"/>
  <c r="D661" i="3"/>
  <c r="D173" i="3"/>
  <c r="D1028" i="3"/>
  <c r="E1945" i="3"/>
  <c r="D1152" i="3"/>
  <c r="E987" i="3"/>
  <c r="E43" i="3"/>
  <c r="D1389" i="3"/>
  <c r="E1404" i="3"/>
  <c r="D1164" i="3"/>
  <c r="E999" i="3"/>
  <c r="E55" i="3"/>
  <c r="E1401" i="3"/>
  <c r="D1417" i="3"/>
  <c r="E948" i="3"/>
  <c r="E136" i="3"/>
  <c r="D200" i="3"/>
  <c r="D1048" i="3"/>
  <c r="D47" i="3"/>
  <c r="D482" i="3"/>
  <c r="E197" i="3"/>
  <c r="D381" i="3"/>
  <c r="D1874" i="3"/>
  <c r="D336" i="3"/>
  <c r="E171" i="3"/>
  <c r="D163" i="3"/>
  <c r="E838" i="3"/>
  <c r="D1995" i="3"/>
  <c r="E408" i="3"/>
  <c r="D328" i="3"/>
  <c r="E679" i="3"/>
  <c r="D2029" i="3"/>
  <c r="E2043" i="3"/>
  <c r="E1271" i="3"/>
  <c r="D819" i="3"/>
  <c r="E534" i="3"/>
  <c r="E286" i="3"/>
  <c r="E1441" i="3"/>
  <c r="D383" i="3"/>
  <c r="D818" i="3"/>
  <c r="E533" i="3"/>
  <c r="E45" i="3"/>
  <c r="D2210" i="3"/>
  <c r="D107" i="3"/>
  <c r="D542" i="3"/>
  <c r="E257" i="3"/>
  <c r="D441" i="3"/>
  <c r="D1934" i="3"/>
  <c r="E456" i="3"/>
  <c r="D376" i="3"/>
  <c r="E727" i="3"/>
  <c r="D2077" i="3"/>
  <c r="E2091" i="3"/>
  <c r="E373" i="3"/>
  <c r="D593" i="3"/>
  <c r="E344" i="3"/>
  <c r="D1006" i="3"/>
  <c r="E1232" i="3"/>
  <c r="D893" i="3"/>
  <c r="E644" i="3"/>
  <c r="D443" i="3"/>
  <c r="D878" i="3"/>
  <c r="E593" i="3"/>
  <c r="E105" i="3"/>
  <c r="D2270" i="3"/>
  <c r="E409" i="3"/>
  <c r="D629" i="3"/>
  <c r="E380" i="3"/>
  <c r="E1069" i="3"/>
  <c r="D456" i="3"/>
  <c r="E291" i="3"/>
  <c r="D283" i="3"/>
  <c r="D1055" i="3"/>
  <c r="E494" i="3"/>
  <c r="D114" i="3"/>
  <c r="E717" i="3"/>
  <c r="E1490" i="3"/>
  <c r="E1391" i="3"/>
  <c r="E241" i="3"/>
  <c r="D461" i="3"/>
  <c r="E212" i="3"/>
  <c r="E2233" i="3"/>
  <c r="E60" i="3"/>
  <c r="E1275" i="3"/>
  <c r="E331" i="3"/>
  <c r="D1681" i="3"/>
  <c r="E1695" i="3"/>
  <c r="E72" i="3"/>
  <c r="E1287" i="3"/>
  <c r="E343" i="3"/>
  <c r="D1693" i="3"/>
  <c r="E1707" i="3"/>
  <c r="D121" i="3"/>
  <c r="E424" i="3"/>
  <c r="D488" i="3"/>
  <c r="D1402" i="3"/>
  <c r="D335" i="3"/>
  <c r="D770" i="3"/>
  <c r="E485" i="3"/>
  <c r="D2162" i="3"/>
  <c r="D624" i="3"/>
  <c r="E459" i="3"/>
  <c r="D451" i="3"/>
  <c r="E1126" i="3"/>
  <c r="D2283" i="3"/>
  <c r="E696" i="3"/>
  <c r="D616" i="3"/>
  <c r="E967" i="3"/>
  <c r="D2317" i="3"/>
  <c r="D705" i="3"/>
  <c r="D72" i="3"/>
  <c r="D1107" i="3"/>
  <c r="E822" i="3"/>
  <c r="E574" i="3"/>
  <c r="D1731" i="3"/>
  <c r="D671" i="3"/>
  <c r="E110" i="3"/>
  <c r="E821" i="3"/>
  <c r="E333" i="3"/>
  <c r="E1028" i="3"/>
  <c r="D395" i="3"/>
  <c r="D830" i="3"/>
  <c r="E545" i="3"/>
  <c r="E57" i="3"/>
  <c r="D2222" i="3"/>
  <c r="E744" i="3"/>
  <c r="D664" i="3"/>
  <c r="D2365" i="3"/>
  <c r="E901" i="3"/>
  <c r="E661" i="3"/>
  <c r="D881" i="3"/>
  <c r="E632" i="3"/>
  <c r="E1377" i="3"/>
  <c r="E1540" i="3"/>
  <c r="D290" i="3"/>
  <c r="D189" i="3"/>
  <c r="D731" i="3"/>
  <c r="E170" i="3"/>
  <c r="E881" i="3"/>
  <c r="E393" i="3"/>
  <c r="D1124" i="3"/>
  <c r="E451" i="3"/>
  <c r="D1415" i="3"/>
  <c r="D351" i="3"/>
  <c r="E1778" i="3"/>
  <c r="D75" i="3"/>
  <c r="D368" i="3"/>
  <c r="D1851" i="3"/>
  <c r="D951" i="3"/>
  <c r="E716" i="3"/>
  <c r="E551" i="3"/>
  <c r="D196" i="3"/>
  <c r="E152" i="3"/>
  <c r="E2102" i="3"/>
  <c r="D674" i="3"/>
  <c r="D162" i="3"/>
  <c r="D814" i="3"/>
  <c r="D1599" i="3"/>
  <c r="D398" i="3"/>
  <c r="E689" i="3"/>
  <c r="D250" i="3"/>
  <c r="E1451" i="3"/>
  <c r="E663" i="3"/>
  <c r="D1645" i="3"/>
  <c r="D563" i="3"/>
  <c r="E290" i="3"/>
  <c r="D198" i="3"/>
  <c r="D274" i="3"/>
  <c r="E2224" i="3"/>
  <c r="E2299" i="3"/>
  <c r="D1449" i="3"/>
  <c r="E2550" i="3"/>
  <c r="E382" i="3"/>
  <c r="D1113" i="3"/>
  <c r="D2001" i="3"/>
  <c r="D1256" i="3"/>
  <c r="E2365" i="3"/>
  <c r="E2139" i="3"/>
  <c r="D1591" i="3"/>
  <c r="E2229" i="3"/>
  <c r="E1788" i="3"/>
  <c r="E860" i="3"/>
  <c r="E829" i="3"/>
  <c r="E1953" i="3"/>
  <c r="E1512" i="3"/>
  <c r="D1744" i="3"/>
  <c r="D1903" i="3"/>
  <c r="D745" i="3"/>
  <c r="E1524" i="3"/>
  <c r="E1505" i="3"/>
  <c r="D2156" i="3"/>
  <c r="D1120" i="3"/>
  <c r="E3186" i="3"/>
  <c r="E1972" i="3"/>
  <c r="E1795" i="3"/>
  <c r="D2182" i="3"/>
  <c r="D2994" i="3"/>
  <c r="E1529" i="3"/>
  <c r="D2180" i="3"/>
  <c r="D1151" i="3"/>
  <c r="E3210" i="3"/>
  <c r="E2368" i="3"/>
  <c r="E1368" i="3"/>
  <c r="E873" i="3"/>
  <c r="E1240" i="3"/>
  <c r="D3594" i="3"/>
  <c r="D2425" i="3"/>
  <c r="D2058" i="3"/>
  <c r="D1521" i="3"/>
  <c r="E1775" i="3"/>
  <c r="E2247" i="3"/>
  <c r="E1395" i="3"/>
  <c r="E1749" i="3"/>
  <c r="D808" i="3"/>
  <c r="D3068" i="3"/>
  <c r="D1721" i="3"/>
  <c r="E1358" i="3"/>
  <c r="E1582" i="3"/>
  <c r="D1801" i="3"/>
  <c r="E2330" i="3"/>
  <c r="D639" i="3"/>
  <c r="E2066" i="3"/>
  <c r="D651" i="3"/>
  <c r="D656" i="3"/>
  <c r="D2139" i="3"/>
  <c r="E615" i="3"/>
  <c r="D549" i="3"/>
  <c r="E839" i="3"/>
  <c r="D484" i="3"/>
  <c r="E440" i="3"/>
  <c r="D769" i="3"/>
  <c r="D962" i="3"/>
  <c r="D450" i="3"/>
  <c r="E154" i="3"/>
  <c r="D1887" i="3"/>
  <c r="D686" i="3"/>
  <c r="D174" i="3"/>
  <c r="D538" i="3"/>
  <c r="D540" i="3"/>
  <c r="E951" i="3"/>
  <c r="E295" i="3"/>
  <c r="D1933" i="3"/>
  <c r="D851" i="3"/>
  <c r="E578" i="3"/>
  <c r="D486" i="3"/>
  <c r="D562" i="3"/>
  <c r="D1233" i="3"/>
  <c r="D1208" i="3"/>
  <c r="E1738" i="3"/>
  <c r="E2838" i="3"/>
  <c r="D1526" i="3"/>
  <c r="D1445" i="3"/>
  <c r="D2289" i="3"/>
  <c r="D1560" i="3"/>
  <c r="D2672" i="3"/>
  <c r="D1232" i="3"/>
  <c r="D1879" i="3"/>
  <c r="D1254" i="3"/>
  <c r="E2346" i="3"/>
  <c r="E1635" i="3"/>
  <c r="D1603" i="3"/>
  <c r="E2241" i="3"/>
  <c r="E1800" i="3"/>
  <c r="D2116" i="3"/>
  <c r="D2191" i="3"/>
  <c r="D1281" i="3"/>
  <c r="E1812" i="3"/>
  <c r="E1793" i="3"/>
  <c r="D1099" i="3"/>
  <c r="E1449" i="3"/>
  <c r="E3474" i="3"/>
  <c r="D777" i="3"/>
  <c r="E2083" i="3"/>
  <c r="D2470" i="3"/>
  <c r="D3282" i="3"/>
  <c r="E1817" i="3"/>
  <c r="E1132" i="3"/>
  <c r="E1474" i="3"/>
  <c r="E3498" i="3"/>
  <c r="E2673" i="3"/>
  <c r="D1685" i="3"/>
  <c r="E1815" i="3"/>
  <c r="D179" i="3"/>
  <c r="E879" i="3"/>
  <c r="E2354" i="3"/>
  <c r="D939" i="3"/>
  <c r="E128" i="3"/>
  <c r="E817" i="3"/>
  <c r="E903" i="3"/>
  <c r="E165" i="3"/>
  <c r="E1415" i="3"/>
  <c r="E40" i="3"/>
  <c r="D273" i="3"/>
  <c r="D1587" i="3"/>
  <c r="E254" i="3"/>
  <c r="D738" i="3"/>
  <c r="E442" i="3"/>
  <c r="D2175" i="3"/>
  <c r="D974" i="3"/>
  <c r="D462" i="3"/>
  <c r="D826" i="3"/>
  <c r="D828" i="3"/>
  <c r="E1239" i="3"/>
  <c r="E583" i="3"/>
  <c r="D2221" i="3"/>
  <c r="E23" i="3"/>
  <c r="E866" i="3"/>
  <c r="D774" i="3"/>
  <c r="D850" i="3"/>
  <c r="D1565" i="3"/>
  <c r="D1520" i="3"/>
  <c r="E2026" i="3"/>
  <c r="E3126" i="3"/>
  <c r="E1838" i="3"/>
  <c r="E1734" i="3"/>
  <c r="E945" i="3"/>
  <c r="D1848" i="3"/>
  <c r="D2960" i="3"/>
  <c r="D1720" i="3"/>
  <c r="D2167" i="3"/>
  <c r="D1558" i="3"/>
  <c r="D2658" i="3"/>
  <c r="D1246" i="3"/>
  <c r="D1891" i="3"/>
  <c r="E1267" i="3"/>
  <c r="D2363" i="3"/>
  <c r="D1247" i="3"/>
  <c r="D1162" i="3"/>
  <c r="D1582" i="3"/>
  <c r="E2379" i="3"/>
  <c r="E2081" i="3"/>
  <c r="E1434" i="3"/>
  <c r="D1739" i="3"/>
  <c r="E2313" i="3"/>
  <c r="E1315" i="3"/>
  <c r="D789" i="3"/>
  <c r="D1211" i="3"/>
  <c r="D3570" i="3"/>
  <c r="E2105" i="3"/>
  <c r="E1459" i="3"/>
  <c r="D1763" i="3"/>
  <c r="D2348" i="3"/>
  <c r="E2961" i="3"/>
  <c r="D1997" i="3"/>
  <c r="D1616" i="3"/>
  <c r="E1834" i="3"/>
  <c r="E2646" i="3"/>
  <c r="E2318" i="3"/>
  <c r="E1542" i="3"/>
  <c r="D2097" i="3"/>
  <c r="E978" i="3"/>
  <c r="D1840" i="3"/>
  <c r="D1975" i="3"/>
  <c r="E973" i="3"/>
  <c r="E1596" i="3"/>
  <c r="D3644" i="3"/>
  <c r="D1249" i="3"/>
  <c r="D1940" i="3"/>
  <c r="E2158" i="3"/>
  <c r="E2970" i="3"/>
  <c r="D1806" i="3"/>
  <c r="D1253" i="3"/>
  <c r="E1523" i="3"/>
  <c r="D3295" i="3"/>
  <c r="D1530" i="3"/>
  <c r="E2108" i="3"/>
  <c r="D1227" i="3"/>
  <c r="D3019" i="3"/>
  <c r="D1187" i="3"/>
  <c r="E1602" i="3"/>
  <c r="D2157" i="3"/>
  <c r="D1086" i="3"/>
  <c r="D1094" i="3"/>
  <c r="E2191" i="3"/>
  <c r="E920" i="3"/>
  <c r="D3390" i="3"/>
  <c r="D1340" i="3"/>
  <c r="E2202" i="3"/>
  <c r="D1225" i="3"/>
  <c r="D1740" i="3"/>
  <c r="D1353" i="3"/>
  <c r="E2214" i="3"/>
  <c r="E480" i="3"/>
  <c r="D1043" i="3"/>
  <c r="E292" i="3"/>
  <c r="D1245" i="3"/>
  <c r="E27" i="3"/>
  <c r="E704" i="3"/>
  <c r="D1301" i="3"/>
  <c r="D472" i="3"/>
  <c r="E741" i="3"/>
  <c r="D504" i="3"/>
  <c r="E328" i="3"/>
  <c r="E177" i="3"/>
  <c r="D239" i="3"/>
  <c r="E542" i="3"/>
  <c r="E114" i="3"/>
  <c r="E730" i="3"/>
  <c r="D251" i="3"/>
  <c r="E554" i="3"/>
  <c r="D750" i="3"/>
  <c r="E454" i="3"/>
  <c r="D1116" i="3"/>
  <c r="D232" i="3"/>
  <c r="E871" i="3"/>
  <c r="E928" i="3"/>
  <c r="E311" i="3"/>
  <c r="D147" i="3"/>
  <c r="E150" i="3"/>
  <c r="E190" i="3"/>
  <c r="D1877" i="3"/>
  <c r="D1808" i="3"/>
  <c r="E1022" i="3"/>
  <c r="E3414" i="3"/>
  <c r="D1611" i="3"/>
  <c r="E2022" i="3"/>
  <c r="D1347" i="3"/>
  <c r="D2136" i="3"/>
  <c r="D3248" i="3"/>
  <c r="D2080" i="3"/>
  <c r="E1130" i="3"/>
  <c r="D1846" i="3"/>
  <c r="D3234" i="3"/>
  <c r="D1732" i="3"/>
  <c r="D2179" i="3"/>
  <c r="D1570" i="3"/>
  <c r="D2670" i="3"/>
  <c r="E1612" i="3"/>
  <c r="E1483" i="3"/>
  <c r="D1870" i="3"/>
  <c r="D2682" i="3"/>
  <c r="D1096" i="3"/>
  <c r="E1724" i="3"/>
  <c r="D2027" i="3"/>
  <c r="D2635" i="3"/>
  <c r="D1661" i="3"/>
  <c r="E1292" i="3"/>
  <c r="E1522" i="3"/>
  <c r="E2293" i="3"/>
  <c r="D1129" i="3"/>
  <c r="E1748" i="3"/>
  <c r="D2051" i="3"/>
  <c r="D2659" i="3"/>
  <c r="E3249" i="3"/>
  <c r="E1205" i="3"/>
  <c r="D1904" i="3"/>
  <c r="E2122" i="3"/>
  <c r="D400" i="3"/>
  <c r="D744" i="3"/>
  <c r="D365" i="3"/>
  <c r="D1839" i="3"/>
  <c r="E315" i="3"/>
  <c r="E153" i="3"/>
  <c r="D215" i="3"/>
  <c r="E316" i="3"/>
  <c r="D214" i="3"/>
  <c r="D792" i="3"/>
  <c r="E616" i="3"/>
  <c r="D226" i="3"/>
  <c r="D527" i="3"/>
  <c r="E830" i="3"/>
  <c r="E402" i="3"/>
  <c r="E1018" i="3"/>
  <c r="D539" i="3"/>
  <c r="E842" i="3"/>
  <c r="E126" i="3"/>
  <c r="E742" i="3"/>
  <c r="E24" i="3"/>
  <c r="D520" i="3"/>
  <c r="D140" i="3"/>
  <c r="D1338" i="3"/>
  <c r="E599" i="3"/>
  <c r="D435" i="3"/>
  <c r="E438" i="3"/>
  <c r="E478" i="3"/>
  <c r="D1034" i="3"/>
  <c r="D2096" i="3"/>
  <c r="D1387" i="3"/>
  <c r="D2142" i="3"/>
  <c r="D2391" i="3"/>
  <c r="D729" i="3"/>
  <c r="E1641" i="3"/>
  <c r="E1169" i="3"/>
  <c r="D3536" i="3"/>
  <c r="E1204" i="3"/>
  <c r="E1458" i="3"/>
  <c r="D2422" i="3"/>
  <c r="D3522" i="3"/>
  <c r="D2104" i="3"/>
  <c r="D1147" i="3"/>
  <c r="D1858" i="3"/>
  <c r="D2958" i="3"/>
  <c r="E1948" i="3"/>
  <c r="E1771" i="3"/>
  <c r="D2158" i="3"/>
  <c r="D2970" i="3"/>
  <c r="D1432" i="3"/>
  <c r="E2012" i="3"/>
  <c r="D1102" i="3"/>
  <c r="D2923" i="3"/>
  <c r="D1973" i="3"/>
  <c r="D1592" i="3"/>
  <c r="E1810" i="3"/>
  <c r="E2622" i="3"/>
  <c r="D1457" i="3"/>
  <c r="E2036" i="3"/>
  <c r="D1136" i="3"/>
  <c r="D2947" i="3"/>
  <c r="E3537" i="3"/>
  <c r="E1541" i="3"/>
  <c r="D2192" i="3"/>
  <c r="D1168" i="3"/>
  <c r="E3222" i="3"/>
  <c r="E1188" i="3"/>
  <c r="E2118" i="3"/>
  <c r="E1117" i="3"/>
  <c r="D1656" i="3"/>
  <c r="D1328" i="3"/>
  <c r="D1251" i="3"/>
  <c r="D1654" i="3"/>
  <c r="E2461" i="3"/>
  <c r="E2780" i="3"/>
  <c r="E1865" i="3"/>
  <c r="E1194" i="3"/>
  <c r="D1523" i="3"/>
  <c r="D2366" i="3"/>
  <c r="E1277" i="3"/>
  <c r="D1845" i="3"/>
  <c r="E2099" i="3"/>
  <c r="E1549" i="3"/>
  <c r="D784" i="3"/>
  <c r="D1569" i="3"/>
  <c r="E1823" i="3"/>
  <c r="D2463" i="3"/>
  <c r="D1314" i="3"/>
  <c r="E2178" i="3"/>
  <c r="E1195" i="3"/>
  <c r="D1716" i="3"/>
  <c r="D1769" i="3"/>
  <c r="D1409" i="3"/>
  <c r="E1630" i="3"/>
  <c r="E2435" i="3"/>
  <c r="E1010" i="3"/>
  <c r="E1470" i="3"/>
  <c r="E1821" i="3"/>
  <c r="E1004" i="3"/>
  <c r="D1030" i="3"/>
  <c r="D1483" i="3"/>
  <c r="E1833" i="3"/>
  <c r="E751" i="3"/>
  <c r="D553" i="3"/>
  <c r="D653" i="3"/>
  <c r="D1288" i="3"/>
  <c r="E603" i="3"/>
  <c r="E441" i="3"/>
  <c r="D503" i="3"/>
  <c r="E604" i="3"/>
  <c r="D790" i="3"/>
  <c r="D1080" i="3"/>
  <c r="D113" i="3"/>
  <c r="D514" i="3"/>
  <c r="D815" i="3"/>
  <c r="D111" i="3"/>
  <c r="E690" i="3"/>
  <c r="D892" i="3"/>
  <c r="D123" i="3"/>
  <c r="E702" i="3"/>
  <c r="E1030" i="3"/>
  <c r="E312" i="3"/>
  <c r="E76" i="3"/>
  <c r="D428" i="3"/>
  <c r="E1633" i="3"/>
  <c r="E887" i="3"/>
  <c r="D723" i="3"/>
  <c r="E726" i="3"/>
  <c r="E766" i="3"/>
  <c r="D1444" i="3"/>
  <c r="D997" i="3"/>
  <c r="D1679" i="3"/>
  <c r="D2575" i="3"/>
  <c r="E1611" i="3"/>
  <c r="D1278" i="3"/>
  <c r="E1929" i="3"/>
  <c r="E1488" i="3"/>
  <c r="E2367" i="3"/>
  <c r="E1588" i="3"/>
  <c r="E2035" i="3"/>
  <c r="D1150" i="3"/>
  <c r="D2141" i="3"/>
  <c r="E1218" i="3"/>
  <c r="D1471" i="3"/>
  <c r="D2146" i="3"/>
  <c r="D3246" i="3"/>
  <c r="E2272" i="3"/>
  <c r="E2059" i="3"/>
  <c r="D2446" i="3"/>
  <c r="D3258" i="3"/>
  <c r="D1722" i="3"/>
  <c r="E1148" i="3"/>
  <c r="E1437" i="3"/>
  <c r="D3211" i="3"/>
  <c r="D1175" i="3"/>
  <c r="D1880" i="3"/>
  <c r="E2098" i="3"/>
  <c r="E2910" i="3"/>
  <c r="D1746" i="3"/>
  <c r="E1180" i="3"/>
  <c r="E1462" i="3"/>
  <c r="D3235" i="3"/>
  <c r="E2317" i="3"/>
  <c r="E1829" i="3"/>
  <c r="D1148" i="3"/>
  <c r="D1487" i="3"/>
  <c r="E3510" i="3"/>
  <c r="E1791" i="3"/>
  <c r="E1015" i="3"/>
  <c r="D1448" i="3"/>
  <c r="D2101" i="3"/>
  <c r="D614" i="3"/>
  <c r="D402" i="3"/>
  <c r="E2163" i="3"/>
  <c r="E891" i="3"/>
  <c r="D490" i="3"/>
  <c r="D1079" i="3"/>
  <c r="D101" i="3"/>
  <c r="E418" i="3"/>
  <c r="D1368" i="3"/>
  <c r="D401" i="3"/>
  <c r="D802" i="3"/>
  <c r="D1103" i="3"/>
  <c r="D399" i="3"/>
  <c r="D55" i="3"/>
  <c r="E1324" i="3"/>
  <c r="E287" i="3"/>
  <c r="D411" i="3"/>
  <c r="D67" i="3"/>
  <c r="D928" i="3"/>
  <c r="E600" i="3"/>
  <c r="E364" i="3"/>
  <c r="D716" i="3"/>
  <c r="E1921" i="3"/>
  <c r="E1175" i="3"/>
  <c r="D1011" i="3"/>
  <c r="D91" i="3"/>
  <c r="E1054" i="3"/>
  <c r="E1733" i="3"/>
  <c r="D1372" i="3"/>
  <c r="D1967" i="3"/>
  <c r="D2863" i="3"/>
  <c r="E2127" i="3"/>
  <c r="D1579" i="3"/>
  <c r="E2217" i="3"/>
  <c r="E1776" i="3"/>
  <c r="E2672" i="3"/>
  <c r="E2248" i="3"/>
  <c r="E2323" i="3"/>
  <c r="D1474" i="3"/>
  <c r="E2574" i="3"/>
  <c r="E1600" i="3"/>
  <c r="E1759" i="3"/>
  <c r="D2434" i="3"/>
  <c r="D3534" i="3"/>
  <c r="E1289" i="3"/>
  <c r="E2347" i="3"/>
  <c r="D1182" i="3"/>
  <c r="D1257" i="3"/>
  <c r="D2010" i="3"/>
  <c r="E1472" i="3"/>
  <c r="E1727" i="3"/>
  <c r="E2348" i="3"/>
  <c r="E1517" i="3"/>
  <c r="D2168" i="3"/>
  <c r="E1135" i="3"/>
  <c r="D1849" i="3"/>
  <c r="D2034" i="3"/>
  <c r="D1497" i="3"/>
  <c r="E1751" i="3"/>
  <c r="D2381" i="3"/>
  <c r="D2638" i="3"/>
  <c r="E2117" i="3"/>
  <c r="D1472" i="3"/>
  <c r="D1775" i="3"/>
  <c r="D2364" i="3"/>
  <c r="E2235" i="3"/>
  <c r="D1383" i="3"/>
  <c r="E1737" i="3"/>
  <c r="D757" i="3"/>
  <c r="E2020" i="3"/>
  <c r="E1843" i="3"/>
  <c r="D2230" i="3"/>
  <c r="D3042" i="3"/>
  <c r="E3356" i="3"/>
  <c r="D1192" i="3"/>
  <c r="E1796" i="3"/>
  <c r="D2099" i="3"/>
  <c r="D1935" i="3"/>
  <c r="E1866" i="3"/>
  <c r="D2421" i="3"/>
  <c r="E1400" i="3"/>
  <c r="E957" i="3"/>
  <c r="E1590" i="3"/>
  <c r="D2145" i="3"/>
  <c r="D1065" i="3"/>
  <c r="E3043" i="3"/>
  <c r="D961" i="3"/>
  <c r="E1445" i="3"/>
  <c r="E1797" i="3"/>
  <c r="D954" i="3"/>
  <c r="D1303" i="3"/>
  <c r="D241" i="3"/>
  <c r="E482" i="3"/>
  <c r="D690" i="3"/>
  <c r="D1405" i="3"/>
  <c r="D172" i="3"/>
  <c r="E118" i="3"/>
  <c r="E251" i="3"/>
  <c r="D389" i="3"/>
  <c r="E808" i="3"/>
  <c r="E276" i="3"/>
  <c r="D689" i="3"/>
  <c r="E430" i="3"/>
  <c r="E275" i="3"/>
  <c r="D687" i="3"/>
  <c r="D343" i="3"/>
  <c r="D1909" i="3"/>
  <c r="E575" i="3"/>
  <c r="D987" i="3"/>
  <c r="D355" i="3"/>
  <c r="E1337" i="3"/>
  <c r="E888" i="3"/>
  <c r="E652" i="3"/>
  <c r="D1004" i="3"/>
  <c r="E2209" i="3"/>
  <c r="E1463" i="3"/>
  <c r="E99" i="3"/>
  <c r="D379" i="3"/>
  <c r="E980" i="3"/>
  <c r="E2021" i="3"/>
  <c r="E1664" i="3"/>
  <c r="E1002" i="3"/>
  <c r="D3151" i="3"/>
  <c r="D1189" i="3"/>
  <c r="D1867" i="3"/>
  <c r="D1240" i="3"/>
  <c r="E2329" i="3"/>
  <c r="E3248" i="3"/>
  <c r="D1262" i="3"/>
  <c r="E1237" i="3"/>
  <c r="E1762" i="3"/>
  <c r="E2862" i="3"/>
  <c r="E1936" i="3"/>
  <c r="E2047" i="3"/>
  <c r="E1166" i="3"/>
  <c r="D2202" i="3"/>
  <c r="D1613" i="3"/>
  <c r="E1265" i="3"/>
  <c r="E1498" i="3"/>
  <c r="D1814" i="3"/>
  <c r="D1177" i="3"/>
  <c r="D1761" i="3"/>
  <c r="E2015" i="3"/>
  <c r="E2659" i="3"/>
  <c r="E1805" i="3"/>
  <c r="E1116" i="3"/>
  <c r="D1462" i="3"/>
  <c r="D2006" i="3"/>
  <c r="E1206" i="3"/>
  <c r="D1785" i="3"/>
  <c r="E2039" i="3"/>
  <c r="E2683" i="3"/>
  <c r="D2926" i="3"/>
  <c r="E1145" i="3"/>
  <c r="E1760" i="3"/>
  <c r="D2063" i="3"/>
  <c r="D2671" i="3"/>
  <c r="E1417" i="3"/>
  <c r="D1675" i="3"/>
  <c r="E2025" i="3"/>
  <c r="E1284" i="3"/>
  <c r="D990" i="3"/>
  <c r="E2131" i="3"/>
  <c r="D2518" i="3"/>
  <c r="D3330" i="3"/>
  <c r="E2477" i="3"/>
  <c r="D1506" i="3"/>
  <c r="E2084" i="3"/>
  <c r="E1197" i="3"/>
  <c r="E1260" i="3"/>
  <c r="E2154" i="3"/>
  <c r="E1165" i="3"/>
  <c r="D1692" i="3"/>
  <c r="D2043" i="3"/>
  <c r="E1878" i="3"/>
  <c r="D2433" i="3"/>
  <c r="D1413" i="3"/>
  <c r="E3331" i="3"/>
  <c r="D1480" i="3"/>
  <c r="E544" i="3"/>
  <c r="E579" i="3"/>
  <c r="E66" i="3"/>
  <c r="D491" i="3"/>
  <c r="D460" i="3"/>
  <c r="E406" i="3"/>
  <c r="E827" i="3"/>
  <c r="D677" i="3"/>
  <c r="E1298" i="3"/>
  <c r="E564" i="3"/>
  <c r="E89" i="3"/>
  <c r="E718" i="3"/>
  <c r="E563" i="3"/>
  <c r="D975" i="3"/>
  <c r="D631" i="3"/>
  <c r="D2197" i="3"/>
  <c r="E863" i="3"/>
  <c r="E75" i="3"/>
  <c r="D643" i="3"/>
  <c r="D1633" i="3"/>
  <c r="D61" i="3"/>
  <c r="D149" i="3"/>
  <c r="E188" i="3"/>
  <c r="E1201" i="3"/>
  <c r="D264" i="3"/>
  <c r="E387" i="3"/>
  <c r="D667" i="3"/>
  <c r="E1363" i="3"/>
  <c r="D991" i="3"/>
  <c r="E1952" i="3"/>
  <c r="D1375" i="3"/>
  <c r="D2248" i="3"/>
  <c r="D1708" i="3"/>
  <c r="D2155" i="3"/>
  <c r="D1546" i="3"/>
  <c r="D2934" i="3"/>
  <c r="D2351" i="3"/>
  <c r="D1589" i="3"/>
  <c r="D1544" i="3"/>
  <c r="E2050" i="3"/>
  <c r="E3150" i="3"/>
  <c r="E2260" i="3"/>
  <c r="E2335" i="3"/>
  <c r="E1486" i="3"/>
  <c r="E2586" i="3"/>
  <c r="D1949" i="3"/>
  <c r="D1568" i="3"/>
  <c r="E1786" i="3"/>
  <c r="E2054" i="3"/>
  <c r="E1494" i="3"/>
  <c r="D2049" i="3"/>
  <c r="E848" i="3"/>
  <c r="E2947" i="3"/>
  <c r="E2093" i="3"/>
  <c r="D1447" i="3"/>
  <c r="D1751" i="3"/>
  <c r="E2150" i="3"/>
  <c r="E1518" i="3"/>
  <c r="D2073" i="3"/>
  <c r="D925" i="3"/>
  <c r="E2971" i="3"/>
  <c r="D3214" i="3"/>
  <c r="E1469" i="3"/>
  <c r="E2048" i="3"/>
  <c r="E1152" i="3"/>
  <c r="D2959" i="3"/>
  <c r="D1828" i="3"/>
  <c r="D1963" i="3"/>
  <c r="D946" i="3"/>
  <c r="E1584" i="3"/>
  <c r="D608" i="3"/>
  <c r="D65" i="3"/>
  <c r="E354" i="3"/>
  <c r="D779" i="3"/>
  <c r="E304" i="3"/>
  <c r="E694" i="3"/>
  <c r="E1403" i="3"/>
  <c r="D965" i="3"/>
  <c r="D2173" i="3"/>
  <c r="D25" i="3"/>
  <c r="E665" i="3"/>
  <c r="E1006" i="3"/>
  <c r="E851" i="3"/>
  <c r="E63" i="3"/>
  <c r="D919" i="3"/>
  <c r="D853" i="3"/>
  <c r="E1439" i="3"/>
  <c r="E363" i="3"/>
  <c r="D1921" i="3"/>
  <c r="D349" i="3"/>
  <c r="D437" i="3"/>
  <c r="E476" i="3"/>
  <c r="D1514" i="3"/>
  <c r="D552" i="3"/>
  <c r="E675" i="3"/>
  <c r="D1657" i="3"/>
  <c r="E1369" i="3"/>
  <c r="E1060" i="3"/>
  <c r="E1667" i="3"/>
  <c r="E2599" i="3"/>
  <c r="D2068" i="3"/>
  <c r="D1114" i="3"/>
  <c r="D2122" i="3"/>
  <c r="D3222" i="3"/>
  <c r="D2661" i="3"/>
  <c r="D1901" i="3"/>
  <c r="D1832" i="3"/>
  <c r="E1063" i="3"/>
  <c r="E3438" i="3"/>
  <c r="D1276" i="3"/>
  <c r="D1252" i="3"/>
  <c r="E1774" i="3"/>
  <c r="E2874" i="3"/>
  <c r="E1144" i="3"/>
  <c r="D1856" i="3"/>
  <c r="E2074" i="3"/>
  <c r="E1525" i="3"/>
  <c r="E329" i="3"/>
  <c r="D871" i="3"/>
  <c r="E527" i="3"/>
  <c r="E592" i="3"/>
  <c r="E982" i="3"/>
  <c r="D780" i="3"/>
  <c r="E365" i="3"/>
  <c r="E1285" i="3"/>
  <c r="D313" i="3"/>
  <c r="D438" i="3"/>
  <c r="E849" i="3"/>
  <c r="E1139" i="3"/>
  <c r="E351" i="3"/>
  <c r="E559" i="3"/>
  <c r="D1312" i="3"/>
  <c r="D240" i="3"/>
  <c r="E651" i="3"/>
  <c r="E283" i="3"/>
  <c r="D2209" i="3"/>
  <c r="D637" i="3"/>
  <c r="D725" i="3"/>
  <c r="D21" i="3"/>
  <c r="D1802" i="3"/>
  <c r="D840" i="3"/>
  <c r="E963" i="3"/>
  <c r="E307" i="3"/>
  <c r="D1945" i="3"/>
  <c r="D1662" i="3"/>
  <c r="D1410" i="3"/>
  <c r="E1955" i="3"/>
  <c r="E2887" i="3"/>
  <c r="E1142" i="3"/>
  <c r="E1735" i="3"/>
  <c r="D2410" i="3"/>
  <c r="D3510" i="3"/>
  <c r="D2949" i="3"/>
  <c r="D1112" i="3"/>
  <c r="D2120" i="3"/>
  <c r="D1412" i="3"/>
  <c r="E2244" i="3"/>
  <c r="D1601" i="3"/>
  <c r="D1556" i="3"/>
  <c r="E2062" i="3"/>
  <c r="E3162" i="3"/>
  <c r="E1493" i="3"/>
  <c r="D2144" i="3"/>
  <c r="E1101" i="3"/>
  <c r="E932" i="3"/>
  <c r="E2070" i="3"/>
  <c r="E1040" i="3"/>
  <c r="D1608" i="3"/>
  <c r="E2423" i="3"/>
  <c r="E1444" i="3"/>
  <c r="E2024" i="3"/>
  <c r="E1120" i="3"/>
  <c r="D732" i="3"/>
  <c r="D102" i="3"/>
  <c r="D356" i="3"/>
  <c r="E1103" i="3"/>
  <c r="D377" i="3"/>
  <c r="E757" i="3"/>
  <c r="D1068" i="3"/>
  <c r="E653" i="3"/>
  <c r="E1585" i="3"/>
  <c r="D601" i="3"/>
  <c r="D726" i="3"/>
  <c r="E1311" i="3"/>
  <c r="E1427" i="3"/>
  <c r="E639" i="3"/>
  <c r="E847" i="3"/>
  <c r="E1897" i="3"/>
  <c r="D528" i="3"/>
  <c r="E939" i="3"/>
  <c r="E571" i="3"/>
  <c r="E892" i="3"/>
  <c r="E217" i="3"/>
  <c r="D1013" i="3"/>
  <c r="D309" i="3"/>
  <c r="D2090" i="3"/>
  <c r="D1128" i="3"/>
  <c r="E1251" i="3"/>
  <c r="E595" i="3"/>
  <c r="D2233" i="3"/>
  <c r="D1950" i="3"/>
  <c r="D1701" i="3"/>
  <c r="E2243" i="3"/>
  <c r="E3175" i="3"/>
  <c r="E1912" i="3"/>
  <c r="E2023" i="3"/>
  <c r="D1135" i="3"/>
  <c r="E1992" i="3"/>
  <c r="D3237" i="3"/>
  <c r="D1469" i="3"/>
  <c r="D1039" i="3"/>
  <c r="D1703" i="3"/>
  <c r="D2599" i="3"/>
  <c r="D1913" i="3"/>
  <c r="D1844" i="3"/>
  <c r="E1084" i="3"/>
  <c r="E3450" i="3"/>
  <c r="E1781" i="3"/>
  <c r="D1081" i="3"/>
  <c r="D1437" i="3"/>
  <c r="E1659" i="3"/>
  <c r="E909" i="3"/>
  <c r="D1398" i="3"/>
  <c r="D1896" i="3"/>
  <c r="D2720" i="3"/>
  <c r="D1734" i="3"/>
  <c r="D1165" i="3"/>
  <c r="D1450" i="3"/>
  <c r="E1683" i="3"/>
  <c r="D967" i="3"/>
  <c r="D1423" i="3"/>
  <c r="D1920" i="3"/>
  <c r="D2744" i="3"/>
  <c r="D2078" i="3"/>
  <c r="E1220" i="3"/>
  <c r="D1797" i="3"/>
  <c r="E216" i="3"/>
  <c r="D571" i="3"/>
  <c r="E116" i="3"/>
  <c r="D192" i="3"/>
  <c r="D953" i="3"/>
  <c r="D1285" i="3"/>
  <c r="E552" i="3"/>
  <c r="D138" i="3"/>
  <c r="E1873" i="3"/>
  <c r="E181" i="3"/>
  <c r="E102" i="3"/>
  <c r="D1609" i="3"/>
  <c r="D228" i="3"/>
  <c r="E927" i="3"/>
  <c r="D116" i="3"/>
  <c r="E2185" i="3"/>
  <c r="D816" i="3"/>
  <c r="E1227" i="3"/>
  <c r="E859" i="3"/>
  <c r="D1325" i="3"/>
  <c r="E505" i="3"/>
  <c r="E125" i="3"/>
  <c r="D597" i="3"/>
  <c r="D2378" i="3"/>
  <c r="E36" i="3"/>
  <c r="D244" i="3"/>
  <c r="E883" i="3"/>
  <c r="E94" i="3"/>
  <c r="E1096" i="3"/>
  <c r="D1989" i="3"/>
  <c r="D1242" i="3"/>
  <c r="D2660" i="3"/>
  <c r="E2236" i="3"/>
  <c r="E2311" i="3"/>
  <c r="E1461" i="3"/>
  <c r="E2562" i="3"/>
  <c r="D3525" i="3"/>
  <c r="E1757" i="3"/>
  <c r="D1397" i="3"/>
  <c r="D1991" i="3"/>
  <c r="D2887" i="3"/>
  <c r="E1128" i="3"/>
  <c r="D2132" i="3"/>
  <c r="E1424" i="3"/>
  <c r="E2273" i="3"/>
  <c r="E2069" i="3"/>
  <c r="D1422" i="3"/>
  <c r="D1727" i="3"/>
  <c r="E2187" i="3"/>
  <c r="E1330" i="3"/>
  <c r="E1689" i="3"/>
  <c r="D2184" i="3"/>
  <c r="D1561" i="3"/>
  <c r="D2022" i="3"/>
  <c r="D1485" i="3"/>
  <c r="E1739" i="3"/>
  <c r="E2211" i="3"/>
  <c r="E1357" i="3"/>
  <c r="E1713" i="3"/>
  <c r="D2208" i="3"/>
  <c r="D3032" i="3"/>
  <c r="E2306" i="3"/>
  <c r="E1530" i="3"/>
  <c r="D2085" i="3"/>
  <c r="E952" i="3"/>
  <c r="E2983" i="3"/>
  <c r="E2008" i="3"/>
  <c r="E1831" i="3"/>
  <c r="D2218" i="3"/>
  <c r="D3030" i="3"/>
  <c r="E1565" i="3"/>
  <c r="D2216" i="3"/>
  <c r="D1197" i="3"/>
  <c r="E3246" i="3"/>
  <c r="D1923" i="3"/>
  <c r="E1854" i="3"/>
  <c r="D2409" i="3"/>
  <c r="D1388" i="3"/>
  <c r="E776" i="3"/>
  <c r="D733" i="3"/>
  <c r="D1386" i="3"/>
  <c r="E1908" i="3"/>
  <c r="D1912" i="3"/>
  <c r="D2011" i="3"/>
  <c r="D1041" i="3"/>
  <c r="E1632" i="3"/>
  <c r="D3680" i="3"/>
  <c r="E2104" i="3"/>
  <c r="E1891" i="3"/>
  <c r="D2278" i="3"/>
  <c r="D3090" i="3"/>
  <c r="D1842" i="3"/>
  <c r="E1293" i="3"/>
  <c r="E1559" i="3"/>
  <c r="D3403" i="3"/>
  <c r="E1468" i="3"/>
  <c r="D1078" i="3"/>
  <c r="D1348" i="3"/>
  <c r="D3690" i="3"/>
  <c r="D1481" i="3"/>
  <c r="D26" i="3"/>
  <c r="E211" i="3"/>
  <c r="E404" i="3"/>
  <c r="D480" i="3"/>
  <c r="E641" i="3"/>
  <c r="D1873" i="3"/>
  <c r="D426" i="3"/>
  <c r="E2161" i="3"/>
  <c r="E469" i="3"/>
  <c r="E678" i="3"/>
  <c r="D1897" i="3"/>
  <c r="D516" i="3"/>
  <c r="D208" i="3"/>
  <c r="D980" i="3"/>
  <c r="D1171" i="3"/>
  <c r="D1104" i="3"/>
  <c r="D220" i="3"/>
  <c r="D128" i="3"/>
  <c r="E1621" i="3"/>
  <c r="D122" i="3"/>
  <c r="E413" i="3"/>
  <c r="E213" i="3"/>
  <c r="E1258" i="3"/>
  <c r="E324" i="3"/>
  <c r="D532" i="3"/>
  <c r="D152" i="3"/>
  <c r="D1502" i="3"/>
  <c r="E1432" i="3"/>
  <c r="D2277" i="3"/>
  <c r="D1836" i="3"/>
  <c r="D2948" i="3"/>
  <c r="E1248" i="3"/>
  <c r="D1222" i="3"/>
  <c r="E1750" i="3"/>
  <c r="E2850" i="3"/>
  <c r="E2252" i="3"/>
  <c r="E2045" i="3"/>
  <c r="E1688" i="3"/>
  <c r="D1045" i="3"/>
  <c r="D3175" i="3"/>
  <c r="E1481" i="3"/>
  <c r="D1060" i="3"/>
  <c r="D1715" i="3"/>
  <c r="D2611" i="3"/>
  <c r="E1075" i="3"/>
  <c r="E1712" i="3"/>
  <c r="D2015" i="3"/>
  <c r="E1353" i="3"/>
  <c r="D1627" i="3"/>
  <c r="E1977" i="3"/>
  <c r="E1228" i="3"/>
  <c r="D1970" i="3"/>
  <c r="E1192" i="3"/>
  <c r="D1773" i="3"/>
  <c r="E2027" i="3"/>
  <c r="D1380" i="3"/>
  <c r="D1651" i="3"/>
  <c r="E2001" i="3"/>
  <c r="E1256" i="3"/>
  <c r="E567" i="3"/>
  <c r="D920" i="3"/>
  <c r="E429" i="3"/>
  <c r="D768" i="3"/>
  <c r="E929" i="3"/>
  <c r="D2161" i="3"/>
  <c r="D301" i="3"/>
  <c r="E90" i="3"/>
  <c r="D1139" i="3"/>
  <c r="D374" i="3"/>
  <c r="D331" i="3"/>
  <c r="D2185" i="3"/>
  <c r="D804" i="3"/>
  <c r="D496" i="3"/>
  <c r="E164" i="3"/>
  <c r="D1490" i="3"/>
  <c r="D508" i="3"/>
  <c r="D416" i="3"/>
  <c r="E1909" i="3"/>
  <c r="D410" i="3"/>
  <c r="E701" i="3"/>
  <c r="E501" i="3"/>
  <c r="E1562" i="3"/>
  <c r="E612" i="3"/>
  <c r="E88" i="3"/>
  <c r="D440" i="3"/>
  <c r="E1766" i="3"/>
  <c r="E1722" i="3"/>
  <c r="D1334" i="3"/>
  <c r="D2124" i="3"/>
  <c r="D3236" i="3"/>
  <c r="D1577" i="3"/>
  <c r="D1532" i="3"/>
  <c r="E2038" i="3"/>
  <c r="E3138" i="3"/>
  <c r="E2601" i="3"/>
  <c r="E1034" i="3"/>
  <c r="E1976" i="3"/>
  <c r="D1400" i="3"/>
  <c r="E2296" i="3"/>
  <c r="E1769" i="3"/>
  <c r="E1409" i="3"/>
  <c r="D2003" i="3"/>
  <c r="D2899" i="3"/>
  <c r="E1419" i="3"/>
  <c r="E2000" i="3"/>
  <c r="E1085" i="3"/>
  <c r="D1756" i="3"/>
  <c r="D1915" i="3"/>
  <c r="E796" i="3"/>
  <c r="E1536" i="3"/>
  <c r="E2126" i="3"/>
  <c r="E1506" i="3"/>
  <c r="D2061" i="3"/>
  <c r="D889" i="3"/>
  <c r="D1780" i="3"/>
  <c r="D1939" i="3"/>
  <c r="E880" i="3"/>
  <c r="E1560" i="3"/>
  <c r="D3608" i="3"/>
  <c r="E1029" i="3"/>
  <c r="D136" i="3"/>
  <c r="D513" i="3"/>
  <c r="D190" i="3"/>
  <c r="D1056" i="3"/>
  <c r="D702" i="3"/>
  <c r="D1271" i="3"/>
  <c r="D589" i="3"/>
  <c r="E666" i="3"/>
  <c r="E1465" i="3"/>
  <c r="D950" i="3"/>
  <c r="D619" i="3"/>
  <c r="E812" i="3"/>
  <c r="D1092" i="3"/>
  <c r="E52" i="3"/>
  <c r="E452" i="3"/>
  <c r="D1778" i="3"/>
  <c r="E300" i="3"/>
  <c r="E64" i="3"/>
  <c r="D704" i="3"/>
  <c r="E2197" i="3"/>
  <c r="D698" i="3"/>
  <c r="E989" i="3"/>
  <c r="E789" i="3"/>
  <c r="E1850" i="3"/>
  <c r="E900" i="3"/>
  <c r="E376" i="3"/>
  <c r="D728" i="3"/>
  <c r="D1575" i="3"/>
  <c r="E2298" i="3"/>
  <c r="E1629" i="3"/>
  <c r="E1153" i="3"/>
  <c r="D3524" i="3"/>
  <c r="D1889" i="3"/>
  <c r="D1820" i="3"/>
  <c r="D1042" i="3"/>
  <c r="E3426" i="3"/>
  <c r="E2889" i="3"/>
  <c r="E1394" i="3"/>
  <c r="E1099" i="3"/>
  <c r="E1691" i="3"/>
  <c r="E2623" i="3"/>
  <c r="E2057" i="3"/>
  <c r="E1700" i="3"/>
  <c r="E1064" i="3"/>
  <c r="D3187" i="3"/>
  <c r="D1710" i="3"/>
  <c r="E1133" i="3"/>
  <c r="D1425" i="3"/>
  <c r="D2128" i="3"/>
  <c r="D2203" i="3"/>
  <c r="E1294" i="3"/>
  <c r="E1824" i="3"/>
  <c r="D1803" i="3"/>
  <c r="E1794" i="3"/>
  <c r="D2349" i="3"/>
  <c r="E1323" i="3"/>
  <c r="D2188" i="3"/>
  <c r="D2227" i="3"/>
  <c r="E1321" i="3"/>
  <c r="E1848" i="3"/>
  <c r="D2451" i="3"/>
  <c r="E1731" i="3"/>
  <c r="D993" i="3"/>
  <c r="E1435" i="3"/>
  <c r="D1932" i="3"/>
  <c r="D2756" i="3"/>
  <c r="D1697" i="3"/>
  <c r="E1332" i="3"/>
  <c r="E1558" i="3"/>
  <c r="D2347" i="3"/>
  <c r="E1176" i="3"/>
  <c r="E1784" i="3"/>
  <c r="D2087" i="3"/>
  <c r="D2695" i="3"/>
  <c r="E2259" i="3"/>
  <c r="D1408" i="3"/>
  <c r="E1761" i="3"/>
  <c r="D849" i="3"/>
  <c r="E2044" i="3"/>
  <c r="E1867" i="3"/>
  <c r="D2254" i="3"/>
  <c r="D3066" i="3"/>
  <c r="E1732" i="3"/>
  <c r="E1591" i="3"/>
  <c r="D1978" i="3"/>
  <c r="D2790" i="3"/>
  <c r="E3104" i="3"/>
  <c r="D1757" i="3"/>
  <c r="E1396" i="3"/>
  <c r="E1618" i="3"/>
  <c r="E1202" i="3"/>
  <c r="E1614" i="3"/>
  <c r="D2169" i="3"/>
  <c r="D1105" i="3"/>
  <c r="E3067" i="3"/>
  <c r="D1316" i="3"/>
  <c r="D2000" i="3"/>
  <c r="D748" i="3"/>
  <c r="E3030" i="3"/>
  <c r="D1329" i="3"/>
  <c r="D2012" i="3"/>
  <c r="D801" i="3"/>
  <c r="E3042" i="3"/>
  <c r="D1805" i="3"/>
  <c r="E1446" i="3"/>
  <c r="E1666" i="3"/>
  <c r="D2475" i="3"/>
  <c r="D1355" i="3"/>
  <c r="D2036" i="3"/>
  <c r="D885" i="3"/>
  <c r="E3066" i="3"/>
  <c r="E1973" i="3"/>
  <c r="D1319" i="3"/>
  <c r="D1631" i="3"/>
  <c r="E3690" i="3"/>
  <c r="E2829" i="3"/>
  <c r="E2188" i="3"/>
  <c r="E1975" i="3"/>
  <c r="D2362" i="3"/>
  <c r="D917" i="3"/>
  <c r="E705" i="3"/>
  <c r="D478" i="3"/>
  <c r="E252" i="3"/>
  <c r="E366" i="3"/>
  <c r="E1573" i="3"/>
  <c r="E169" i="3"/>
  <c r="D607" i="3"/>
  <c r="D2042" i="3"/>
  <c r="E818" i="3"/>
  <c r="D907" i="3"/>
  <c r="D1299" i="3"/>
  <c r="E288" i="3"/>
  <c r="D125" i="3"/>
  <c r="D2066" i="3"/>
  <c r="E588" i="3"/>
  <c r="E352" i="3"/>
  <c r="D992" i="3"/>
  <c r="E1185" i="3"/>
  <c r="D986" i="3"/>
  <c r="D186" i="3"/>
  <c r="D262" i="3"/>
  <c r="E2138" i="3"/>
  <c r="D73" i="3"/>
  <c r="E664" i="3"/>
  <c r="D1016" i="3"/>
  <c r="E1575" i="3"/>
  <c r="E1264" i="3"/>
  <c r="E1917" i="3"/>
  <c r="E1476" i="3"/>
  <c r="E2350" i="3"/>
  <c r="E1053" i="3"/>
  <c r="D2108" i="3"/>
  <c r="E1399" i="3"/>
  <c r="E2204" i="3"/>
  <c r="E3177" i="3"/>
  <c r="D1686" i="3"/>
  <c r="D1435" i="3"/>
  <c r="E1979" i="3"/>
  <c r="E2911" i="3"/>
  <c r="D1054" i="3"/>
  <c r="E1988" i="3"/>
  <c r="E1412" i="3"/>
  <c r="E2314" i="3"/>
  <c r="D1998" i="3"/>
  <c r="D1460" i="3"/>
  <c r="E1715" i="3"/>
  <c r="E1261" i="3"/>
  <c r="D1178" i="3"/>
  <c r="D1594" i="3"/>
  <c r="E2393" i="3"/>
  <c r="D958" i="3"/>
  <c r="E2082" i="3"/>
  <c r="D1062" i="3"/>
  <c r="D1620" i="3"/>
  <c r="D1289" i="3"/>
  <c r="E1207" i="3"/>
  <c r="D1618" i="3"/>
  <c r="E2420" i="3"/>
  <c r="E2744" i="3"/>
  <c r="E2223" i="3"/>
  <c r="E1370" i="3"/>
  <c r="E1725" i="3"/>
  <c r="D2220" i="3"/>
  <c r="D3044" i="3"/>
  <c r="D2009" i="3"/>
  <c r="D1628" i="3"/>
  <c r="E1846" i="3"/>
  <c r="E2658" i="3"/>
  <c r="D1494" i="3"/>
  <c r="E2072" i="3"/>
  <c r="D1183" i="3"/>
  <c r="D2983" i="3"/>
  <c r="E1442" i="3"/>
  <c r="D1699" i="3"/>
  <c r="E2049" i="3"/>
  <c r="D1311" i="3"/>
  <c r="E1033" i="3"/>
  <c r="E2155" i="3"/>
  <c r="E800" i="3"/>
  <c r="D3354" i="3"/>
  <c r="E2092" i="3"/>
  <c r="E1879" i="3"/>
  <c r="D2266" i="3"/>
  <c r="D3078" i="3"/>
  <c r="E3392" i="3"/>
  <c r="D2069" i="3"/>
  <c r="D1688" i="3"/>
  <c r="E1906" i="3"/>
  <c r="D2091" i="3"/>
  <c r="E1902" i="3"/>
  <c r="D2457" i="3"/>
  <c r="D1438" i="3"/>
  <c r="E3355" i="3"/>
  <c r="E1637" i="3"/>
  <c r="D2288" i="3"/>
  <c r="D1282" i="3"/>
  <c r="E3318" i="3"/>
  <c r="E1649" i="3"/>
  <c r="D736" i="3"/>
  <c r="E1296" i="3"/>
  <c r="E3330" i="3"/>
  <c r="E865" i="3"/>
  <c r="D1736" i="3"/>
  <c r="E1954" i="3"/>
  <c r="E2766" i="3"/>
  <c r="E1673" i="3"/>
  <c r="E836" i="3"/>
  <c r="E1322" i="3"/>
  <c r="E3354" i="3"/>
  <c r="D868" i="3"/>
  <c r="E1616" i="3"/>
  <c r="D1919" i="3"/>
  <c r="D2527" i="3"/>
  <c r="E3117" i="3"/>
  <c r="D1190" i="3"/>
  <c r="E2263" i="3"/>
  <c r="D1063" i="3"/>
  <c r="D3462" i="3"/>
  <c r="D2613" i="3"/>
  <c r="D2032" i="3"/>
  <c r="D2119" i="3"/>
  <c r="D1196" i="3"/>
  <c r="E1740" i="3"/>
  <c r="D1014" i="3"/>
  <c r="D1796" i="3"/>
  <c r="E42" i="3"/>
  <c r="E227" i="3"/>
  <c r="D766" i="3"/>
  <c r="E540" i="3"/>
  <c r="E654" i="3"/>
  <c r="E2149" i="3"/>
  <c r="E457" i="3"/>
  <c r="D895" i="3"/>
  <c r="D2330" i="3"/>
  <c r="D99" i="3"/>
  <c r="E259" i="3"/>
  <c r="E1597" i="3"/>
  <c r="E576" i="3"/>
  <c r="D413" i="3"/>
  <c r="D285" i="3"/>
  <c r="D2354" i="3"/>
  <c r="E876" i="3"/>
  <c r="E640" i="3"/>
  <c r="E176" i="3"/>
  <c r="D263" i="3"/>
  <c r="E278" i="3"/>
  <c r="D474" i="3"/>
  <c r="D550" i="3"/>
  <c r="E897" i="3"/>
  <c r="D361" i="3"/>
  <c r="D161" i="3"/>
  <c r="E488" i="3"/>
  <c r="E2115" i="3"/>
  <c r="D1567" i="3"/>
  <c r="E2205" i="3"/>
  <c r="E1764" i="3"/>
  <c r="E2660" i="3"/>
  <c r="E1456" i="3"/>
  <c r="E1017" i="3"/>
  <c r="D1691" i="3"/>
  <c r="D2587" i="3"/>
  <c r="E3465" i="3"/>
  <c r="D1974" i="3"/>
  <c r="D1725" i="3"/>
  <c r="E2267" i="3"/>
  <c r="E3199" i="3"/>
  <c r="D1407" i="3"/>
  <c r="D1117" i="3"/>
  <c r="E1703" i="3"/>
  <c r="E1246" i="3"/>
  <c r="D1161" i="3"/>
  <c r="D1749" i="3"/>
  <c r="E2003" i="3"/>
  <c r="E1624" i="3"/>
  <c r="E1495" i="3"/>
  <c r="D1882" i="3"/>
  <c r="D2694" i="3"/>
  <c r="E1671" i="3"/>
  <c r="D942" i="3"/>
  <c r="E1410" i="3"/>
  <c r="D1908" i="3"/>
  <c r="E1648" i="3"/>
  <c r="E1519" i="3"/>
  <c r="D1906" i="3"/>
  <c r="D2718" i="3"/>
  <c r="E3032" i="3"/>
  <c r="E1392" i="3"/>
  <c r="D1663" i="3"/>
  <c r="E2013" i="3"/>
  <c r="D1270" i="3"/>
  <c r="D3332" i="3"/>
  <c r="E1219" i="3"/>
  <c r="D1916" i="3"/>
  <c r="E2134" i="3"/>
  <c r="E2946" i="3"/>
  <c r="D1782" i="3"/>
  <c r="E1224" i="3"/>
  <c r="E1499" i="3"/>
  <c r="D3271" i="3"/>
  <c r="D1852" i="3"/>
  <c r="D1987" i="3"/>
  <c r="D1000" i="3"/>
  <c r="D559" i="3"/>
  <c r="E803" i="3"/>
  <c r="E106" i="3"/>
  <c r="D1453" i="3"/>
  <c r="D74" i="3"/>
  <c r="E823" i="3"/>
  <c r="D1202" i="3"/>
  <c r="D387" i="3"/>
  <c r="E547" i="3"/>
  <c r="E1885" i="3"/>
  <c r="E864" i="3"/>
  <c r="D701" i="3"/>
  <c r="D573" i="3"/>
  <c r="E1230" i="3"/>
  <c r="D49" i="3"/>
  <c r="D137" i="3"/>
  <c r="E464" i="3"/>
  <c r="D551" i="3"/>
  <c r="E566" i="3"/>
  <c r="D762" i="3"/>
  <c r="D838" i="3"/>
  <c r="E1326" i="3"/>
  <c r="D649" i="3"/>
  <c r="D737" i="3"/>
  <c r="D33" i="3"/>
  <c r="D1173" i="3"/>
  <c r="D1855" i="3"/>
  <c r="E1225" i="3"/>
  <c r="D2312" i="3"/>
  <c r="E2948" i="3"/>
  <c r="E1745" i="3"/>
  <c r="E1384" i="3"/>
  <c r="D1979" i="3"/>
  <c r="D2875" i="3"/>
  <c r="E670" i="3"/>
  <c r="E1129" i="3"/>
  <c r="D2013" i="3"/>
  <c r="E1269" i="3"/>
  <c r="E2381" i="3"/>
  <c r="D1698" i="3"/>
  <c r="E1447" i="3"/>
  <c r="E1991" i="3"/>
  <c r="D1790" i="3"/>
  <c r="E1482" i="3"/>
  <c r="D2037" i="3"/>
  <c r="E805" i="3"/>
  <c r="E1960" i="3"/>
  <c r="E1783" i="3"/>
  <c r="D2170" i="3"/>
  <c r="E487" i="3"/>
  <c r="D1044" i="3"/>
  <c r="E1270" i="3"/>
  <c r="D289" i="3"/>
  <c r="D307" i="3"/>
  <c r="D2318" i="3"/>
  <c r="D650" i="3"/>
  <c r="D380" i="3"/>
  <c r="E1514" i="3"/>
  <c r="D963" i="3"/>
  <c r="E835" i="3"/>
  <c r="E2173" i="3"/>
  <c r="D613" i="3"/>
  <c r="D989" i="3"/>
  <c r="E189" i="3"/>
  <c r="E1538" i="3"/>
  <c r="D337" i="3"/>
  <c r="D425" i="3"/>
  <c r="D839" i="3"/>
  <c r="D135" i="3"/>
  <c r="E138" i="3"/>
  <c r="E178" i="3"/>
  <c r="D1623" i="3"/>
  <c r="E517" i="3"/>
  <c r="D1025" i="3"/>
  <c r="D321" i="3"/>
  <c r="D1684" i="3"/>
  <c r="D2143" i="3"/>
  <c r="D1534" i="3"/>
  <c r="D2634" i="3"/>
  <c r="E3236" i="3"/>
  <c r="E2033" i="3"/>
  <c r="E1676" i="3"/>
  <c r="D1024" i="3"/>
  <c r="D3163" i="3"/>
  <c r="D1682" i="3"/>
  <c r="E1457" i="3"/>
  <c r="D2301" i="3"/>
  <c r="D1572" i="3"/>
  <c r="D2684" i="3"/>
  <c r="D1986" i="3"/>
  <c r="D1737" i="3"/>
  <c r="D753" i="3"/>
  <c r="E2030" i="3"/>
  <c r="E1770" i="3"/>
  <c r="D2325" i="3"/>
  <c r="E1297" i="3"/>
  <c r="E709" i="3"/>
  <c r="E2071" i="3"/>
  <c r="D2458" i="3"/>
  <c r="D3270" i="3"/>
  <c r="E1366" i="3"/>
  <c r="D1639" i="3"/>
  <c r="E1989" i="3"/>
  <c r="E1242" i="3"/>
  <c r="E824" i="3"/>
  <c r="E2095" i="3"/>
  <c r="D2482" i="3"/>
  <c r="D3294" i="3"/>
  <c r="E2438" i="3"/>
  <c r="D2200" i="3"/>
  <c r="D2239" i="3"/>
  <c r="E668" i="3"/>
  <c r="E1104" i="3"/>
  <c r="E1257" i="3"/>
  <c r="E157" i="3"/>
  <c r="D595" i="3"/>
  <c r="D1186" i="3"/>
  <c r="D938" i="3"/>
  <c r="D668" i="3"/>
  <c r="E1802" i="3"/>
  <c r="E339" i="3"/>
  <c r="D104" i="3"/>
  <c r="D1156" i="3"/>
  <c r="E193" i="3"/>
  <c r="E101" i="3"/>
  <c r="E477" i="3"/>
  <c r="E1826" i="3"/>
  <c r="D625" i="3"/>
  <c r="D713" i="3"/>
  <c r="D297" i="3"/>
  <c r="D423" i="3"/>
  <c r="E426" i="3"/>
  <c r="E466" i="3"/>
  <c r="D2199" i="3"/>
  <c r="D134" i="3"/>
  <c r="E137" i="3"/>
  <c r="D609" i="3"/>
  <c r="D2056" i="3"/>
  <c r="D1098" i="3"/>
  <c r="D1822" i="3"/>
  <c r="D2922" i="3"/>
  <c r="D2334" i="3"/>
  <c r="E1014" i="3"/>
  <c r="E1964" i="3"/>
  <c r="E1387" i="3"/>
  <c r="D2274" i="3"/>
  <c r="E1862" i="3"/>
  <c r="E1746" i="3"/>
  <c r="D973" i="3"/>
  <c r="D1860" i="3"/>
  <c r="E958" i="3"/>
  <c r="D1146" i="3"/>
  <c r="D2025" i="3"/>
  <c r="D1283" i="3"/>
  <c r="D1755" i="3"/>
  <c r="E2058" i="3"/>
  <c r="D1021" i="3"/>
  <c r="D1596" i="3"/>
  <c r="E1302" i="3"/>
  <c r="E733" i="3"/>
  <c r="E1196" i="3"/>
  <c r="D3558" i="3"/>
  <c r="D1768" i="3"/>
  <c r="D1927" i="3"/>
  <c r="D841" i="3"/>
  <c r="E1548" i="3"/>
  <c r="E1328" i="3"/>
  <c r="E832" i="3"/>
  <c r="D1226" i="3"/>
  <c r="D3582" i="3"/>
  <c r="D2733" i="3"/>
  <c r="D1302" i="3"/>
  <c r="E1221" i="3"/>
  <c r="D1630" i="3"/>
  <c r="D2435" i="3"/>
  <c r="E2756" i="3"/>
  <c r="E2129" i="3"/>
  <c r="E1484" i="3"/>
  <c r="D1787" i="3"/>
  <c r="E2342" i="3"/>
  <c r="E1554" i="3"/>
  <c r="D2109" i="3"/>
  <c r="D1003" i="3"/>
  <c r="E3007" i="3"/>
  <c r="E1696" i="3"/>
  <c r="E1567" i="3"/>
  <c r="D1954" i="3"/>
  <c r="D2766" i="3"/>
  <c r="E1262" i="3"/>
  <c r="D1952" i="3"/>
  <c r="E2170" i="3"/>
  <c r="E2982" i="3"/>
  <c r="D2057" i="3"/>
  <c r="D1676" i="3"/>
  <c r="E1894" i="3"/>
  <c r="E2706" i="3"/>
  <c r="D3381" i="3"/>
  <c r="D742" i="3"/>
  <c r="E145" i="3"/>
  <c r="E2137" i="3"/>
  <c r="D62" i="3"/>
  <c r="D883" i="3"/>
  <c r="E2078" i="3"/>
  <c r="E518" i="3"/>
  <c r="D956" i="3"/>
  <c r="D693" i="3"/>
  <c r="E627" i="3"/>
  <c r="D392" i="3"/>
  <c r="D1766" i="3"/>
  <c r="E481" i="3"/>
  <c r="E389" i="3"/>
  <c r="E765" i="3"/>
  <c r="E2114" i="3"/>
  <c r="E205" i="3"/>
  <c r="D1001" i="3"/>
  <c r="D585" i="3"/>
  <c r="E587" i="3"/>
  <c r="D711" i="3"/>
  <c r="E714" i="3"/>
  <c r="E1042" i="3"/>
  <c r="E985" i="3"/>
  <c r="D422" i="3"/>
  <c r="E425" i="3"/>
  <c r="E225" i="3"/>
  <c r="D1126" i="3"/>
  <c r="E1433" i="3"/>
  <c r="D2110" i="3"/>
  <c r="D3210" i="3"/>
  <c r="D2649" i="3"/>
  <c r="D1382" i="3"/>
  <c r="E1081" i="3"/>
  <c r="E1679" i="3"/>
  <c r="E2611" i="3"/>
  <c r="D1635" i="3"/>
  <c r="E2034" i="3"/>
  <c r="D1360" i="3"/>
  <c r="D2148" i="3"/>
  <c r="D1718" i="3"/>
  <c r="D1470" i="3"/>
  <c r="D2313" i="3"/>
  <c r="D1584" i="3"/>
  <c r="D901" i="3"/>
  <c r="E872" i="3"/>
  <c r="E1385" i="3"/>
  <c r="D1884" i="3"/>
  <c r="D1625" i="3"/>
  <c r="D1279" i="3"/>
  <c r="E1510" i="3"/>
  <c r="D2273" i="3"/>
  <c r="D2140" i="3"/>
  <c r="D2215" i="3"/>
  <c r="E1308" i="3"/>
  <c r="E1836" i="3"/>
  <c r="D1673" i="3"/>
  <c r="E1305" i="3"/>
  <c r="E1534" i="3"/>
  <c r="E2312" i="3"/>
  <c r="D3021" i="3"/>
  <c r="E1660" i="3"/>
  <c r="E1531" i="3"/>
  <c r="D1918" i="3"/>
  <c r="D2730" i="3"/>
  <c r="E3044" i="3"/>
  <c r="E1160" i="3"/>
  <c r="E1772" i="3"/>
  <c r="D2075" i="3"/>
  <c r="D1899" i="3"/>
  <c r="E1842" i="3"/>
  <c r="D2397" i="3"/>
  <c r="E1375" i="3"/>
  <c r="E3295" i="3"/>
  <c r="E2032" i="3"/>
  <c r="E1234" i="3"/>
  <c r="E433" i="3"/>
  <c r="D1108" i="3"/>
  <c r="D926" i="3"/>
  <c r="E523" i="3"/>
  <c r="D1259" i="3"/>
  <c r="E806" i="3"/>
  <c r="E140" i="3"/>
  <c r="D515" i="3"/>
  <c r="E915" i="3"/>
  <c r="D680" i="3"/>
  <c r="D2342" i="3"/>
  <c r="D98" i="3"/>
  <c r="E677" i="3"/>
  <c r="D238" i="3"/>
  <c r="D817" i="3"/>
  <c r="E493" i="3"/>
  <c r="E113" i="3"/>
  <c r="E201" i="3"/>
  <c r="E875" i="3"/>
  <c r="D999" i="3"/>
  <c r="D367" i="3"/>
  <c r="E954" i="3"/>
  <c r="D1366" i="3"/>
  <c r="D710" i="3"/>
  <c r="E713" i="3"/>
  <c r="E513" i="3"/>
  <c r="E1564" i="3"/>
  <c r="E1723" i="3"/>
  <c r="D2398" i="3"/>
  <c r="D3498" i="3"/>
  <c r="D2937" i="3"/>
  <c r="D1674" i="3"/>
  <c r="E1422" i="3"/>
  <c r="E1967" i="3"/>
  <c r="E2899" i="3"/>
  <c r="E697" i="3"/>
  <c r="E784" i="3"/>
  <c r="E1653" i="3"/>
  <c r="D1184" i="3"/>
  <c r="E2018" i="3"/>
  <c r="E1758" i="3"/>
  <c r="D998" i="3"/>
  <c r="D1872" i="3"/>
  <c r="E2175" i="3"/>
  <c r="E1317" i="3"/>
  <c r="E1677" i="3"/>
  <c r="D2172" i="3"/>
  <c r="D1961" i="3"/>
  <c r="D1580" i="3"/>
  <c r="E1798" i="3"/>
  <c r="E2610" i="3"/>
  <c r="D1275" i="3"/>
  <c r="E1193" i="3"/>
  <c r="D1606" i="3"/>
  <c r="D2407" i="3"/>
  <c r="D1985" i="3"/>
  <c r="D1604" i="3"/>
  <c r="E1822" i="3"/>
  <c r="E2634" i="3"/>
  <c r="D1837" i="3"/>
  <c r="E782" i="3"/>
  <c r="E1171" i="3"/>
  <c r="E218" i="3"/>
  <c r="E811" i="3"/>
  <c r="D1563" i="3"/>
  <c r="D375" i="3"/>
  <c r="E428" i="3"/>
  <c r="E263" i="3"/>
  <c r="E1203" i="3"/>
  <c r="D968" i="3"/>
  <c r="E1814" i="3"/>
  <c r="D386" i="3"/>
  <c r="E965" i="3"/>
  <c r="D526" i="3"/>
  <c r="E1300" i="3"/>
  <c r="D110" i="3"/>
  <c r="E401" i="3"/>
  <c r="E777" i="3"/>
  <c r="E1163" i="3"/>
  <c r="E375" i="3"/>
  <c r="D655" i="3"/>
  <c r="E1350" i="3"/>
  <c r="D275" i="3"/>
  <c r="E1001" i="3"/>
  <c r="E801" i="3"/>
  <c r="E1900" i="3"/>
  <c r="E2011" i="3"/>
  <c r="E1118" i="3"/>
  <c r="D3367" i="3"/>
  <c r="D3225" i="3"/>
  <c r="D1962" i="3"/>
  <c r="D1713" i="3"/>
  <c r="E2255" i="3"/>
  <c r="E3187" i="3"/>
  <c r="E1623" i="3"/>
  <c r="E1291" i="3"/>
  <c r="E1941" i="3"/>
  <c r="E1500" i="3"/>
  <c r="D1647" i="3"/>
  <c r="E2046" i="3"/>
  <c r="D1373" i="3"/>
  <c r="D1199" i="3"/>
  <c r="E1314" i="3"/>
  <c r="D1615" i="3"/>
  <c r="E1965" i="3"/>
  <c r="D1214" i="3"/>
  <c r="D1160" i="3"/>
  <c r="D1868" i="3"/>
  <c r="E2086" i="3"/>
  <c r="E2898" i="3"/>
  <c r="E1636" i="3"/>
  <c r="E1507" i="3"/>
  <c r="D1894" i="3"/>
  <c r="D2706" i="3"/>
  <c r="E1190" i="3"/>
  <c r="D1892" i="3"/>
  <c r="E2110" i="3"/>
  <c r="E2922" i="3"/>
  <c r="D3597" i="3"/>
  <c r="D865" i="3"/>
  <c r="E2107" i="3"/>
  <c r="D2494" i="3"/>
  <c r="D3306" i="3"/>
  <c r="E2451" i="3"/>
  <c r="D1770" i="3"/>
  <c r="D1209" i="3"/>
  <c r="E1487" i="3"/>
  <c r="E1827" i="3"/>
  <c r="E1036" i="3"/>
  <c r="E1460" i="3"/>
  <c r="D1956" i="3"/>
  <c r="D2780" i="3"/>
  <c r="D1406" i="3"/>
  <c r="D969" i="3"/>
  <c r="E1281" i="3"/>
  <c r="D3630" i="3"/>
  <c r="E2165" i="3"/>
  <c r="E1520" i="3"/>
  <c r="D1823" i="3"/>
  <c r="E2422" i="3"/>
  <c r="E1889" i="3"/>
  <c r="D1223" i="3"/>
  <c r="D1547" i="3"/>
  <c r="E3570" i="3"/>
  <c r="E2745" i="3"/>
  <c r="D1830" i="3"/>
  <c r="D1280" i="3"/>
  <c r="E1547" i="3"/>
  <c r="D1393" i="3"/>
  <c r="D1318" i="3"/>
  <c r="D1714" i="3"/>
  <c r="D2526" i="3"/>
  <c r="E1244" i="3"/>
  <c r="D1330" i="3"/>
  <c r="D1893" i="3"/>
  <c r="E2147" i="3"/>
  <c r="D1273" i="3"/>
  <c r="D1343" i="3"/>
  <c r="D1905" i="3"/>
  <c r="E2159" i="3"/>
  <c r="E2803" i="3"/>
  <c r="D1878" i="3"/>
  <c r="E1333" i="3"/>
  <c r="E1595" i="3"/>
  <c r="E1478" i="3"/>
  <c r="D1370" i="3"/>
  <c r="D1929" i="3"/>
  <c r="D1791" i="3"/>
  <c r="D3006" i="3"/>
  <c r="D2206" i="3"/>
  <c r="E1672" i="3"/>
  <c r="D1499" i="3"/>
  <c r="E2130" i="3"/>
  <c r="D1668" i="3"/>
  <c r="E1012" i="3"/>
  <c r="D1666" i="3"/>
  <c r="D1900" i="3"/>
  <c r="E2096" i="3"/>
  <c r="D3642" i="3"/>
  <c r="E2166" i="3"/>
  <c r="E2182" i="3"/>
  <c r="D3392" i="3"/>
  <c r="D829" i="3"/>
  <c r="D1702" i="3"/>
  <c r="D1492" i="3"/>
  <c r="D1988" i="3"/>
  <c r="E1847" i="3"/>
  <c r="E3428" i="3"/>
  <c r="D2047" i="3"/>
  <c r="E1642" i="3"/>
  <c r="D3415" i="3"/>
  <c r="D2059" i="3"/>
  <c r="D2314" i="3"/>
  <c r="D2462" i="3"/>
  <c r="E1661" i="3"/>
  <c r="E1880" i="3"/>
  <c r="E2171" i="3"/>
  <c r="D1093" i="3"/>
  <c r="E993" i="3"/>
  <c r="D2338" i="3"/>
  <c r="E3666" i="3"/>
  <c r="E1685" i="3"/>
  <c r="D970" i="3"/>
  <c r="E1907" i="3"/>
  <c r="E3127" i="3"/>
  <c r="E2530" i="3"/>
  <c r="D1914" i="3"/>
  <c r="D1953" i="3"/>
  <c r="D1512" i="3"/>
  <c r="D2624" i="3"/>
  <c r="D1390" i="3"/>
  <c r="E1407" i="3"/>
  <c r="D2253" i="3"/>
  <c r="D1524" i="3"/>
  <c r="E2212" i="3"/>
  <c r="E2287" i="3"/>
  <c r="E1436" i="3"/>
  <c r="D3355" i="3"/>
  <c r="D3321" i="3"/>
  <c r="D3036" i="3"/>
  <c r="D2535" i="3"/>
  <c r="E3652" i="3"/>
  <c r="B3501" i="3"/>
  <c r="D3130" i="3"/>
  <c r="D3085" i="3"/>
  <c r="D2716" i="3"/>
  <c r="D3553" i="3"/>
  <c r="E2410" i="3"/>
  <c r="E2891" i="3"/>
  <c r="E2618" i="3"/>
  <c r="E2242" i="3"/>
  <c r="E2332" i="3"/>
  <c r="D2723" i="3"/>
  <c r="D2522" i="3"/>
  <c r="E3472" i="3"/>
  <c r="B3694" i="3"/>
  <c r="B3089" i="3"/>
  <c r="D2842" i="3"/>
  <c r="D2833" i="3"/>
  <c r="E2459" i="3"/>
  <c r="D3360" i="3"/>
  <c r="E3344" i="3"/>
  <c r="E3503" i="3"/>
  <c r="E3230" i="3"/>
  <c r="E2921" i="3"/>
  <c r="D3008" i="3"/>
  <c r="E2337" i="3"/>
  <c r="D3422" i="3"/>
  <c r="D3053" i="3"/>
  <c r="E2936" i="3"/>
  <c r="E3239" i="3"/>
  <c r="E2966" i="3"/>
  <c r="E2657" i="3"/>
  <c r="B3476" i="3"/>
  <c r="D3057" i="3"/>
  <c r="D2844" i="3"/>
  <c r="E2308" i="3"/>
  <c r="E3675" i="3"/>
  <c r="D3069" i="3"/>
  <c r="D2856" i="3"/>
  <c r="E2325" i="3"/>
  <c r="D3592" i="3"/>
  <c r="B3461" i="3"/>
  <c r="D3453" i="3"/>
  <c r="D3156" i="3"/>
  <c r="D2655" i="3"/>
  <c r="E3588" i="3"/>
  <c r="E3174" i="3"/>
  <c r="E3130" i="3"/>
  <c r="E3145" i="3"/>
  <c r="E2992" i="3"/>
  <c r="D3420" i="3"/>
  <c r="E3020" i="3"/>
  <c r="E3299" i="3"/>
  <c r="E3026" i="3"/>
  <c r="E2717" i="3"/>
  <c r="B3595" i="3"/>
  <c r="D2626" i="3"/>
  <c r="D2653" i="3"/>
  <c r="E2124" i="3"/>
  <c r="D3664" i="3"/>
  <c r="D2696" i="3"/>
  <c r="D3431" i="3"/>
  <c r="E1782" i="3"/>
  <c r="E3259" i="3"/>
  <c r="E1546" i="3"/>
  <c r="E904" i="3"/>
  <c r="E1168" i="3"/>
  <c r="D1687" i="3"/>
  <c r="D1298" i="3"/>
  <c r="D2033" i="3"/>
  <c r="D2242" i="3"/>
  <c r="D1354" i="3"/>
  <c r="D1557" i="3"/>
  <c r="D2394" i="3"/>
  <c r="E1097" i="3"/>
  <c r="D1241" i="3"/>
  <c r="E2528" i="3"/>
  <c r="D1304" i="3"/>
  <c r="D1990" i="3"/>
  <c r="D1948" i="3"/>
  <c r="D2276" i="3"/>
  <c r="E2135" i="3"/>
  <c r="E1933" i="3"/>
  <c r="D913" i="3"/>
  <c r="E1930" i="3"/>
  <c r="E2125" i="3"/>
  <c r="E942" i="3"/>
  <c r="D976" i="3"/>
  <c r="E2754" i="3"/>
  <c r="E1949" i="3"/>
  <c r="E916" i="3"/>
  <c r="D1153" i="3"/>
  <c r="D1612" i="3"/>
  <c r="D1371" i="3"/>
  <c r="D1022" i="3"/>
  <c r="D2488" i="3"/>
  <c r="E1316" i="3"/>
  <c r="E1359" i="3"/>
  <c r="E2195" i="3"/>
  <c r="E2276" i="3"/>
  <c r="E2818" i="3"/>
  <c r="D1036" i="3"/>
  <c r="D2241" i="3"/>
  <c r="D1800" i="3"/>
  <c r="D2912" i="3"/>
  <c r="E1730" i="3"/>
  <c r="E1698" i="3"/>
  <c r="E837" i="3"/>
  <c r="D1812" i="3"/>
  <c r="D1219" i="3"/>
  <c r="D1194" i="3"/>
  <c r="E1726" i="3"/>
  <c r="E2538" i="3"/>
  <c r="D3681" i="3"/>
  <c r="E2100" i="3"/>
  <c r="D2823" i="3"/>
  <c r="D3544" i="3"/>
  <c r="B3467" i="3"/>
  <c r="D3454" i="3"/>
  <c r="D3373" i="3"/>
  <c r="D3004" i="3"/>
  <c r="E3365" i="3"/>
  <c r="E2852" i="3"/>
  <c r="E3179" i="3"/>
  <c r="E2906" i="3"/>
  <c r="E2597" i="3"/>
  <c r="E3019" i="3"/>
  <c r="D3011" i="3"/>
  <c r="D2810" i="3"/>
  <c r="E2433" i="3"/>
  <c r="B3676" i="3"/>
  <c r="B3009" i="3"/>
  <c r="D3166" i="3"/>
  <c r="D3121" i="3"/>
  <c r="D2752" i="3"/>
  <c r="D3611" i="3"/>
  <c r="D2589" i="3"/>
  <c r="D2520" i="3"/>
  <c r="E3518" i="3"/>
  <c r="E3209" i="3"/>
  <c r="D3464" i="3"/>
  <c r="E2651" i="3"/>
  <c r="E2358" i="3"/>
  <c r="D3341" i="3"/>
  <c r="E3380" i="3"/>
  <c r="E3527" i="3"/>
  <c r="E3254" i="3"/>
  <c r="E2945" i="3"/>
  <c r="B3471" i="3"/>
  <c r="D3429" i="3"/>
  <c r="D3132" i="3"/>
  <c r="D2631" i="3"/>
  <c r="E3655" i="3"/>
  <c r="D3441" i="3"/>
  <c r="D3144" i="3"/>
  <c r="D2643" i="3"/>
  <c r="D3569" i="3"/>
  <c r="B3589" i="3"/>
  <c r="D2299" i="3"/>
  <c r="D2337" i="3"/>
  <c r="E2450" i="3"/>
  <c r="D1475" i="3"/>
  <c r="D1381" i="3"/>
  <c r="E2063" i="3"/>
  <c r="D2263" i="3"/>
  <c r="E1884" i="3"/>
  <c r="E1577" i="3"/>
  <c r="E745" i="3"/>
  <c r="E1720" i="3"/>
  <c r="D2133" i="3"/>
  <c r="E2694" i="3"/>
  <c r="D1433" i="3"/>
  <c r="D1835" i="3"/>
  <c r="E2816" i="3"/>
  <c r="E1890" i="3"/>
  <c r="E884" i="3"/>
  <c r="D904" i="3"/>
  <c r="E1252" i="3"/>
  <c r="D1728" i="3"/>
  <c r="D1231" i="3"/>
  <c r="D1331" i="3"/>
  <c r="D1583" i="3"/>
  <c r="E1273" i="3"/>
  <c r="D1345" i="3"/>
  <c r="D1361" i="3"/>
  <c r="E3618" i="3"/>
  <c r="E781" i="3"/>
  <c r="D1629" i="3"/>
  <c r="D1476" i="3"/>
  <c r="D1996" i="3"/>
  <c r="E1663" i="3"/>
  <c r="E1386" i="3"/>
  <c r="E2778" i="3"/>
  <c r="D1614" i="3"/>
  <c r="D1653" i="3"/>
  <c r="E1183" i="3"/>
  <c r="D2612" i="3"/>
  <c r="E3178" i="3"/>
  <c r="D1395" i="3"/>
  <c r="D796" i="3"/>
  <c r="D2088" i="3"/>
  <c r="D3200" i="3"/>
  <c r="D1515" i="3"/>
  <c r="E1986" i="3"/>
  <c r="D1307" i="3"/>
  <c r="D2100" i="3"/>
  <c r="D1553" i="3"/>
  <c r="D1508" i="3"/>
  <c r="E2014" i="3"/>
  <c r="E2826" i="3"/>
  <c r="E2529" i="3"/>
  <c r="E2568" i="3"/>
  <c r="D3111" i="3"/>
  <c r="E3620" i="3"/>
  <c r="B3248" i="3"/>
  <c r="D2336" i="3"/>
  <c r="D2443" i="3"/>
  <c r="E2192" i="3"/>
  <c r="E3370" i="3"/>
  <c r="E3284" i="3"/>
  <c r="E3467" i="3"/>
  <c r="E3194" i="3"/>
  <c r="E2885" i="3"/>
  <c r="E2437" i="3"/>
  <c r="D3299" i="3"/>
  <c r="D3098" i="3"/>
  <c r="D2729" i="3"/>
  <c r="B3647" i="3"/>
  <c r="B3068" i="3"/>
  <c r="D3490" i="3"/>
  <c r="D3409" i="3"/>
  <c r="D3040" i="3"/>
  <c r="D3484" i="3"/>
  <c r="D3009" i="3"/>
  <c r="D2808" i="3"/>
  <c r="E2232" i="3"/>
  <c r="D3625" i="3"/>
  <c r="D2503" i="3"/>
  <c r="E2939" i="3"/>
  <c r="E2666" i="3"/>
  <c r="E2328" i="3"/>
  <c r="D2637" i="3"/>
  <c r="D2544" i="3"/>
  <c r="E3542" i="3"/>
  <c r="E3233" i="3"/>
  <c r="B3426" i="3"/>
  <c r="E2216" i="3"/>
  <c r="E2356" i="3"/>
  <c r="D2919" i="3"/>
  <c r="E3688" i="3"/>
  <c r="D2279" i="3"/>
  <c r="E2371" i="3"/>
  <c r="D2931" i="3"/>
  <c r="D3639" i="3"/>
  <c r="B3368" i="3"/>
  <c r="E2697" i="3"/>
  <c r="E2688" i="3"/>
  <c r="D3231" i="3"/>
  <c r="D3660" i="3"/>
  <c r="E2575" i="3"/>
  <c r="D2819" i="3"/>
  <c r="D2618" i="3"/>
  <c r="E3568" i="3"/>
  <c r="B3630" i="3"/>
  <c r="D2721" i="3"/>
  <c r="D2604" i="3"/>
  <c r="E3602" i="3"/>
  <c r="E1310" i="3"/>
  <c r="D3320" i="3"/>
  <c r="E1763" i="3"/>
  <c r="E1553" i="3"/>
  <c r="E1362" i="3"/>
  <c r="E1555" i="3"/>
  <c r="D2754" i="3"/>
  <c r="E2153" i="3"/>
  <c r="E1870" i="3"/>
  <c r="E1418" i="3"/>
  <c r="E1485" i="3"/>
  <c r="E3270" i="3"/>
  <c r="D1723" i="3"/>
  <c r="D2123" i="3"/>
  <c r="E2516" i="3"/>
  <c r="E1113" i="3"/>
  <c r="D1322" i="3"/>
  <c r="E1756" i="3"/>
  <c r="E1556" i="3"/>
  <c r="D2016" i="3"/>
  <c r="D2115" i="3"/>
  <c r="E1627" i="3"/>
  <c r="D1871" i="3"/>
  <c r="D2151" i="3"/>
  <c r="E1639" i="3"/>
  <c r="E1654" i="3"/>
  <c r="E2488" i="3"/>
  <c r="E1290" i="3"/>
  <c r="D1917" i="3"/>
  <c r="D1764" i="3"/>
  <c r="D1012" i="3"/>
  <c r="E1951" i="3"/>
  <c r="E1678" i="3"/>
  <c r="E3678" i="3"/>
  <c r="D1902" i="3"/>
  <c r="D1941" i="3"/>
  <c r="D1500" i="3"/>
  <c r="D2900" i="3"/>
  <c r="D1216" i="3"/>
  <c r="E1686" i="3"/>
  <c r="D1294" i="3"/>
  <c r="E1105" i="3"/>
  <c r="D3488" i="3"/>
  <c r="D2331" i="3"/>
  <c r="E2274" i="3"/>
  <c r="E1605" i="3"/>
  <c r="D1122" i="3"/>
  <c r="D1865" i="3"/>
  <c r="D2084" i="3"/>
  <c r="D1002" i="3"/>
  <c r="E3114" i="3"/>
  <c r="E2913" i="3"/>
  <c r="E2856" i="3"/>
  <c r="D3471" i="3"/>
  <c r="E3346" i="3"/>
  <c r="B3275" i="3"/>
  <c r="E2674" i="3"/>
  <c r="E2737" i="3"/>
  <c r="E2584" i="3"/>
  <c r="E3576" i="3"/>
  <c r="D2553" i="3"/>
  <c r="E2480" i="3"/>
  <c r="E3482" i="3"/>
  <c r="E3173" i="3"/>
  <c r="D2972" i="3"/>
  <c r="E2281" i="3"/>
  <c r="D3386" i="3"/>
  <c r="D3017" i="3"/>
  <c r="B3645" i="3"/>
  <c r="B3018" i="3"/>
  <c r="D2384" i="3"/>
  <c r="D2483" i="3"/>
  <c r="D2291" i="3"/>
  <c r="D3487" i="3"/>
  <c r="D3393" i="3"/>
  <c r="D3096" i="3"/>
  <c r="D2595" i="3"/>
  <c r="D3655" i="3"/>
  <c r="E2924" i="3"/>
  <c r="E3227" i="3"/>
  <c r="E2954" i="3"/>
  <c r="E2645" i="3"/>
  <c r="D3045" i="3"/>
  <c r="D2832" i="3"/>
  <c r="E2288" i="3"/>
  <c r="E3659" i="3"/>
  <c r="B3477" i="3"/>
  <c r="E2661" i="3"/>
  <c r="E2664" i="3"/>
  <c r="D3207" i="3"/>
  <c r="D3673" i="3"/>
  <c r="E2685" i="3"/>
  <c r="E2676" i="3"/>
  <c r="D3219" i="3"/>
  <c r="D2982" i="3"/>
  <c r="E3320" i="3"/>
  <c r="E2051" i="3"/>
  <c r="E1841" i="3"/>
  <c r="D1944" i="3"/>
  <c r="D943" i="3"/>
  <c r="D3618" i="3"/>
  <c r="D1794" i="3"/>
  <c r="E1212" i="3"/>
  <c r="D1733" i="3"/>
  <c r="E1773" i="3"/>
  <c r="E3558" i="3"/>
  <c r="E788" i="3"/>
  <c r="E1535" i="3"/>
  <c r="D2805" i="3"/>
  <c r="D1735" i="3"/>
  <c r="E2194" i="3"/>
  <c r="E2116" i="3"/>
  <c r="E1844" i="3"/>
  <c r="D979" i="3"/>
  <c r="E1911" i="3"/>
  <c r="E1915" i="3"/>
  <c r="D2159" i="3"/>
  <c r="E1923" i="3"/>
  <c r="E1927" i="3"/>
  <c r="E1942" i="3"/>
  <c r="D2779" i="3"/>
  <c r="D1590" i="3"/>
  <c r="D2205" i="3"/>
  <c r="D2052" i="3"/>
  <c r="E1455" i="3"/>
  <c r="E2239" i="3"/>
  <c r="E1966" i="3"/>
  <c r="E2514" i="3"/>
  <c r="D1015" i="3"/>
  <c r="D2229" i="3"/>
  <c r="D1788" i="3"/>
  <c r="D3188" i="3"/>
  <c r="E1574" i="3"/>
  <c r="E1974" i="3"/>
  <c r="E1593" i="3"/>
  <c r="E1438" i="3"/>
  <c r="E2297" i="3"/>
  <c r="E1551" i="3"/>
  <c r="E1236" i="3"/>
  <c r="E1893" i="3"/>
  <c r="D1451" i="3"/>
  <c r="E1406" i="3"/>
  <c r="E969" i="3"/>
  <c r="E1374" i="3"/>
  <c r="E3402" i="3"/>
  <c r="E3261" i="3"/>
  <c r="E3144" i="3"/>
  <c r="E2559" i="3"/>
  <c r="E3526" i="3"/>
  <c r="D3546" i="3"/>
  <c r="E2974" i="3"/>
  <c r="E3025" i="3"/>
  <c r="E2872" i="3"/>
  <c r="E3490" i="3"/>
  <c r="D2973" i="3"/>
  <c r="D2772" i="3"/>
  <c r="D3447" i="3"/>
  <c r="D3672" i="3"/>
  <c r="D3428" i="3"/>
  <c r="E2615" i="3"/>
  <c r="D2308" i="3"/>
  <c r="D3305" i="3"/>
  <c r="B3509" i="3"/>
  <c r="B3111" i="3"/>
  <c r="E2710" i="3"/>
  <c r="E2773" i="3"/>
  <c r="E2620" i="3"/>
  <c r="E3317" i="3"/>
  <c r="E3166" i="3"/>
  <c r="E2303" i="3"/>
  <c r="D2883" i="3"/>
  <c r="D3637" i="3"/>
  <c r="E3368" i="3"/>
  <c r="E3515" i="3"/>
  <c r="E3242" i="3"/>
  <c r="E2933" i="3"/>
  <c r="D3417" i="3"/>
  <c r="D3120" i="3"/>
  <c r="D2619" i="3"/>
  <c r="D3623" i="3"/>
  <c r="B3448" i="3"/>
  <c r="E3235" i="3"/>
  <c r="D3309" i="3"/>
  <c r="E1349" i="3"/>
  <c r="D1482" i="3"/>
  <c r="E1872" i="3"/>
  <c r="E1345" i="3"/>
  <c r="E2363" i="3"/>
  <c r="D2082" i="3"/>
  <c r="D1811" i="3"/>
  <c r="D2045" i="3"/>
  <c r="E2061" i="3"/>
  <c r="D2719" i="3"/>
  <c r="D1292" i="3"/>
  <c r="E2111" i="3"/>
  <c r="D3093" i="3"/>
  <c r="D2023" i="3"/>
  <c r="D1255" i="3"/>
  <c r="D1456" i="3"/>
  <c r="E793" i="3"/>
  <c r="D1363" i="3"/>
  <c r="D1504" i="3"/>
  <c r="E2203" i="3"/>
  <c r="D1269" i="3"/>
  <c r="D1540" i="3"/>
  <c r="E2215" i="3"/>
  <c r="D1595" i="3"/>
  <c r="D3067" i="3"/>
  <c r="E966" i="3"/>
  <c r="D2493" i="3"/>
  <c r="D1046" i="3"/>
  <c r="E1840" i="3"/>
  <c r="D1132" i="3"/>
  <c r="D1619" i="3"/>
  <c r="D2803" i="3"/>
  <c r="E1382" i="3"/>
  <c r="D741" i="3"/>
  <c r="D2076" i="3"/>
  <c r="D3476" i="3"/>
  <c r="D1503" i="3"/>
  <c r="E2262" i="3"/>
  <c r="E1881" i="3"/>
  <c r="E1728" i="3"/>
  <c r="E2624" i="3"/>
  <c r="E2019" i="3"/>
  <c r="D1543" i="3"/>
  <c r="E2181" i="3"/>
  <c r="D2272" i="3"/>
  <c r="E1721" i="3"/>
  <c r="D1359" i="3"/>
  <c r="D1667" i="3"/>
  <c r="E2004" i="3"/>
  <c r="E3597" i="3"/>
  <c r="E3432" i="3"/>
  <c r="E2847" i="3"/>
  <c r="E3475" i="3"/>
  <c r="E2380" i="3"/>
  <c r="E2399" i="3"/>
  <c r="E3313" i="3"/>
  <c r="E3160" i="3"/>
  <c r="D3460" i="3"/>
  <c r="D3345" i="3"/>
  <c r="D3060" i="3"/>
  <c r="D2559" i="3"/>
  <c r="D3687" i="3"/>
  <c r="D2424" i="3"/>
  <c r="E2903" i="3"/>
  <c r="E2630" i="3"/>
  <c r="E2269" i="3"/>
  <c r="B3554" i="3"/>
  <c r="E2421" i="3"/>
  <c r="E3010" i="3"/>
  <c r="E3061" i="3"/>
  <c r="E2908" i="3"/>
  <c r="D3559" i="3"/>
  <c r="E2625" i="3"/>
  <c r="E2628" i="3"/>
  <c r="D3171" i="3"/>
  <c r="E3586" i="3"/>
  <c r="D2625" i="3"/>
  <c r="D2532" i="3"/>
  <c r="E3530" i="3"/>
  <c r="E3221" i="3"/>
  <c r="E2156" i="3"/>
  <c r="D2339" i="3"/>
  <c r="D2907" i="3"/>
  <c r="E3687" i="3"/>
  <c r="B3384" i="3"/>
  <c r="E3357" i="3"/>
  <c r="E3240" i="3"/>
  <c r="E2655" i="3"/>
  <c r="E3673" i="3"/>
  <c r="E3369" i="3"/>
  <c r="E3252" i="3"/>
  <c r="E2667" i="3"/>
  <c r="E3689" i="3"/>
  <c r="B3345" i="3"/>
  <c r="E3238" i="3"/>
  <c r="D2285" i="3"/>
  <c r="E2967" i="3"/>
  <c r="D3679" i="3"/>
  <c r="D3116" i="3"/>
  <c r="D2414" i="3"/>
  <c r="D3482" i="3"/>
  <c r="D3113" i="3"/>
  <c r="B3664" i="3"/>
  <c r="E2334" i="3"/>
  <c r="D2415" i="3"/>
  <c r="D2967" i="3"/>
  <c r="E2199" i="3"/>
  <c r="D3502" i="3"/>
  <c r="D1644" i="3"/>
  <c r="D1235" i="3"/>
  <c r="E2448" i="3"/>
  <c r="D1640" i="3"/>
  <c r="E2670" i="3"/>
  <c r="D1264" i="3"/>
  <c r="E1511" i="3"/>
  <c r="E1589" i="3"/>
  <c r="E1021" i="3"/>
  <c r="D3007" i="3"/>
  <c r="E2167" i="3"/>
  <c r="D1704" i="3"/>
  <c r="D3669" i="3"/>
  <c r="D832" i="3"/>
  <c r="D1559" i="3"/>
  <c r="D717" i="3"/>
  <c r="D1593" i="3"/>
  <c r="E1656" i="3"/>
  <c r="D1960" i="3"/>
  <c r="E1421" i="3"/>
  <c r="E1571" i="3"/>
  <c r="D1972" i="3"/>
  <c r="E1098" i="3"/>
  <c r="D1883" i="3"/>
  <c r="D3427" i="3"/>
  <c r="D1357" i="3"/>
  <c r="E1253" i="3"/>
  <c r="D1401" i="3"/>
  <c r="E2164" i="3"/>
  <c r="D1459" i="3"/>
  <c r="D1907" i="3"/>
  <c r="E1088" i="3"/>
  <c r="E1674" i="3"/>
  <c r="E1280" i="3"/>
  <c r="E1086" i="3"/>
  <c r="E2277" i="3"/>
  <c r="D2223" i="3"/>
  <c r="D1221" i="3"/>
  <c r="E2169" i="3"/>
  <c r="D2243" i="3"/>
  <c r="E2912" i="3"/>
  <c r="D1142" i="3"/>
  <c r="D1831" i="3"/>
  <c r="D1510" i="3"/>
  <c r="D2610" i="3"/>
  <c r="E2009" i="3"/>
  <c r="E1652" i="3"/>
  <c r="D1955" i="3"/>
  <c r="D2563" i="3"/>
  <c r="E2439" i="3"/>
  <c r="E2495" i="3"/>
  <c r="E3135" i="3"/>
  <c r="D3292" i="3"/>
  <c r="D3451" i="3"/>
  <c r="D2699" i="3"/>
  <c r="E2496" i="3"/>
  <c r="E3448" i="3"/>
  <c r="D3581" i="3"/>
  <c r="E3094" i="3"/>
  <c r="D2226" i="3"/>
  <c r="D2847" i="3"/>
  <c r="E3583" i="3"/>
  <c r="E2864" i="3"/>
  <c r="E3191" i="3"/>
  <c r="E2918" i="3"/>
  <c r="E2609" i="3"/>
  <c r="B3532" i="3"/>
  <c r="D2551" i="3"/>
  <c r="E2440" i="3"/>
  <c r="E3349" i="3"/>
  <c r="E3196" i="3"/>
  <c r="E3540" i="3"/>
  <c r="E2985" i="3"/>
  <c r="E2916" i="3"/>
  <c r="E2289" i="3"/>
  <c r="E3524" i="3"/>
  <c r="D3033" i="3"/>
  <c r="D2820" i="3"/>
  <c r="E2265" i="3"/>
  <c r="D3641" i="3"/>
  <c r="E2649" i="3"/>
  <c r="E2652" i="3"/>
  <c r="D3195" i="3"/>
  <c r="E3622" i="3"/>
  <c r="B3405" i="3"/>
  <c r="D3682" i="3"/>
  <c r="E2228" i="3"/>
  <c r="E2943" i="3"/>
  <c r="E3676" i="3"/>
  <c r="E3082" i="3"/>
  <c r="D2261" i="3"/>
  <c r="E2955" i="3"/>
  <c r="E3695" i="3"/>
  <c r="B3300" i="3"/>
  <c r="D2590" i="3"/>
  <c r="D2617" i="3"/>
  <c r="E3255" i="3"/>
  <c r="D3697" i="3"/>
  <c r="D3572" i="3"/>
  <c r="E2711" i="3"/>
  <c r="E2430" i="3"/>
  <c r="D3401" i="3"/>
  <c r="E1112" i="3"/>
  <c r="D2137" i="3"/>
  <c r="E1572" i="3"/>
  <c r="E1830" i="3"/>
  <c r="D2742" i="3"/>
  <c r="D1928" i="3"/>
  <c r="E2958" i="3"/>
  <c r="E1566" i="3"/>
  <c r="E1799" i="3"/>
  <c r="E1877" i="3"/>
  <c r="D1678" i="3"/>
  <c r="D2450" i="3"/>
  <c r="D1017" i="3"/>
  <c r="D1992" i="3"/>
  <c r="D2452" i="3"/>
  <c r="D1305" i="3"/>
  <c r="D1847" i="3"/>
  <c r="E1625" i="3"/>
  <c r="D1881" i="3"/>
  <c r="E1944" i="3"/>
  <c r="E933" i="3"/>
  <c r="D1712" i="3"/>
  <c r="E1859" i="3"/>
  <c r="E961" i="3"/>
  <c r="D1434" i="3"/>
  <c r="E752" i="3"/>
  <c r="D2515" i="3"/>
  <c r="E1650" i="3"/>
  <c r="E1557" i="3"/>
  <c r="E1692" i="3"/>
  <c r="E1159" i="3"/>
  <c r="D1748" i="3"/>
  <c r="E844" i="3"/>
  <c r="E1550" i="3"/>
  <c r="E1962" i="3"/>
  <c r="E1581" i="3"/>
  <c r="D1426" i="3"/>
  <c r="E2612" i="3"/>
  <c r="E1539" i="3"/>
  <c r="D1531" i="3"/>
  <c r="E1181" i="3"/>
  <c r="D2598" i="3"/>
  <c r="E3200" i="3"/>
  <c r="D1660" i="3"/>
  <c r="D1058" i="3"/>
  <c r="D1798" i="3"/>
  <c r="D2898" i="3"/>
  <c r="D966" i="3"/>
  <c r="E1940" i="3"/>
  <c r="D978" i="3"/>
  <c r="D2851" i="3"/>
  <c r="D2770" i="3"/>
  <c r="D2785" i="3"/>
  <c r="D2405" i="3"/>
  <c r="E3589" i="3"/>
  <c r="E2959" i="3"/>
  <c r="D2987" i="3"/>
  <c r="D2786" i="3"/>
  <c r="D2406" i="3"/>
  <c r="B3692" i="3"/>
  <c r="E2577" i="3"/>
  <c r="E2592" i="3"/>
  <c r="D3135" i="3"/>
  <c r="E3653" i="3"/>
  <c r="E3296" i="3"/>
  <c r="E3479" i="3"/>
  <c r="E3206" i="3"/>
  <c r="E2897" i="3"/>
  <c r="B3500" i="3"/>
  <c r="E2364" i="3"/>
  <c r="D2735" i="3"/>
  <c r="D2534" i="3"/>
  <c r="E3484" i="3"/>
  <c r="B3686" i="3"/>
  <c r="E3321" i="3"/>
  <c r="E3204" i="3"/>
  <c r="E2619" i="3"/>
  <c r="E3623" i="3"/>
  <c r="D3405" i="3"/>
  <c r="D3108" i="3"/>
  <c r="D2607" i="3"/>
  <c r="E3672" i="3"/>
  <c r="E3009" i="3"/>
  <c r="E2940" i="3"/>
  <c r="E2326" i="3"/>
  <c r="D3567" i="3"/>
  <c r="B3382" i="3"/>
  <c r="D2566" i="3"/>
  <c r="D2593" i="3"/>
  <c r="E3231" i="3"/>
  <c r="E3569" i="3"/>
  <c r="D2578" i="3"/>
  <c r="D2605" i="3"/>
  <c r="E3243" i="3"/>
  <c r="E3608" i="3"/>
  <c r="B3303" i="3"/>
  <c r="D2914" i="3"/>
  <c r="D2905" i="3"/>
  <c r="D2536" i="3"/>
  <c r="E3552" i="3"/>
  <c r="E2576" i="3"/>
  <c r="E2999" i="3"/>
  <c r="E2726" i="3"/>
  <c r="E2406" i="3"/>
  <c r="B3449" i="3"/>
  <c r="E3069" i="3"/>
  <c r="E3000" i="3"/>
  <c r="E2404" i="3"/>
  <c r="D3662" i="3"/>
  <c r="D2971" i="3"/>
  <c r="D2555" i="3"/>
  <c r="D2324" i="3"/>
  <c r="E3304" i="3"/>
  <c r="E3493" i="3"/>
  <c r="D3141" i="3"/>
  <c r="D2916" i="3"/>
  <c r="D2404" i="3"/>
  <c r="E1344" i="3"/>
  <c r="D1863" i="3"/>
  <c r="E1860" i="3"/>
  <c r="D2251" i="3"/>
  <c r="D3318" i="3"/>
  <c r="D1180" i="3"/>
  <c r="E3534" i="3"/>
  <c r="E2142" i="3"/>
  <c r="E2087" i="3"/>
  <c r="D1206" i="3"/>
  <c r="D1966" i="3"/>
  <c r="E685" i="3"/>
  <c r="D1384" i="3"/>
  <c r="E925" i="3"/>
  <c r="E1645" i="3"/>
  <c r="E1603" i="3"/>
  <c r="D2135" i="3"/>
  <c r="E1913" i="3"/>
  <c r="E1209" i="3"/>
  <c r="D2814" i="3"/>
  <c r="E1405" i="3"/>
  <c r="D1266" i="3"/>
  <c r="E1121" i="3"/>
  <c r="E1430" i="3"/>
  <c r="D1724" i="3"/>
  <c r="E1282" i="3"/>
  <c r="E2221" i="3"/>
  <c r="E1938" i="3"/>
  <c r="E1845" i="3"/>
  <c r="E1980" i="3"/>
  <c r="D1505" i="3"/>
  <c r="D1306" i="3"/>
  <c r="D1310" i="3"/>
  <c r="E1352" i="3"/>
  <c r="E2250" i="3"/>
  <c r="E1869" i="3"/>
  <c r="E1716" i="3"/>
  <c r="E2900" i="3"/>
  <c r="E1971" i="3"/>
  <c r="D1819" i="3"/>
  <c r="D1498" i="3"/>
  <c r="D2886" i="3"/>
  <c r="E2278" i="3"/>
  <c r="E1093" i="3"/>
  <c r="E1408" i="3"/>
  <c r="D2086" i="3"/>
  <c r="D3186" i="3"/>
  <c r="E1356" i="3"/>
  <c r="E1039" i="3"/>
  <c r="D1362" i="3"/>
  <c r="D3139" i="3"/>
  <c r="D3118" i="3"/>
  <c r="D3073" i="3"/>
  <c r="D2704" i="3"/>
  <c r="E3531" i="3"/>
  <c r="E2395" i="3"/>
  <c r="D3275" i="3"/>
  <c r="D3074" i="3"/>
  <c r="D2705" i="3"/>
  <c r="B3663" i="3"/>
  <c r="E2937" i="3"/>
  <c r="E2880" i="3"/>
  <c r="D2189" i="3"/>
  <c r="E3435" i="3"/>
  <c r="D2565" i="3"/>
  <c r="E2494" i="3"/>
  <c r="E3494" i="3"/>
  <c r="E3185" i="3"/>
  <c r="B3458" i="3"/>
  <c r="E3031" i="3"/>
  <c r="D3023" i="3"/>
  <c r="D2822" i="3"/>
  <c r="E2447" i="3"/>
  <c r="B3668" i="3"/>
  <c r="E3657" i="3"/>
  <c r="E3492" i="3"/>
  <c r="E2907" i="3"/>
  <c r="E3658" i="3"/>
  <c r="E2064" i="3"/>
  <c r="D2322" i="3"/>
  <c r="D2895" i="3"/>
  <c r="D3653" i="3"/>
  <c r="E3345" i="3"/>
  <c r="E3228" i="3"/>
  <c r="E2643" i="3"/>
  <c r="E3656" i="3"/>
  <c r="B3361" i="3"/>
  <c r="D2890" i="3"/>
  <c r="D2881" i="3"/>
  <c r="E2511" i="3"/>
  <c r="D3507" i="3"/>
  <c r="D2902" i="3"/>
  <c r="D2893" i="3"/>
  <c r="D2524" i="3"/>
  <c r="D3531" i="3"/>
  <c r="B3365" i="3"/>
  <c r="D3250" i="3"/>
  <c r="D3193" i="3"/>
  <c r="D2824" i="3"/>
  <c r="E3677" i="3"/>
  <c r="E3008" i="3"/>
  <c r="E3287" i="3"/>
  <c r="E3014" i="3"/>
  <c r="E2705" i="3"/>
  <c r="B3609" i="3"/>
  <c r="E1736" i="3"/>
  <c r="D1792" i="3"/>
  <c r="D3018" i="3"/>
  <c r="D1237" i="3"/>
  <c r="D3606" i="3"/>
  <c r="E1496" i="3"/>
  <c r="E2394" i="3"/>
  <c r="E1057" i="3"/>
  <c r="E1024" i="3"/>
  <c r="D1518" i="3"/>
  <c r="D1295" i="3"/>
  <c r="D1274" i="3"/>
  <c r="D1964" i="3"/>
  <c r="D1337" i="3"/>
  <c r="E1108" i="3"/>
  <c r="E2179" i="3"/>
  <c r="E1241" i="3"/>
  <c r="E2201" i="3"/>
  <c r="E1521" i="3"/>
  <c r="D3102" i="3"/>
  <c r="E1804" i="3"/>
  <c r="E1568" i="3"/>
  <c r="E1450" i="3"/>
  <c r="E1816" i="3"/>
  <c r="E1279" i="3"/>
  <c r="E1583" i="3"/>
  <c r="D1441" i="3"/>
  <c r="E2226" i="3"/>
  <c r="E2133" i="3"/>
  <c r="D2562" i="3"/>
  <c r="D1817" i="3"/>
  <c r="E1604" i="3"/>
  <c r="E1607" i="3"/>
  <c r="D2211" i="3"/>
  <c r="D1207" i="3"/>
  <c r="E2157" i="3"/>
  <c r="D2201" i="3"/>
  <c r="E3188" i="3"/>
  <c r="E1125" i="3"/>
  <c r="D2107" i="3"/>
  <c r="D1786" i="3"/>
  <c r="D3174" i="3"/>
  <c r="D2901" i="3"/>
  <c r="E1528" i="3"/>
  <c r="E1699" i="3"/>
  <c r="D2374" i="3"/>
  <c r="D3474" i="3"/>
  <c r="D1650" i="3"/>
  <c r="E1397" i="3"/>
  <c r="E1655" i="3"/>
  <c r="D2207" i="3"/>
  <c r="D3442" i="3"/>
  <c r="D3361" i="3"/>
  <c r="D2992" i="3"/>
  <c r="E3305" i="3"/>
  <c r="D2924" i="3"/>
  <c r="D2225" i="3"/>
  <c r="D3362" i="3"/>
  <c r="D2993" i="3"/>
  <c r="B3661" i="3"/>
  <c r="E3285" i="3"/>
  <c r="E3168" i="3"/>
  <c r="E2583" i="3"/>
  <c r="E3567" i="3"/>
  <c r="D2985" i="3"/>
  <c r="D2784" i="3"/>
  <c r="D2118" i="3"/>
  <c r="E3523" i="3"/>
  <c r="B3551" i="3"/>
  <c r="E2476" i="3"/>
  <c r="D3311" i="3"/>
  <c r="D3110" i="3"/>
  <c r="D2741" i="3"/>
  <c r="B3639" i="3"/>
  <c r="D2530" i="3"/>
  <c r="D2557" i="3"/>
  <c r="E3195" i="3"/>
  <c r="D3505" i="3"/>
  <c r="E2637" i="3"/>
  <c r="E2640" i="3"/>
  <c r="D3183" i="3"/>
  <c r="D3604" i="3"/>
  <c r="E3681" i="3"/>
  <c r="D2177" i="3"/>
  <c r="E2931" i="3"/>
  <c r="D3675" i="3"/>
  <c r="B3316" i="3"/>
  <c r="D3226" i="3"/>
  <c r="D3169" i="3"/>
  <c r="D2800" i="3"/>
  <c r="D3677" i="3"/>
  <c r="D3238" i="3"/>
  <c r="D3181" i="3"/>
  <c r="D2812" i="3"/>
  <c r="E3611" i="3"/>
  <c r="B3180" i="3"/>
  <c r="D3574" i="3"/>
  <c r="D3481" i="3"/>
  <c r="D3112" i="3"/>
  <c r="E3679" i="3"/>
  <c r="E1701" i="3"/>
  <c r="E1996" i="3"/>
  <c r="E2331" i="3"/>
  <c r="E1543" i="3"/>
  <c r="D955" i="3"/>
  <c r="D1533" i="3"/>
  <c r="D2423" i="3"/>
  <c r="D2275" i="3"/>
  <c r="D1680" i="3"/>
  <c r="E721" i="3"/>
  <c r="E1594" i="3"/>
  <c r="E1863" i="3"/>
  <c r="D2252" i="3"/>
  <c r="E1920" i="3"/>
  <c r="D2079" i="3"/>
  <c r="E1038" i="3"/>
  <c r="E1835" i="3"/>
  <c r="E1249" i="3"/>
  <c r="E1809" i="3"/>
  <c r="D3678" i="3"/>
  <c r="E2128" i="3"/>
  <c r="E1856" i="3"/>
  <c r="D2028" i="3"/>
  <c r="E2140" i="3"/>
  <c r="E1580" i="3"/>
  <c r="E1871" i="3"/>
  <c r="E1313" i="3"/>
  <c r="E1177" i="3"/>
  <c r="E1134" i="3"/>
  <c r="D2850" i="3"/>
  <c r="D906" i="3"/>
  <c r="E1892" i="3"/>
  <c r="E1895" i="3"/>
  <c r="E1503" i="3"/>
  <c r="D1519" i="3"/>
  <c r="D1166" i="3"/>
  <c r="D2586" i="3"/>
  <c r="D2250" i="3"/>
  <c r="D1648" i="3"/>
  <c r="D1038" i="3"/>
  <c r="D2074" i="3"/>
  <c r="D3331" i="3"/>
  <c r="D3189" i="3"/>
  <c r="E1876" i="3"/>
  <c r="E1987" i="3"/>
  <c r="D1084" i="3"/>
  <c r="D3343" i="3"/>
  <c r="D1938" i="3"/>
  <c r="D1689" i="3"/>
  <c r="E1943" i="3"/>
  <c r="E2587" i="3"/>
  <c r="D2320" i="3"/>
  <c r="E2429" i="3"/>
  <c r="D2129" i="3"/>
  <c r="E3315" i="3"/>
  <c r="D3380" i="3"/>
  <c r="E2591" i="3"/>
  <c r="E2264" i="3"/>
  <c r="D3281" i="3"/>
  <c r="B3519" i="3"/>
  <c r="E3621" i="3"/>
  <c r="E3456" i="3"/>
  <c r="E2871" i="3"/>
  <c r="D3528" i="3"/>
  <c r="D3357" i="3"/>
  <c r="D3072" i="3"/>
  <c r="D2571" i="3"/>
  <c r="E3671" i="3"/>
  <c r="B3480" i="3"/>
  <c r="D2984" i="3"/>
  <c r="E2302" i="3"/>
  <c r="D3398" i="3"/>
  <c r="D3029" i="3"/>
  <c r="B3637" i="3"/>
  <c r="D2039" i="3"/>
  <c r="D1758" i="3"/>
  <c r="E2934" i="3"/>
  <c r="E2119" i="3"/>
  <c r="D2258" i="3"/>
  <c r="D1821" i="3"/>
  <c r="E2719" i="3"/>
  <c r="D1265" i="3"/>
  <c r="D1968" i="3"/>
  <c r="E1578" i="3"/>
  <c r="E1882" i="3"/>
  <c r="D861" i="3"/>
  <c r="E1532" i="3"/>
  <c r="E2500" i="3"/>
  <c r="E1887" i="3"/>
  <c r="D1976" i="3"/>
  <c r="E2123" i="3"/>
  <c r="D1554" i="3"/>
  <c r="E2097" i="3"/>
  <c r="E2730" i="3"/>
  <c r="E1111" i="3"/>
  <c r="D837" i="3"/>
  <c r="D1376" i="3"/>
  <c r="D1127" i="3"/>
  <c r="E1868" i="3"/>
  <c r="E1136" i="3"/>
  <c r="D2163" i="3"/>
  <c r="D1495" i="3"/>
  <c r="D1461" i="3"/>
  <c r="D3138" i="3"/>
  <c r="E1961" i="3"/>
  <c r="D945" i="3"/>
  <c r="E2183" i="3"/>
  <c r="E1959" i="3"/>
  <c r="D1807" i="3"/>
  <c r="D1486" i="3"/>
  <c r="D2874" i="3"/>
  <c r="D2601" i="3"/>
  <c r="D2020" i="3"/>
  <c r="D1396" i="3"/>
  <c r="E1411" i="3"/>
  <c r="D2514" i="3"/>
  <c r="D3477" i="3"/>
  <c r="E2200" i="3"/>
  <c r="E2275" i="3"/>
  <c r="D1424" i="3"/>
  <c r="E2526" i="3"/>
  <c r="E1076" i="3"/>
  <c r="D1977" i="3"/>
  <c r="E2231" i="3"/>
  <c r="E2875" i="3"/>
  <c r="E2662" i="3"/>
  <c r="E2725" i="3"/>
  <c r="E2572" i="3"/>
  <c r="D3557" i="3"/>
  <c r="D2396" i="3"/>
  <c r="E2879" i="3"/>
  <c r="E2606" i="3"/>
  <c r="E2196" i="3"/>
  <c r="B3577" i="3"/>
  <c r="E2465" i="3"/>
  <c r="D2521" i="3"/>
  <c r="E3159" i="3"/>
  <c r="D3400" i="3"/>
  <c r="E3142" i="3"/>
  <c r="D2260" i="3"/>
  <c r="D2859" i="3"/>
  <c r="D3603" i="3"/>
  <c r="B3443" i="3"/>
  <c r="D3440" i="3"/>
  <c r="E2627" i="3"/>
  <c r="E2324" i="3"/>
  <c r="D3317" i="3"/>
  <c r="B3504" i="3"/>
  <c r="D3178" i="3"/>
  <c r="D3133" i="3"/>
  <c r="D2764" i="3"/>
  <c r="D3627" i="3"/>
  <c r="E3333" i="3"/>
  <c r="E3216" i="3"/>
  <c r="E2631" i="3"/>
  <c r="E3639" i="3"/>
  <c r="D2878" i="3"/>
  <c r="D2869" i="3"/>
  <c r="E2498" i="3"/>
  <c r="E3481" i="3"/>
  <c r="B3381" i="3"/>
  <c r="D2440" i="3"/>
  <c r="E2533" i="3"/>
  <c r="E2360" i="3"/>
  <c r="D3576" i="3"/>
  <c r="D2453" i="3"/>
  <c r="E2545" i="3"/>
  <c r="E2376" i="3"/>
  <c r="D3595" i="3"/>
  <c r="B3266" i="3"/>
  <c r="E2782" i="3"/>
  <c r="E2845" i="3"/>
  <c r="D2196" i="3"/>
  <c r="D2046" i="3"/>
  <c r="D3247" i="3"/>
  <c r="E913" i="3"/>
  <c r="E1231" i="3"/>
  <c r="D1134" i="3"/>
  <c r="E2489" i="3"/>
  <c r="E1855" i="3"/>
  <c r="E1608" i="3"/>
  <c r="D1077" i="3"/>
  <c r="E1226" i="3"/>
  <c r="E1467" i="3"/>
  <c r="E1820" i="3"/>
  <c r="D3366" i="3"/>
  <c r="D1936" i="3"/>
  <c r="D2264" i="3"/>
  <c r="E1425" i="3"/>
  <c r="E868" i="3"/>
  <c r="E1082" i="3"/>
  <c r="E3018" i="3"/>
  <c r="D1781" i="3"/>
  <c r="E1306" i="3"/>
  <c r="E1668" i="3"/>
  <c r="D1793" i="3"/>
  <c r="E877" i="3"/>
  <c r="D1463" i="3"/>
  <c r="D1379" i="3"/>
  <c r="D1783" i="3"/>
  <c r="D1750" i="3"/>
  <c r="D3426" i="3"/>
  <c r="E825" i="3"/>
  <c r="E1346" i="3"/>
  <c r="D1169" i="3"/>
  <c r="E1110" i="3"/>
  <c r="D2095" i="3"/>
  <c r="D1774" i="3"/>
  <c r="D3162" i="3"/>
  <c r="D2889" i="3"/>
  <c r="E1052" i="3"/>
  <c r="E1687" i="3"/>
  <c r="E1702" i="3"/>
  <c r="E2802" i="3"/>
  <c r="E3214" i="3"/>
  <c r="D1205" i="3"/>
  <c r="E1178" i="3"/>
  <c r="E1714" i="3"/>
  <c r="D1428" i="3"/>
  <c r="D1420" i="3"/>
  <c r="D2265" i="3"/>
  <c r="D1228" i="3"/>
  <c r="D3378" i="3"/>
  <c r="E2962" i="3"/>
  <c r="E3013" i="3"/>
  <c r="E2860" i="3"/>
  <c r="E3457" i="3"/>
  <c r="E2840" i="3"/>
  <c r="E3167" i="3"/>
  <c r="E2894" i="3"/>
  <c r="E2585" i="3"/>
  <c r="B3566" i="3"/>
  <c r="D2818" i="3"/>
  <c r="D2809" i="3"/>
  <c r="D2432" i="3"/>
  <c r="D3650" i="3"/>
  <c r="E2589" i="3"/>
  <c r="E2604" i="3"/>
  <c r="D3147" i="3"/>
  <c r="D3688" i="3"/>
  <c r="B3425" i="3"/>
  <c r="D2438" i="3"/>
  <c r="E2915" i="3"/>
  <c r="E2642" i="3"/>
  <c r="D2292" i="3"/>
  <c r="B3539" i="3"/>
  <c r="D3514" i="3"/>
  <c r="D3421" i="3"/>
  <c r="D3052" i="3"/>
  <c r="E3509" i="3"/>
  <c r="E3669" i="3"/>
  <c r="D2105" i="3"/>
  <c r="E2919" i="3"/>
  <c r="D3674" i="3"/>
  <c r="D3202" i="3"/>
  <c r="D3157" i="3"/>
  <c r="D2788" i="3"/>
  <c r="D3661" i="3"/>
  <c r="B3196" i="3"/>
  <c r="E2758" i="3"/>
  <c r="E2821" i="3"/>
  <c r="E2668" i="3"/>
  <c r="E3488" i="3"/>
  <c r="E2770" i="3"/>
  <c r="E2833" i="3"/>
  <c r="E2680" i="3"/>
  <c r="E3514" i="3"/>
  <c r="E3102" i="3"/>
  <c r="E3106" i="3"/>
  <c r="E3133" i="3"/>
  <c r="E2980" i="3"/>
  <c r="E3377" i="3"/>
  <c r="D3489" i="3"/>
  <c r="D3168" i="3"/>
  <c r="D2667" i="3"/>
  <c r="E3624" i="3"/>
  <c r="B3536" i="3"/>
  <c r="D3274" i="3"/>
  <c r="D3217" i="3"/>
  <c r="D2848" i="3"/>
  <c r="D3364" i="3"/>
  <c r="D3596" i="3"/>
  <c r="E2735" i="3"/>
  <c r="E2457" i="3"/>
  <c r="D3425" i="3"/>
  <c r="B3478" i="3"/>
  <c r="E3453" i="3"/>
  <c r="E3312" i="3"/>
  <c r="E2727" i="3"/>
  <c r="D3691" i="3"/>
  <c r="B3305" i="3"/>
  <c r="D2662" i="3"/>
  <c r="D2677" i="3"/>
  <c r="E2237" i="3"/>
  <c r="E3293" i="3"/>
  <c r="E2411" i="3"/>
  <c r="D2468" i="3"/>
  <c r="D3015" i="3"/>
  <c r="D3432" i="3"/>
  <c r="D1827" i="3"/>
  <c r="E1818" i="3"/>
  <c r="D2395" i="3"/>
  <c r="D2204" i="3"/>
  <c r="D1430" i="3"/>
  <c r="E2037" i="3"/>
  <c r="D3356" i="3"/>
  <c r="E2143" i="3"/>
  <c r="E1896" i="3"/>
  <c r="E1420" i="3"/>
  <c r="D1535" i="3"/>
  <c r="E820" i="3"/>
  <c r="E1266" i="3"/>
  <c r="D3654" i="3"/>
  <c r="E861" i="3"/>
  <c r="D1238" i="3"/>
  <c r="D2004" i="3"/>
  <c r="D1317" i="3"/>
  <c r="E1423" i="3"/>
  <c r="E3306" i="3"/>
  <c r="D781" i="3"/>
  <c r="D1605" i="3"/>
  <c r="E1956" i="3"/>
  <c r="D825" i="3"/>
  <c r="E1320" i="3"/>
  <c r="D1752" i="3"/>
  <c r="E1935" i="3"/>
  <c r="D2071" i="3"/>
  <c r="D2038" i="3"/>
  <c r="E3654" i="3"/>
  <c r="E1303" i="3"/>
  <c r="D1641" i="3"/>
  <c r="D1488" i="3"/>
  <c r="D1624" i="3"/>
  <c r="E1016" i="3"/>
  <c r="D2062" i="3"/>
  <c r="D3450" i="3"/>
  <c r="D3177" i="3"/>
  <c r="E1516" i="3"/>
  <c r="D1163" i="3"/>
  <c r="E1990" i="3"/>
  <c r="E3090" i="3"/>
  <c r="E2553" i="3"/>
  <c r="D1541" i="3"/>
  <c r="D1496" i="3"/>
  <c r="E2002" i="3"/>
  <c r="E1742" i="3"/>
  <c r="E1710" i="3"/>
  <c r="D880" i="3"/>
  <c r="D1536" i="3"/>
  <c r="D2332" i="3"/>
  <c r="E2384" i="3"/>
  <c r="E3301" i="3"/>
  <c r="E3148" i="3"/>
  <c r="E3421" i="3"/>
  <c r="E3272" i="3"/>
  <c r="E3455" i="3"/>
  <c r="E3182" i="3"/>
  <c r="E2873" i="3"/>
  <c r="B3510" i="3"/>
  <c r="D3142" i="3"/>
  <c r="D3097" i="3"/>
  <c r="D2728" i="3"/>
  <c r="E3572" i="3"/>
  <c r="E2949" i="3"/>
  <c r="E2892" i="3"/>
  <c r="D2237" i="3"/>
  <c r="D3472" i="3"/>
  <c r="B3420" i="3"/>
  <c r="E2876" i="3"/>
  <c r="E3203" i="3"/>
  <c r="E2930" i="3"/>
  <c r="E2621" i="3"/>
  <c r="B3546" i="3"/>
  <c r="D2399" i="3"/>
  <c r="D2496" i="3"/>
  <c r="D2310" i="3"/>
  <c r="E3511" i="3"/>
  <c r="D2542" i="3"/>
  <c r="D2569" i="3"/>
  <c r="E3207" i="3"/>
  <c r="D3529" i="3"/>
  <c r="D3538" i="3"/>
  <c r="D3445" i="3"/>
  <c r="D3076" i="3"/>
  <c r="D3555" i="3"/>
  <c r="E2886" i="3"/>
  <c r="E3058" i="3"/>
  <c r="E3109" i="3"/>
  <c r="E2956" i="3"/>
  <c r="E3006" i="3"/>
  <c r="D1010" i="3"/>
  <c r="E2106" i="3"/>
  <c r="E2695" i="3"/>
  <c r="E1164" i="3"/>
  <c r="D2236" i="3"/>
  <c r="E1360" i="3"/>
  <c r="D2490" i="3"/>
  <c r="D1652" i="3"/>
  <c r="E2474" i="3"/>
  <c r="D1711" i="3"/>
  <c r="D2111" i="3"/>
  <c r="D1367" i="3"/>
  <c r="D1857" i="3"/>
  <c r="E2407" i="3"/>
  <c r="E1380" i="3"/>
  <c r="E1544" i="3"/>
  <c r="D1350" i="3"/>
  <c r="E2190" i="3"/>
  <c r="D2002" i="3"/>
  <c r="E3594" i="3"/>
  <c r="E1925" i="3"/>
  <c r="D2181" i="3"/>
  <c r="D2538" i="3"/>
  <c r="E1937" i="3"/>
  <c r="D1617" i="3"/>
  <c r="D2040" i="3"/>
  <c r="E1072" i="3"/>
  <c r="E968" i="3"/>
  <c r="D2326" i="3"/>
  <c r="E3054" i="3"/>
  <c r="D1602" i="3"/>
  <c r="D2217" i="3"/>
  <c r="D1776" i="3"/>
  <c r="D2008" i="3"/>
  <c r="E1383" i="3"/>
  <c r="D2350" i="3"/>
  <c r="D3319" i="3"/>
  <c r="D3465" i="3"/>
  <c r="E1864" i="3"/>
  <c r="D1484" i="3"/>
  <c r="E949" i="3"/>
  <c r="E3378" i="3"/>
  <c r="E2841" i="3"/>
  <c r="D1853" i="3"/>
  <c r="D1784" i="3"/>
  <c r="E976" i="3"/>
  <c r="D1539" i="3"/>
  <c r="E1998" i="3"/>
  <c r="D1321" i="3"/>
  <c r="D1824" i="3"/>
  <c r="D3439" i="3"/>
  <c r="D2687" i="3"/>
  <c r="E2483" i="3"/>
  <c r="E3436" i="3"/>
  <c r="D3563" i="3"/>
  <c r="D2541" i="3"/>
  <c r="E2467" i="3"/>
  <c r="E3470" i="3"/>
  <c r="E3161" i="3"/>
  <c r="B3474" i="3"/>
  <c r="D3466" i="3"/>
  <c r="D3385" i="3"/>
  <c r="D3016" i="3"/>
  <c r="E3409" i="3"/>
  <c r="E3297" i="3"/>
  <c r="E3180" i="3"/>
  <c r="E2595" i="3"/>
  <c r="E3587" i="3"/>
  <c r="B3393" i="3"/>
  <c r="E3308" i="3"/>
  <c r="E3491" i="3"/>
  <c r="E3218" i="3"/>
  <c r="E2909" i="3"/>
  <c r="B3495" i="3"/>
  <c r="E2722" i="3"/>
  <c r="E2785" i="3"/>
  <c r="E2632" i="3"/>
  <c r="E3375" i="3"/>
  <c r="D2866" i="3"/>
  <c r="D2857" i="3"/>
  <c r="E2485" i="3"/>
  <c r="E3445" i="3"/>
  <c r="E2426" i="3"/>
  <c r="E2521" i="3"/>
  <c r="D2345" i="3"/>
  <c r="D3556" i="3"/>
  <c r="D2707" i="3"/>
  <c r="E2492" i="3"/>
  <c r="E2180" i="3"/>
  <c r="E3244" i="3"/>
  <c r="D2743" i="3"/>
  <c r="E2506" i="3"/>
  <c r="D2231" i="3"/>
  <c r="E1984" i="3"/>
  <c r="D1951" i="3"/>
  <c r="E3271" i="3"/>
  <c r="E2060" i="3"/>
  <c r="E1684" i="3"/>
  <c r="D1942" i="3"/>
  <c r="E3068" i="3"/>
  <c r="D2228" i="3"/>
  <c r="D3054" i="3"/>
  <c r="D1999" i="3"/>
  <c r="D1213" i="3"/>
  <c r="D1053" i="3"/>
  <c r="D1181" i="3"/>
  <c r="E2994" i="3"/>
  <c r="E1744" i="3"/>
  <c r="E1832" i="3"/>
  <c r="E1644" i="3"/>
  <c r="D1130" i="3"/>
  <c r="D2290" i="3"/>
  <c r="E2462" i="3"/>
  <c r="E2213" i="3"/>
  <c r="D2469" i="3"/>
  <c r="D2826" i="3"/>
  <c r="D721" i="3"/>
  <c r="D2193" i="3"/>
  <c r="D1026" i="3"/>
  <c r="D1552" i="3"/>
  <c r="D1358" i="3"/>
  <c r="E1000" i="3"/>
  <c r="E3342" i="3"/>
  <c r="D1890" i="3"/>
  <c r="D2505" i="3"/>
  <c r="D2064" i="3"/>
  <c r="D1033" i="3"/>
  <c r="E1675" i="3"/>
  <c r="E1041" i="3"/>
  <c r="D2501" i="3"/>
  <c r="E3190" i="3"/>
  <c r="D1529" i="3"/>
  <c r="D1772" i="3"/>
  <c r="E1348" i="3"/>
  <c r="D3307" i="3"/>
  <c r="E3129" i="3"/>
  <c r="E990" i="3"/>
  <c r="D2072" i="3"/>
  <c r="E1361" i="3"/>
  <c r="D2367" i="3"/>
  <c r="E2286" i="3"/>
  <c r="E1617" i="3"/>
  <c r="D2112" i="3"/>
  <c r="E2935" i="3"/>
  <c r="D2975" i="3"/>
  <c r="D2774" i="3"/>
  <c r="E2392" i="3"/>
  <c r="B3625" i="3"/>
  <c r="D2961" i="3"/>
  <c r="D2760" i="3"/>
  <c r="D3435" i="3"/>
  <c r="D3583" i="3"/>
  <c r="B3563" i="3"/>
  <c r="E2352" i="3"/>
  <c r="D2456" i="3"/>
  <c r="D2238" i="3"/>
  <c r="D3412" i="3"/>
  <c r="E3633" i="3"/>
  <c r="E3468" i="3"/>
  <c r="E2883" i="3"/>
  <c r="E3550" i="3"/>
  <c r="B3348" i="3"/>
  <c r="D2577" i="3"/>
  <c r="E2507" i="3"/>
  <c r="E3506" i="3"/>
  <c r="E3197" i="3"/>
  <c r="E2598" i="3"/>
  <c r="E3022" i="3"/>
  <c r="E3073" i="3"/>
  <c r="E2920" i="3"/>
  <c r="E3577" i="3"/>
  <c r="D3190" i="3"/>
  <c r="D3145" i="3"/>
  <c r="D2776" i="3"/>
  <c r="E3643" i="3"/>
  <c r="E2746" i="3"/>
  <c r="E2809" i="3"/>
  <c r="E2656" i="3"/>
  <c r="D3456" i="3"/>
  <c r="D2502" i="3"/>
  <c r="D2783" i="3"/>
  <c r="D2582" i="3"/>
  <c r="E3532" i="3"/>
  <c r="E2527" i="3"/>
  <c r="D2795" i="3"/>
  <c r="D2594" i="3"/>
  <c r="E3544" i="3"/>
  <c r="B3646" i="3"/>
  <c r="E3151" i="3"/>
  <c r="D3095" i="3"/>
  <c r="D2894" i="3"/>
  <c r="D2525" i="3"/>
  <c r="B3620" i="3"/>
  <c r="E3057" i="3"/>
  <c r="E2988" i="3"/>
  <c r="E2390" i="3"/>
  <c r="E3694" i="3"/>
  <c r="B3350" i="3"/>
  <c r="E2806" i="3"/>
  <c r="E1806" i="3"/>
  <c r="E1819" i="3"/>
  <c r="E2463" i="3"/>
  <c r="D1809" i="3"/>
  <c r="E1393" i="3"/>
  <c r="D1268" i="3"/>
  <c r="D2769" i="3"/>
  <c r="E1508" i="3"/>
  <c r="D3342" i="3"/>
  <c r="E1278" i="3"/>
  <c r="E1811" i="3"/>
  <c r="D1431" i="3"/>
  <c r="E1497" i="3"/>
  <c r="E3282" i="3"/>
  <c r="E1074" i="3"/>
  <c r="E740" i="3"/>
  <c r="E1932" i="3"/>
  <c r="D1458" i="3"/>
  <c r="D1335" i="3"/>
  <c r="D2755" i="3"/>
  <c r="D1263" i="3"/>
  <c r="E1533" i="3"/>
  <c r="D3114" i="3"/>
  <c r="D1277" i="3"/>
  <c r="D2481" i="3"/>
  <c r="E1388" i="3"/>
  <c r="D1984" i="3"/>
  <c r="E1651" i="3"/>
  <c r="D1374" i="3"/>
  <c r="E3630" i="3"/>
  <c r="E992" i="3"/>
  <c r="D1267" i="3"/>
  <c r="E1065" i="3"/>
  <c r="D1468" i="3"/>
  <c r="E1963" i="3"/>
  <c r="D1399" i="3"/>
  <c r="E2790" i="3"/>
  <c r="E2541" i="3"/>
  <c r="D1841" i="3"/>
  <c r="D2060" i="3"/>
  <c r="D1643" i="3"/>
  <c r="D2539" i="3"/>
  <c r="E3417" i="3"/>
  <c r="D1394" i="3"/>
  <c r="E944" i="3"/>
  <c r="D1655" i="3"/>
  <c r="E1563" i="3"/>
  <c r="E1250" i="3"/>
  <c r="E1905" i="3"/>
  <c r="D1137" i="3"/>
  <c r="D2333" i="3"/>
  <c r="D3263" i="3"/>
  <c r="D3062" i="3"/>
  <c r="D2693" i="3"/>
  <c r="B3671" i="3"/>
  <c r="D3333" i="3"/>
  <c r="D3048" i="3"/>
  <c r="D2547" i="3"/>
  <c r="D3671" i="3"/>
  <c r="B3496" i="3"/>
  <c r="E2686" i="3"/>
  <c r="E2749" i="3"/>
  <c r="E2596" i="3"/>
  <c r="E3595" i="3"/>
  <c r="E2478" i="3"/>
  <c r="D2533" i="3"/>
  <c r="E3171" i="3"/>
  <c r="E3442" i="3"/>
  <c r="B3351" i="3"/>
  <c r="D2997" i="3"/>
  <c r="D2796" i="3"/>
  <c r="E2184" i="3"/>
  <c r="E3607" i="3"/>
  <c r="D2623" i="3"/>
  <c r="E2453" i="3"/>
  <c r="E3361" i="3"/>
  <c r="E3208" i="3"/>
  <c r="E3560" i="3"/>
  <c r="D3526" i="3"/>
  <c r="D3433" i="3"/>
  <c r="D3064" i="3"/>
  <c r="E2814" i="3"/>
  <c r="E3046" i="3"/>
  <c r="E3097" i="3"/>
  <c r="E2944" i="3"/>
  <c r="D3615" i="3"/>
  <c r="E3103" i="3"/>
  <c r="D3071" i="3"/>
  <c r="D2870" i="3"/>
  <c r="E2499" i="3"/>
  <c r="E3115" i="3"/>
  <c r="D3083" i="3"/>
  <c r="D2882" i="3"/>
  <c r="E2512" i="3"/>
  <c r="B3628" i="3"/>
  <c r="E2094" i="3"/>
  <c r="E1318" i="3"/>
  <c r="D3620" i="3"/>
  <c r="D2385" i="3"/>
  <c r="D1709" i="3"/>
  <c r="E1570" i="3"/>
  <c r="E1243" i="3"/>
  <c r="E1238" i="3"/>
  <c r="D2380" i="3"/>
  <c r="E1579" i="3"/>
  <c r="E1045" i="3"/>
  <c r="D1745" i="3"/>
  <c r="E1785" i="3"/>
  <c r="D2436" i="3"/>
  <c r="E1443" i="3"/>
  <c r="D1581" i="3"/>
  <c r="E2513" i="3"/>
  <c r="D1747" i="3"/>
  <c r="E1918" i="3"/>
  <c r="D3043" i="3"/>
  <c r="D1566" i="3"/>
  <c r="E2109" i="3"/>
  <c r="D3402" i="3"/>
  <c r="D1578" i="3"/>
  <c r="D1239" i="3"/>
  <c r="E1680" i="3"/>
  <c r="E988" i="3"/>
  <c r="E1939" i="3"/>
  <c r="D844" i="3"/>
  <c r="E2501" i="3"/>
  <c r="E1662" i="3"/>
  <c r="E1569" i="3"/>
  <c r="E1413" i="3"/>
  <c r="E1852" i="3"/>
  <c r="E2251" i="3"/>
  <c r="E1690" i="3"/>
  <c r="E3078" i="3"/>
  <c r="E3405" i="3"/>
  <c r="E964" i="3"/>
  <c r="D916" i="3"/>
  <c r="D1931" i="3"/>
  <c r="D2827" i="3"/>
  <c r="D3670" i="3"/>
  <c r="E1709" i="3"/>
  <c r="D1346" i="3"/>
  <c r="D1943" i="3"/>
  <c r="E2079" i="3"/>
  <c r="D1555" i="3"/>
  <c r="E2193" i="3"/>
  <c r="D1464" i="3"/>
  <c r="D2888" i="3"/>
  <c r="E2168" i="3"/>
  <c r="D3350" i="3"/>
  <c r="D2981" i="3"/>
  <c r="B3669" i="3"/>
  <c r="D3693" i="3"/>
  <c r="E2172" i="3"/>
  <c r="D2835" i="3"/>
  <c r="E3564" i="3"/>
  <c r="D3666" i="3"/>
  <c r="E2986" i="3"/>
  <c r="E3037" i="3"/>
  <c r="E2884" i="3"/>
  <c r="D3516" i="3"/>
  <c r="D2830" i="3"/>
  <c r="D2821" i="3"/>
  <c r="E2446" i="3"/>
  <c r="E3298" i="3"/>
  <c r="B3306" i="3"/>
  <c r="D3369" i="3"/>
  <c r="D3084" i="3"/>
  <c r="D2583" i="3"/>
  <c r="D3547" i="3"/>
  <c r="E2408" i="3"/>
  <c r="D2747" i="3"/>
  <c r="D2546" i="3"/>
  <c r="E3496" i="3"/>
  <c r="B3678" i="3"/>
  <c r="E2412" i="3"/>
  <c r="D2509" i="3"/>
  <c r="E2327" i="3"/>
  <c r="D2683" i="3"/>
  <c r="E2479" i="3"/>
  <c r="E2112" i="3"/>
  <c r="E3232" i="3"/>
  <c r="E3599" i="3"/>
  <c r="D2564" i="3"/>
  <c r="D3359" i="3"/>
  <c r="D3158" i="3"/>
  <c r="D2789" i="3"/>
  <c r="D2576" i="3"/>
  <c r="D3371" i="3"/>
  <c r="D3170" i="3"/>
  <c r="D2801" i="3"/>
  <c r="B3690" i="3"/>
  <c r="D3092" i="3"/>
  <c r="D2400" i="3"/>
  <c r="D3470" i="3"/>
  <c r="D3101" i="3"/>
  <c r="B3672" i="3"/>
  <c r="E2076" i="3"/>
  <c r="D2304" i="3"/>
  <c r="E2979" i="3"/>
  <c r="E1807" i="3"/>
  <c r="D1195" i="3"/>
  <c r="D2464" i="3"/>
  <c r="E1347" i="3"/>
  <c r="D2021" i="3"/>
  <c r="E1858" i="3"/>
  <c r="D2294" i="3"/>
  <c r="D1545" i="3"/>
  <c r="E2682" i="3"/>
  <c r="D994" i="3"/>
  <c r="D1980" i="3"/>
  <c r="E1276" i="3"/>
  <c r="E2073" i="3"/>
  <c r="D2731" i="3"/>
  <c r="D1290" i="3"/>
  <c r="D1869" i="3"/>
  <c r="D2802" i="3"/>
  <c r="D2035" i="3"/>
  <c r="E2206" i="3"/>
  <c r="D2489" i="3"/>
  <c r="D1854" i="3"/>
  <c r="E1100" i="3"/>
  <c r="D2449" i="3"/>
  <c r="D1866" i="3"/>
  <c r="E1545" i="3"/>
  <c r="E1968" i="3"/>
  <c r="D1443" i="3"/>
  <c r="E2227" i="3"/>
  <c r="E1309" i="3"/>
  <c r="D2791" i="3"/>
  <c r="E1950" i="3"/>
  <c r="E1857" i="3"/>
  <c r="E1704" i="3"/>
  <c r="E2176" i="3"/>
  <c r="E1147" i="3"/>
  <c r="E1978" i="3"/>
  <c r="E3366" i="3"/>
  <c r="E3693" i="3"/>
  <c r="E1381" i="3"/>
  <c r="D1333" i="3"/>
  <c r="E921" i="3"/>
  <c r="D3115" i="3"/>
  <c r="E2517" i="3"/>
  <c r="E1997" i="3"/>
  <c r="E1640" i="3"/>
  <c r="D952" i="3"/>
  <c r="E1158" i="3"/>
  <c r="D1843" i="3"/>
  <c r="D1210" i="3"/>
  <c r="E1752" i="3"/>
  <c r="D3368" i="3"/>
  <c r="E2579" i="3"/>
  <c r="D2232" i="3"/>
  <c r="D3269" i="3"/>
  <c r="B3541" i="3"/>
  <c r="E2565" i="3"/>
  <c r="E2580" i="3"/>
  <c r="D3123" i="3"/>
  <c r="E3637" i="3"/>
  <c r="D2408" i="3"/>
  <c r="E2413" i="3"/>
  <c r="E3325" i="3"/>
  <c r="E3172" i="3"/>
  <c r="D3493" i="3"/>
  <c r="D3154" i="3"/>
  <c r="D3109" i="3"/>
  <c r="D2740" i="3"/>
  <c r="E3591" i="3"/>
  <c r="B3228" i="3"/>
  <c r="E3154" i="3"/>
  <c r="E2284" i="3"/>
  <c r="D2871" i="3"/>
  <c r="E3619" i="3"/>
  <c r="E3055" i="3"/>
  <c r="D3035" i="3"/>
  <c r="D2834" i="3"/>
  <c r="E2460" i="3"/>
  <c r="B3660" i="3"/>
  <c r="E2734" i="3"/>
  <c r="E2797" i="3"/>
  <c r="E2644" i="3"/>
  <c r="D2476" i="3"/>
  <c r="D2361" i="3"/>
  <c r="D1509" i="3"/>
  <c r="E3332" i="3"/>
  <c r="D1642" i="3"/>
  <c r="E1233" i="3"/>
  <c r="E2146" i="3"/>
  <c r="E856" i="3"/>
  <c r="D1833" i="3"/>
  <c r="D1351" i="3"/>
  <c r="E1371" i="3"/>
  <c r="E889" i="3"/>
  <c r="E1601" i="3"/>
  <c r="E1398" i="3"/>
  <c r="D3379" i="3"/>
  <c r="E1613" i="3"/>
  <c r="D2445" i="3"/>
  <c r="E1837" i="3"/>
  <c r="D873" i="3"/>
  <c r="E1268" i="3"/>
  <c r="E2779" i="3"/>
  <c r="D909" i="3"/>
  <c r="D1436" i="3"/>
  <c r="E2742" i="3"/>
  <c r="E940" i="3"/>
  <c r="E2121" i="3"/>
  <c r="D2550" i="3"/>
  <c r="E1828" i="3"/>
  <c r="D1115" i="3"/>
  <c r="D1607" i="3"/>
  <c r="E1027" i="3"/>
  <c r="E2238" i="3"/>
  <c r="E2145" i="3"/>
  <c r="E2136" i="3"/>
  <c r="D1174" i="3"/>
  <c r="E1471" i="3"/>
  <c r="D921" i="3"/>
  <c r="D2815" i="3"/>
  <c r="E2504" i="3"/>
  <c r="E1697" i="3"/>
  <c r="E1628" i="3"/>
  <c r="D1336" i="3"/>
  <c r="E2016" i="3"/>
  <c r="D2806" i="3"/>
  <c r="D940" i="3"/>
  <c r="E1928" i="3"/>
  <c r="D1349" i="3"/>
  <c r="D1672" i="3"/>
  <c r="D2131" i="3"/>
  <c r="D1522" i="3"/>
  <c r="E2292" i="3"/>
  <c r="D2382" i="3"/>
  <c r="E2867" i="3"/>
  <c r="E2594" i="3"/>
  <c r="E2132" i="3"/>
  <c r="B3586" i="3"/>
  <c r="E2925" i="3"/>
  <c r="E2868" i="3"/>
  <c r="E2120" i="3"/>
  <c r="E3394" i="3"/>
  <c r="E2144" i="3"/>
  <c r="D2711" i="3"/>
  <c r="E2509" i="3"/>
  <c r="E3460" i="3"/>
  <c r="E3600" i="3"/>
  <c r="D3478" i="3"/>
  <c r="D3397" i="3"/>
  <c r="D3028" i="3"/>
  <c r="E3449" i="3"/>
  <c r="B3183" i="3"/>
  <c r="D1082" i="3"/>
  <c r="D2373" i="3"/>
  <c r="D2102" i="3"/>
  <c r="D1930" i="3"/>
  <c r="E1853" i="3"/>
  <c r="D1511" i="3"/>
  <c r="E1245" i="3"/>
  <c r="D2121" i="3"/>
  <c r="D931" i="3"/>
  <c r="D1664" i="3"/>
  <c r="D1324" i="3"/>
  <c r="E2177" i="3"/>
  <c r="D1690" i="3"/>
  <c r="E2755" i="3"/>
  <c r="E1901" i="3"/>
  <c r="E1509" i="3"/>
  <c r="E1156" i="3"/>
  <c r="E1615" i="3"/>
  <c r="D1571" i="3"/>
  <c r="D2552" i="3"/>
  <c r="E1626" i="3"/>
  <c r="D1726" i="3"/>
  <c r="E3606" i="3"/>
  <c r="E1638" i="3"/>
  <c r="D1118" i="3"/>
  <c r="D2838" i="3"/>
  <c r="E2152" i="3"/>
  <c r="D2024" i="3"/>
  <c r="D1895" i="3"/>
  <c r="E1339" i="3"/>
  <c r="D1193" i="3"/>
  <c r="E1149" i="3"/>
  <c r="D2574" i="3"/>
  <c r="D1517" i="3"/>
  <c r="D1760" i="3"/>
  <c r="E1335" i="3"/>
  <c r="D3103" i="3"/>
  <c r="D2794" i="3"/>
  <c r="E1985" i="3"/>
  <c r="E1916" i="3"/>
  <c r="E1631" i="3"/>
  <c r="E2563" i="3"/>
  <c r="D3094" i="3"/>
  <c r="E1342" i="3"/>
  <c r="D1018" i="3"/>
  <c r="E1643" i="3"/>
  <c r="D2044" i="3"/>
  <c r="E1077" i="3"/>
  <c r="D1810" i="3"/>
  <c r="D2622" i="3"/>
  <c r="E2828" i="3"/>
  <c r="E3155" i="3"/>
  <c r="E2882" i="3"/>
  <c r="E2573" i="3"/>
  <c r="B3579" i="3"/>
  <c r="E3273" i="3"/>
  <c r="E3156" i="3"/>
  <c r="E2571" i="3"/>
  <c r="E3548" i="3"/>
  <c r="E2995" i="3"/>
  <c r="D2999" i="3"/>
  <c r="D2798" i="3"/>
  <c r="E2419" i="3"/>
  <c r="B3684" i="3"/>
  <c r="E2369" i="3"/>
  <c r="E2469" i="3"/>
  <c r="D2268" i="3"/>
  <c r="E3452" i="3"/>
  <c r="B3122" i="3"/>
  <c r="E2973" i="3"/>
  <c r="E2904" i="3"/>
  <c r="E2266" i="3"/>
  <c r="E3500" i="3"/>
  <c r="D2996" i="3"/>
  <c r="D2321" i="3"/>
  <c r="D3410" i="3"/>
  <c r="D3041" i="3"/>
  <c r="D2647" i="3"/>
  <c r="E2466" i="3"/>
  <c r="E3373" i="3"/>
  <c r="E3220" i="3"/>
  <c r="D2540" i="3"/>
  <c r="D3347" i="3"/>
  <c r="D3146" i="3"/>
  <c r="D2777" i="3"/>
  <c r="B3615" i="3"/>
  <c r="E2540" i="3"/>
  <c r="E2963" i="3"/>
  <c r="E2690" i="3"/>
  <c r="E2362" i="3"/>
  <c r="E2552" i="3"/>
  <c r="E2975" i="3"/>
  <c r="E2702" i="3"/>
  <c r="E2378" i="3"/>
  <c r="B3465" i="3"/>
  <c r="E2996" i="3"/>
  <c r="E3275" i="3"/>
  <c r="E3002" i="3"/>
  <c r="E2693" i="3"/>
  <c r="B3616" i="3"/>
  <c r="D3262" i="3"/>
  <c r="D3205" i="3"/>
  <c r="D2836" i="3"/>
  <c r="D3304" i="3"/>
  <c r="D2636" i="3"/>
  <c r="D3407" i="3"/>
  <c r="D3206" i="3"/>
  <c r="D2837" i="3"/>
  <c r="B3666" i="3"/>
  <c r="E2733" i="3"/>
  <c r="D2194" i="3"/>
  <c r="D1100" i="3"/>
  <c r="D1875" i="3"/>
  <c r="D2506" i="3"/>
  <c r="E2141" i="3"/>
  <c r="D1799" i="3"/>
  <c r="E1839" i="3"/>
  <c r="D1149" i="3"/>
  <c r="E1851" i="3"/>
  <c r="D2240" i="3"/>
  <c r="E1620" i="3"/>
  <c r="D1220" i="3"/>
  <c r="E841" i="3"/>
  <c r="D2528" i="3"/>
  <c r="E2189" i="3"/>
  <c r="E2085" i="3"/>
  <c r="D1327" i="3"/>
  <c r="E1903" i="3"/>
  <c r="D1859" i="3"/>
  <c r="D2840" i="3"/>
  <c r="E1914" i="3"/>
  <c r="D2014" i="3"/>
  <c r="E2475" i="3"/>
  <c r="E1926" i="3"/>
  <c r="E1448" i="3"/>
  <c r="D3126" i="3"/>
  <c r="D1144" i="3"/>
  <c r="D793" i="3"/>
  <c r="D805" i="3"/>
  <c r="D2187" i="3"/>
  <c r="D1507" i="3"/>
  <c r="E1473" i="3"/>
  <c r="D2862" i="3"/>
  <c r="D1829" i="3"/>
  <c r="D2048" i="3"/>
  <c r="E885" i="3"/>
  <c r="D3463" i="3"/>
  <c r="D3082" i="3"/>
  <c r="E908" i="3"/>
  <c r="E997" i="3"/>
  <c r="E1919" i="3"/>
  <c r="E2851" i="3"/>
  <c r="D3382" i="3"/>
  <c r="D1638" i="3"/>
  <c r="D1385" i="3"/>
  <c r="E1931" i="3"/>
  <c r="D1111" i="3"/>
  <c r="D1421" i="3"/>
  <c r="D2098" i="3"/>
  <c r="D2910" i="3"/>
  <c r="E3260" i="3"/>
  <c r="E3443" i="3"/>
  <c r="E3170" i="3"/>
  <c r="E2861" i="3"/>
  <c r="B3515" i="3"/>
  <c r="E3609" i="3"/>
  <c r="E3444" i="3"/>
  <c r="E2859" i="3"/>
  <c r="D3504" i="3"/>
  <c r="E2409" i="3"/>
  <c r="D3287" i="3"/>
  <c r="D3086" i="3"/>
  <c r="D2717" i="3"/>
  <c r="B3655" i="3"/>
  <c r="E2698" i="3"/>
  <c r="E2761" i="3"/>
  <c r="E2608" i="3"/>
  <c r="E3683" i="3"/>
  <c r="B3224" i="3"/>
  <c r="E3309" i="3"/>
  <c r="E3192" i="3"/>
  <c r="E2607" i="3"/>
  <c r="D3605" i="3"/>
  <c r="D3452" i="3"/>
  <c r="E2639" i="3"/>
  <c r="E2341" i="3"/>
  <c r="D3329" i="3"/>
  <c r="E2436" i="3"/>
  <c r="D2759" i="3"/>
  <c r="D2558" i="3"/>
  <c r="E3508" i="3"/>
  <c r="D3020" i="3"/>
  <c r="E2355" i="3"/>
  <c r="D3434" i="3"/>
  <c r="D3065" i="3"/>
  <c r="B3696" i="3"/>
  <c r="E1336" i="3"/>
  <c r="E918" i="3"/>
  <c r="D2224" i="3"/>
  <c r="E1254" i="3"/>
  <c r="D2070" i="3"/>
  <c r="E1787" i="3"/>
  <c r="D709" i="3"/>
  <c r="D1473" i="3"/>
  <c r="E2307" i="3"/>
  <c r="E1208" i="3"/>
  <c r="E2487" i="3"/>
  <c r="D1818" i="3"/>
  <c r="D1309" i="3"/>
  <c r="D2816" i="3"/>
  <c r="D1234" i="3"/>
  <c r="E1062" i="3"/>
  <c r="E1899" i="3"/>
  <c r="E1058" i="3"/>
  <c r="D2147" i="3"/>
  <c r="D3128" i="3"/>
  <c r="E1146" i="3"/>
  <c r="D2302" i="3"/>
  <c r="D2767" i="3"/>
  <c r="E1161" i="3"/>
  <c r="D1738" i="3"/>
  <c r="D3414" i="3"/>
  <c r="D1493" i="3"/>
  <c r="D1293" i="3"/>
  <c r="D1297" i="3"/>
  <c r="D1392" i="3"/>
  <c r="D1795" i="3"/>
  <c r="D1762" i="3"/>
  <c r="D3150" i="3"/>
  <c r="E937" i="3"/>
  <c r="D877" i="3"/>
  <c r="D1323" i="3"/>
  <c r="E2551" i="3"/>
  <c r="D3370" i="3"/>
  <c r="E1329" i="3"/>
  <c r="E1372" i="3"/>
  <c r="E2207" i="3"/>
  <c r="E3139" i="3"/>
  <c r="D3694" i="3"/>
  <c r="D1926" i="3"/>
  <c r="D1677" i="3"/>
  <c r="E2219" i="3"/>
  <c r="E1552" i="3"/>
  <c r="E1711" i="3"/>
  <c r="D2386" i="3"/>
  <c r="D3198" i="3"/>
  <c r="D2529" i="3"/>
  <c r="E2454" i="3"/>
  <c r="E3458" i="3"/>
  <c r="E3149" i="3"/>
  <c r="B3482" i="3"/>
  <c r="E2452" i="3"/>
  <c r="E2508" i="3"/>
  <c r="E3147" i="3"/>
  <c r="E3353" i="3"/>
  <c r="D2936" i="3"/>
  <c r="D2256" i="3"/>
  <c r="D3374" i="3"/>
  <c r="D3005" i="3"/>
  <c r="D2244" i="3"/>
  <c r="E2998" i="3"/>
  <c r="E3049" i="3"/>
  <c r="E2896" i="3"/>
  <c r="D3539" i="3"/>
  <c r="B3260" i="3"/>
  <c r="E3645" i="3"/>
  <c r="E3480" i="3"/>
  <c r="E2895" i="3"/>
  <c r="D3640" i="3"/>
  <c r="D2477" i="3"/>
  <c r="E2927" i="3"/>
  <c r="E2654" i="3"/>
  <c r="D2311" i="3"/>
  <c r="E3079" i="3"/>
  <c r="D3047" i="3"/>
  <c r="D2846" i="3"/>
  <c r="E2473" i="3"/>
  <c r="D3500" i="3"/>
  <c r="E2663" i="3"/>
  <c r="E2374" i="3"/>
  <c r="D3353" i="3"/>
  <c r="B3558" i="3"/>
  <c r="E3404" i="3"/>
  <c r="E3539" i="3"/>
  <c r="E3266" i="3"/>
  <c r="E2957" i="3"/>
  <c r="E3416" i="3"/>
  <c r="D2094" i="3"/>
  <c r="E3278" i="3"/>
  <c r="E2969" i="3"/>
  <c r="B3455" i="3"/>
  <c r="D1632" i="3"/>
  <c r="E1334" i="3"/>
  <c r="D1315" i="3"/>
  <c r="E1182" i="3"/>
  <c r="D1250" i="3"/>
  <c r="E2075" i="3"/>
  <c r="D1341" i="3"/>
  <c r="E1373" i="3"/>
  <c r="D1455" i="3"/>
  <c r="E1808" i="3"/>
  <c r="D2778" i="3"/>
  <c r="D1291" i="3"/>
  <c r="E1606" i="3"/>
  <c r="D3104" i="3"/>
  <c r="D1542" i="3"/>
  <c r="D1411" i="3"/>
  <c r="D988" i="3"/>
  <c r="D1700" i="3"/>
  <c r="E1255" i="3"/>
  <c r="D3416" i="3"/>
  <c r="D1759" i="3"/>
  <c r="D949" i="3"/>
  <c r="D3055" i="3"/>
  <c r="D1771" i="3"/>
  <c r="D2026" i="3"/>
  <c r="E3642" i="3"/>
  <c r="D1342" i="3"/>
  <c r="E1592" i="3"/>
  <c r="E1883" i="3"/>
  <c r="E1947" i="3"/>
  <c r="D2083" i="3"/>
  <c r="D2050" i="3"/>
  <c r="D3438" i="3"/>
  <c r="D1369" i="3"/>
  <c r="E1904" i="3"/>
  <c r="E1619" i="3"/>
  <c r="E2839" i="3"/>
  <c r="D3658" i="3"/>
  <c r="D1626" i="3"/>
  <c r="D1665" i="3"/>
  <c r="D1198" i="3"/>
  <c r="D2297" i="3"/>
  <c r="E2542" i="3"/>
  <c r="D1057" i="3"/>
  <c r="D1965" i="3"/>
  <c r="E1213" i="3"/>
  <c r="E1888" i="3"/>
  <c r="E1999" i="3"/>
  <c r="D1101" i="3"/>
  <c r="D3486" i="3"/>
  <c r="D2925" i="3"/>
  <c r="D2748" i="3"/>
  <c r="D3423" i="3"/>
  <c r="D3686" i="3"/>
  <c r="B3578" i="3"/>
  <c r="D2782" i="3"/>
  <c r="D2797" i="3"/>
  <c r="E2418" i="3"/>
  <c r="D3695" i="3"/>
  <c r="D3404" i="3"/>
  <c r="E2603" i="3"/>
  <c r="D2287" i="3"/>
  <c r="D3293" i="3"/>
  <c r="E2449" i="3"/>
  <c r="D2427" i="3"/>
  <c r="E3337" i="3"/>
  <c r="E3184" i="3"/>
  <c r="D3517" i="3"/>
  <c r="B3214" i="3"/>
  <c r="E2491" i="3"/>
  <c r="D2545" i="3"/>
  <c r="E3183" i="3"/>
  <c r="E3478" i="3"/>
  <c r="E2888" i="3"/>
  <c r="E3215" i="3"/>
  <c r="E2942" i="3"/>
  <c r="E2633" i="3"/>
  <c r="E2515" i="3"/>
  <c r="D3335" i="3"/>
  <c r="D3134" i="3"/>
  <c r="D2765" i="3"/>
  <c r="D2516" i="3"/>
  <c r="E2951" i="3"/>
  <c r="E2678" i="3"/>
  <c r="D2346" i="3"/>
  <c r="B3481" i="3"/>
  <c r="D2673" i="3"/>
  <c r="D2556" i="3"/>
  <c r="E3554" i="3"/>
  <c r="E3245" i="3"/>
  <c r="D2685" i="3"/>
  <c r="D2568" i="3"/>
  <c r="E3566" i="3"/>
  <c r="E3250" i="3"/>
  <c r="B3585" i="3"/>
  <c r="D3081" i="3"/>
  <c r="D2868" i="3"/>
  <c r="E2343" i="3"/>
  <c r="E3627" i="3"/>
  <c r="B3453" i="3"/>
  <c r="E2794" i="3"/>
  <c r="E2857" i="3"/>
  <c r="E2704" i="3"/>
  <c r="E3557" i="3"/>
  <c r="E2588" i="3"/>
  <c r="E3011" i="3"/>
  <c r="E2738" i="3"/>
  <c r="D2420" i="3"/>
  <c r="B3441" i="3"/>
  <c r="E2218" i="3"/>
  <c r="E2339" i="3"/>
  <c r="E3003" i="3"/>
  <c r="D3352" i="3"/>
  <c r="E3247" i="3"/>
  <c r="D3143" i="3"/>
  <c r="D2942" i="3"/>
  <c r="D2573" i="3"/>
  <c r="E2613" i="3"/>
  <c r="D2581" i="3"/>
  <c r="D3088" i="3"/>
  <c r="E3256" i="3"/>
  <c r="D2466" i="3"/>
  <c r="E3268" i="3"/>
  <c r="D3105" i="3"/>
  <c r="E3302" i="3"/>
  <c r="E3423" i="3"/>
  <c r="D2492" i="3"/>
  <c r="E3314" i="3"/>
  <c r="E3291" i="3"/>
  <c r="D2214" i="3"/>
  <c r="E2724" i="3"/>
  <c r="D2860" i="3"/>
  <c r="D3492" i="3"/>
  <c r="E3093" i="3"/>
  <c r="D3241" i="3"/>
  <c r="E2740" i="3"/>
  <c r="E3517" i="3"/>
  <c r="D2708" i="3"/>
  <c r="D2467" i="3"/>
  <c r="D2484" i="3"/>
  <c r="D2461" i="3"/>
  <c r="E3307" i="3"/>
  <c r="D3455" i="3"/>
  <c r="D3542" i="3"/>
  <c r="D3461" i="3"/>
  <c r="B3527" i="3"/>
  <c r="D3692" i="3"/>
  <c r="E2783" i="3"/>
  <c r="D2510" i="3"/>
  <c r="D3473" i="3"/>
  <c r="E2767" i="3"/>
  <c r="D2903" i="3"/>
  <c r="D2702" i="3"/>
  <c r="E2291" i="3"/>
  <c r="B3673" i="3"/>
  <c r="E2902" i="3"/>
  <c r="E2953" i="3"/>
  <c r="E2800" i="3"/>
  <c r="E3649" i="3"/>
  <c r="D3621" i="3"/>
  <c r="D3276" i="3"/>
  <c r="D2775" i="3"/>
  <c r="E3430" i="3"/>
  <c r="B3571" i="3"/>
  <c r="E2254" i="3"/>
  <c r="D2388" i="3"/>
  <c r="D3244" i="3"/>
  <c r="E3612" i="3"/>
  <c r="E3573" i="3"/>
  <c r="E3408" i="3"/>
  <c r="E2823" i="3"/>
  <c r="E3397" i="3"/>
  <c r="B3388" i="3"/>
  <c r="E3237" i="3"/>
  <c r="E3132" i="3"/>
  <c r="E2547" i="3"/>
  <c r="E3502" i="3"/>
  <c r="B3433" i="3"/>
  <c r="B2693" i="3"/>
  <c r="B2169" i="3"/>
  <c r="B1599" i="3"/>
  <c r="B1117" i="3"/>
  <c r="B3085" i="3"/>
  <c r="B2513" i="3"/>
  <c r="B1870" i="3"/>
  <c r="B3567" i="3"/>
  <c r="B2711" i="3"/>
  <c r="B2187" i="3"/>
  <c r="B1728" i="3"/>
  <c r="B3016" i="3"/>
  <c r="B2489" i="3"/>
  <c r="B1937" i="3"/>
  <c r="B1317" i="3"/>
  <c r="B3225" i="3"/>
  <c r="B2523" i="3"/>
  <c r="B2049" i="3"/>
  <c r="B1264" i="3"/>
  <c r="B2866" i="3"/>
  <c r="B2332" i="3"/>
  <c r="B1954" i="3"/>
  <c r="B1276" i="3"/>
  <c r="B547" i="3"/>
  <c r="B2892" i="3"/>
  <c r="B2390" i="3"/>
  <c r="B1940" i="3"/>
  <c r="B1334" i="3"/>
  <c r="B674" i="3"/>
  <c r="B2872" i="3"/>
  <c r="B2370" i="3"/>
  <c r="B1697" i="3"/>
  <c r="B1136" i="3"/>
  <c r="B3207" i="3"/>
  <c r="B2583" i="3"/>
  <c r="B1994" i="3"/>
  <c r="B1610" i="3"/>
  <c r="B3185" i="3"/>
  <c r="B2648" i="3"/>
  <c r="B2009" i="3"/>
  <c r="B1417" i="3"/>
  <c r="B973" i="3"/>
  <c r="B2823" i="3"/>
  <c r="B2369" i="3"/>
  <c r="B1912" i="3"/>
  <c r="E2616" i="3"/>
  <c r="D2570" i="3"/>
  <c r="D3077" i="3"/>
  <c r="D3089" i="3"/>
  <c r="D2519" i="3"/>
  <c r="E3556" i="3"/>
  <c r="E2316" i="3"/>
  <c r="E3590" i="3"/>
  <c r="B3612" i="3"/>
  <c r="E3202" i="3"/>
  <c r="D2375" i="3"/>
  <c r="E3629" i="3"/>
  <c r="D2745" i="3"/>
  <c r="E3012" i="3"/>
  <c r="D3148" i="3"/>
  <c r="B3614" i="3"/>
  <c r="E2253" i="3"/>
  <c r="E2261" i="3"/>
  <c r="E3028" i="3"/>
  <c r="B3606" i="3"/>
  <c r="D3176" i="3"/>
  <c r="E2759" i="3"/>
  <c r="E2774" i="3"/>
  <c r="E2753" i="3"/>
  <c r="D2732" i="3"/>
  <c r="D2480" i="3"/>
  <c r="D2497" i="3"/>
  <c r="D2474" i="3"/>
  <c r="B3570" i="3"/>
  <c r="E2696" i="3"/>
  <c r="E3071" i="3"/>
  <c r="E2798" i="3"/>
  <c r="D2487" i="3"/>
  <c r="E3343" i="3"/>
  <c r="D3191" i="3"/>
  <c r="D2990" i="3"/>
  <c r="D2621" i="3"/>
  <c r="E3522" i="3"/>
  <c r="E2301" i="3"/>
  <c r="E3241" i="3"/>
  <c r="E3088" i="3"/>
  <c r="E3615" i="3"/>
  <c r="D2478" i="3"/>
  <c r="E2520" i="3"/>
  <c r="D3063" i="3"/>
  <c r="E3545" i="3"/>
  <c r="B3280" i="3"/>
  <c r="E2626" i="3"/>
  <c r="E2689" i="3"/>
  <c r="E2536" i="3"/>
  <c r="E3487" i="3"/>
  <c r="D2412" i="3"/>
  <c r="E2468" i="3"/>
  <c r="E3111" i="3"/>
  <c r="D3698" i="3"/>
  <c r="B3391" i="3"/>
  <c r="E3585" i="3"/>
  <c r="E3420" i="3"/>
  <c r="E2835" i="3"/>
  <c r="E3437" i="3"/>
  <c r="B3313" i="3"/>
  <c r="B2763" i="3"/>
  <c r="B2291" i="3"/>
  <c r="B1593" i="3"/>
  <c r="B868" i="3"/>
  <c r="B3023" i="3"/>
  <c r="B2439" i="3"/>
  <c r="B1849" i="3"/>
  <c r="B3304" i="3"/>
  <c r="B2674" i="3"/>
  <c r="B2182" i="3"/>
  <c r="B1564" i="3"/>
  <c r="B2916" i="3"/>
  <c r="B2414" i="3"/>
  <c r="B1778" i="3"/>
  <c r="B1265" i="3"/>
  <c r="B3117" i="3"/>
  <c r="B2478" i="3"/>
  <c r="B1819" i="3"/>
  <c r="B1413" i="3"/>
  <c r="B2869" i="3"/>
  <c r="B2375" i="3"/>
  <c r="B1756" i="3"/>
  <c r="B1270" i="3"/>
  <c r="B542" i="3"/>
  <c r="B2855" i="3"/>
  <c r="B2401" i="3"/>
  <c r="B1987" i="3"/>
  <c r="B1259" i="3"/>
  <c r="D3159" i="3"/>
  <c r="D2858" i="3"/>
  <c r="D3365" i="3"/>
  <c r="D3377" i="3"/>
  <c r="D2807" i="3"/>
  <c r="D2813" i="3"/>
  <c r="E2709" i="3"/>
  <c r="D2359" i="3"/>
  <c r="B3674" i="3"/>
  <c r="D2543" i="3"/>
  <c r="D2679" i="3"/>
  <c r="D3591" i="3"/>
  <c r="D3129" i="3"/>
  <c r="E3300" i="3"/>
  <c r="E2432" i="3"/>
  <c r="B3596" i="3"/>
  <c r="D2650" i="3"/>
  <c r="E2605" i="3"/>
  <c r="E3316" i="3"/>
  <c r="B3588" i="3"/>
  <c r="D3656" i="3"/>
  <c r="E3047" i="3"/>
  <c r="E3062" i="3"/>
  <c r="E3041" i="3"/>
  <c r="D3212" i="3"/>
  <c r="E2771" i="3"/>
  <c r="E2786" i="3"/>
  <c r="E2765" i="3"/>
  <c r="B3399" i="3"/>
  <c r="E3128" i="3"/>
  <c r="E3359" i="3"/>
  <c r="E3086" i="3"/>
  <c r="E2777" i="3"/>
  <c r="D2792" i="3"/>
  <c r="D3479" i="3"/>
  <c r="D3278" i="3"/>
  <c r="D2909" i="3"/>
  <c r="D3199" i="3"/>
  <c r="D2627" i="3"/>
  <c r="E2416" i="3"/>
  <c r="E3376" i="3"/>
  <c r="D3424" i="3"/>
  <c r="E2853" i="3"/>
  <c r="E2808" i="3"/>
  <c r="D3351" i="3"/>
  <c r="D3651" i="3"/>
  <c r="B3307" i="3"/>
  <c r="E2926" i="3"/>
  <c r="E2977" i="3"/>
  <c r="E2824" i="3"/>
  <c r="E3322" i="3"/>
  <c r="D2746" i="3"/>
  <c r="D2761" i="3"/>
  <c r="D2376" i="3"/>
  <c r="D3552" i="3"/>
  <c r="B3346" i="3"/>
  <c r="D2426" i="3"/>
  <c r="E2482" i="3"/>
  <c r="E3123" i="3"/>
  <c r="E3634" i="3"/>
  <c r="B3411" i="3"/>
  <c r="B2742" i="3"/>
  <c r="B2102" i="3"/>
  <c r="B1557" i="3"/>
  <c r="B927" i="3"/>
  <c r="B3107" i="3"/>
  <c r="B2459" i="3"/>
  <c r="B1868" i="3"/>
  <c r="B3390" i="3"/>
  <c r="B2677" i="3"/>
  <c r="B2153" i="3"/>
  <c r="B1582" i="3"/>
  <c r="B2879" i="3"/>
  <c r="B2425" i="3"/>
  <c r="B1781" i="3"/>
  <c r="B1330" i="3"/>
  <c r="B3044" i="3"/>
  <c r="B2620" i="3"/>
  <c r="B1846" i="3"/>
  <c r="B1169" i="3"/>
  <c r="B2888" i="3"/>
  <c r="B2386" i="3"/>
  <c r="B1713" i="3"/>
  <c r="B1187" i="3"/>
  <c r="B561" i="3"/>
  <c r="B2858" i="3"/>
  <c r="B2324" i="3"/>
  <c r="B1928" i="3"/>
  <c r="B1274" i="3"/>
  <c r="B3438" i="3"/>
  <c r="B2814" i="3"/>
  <c r="B2189" i="3"/>
  <c r="B1804" i="3"/>
  <c r="B1155" i="3"/>
  <c r="B3168" i="3"/>
  <c r="B2549" i="3"/>
  <c r="B2091" i="3"/>
  <c r="B1466" i="3"/>
  <c r="B3004" i="3"/>
  <c r="B2596" i="3"/>
  <c r="B1806" i="3"/>
  <c r="B1377" i="3"/>
  <c r="B678" i="3"/>
  <c r="B2829" i="3"/>
  <c r="B2335" i="3"/>
  <c r="B1726" i="3"/>
  <c r="B1162" i="3"/>
  <c r="B3091" i="3"/>
  <c r="B2379" i="3"/>
  <c r="B1906" i="3"/>
  <c r="B1267" i="3"/>
  <c r="B2807" i="3"/>
  <c r="B2504" i="3"/>
  <c r="B1896" i="3"/>
  <c r="B1353" i="3"/>
  <c r="E3565" i="3"/>
  <c r="E3219" i="3"/>
  <c r="E2669" i="3"/>
  <c r="E2681" i="3"/>
  <c r="D3383" i="3"/>
  <c r="D3389" i="3"/>
  <c r="E3393" i="3"/>
  <c r="D2955" i="3"/>
  <c r="B3494" i="3"/>
  <c r="D2831" i="3"/>
  <c r="D3255" i="3"/>
  <c r="E3367" i="3"/>
  <c r="D3513" i="3"/>
  <c r="D2941" i="3"/>
  <c r="E2728" i="3"/>
  <c r="B3658" i="3"/>
  <c r="D2974" i="3"/>
  <c r="E2893" i="3"/>
  <c r="D2130" i="3"/>
  <c r="B3650" i="3"/>
  <c r="E2648" i="3"/>
  <c r="E3335" i="3"/>
  <c r="E3350" i="3"/>
  <c r="E3519" i="3"/>
  <c r="D3668" i="3"/>
  <c r="E3059" i="3"/>
  <c r="E3074" i="3"/>
  <c r="E3053" i="3"/>
  <c r="B3533" i="3"/>
  <c r="E2382" i="3"/>
  <c r="D2356" i="3"/>
  <c r="E3374" i="3"/>
  <c r="E3065" i="3"/>
  <c r="D3260" i="3"/>
  <c r="D2507" i="3"/>
  <c r="D3566" i="3"/>
  <c r="D3197" i="3"/>
  <c r="E2791" i="3"/>
  <c r="D2915" i="3"/>
  <c r="D2714" i="3"/>
  <c r="E2310" i="3"/>
  <c r="B3665" i="3"/>
  <c r="E3201" i="3"/>
  <c r="E3096" i="3"/>
  <c r="D2511" i="3"/>
  <c r="D3396" i="3"/>
  <c r="E3582" i="3"/>
  <c r="E2336" i="3"/>
  <c r="E3265" i="3"/>
  <c r="E3112" i="3"/>
  <c r="E3665" i="3"/>
  <c r="D3070" i="3"/>
  <c r="D3049" i="3"/>
  <c r="D2680" i="3"/>
  <c r="D3483" i="3"/>
  <c r="B3428" i="3"/>
  <c r="D2758" i="3"/>
  <c r="D2773" i="3"/>
  <c r="E2391" i="3"/>
  <c r="D3571" i="3"/>
  <c r="B3290" i="3"/>
  <c r="B2713" i="3"/>
  <c r="B2079" i="3"/>
  <c r="B1552" i="3"/>
  <c r="B898" i="3"/>
  <c r="B3032" i="3"/>
  <c r="B2466" i="3"/>
  <c r="B1823" i="3"/>
  <c r="B3281" i="3"/>
  <c r="B2747" i="3"/>
  <c r="B2288" i="3"/>
  <c r="B1633" i="3"/>
  <c r="B2882" i="3"/>
  <c r="B2348" i="3"/>
  <c r="B1776" i="3"/>
  <c r="B1324" i="3"/>
  <c r="B2999" i="3"/>
  <c r="B2499" i="3"/>
  <c r="B1825" i="3"/>
  <c r="E3579" i="3"/>
  <c r="B2859" i="3"/>
  <c r="B2202" i="3"/>
  <c r="B1660" i="3"/>
  <c r="B1003" i="3"/>
  <c r="B593" i="3"/>
  <c r="B2861" i="3"/>
  <c r="B2367" i="3"/>
  <c r="B1749" i="3"/>
  <c r="B1361" i="3"/>
  <c r="B3542" i="3"/>
  <c r="B2865" i="3"/>
  <c r="B2192" i="3"/>
  <c r="B1733" i="3"/>
  <c r="E2502" i="3"/>
  <c r="E3520" i="3"/>
  <c r="D3587" i="3"/>
  <c r="D3607" i="3"/>
  <c r="E2699" i="3"/>
  <c r="D2393" i="3"/>
  <c r="D2602" i="3"/>
  <c r="D3243" i="3"/>
  <c r="B3439" i="3"/>
  <c r="D3119" i="3"/>
  <c r="E2703" i="3"/>
  <c r="E3647" i="3"/>
  <c r="E2351" i="3"/>
  <c r="D3229" i="3"/>
  <c r="E3016" i="3"/>
  <c r="B3648" i="3"/>
  <c r="D3298" i="3"/>
  <c r="E3181" i="3"/>
  <c r="D2861" i="3"/>
  <c r="B3640" i="3"/>
  <c r="E3092" i="3"/>
  <c r="E2321" i="3"/>
  <c r="E3638" i="3"/>
  <c r="E3427" i="3"/>
  <c r="E2684" i="3"/>
  <c r="E3347" i="3"/>
  <c r="E3362" i="3"/>
  <c r="D3543" i="3"/>
  <c r="B3611" i="3"/>
  <c r="D2817" i="3"/>
  <c r="D2664" i="3"/>
  <c r="E3662" i="3"/>
  <c r="E3563" i="3"/>
  <c r="E2040" i="3"/>
  <c r="E2795" i="3"/>
  <c r="E2522" i="3"/>
  <c r="D3485" i="3"/>
  <c r="E2028" i="3"/>
  <c r="D3203" i="3"/>
  <c r="D3002" i="3"/>
  <c r="D2633" i="3"/>
  <c r="B3548" i="3"/>
  <c r="E3549" i="3"/>
  <c r="E3384" i="3"/>
  <c r="E2799" i="3"/>
  <c r="E3286" i="3"/>
  <c r="D3259" i="3"/>
  <c r="D2651" i="3"/>
  <c r="E2443" i="3"/>
  <c r="E3400" i="3"/>
  <c r="D3495" i="3"/>
  <c r="D3418" i="3"/>
  <c r="D3337" i="3"/>
  <c r="D2968" i="3"/>
  <c r="E3646" i="3"/>
  <c r="B3223" i="3"/>
  <c r="D3106" i="3"/>
  <c r="D3061" i="3"/>
  <c r="D2692" i="3"/>
  <c r="E3507" i="3"/>
  <c r="B3148" i="3"/>
  <c r="B2660" i="3"/>
  <c r="B2058" i="3"/>
  <c r="B1491" i="3"/>
  <c r="B917" i="3"/>
  <c r="B2980" i="3"/>
  <c r="B2430" i="3"/>
  <c r="B1794" i="3"/>
  <c r="B3375" i="3"/>
  <c r="B2726" i="3"/>
  <c r="B2084" i="3"/>
  <c r="B1541" i="3"/>
  <c r="B2885" i="3"/>
  <c r="B2391" i="3"/>
  <c r="B1783" i="3"/>
  <c r="B1295" i="3"/>
  <c r="B3086" i="3"/>
  <c r="B2442" i="3"/>
  <c r="B1844" i="3"/>
  <c r="B3462" i="3"/>
  <c r="B2830" i="3"/>
  <c r="B2205" i="3"/>
  <c r="B1615" i="3"/>
  <c r="B1157" i="3"/>
  <c r="B583" i="3"/>
  <c r="B2880" i="3"/>
  <c r="B2378" i="3"/>
  <c r="B1705" i="3"/>
  <c r="B1183" i="3"/>
  <c r="B3472" i="3"/>
  <c r="B2671" i="3"/>
  <c r="B2147" i="3"/>
  <c r="B1688" i="3"/>
  <c r="B1103" i="3"/>
  <c r="B3193" i="3"/>
  <c r="B2611" i="3"/>
  <c r="B2017" i="3"/>
  <c r="B1445" i="3"/>
  <c r="B3029" i="3"/>
  <c r="B2408" i="3"/>
  <c r="B1953" i="3"/>
  <c r="B1212" i="3"/>
  <c r="B3636" i="3"/>
  <c r="B2819" i="3"/>
  <c r="B2162" i="3"/>
  <c r="B1750" i="3"/>
  <c r="B1173" i="3"/>
  <c r="B2815" i="3"/>
  <c r="B2361" i="3"/>
  <c r="B1904" i="3"/>
  <c r="B1357" i="3"/>
  <c r="B2813" i="3"/>
  <c r="D2854" i="3"/>
  <c r="E2486" i="3"/>
  <c r="D3575" i="3"/>
  <c r="E3604" i="3"/>
  <c r="E2987" i="3"/>
  <c r="E2981" i="3"/>
  <c r="D2938" i="3"/>
  <c r="E2691" i="3"/>
  <c r="B3557" i="3"/>
  <c r="E2427" i="3"/>
  <c r="E2991" i="3"/>
  <c r="D3577" i="3"/>
  <c r="E3081" i="3"/>
  <c r="E2230" i="3"/>
  <c r="E3592" i="3"/>
  <c r="B3635" i="3"/>
  <c r="D3622" i="3"/>
  <c r="E2340" i="3"/>
  <c r="D3149" i="3"/>
  <c r="B3470" i="3"/>
  <c r="D2316" i="3"/>
  <c r="D2640" i="3"/>
  <c r="E2417" i="3"/>
  <c r="E3661" i="3"/>
  <c r="E3116" i="3"/>
  <c r="E2338" i="3"/>
  <c r="E3650" i="3"/>
  <c r="E3466" i="3"/>
  <c r="B3591" i="3"/>
  <c r="D3201" i="3"/>
  <c r="D2952" i="3"/>
  <c r="E2444" i="3"/>
  <c r="D3496" i="3"/>
  <c r="E2708" i="3"/>
  <c r="E3083" i="3"/>
  <c r="E2810" i="3"/>
  <c r="D2500" i="3"/>
  <c r="D2804" i="3"/>
  <c r="D3491" i="3"/>
  <c r="D3290" i="3"/>
  <c r="D2921" i="3"/>
  <c r="B3610" i="3"/>
  <c r="E2383" i="3"/>
  <c r="E2442" i="3"/>
  <c r="E3087" i="3"/>
  <c r="E3692" i="3"/>
  <c r="E2827" i="3"/>
  <c r="D2939" i="3"/>
  <c r="D2738" i="3"/>
  <c r="E2345" i="3"/>
  <c r="B3649" i="3"/>
  <c r="D2280" i="3"/>
  <c r="E2402" i="3"/>
  <c r="D3256" i="3"/>
  <c r="D3648" i="3"/>
  <c r="B3162" i="3"/>
  <c r="D3430" i="3"/>
  <c r="D3349" i="3"/>
  <c r="D2980" i="3"/>
  <c r="D3684" i="3"/>
  <c r="B3178" i="3"/>
  <c r="B2637" i="3"/>
  <c r="B2013" i="3"/>
  <c r="B1486" i="3"/>
  <c r="B928" i="3"/>
  <c r="B2895" i="3"/>
  <c r="B2438" i="3"/>
  <c r="B1797" i="3"/>
  <c r="B3373" i="3"/>
  <c r="B2697" i="3"/>
  <c r="B2063" i="3"/>
  <c r="B1536" i="3"/>
  <c r="B2904" i="3"/>
  <c r="B2402" i="3"/>
  <c r="B1729" i="3"/>
  <c r="B1024" i="3"/>
  <c r="B3008" i="3"/>
  <c r="B2449" i="3"/>
  <c r="B1932" i="3"/>
  <c r="B3407" i="3"/>
  <c r="B2881" i="3"/>
  <c r="B2208" i="3"/>
  <c r="B1762" i="3"/>
  <c r="B1132" i="3"/>
  <c r="D3616" i="3"/>
  <c r="B2851" i="3"/>
  <c r="B2194" i="3"/>
  <c r="B1652" i="3"/>
  <c r="B995" i="3"/>
  <c r="B3414" i="3"/>
  <c r="B2634" i="3"/>
  <c r="B2278" i="3"/>
  <c r="B1524" i="3"/>
  <c r="D3323" i="3"/>
  <c r="E3551" i="3"/>
  <c r="D3080" i="3"/>
  <c r="D3593" i="3"/>
  <c r="D2171" i="3"/>
  <c r="E3334" i="3"/>
  <c r="D3586" i="3"/>
  <c r="E3267" i="3"/>
  <c r="B3445" i="3"/>
  <c r="E2723" i="3"/>
  <c r="E3279" i="3"/>
  <c r="E3459" i="3"/>
  <c r="E3441" i="3"/>
  <c r="E2593" i="3"/>
  <c r="D2561" i="3"/>
  <c r="B3568" i="3"/>
  <c r="E2518" i="3"/>
  <c r="D2654" i="3"/>
  <c r="D3437" i="3"/>
  <c r="B3552" i="3"/>
  <c r="D2781" i="3"/>
  <c r="D2928" i="3"/>
  <c r="D2715" i="3"/>
  <c r="E3389" i="3"/>
  <c r="D2368" i="3"/>
  <c r="D2652" i="3"/>
  <c r="D2431" i="3"/>
  <c r="D3628" i="3"/>
  <c r="B3312" i="3"/>
  <c r="D3573" i="3"/>
  <c r="D3240" i="3"/>
  <c r="D2739" i="3"/>
  <c r="E3262" i="3"/>
  <c r="E3140" i="3"/>
  <c r="E3371" i="3"/>
  <c r="E3098" i="3"/>
  <c r="E2789" i="3"/>
  <c r="D3272" i="3"/>
  <c r="E2519" i="3"/>
  <c r="D3578" i="3"/>
  <c r="D3209" i="3"/>
  <c r="B3659" i="3"/>
  <c r="D2722" i="3"/>
  <c r="D2737" i="3"/>
  <c r="E2344" i="3"/>
  <c r="E3505" i="3"/>
  <c r="E2208" i="3"/>
  <c r="D3227" i="3"/>
  <c r="D3026" i="3"/>
  <c r="D2657" i="3"/>
  <c r="B3695" i="3"/>
  <c r="E2638" i="3"/>
  <c r="E2701" i="3"/>
  <c r="E2548" i="3"/>
  <c r="E3512" i="3"/>
  <c r="B3141" i="3"/>
  <c r="E2300" i="3"/>
  <c r="D2416" i="3"/>
  <c r="D3268" i="3"/>
  <c r="E3631" i="3"/>
  <c r="B3234" i="3"/>
  <c r="B2621" i="3"/>
  <c r="B1992" i="3"/>
  <c r="B1376" i="3"/>
  <c r="B915" i="3"/>
  <c r="B2898" i="3"/>
  <c r="B2364" i="3"/>
  <c r="B1792" i="3"/>
  <c r="B3259" i="3"/>
  <c r="B2656" i="3"/>
  <c r="B2042" i="3"/>
  <c r="E3598" i="3"/>
  <c r="B2875" i="3"/>
  <c r="B2218" i="3"/>
  <c r="B1676" i="3"/>
  <c r="B1019" i="3"/>
  <c r="B2908" i="3"/>
  <c r="B2406" i="3"/>
  <c r="B1947" i="3"/>
  <c r="D2845" i="3"/>
  <c r="B3662" i="3"/>
  <c r="D3548" i="3"/>
  <c r="D3324" i="3"/>
  <c r="D2580" i="3"/>
  <c r="D3689" i="3"/>
  <c r="D2479" i="3"/>
  <c r="D2548" i="3"/>
  <c r="B3352" i="3"/>
  <c r="E2256" i="3"/>
  <c r="D2560" i="3"/>
  <c r="E3461" i="3"/>
  <c r="D2962" i="3"/>
  <c r="E2881" i="3"/>
  <c r="D2849" i="3"/>
  <c r="B3423" i="3"/>
  <c r="E2842" i="3"/>
  <c r="D3230" i="3"/>
  <c r="D2448" i="3"/>
  <c r="B3590" i="3"/>
  <c r="D3153" i="3"/>
  <c r="D3216" i="3"/>
  <c r="D3003" i="3"/>
  <c r="E3391" i="3"/>
  <c r="D2793" i="3"/>
  <c r="D2940" i="3"/>
  <c r="D2727" i="3"/>
  <c r="E3433" i="3"/>
  <c r="B3339" i="3"/>
  <c r="E2425" i="3"/>
  <c r="E2481" i="3"/>
  <c r="D3027" i="3"/>
  <c r="E3469" i="3"/>
  <c r="E2396" i="3"/>
  <c r="D2371" i="3"/>
  <c r="E3386" i="3"/>
  <c r="E3077" i="3"/>
  <c r="D2153" i="3"/>
  <c r="E2807" i="3"/>
  <c r="E2534" i="3"/>
  <c r="D3497" i="3"/>
  <c r="B3617" i="3"/>
  <c r="D3046" i="3"/>
  <c r="D3025" i="3"/>
  <c r="D2656" i="3"/>
  <c r="E3406" i="3"/>
  <c r="D2852" i="3"/>
  <c r="D3515" i="3"/>
  <c r="D3314" i="3"/>
  <c r="D2945" i="3"/>
  <c r="B3693" i="3"/>
  <c r="E2938" i="3"/>
  <c r="E2989" i="3"/>
  <c r="E2836" i="3"/>
  <c r="D3376" i="3"/>
  <c r="B3072" i="3"/>
  <c r="E2650" i="3"/>
  <c r="E2713" i="3"/>
  <c r="E2560" i="3"/>
  <c r="E3536" i="3"/>
  <c r="B3258" i="3"/>
  <c r="B2617" i="3"/>
  <c r="B2086" i="3"/>
  <c r="B1433" i="3"/>
  <c r="B934" i="3"/>
  <c r="B2901" i="3"/>
  <c r="B2407" i="3"/>
  <c r="B1815" i="3"/>
  <c r="B3154" i="3"/>
  <c r="B2628" i="3"/>
  <c r="B1997" i="3"/>
  <c r="B3584" i="3"/>
  <c r="B2846" i="3"/>
  <c r="B2221" i="3"/>
  <c r="B1631" i="3"/>
  <c r="B1196" i="3"/>
  <c r="B2871" i="3"/>
  <c r="B2417" i="3"/>
  <c r="B1773" i="3"/>
  <c r="B3272" i="3"/>
  <c r="B2650" i="3"/>
  <c r="B2289" i="3"/>
  <c r="B1540" i="3"/>
  <c r="B1082" i="3"/>
  <c r="B3600" i="3"/>
  <c r="B2873" i="3"/>
  <c r="B2200" i="3"/>
  <c r="B1753" i="3"/>
  <c r="B1124" i="3"/>
  <c r="B3380" i="3"/>
  <c r="B2707" i="3"/>
  <c r="B2223" i="3"/>
  <c r="B1554" i="3"/>
  <c r="D3122" i="3"/>
  <c r="B3644" i="3"/>
  <c r="E2984" i="3"/>
  <c r="D3328" i="3"/>
  <c r="D2387" i="3"/>
  <c r="D3589" i="3"/>
  <c r="D2531" i="3"/>
  <c r="D3124" i="3"/>
  <c r="B3379" i="3"/>
  <c r="D2892" i="3"/>
  <c r="D3136" i="3"/>
  <c r="B3622" i="3"/>
  <c r="D3286" i="3"/>
  <c r="E3169" i="3"/>
  <c r="D3137" i="3"/>
  <c r="B3498" i="3"/>
  <c r="E2088" i="3"/>
  <c r="D3518" i="3"/>
  <c r="E2741" i="3"/>
  <c r="B3415" i="3"/>
  <c r="D3549" i="3"/>
  <c r="D2455" i="3"/>
  <c r="D3291" i="3"/>
  <c r="D3635" i="3"/>
  <c r="D3165" i="3"/>
  <c r="D3228" i="3"/>
  <c r="D3303" i="3"/>
  <c r="E3667" i="3"/>
  <c r="B3310" i="3"/>
  <c r="E2793" i="3"/>
  <c r="E2772" i="3"/>
  <c r="D3315" i="3"/>
  <c r="E3471" i="3"/>
  <c r="D2829" i="3"/>
  <c r="D2676" i="3"/>
  <c r="E3674" i="3"/>
  <c r="E3581" i="3"/>
  <c r="E2720" i="3"/>
  <c r="E3095" i="3"/>
  <c r="E2822" i="3"/>
  <c r="D2513" i="3"/>
  <c r="B3512" i="3"/>
  <c r="D3394" i="3"/>
  <c r="D3313" i="3"/>
  <c r="D2944" i="3"/>
  <c r="E3644" i="3"/>
  <c r="D3296" i="3"/>
  <c r="E2543" i="3"/>
  <c r="D3602" i="3"/>
  <c r="D3233" i="3"/>
  <c r="D3475" i="3"/>
  <c r="E2353" i="3"/>
  <c r="E3277" i="3"/>
  <c r="E3124" i="3"/>
  <c r="E3327" i="3"/>
  <c r="B3262" i="3"/>
  <c r="E2950" i="3"/>
  <c r="E3001" i="3"/>
  <c r="E2848" i="3"/>
  <c r="E3418" i="3"/>
  <c r="B3174" i="3"/>
  <c r="B2555" i="3"/>
  <c r="B2081" i="3"/>
  <c r="B1296" i="3"/>
  <c r="B897" i="3"/>
  <c r="B2920" i="3"/>
  <c r="B2418" i="3"/>
  <c r="B1742" i="3"/>
  <c r="B3216" i="3"/>
  <c r="B2597" i="3"/>
  <c r="B1976" i="3"/>
  <c r="B3479" i="3"/>
  <c r="B2897" i="3"/>
  <c r="B2224" i="3"/>
  <c r="B1766" i="3"/>
  <c r="B1172" i="3"/>
  <c r="B2874" i="3"/>
  <c r="B2340" i="3"/>
  <c r="B1979" i="3"/>
  <c r="B3342" i="3"/>
  <c r="B2776" i="3"/>
  <c r="B2270" i="3"/>
  <c r="B1567" i="3"/>
  <c r="B1077" i="3"/>
  <c r="B3488" i="3"/>
  <c r="B2679" i="3"/>
  <c r="E2472" i="3"/>
  <c r="B3319" i="3"/>
  <c r="E3033" i="3"/>
  <c r="B3680" i="3"/>
  <c r="E2976" i="3"/>
  <c r="D3568" i="3"/>
  <c r="D3107" i="3"/>
  <c r="E2405" i="3"/>
  <c r="E3198" i="3"/>
  <c r="D3180" i="3"/>
  <c r="D2419" i="3"/>
  <c r="B3604" i="3"/>
  <c r="D3610" i="3"/>
  <c r="D2642" i="3"/>
  <c r="E2434" i="3"/>
  <c r="B3608" i="3"/>
  <c r="D2567" i="3"/>
  <c r="D2471" i="3"/>
  <c r="E3029" i="3"/>
  <c r="B3561" i="3"/>
  <c r="E2397" i="3"/>
  <c r="E2748" i="3"/>
  <c r="E2445" i="3"/>
  <c r="E3625" i="3"/>
  <c r="D3561" i="3"/>
  <c r="E2760" i="3"/>
  <c r="D2459" i="3"/>
  <c r="D3643" i="3"/>
  <c r="B3289" i="3"/>
  <c r="E3153" i="3"/>
  <c r="E3060" i="3"/>
  <c r="D2472" i="3"/>
  <c r="D3617" i="3"/>
  <c r="D3213" i="3"/>
  <c r="D2964" i="3"/>
  <c r="E2458" i="3"/>
  <c r="D3520" i="3"/>
  <c r="E3152" i="3"/>
  <c r="E3383" i="3"/>
  <c r="E3110" i="3"/>
  <c r="E2801" i="3"/>
  <c r="B3583" i="3"/>
  <c r="D2219" i="3"/>
  <c r="E2372" i="3"/>
  <c r="D3232" i="3"/>
  <c r="E3593" i="3"/>
  <c r="E2249" i="3"/>
  <c r="E2831" i="3"/>
  <c r="E2558" i="3"/>
  <c r="D3521" i="3"/>
  <c r="D3283" i="3"/>
  <c r="D2663" i="3"/>
  <c r="E2456" i="3"/>
  <c r="E3412" i="3"/>
  <c r="D3519" i="3"/>
  <c r="D2296" i="3"/>
  <c r="D2370" i="3"/>
  <c r="E3289" i="3"/>
  <c r="E3136" i="3"/>
  <c r="E3379" i="3"/>
  <c r="B3022" i="3"/>
  <c r="B2510" i="3"/>
  <c r="B1851" i="3"/>
  <c r="B1432" i="3"/>
  <c r="E3535" i="3"/>
  <c r="B2891" i="3"/>
  <c r="B2234" i="3"/>
  <c r="B1692" i="3"/>
  <c r="B3232" i="3"/>
  <c r="B2613" i="3"/>
  <c r="B2070" i="3"/>
  <c r="B3565" i="3"/>
  <c r="B2703" i="3"/>
  <c r="B2179" i="3"/>
  <c r="B1720" i="3"/>
  <c r="B1149" i="3"/>
  <c r="B2877" i="3"/>
  <c r="B2383" i="3"/>
  <c r="B1770" i="3"/>
  <c r="B3427" i="3"/>
  <c r="B2723" i="3"/>
  <c r="B2239" i="3"/>
  <c r="B1570" i="3"/>
  <c r="B828" i="3"/>
  <c r="B3256" i="3"/>
  <c r="B2642" i="3"/>
  <c r="B2282" i="3"/>
  <c r="B1532" i="3"/>
  <c r="B1074" i="3"/>
  <c r="B3317" i="3"/>
  <c r="B2790" i="3"/>
  <c r="B2023" i="3"/>
  <c r="B1602" i="3"/>
  <c r="B842" i="3"/>
  <c r="B3093" i="3"/>
  <c r="B2403" i="3"/>
  <c r="B1949" i="3"/>
  <c r="B1215" i="3"/>
  <c r="B2837" i="3"/>
  <c r="B2343" i="3"/>
  <c r="B1734" i="3"/>
  <c r="B1253" i="3"/>
  <c r="B3286" i="3"/>
  <c r="B2736" i="3"/>
  <c r="B2244" i="3"/>
  <c r="B1527" i="3"/>
  <c r="B3489" i="3"/>
  <c r="B3000" i="3"/>
  <c r="B2157" i="3"/>
  <c r="B1714" i="3"/>
  <c r="B3516" i="3"/>
  <c r="B2797" i="3"/>
  <c r="B2107" i="3"/>
  <c r="D2753" i="3"/>
  <c r="D3056" i="3"/>
  <c r="D3562" i="3"/>
  <c r="B3529" i="3"/>
  <c r="E3264" i="3"/>
  <c r="D3613" i="3"/>
  <c r="D3395" i="3"/>
  <c r="E3280" i="3"/>
  <c r="D2935" i="3"/>
  <c r="E2712" i="3"/>
  <c r="E2716" i="3"/>
  <c r="B3656" i="3"/>
  <c r="E2505" i="3"/>
  <c r="D2930" i="3"/>
  <c r="E2729" i="3"/>
  <c r="B3526" i="3"/>
  <c r="D2855" i="3"/>
  <c r="E2762" i="3"/>
  <c r="E3495" i="3"/>
  <c r="B3605" i="3"/>
  <c r="E2769" i="3"/>
  <c r="E3036" i="3"/>
  <c r="E2739" i="3"/>
  <c r="E3439" i="3"/>
  <c r="E2781" i="3"/>
  <c r="E3048" i="3"/>
  <c r="E2751" i="3"/>
  <c r="E3476" i="3"/>
  <c r="B3406" i="3"/>
  <c r="E3501" i="3"/>
  <c r="E3348" i="3"/>
  <c r="E2763" i="3"/>
  <c r="E3684" i="3"/>
  <c r="D3585" i="3"/>
  <c r="D3252" i="3"/>
  <c r="D2751" i="3"/>
  <c r="E3339" i="3"/>
  <c r="D2411" i="3"/>
  <c r="E2386" i="3"/>
  <c r="E3398" i="3"/>
  <c r="E3089" i="3"/>
  <c r="B3574" i="3"/>
  <c r="E2614" i="3"/>
  <c r="E2677" i="3"/>
  <c r="E2524" i="3"/>
  <c r="E3454" i="3"/>
  <c r="E2768" i="3"/>
  <c r="E3119" i="3"/>
  <c r="E2846" i="3"/>
  <c r="E2537" i="3"/>
  <c r="E2863" i="3"/>
  <c r="D2951" i="3"/>
  <c r="D2750" i="3"/>
  <c r="E2361" i="3"/>
  <c r="B3641" i="3"/>
  <c r="D3391" i="3"/>
  <c r="D2675" i="3"/>
  <c r="E2470" i="3"/>
  <c r="E3424" i="3"/>
  <c r="E3541" i="3"/>
  <c r="B3098" i="3"/>
  <c r="B2521" i="3"/>
  <c r="B1878" i="3"/>
  <c r="B1201" i="3"/>
  <c r="B3514" i="3"/>
  <c r="B2862" i="3"/>
  <c r="B2237" i="3"/>
  <c r="B1647" i="3"/>
  <c r="B3158" i="3"/>
  <c r="B2539" i="3"/>
  <c r="B2065" i="3"/>
  <c r="B3296" i="3"/>
  <c r="B2666" i="3"/>
  <c r="B2174" i="3"/>
  <c r="B1556" i="3"/>
  <c r="B1098" i="3"/>
  <c r="B2896" i="3"/>
  <c r="E3403" i="3"/>
  <c r="D3512" i="3"/>
  <c r="E3070" i="3"/>
  <c r="B3460" i="3"/>
  <c r="E2557" i="3"/>
  <c r="E3538" i="3"/>
  <c r="E2225" i="3"/>
  <c r="D2537" i="3"/>
  <c r="E2635" i="3"/>
  <c r="E3288" i="3"/>
  <c r="E3004" i="3"/>
  <c r="B3486" i="3"/>
  <c r="E2830" i="3"/>
  <c r="D3218" i="3"/>
  <c r="E3017" i="3"/>
  <c r="B3336" i="3"/>
  <c r="D2454" i="3"/>
  <c r="E3050" i="3"/>
  <c r="E3387" i="3"/>
  <c r="B3521" i="3"/>
  <c r="E3105" i="3"/>
  <c r="E3324" i="3"/>
  <c r="E3027" i="3"/>
  <c r="E3660" i="3"/>
  <c r="E3141" i="3"/>
  <c r="E3336" i="3"/>
  <c r="E3039" i="3"/>
  <c r="E3358" i="3"/>
  <c r="B3394" i="3"/>
  <c r="D2335" i="3"/>
  <c r="D2402" i="3"/>
  <c r="E3051" i="3"/>
  <c r="E3504" i="3"/>
  <c r="D2439" i="3"/>
  <c r="D2495" i="3"/>
  <c r="D3039" i="3"/>
  <c r="D3499" i="3"/>
  <c r="D2841" i="3"/>
  <c r="D2688" i="3"/>
  <c r="E3686" i="3"/>
  <c r="D3601" i="3"/>
  <c r="B3518" i="3"/>
  <c r="E2914" i="3"/>
  <c r="E2965" i="3"/>
  <c r="E2812" i="3"/>
  <c r="E3616" i="3"/>
  <c r="E3176" i="3"/>
  <c r="E3407" i="3"/>
  <c r="E3134" i="3"/>
  <c r="E2825" i="3"/>
  <c r="D2249" i="3"/>
  <c r="D3239" i="3"/>
  <c r="D3038" i="3"/>
  <c r="D2669" i="3"/>
  <c r="B3687" i="3"/>
  <c r="E2923" i="3"/>
  <c r="D2963" i="3"/>
  <c r="D2762" i="3"/>
  <c r="E2377" i="3"/>
  <c r="B3633" i="3"/>
  <c r="B3031" i="3"/>
  <c r="B2444" i="3"/>
  <c r="B1857" i="3"/>
  <c r="B1310" i="3"/>
  <c r="B3505" i="3"/>
  <c r="B2913" i="3"/>
  <c r="B2240" i="3"/>
  <c r="B1791" i="3"/>
  <c r="B3006" i="3"/>
  <c r="B2494" i="3"/>
  <c r="B1835" i="3"/>
  <c r="B3374" i="3"/>
  <c r="B2828" i="3"/>
  <c r="B2145" i="3"/>
  <c r="B1629" i="3"/>
  <c r="E3668" i="3"/>
  <c r="B2867" i="3"/>
  <c r="B2210" i="3"/>
  <c r="B1668" i="3"/>
  <c r="B3341" i="3"/>
  <c r="B2808" i="3"/>
  <c r="B2039" i="3"/>
  <c r="B1512" i="3"/>
  <c r="B858" i="3"/>
  <c r="B3424" i="3"/>
  <c r="B2715" i="3"/>
  <c r="B2231" i="3"/>
  <c r="B1562" i="3"/>
  <c r="B820" i="3"/>
  <c r="B3106" i="3"/>
  <c r="B2586" i="3"/>
  <c r="B2132" i="3"/>
  <c r="B1619" i="3"/>
  <c r="B872" i="3"/>
  <c r="B2839" i="3"/>
  <c r="B2385" i="3"/>
  <c r="B1945" i="3"/>
  <c r="B3652" i="3"/>
  <c r="B2827" i="3"/>
  <c r="B2170" i="3"/>
  <c r="B1769" i="3"/>
  <c r="B1203" i="3"/>
  <c r="B3287" i="3"/>
  <c r="B2662" i="3"/>
  <c r="B2020" i="3"/>
  <c r="B1477" i="3"/>
  <c r="B3545" i="3"/>
  <c r="B2799" i="3"/>
  <c r="B2115" i="3"/>
  <c r="B1656" i="3"/>
  <c r="B3270" i="3"/>
  <c r="B2720" i="3"/>
  <c r="B2228" i="3"/>
  <c r="B1511" i="3"/>
  <c r="B1021" i="3"/>
  <c r="B3550" i="3"/>
  <c r="B2976" i="3"/>
  <c r="B2141" i="3"/>
  <c r="B1698" i="3"/>
  <c r="B1097" i="3"/>
  <c r="B2987" i="3"/>
  <c r="B2465" i="3"/>
  <c r="E2718" i="3"/>
  <c r="E2972" i="3"/>
  <c r="E2385" i="3"/>
  <c r="B3395" i="3"/>
  <c r="D2262" i="3"/>
  <c r="E3382" i="3"/>
  <c r="D2592" i="3"/>
  <c r="D2825" i="3"/>
  <c r="E3211" i="3"/>
  <c r="E2322" i="3"/>
  <c r="E3292" i="3"/>
  <c r="B3431" i="3"/>
  <c r="E3226" i="3"/>
  <c r="D3506" i="3"/>
  <c r="E3464" i="3"/>
  <c r="E3258" i="3"/>
  <c r="E2747" i="3"/>
  <c r="E3338" i="3"/>
  <c r="D3676" i="3"/>
  <c r="B3328" i="3"/>
  <c r="E3477" i="3"/>
  <c r="D2372" i="3"/>
  <c r="D2596" i="3"/>
  <c r="E3483" i="3"/>
  <c r="E3489" i="3"/>
  <c r="E2387" i="3"/>
  <c r="D2267" i="3"/>
  <c r="E3696" i="3"/>
  <c r="B3309" i="3"/>
  <c r="D2686" i="3"/>
  <c r="D2701" i="3"/>
  <c r="E2290" i="3"/>
  <c r="E3401" i="3"/>
  <c r="E2805" i="3"/>
  <c r="E2784" i="3"/>
  <c r="D3327" i="3"/>
  <c r="E3499" i="3"/>
  <c r="D3249" i="3"/>
  <c r="D2976" i="3"/>
  <c r="E2471" i="3"/>
  <c r="E3543" i="3"/>
  <c r="E3546" i="3"/>
  <c r="E2320" i="3"/>
  <c r="E3253" i="3"/>
  <c r="E3100" i="3"/>
  <c r="E3632" i="3"/>
  <c r="E2464" i="3"/>
  <c r="E2414" i="3"/>
  <c r="E3422" i="3"/>
  <c r="E3113" i="3"/>
  <c r="D2864" i="3"/>
  <c r="D3527" i="3"/>
  <c r="D3326" i="3"/>
  <c r="D2957" i="3"/>
  <c r="B3685" i="3"/>
  <c r="D2315" i="3"/>
  <c r="D3251" i="3"/>
  <c r="D3050" i="3"/>
  <c r="D2681" i="3"/>
  <c r="B3679" i="3"/>
  <c r="B3109" i="3"/>
  <c r="B2497" i="3"/>
  <c r="B1876" i="3"/>
  <c r="B1277" i="3"/>
  <c r="B3599" i="3"/>
  <c r="B2719" i="3"/>
  <c r="B2195" i="3"/>
  <c r="B1736" i="3"/>
  <c r="B3060" i="3"/>
  <c r="B2661" i="3"/>
  <c r="B1862" i="3"/>
  <c r="B3273" i="3"/>
  <c r="B2739" i="3"/>
  <c r="B2255" i="3"/>
  <c r="B1591" i="3"/>
  <c r="B3534" i="3"/>
  <c r="B2838" i="3"/>
  <c r="B2213" i="3"/>
  <c r="B1623" i="3"/>
  <c r="B3251" i="3"/>
  <c r="B2607" i="3"/>
  <c r="B2018" i="3"/>
  <c r="B1451" i="3"/>
  <c r="B877" i="3"/>
  <c r="B3335" i="3"/>
  <c r="B2694" i="3"/>
  <c r="B2052" i="3"/>
  <c r="B1509" i="3"/>
  <c r="B879" i="3"/>
  <c r="B3176" i="3"/>
  <c r="B2557" i="3"/>
  <c r="B2122" i="3"/>
  <c r="B1402" i="3"/>
  <c r="B859" i="3"/>
  <c r="B2842" i="3"/>
  <c r="B2308" i="3"/>
  <c r="B1938" i="3"/>
  <c r="B3562" i="3"/>
  <c r="B2798" i="3"/>
  <c r="B2173" i="3"/>
  <c r="B1730" i="3"/>
  <c r="B1129" i="3"/>
  <c r="B3397" i="3"/>
  <c r="B2772" i="3"/>
  <c r="B1999" i="3"/>
  <c r="B1583" i="3"/>
  <c r="B3410" i="3"/>
  <c r="B2791" i="3"/>
  <c r="E2997" i="3"/>
  <c r="E3021" i="3"/>
  <c r="E2687" i="3"/>
  <c r="B3366" i="3"/>
  <c r="D2606" i="3"/>
  <c r="B3638" i="3"/>
  <c r="D2880" i="3"/>
  <c r="E2993" i="3"/>
  <c r="D3140" i="3"/>
  <c r="D2641" i="3"/>
  <c r="E3580" i="3"/>
  <c r="B3503" i="3"/>
  <c r="D2843" i="3"/>
  <c r="E2750" i="3"/>
  <c r="D3336" i="3"/>
  <c r="D2995" i="3"/>
  <c r="E3035" i="3"/>
  <c r="E3626" i="3"/>
  <c r="D3340" i="3"/>
  <c r="B3355" i="3"/>
  <c r="E2279" i="3"/>
  <c r="D2965" i="3"/>
  <c r="D2884" i="3"/>
  <c r="E3485" i="3"/>
  <c r="D2300" i="3"/>
  <c r="D2689" i="3"/>
  <c r="D2608" i="3"/>
  <c r="D3508" i="3"/>
  <c r="B3279" i="3"/>
  <c r="D3010" i="3"/>
  <c r="D2989" i="3"/>
  <c r="D2620" i="3"/>
  <c r="D3667" i="3"/>
  <c r="E3165" i="3"/>
  <c r="E3072" i="3"/>
  <c r="D2485" i="3"/>
  <c r="E3281" i="3"/>
  <c r="D3609" i="3"/>
  <c r="D3264" i="3"/>
  <c r="D2763" i="3"/>
  <c r="D3388" i="3"/>
  <c r="D3223" i="3"/>
  <c r="D2639" i="3"/>
  <c r="D2430" i="3"/>
  <c r="E3388" i="3"/>
  <c r="E3463" i="3"/>
  <c r="D2865" i="3"/>
  <c r="D2712" i="3"/>
  <c r="D3387" i="3"/>
  <c r="D3636" i="3"/>
  <c r="D3308" i="3"/>
  <c r="E2555" i="3"/>
  <c r="D2117" i="3"/>
  <c r="D3245" i="3"/>
  <c r="B3575" i="3"/>
  <c r="D2876" i="3"/>
  <c r="D2093" i="3"/>
  <c r="D3338" i="3"/>
  <c r="D2969" i="3"/>
  <c r="B3677" i="3"/>
  <c r="B3040" i="3"/>
  <c r="B2484" i="3"/>
  <c r="B1831" i="3"/>
  <c r="B1362" i="3"/>
  <c r="B3320" i="3"/>
  <c r="B2682" i="3"/>
  <c r="B2190" i="3"/>
  <c r="B1572" i="3"/>
  <c r="B3015" i="3"/>
  <c r="B2434" i="3"/>
  <c r="B1841" i="3"/>
  <c r="B3367" i="3"/>
  <c r="B2718" i="3"/>
  <c r="B2076" i="3"/>
  <c r="B1533" i="3"/>
  <c r="B3463" i="3"/>
  <c r="B2889" i="3"/>
  <c r="B2216" i="3"/>
  <c r="B1764" i="3"/>
  <c r="B3130" i="3"/>
  <c r="B2602" i="3"/>
  <c r="B1973" i="3"/>
  <c r="B1446" i="3"/>
  <c r="B888" i="3"/>
  <c r="B3333" i="3"/>
  <c r="B2805" i="3"/>
  <c r="B2031" i="3"/>
  <c r="B1504" i="3"/>
  <c r="B850" i="3"/>
  <c r="B3195" i="3"/>
  <c r="B2576" i="3"/>
  <c r="B2030" i="3"/>
  <c r="B1379" i="3"/>
  <c r="B878" i="3"/>
  <c r="B2845" i="3"/>
  <c r="B2351" i="3"/>
  <c r="B1775" i="3"/>
  <c r="B3466" i="3"/>
  <c r="B2849" i="3"/>
  <c r="B2176" i="3"/>
  <c r="B1717" i="3"/>
  <c r="B1100" i="3"/>
  <c r="B3191" i="3"/>
  <c r="B2567" i="3"/>
  <c r="B1978" i="3"/>
  <c r="B1590" i="3"/>
  <c r="B3278" i="3"/>
  <c r="B2728" i="3"/>
  <c r="B2236" i="3"/>
  <c r="B1519" i="3"/>
  <c r="B3419" i="3"/>
  <c r="B2646" i="3"/>
  <c r="B2004" i="3"/>
  <c r="B1461" i="3"/>
  <c r="B831" i="3"/>
  <c r="B3569" i="3"/>
  <c r="B2778" i="3"/>
  <c r="B2345" i="3"/>
  <c r="B1640" i="3"/>
  <c r="B1055" i="3"/>
  <c r="B2935" i="3"/>
  <c r="B2303" i="3"/>
  <c r="B1694" i="3"/>
  <c r="B1128" i="3"/>
  <c r="B3115" i="3"/>
  <c r="B2582" i="3"/>
  <c r="B1923" i="3"/>
  <c r="E3034" i="3"/>
  <c r="D3550" i="3"/>
  <c r="E3263" i="3"/>
  <c r="B3238" i="3"/>
  <c r="D3182" i="3"/>
  <c r="B3682" i="3"/>
  <c r="E2401" i="3"/>
  <c r="E3385" i="3"/>
  <c r="D3584" i="3"/>
  <c r="D2929" i="3"/>
  <c r="D2549" i="3"/>
  <c r="B3624" i="3"/>
  <c r="D3131" i="3"/>
  <c r="E3038" i="3"/>
  <c r="E3641" i="3"/>
  <c r="E2671" i="3"/>
  <c r="E3323" i="3"/>
  <c r="D2703" i="3"/>
  <c r="E3341" i="3"/>
  <c r="B3326" i="3"/>
  <c r="D2986" i="3"/>
  <c r="D3253" i="3"/>
  <c r="D3172" i="3"/>
  <c r="E3682" i="3"/>
  <c r="D2674" i="3"/>
  <c r="D2977" i="3"/>
  <c r="D2896" i="3"/>
  <c r="D3511" i="3"/>
  <c r="B3210" i="3"/>
  <c r="D3334" i="3"/>
  <c r="D3277" i="3"/>
  <c r="D2908" i="3"/>
  <c r="D3532" i="3"/>
  <c r="E3513" i="3"/>
  <c r="E3360" i="3"/>
  <c r="E2775" i="3"/>
  <c r="E3651" i="3"/>
  <c r="D2465" i="3"/>
  <c r="D2508" i="3"/>
  <c r="D3051" i="3"/>
  <c r="D3523" i="3"/>
  <c r="E2815" i="3"/>
  <c r="D2927" i="3"/>
  <c r="D2726" i="3"/>
  <c r="D2328" i="3"/>
  <c r="B3657" i="3"/>
  <c r="D3273" i="3"/>
  <c r="D3000" i="3"/>
  <c r="E2497" i="3"/>
  <c r="E3601" i="3"/>
  <c r="E2315" i="3"/>
  <c r="E2843" i="3"/>
  <c r="E2570" i="3"/>
  <c r="D3533" i="3"/>
  <c r="B3560" i="3"/>
  <c r="D3344" i="3"/>
  <c r="E2567" i="3"/>
  <c r="D2183" i="3"/>
  <c r="D3257" i="3"/>
  <c r="B3573" i="3"/>
  <c r="B2994" i="3"/>
  <c r="B2445" i="3"/>
  <c r="B1802" i="3"/>
  <c r="B1189" i="3"/>
  <c r="B3422" i="3"/>
  <c r="B2685" i="3"/>
  <c r="B2161" i="3"/>
  <c r="B1595" i="3"/>
  <c r="B3105" i="3"/>
  <c r="B2457" i="3"/>
  <c r="B1860" i="3"/>
  <c r="B3357" i="3"/>
  <c r="B2689" i="3"/>
  <c r="B2055" i="3"/>
  <c r="B1528" i="3"/>
  <c r="B3547" i="3"/>
  <c r="B2695" i="3"/>
  <c r="B2171" i="3"/>
  <c r="B1712" i="3"/>
  <c r="B3192" i="3"/>
  <c r="B2573" i="3"/>
  <c r="B2142" i="3"/>
  <c r="B1416" i="3"/>
  <c r="B875" i="3"/>
  <c r="B3249" i="3"/>
  <c r="B2599" i="3"/>
  <c r="B2010" i="3"/>
  <c r="B1644" i="3"/>
  <c r="B869" i="3"/>
  <c r="B3201" i="3"/>
  <c r="E2928" i="3"/>
  <c r="E2370" i="3"/>
  <c r="E2964" i="3"/>
  <c r="D2839" i="3"/>
  <c r="D2417" i="3"/>
  <c r="B3524" i="3"/>
  <c r="E2700" i="3"/>
  <c r="D3696" i="3"/>
  <c r="D2154" i="3"/>
  <c r="D2178" i="3"/>
  <c r="D3125" i="3"/>
  <c r="B3531" i="3"/>
  <c r="D3419" i="3"/>
  <c r="E3326" i="3"/>
  <c r="E3269" i="3"/>
  <c r="D3164" i="3"/>
  <c r="D2303" i="3"/>
  <c r="D2991" i="3"/>
  <c r="D3580" i="3"/>
  <c r="B3432" i="3"/>
  <c r="D3310" i="3"/>
  <c r="E2285" i="3"/>
  <c r="D2460" i="3"/>
  <c r="D3631" i="3"/>
  <c r="D2998" i="3"/>
  <c r="D3265" i="3"/>
  <c r="D3184" i="3"/>
  <c r="D3665" i="3"/>
  <c r="B3189" i="3"/>
  <c r="E3118" i="3"/>
  <c r="D2323" i="3"/>
  <c r="D3196" i="3"/>
  <c r="D3535" i="3"/>
  <c r="D2352" i="3"/>
  <c r="E2415" i="3"/>
  <c r="E3063" i="3"/>
  <c r="E3528" i="3"/>
  <c r="E2817" i="3"/>
  <c r="E2796" i="3"/>
  <c r="D3339" i="3"/>
  <c r="D3638" i="3"/>
  <c r="E2148" i="3"/>
  <c r="D3215" i="3"/>
  <c r="D3014" i="3"/>
  <c r="D2645" i="3"/>
  <c r="B3540" i="3"/>
  <c r="D3633" i="3"/>
  <c r="D3288" i="3"/>
  <c r="D2787" i="3"/>
  <c r="D3468" i="3"/>
  <c r="E2792" i="3"/>
  <c r="E3131" i="3"/>
  <c r="E2858" i="3"/>
  <c r="E2549" i="3"/>
  <c r="B3497" i="3"/>
  <c r="E2333" i="3"/>
  <c r="E2855" i="3"/>
  <c r="E2582" i="3"/>
  <c r="D3545" i="3"/>
  <c r="B3593" i="3"/>
  <c r="B2903" i="3"/>
  <c r="B2443" i="3"/>
  <c r="B1805" i="3"/>
  <c r="B1375" i="3"/>
  <c r="B3297" i="3"/>
  <c r="B2755" i="3"/>
  <c r="B2305" i="3"/>
  <c r="B1575" i="3"/>
  <c r="B3024" i="3"/>
  <c r="B2453" i="3"/>
  <c r="B1959" i="3"/>
  <c r="B3255" i="3"/>
  <c r="B2635" i="3"/>
  <c r="B2034" i="3"/>
  <c r="B1467" i="3"/>
  <c r="B3288" i="3"/>
  <c r="B2658" i="3"/>
  <c r="B2166" i="3"/>
  <c r="B1548" i="3"/>
  <c r="B3211" i="3"/>
  <c r="B2592" i="3"/>
  <c r="B2046" i="3"/>
  <c r="B1458" i="3"/>
  <c r="B894" i="3"/>
  <c r="B3114" i="3"/>
  <c r="B2594" i="3"/>
  <c r="B2136" i="3"/>
  <c r="B1636" i="3"/>
  <c r="B880" i="3"/>
  <c r="B3124" i="3"/>
  <c r="B2657" i="3"/>
  <c r="B1795" i="3"/>
  <c r="B1392" i="3"/>
  <c r="B3654" i="3"/>
  <c r="B2835" i="3"/>
  <c r="B2178" i="3"/>
  <c r="B1774" i="3"/>
  <c r="B3418" i="3"/>
  <c r="B2618" i="3"/>
  <c r="B2272" i="3"/>
  <c r="B1508" i="3"/>
  <c r="B1050" i="3"/>
  <c r="E3085" i="3"/>
  <c r="E2675" i="3"/>
  <c r="D3469" i="3"/>
  <c r="E2539" i="3"/>
  <c r="E2714" i="3"/>
  <c r="B3457" i="3"/>
  <c r="E3276" i="3"/>
  <c r="D3659" i="3"/>
  <c r="D3117" i="3"/>
  <c r="E2581" i="3"/>
  <c r="D3413" i="3"/>
  <c r="B3344" i="3"/>
  <c r="D2441" i="3"/>
  <c r="E3614" i="3"/>
  <c r="E3274" i="3"/>
  <c r="D3632" i="3"/>
  <c r="D2628" i="3"/>
  <c r="D3279" i="3"/>
  <c r="E3399" i="3"/>
  <c r="B3409" i="3"/>
  <c r="D3634" i="3"/>
  <c r="E2617" i="3"/>
  <c r="E2752" i="3"/>
  <c r="D3540" i="3"/>
  <c r="D3322" i="3"/>
  <c r="E2304" i="3"/>
  <c r="D2473" i="3"/>
  <c r="E3648" i="3"/>
  <c r="B3120" i="3"/>
  <c r="E2578" i="3"/>
  <c r="E2641" i="3"/>
  <c r="D2486" i="3"/>
  <c r="D3316" i="3"/>
  <c r="D2698" i="3"/>
  <c r="D2713" i="3"/>
  <c r="E2309" i="3"/>
  <c r="D3444" i="3"/>
  <c r="E3189" i="3"/>
  <c r="E3084" i="3"/>
  <c r="D2498" i="3"/>
  <c r="D3348" i="3"/>
  <c r="D2828" i="3"/>
  <c r="D3503" i="3"/>
  <c r="D3302" i="3"/>
  <c r="D2933" i="3"/>
  <c r="B3602" i="3"/>
  <c r="D2491" i="3"/>
  <c r="E2532" i="3"/>
  <c r="D3075" i="3"/>
  <c r="D3565" i="3"/>
  <c r="E3212" i="3"/>
  <c r="E3419" i="3"/>
  <c r="E3146" i="3"/>
  <c r="E2837" i="3"/>
  <c r="B3525" i="3"/>
  <c r="E2804" i="3"/>
  <c r="E3143" i="3"/>
  <c r="E2870" i="3"/>
  <c r="E2561" i="3"/>
  <c r="B3627" i="3"/>
  <c r="B2906" i="3"/>
  <c r="B2372" i="3"/>
  <c r="B1800" i="3"/>
  <c r="B1388" i="3"/>
  <c r="B3383" i="3"/>
  <c r="B2734" i="3"/>
  <c r="B2092" i="3"/>
  <c r="B1549" i="3"/>
  <c r="B2960" i="3"/>
  <c r="B2422" i="3"/>
  <c r="B1786" i="3"/>
  <c r="B3146" i="3"/>
  <c r="B2655" i="3"/>
  <c r="B1989" i="3"/>
  <c r="B1462" i="3"/>
  <c r="B3358" i="3"/>
  <c r="B2801" i="3"/>
  <c r="B2137" i="3"/>
  <c r="B1621" i="3"/>
  <c r="B3217" i="3"/>
  <c r="B2515" i="3"/>
  <c r="B2041" i="3"/>
  <c r="B1256" i="3"/>
  <c r="B857" i="3"/>
  <c r="B3184" i="3"/>
  <c r="B2565" i="3"/>
  <c r="B2128" i="3"/>
  <c r="B1409" i="3"/>
  <c r="B867" i="3"/>
  <c r="B3020" i="3"/>
  <c r="B2624" i="3"/>
  <c r="D2309" i="3"/>
  <c r="E3251" i="3"/>
  <c r="E3121" i="3"/>
  <c r="D2588" i="3"/>
  <c r="E3290" i="3"/>
  <c r="B3447" i="3"/>
  <c r="D2629" i="3"/>
  <c r="D3647" i="3"/>
  <c r="D3501" i="3"/>
  <c r="E2869" i="3"/>
  <c r="E3005" i="3"/>
  <c r="E3234" i="3"/>
  <c r="E3023" i="3"/>
  <c r="D2390" i="3"/>
  <c r="E3628" i="3"/>
  <c r="E2636" i="3"/>
  <c r="D3204" i="3"/>
  <c r="E2431" i="3"/>
  <c r="D3649" i="3"/>
  <c r="B3325" i="3"/>
  <c r="E2554" i="3"/>
  <c r="E2905" i="3"/>
  <c r="E3040" i="3"/>
  <c r="D3541" i="3"/>
  <c r="D3646" i="3"/>
  <c r="E2629" i="3"/>
  <c r="E2764" i="3"/>
  <c r="E3559" i="3"/>
  <c r="B3163" i="3"/>
  <c r="E2878" i="3"/>
  <c r="E2929" i="3"/>
  <c r="E2776" i="3"/>
  <c r="E3664" i="3"/>
  <c r="D3022" i="3"/>
  <c r="D3001" i="3"/>
  <c r="D2632" i="3"/>
  <c r="E3303" i="3"/>
  <c r="E3525" i="3"/>
  <c r="E3372" i="3"/>
  <c r="E2787" i="3"/>
  <c r="E3685" i="3"/>
  <c r="D3284" i="3"/>
  <c r="E2531" i="3"/>
  <c r="D3590" i="3"/>
  <c r="D3221" i="3"/>
  <c r="B3651" i="3"/>
  <c r="E2865" i="3"/>
  <c r="E2820" i="3"/>
  <c r="D3363" i="3"/>
  <c r="D3685" i="3"/>
  <c r="E2490" i="3"/>
  <c r="D2428" i="3"/>
  <c r="E3434" i="3"/>
  <c r="E3125" i="3"/>
  <c r="B3559" i="3"/>
  <c r="E3224" i="3"/>
  <c r="E3431" i="3"/>
  <c r="E3158" i="3"/>
  <c r="E2849" i="3"/>
  <c r="B3520" i="3"/>
  <c r="B2909" i="3"/>
  <c r="B2415" i="3"/>
  <c r="B1635" i="3"/>
  <c r="B1343" i="3"/>
  <c r="B3389" i="3"/>
  <c r="B2705" i="3"/>
  <c r="B2071" i="3"/>
  <c r="B1544" i="3"/>
  <c r="B2887" i="3"/>
  <c r="B2433" i="3"/>
  <c r="B1789" i="3"/>
  <c r="B3208" i="3"/>
  <c r="B2589" i="3"/>
  <c r="B1968" i="3"/>
  <c r="B1472" i="3"/>
  <c r="B3265" i="3"/>
  <c r="B2731" i="3"/>
  <c r="B2247" i="3"/>
  <c r="B1580" i="3"/>
  <c r="B3140" i="3"/>
  <c r="B2470" i="3"/>
  <c r="B1811" i="3"/>
  <c r="B1406" i="3"/>
  <c r="B699" i="3"/>
  <c r="B3203" i="3"/>
  <c r="B2584" i="3"/>
  <c r="B2038" i="3"/>
  <c r="B1441" i="3"/>
  <c r="B886" i="3"/>
  <c r="B3121" i="3"/>
  <c r="B2421" i="3"/>
  <c r="B1801" i="3"/>
  <c r="B1365" i="3"/>
  <c r="B3592" i="3"/>
  <c r="B2857" i="3"/>
  <c r="B2184" i="3"/>
  <c r="B1725" i="3"/>
  <c r="B3364" i="3"/>
  <c r="B2691" i="3"/>
  <c r="B2207" i="3"/>
  <c r="B1538" i="3"/>
  <c r="B796" i="3"/>
  <c r="B3177" i="3"/>
  <c r="B2629" i="3"/>
  <c r="B2134" i="3"/>
  <c r="B1410" i="3"/>
  <c r="B3175" i="3"/>
  <c r="B2559" i="3"/>
  <c r="B1970" i="3"/>
  <c r="B1581" i="3"/>
  <c r="B3136" i="3"/>
  <c r="B2517" i="3"/>
  <c r="B2059" i="3"/>
  <c r="B1423" i="3"/>
  <c r="B819" i="3"/>
  <c r="B3404" i="3"/>
  <c r="B2792" i="3"/>
  <c r="B1996" i="3"/>
  <c r="B1453" i="3"/>
  <c r="B3555" i="3"/>
  <c r="B2985" i="3"/>
  <c r="B2264" i="3"/>
  <c r="B1677" i="3"/>
  <c r="B1060" i="3"/>
  <c r="B3099" i="3"/>
  <c r="B2360" i="3"/>
  <c r="B1903" i="3"/>
  <c r="E2932" i="3"/>
  <c r="E2952" i="3"/>
  <c r="D3458" i="3"/>
  <c r="D3560" i="3"/>
  <c r="E3578" i="3"/>
  <c r="B3576" i="3"/>
  <c r="D2917" i="3"/>
  <c r="D3588" i="3"/>
  <c r="E2721" i="3"/>
  <c r="E3157" i="3"/>
  <c r="E3425" i="3"/>
  <c r="E2647" i="3"/>
  <c r="E3311" i="3"/>
  <c r="D2691" i="3"/>
  <c r="D3624" i="3"/>
  <c r="E3080" i="3"/>
  <c r="D2442" i="3"/>
  <c r="E3015" i="3"/>
  <c r="D3626" i="3"/>
  <c r="B3257" i="3"/>
  <c r="E2854" i="3"/>
  <c r="E3193" i="3"/>
  <c r="E3328" i="3"/>
  <c r="B3697" i="3"/>
  <c r="E2566" i="3"/>
  <c r="E2917" i="3"/>
  <c r="E3052" i="3"/>
  <c r="E3562" i="3"/>
  <c r="E3462" i="3"/>
  <c r="D2255" i="3"/>
  <c r="E3217" i="3"/>
  <c r="E3064" i="3"/>
  <c r="D3579" i="3"/>
  <c r="D3346" i="3"/>
  <c r="D3289" i="3"/>
  <c r="D2920" i="3"/>
  <c r="E3553" i="3"/>
  <c r="D2369" i="3"/>
  <c r="D2429" i="3"/>
  <c r="E3075" i="3"/>
  <c r="D3551" i="3"/>
  <c r="D2213" i="3"/>
  <c r="E2819" i="3"/>
  <c r="E2546" i="3"/>
  <c r="D3509" i="3"/>
  <c r="B3613" i="3"/>
  <c r="E3213" i="3"/>
  <c r="E3108" i="3"/>
  <c r="E2523" i="3"/>
  <c r="D3436" i="3"/>
  <c r="D2877" i="3"/>
  <c r="D2724" i="3"/>
  <c r="D3399" i="3"/>
  <c r="D3652" i="3"/>
  <c r="B3619" i="3"/>
  <c r="E2503" i="3"/>
  <c r="E2441" i="3"/>
  <c r="E3446" i="3"/>
  <c r="E3137" i="3"/>
  <c r="B3490" i="3"/>
  <c r="B2959" i="3"/>
  <c r="B2426" i="3"/>
  <c r="B1747" i="3"/>
  <c r="B1048" i="3"/>
  <c r="B3240" i="3"/>
  <c r="B2633" i="3"/>
  <c r="B2050" i="3"/>
  <c r="B1483" i="3"/>
  <c r="B2890" i="3"/>
  <c r="B2356" i="3"/>
  <c r="B1784" i="3"/>
  <c r="B3227" i="3"/>
  <c r="B2608" i="3"/>
  <c r="B2062" i="3"/>
  <c r="B1393" i="3"/>
  <c r="B3359" i="3"/>
  <c r="B2710" i="3"/>
  <c r="B2068" i="3"/>
  <c r="B1525" i="3"/>
  <c r="B3036" i="3"/>
  <c r="B2614" i="3"/>
  <c r="B1838" i="3"/>
  <c r="B1161" i="3"/>
  <c r="B710" i="3"/>
  <c r="B3209" i="3"/>
  <c r="B2636" i="3"/>
  <c r="B2033" i="3"/>
  <c r="B1248" i="3"/>
  <c r="B849" i="3"/>
  <c r="B3045" i="3"/>
  <c r="B2424" i="3"/>
  <c r="B1820" i="3"/>
  <c r="B1222" i="3"/>
  <c r="B3464" i="3"/>
  <c r="B2663" i="3"/>
  <c r="B2139" i="3"/>
  <c r="B1680" i="3"/>
  <c r="B3295" i="3"/>
  <c r="B2670" i="3"/>
  <c r="B2028" i="3"/>
  <c r="B1485" i="3"/>
  <c r="B855" i="3"/>
  <c r="B3070" i="3"/>
  <c r="B2653" i="3"/>
  <c r="B1771" i="3"/>
  <c r="E3547" i="3"/>
  <c r="D3457" i="3"/>
  <c r="E2403" i="3"/>
  <c r="E2564" i="3"/>
  <c r="D2943" i="3"/>
  <c r="D2911" i="3"/>
  <c r="D2106" i="3"/>
  <c r="D3663" i="3"/>
  <c r="E3429" i="3"/>
  <c r="E2305" i="3"/>
  <c r="E3257" i="3"/>
  <c r="E3223" i="3"/>
  <c r="D2284" i="3"/>
  <c r="D2979" i="3"/>
  <c r="E3610" i="3"/>
  <c r="D2298" i="3"/>
  <c r="E2736" i="3"/>
  <c r="D2190" i="3"/>
  <c r="D3448" i="3"/>
  <c r="B3226" i="3"/>
  <c r="D2166" i="3"/>
  <c r="D2358" i="3"/>
  <c r="D2195" i="3"/>
  <c r="B3580" i="3"/>
  <c r="E2866" i="3"/>
  <c r="E3205" i="3"/>
  <c r="E3340" i="3"/>
  <c r="B3689" i="3"/>
  <c r="D3091" i="3"/>
  <c r="D2603" i="3"/>
  <c r="E2388" i="3"/>
  <c r="E3352" i="3"/>
  <c r="E3329" i="3"/>
  <c r="D2081" i="3"/>
  <c r="D2340" i="3"/>
  <c r="D3208" i="3"/>
  <c r="E3555" i="3"/>
  <c r="D2710" i="3"/>
  <c r="D2725" i="3"/>
  <c r="D2327" i="3"/>
  <c r="D3480" i="3"/>
  <c r="E2732" i="3"/>
  <c r="E3107" i="3"/>
  <c r="E2834" i="3"/>
  <c r="E2525" i="3"/>
  <c r="B3507" i="3"/>
  <c r="E3561" i="3"/>
  <c r="E3396" i="3"/>
  <c r="E2811" i="3"/>
  <c r="E3351" i="3"/>
  <c r="D3285" i="3"/>
  <c r="D3012" i="3"/>
  <c r="E2510" i="3"/>
  <c r="D3619" i="3"/>
  <c r="B3511" i="3"/>
  <c r="D2913" i="3"/>
  <c r="D2736" i="3"/>
  <c r="D3411" i="3"/>
  <c r="E3670" i="3"/>
  <c r="E3533" i="3"/>
  <c r="B2899" i="3"/>
  <c r="B2242" i="3"/>
  <c r="B1700" i="3"/>
  <c r="B1043" i="3"/>
  <c r="B3170" i="3"/>
  <c r="B2652" i="3"/>
  <c r="B2005" i="3"/>
  <c r="B1478" i="3"/>
  <c r="B2893" i="3"/>
  <c r="B2399" i="3"/>
  <c r="B1739" i="3"/>
  <c r="B3242" i="3"/>
  <c r="B2531" i="3"/>
  <c r="B2057" i="3"/>
  <c r="B1272" i="3"/>
  <c r="B3349" i="3"/>
  <c r="B2681" i="3"/>
  <c r="B2047" i="3"/>
  <c r="B1520" i="3"/>
  <c r="B2991" i="3"/>
  <c r="B2464" i="3"/>
  <c r="B1817" i="3"/>
  <c r="B1331" i="3"/>
  <c r="B681" i="3"/>
  <c r="B3087" i="3"/>
  <c r="B2669" i="3"/>
  <c r="B1803" i="3"/>
  <c r="B1399" i="3"/>
  <c r="B691" i="3"/>
  <c r="B3084" i="3"/>
  <c r="B2411" i="3"/>
  <c r="B1971" i="3"/>
  <c r="B1254" i="3"/>
  <c r="B3412" i="3"/>
  <c r="B2626" i="3"/>
  <c r="B2274" i="3"/>
  <c r="B1516" i="3"/>
  <c r="B3402" i="3"/>
  <c r="B2780" i="3"/>
  <c r="B2007" i="3"/>
  <c r="B1576" i="3"/>
  <c r="E3091" i="3"/>
  <c r="D3446" i="3"/>
  <c r="E2990" i="3"/>
  <c r="E3440" i="3"/>
  <c r="E2375" i="3"/>
  <c r="E3163" i="3"/>
  <c r="E2569" i="3"/>
  <c r="E3697" i="3"/>
  <c r="E2160" i="3"/>
  <c r="D2630" i="3"/>
  <c r="E3640" i="3"/>
  <c r="D2648" i="3"/>
  <c r="D2616" i="3"/>
  <c r="D3267" i="3"/>
  <c r="D3408" i="3"/>
  <c r="D2757" i="3"/>
  <c r="E3024" i="3"/>
  <c r="D2584" i="3"/>
  <c r="E3451" i="3"/>
  <c r="E3294" i="3"/>
  <c r="D2579" i="3"/>
  <c r="D2666" i="3"/>
  <c r="D2585" i="3"/>
  <c r="B3642" i="3"/>
  <c r="E2220" i="3"/>
  <c r="E2373" i="3"/>
  <c r="E2240" i="3"/>
  <c r="B3572" i="3"/>
  <c r="E2743" i="3"/>
  <c r="D2891" i="3"/>
  <c r="D2690" i="3"/>
  <c r="E2268" i="3"/>
  <c r="B3681" i="3"/>
  <c r="E2590" i="3"/>
  <c r="E2653" i="3"/>
  <c r="D2499" i="3"/>
  <c r="D3372" i="3"/>
  <c r="D3034" i="3"/>
  <c r="D3013" i="3"/>
  <c r="D2644" i="3"/>
  <c r="E3363" i="3"/>
  <c r="E3164" i="3"/>
  <c r="E3395" i="3"/>
  <c r="E3122" i="3"/>
  <c r="E2813" i="3"/>
  <c r="B3535" i="3"/>
  <c r="E2398" i="3"/>
  <c r="E2455" i="3"/>
  <c r="E3099" i="3"/>
  <c r="E3613" i="3"/>
  <c r="D3645" i="3"/>
  <c r="D3300" i="3"/>
  <c r="D2799" i="3"/>
  <c r="E3497" i="3"/>
  <c r="B3483" i="3"/>
  <c r="D3297" i="3"/>
  <c r="D3024" i="3"/>
  <c r="D2523" i="3"/>
  <c r="E3636" i="3"/>
  <c r="B3643" i="3"/>
  <c r="B2870" i="3"/>
  <c r="B2245" i="3"/>
  <c r="B1655" i="3"/>
  <c r="B1046" i="3"/>
  <c r="B3282" i="3"/>
  <c r="B2605" i="3"/>
  <c r="B1984" i="3"/>
  <c r="B1371" i="3"/>
  <c r="B2912" i="3"/>
  <c r="B2410" i="3"/>
  <c r="B1737" i="3"/>
  <c r="B2998" i="3"/>
  <c r="B2486" i="3"/>
  <c r="B1827" i="3"/>
  <c r="B1440" i="3"/>
  <c r="B3253" i="3"/>
  <c r="B2612" i="3"/>
  <c r="B2026" i="3"/>
  <c r="B1459" i="3"/>
  <c r="B3061" i="3"/>
  <c r="B2437" i="3"/>
  <c r="B1836" i="3"/>
  <c r="B1232" i="3"/>
  <c r="B660" i="3"/>
  <c r="B3028" i="3"/>
  <c r="B2647" i="3"/>
  <c r="B1830" i="3"/>
  <c r="B1153" i="3"/>
  <c r="B702" i="3"/>
  <c r="B2884" i="3"/>
  <c r="B2382" i="3"/>
  <c r="B1935" i="3"/>
  <c r="B1311" i="3"/>
  <c r="B3302" i="3"/>
  <c r="B2752" i="3"/>
  <c r="B2260" i="3"/>
  <c r="D2554" i="3"/>
  <c r="E2389" i="3"/>
  <c r="E2359" i="3"/>
  <c r="D2697" i="3"/>
  <c r="E2679" i="3"/>
  <c r="D2600" i="3"/>
  <c r="D2286" i="3"/>
  <c r="E3571" i="3"/>
  <c r="D2614" i="3"/>
  <c r="D2918" i="3"/>
  <c r="E3691" i="3"/>
  <c r="D3152" i="3"/>
  <c r="D2904" i="3"/>
  <c r="D2418" i="3"/>
  <c r="E3411" i="3"/>
  <c r="D3537" i="3"/>
  <c r="D2357" i="3"/>
  <c r="D2872" i="3"/>
  <c r="E3680" i="3"/>
  <c r="D3031" i="3"/>
  <c r="D2867" i="3"/>
  <c r="D2954" i="3"/>
  <c r="D2873" i="3"/>
  <c r="E3390" i="3"/>
  <c r="D2591" i="3"/>
  <c r="D2678" i="3"/>
  <c r="D2597" i="3"/>
  <c r="B3634" i="3"/>
  <c r="E3319" i="3"/>
  <c r="D3179" i="3"/>
  <c r="D2978" i="3"/>
  <c r="D2609" i="3"/>
  <c r="B3564" i="3"/>
  <c r="E2890" i="3"/>
  <c r="E2941" i="3"/>
  <c r="E2788" i="3"/>
  <c r="D3683" i="3"/>
  <c r="D3358" i="3"/>
  <c r="D3301" i="3"/>
  <c r="D2932" i="3"/>
  <c r="E3574" i="3"/>
  <c r="E2424" i="3"/>
  <c r="E2400" i="3"/>
  <c r="E3410" i="3"/>
  <c r="E3101" i="3"/>
  <c r="B3597" i="3"/>
  <c r="D2734" i="3"/>
  <c r="D2749" i="3"/>
  <c r="D2360" i="3"/>
  <c r="E3529" i="3"/>
  <c r="D2504" i="3"/>
  <c r="E2544" i="3"/>
  <c r="D3087" i="3"/>
  <c r="E3584" i="3"/>
  <c r="B3264" i="3"/>
  <c r="D3657" i="3"/>
  <c r="D3312" i="3"/>
  <c r="D2811" i="3"/>
  <c r="E3521" i="3"/>
  <c r="B3530" i="3"/>
  <c r="B2921" i="3"/>
  <c r="B2248" i="3"/>
  <c r="B1738" i="3"/>
  <c r="B1009" i="3"/>
  <c r="B3250" i="3"/>
  <c r="B2641" i="3"/>
  <c r="B2078" i="3"/>
  <c r="E3415" i="3"/>
  <c r="B2883" i="3"/>
  <c r="B2226" i="3"/>
  <c r="B1684" i="3"/>
  <c r="B3052" i="3"/>
  <c r="B2622" i="3"/>
  <c r="B1854" i="3"/>
  <c r="B1177" i="3"/>
  <c r="B3138" i="3"/>
  <c r="B2610" i="3"/>
  <c r="B1981" i="3"/>
  <c r="B1454" i="3"/>
  <c r="B3134" i="3"/>
  <c r="B2427" i="3"/>
  <c r="B1927" i="3"/>
  <c r="B1271" i="3"/>
  <c r="B695" i="3"/>
  <c r="B3132" i="3"/>
  <c r="B2429" i="3"/>
  <c r="B1809" i="3"/>
  <c r="B1283" i="3"/>
  <c r="B673" i="3"/>
  <c r="B2847" i="3"/>
  <c r="B2393" i="3"/>
  <c r="B1952" i="3"/>
  <c r="B1243" i="3"/>
  <c r="B3372" i="3"/>
  <c r="B2699" i="3"/>
  <c r="B2215" i="3"/>
  <c r="D2771" i="3"/>
  <c r="E2978" i="3"/>
  <c r="D3100" i="3"/>
  <c r="E3045" i="3"/>
  <c r="D2392" i="3"/>
  <c r="E2052" i="3"/>
  <c r="D2906" i="3"/>
  <c r="E3310" i="3"/>
  <c r="D2950" i="3"/>
  <c r="D3494" i="3"/>
  <c r="D3600" i="3"/>
  <c r="E2600" i="3"/>
  <c r="D3192" i="3"/>
  <c r="E2715" i="3"/>
  <c r="E3663" i="3"/>
  <c r="D2383" i="3"/>
  <c r="D2665" i="3"/>
  <c r="D3160" i="3"/>
  <c r="D3614" i="3"/>
  <c r="E2707" i="3"/>
  <c r="D3155" i="3"/>
  <c r="D3242" i="3"/>
  <c r="D3161" i="3"/>
  <c r="D3079" i="3"/>
  <c r="D2879" i="3"/>
  <c r="D2966" i="3"/>
  <c r="D2885" i="3"/>
  <c r="B3683" i="3"/>
  <c r="D2768" i="3"/>
  <c r="D3467" i="3"/>
  <c r="D3266" i="3"/>
  <c r="D2897" i="3"/>
  <c r="E3486" i="3"/>
  <c r="E2280" i="3"/>
  <c r="E3229" i="3"/>
  <c r="E3076" i="3"/>
  <c r="D3599" i="3"/>
  <c r="D2165" i="3"/>
  <c r="E2357" i="3"/>
  <c r="D3220" i="3"/>
  <c r="E3575" i="3"/>
  <c r="D2853" i="3"/>
  <c r="D2700" i="3"/>
  <c r="E3698" i="3"/>
  <c r="E3617" i="3"/>
  <c r="B3513" i="3"/>
  <c r="D3058" i="3"/>
  <c r="D3037" i="3"/>
  <c r="D2668" i="3"/>
  <c r="E3447" i="3"/>
  <c r="E2877" i="3"/>
  <c r="E2832" i="3"/>
  <c r="D3375" i="3"/>
  <c r="E3635" i="3"/>
  <c r="B3291" i="3"/>
  <c r="D2517" i="3"/>
  <c r="E2556" i="3"/>
  <c r="D3099" i="3"/>
  <c r="E3603" i="3"/>
  <c r="B3587" i="3"/>
  <c r="B2727" i="3"/>
  <c r="B2203" i="3"/>
  <c r="B1741" i="3"/>
  <c r="B1207" i="3"/>
  <c r="B3166" i="3"/>
  <c r="B2547" i="3"/>
  <c r="B2073" i="3"/>
  <c r="B3499" i="3"/>
  <c r="B2854" i="3"/>
  <c r="B2229" i="3"/>
  <c r="B1639" i="3"/>
  <c r="B3007" i="3"/>
  <c r="B2520" i="3"/>
  <c r="B1833" i="3"/>
  <c r="B1262" i="3"/>
  <c r="B3200" i="3"/>
  <c r="B2581" i="3"/>
  <c r="B1960" i="3"/>
  <c r="B1449" i="3"/>
  <c r="B2900" i="3"/>
  <c r="B2398" i="3"/>
  <c r="B1961" i="3"/>
  <c r="B1372" i="3"/>
  <c r="B682" i="3"/>
  <c r="B3053" i="3"/>
  <c r="B2432" i="3"/>
  <c r="B1828" i="3"/>
  <c r="B1227" i="3"/>
  <c r="B652" i="3"/>
  <c r="B2850" i="3"/>
  <c r="B2316" i="3"/>
  <c r="B1974" i="3"/>
  <c r="B1231" i="3"/>
  <c r="B3311" i="3"/>
  <c r="B2678" i="3"/>
  <c r="B2036" i="3"/>
  <c r="B1493" i="3"/>
  <c r="B3160" i="3"/>
  <c r="B2541" i="3"/>
  <c r="B2083" i="3"/>
  <c r="B1395" i="3"/>
  <c r="B843" i="3"/>
  <c r="B3113" i="3"/>
  <c r="B2387" i="3"/>
  <c r="B1914" i="3"/>
  <c r="B1315" i="3"/>
  <c r="B3065" i="3"/>
  <c r="B2640" i="3"/>
  <c r="B1966" i="3"/>
  <c r="B1481" i="3"/>
  <c r="B3050" i="3"/>
  <c r="B2381" i="3"/>
  <c r="B1977" i="3"/>
  <c r="B1249" i="3"/>
  <c r="B802" i="3"/>
  <c r="B3139" i="3"/>
  <c r="B2528" i="3"/>
  <c r="B1982" i="3"/>
  <c r="B1391" i="3"/>
  <c r="B3386" i="3"/>
  <c r="B2820" i="3"/>
  <c r="D3059" i="3"/>
  <c r="D2344" i="3"/>
  <c r="E2968" i="3"/>
  <c r="E3381" i="3"/>
  <c r="E2692" i="3"/>
  <c r="D2709" i="3"/>
  <c r="D3194" i="3"/>
  <c r="D3629" i="3"/>
  <c r="D3598" i="3"/>
  <c r="D2444" i="3"/>
  <c r="E3605" i="3"/>
  <c r="E3056" i="3"/>
  <c r="E2428" i="3"/>
  <c r="D2572" i="3"/>
  <c r="E3596" i="3"/>
  <c r="E2757" i="3"/>
  <c r="D2953" i="3"/>
  <c r="D2447" i="3"/>
  <c r="E3516" i="3"/>
  <c r="E3283" i="3"/>
  <c r="D3443" i="3"/>
  <c r="D3530" i="3"/>
  <c r="D3449" i="3"/>
  <c r="E2731" i="3"/>
  <c r="D3167" i="3"/>
  <c r="D3254" i="3"/>
  <c r="D3173" i="3"/>
  <c r="B3454" i="3"/>
  <c r="D3224" i="3"/>
  <c r="E2493" i="3"/>
  <c r="D3554" i="3"/>
  <c r="D3185" i="3"/>
  <c r="D3127" i="3"/>
  <c r="D2615" i="3"/>
  <c r="D2403" i="3"/>
  <c r="E3364" i="3"/>
  <c r="D3384" i="3"/>
  <c r="E2602" i="3"/>
  <c r="E2665" i="3"/>
  <c r="D2512" i="3"/>
  <c r="E3413" i="3"/>
  <c r="D3261" i="3"/>
  <c r="D2988" i="3"/>
  <c r="E2484" i="3"/>
  <c r="D3564" i="3"/>
  <c r="B3549" i="3"/>
  <c r="D3406" i="3"/>
  <c r="D3325" i="3"/>
  <c r="D2956" i="3"/>
  <c r="D3612" i="3"/>
  <c r="E3225" i="3"/>
  <c r="E3120" i="3"/>
  <c r="E2535" i="3"/>
  <c r="E3473" i="3"/>
  <c r="B3430" i="3"/>
  <c r="E2901" i="3"/>
  <c r="E2844" i="3"/>
  <c r="D3459" i="3"/>
  <c r="D3280" i="3"/>
  <c r="B3360" i="3"/>
  <c r="B2690" i="3"/>
  <c r="B2198" i="3"/>
  <c r="B1601" i="3"/>
  <c r="B1122" i="3"/>
  <c r="B3014" i="3"/>
  <c r="B2502" i="3"/>
  <c r="B1843" i="3"/>
  <c r="B3487" i="3"/>
  <c r="B2905" i="3"/>
  <c r="B2232" i="3"/>
  <c r="B1780" i="3"/>
  <c r="B3103" i="3"/>
  <c r="B2455" i="3"/>
  <c r="B1852" i="3"/>
  <c r="B1242" i="3"/>
  <c r="B3219" i="3"/>
  <c r="B2600" i="3"/>
  <c r="B2394" i="3"/>
  <c r="B2419" i="3"/>
  <c r="B2186" i="3"/>
  <c r="B3236" i="3"/>
  <c r="B1793" i="3"/>
  <c r="B2831" i="3"/>
  <c r="B1920" i="3"/>
  <c r="B3450" i="3"/>
  <c r="B2358" i="3"/>
  <c r="B1419" i="3"/>
  <c r="B2852" i="3"/>
  <c r="B2012" i="3"/>
  <c r="B1260" i="3"/>
  <c r="B2786" i="3"/>
  <c r="B2121" i="3"/>
  <c r="B1307" i="3"/>
  <c r="B556" i="3"/>
  <c r="B2953" i="3"/>
  <c r="B2175" i="3"/>
  <c r="B1439" i="3"/>
  <c r="B3112" i="3"/>
  <c r="B2556" i="3"/>
  <c r="B1882" i="3"/>
  <c r="B1351" i="3"/>
  <c r="B3033" i="3"/>
  <c r="B2357" i="3"/>
  <c r="B1877" i="3"/>
  <c r="B1218" i="3"/>
  <c r="B2929" i="3"/>
  <c r="B2310" i="3"/>
  <c r="B1869" i="3"/>
  <c r="B1213" i="3"/>
  <c r="B3237" i="3"/>
  <c r="B2651" i="3"/>
  <c r="B2108" i="3"/>
  <c r="B1352" i="3"/>
  <c r="B953" i="3"/>
  <c r="B3129" i="3"/>
  <c r="B2524" i="3"/>
  <c r="B1905" i="3"/>
  <c r="B1214" i="3"/>
  <c r="B769" i="3"/>
  <c r="B3204" i="3"/>
  <c r="B2700" i="3"/>
  <c r="B2098" i="3"/>
  <c r="B1531" i="3"/>
  <c r="B3063" i="3"/>
  <c r="B2508" i="3"/>
  <c r="B1889" i="3"/>
  <c r="B1368" i="3"/>
  <c r="B3064" i="3"/>
  <c r="B2512" i="3"/>
  <c r="B1855" i="3"/>
  <c r="B1202" i="3"/>
  <c r="B759" i="3"/>
  <c r="B3056" i="3"/>
  <c r="B2496" i="3"/>
  <c r="B1847" i="3"/>
  <c r="B1194" i="3"/>
  <c r="B3048" i="3"/>
  <c r="B2451" i="3"/>
  <c r="B1839" i="3"/>
  <c r="B1186" i="3"/>
  <c r="B1022" i="3"/>
  <c r="B71" i="3"/>
  <c r="B720" i="3"/>
  <c r="B560" i="3"/>
  <c r="B1085" i="3"/>
  <c r="B364" i="3"/>
  <c r="B732" i="3"/>
  <c r="B150" i="3"/>
  <c r="B511" i="3"/>
  <c r="B1278" i="3"/>
  <c r="B347" i="3"/>
  <c r="B963" i="3"/>
  <c r="B212" i="3"/>
  <c r="B529" i="3"/>
  <c r="B20" i="3"/>
  <c r="B293" i="3"/>
  <c r="B883" i="3"/>
  <c r="B154" i="3"/>
  <c r="B518" i="3"/>
  <c r="B54" i="3"/>
  <c r="B269" i="3"/>
  <c r="B827" i="3"/>
  <c r="B130" i="3"/>
  <c r="B494" i="3"/>
  <c r="B245" i="3"/>
  <c r="B955" i="3"/>
  <c r="B106" i="3"/>
  <c r="B462" i="3"/>
  <c r="B26" i="3"/>
  <c r="B427" i="3"/>
  <c r="B965" i="3"/>
  <c r="B82" i="3"/>
  <c r="B430" i="3"/>
  <c r="B396" i="3"/>
  <c r="B926" i="3"/>
  <c r="B2054" i="3"/>
  <c r="B2197" i="3"/>
  <c r="B2329" i="3"/>
  <c r="B3187" i="3"/>
  <c r="B1955" i="3"/>
  <c r="B2834" i="3"/>
  <c r="B1933" i="3"/>
  <c r="B3440" i="3"/>
  <c r="B2292" i="3"/>
  <c r="B1373" i="3"/>
  <c r="B2818" i="3"/>
  <c r="B1991" i="3"/>
  <c r="B1275" i="3"/>
  <c r="B2667" i="3"/>
  <c r="B1958" i="3"/>
  <c r="B1382" i="3"/>
  <c r="B527" i="3"/>
  <c r="B2817" i="3"/>
  <c r="B1975" i="3"/>
  <c r="B1457" i="3"/>
  <c r="B3131" i="3"/>
  <c r="B2365" i="3"/>
  <c r="B1885" i="3"/>
  <c r="B1297" i="3"/>
  <c r="B3078" i="3"/>
  <c r="B2347" i="3"/>
  <c r="B1872" i="3"/>
  <c r="B1349" i="3"/>
  <c r="B2950" i="3"/>
  <c r="B2454" i="3"/>
  <c r="B1864" i="3"/>
  <c r="B1326" i="3"/>
  <c r="B3077" i="3"/>
  <c r="B2566" i="3"/>
  <c r="B1907" i="3"/>
  <c r="B1426" i="3"/>
  <c r="B776" i="3"/>
  <c r="B3123" i="3"/>
  <c r="B2333" i="3"/>
  <c r="B1924" i="3"/>
  <c r="B1356" i="3"/>
  <c r="B748" i="3"/>
  <c r="B3245" i="3"/>
  <c r="B2495" i="3"/>
  <c r="B2053" i="3"/>
  <c r="B1526" i="3"/>
  <c r="B3076" i="3"/>
  <c r="B2317" i="3"/>
  <c r="B1908" i="3"/>
  <c r="B1327" i="3"/>
  <c r="B3067" i="3"/>
  <c r="B2435" i="3"/>
  <c r="B1826" i="3"/>
  <c r="B1290" i="3"/>
  <c r="B746" i="3"/>
  <c r="B2964" i="3"/>
  <c r="B2507" i="3"/>
  <c r="B1818" i="3"/>
  <c r="B1205" i="3"/>
  <c r="B2941" i="3"/>
  <c r="B2483" i="3"/>
  <c r="B1810" i="3"/>
  <c r="B1197" i="3"/>
  <c r="B910" i="3"/>
  <c r="B203" i="3"/>
  <c r="B605" i="3"/>
  <c r="B354" i="3"/>
  <c r="B895" i="3"/>
  <c r="B415" i="3"/>
  <c r="B711" i="3"/>
  <c r="B129" i="3"/>
  <c r="B522" i="3"/>
  <c r="B1146" i="3"/>
  <c r="B424" i="3"/>
  <c r="B715" i="3"/>
  <c r="B168" i="3"/>
  <c r="B540" i="3"/>
  <c r="B1193" i="3"/>
  <c r="B304" i="3"/>
  <c r="B929" i="3"/>
  <c r="B173" i="3"/>
  <c r="B497" i="3"/>
  <c r="B1285" i="3"/>
  <c r="B280" i="3"/>
  <c r="B889" i="3"/>
  <c r="B149" i="3"/>
  <c r="B473" i="3"/>
  <c r="B1247" i="3"/>
  <c r="B256" i="3"/>
  <c r="B865" i="3"/>
  <c r="B125" i="3"/>
  <c r="B441" i="3"/>
  <c r="B1342" i="3"/>
  <c r="B232" i="3"/>
  <c r="B987" i="3"/>
  <c r="B101" i="3"/>
  <c r="B409" i="3"/>
  <c r="B1721" i="3"/>
  <c r="B2155" i="3"/>
  <c r="B2044" i="3"/>
  <c r="B3102" i="3"/>
  <c r="B1930" i="3"/>
  <c r="B2856" i="3"/>
  <c r="B1681" i="3"/>
  <c r="B3416" i="3"/>
  <c r="B2346" i="3"/>
  <c r="B1337" i="3"/>
  <c r="B2821" i="3"/>
  <c r="B2096" i="3"/>
  <c r="B1261" i="3"/>
  <c r="B2756" i="3"/>
  <c r="B1782" i="3"/>
  <c r="B1143" i="3"/>
  <c r="B554" i="3"/>
  <c r="B2781" i="3"/>
  <c r="B2105" i="3"/>
  <c r="B1418" i="3"/>
  <c r="B3145" i="3"/>
  <c r="B2368" i="3"/>
  <c r="B1880" i="3"/>
  <c r="B1123" i="3"/>
  <c r="B3026" i="3"/>
  <c r="B2318" i="3"/>
  <c r="B1707" i="3"/>
  <c r="B1255" i="3"/>
  <c r="B2948" i="3"/>
  <c r="B2460" i="3"/>
  <c r="B1699" i="3"/>
  <c r="B1246" i="3"/>
  <c r="B3017" i="3"/>
  <c r="B2577" i="3"/>
  <c r="B1931" i="3"/>
  <c r="B1397" i="3"/>
  <c r="B833" i="3"/>
  <c r="B3079" i="3"/>
  <c r="B2336" i="3"/>
  <c r="B1879" i="3"/>
  <c r="B1380" i="3"/>
  <c r="B787" i="3"/>
  <c r="B3165" i="3"/>
  <c r="B2639" i="3"/>
  <c r="B2032" i="3"/>
  <c r="B1513" i="3"/>
  <c r="B3069" i="3"/>
  <c r="B2320" i="3"/>
  <c r="B1863" i="3"/>
  <c r="B1273" i="3"/>
  <c r="B2939" i="3"/>
  <c r="B2463" i="3"/>
  <c r="B1829" i="3"/>
  <c r="B1176" i="3"/>
  <c r="B717" i="3"/>
  <c r="B2919" i="3"/>
  <c r="B2505" i="3"/>
  <c r="B1821" i="3"/>
  <c r="B1168" i="3"/>
  <c r="B2911" i="3"/>
  <c r="B2468" i="3"/>
  <c r="B1813" i="3"/>
  <c r="B1160" i="3"/>
  <c r="B797" i="3"/>
  <c r="B218" i="3"/>
  <c r="B614" i="3"/>
  <c r="B60" i="3"/>
  <c r="B349" i="3"/>
  <c r="B901" i="3"/>
  <c r="B413" i="3"/>
  <c r="B778" i="3"/>
  <c r="B124" i="3"/>
  <c r="B533" i="3"/>
  <c r="B1163" i="3"/>
  <c r="B377" i="3"/>
  <c r="B817" i="3"/>
  <c r="B171" i="3"/>
  <c r="B487" i="3"/>
  <c r="B1322" i="3"/>
  <c r="B323" i="3"/>
  <c r="B675" i="3"/>
  <c r="B144" i="3"/>
  <c r="B516" i="3"/>
  <c r="B1341" i="3"/>
  <c r="B299" i="3"/>
  <c r="B635" i="3"/>
  <c r="B120" i="3"/>
  <c r="B484" i="3"/>
  <c r="B1291" i="3"/>
  <c r="B275" i="3"/>
  <c r="B786" i="3"/>
  <c r="B96" i="3"/>
  <c r="B642" i="3"/>
  <c r="B1080" i="3"/>
  <c r="B251" i="3"/>
  <c r="B766" i="3"/>
  <c r="B72" i="3"/>
  <c r="B596" i="3"/>
  <c r="B1204" i="3"/>
  <c r="B227" i="3"/>
  <c r="B742" i="3"/>
  <c r="B48" i="3"/>
  <c r="B1386" i="3"/>
  <c r="B2265" i="3"/>
  <c r="B2002" i="3"/>
  <c r="B3012" i="3"/>
  <c r="B1689" i="3"/>
  <c r="B2795" i="3"/>
  <c r="B1672" i="3"/>
  <c r="B3356" i="3"/>
  <c r="B2165" i="3"/>
  <c r="B1306" i="3"/>
  <c r="B2840" i="3"/>
  <c r="B2067" i="3"/>
  <c r="B1211" i="3"/>
  <c r="B2551" i="3"/>
  <c r="B1957" i="3"/>
  <c r="B1148" i="3"/>
  <c r="B589" i="3"/>
  <c r="B2712" i="3"/>
  <c r="B2080" i="3"/>
  <c r="B1239" i="3"/>
  <c r="B3041" i="3"/>
  <c r="B2355" i="3"/>
  <c r="B1715" i="3"/>
  <c r="B1126" i="3"/>
  <c r="B3035" i="3"/>
  <c r="B2456" i="3"/>
  <c r="B1686" i="3"/>
  <c r="B1120" i="3"/>
  <c r="B2925" i="3"/>
  <c r="B2287" i="3"/>
  <c r="B1678" i="3"/>
  <c r="B1112" i="3"/>
  <c r="B3150" i="3"/>
  <c r="B2532" i="3"/>
  <c r="B1913" i="3"/>
  <c r="B1219" i="3"/>
  <c r="B791" i="3"/>
  <c r="B3011" i="3"/>
  <c r="B2323" i="3"/>
  <c r="B1850" i="3"/>
  <c r="B1340" i="3"/>
  <c r="B770" i="3"/>
  <c r="B3269" i="3"/>
  <c r="B2461" i="3"/>
  <c r="B2003" i="3"/>
  <c r="B1374" i="3"/>
  <c r="B2995" i="3"/>
  <c r="B2440" i="3"/>
  <c r="B1834" i="3"/>
  <c r="B1292" i="3"/>
  <c r="B2932" i="3"/>
  <c r="B2396" i="3"/>
  <c r="B1824" i="3"/>
  <c r="B1347" i="3"/>
  <c r="B664" i="3"/>
  <c r="B2922" i="3"/>
  <c r="B2388" i="3"/>
  <c r="B1816" i="3"/>
  <c r="B1299" i="3"/>
  <c r="B2914" i="3"/>
  <c r="B2380" i="3"/>
  <c r="B1808" i="3"/>
  <c r="B1257" i="3"/>
  <c r="B726" i="3"/>
  <c r="B32" i="3"/>
  <c r="B603" i="3"/>
  <c r="B1496" i="3"/>
  <c r="B360" i="3"/>
  <c r="B992" i="3"/>
  <c r="B47" i="3"/>
  <c r="B680" i="3"/>
  <c r="B33" i="3"/>
  <c r="B528" i="3"/>
  <c r="B1029" i="3"/>
  <c r="B340" i="3"/>
  <c r="B700" i="3"/>
  <c r="B126" i="3"/>
  <c r="B490" i="3"/>
  <c r="B1078" i="3"/>
  <c r="B366" i="3"/>
  <c r="B761" i="3"/>
  <c r="B147" i="3"/>
  <c r="B455" i="3"/>
  <c r="B1030" i="3"/>
  <c r="B342" i="3"/>
  <c r="B729" i="3"/>
  <c r="B123" i="3"/>
  <c r="B431" i="3"/>
  <c r="B1113" i="3"/>
  <c r="B318" i="3"/>
  <c r="B705" i="3"/>
  <c r="B99" i="3"/>
  <c r="B630" i="3"/>
  <c r="B1041" i="3"/>
  <c r="B294" i="3"/>
  <c r="B665" i="3"/>
  <c r="B75" i="3"/>
  <c r="B649" i="3"/>
  <c r="B1137" i="3"/>
  <c r="B270" i="3"/>
  <c r="B841" i="3"/>
  <c r="B195" i="3"/>
  <c r="B578" i="3"/>
  <c r="B636" i="3"/>
  <c r="B78" i="3"/>
  <c r="B442" i="3"/>
  <c r="B305" i="3"/>
  <c r="B612" i="3"/>
  <c r="B241" i="3"/>
  <c r="B1042" i="3"/>
  <c r="B281" i="3"/>
  <c r="B231" i="3"/>
  <c r="B604" i="3"/>
  <c r="B1154" i="3"/>
  <c r="B767" i="3"/>
  <c r="B177" i="3"/>
  <c r="B617" i="3"/>
  <c r="B207" i="3"/>
  <c r="B765" i="3"/>
  <c r="B3506" i="3"/>
  <c r="B1942" i="3"/>
  <c r="B2025" i="3"/>
  <c r="B3090" i="3"/>
  <c r="B1755" i="3"/>
  <c r="B2744" i="3"/>
  <c r="B1535" i="3"/>
  <c r="B3243" i="3"/>
  <c r="B2168" i="3"/>
  <c r="B1323" i="3"/>
  <c r="B2811" i="3"/>
  <c r="B1998" i="3"/>
  <c r="B3631" i="3"/>
  <c r="B2546" i="3"/>
  <c r="B1898" i="3"/>
  <c r="B1139" i="3"/>
  <c r="B3623" i="3"/>
  <c r="B2659" i="3"/>
  <c r="B2051" i="3"/>
  <c r="B1401" i="3"/>
  <c r="B3083" i="3"/>
  <c r="B2326" i="3"/>
  <c r="B1641" i="3"/>
  <c r="B1089" i="3"/>
  <c r="B2934" i="3"/>
  <c r="B2481" i="3"/>
  <c r="B1772" i="3"/>
  <c r="B1115" i="3"/>
  <c r="B2957" i="3"/>
  <c r="B2309" i="3"/>
  <c r="B1767" i="3"/>
  <c r="B1107" i="3"/>
  <c r="B3142" i="3"/>
  <c r="B2341" i="3"/>
  <c r="B1965" i="3"/>
  <c r="B1358" i="3"/>
  <c r="B756" i="3"/>
  <c r="B2954" i="3"/>
  <c r="B2294" i="3"/>
  <c r="B1853" i="3"/>
  <c r="B1200" i="3"/>
  <c r="B741" i="3"/>
  <c r="B3222" i="3"/>
  <c r="B2595" i="3"/>
  <c r="B2158" i="3"/>
  <c r="B1336" i="3"/>
  <c r="B2956" i="3"/>
  <c r="B2488" i="3"/>
  <c r="B1837" i="3"/>
  <c r="B1184" i="3"/>
  <c r="B2977" i="3"/>
  <c r="B2450" i="3"/>
  <c r="B1659" i="3"/>
  <c r="B1190" i="3"/>
  <c r="B600" i="3"/>
  <c r="B2965" i="3"/>
  <c r="B2431" i="3"/>
  <c r="B1651" i="3"/>
  <c r="B1182" i="3"/>
  <c r="B2917" i="3"/>
  <c r="B2423" i="3"/>
  <c r="B1643" i="3"/>
  <c r="B1174" i="3"/>
  <c r="B782" i="3"/>
  <c r="B182" i="3"/>
  <c r="B551" i="3"/>
  <c r="B1355" i="3"/>
  <c r="B379" i="3"/>
  <c r="B854" i="3"/>
  <c r="B214" i="3"/>
  <c r="B582" i="3"/>
  <c r="B65" i="3"/>
  <c r="B322" i="3"/>
  <c r="B839" i="3"/>
  <c r="B359" i="3"/>
  <c r="B671" i="3"/>
  <c r="B105" i="3"/>
  <c r="B509" i="3"/>
  <c r="B1071" i="3"/>
  <c r="B353" i="3"/>
  <c r="B676" i="3"/>
  <c r="B102" i="3"/>
  <c r="B466" i="3"/>
  <c r="B1135" i="3"/>
  <c r="B329" i="3"/>
  <c r="B1106" i="3"/>
  <c r="B653" i="3"/>
  <c r="B816" i="3"/>
  <c r="B428" i="3"/>
  <c r="B100" i="3"/>
  <c r="B3343" i="3"/>
  <c r="B1607" i="3"/>
  <c r="B1822" i="3"/>
  <c r="B3037" i="3"/>
  <c r="B1543" i="3"/>
  <c r="B2575" i="3"/>
  <c r="B1594" i="3"/>
  <c r="B3152" i="3"/>
  <c r="B2123" i="3"/>
  <c r="B1263" i="3"/>
  <c r="B2833" i="3"/>
  <c r="B2130" i="3"/>
  <c r="B3473" i="3"/>
  <c r="B2536" i="3"/>
  <c r="B1901" i="3"/>
  <c r="B1105" i="3"/>
  <c r="B3632" i="3"/>
  <c r="B2748" i="3"/>
  <c r="B1963" i="3"/>
  <c r="B1360" i="3"/>
  <c r="B3034" i="3"/>
  <c r="B2452" i="3"/>
  <c r="B1735" i="3"/>
  <c r="B1047" i="3"/>
  <c r="B2952" i="3"/>
  <c r="B2295" i="3"/>
  <c r="B1727" i="3"/>
  <c r="B3618" i="3"/>
  <c r="B2949" i="3"/>
  <c r="B2353" i="3"/>
  <c r="B1719" i="3"/>
  <c r="B1110" i="3"/>
  <c r="B3097" i="3"/>
  <c r="B2344" i="3"/>
  <c r="B1887" i="3"/>
  <c r="B1298" i="3"/>
  <c r="B798" i="3"/>
  <c r="B2984" i="3"/>
  <c r="B2420" i="3"/>
  <c r="B1848" i="3"/>
  <c r="B1301" i="3"/>
  <c r="B688" i="3"/>
  <c r="B3062" i="3"/>
  <c r="B2550" i="3"/>
  <c r="B1891" i="3"/>
  <c r="B1434" i="3"/>
  <c r="B2937" i="3"/>
  <c r="B2404" i="3"/>
  <c r="B1832" i="3"/>
  <c r="B1394" i="3"/>
  <c r="B2992" i="3"/>
  <c r="B2446" i="3"/>
  <c r="B1754" i="3"/>
  <c r="B1072" i="3"/>
  <c r="B631" i="3"/>
  <c r="B2986" i="3"/>
  <c r="B2462" i="3"/>
  <c r="B1796" i="3"/>
  <c r="B1064" i="3"/>
  <c r="B2961" i="3"/>
  <c r="B2476" i="3"/>
  <c r="B1763" i="3"/>
  <c r="B1056" i="3"/>
  <c r="B743" i="3"/>
  <c r="B161" i="3"/>
  <c r="B562" i="3"/>
  <c r="B1035" i="3"/>
  <c r="B436" i="3"/>
  <c r="B747" i="3"/>
  <c r="B246" i="3"/>
  <c r="B569" i="3"/>
  <c r="B325" i="3"/>
  <c r="B853" i="3"/>
  <c r="B504" i="3"/>
  <c r="B2863" i="3"/>
  <c r="B1696" i="3"/>
  <c r="B1744" i="3"/>
  <c r="B2876" i="3"/>
  <c r="B1546" i="3"/>
  <c r="B2570" i="3"/>
  <c r="B1579" i="3"/>
  <c r="B3171" i="3"/>
  <c r="B2321" i="3"/>
  <c r="B1228" i="3"/>
  <c r="B2675" i="3"/>
  <c r="B1790" i="3"/>
  <c r="B3434" i="3"/>
  <c r="B2606" i="3"/>
  <c r="B1731" i="3"/>
  <c r="B1076" i="3"/>
  <c r="B3387" i="3"/>
  <c r="B2543" i="3"/>
  <c r="B1943" i="3"/>
  <c r="B1240" i="3"/>
  <c r="B3101" i="3"/>
  <c r="B2314" i="3"/>
  <c r="B1690" i="3"/>
  <c r="B1188" i="3"/>
  <c r="B2973" i="3"/>
  <c r="B2306" i="3"/>
  <c r="B1682" i="3"/>
  <c r="B3502" i="3"/>
  <c r="B2968" i="3"/>
  <c r="B2117" i="3"/>
  <c r="B1674" i="3"/>
  <c r="B1073" i="3"/>
  <c r="B3019" i="3"/>
  <c r="B2331" i="3"/>
  <c r="B1858" i="3"/>
  <c r="B1220" i="3"/>
  <c r="B785" i="3"/>
  <c r="B2969" i="3"/>
  <c r="B2436" i="3"/>
  <c r="B1683" i="3"/>
  <c r="B1236" i="3"/>
  <c r="B443" i="3"/>
  <c r="B2993" i="3"/>
  <c r="B2561" i="3"/>
  <c r="B1918" i="3"/>
  <c r="B1383" i="3"/>
  <c r="B2944" i="3"/>
  <c r="B2467" i="3"/>
  <c r="B1667" i="3"/>
  <c r="B1198" i="3"/>
  <c r="B2923" i="3"/>
  <c r="B2277" i="3"/>
  <c r="B1724" i="3"/>
  <c r="B1067" i="3"/>
  <c r="B433" i="3"/>
  <c r="B2915" i="3"/>
  <c r="B2258" i="3"/>
  <c r="B1716" i="3"/>
  <c r="B1059" i="3"/>
  <c r="B2907" i="3"/>
  <c r="B2250" i="3"/>
  <c r="B1708" i="3"/>
  <c r="B1051" i="3"/>
  <c r="B666" i="3"/>
  <c r="B156" i="3"/>
  <c r="B573" i="3"/>
  <c r="B1020" i="3"/>
  <c r="B387" i="3"/>
  <c r="B686" i="3"/>
  <c r="B206" i="3"/>
  <c r="B580" i="3"/>
  <c r="B1288" i="3"/>
  <c r="B336" i="3"/>
  <c r="B923" i="3"/>
  <c r="B186" i="3"/>
  <c r="B2687" i="3"/>
  <c r="B1559" i="3"/>
  <c r="B1807" i="3"/>
  <c r="B2864" i="3"/>
  <c r="B1598" i="3"/>
  <c r="B2560" i="3"/>
  <c r="B1443" i="3"/>
  <c r="B2996" i="3"/>
  <c r="B2199" i="3"/>
  <c r="B1216" i="3"/>
  <c r="B2654" i="3"/>
  <c r="B1993" i="3"/>
  <c r="B3400" i="3"/>
  <c r="B2616" i="3"/>
  <c r="B1710" i="3"/>
  <c r="B1063" i="3"/>
  <c r="B3436" i="3"/>
  <c r="B2538" i="3"/>
  <c r="B1969" i="3"/>
  <c r="B1250" i="3"/>
  <c r="B3043" i="3"/>
  <c r="B2281" i="3"/>
  <c r="B1632" i="3"/>
  <c r="B948" i="3"/>
  <c r="B2930" i="3"/>
  <c r="B2275" i="3"/>
  <c r="B1669" i="3"/>
  <c r="B3523" i="3"/>
  <c r="B2788" i="3"/>
  <c r="B2307" i="3"/>
  <c r="B1661" i="3"/>
  <c r="B1044" i="3"/>
  <c r="B2924" i="3"/>
  <c r="B2302" i="3"/>
  <c r="B1861" i="3"/>
  <c r="B1208" i="3"/>
  <c r="B749" i="3"/>
  <c r="B2979" i="3"/>
  <c r="B2271" i="3"/>
  <c r="B1662" i="3"/>
  <c r="B1096" i="3"/>
  <c r="B438" i="3"/>
  <c r="B3092" i="3"/>
  <c r="B2516" i="3"/>
  <c r="B1897" i="3"/>
  <c r="B1209" i="3"/>
  <c r="B3002" i="3"/>
  <c r="B2448" i="3"/>
  <c r="B1788" i="3"/>
  <c r="B3691" i="3"/>
  <c r="B2894" i="3"/>
  <c r="B2266" i="3"/>
  <c r="B1679" i="3"/>
  <c r="B1070" i="3"/>
  <c r="B3675" i="3"/>
  <c r="B2886" i="3"/>
  <c r="B2261" i="3"/>
  <c r="B1671" i="3"/>
  <c r="B3667" i="3"/>
  <c r="B2878" i="3"/>
  <c r="B2253" i="3"/>
  <c r="B1663" i="3"/>
  <c r="B1054" i="3"/>
  <c r="B728" i="3"/>
  <c r="B568" i="3"/>
  <c r="B1093" i="3"/>
  <c r="B372" i="3"/>
  <c r="B740" i="3"/>
  <c r="B158" i="3"/>
  <c r="B519" i="3"/>
  <c r="B1238" i="3"/>
  <c r="B355" i="3"/>
  <c r="B968" i="3"/>
  <c r="B222" i="3"/>
  <c r="B558" i="3"/>
  <c r="B301" i="3"/>
  <c r="B1013" i="3"/>
  <c r="B191" i="3"/>
  <c r="B571" i="3"/>
  <c r="B274" i="3"/>
  <c r="B986" i="3"/>
  <c r="B167" i="3"/>
  <c r="B539" i="3"/>
  <c r="B23" i="3"/>
  <c r="B250" i="3"/>
  <c r="B944" i="3"/>
  <c r="B143" i="3"/>
  <c r="B515" i="3"/>
  <c r="B437" i="3"/>
  <c r="B904" i="3"/>
  <c r="B119" i="3"/>
  <c r="B483" i="3"/>
  <c r="B52" i="3"/>
  <c r="B398" i="3"/>
  <c r="B848" i="3"/>
  <c r="B95" i="3"/>
  <c r="B459" i="3"/>
  <c r="B21" i="3"/>
  <c r="B381" i="3"/>
  <c r="B2702" i="3"/>
  <c r="B1269" i="3"/>
  <c r="B1551" i="3"/>
  <c r="B2806" i="3"/>
  <c r="B1612" i="3"/>
  <c r="B2631" i="3"/>
  <c r="B1378" i="3"/>
  <c r="B3116" i="3"/>
  <c r="B2101" i="3"/>
  <c r="B1141" i="3"/>
  <c r="B2764" i="3"/>
  <c r="B1951" i="3"/>
  <c r="B3332" i="3"/>
  <c r="B2572" i="3"/>
  <c r="B1657" i="3"/>
  <c r="B1026" i="3"/>
  <c r="B3324" i="3"/>
  <c r="B2509" i="3"/>
  <c r="B1946" i="3"/>
  <c r="B1305" i="3"/>
  <c r="B2958" i="3"/>
  <c r="B2133" i="3"/>
  <c r="B1468" i="3"/>
  <c r="B971" i="3"/>
  <c r="B2981" i="3"/>
  <c r="B2125" i="3"/>
  <c r="B1624" i="3"/>
  <c r="B3491" i="3"/>
  <c r="B2754" i="3"/>
  <c r="B2262" i="3"/>
  <c r="B1616" i="3"/>
  <c r="B1031" i="3"/>
  <c r="B2927" i="3"/>
  <c r="B2428" i="3"/>
  <c r="B1856" i="3"/>
  <c r="B1303" i="3"/>
  <c r="B696" i="3"/>
  <c r="B2955" i="3"/>
  <c r="B2268" i="3"/>
  <c r="B1752" i="3"/>
  <c r="B1091" i="3"/>
  <c r="B457" i="3"/>
  <c r="B3081" i="3"/>
  <c r="B2325" i="3"/>
  <c r="B1916" i="3"/>
  <c r="B1350" i="3"/>
  <c r="B2928" i="3"/>
  <c r="B2337" i="3"/>
  <c r="B1732" i="3"/>
  <c r="B3581" i="3"/>
  <c r="B2926" i="3"/>
  <c r="B2290" i="3"/>
  <c r="B1634" i="3"/>
  <c r="B1033" i="3"/>
  <c r="B3544" i="3"/>
  <c r="B2978" i="3"/>
  <c r="B2312" i="3"/>
  <c r="B1748" i="3"/>
  <c r="B3603" i="3"/>
  <c r="B2966" i="3"/>
  <c r="B2256" i="3"/>
  <c r="B1743" i="3"/>
  <c r="B1017" i="3"/>
  <c r="B623" i="3"/>
  <c r="B362" i="3"/>
  <c r="B903" i="3"/>
  <c r="B444" i="3"/>
  <c r="B719" i="3"/>
  <c r="B137" i="3"/>
  <c r="B530" i="3"/>
  <c r="B1164" i="3"/>
  <c r="B399" i="3"/>
  <c r="B723" i="3"/>
  <c r="B176" i="3"/>
  <c r="B537" i="3"/>
  <c r="B1474" i="3"/>
  <c r="B312" i="3"/>
  <c r="B891" i="3"/>
  <c r="B162" i="3"/>
  <c r="B526" i="3"/>
  <c r="B69" i="3"/>
  <c r="B277" i="3"/>
  <c r="B835" i="3"/>
  <c r="B138" i="3"/>
  <c r="B502" i="3"/>
  <c r="B28" i="3"/>
  <c r="B253" i="3"/>
  <c r="B960" i="3"/>
  <c r="B114" i="3"/>
  <c r="B470" i="3"/>
  <c r="B34" i="3"/>
  <c r="B229" i="3"/>
  <c r="B970" i="3"/>
  <c r="B90" i="3"/>
  <c r="B446" i="3"/>
  <c r="B45" i="3"/>
  <c r="B476" i="3"/>
  <c r="B942" i="3"/>
  <c r="B66" i="3"/>
  <c r="B640" i="3"/>
  <c r="B38" i="3"/>
  <c r="B403" i="3"/>
  <c r="B1313" i="3"/>
  <c r="B384" i="3"/>
  <c r="B35" i="3"/>
  <c r="B1037" i="3"/>
  <c r="B348" i="3"/>
  <c r="B1206" i="3"/>
  <c r="B1293" i="3"/>
  <c r="B2409" i="3"/>
  <c r="B1179" i="3"/>
  <c r="B1501" i="3"/>
  <c r="B2785" i="3"/>
  <c r="B1412" i="3"/>
  <c r="B2405" i="3"/>
  <c r="B1308" i="3"/>
  <c r="B3021" i="3"/>
  <c r="B2075" i="3"/>
  <c r="B1121" i="3"/>
  <c r="B2554" i="3"/>
  <c r="B1909" i="3"/>
  <c r="B3444" i="3"/>
  <c r="B2384" i="3"/>
  <c r="B1740" i="3"/>
  <c r="B989" i="3"/>
  <c r="B3235" i="3"/>
  <c r="B2598" i="3"/>
  <c r="B1919" i="3"/>
  <c r="B1345" i="3"/>
  <c r="B2975" i="3"/>
  <c r="B2280" i="3"/>
  <c r="B1495" i="3"/>
  <c r="B1014" i="3"/>
  <c r="B2938" i="3"/>
  <c r="B2299" i="3"/>
  <c r="B1460" i="3"/>
  <c r="B3347" i="3"/>
  <c r="B2757" i="3"/>
  <c r="B2233" i="3"/>
  <c r="B1452" i="3"/>
  <c r="B1171" i="3"/>
  <c r="B2971" i="3"/>
  <c r="B2441" i="3"/>
  <c r="B1691" i="3"/>
  <c r="B1241" i="3"/>
  <c r="B3629" i="3"/>
  <c r="B2918" i="3"/>
  <c r="B2304" i="3"/>
  <c r="B1703" i="3"/>
  <c r="B1094" i="3"/>
  <c r="B508" i="3"/>
  <c r="B3074" i="3"/>
  <c r="B2328" i="3"/>
  <c r="B1871" i="3"/>
  <c r="B3688" i="3"/>
  <c r="B2902" i="3"/>
  <c r="B2273" i="3"/>
  <c r="B1687" i="3"/>
  <c r="B3493" i="3"/>
  <c r="B2751" i="3"/>
  <c r="B2227" i="3"/>
  <c r="B1760" i="3"/>
  <c r="B1175" i="3"/>
  <c r="B3485" i="3"/>
  <c r="B2743" i="3"/>
  <c r="B2219" i="3"/>
  <c r="B1751" i="3"/>
  <c r="B3469" i="3"/>
  <c r="B2735" i="3"/>
  <c r="B2211" i="3"/>
  <c r="B1746" i="3"/>
  <c r="B1142" i="3"/>
  <c r="B616" i="3"/>
  <c r="B365" i="3"/>
  <c r="B909" i="3"/>
  <c r="B383" i="3"/>
  <c r="B810" i="3"/>
  <c r="B132" i="3"/>
  <c r="B549" i="3"/>
  <c r="B1178" i="3"/>
  <c r="B397" i="3"/>
  <c r="B646" i="3"/>
  <c r="B179" i="3"/>
  <c r="B548" i="3"/>
  <c r="B1359" i="3"/>
  <c r="B331" i="3"/>
  <c r="B937" i="3"/>
  <c r="B181" i="3"/>
  <c r="B513" i="3"/>
  <c r="B1287" i="3"/>
  <c r="B288" i="3"/>
  <c r="B905" i="3"/>
  <c r="B157" i="3"/>
  <c r="B481" i="3"/>
  <c r="B1258" i="3"/>
  <c r="B264" i="3"/>
  <c r="B873" i="3"/>
  <c r="B133" i="3"/>
  <c r="B449" i="3"/>
  <c r="B1321" i="3"/>
  <c r="B240" i="3"/>
  <c r="B1005" i="3"/>
  <c r="B109" i="3"/>
  <c r="B417" i="3"/>
  <c r="B1294" i="3"/>
  <c r="B216" i="3"/>
  <c r="B801" i="3"/>
  <c r="B85" i="3"/>
  <c r="B625" i="3"/>
  <c r="B536" i="3"/>
  <c r="B708" i="3"/>
  <c r="B134" i="3"/>
  <c r="B495" i="3"/>
  <c r="B1086" i="3"/>
  <c r="B152" i="3"/>
  <c r="B307" i="3"/>
  <c r="B651" i="3"/>
  <c r="B128" i="3"/>
  <c r="B492" i="3"/>
  <c r="B2163" i="3"/>
  <c r="B1111" i="3"/>
  <c r="B1627" i="3"/>
  <c r="B2578" i="3"/>
  <c r="B1385" i="3"/>
  <c r="B2395" i="3"/>
  <c r="B1210" i="3"/>
  <c r="B2860" i="3"/>
  <c r="B2006" i="3"/>
  <c r="B1092" i="3"/>
  <c r="B2525" i="3"/>
  <c r="B1799" i="3"/>
  <c r="B3167" i="3"/>
  <c r="B2371" i="3"/>
  <c r="B1706" i="3"/>
  <c r="B974" i="3"/>
  <c r="B3159" i="3"/>
  <c r="B2609" i="3"/>
  <c r="B1890" i="3"/>
  <c r="B1180" i="3"/>
  <c r="B2816" i="3"/>
  <c r="B2249" i="3"/>
  <c r="B1498" i="3"/>
  <c r="B964" i="3"/>
  <c r="B2972" i="3"/>
  <c r="B2267" i="3"/>
  <c r="B1487" i="3"/>
  <c r="B3398" i="3"/>
  <c r="B2688" i="3"/>
  <c r="B2196" i="3"/>
  <c r="B1479" i="3"/>
  <c r="B932" i="3"/>
  <c r="B2989" i="3"/>
  <c r="B2279" i="3"/>
  <c r="B1670" i="3"/>
  <c r="B1104" i="3"/>
  <c r="B3492" i="3"/>
  <c r="B2943" i="3"/>
  <c r="B2293" i="3"/>
  <c r="B1658" i="3"/>
  <c r="B1057" i="3"/>
  <c r="B479" i="3"/>
  <c r="B3003" i="3"/>
  <c r="B2447" i="3"/>
  <c r="B1842" i="3"/>
  <c r="B3468" i="3"/>
  <c r="B2931" i="3"/>
  <c r="B2296" i="3"/>
  <c r="B1642" i="3"/>
  <c r="B3607" i="3"/>
  <c r="B2714" i="3"/>
  <c r="B2222" i="3"/>
  <c r="B1586" i="3"/>
  <c r="B1181" i="3"/>
  <c r="B3392" i="3"/>
  <c r="B2706" i="3"/>
  <c r="B2214" i="3"/>
  <c r="B1577" i="3"/>
  <c r="B3376" i="3"/>
  <c r="B2698" i="3"/>
  <c r="B2206" i="3"/>
  <c r="B1605" i="3"/>
  <c r="B1130" i="3"/>
  <c r="B598" i="3"/>
  <c r="B1470" i="3"/>
  <c r="B368" i="3"/>
  <c r="B984" i="3"/>
  <c r="B55" i="3"/>
  <c r="B704" i="3"/>
  <c r="B374" i="3"/>
  <c r="B683" i="3"/>
  <c r="B524" i="3"/>
  <c r="B2060" i="3"/>
  <c r="B1069" i="3"/>
  <c r="B1488" i="3"/>
  <c r="B2568" i="3"/>
  <c r="B1387" i="3"/>
  <c r="B2366" i="3"/>
  <c r="B1286" i="3"/>
  <c r="B2826" i="3"/>
  <c r="B1798" i="3"/>
  <c r="B1079" i="3"/>
  <c r="B2544" i="3"/>
  <c r="B1718" i="3"/>
  <c r="B3229" i="3"/>
  <c r="B2342" i="3"/>
  <c r="B1693" i="3"/>
  <c r="B821" i="3"/>
  <c r="B3221" i="3"/>
  <c r="B2564" i="3"/>
  <c r="B1893" i="3"/>
  <c r="B1131" i="3"/>
  <c r="B2951" i="3"/>
  <c r="B2212" i="3"/>
  <c r="B1613" i="3"/>
  <c r="B3626" i="3"/>
  <c r="B2962" i="3"/>
  <c r="B2241" i="3"/>
  <c r="B1490" i="3"/>
  <c r="B3284" i="3"/>
  <c r="B2803" i="3"/>
  <c r="B2151" i="3"/>
  <c r="B1482" i="3"/>
  <c r="B961" i="3"/>
  <c r="B2940" i="3"/>
  <c r="B2297" i="3"/>
  <c r="B1761" i="3"/>
  <c r="B1099" i="3"/>
  <c r="B3594" i="3"/>
  <c r="B2775" i="3"/>
  <c r="B2251" i="3"/>
  <c r="B1645" i="3"/>
  <c r="B1028" i="3"/>
  <c r="B506" i="3"/>
  <c r="B2982" i="3"/>
  <c r="B2474" i="3"/>
  <c r="B1845" i="3"/>
  <c r="B3538" i="3"/>
  <c r="B2759" i="3"/>
  <c r="B2235" i="3"/>
  <c r="B1768" i="3"/>
  <c r="B3283" i="3"/>
  <c r="B2717" i="3"/>
  <c r="B2193" i="3"/>
  <c r="B1654" i="3"/>
  <c r="B1158" i="3"/>
  <c r="B3267" i="3"/>
  <c r="B2709" i="3"/>
  <c r="B2185" i="3"/>
  <c r="B1584" i="3"/>
  <c r="B3437" i="3"/>
  <c r="B2701" i="3"/>
  <c r="B2177" i="3"/>
  <c r="B1609" i="3"/>
  <c r="B1125" i="3"/>
  <c r="B559" i="3"/>
  <c r="B1192" i="3"/>
  <c r="B416" i="3"/>
  <c r="B870" i="3"/>
  <c r="B239" i="3"/>
  <c r="B590" i="3"/>
  <c r="B330" i="3"/>
  <c r="B847" i="3"/>
  <c r="B367" i="3"/>
  <c r="B679" i="3"/>
  <c r="B113" i="3"/>
  <c r="B498" i="3"/>
  <c r="B1095" i="3"/>
  <c r="B361" i="3"/>
  <c r="B784" i="3"/>
  <c r="B155" i="3"/>
  <c r="B463" i="3"/>
  <c r="B1038" i="3"/>
  <c r="B350" i="3"/>
  <c r="B737" i="3"/>
  <c r="B131" i="3"/>
  <c r="B439" i="3"/>
  <c r="B1144" i="3"/>
  <c r="B326" i="3"/>
  <c r="B713" i="3"/>
  <c r="B107" i="3"/>
  <c r="B633" i="3"/>
  <c r="B1049" i="3"/>
  <c r="B302" i="3"/>
  <c r="B689" i="3"/>
  <c r="B83" i="3"/>
  <c r="B661" i="3"/>
  <c r="B1195" i="3"/>
  <c r="B278" i="3"/>
  <c r="B777" i="3"/>
  <c r="B204" i="3"/>
  <c r="B586" i="3"/>
  <c r="B1108" i="3"/>
  <c r="B426" i="3"/>
  <c r="B1765" i="3"/>
  <c r="B687" i="3"/>
  <c r="B1145" i="3"/>
  <c r="B2638" i="3"/>
  <c r="B1354" i="3"/>
  <c r="B2377" i="3"/>
  <c r="B1233" i="3"/>
  <c r="B2848" i="3"/>
  <c r="B1777" i="3"/>
  <c r="B3556" i="3"/>
  <c r="B2645" i="3"/>
  <c r="B1665" i="3"/>
  <c r="B3147" i="3"/>
  <c r="B2276" i="3"/>
  <c r="B1648" i="3"/>
  <c r="B832" i="3"/>
  <c r="B3128" i="3"/>
  <c r="B2373" i="3"/>
  <c r="B1888" i="3"/>
  <c r="B1134" i="3"/>
  <c r="B2974" i="3"/>
  <c r="B2167" i="3"/>
  <c r="B1571" i="3"/>
  <c r="B3517" i="3"/>
  <c r="B2762" i="3"/>
  <c r="B2204" i="3"/>
  <c r="B1578" i="3"/>
  <c r="B3370" i="3"/>
  <c r="B2777" i="3"/>
  <c r="B1972" i="3"/>
  <c r="B1646" i="3"/>
  <c r="B3653" i="3"/>
  <c r="B2970" i="3"/>
  <c r="B2313" i="3"/>
  <c r="B1711" i="3"/>
  <c r="B1102" i="3"/>
  <c r="B3459" i="3"/>
  <c r="B2738" i="3"/>
  <c r="B2246" i="3"/>
  <c r="B1600" i="3"/>
  <c r="B1015" i="3"/>
  <c r="B541" i="3"/>
  <c r="B2946" i="3"/>
  <c r="B2412" i="3"/>
  <c r="B1840" i="3"/>
  <c r="B3435" i="3"/>
  <c r="B2722" i="3"/>
  <c r="B2230" i="3"/>
  <c r="B1603" i="3"/>
  <c r="B3337" i="3"/>
  <c r="B2809" i="3"/>
  <c r="B2156" i="3"/>
  <c r="B1626" i="3"/>
  <c r="B892" i="3"/>
  <c r="B3329" i="3"/>
  <c r="B2779" i="3"/>
  <c r="B2286" i="3"/>
  <c r="B1611" i="3"/>
  <c r="B3321" i="3"/>
  <c r="B2771" i="3"/>
  <c r="B2301" i="3"/>
  <c r="B1597" i="3"/>
  <c r="B876" i="3"/>
  <c r="B570" i="3"/>
  <c r="B1075" i="3"/>
  <c r="B414" i="3"/>
  <c r="B755" i="3"/>
  <c r="B199" i="3"/>
  <c r="B577" i="3"/>
  <c r="B333" i="3"/>
  <c r="B885" i="3"/>
  <c r="B388" i="3"/>
  <c r="B773" i="3"/>
  <c r="B108" i="3"/>
  <c r="B517" i="3"/>
  <c r="B940" i="3"/>
  <c r="B324" i="3"/>
  <c r="B684" i="3"/>
  <c r="B110" i="3"/>
  <c r="B474" i="3"/>
  <c r="B1140" i="3"/>
  <c r="B337" i="3"/>
  <c r="B644" i="3"/>
  <c r="B86" i="3"/>
  <c r="B450" i="3"/>
  <c r="B1114" i="3"/>
  <c r="B313" i="3"/>
  <c r="B620" i="3"/>
  <c r="B254" i="3"/>
  <c r="B615" i="3"/>
  <c r="B1058" i="3"/>
  <c r="B289" i="3"/>
  <c r="B825" i="3"/>
  <c r="B249" i="3"/>
  <c r="B613" i="3"/>
  <c r="B1199" i="3"/>
  <c r="B265" i="3"/>
  <c r="B775" i="3"/>
  <c r="B185" i="3"/>
  <c r="B594" i="3"/>
  <c r="B1704" i="3"/>
  <c r="B3670" i="3"/>
  <c r="B1339" i="3"/>
  <c r="B2604" i="3"/>
  <c r="B1217" i="3"/>
  <c r="B2300" i="3"/>
  <c r="B1221" i="3"/>
  <c r="B2947" i="3"/>
  <c r="B1944" i="3"/>
  <c r="B3442" i="3"/>
  <c r="B2580" i="3"/>
  <c r="B1745" i="3"/>
  <c r="B3161" i="3"/>
  <c r="B2319" i="3"/>
  <c r="B1484" i="3"/>
  <c r="B998" i="3"/>
  <c r="B3153" i="3"/>
  <c r="B2376" i="3"/>
  <c r="B1723" i="3"/>
  <c r="B1068" i="3"/>
  <c r="B2770" i="3"/>
  <c r="B1988" i="3"/>
  <c r="B1566" i="3"/>
  <c r="B3528" i="3"/>
  <c r="B2765" i="3"/>
  <c r="B2159" i="3"/>
  <c r="B1563" i="3"/>
  <c r="B3233" i="3"/>
  <c r="B2724" i="3"/>
  <c r="B2126" i="3"/>
  <c r="B1555" i="3"/>
  <c r="B3537" i="3"/>
  <c r="B2945" i="3"/>
  <c r="B2109" i="3"/>
  <c r="B1666" i="3"/>
  <c r="B1065" i="3"/>
  <c r="B3323" i="3"/>
  <c r="B2741" i="3"/>
  <c r="B2217" i="3"/>
  <c r="B1436" i="3"/>
  <c r="B1156" i="3"/>
  <c r="B544" i="3"/>
  <c r="B2967" i="3"/>
  <c r="B2473" i="3"/>
  <c r="B1675" i="3"/>
  <c r="B3299" i="3"/>
  <c r="B2725" i="3"/>
  <c r="B2201" i="3"/>
  <c r="B1420" i="3"/>
  <c r="B3396" i="3"/>
  <c r="B2766" i="3"/>
  <c r="B2111" i="3"/>
  <c r="B1606" i="3"/>
  <c r="B951" i="3"/>
  <c r="B3429" i="3"/>
  <c r="B2758" i="3"/>
  <c r="B2103" i="3"/>
  <c r="B1573" i="3"/>
  <c r="B3417" i="3"/>
  <c r="B2750" i="3"/>
  <c r="B2114" i="3"/>
  <c r="B1565" i="3"/>
  <c r="B935" i="3"/>
  <c r="B581" i="3"/>
  <c r="B1052" i="3"/>
  <c r="B392" i="3"/>
  <c r="B694" i="3"/>
  <c r="B208" i="3"/>
  <c r="B588" i="3"/>
  <c r="B1400" i="3"/>
  <c r="B344" i="3"/>
  <c r="B931" i="3"/>
  <c r="B205" i="3"/>
  <c r="B656" i="3"/>
  <c r="B29" i="3"/>
  <c r="B512" i="3"/>
  <c r="B1007" i="3"/>
  <c r="B343" i="3"/>
  <c r="B655" i="3"/>
  <c r="B89" i="3"/>
  <c r="B493" i="3"/>
  <c r="B884" i="3"/>
  <c r="B300" i="3"/>
  <c r="B780" i="3"/>
  <c r="B215" i="3"/>
  <c r="B469" i="3"/>
  <c r="B844" i="3"/>
  <c r="B1517" i="3"/>
  <c r="B3318" i="3"/>
  <c r="B1191" i="3"/>
  <c r="B2413" i="3"/>
  <c r="B1309" i="3"/>
  <c r="B2354" i="3"/>
  <c r="B1150" i="3"/>
  <c r="B2841" i="3"/>
  <c r="B1917" i="3"/>
  <c r="B3340" i="3"/>
  <c r="B2389" i="3"/>
  <c r="B1701" i="3"/>
  <c r="B3057" i="3"/>
  <c r="B2330" i="3"/>
  <c r="B1514" i="3"/>
  <c r="B978" i="3"/>
  <c r="B3049" i="3"/>
  <c r="B2363" i="3"/>
  <c r="B1702" i="3"/>
  <c r="B1018" i="3"/>
  <c r="B2773" i="3"/>
  <c r="B1967" i="3"/>
  <c r="B1553" i="3"/>
  <c r="B3582" i="3"/>
  <c r="B2696" i="3"/>
  <c r="B1980" i="3"/>
  <c r="B1558" i="3"/>
  <c r="B3231" i="3"/>
  <c r="B2519" i="3"/>
  <c r="B2077" i="3"/>
  <c r="B1550" i="3"/>
  <c r="B3508" i="3"/>
  <c r="B2783" i="3"/>
  <c r="B2259" i="3"/>
  <c r="B1653" i="3"/>
  <c r="B1036" i="3"/>
  <c r="B3377" i="3"/>
  <c r="B2672" i="3"/>
  <c r="B2180" i="3"/>
  <c r="B1463" i="3"/>
  <c r="B916" i="3"/>
  <c r="B346" i="3"/>
  <c r="B2963" i="3"/>
  <c r="B2492" i="3"/>
  <c r="B1812" i="3"/>
  <c r="B3353" i="3"/>
  <c r="B2784" i="3"/>
  <c r="B2164" i="3"/>
  <c r="B1447" i="3"/>
  <c r="B3322" i="3"/>
  <c r="B2737" i="3"/>
  <c r="B2118" i="3"/>
  <c r="B1620" i="3"/>
  <c r="B922" i="3"/>
  <c r="B3314" i="3"/>
  <c r="B2729" i="3"/>
  <c r="B2095" i="3"/>
  <c r="B1568" i="3"/>
  <c r="B3298" i="3"/>
  <c r="B2721" i="3"/>
  <c r="B2087" i="3"/>
  <c r="B1560" i="3"/>
  <c r="B906" i="3"/>
  <c r="B576" i="3"/>
  <c r="B1101" i="3"/>
  <c r="B380" i="3"/>
  <c r="B764" i="3"/>
  <c r="B166" i="3"/>
  <c r="B535" i="3"/>
  <c r="B1284" i="3"/>
  <c r="B363" i="3"/>
  <c r="B980" i="3"/>
  <c r="B194" i="3"/>
  <c r="B566" i="3"/>
  <c r="B30" i="3"/>
  <c r="B306" i="3"/>
  <c r="B829" i="3"/>
  <c r="B196" i="3"/>
  <c r="B733" i="3"/>
  <c r="B84" i="3"/>
  <c r="B488" i="3"/>
  <c r="B930" i="3"/>
  <c r="B319" i="3"/>
  <c r="B701" i="3"/>
  <c r="B225" i="3"/>
  <c r="B464" i="3"/>
  <c r="B882" i="3"/>
  <c r="B295" i="3"/>
  <c r="B677" i="3"/>
  <c r="B626" i="3"/>
  <c r="B834" i="3"/>
  <c r="B271" i="3"/>
  <c r="B803" i="3"/>
  <c r="B602" i="3"/>
  <c r="B969" i="3"/>
  <c r="B247" i="3"/>
  <c r="B760" i="3"/>
  <c r="B59" i="3"/>
  <c r="B411" i="3"/>
  <c r="B979" i="3"/>
  <c r="B421" i="3"/>
  <c r="B432" i="3"/>
  <c r="B1282" i="3"/>
  <c r="B3327" i="3"/>
  <c r="B1116" i="3"/>
  <c r="B2416" i="3"/>
  <c r="B3456" i="3"/>
  <c r="B2131" i="3"/>
  <c r="B1087" i="3"/>
  <c r="B2793" i="3"/>
  <c r="B1758" i="3"/>
  <c r="B3421" i="3"/>
  <c r="B2392" i="3"/>
  <c r="B1492" i="3"/>
  <c r="B3143" i="3"/>
  <c r="B2146" i="3"/>
  <c r="B1617" i="3"/>
  <c r="B643" i="3"/>
  <c r="B3126" i="3"/>
  <c r="B2334" i="3"/>
  <c r="B1649" i="3"/>
  <c r="B3698" i="3"/>
  <c r="B2704" i="3"/>
  <c r="B2093" i="3"/>
  <c r="B1429" i="3"/>
  <c r="B3363" i="3"/>
  <c r="B2812" i="3"/>
  <c r="B2144" i="3"/>
  <c r="B1545" i="3"/>
  <c r="B3197" i="3"/>
  <c r="B2514" i="3"/>
  <c r="B2056" i="3"/>
  <c r="B1537" i="3"/>
  <c r="B3475" i="3"/>
  <c r="B2746" i="3"/>
  <c r="B2254" i="3"/>
  <c r="B1608" i="3"/>
  <c r="B1023" i="3"/>
  <c r="B3268" i="3"/>
  <c r="B2787" i="3"/>
  <c r="B2135" i="3"/>
  <c r="B1589" i="3"/>
  <c r="B993" i="3"/>
  <c r="B357" i="3"/>
  <c r="B2933" i="3"/>
  <c r="B2263" i="3"/>
  <c r="B1759" i="3"/>
  <c r="B3401" i="3"/>
  <c r="B2774" i="3"/>
  <c r="B2119" i="3"/>
  <c r="B1638" i="3"/>
  <c r="B3172" i="3"/>
  <c r="B2684" i="3"/>
  <c r="B2082" i="3"/>
  <c r="B1515" i="3"/>
  <c r="B941" i="3"/>
  <c r="B3164" i="3"/>
  <c r="B2676" i="3"/>
  <c r="B2074" i="3"/>
  <c r="B1507" i="3"/>
  <c r="B3156" i="3"/>
  <c r="B2668" i="3"/>
  <c r="B2066" i="3"/>
  <c r="B1499" i="3"/>
  <c r="B925" i="3"/>
  <c r="B370" i="3"/>
  <c r="B911" i="3"/>
  <c r="B395" i="3"/>
  <c r="B727" i="3"/>
  <c r="B145" i="3"/>
  <c r="B538" i="3"/>
  <c r="B1011" i="3"/>
  <c r="B412" i="3"/>
  <c r="B731" i="3"/>
  <c r="B184" i="3"/>
  <c r="B545" i="3"/>
  <c r="B309" i="3"/>
  <c r="B899" i="3"/>
  <c r="B170" i="3"/>
  <c r="B579" i="3"/>
  <c r="B25" i="3"/>
  <c r="B282" i="3"/>
  <c r="B988" i="3"/>
  <c r="B175" i="3"/>
  <c r="B555" i="3"/>
  <c r="B37" i="3"/>
  <c r="B258" i="3"/>
  <c r="B957" i="3"/>
  <c r="B151" i="3"/>
  <c r="B523" i="3"/>
  <c r="B39" i="3"/>
  <c r="B440" i="3"/>
  <c r="B912" i="3"/>
  <c r="B127" i="3"/>
  <c r="B499" i="3"/>
  <c r="B452" i="3"/>
  <c r="B864" i="3"/>
  <c r="B103" i="3"/>
  <c r="B467" i="3"/>
  <c r="B61" i="3"/>
  <c r="B386" i="3"/>
  <c r="B824" i="3"/>
  <c r="B79" i="3"/>
  <c r="B41" i="3"/>
  <c r="B1119" i="3"/>
  <c r="B3215" i="3"/>
  <c r="B1066" i="3"/>
  <c r="B2374" i="3"/>
  <c r="B3294" i="3"/>
  <c r="B2252" i="3"/>
  <c r="B1045" i="3"/>
  <c r="B2804" i="3"/>
  <c r="B1673" i="3"/>
  <c r="B3452" i="3"/>
  <c r="B2350" i="3"/>
  <c r="B1522" i="3"/>
  <c r="B3005" i="3"/>
  <c r="B2149" i="3"/>
  <c r="B1630" i="3"/>
  <c r="B654" i="3"/>
  <c r="B3042" i="3"/>
  <c r="B2482" i="3"/>
  <c r="B1757" i="3"/>
  <c r="B3522" i="3"/>
  <c r="B2794" i="3"/>
  <c r="B2072" i="3"/>
  <c r="B1465" i="3"/>
  <c r="B3403" i="3"/>
  <c r="B2800" i="3"/>
  <c r="B2085" i="3"/>
  <c r="B1427" i="3"/>
  <c r="B3096" i="3"/>
  <c r="B2485" i="3"/>
  <c r="B2027" i="3"/>
  <c r="B1425" i="3"/>
  <c r="B3331" i="3"/>
  <c r="B2749" i="3"/>
  <c r="B2225" i="3"/>
  <c r="B1444" i="3"/>
  <c r="B1165" i="3"/>
  <c r="B3354" i="3"/>
  <c r="B2761" i="3"/>
  <c r="B1956" i="3"/>
  <c r="B1604" i="3"/>
  <c r="B946" i="3"/>
  <c r="B3621" i="3"/>
  <c r="B2910" i="3"/>
  <c r="B2283" i="3"/>
  <c r="B1695" i="3"/>
  <c r="B3330" i="3"/>
  <c r="B2745" i="3"/>
  <c r="B2100" i="3"/>
  <c r="B1625" i="3"/>
  <c r="B3202" i="3"/>
  <c r="B2479" i="3"/>
  <c r="B2037" i="3"/>
  <c r="B1510" i="3"/>
  <c r="B952" i="3"/>
  <c r="B3194" i="3"/>
  <c r="B2471" i="3"/>
  <c r="B2029" i="3"/>
  <c r="B1502" i="3"/>
  <c r="B3186" i="3"/>
  <c r="B2644" i="3"/>
  <c r="B2021" i="3"/>
  <c r="B1494" i="3"/>
  <c r="B936" i="3"/>
  <c r="B373" i="3"/>
  <c r="B933" i="3"/>
  <c r="B400" i="3"/>
  <c r="B650" i="3"/>
  <c r="B140" i="3"/>
  <c r="B557" i="3"/>
  <c r="B1166" i="3"/>
  <c r="B406" i="3"/>
  <c r="B662" i="3"/>
  <c r="B187" i="3"/>
  <c r="B564" i="3"/>
  <c r="B1422" i="3"/>
  <c r="B320" i="3"/>
  <c r="B958" i="3"/>
  <c r="B189" i="3"/>
  <c r="B534" i="3"/>
  <c r="B285" i="3"/>
  <c r="B851" i="3"/>
  <c r="B146" i="3"/>
  <c r="B510" i="3"/>
  <c r="B51" i="3"/>
  <c r="B261" i="3"/>
  <c r="B982" i="3"/>
  <c r="B122" i="3"/>
  <c r="B478" i="3"/>
  <c r="B36" i="3"/>
  <c r="B237" i="3"/>
  <c r="B1016" i="3"/>
  <c r="B98" i="3"/>
  <c r="B454" i="3"/>
  <c r="B57" i="3"/>
  <c r="B405" i="3"/>
  <c r="B950" i="3"/>
  <c r="B74" i="3"/>
  <c r="B637" i="3"/>
  <c r="B429" i="3"/>
  <c r="B918" i="3"/>
  <c r="B50" i="3"/>
  <c r="B813" i="3"/>
  <c r="B599" i="3"/>
  <c r="B1138" i="3"/>
  <c r="B404" i="3"/>
  <c r="B744" i="3"/>
  <c r="B920" i="3"/>
  <c r="B896" i="3"/>
  <c r="B887" i="3"/>
  <c r="B2853" i="3"/>
  <c r="B1061" i="3"/>
  <c r="B2362" i="3"/>
  <c r="B3199" i="3"/>
  <c r="B1986" i="3"/>
  <c r="B826" i="3"/>
  <c r="B2683" i="3"/>
  <c r="B1722" i="3"/>
  <c r="B3263" i="3"/>
  <c r="B2284" i="3"/>
  <c r="B1469" i="3"/>
  <c r="B3059" i="3"/>
  <c r="B2152" i="3"/>
  <c r="B1569" i="3"/>
  <c r="B806" i="3"/>
  <c r="B2997" i="3"/>
  <c r="B2458" i="3"/>
  <c r="B1685" i="3"/>
  <c r="B3543" i="3"/>
  <c r="B2740" i="3"/>
  <c r="B2043" i="3"/>
  <c r="B1415" i="3"/>
  <c r="B3292" i="3"/>
  <c r="B2732" i="3"/>
  <c r="B2064" i="3"/>
  <c r="B1384" i="3"/>
  <c r="B3244" i="3"/>
  <c r="B2625" i="3"/>
  <c r="B2110" i="3"/>
  <c r="B1448" i="3"/>
  <c r="B3385" i="3"/>
  <c r="B2680" i="3"/>
  <c r="B2188" i="3"/>
  <c r="B1471" i="3"/>
  <c r="B924" i="3"/>
  <c r="B3212" i="3"/>
  <c r="B2708" i="3"/>
  <c r="B2120" i="3"/>
  <c r="B1539" i="3"/>
  <c r="B999" i="3"/>
  <c r="B3484" i="3"/>
  <c r="B2936" i="3"/>
  <c r="B2285" i="3"/>
  <c r="B1650" i="3"/>
  <c r="B3188" i="3"/>
  <c r="B2692" i="3"/>
  <c r="B2090" i="3"/>
  <c r="B1523" i="3"/>
  <c r="B3149" i="3"/>
  <c r="B2649" i="3"/>
  <c r="B2016" i="3"/>
  <c r="B1497" i="3"/>
  <c r="B939" i="3"/>
  <c r="B3133" i="3"/>
  <c r="B2630" i="3"/>
  <c r="B2008" i="3"/>
  <c r="B1489" i="3"/>
  <c r="B3241" i="3"/>
  <c r="B2673" i="3"/>
  <c r="B2000" i="3"/>
  <c r="B1480" i="3"/>
  <c r="B1475" i="3"/>
  <c r="B376" i="3"/>
  <c r="B990" i="3"/>
  <c r="B63" i="3"/>
  <c r="B712" i="3"/>
  <c r="B44" i="3"/>
  <c r="B552" i="3"/>
  <c r="B1053" i="3"/>
  <c r="B356" i="3"/>
  <c r="B716" i="3"/>
  <c r="B142" i="3"/>
  <c r="B503" i="3"/>
  <c r="B1366" i="3"/>
  <c r="B339" i="3"/>
  <c r="B707" i="3"/>
  <c r="B160" i="3"/>
  <c r="B521" i="3"/>
  <c r="B1185" i="3"/>
  <c r="B296" i="3"/>
  <c r="B913" i="3"/>
  <c r="B165" i="3"/>
  <c r="B489" i="3"/>
  <c r="B1244" i="3"/>
  <c r="B272" i="3"/>
  <c r="B881" i="3"/>
  <c r="B141" i="3"/>
  <c r="B465" i="3"/>
  <c r="B1237" i="3"/>
  <c r="B248" i="3"/>
  <c r="B1000" i="3"/>
  <c r="B117" i="3"/>
  <c r="B425" i="3"/>
  <c r="B1319" i="3"/>
  <c r="B224" i="3"/>
  <c r="B807" i="3"/>
  <c r="B93" i="3"/>
  <c r="B401" i="3"/>
  <c r="B1389" i="3"/>
  <c r="B389" i="3"/>
  <c r="B781" i="3"/>
  <c r="B220" i="3"/>
  <c r="B447" i="3"/>
  <c r="B1159" i="3"/>
  <c r="B657" i="3"/>
  <c r="B226" i="3"/>
  <c r="B434" i="3"/>
  <c r="B1090" i="3"/>
  <c r="B297" i="3"/>
  <c r="B800" i="3"/>
  <c r="B624" i="3"/>
  <c r="B111" i="3"/>
  <c r="B475" i="3"/>
  <c r="B49" i="3"/>
  <c r="B391" i="3"/>
  <c r="B840" i="3"/>
  <c r="B805" i="3"/>
  <c r="B2843" i="3"/>
  <c r="B812" i="3"/>
  <c r="B2181" i="3"/>
  <c r="B3293" i="3"/>
  <c r="B2150" i="3"/>
  <c r="B845" i="3"/>
  <c r="B2562" i="3"/>
  <c r="B1709" i="3"/>
  <c r="B3144" i="3"/>
  <c r="B2327" i="3"/>
  <c r="B1622" i="3"/>
  <c r="B2844" i="3"/>
  <c r="B2298" i="3"/>
  <c r="B1398" i="3"/>
  <c r="B830" i="3"/>
  <c r="B3051" i="3"/>
  <c r="B2311" i="3"/>
  <c r="B1476" i="3"/>
  <c r="B3371" i="3"/>
  <c r="B2535" i="3"/>
  <c r="B2140" i="3"/>
  <c r="B1404" i="3"/>
  <c r="B3378" i="3"/>
  <c r="B2527" i="3"/>
  <c r="B2035" i="3"/>
  <c r="B1464" i="3"/>
  <c r="B3082" i="3"/>
  <c r="B2574" i="3"/>
  <c r="B1915" i="3"/>
  <c r="B1450" i="3"/>
  <c r="B3276" i="3"/>
  <c r="B2796" i="3"/>
  <c r="B2143" i="3"/>
  <c r="B1618" i="3"/>
  <c r="B956" i="3"/>
  <c r="B3261" i="3"/>
  <c r="B2503" i="3"/>
  <c r="B2061" i="3"/>
  <c r="B1534" i="3"/>
  <c r="B967" i="3"/>
  <c r="B3553" i="3"/>
  <c r="B2767" i="3"/>
  <c r="B2243" i="3"/>
  <c r="B1637" i="3"/>
  <c r="B3218" i="3"/>
  <c r="B2487" i="3"/>
  <c r="B2045" i="3"/>
  <c r="B1518" i="3"/>
  <c r="B3252" i="3"/>
  <c r="B2619" i="3"/>
  <c r="B2148" i="3"/>
  <c r="B1364" i="3"/>
  <c r="B996" i="3"/>
  <c r="B3277" i="3"/>
  <c r="B2615" i="3"/>
  <c r="B2099" i="3"/>
  <c r="B1437" i="3"/>
  <c r="B3239" i="3"/>
  <c r="B2623" i="3"/>
  <c r="B2094" i="3"/>
  <c r="B1435" i="3"/>
  <c r="B1252" i="3"/>
  <c r="B418" i="3"/>
  <c r="B902" i="3"/>
  <c r="B257" i="3"/>
  <c r="B595" i="3"/>
  <c r="B338" i="3"/>
  <c r="B863" i="3"/>
  <c r="B375" i="3"/>
  <c r="B703" i="3"/>
  <c r="B121" i="3"/>
  <c r="B514" i="3"/>
  <c r="B1118" i="3"/>
  <c r="B410" i="3"/>
  <c r="B793" i="3"/>
  <c r="B163" i="3"/>
  <c r="B532" i="3"/>
  <c r="B1226" i="3"/>
  <c r="B315" i="3"/>
  <c r="B659" i="3"/>
  <c r="B136" i="3"/>
  <c r="B500" i="3"/>
  <c r="B1318" i="3"/>
  <c r="B291" i="3"/>
  <c r="B627" i="3"/>
  <c r="B112" i="3"/>
  <c r="B639" i="3"/>
  <c r="B1152" i="3"/>
  <c r="B267" i="3"/>
  <c r="B795" i="3"/>
  <c r="B88" i="3"/>
  <c r="B622" i="3"/>
  <c r="B1040" i="3"/>
  <c r="B243" i="3"/>
  <c r="B758" i="3"/>
  <c r="B64" i="3"/>
  <c r="B591" i="3"/>
  <c r="B1170" i="3"/>
  <c r="B219" i="3"/>
  <c r="B734" i="3"/>
  <c r="B40" i="3"/>
  <c r="B525" i="3"/>
  <c r="B1127" i="3"/>
  <c r="B369" i="3"/>
  <c r="B118" i="3"/>
  <c r="B471" i="3"/>
  <c r="B1062" i="3"/>
  <c r="B358" i="3"/>
  <c r="B753" i="3"/>
  <c r="B139" i="3"/>
  <c r="B334" i="3"/>
  <c r="B721" i="3"/>
  <c r="B115" i="3"/>
  <c r="B1081" i="3"/>
  <c r="B697" i="3"/>
  <c r="B606" i="3"/>
  <c r="B286" i="3"/>
  <c r="B645" i="3"/>
  <c r="B1151" i="3"/>
  <c r="B262" i="3"/>
  <c r="B789" i="3"/>
  <c r="B273" i="3"/>
  <c r="B169" i="3"/>
  <c r="B87" i="3"/>
  <c r="B3446" i="3"/>
  <c r="B2760" i="3"/>
  <c r="B871" i="3"/>
  <c r="B2015" i="3"/>
  <c r="B3179" i="3"/>
  <c r="B2014" i="3"/>
  <c r="B856" i="3"/>
  <c r="B2533" i="3"/>
  <c r="B1664" i="3"/>
  <c r="B3155" i="3"/>
  <c r="B2338" i="3"/>
  <c r="B1588" i="3"/>
  <c r="B2810" i="3"/>
  <c r="B2183" i="3"/>
  <c r="B1403" i="3"/>
  <c r="B792" i="3"/>
  <c r="B2836" i="3"/>
  <c r="B2322" i="3"/>
  <c r="B1503" i="3"/>
  <c r="B3408" i="3"/>
  <c r="B2530" i="3"/>
  <c r="B1950" i="3"/>
  <c r="B1234" i="3"/>
  <c r="B3285" i="3"/>
  <c r="B2522" i="3"/>
  <c r="B2124" i="3"/>
  <c r="B1473" i="3"/>
  <c r="B3025" i="3"/>
  <c r="B2585" i="3"/>
  <c r="B1936" i="3"/>
  <c r="B1411" i="3"/>
  <c r="B3362" i="3"/>
  <c r="B2769" i="3"/>
  <c r="B1964" i="3"/>
  <c r="B1628" i="3"/>
  <c r="B981" i="3"/>
  <c r="B3173" i="3"/>
  <c r="B2498" i="3"/>
  <c r="B2040" i="3"/>
  <c r="B1521" i="3"/>
  <c r="B1006" i="3"/>
  <c r="B3451" i="3"/>
  <c r="B2730" i="3"/>
  <c r="B2238" i="3"/>
  <c r="B1592" i="3"/>
  <c r="B3157" i="3"/>
  <c r="B2665" i="3"/>
  <c r="B2024" i="3"/>
  <c r="B1505" i="3"/>
  <c r="B3198" i="3"/>
  <c r="B2579" i="3"/>
  <c r="B2104" i="3"/>
  <c r="B1320" i="3"/>
  <c r="B921" i="3"/>
  <c r="B3190" i="3"/>
  <c r="B2571" i="3"/>
  <c r="B2097" i="3"/>
  <c r="B1312" i="3"/>
  <c r="B3182" i="3"/>
  <c r="B2563" i="3"/>
  <c r="B2089" i="3"/>
  <c r="B1304" i="3"/>
  <c r="B1083" i="3"/>
  <c r="B420" i="3"/>
  <c r="B771" i="3"/>
  <c r="B210" i="3"/>
  <c r="B585" i="3"/>
  <c r="B22" i="3"/>
  <c r="B341" i="3"/>
  <c r="B893" i="3"/>
  <c r="B393" i="3"/>
  <c r="B783" i="3"/>
  <c r="B116" i="3"/>
  <c r="B692" i="3"/>
  <c r="B423" i="3"/>
  <c r="B310" i="3"/>
  <c r="B91" i="3"/>
  <c r="B1025" i="3"/>
  <c r="B190" i="3"/>
  <c r="B202" i="3"/>
  <c r="B1034" i="3"/>
  <c r="B217" i="3"/>
  <c r="B751" i="3"/>
  <c r="B507" i="3"/>
  <c r="B3334" i="3"/>
  <c r="B2686" i="3"/>
  <c r="B861" i="3"/>
  <c r="B2113" i="3"/>
  <c r="B3075" i="3"/>
  <c r="B1779" i="3"/>
  <c r="B862" i="3"/>
  <c r="B2552" i="3"/>
  <c r="B1500" i="3"/>
  <c r="B3169" i="3"/>
  <c r="B2154" i="3"/>
  <c r="B1431" i="3"/>
  <c r="B2832" i="3"/>
  <c r="B1983" i="3"/>
  <c r="B1456" i="3"/>
  <c r="B736" i="3"/>
  <c r="B2990" i="3"/>
  <c r="B2138" i="3"/>
  <c r="B1506" i="3"/>
  <c r="B3308" i="3"/>
  <c r="B2501" i="3"/>
  <c r="B2001" i="3"/>
  <c r="B1329" i="3"/>
  <c r="B3247" i="3"/>
  <c r="B2493" i="3"/>
  <c r="B1985" i="3"/>
  <c r="B1229" i="3"/>
  <c r="B3073" i="3"/>
  <c r="B2540" i="3"/>
  <c r="B1921" i="3"/>
  <c r="B1224" i="3"/>
  <c r="B3220" i="3"/>
  <c r="B2716" i="3"/>
  <c r="B2129" i="3"/>
  <c r="B1547" i="3"/>
  <c r="B997" i="3"/>
  <c r="B3080" i="3"/>
  <c r="B2469" i="3"/>
  <c r="B2011" i="3"/>
  <c r="B1407" i="3"/>
  <c r="B975" i="3"/>
  <c r="B3315" i="3"/>
  <c r="B2733" i="3"/>
  <c r="B2209" i="3"/>
  <c r="B1428" i="3"/>
  <c r="B3254" i="3"/>
  <c r="B2632" i="3"/>
  <c r="B1995" i="3"/>
  <c r="B1369" i="3"/>
  <c r="B3046" i="3"/>
  <c r="B2534" i="3"/>
  <c r="B1875" i="3"/>
  <c r="B1424" i="3"/>
  <c r="B763" i="3"/>
  <c r="B3038" i="3"/>
  <c r="B2526" i="3"/>
  <c r="B1867" i="3"/>
  <c r="B1442" i="3"/>
  <c r="B3030" i="3"/>
  <c r="B2518" i="3"/>
  <c r="B1859" i="3"/>
  <c r="B1438" i="3"/>
  <c r="B1084" i="3"/>
  <c r="B408" i="3"/>
  <c r="B718" i="3"/>
  <c r="B238" i="3"/>
  <c r="B610" i="3"/>
  <c r="B1421" i="3"/>
  <c r="B352" i="3"/>
  <c r="B947" i="3"/>
  <c r="B233" i="3"/>
  <c r="B672" i="3"/>
  <c r="B31" i="3"/>
  <c r="B520" i="3"/>
  <c r="B985" i="3"/>
  <c r="B332" i="3"/>
  <c r="B663" i="3"/>
  <c r="B97" i="3"/>
  <c r="B482" i="3"/>
  <c r="B1039" i="3"/>
  <c r="B345" i="3"/>
  <c r="B668" i="3"/>
  <c r="B94" i="3"/>
  <c r="B458" i="3"/>
  <c r="B1147" i="3"/>
  <c r="B321" i="3"/>
  <c r="B628" i="3"/>
  <c r="B70" i="3"/>
  <c r="B236" i="3"/>
  <c r="B714" i="3"/>
  <c r="B188" i="3"/>
  <c r="B648" i="3"/>
  <c r="B983" i="3"/>
  <c r="B460" i="3"/>
  <c r="B690" i="3"/>
  <c r="B242" i="3"/>
  <c r="B407" i="3"/>
  <c r="B3095" i="3"/>
  <c r="B2591" i="3"/>
  <c r="B1008" i="3"/>
  <c r="B2022" i="3"/>
  <c r="B3135" i="3"/>
  <c r="B1785" i="3"/>
  <c r="B667" i="3"/>
  <c r="B2588" i="3"/>
  <c r="B1530" i="3"/>
  <c r="B3094" i="3"/>
  <c r="B2160" i="3"/>
  <c r="B1405" i="3"/>
  <c r="B2983" i="3"/>
  <c r="B1962" i="3"/>
  <c r="B1251" i="3"/>
  <c r="B491" i="3"/>
  <c r="B2802" i="3"/>
  <c r="B2269" i="3"/>
  <c r="B1596" i="3"/>
  <c r="B3271" i="3"/>
  <c r="B2664" i="3"/>
  <c r="B1948" i="3"/>
  <c r="B1348" i="3"/>
  <c r="B3205" i="3"/>
  <c r="B2643" i="3"/>
  <c r="B1941" i="3"/>
  <c r="B1281" i="3"/>
  <c r="B3010" i="3"/>
  <c r="B2349" i="3"/>
  <c r="B1929" i="3"/>
  <c r="B1370" i="3"/>
  <c r="B3274" i="3"/>
  <c r="B2511" i="3"/>
  <c r="B2069" i="3"/>
  <c r="B1542" i="3"/>
  <c r="B972" i="3"/>
  <c r="B3230" i="3"/>
  <c r="B2603" i="3"/>
  <c r="B2106" i="3"/>
  <c r="B1344" i="3"/>
  <c r="B945" i="3"/>
  <c r="B3369" i="3"/>
  <c r="B2789" i="3"/>
  <c r="B2172" i="3"/>
  <c r="B1455" i="3"/>
  <c r="B3206" i="3"/>
  <c r="B2587" i="3"/>
  <c r="B2112" i="3"/>
  <c r="B1328" i="3"/>
  <c r="B3108" i="3"/>
  <c r="B2545" i="3"/>
  <c r="B1902" i="3"/>
  <c r="B1314" i="3"/>
  <c r="B774" i="3"/>
  <c r="B3119" i="3"/>
  <c r="B2537" i="3"/>
  <c r="B1894" i="3"/>
  <c r="B1268" i="3"/>
  <c r="B3100" i="3"/>
  <c r="B2529" i="3"/>
  <c r="B1886" i="3"/>
  <c r="B1266" i="3"/>
  <c r="B1109" i="3"/>
  <c r="B385" i="3"/>
  <c r="B772" i="3"/>
  <c r="B174" i="3"/>
  <c r="B543" i="3"/>
  <c r="B1332" i="3"/>
  <c r="B371" i="3"/>
  <c r="B846" i="3"/>
  <c r="B201" i="3"/>
  <c r="B574" i="3"/>
  <c r="B43" i="3"/>
  <c r="B314" i="3"/>
  <c r="B823" i="3"/>
  <c r="B351" i="3"/>
  <c r="B757" i="3"/>
  <c r="B92" i="3"/>
  <c r="B501" i="3"/>
  <c r="B900" i="3"/>
  <c r="B308" i="3"/>
  <c r="B808" i="3"/>
  <c r="B234" i="3"/>
  <c r="B477" i="3"/>
  <c r="B852" i="3"/>
  <c r="B284" i="3"/>
  <c r="B794" i="3"/>
  <c r="B193" i="3"/>
  <c r="B453" i="3"/>
  <c r="B804" i="3"/>
  <c r="B260" i="3"/>
  <c r="B738" i="3"/>
  <c r="B198" i="3"/>
  <c r="B638" i="3"/>
  <c r="B976" i="3"/>
  <c r="B164" i="3"/>
  <c r="B42" i="3"/>
  <c r="B592" i="3"/>
  <c r="B954" i="3"/>
  <c r="B27" i="3"/>
  <c r="B135" i="3"/>
  <c r="B451" i="3"/>
  <c r="B2822" i="3"/>
  <c r="B2627" i="3"/>
  <c r="B3601" i="3"/>
  <c r="B1787" i="3"/>
  <c r="B3137" i="3"/>
  <c r="B1922" i="3"/>
  <c r="B811" i="3"/>
  <c r="B2397" i="3"/>
  <c r="B1614" i="3"/>
  <c r="B3058" i="3"/>
  <c r="B2315" i="3"/>
  <c r="B1396" i="3"/>
  <c r="B2988" i="3"/>
  <c r="B2088" i="3"/>
  <c r="B1367" i="3"/>
  <c r="B486" i="3"/>
  <c r="B2942" i="3"/>
  <c r="B2257" i="3"/>
  <c r="B1574" i="3"/>
  <c r="B3151" i="3"/>
  <c r="B2590" i="3"/>
  <c r="B1939" i="3"/>
  <c r="B1235" i="3"/>
  <c r="B3104" i="3"/>
  <c r="B2593" i="3"/>
  <c r="B1934" i="3"/>
  <c r="B1346" i="3"/>
  <c r="B3125" i="3"/>
  <c r="B2352" i="3"/>
  <c r="B1895" i="3"/>
  <c r="B1300" i="3"/>
  <c r="B3181" i="3"/>
  <c r="B2506" i="3"/>
  <c r="B2048" i="3"/>
  <c r="B1529" i="3"/>
  <c r="B977" i="3"/>
  <c r="B3127" i="3"/>
  <c r="B2558" i="3"/>
  <c r="B1899" i="3"/>
  <c r="B1408" i="3"/>
  <c r="B822" i="3"/>
  <c r="B3413" i="3"/>
  <c r="B2782" i="3"/>
  <c r="B2127" i="3"/>
  <c r="B1587" i="3"/>
  <c r="B3054" i="3"/>
  <c r="B2542" i="3"/>
  <c r="B1883" i="3"/>
  <c r="B1430" i="3"/>
  <c r="B3055" i="3"/>
  <c r="B2500" i="3"/>
  <c r="B1881" i="3"/>
  <c r="B1363" i="3"/>
  <c r="B745" i="3"/>
  <c r="B3047" i="3"/>
  <c r="B2491" i="3"/>
  <c r="B1873" i="3"/>
  <c r="B1335" i="3"/>
  <c r="B3039" i="3"/>
  <c r="B2480" i="3"/>
  <c r="B1865" i="3"/>
  <c r="B1333" i="3"/>
  <c r="B919" i="3"/>
  <c r="B402" i="3"/>
  <c r="B735" i="3"/>
  <c r="B153" i="3"/>
  <c r="B546" i="3"/>
  <c r="B1027" i="3"/>
  <c r="B422" i="3"/>
  <c r="B739" i="3"/>
  <c r="B192" i="3"/>
  <c r="B553" i="3"/>
  <c r="B317" i="3"/>
  <c r="B837" i="3"/>
  <c r="B230" i="3"/>
  <c r="B587" i="3"/>
  <c r="B62" i="3"/>
  <c r="B496" i="3"/>
  <c r="B938" i="3"/>
  <c r="B327" i="3"/>
  <c r="B709" i="3"/>
  <c r="B68" i="3"/>
  <c r="B472" i="3"/>
  <c r="B890" i="3"/>
  <c r="B303" i="3"/>
  <c r="B685" i="3"/>
  <c r="B53" i="3"/>
  <c r="B632" i="3"/>
  <c r="B866" i="3"/>
  <c r="B279" i="3"/>
  <c r="B815" i="3"/>
  <c r="B609" i="3"/>
  <c r="B1004" i="3"/>
  <c r="B255" i="3"/>
  <c r="B768" i="3"/>
  <c r="B2768" i="3"/>
  <c r="B2359" i="3"/>
  <c r="B3301" i="3"/>
  <c r="B1814" i="3"/>
  <c r="B2868" i="3"/>
  <c r="B1925" i="3"/>
  <c r="B3598" i="3"/>
  <c r="B2400" i="3"/>
  <c r="B1381" i="3"/>
  <c r="B3013" i="3"/>
  <c r="B2191" i="3"/>
  <c r="B1289" i="3"/>
  <c r="B2825" i="3"/>
  <c r="B1990" i="3"/>
  <c r="B1245" i="3"/>
  <c r="B505" i="3"/>
  <c r="B2824" i="3"/>
  <c r="B2220" i="3"/>
  <c r="B1561" i="3"/>
  <c r="B3213" i="3"/>
  <c r="B2601" i="3"/>
  <c r="B1911" i="3"/>
  <c r="B1223" i="3"/>
  <c r="B3246" i="3"/>
  <c r="B2548" i="3"/>
  <c r="B1874" i="3"/>
  <c r="B1230" i="3"/>
  <c r="B3027" i="3"/>
  <c r="B2339" i="3"/>
  <c r="B1866" i="3"/>
  <c r="B1225" i="3"/>
  <c r="B3088" i="3"/>
  <c r="B2477" i="3"/>
  <c r="B2019" i="3"/>
  <c r="B1414" i="3"/>
  <c r="B994" i="3"/>
  <c r="B3001" i="3"/>
  <c r="B2569" i="3"/>
  <c r="B1926" i="3"/>
  <c r="B1390" i="3"/>
  <c r="B814" i="3"/>
  <c r="B3338" i="3"/>
  <c r="B2753" i="3"/>
  <c r="B2116" i="3"/>
  <c r="B1585" i="3"/>
  <c r="B3110" i="3"/>
  <c r="B2553" i="3"/>
  <c r="B1910" i="3"/>
  <c r="B1316" i="3"/>
  <c r="B3071" i="3"/>
  <c r="B2475" i="3"/>
  <c r="B1900" i="3"/>
  <c r="B1325" i="3"/>
  <c r="B724" i="3"/>
  <c r="B3066" i="3"/>
  <c r="B2472" i="3"/>
  <c r="B1892" i="3"/>
  <c r="B1302" i="3"/>
  <c r="B3118" i="3"/>
  <c r="B2490" i="3"/>
  <c r="B1884" i="3"/>
  <c r="B1279" i="3"/>
  <c r="B949" i="3"/>
  <c r="B419" i="3"/>
  <c r="B658" i="3"/>
  <c r="B148" i="3"/>
  <c r="B565" i="3"/>
  <c r="B1012" i="3"/>
  <c r="B382" i="3"/>
  <c r="B670" i="3"/>
  <c r="B197" i="3"/>
  <c r="B572" i="3"/>
  <c r="B1280" i="3"/>
  <c r="B328" i="3"/>
  <c r="B907" i="3"/>
  <c r="B178" i="3"/>
  <c r="B550" i="3"/>
  <c r="B290" i="3"/>
  <c r="B1001" i="3"/>
  <c r="B183" i="3"/>
  <c r="B563" i="3"/>
  <c r="B266" i="3"/>
  <c r="B962" i="3"/>
  <c r="B159" i="3"/>
  <c r="B531" i="3"/>
  <c r="B46" i="3"/>
  <c r="B607" i="3"/>
  <c r="B276" i="3"/>
  <c r="B730" i="3"/>
  <c r="B448" i="3"/>
  <c r="A1" i="3"/>
  <c r="B56" i="3"/>
  <c r="B809" i="3"/>
  <c r="B799" i="3"/>
  <c r="B698" i="3"/>
  <c r="B647" i="3"/>
  <c r="B601" i="3"/>
  <c r="B213" i="3"/>
  <c r="B669" i="3"/>
  <c r="B1088" i="3"/>
  <c r="B836" i="3"/>
  <c r="B244" i="3"/>
  <c r="G20" i="3"/>
  <c r="B762" i="3"/>
  <c r="B722" i="3"/>
  <c r="B619" i="3"/>
  <c r="B221" i="3"/>
  <c r="B73" i="3"/>
  <c r="B235" i="3"/>
  <c r="B378" i="3"/>
  <c r="B298" i="3"/>
  <c r="B874" i="3"/>
  <c r="B263" i="3"/>
  <c r="B180" i="3"/>
  <c r="C20" i="3"/>
  <c r="B223" i="3"/>
  <c r="B268" i="3"/>
  <c r="B335" i="3"/>
  <c r="B790" i="3"/>
  <c r="B104" i="3"/>
  <c r="B81" i="3"/>
  <c r="B754" i="3"/>
  <c r="B77" i="3"/>
  <c r="B567" i="3"/>
  <c r="B200" i="3"/>
  <c r="B908" i="3"/>
  <c r="B80" i="3"/>
  <c r="B752" i="3"/>
  <c r="B287" i="3"/>
  <c r="B725" i="3"/>
  <c r="B76" i="3"/>
  <c r="B1032" i="3"/>
  <c r="B1010" i="3"/>
  <c r="B485" i="3"/>
  <c r="B706" i="3"/>
  <c r="B316" i="3"/>
  <c r="B172" i="3"/>
  <c r="B575" i="3"/>
  <c r="B914" i="3"/>
  <c r="B991" i="3"/>
  <c r="B629" i="3"/>
  <c r="B693" i="3"/>
  <c r="B58" i="3"/>
  <c r="B611" i="3"/>
  <c r="B445" i="3"/>
  <c r="B1167" i="3"/>
  <c r="B209" i="3"/>
  <c r="B311" i="3"/>
  <c r="B641" i="3"/>
  <c r="B480" i="3"/>
  <c r="B608" i="3"/>
  <c r="B1133" i="3"/>
  <c r="B597" i="3"/>
  <c r="B838" i="3"/>
  <c r="B966" i="3"/>
  <c r="B292" i="3"/>
  <c r="B252" i="3"/>
  <c r="B435" i="3"/>
  <c r="B860" i="3"/>
  <c r="B634" i="3"/>
  <c r="B788" i="3"/>
  <c r="B943" i="3"/>
  <c r="B228" i="3"/>
  <c r="B618" i="3"/>
  <c r="B621" i="3"/>
  <c r="B1338" i="3"/>
  <c r="B959" i="3"/>
  <c r="B750" i="3"/>
  <c r="B584" i="3"/>
  <c r="B390" i="3"/>
  <c r="B259" i="3"/>
  <c r="B211" i="3"/>
  <c r="B779" i="3"/>
  <c r="B67" i="3"/>
  <c r="B461" i="3"/>
  <c r="B1002" i="3"/>
  <c r="B394" i="3"/>
  <c r="B456" i="3"/>
  <c r="B818" i="3"/>
  <c r="B24" i="3"/>
  <c r="B283" i="3"/>
  <c r="B468" i="3"/>
  <c r="F15" i="3"/>
  <c r="J832" i="3"/>
  <c r="J167" i="3"/>
  <c r="J600" i="3"/>
  <c r="J662" i="3"/>
  <c r="J26" i="3"/>
  <c r="J325" i="3"/>
  <c r="J698" i="3"/>
  <c r="J399" i="3"/>
  <c r="J136" i="3"/>
  <c r="J568" i="3"/>
  <c r="J771" i="3"/>
  <c r="J220" i="3"/>
  <c r="J179" i="3"/>
  <c r="J803" i="3"/>
  <c r="J147" i="3"/>
  <c r="J268" i="3"/>
  <c r="J1057" i="3"/>
  <c r="J194" i="3"/>
  <c r="J878" i="3"/>
  <c r="J1109" i="3"/>
  <c r="J95" i="3"/>
  <c r="J143" i="3"/>
  <c r="J578" i="3"/>
  <c r="J896" i="3"/>
  <c r="J2172" i="3"/>
  <c r="J730" i="3"/>
  <c r="J1705" i="3"/>
  <c r="J861" i="3"/>
  <c r="J1238" i="3"/>
  <c r="J356" i="3"/>
  <c r="J1835" i="3"/>
  <c r="J667" i="3"/>
  <c r="J2170" i="3"/>
  <c r="J462" i="3"/>
  <c r="J2073" i="3"/>
  <c r="J1050" i="3"/>
  <c r="J1308" i="3"/>
  <c r="J703" i="3"/>
  <c r="J1883" i="3"/>
  <c r="J786" i="3"/>
  <c r="J1335" i="3"/>
  <c r="J510" i="3"/>
  <c r="J2121" i="3"/>
  <c r="J857" i="3"/>
  <c r="J1250" i="3"/>
  <c r="J495" i="3"/>
  <c r="J393" i="3"/>
  <c r="J2328" i="3"/>
  <c r="J475" i="3"/>
  <c r="J828" i="3"/>
  <c r="J129" i="3"/>
  <c r="J967" i="3"/>
  <c r="J570" i="3"/>
  <c r="J2002" i="3"/>
  <c r="J889" i="3"/>
  <c r="J500" i="3"/>
  <c r="J1704" i="3"/>
  <c r="J334" i="3"/>
  <c r="J1993" i="3"/>
  <c r="J1448" i="3"/>
  <c r="J906" i="3"/>
  <c r="J1727" i="3"/>
  <c r="J1988" i="3"/>
  <c r="J401" i="3"/>
  <c r="J2000" i="3"/>
  <c r="J78" i="3"/>
  <c r="J317" i="3"/>
  <c r="J455" i="3"/>
  <c r="J277" i="3"/>
  <c r="J327" i="3"/>
  <c r="J350" i="3"/>
  <c r="J625" i="3"/>
  <c r="J27" i="3"/>
  <c r="J735" i="3"/>
  <c r="J556" i="3"/>
  <c r="J1012" i="3"/>
  <c r="J184" i="3"/>
  <c r="J616" i="3"/>
  <c r="J1115" i="3"/>
  <c r="J483" i="3"/>
  <c r="J676" i="3"/>
  <c r="J170" i="3"/>
  <c r="J518" i="3"/>
  <c r="J195" i="3"/>
  <c r="J260" i="3"/>
  <c r="J671" i="3"/>
  <c r="J1247" i="3"/>
  <c r="J866" i="3"/>
  <c r="J261" i="3"/>
  <c r="J1255" i="3"/>
  <c r="J1018" i="3"/>
  <c r="J2149" i="3"/>
  <c r="J166" i="3"/>
  <c r="J1176" i="3"/>
  <c r="J644" i="3"/>
  <c r="J2123" i="3"/>
  <c r="J80" i="3"/>
  <c r="J1349" i="3"/>
  <c r="J750" i="3"/>
  <c r="J1606" i="3"/>
  <c r="J115" i="3"/>
  <c r="J1322" i="3"/>
  <c r="J116" i="3"/>
  <c r="J2171" i="3"/>
  <c r="J1074" i="3"/>
  <c r="J1642" i="3"/>
  <c r="J798" i="3"/>
  <c r="J1348" i="3"/>
  <c r="J1145" i="3"/>
  <c r="J1557" i="3"/>
  <c r="J783" i="3"/>
  <c r="J681" i="3"/>
  <c r="J1376" i="3"/>
  <c r="J763" i="3"/>
  <c r="J1362" i="3"/>
  <c r="J417" i="3"/>
  <c r="J1338" i="3"/>
  <c r="J858" i="3"/>
  <c r="J1141" i="3"/>
  <c r="J182" i="3"/>
  <c r="J788" i="3"/>
  <c r="J2040" i="3"/>
  <c r="J622" i="3"/>
  <c r="J1352" i="3"/>
  <c r="J1461" i="3"/>
  <c r="J259" i="3"/>
  <c r="J2015" i="3"/>
  <c r="J1334" i="3"/>
  <c r="J689" i="3"/>
  <c r="J1347" i="3"/>
  <c r="J366" i="3"/>
  <c r="J1977" i="3"/>
  <c r="J2098" i="3"/>
  <c r="J706" i="3"/>
  <c r="J2054" i="3"/>
  <c r="J1759" i="3"/>
  <c r="J3017" i="3"/>
  <c r="J1589" i="3"/>
  <c r="J2520" i="3"/>
  <c r="J2464" i="3"/>
  <c r="J2917" i="3"/>
  <c r="J2386" i="3"/>
  <c r="J1253" i="3"/>
  <c r="J743" i="3"/>
  <c r="J577" i="3"/>
  <c r="J687" i="3"/>
  <c r="J674" i="3"/>
  <c r="J925" i="3"/>
  <c r="J387" i="3"/>
  <c r="J112" i="3"/>
  <c r="J1000" i="3"/>
  <c r="J677" i="3"/>
  <c r="J580" i="3"/>
  <c r="J1084" i="3"/>
  <c r="J23" i="3"/>
  <c r="J843" i="3"/>
  <c r="J29" i="3"/>
  <c r="J506" i="3"/>
  <c r="J842" i="3"/>
  <c r="J555" i="3"/>
  <c r="J731" i="3"/>
  <c r="J959" i="3"/>
  <c r="J131" i="3"/>
  <c r="J75" i="3"/>
  <c r="J549" i="3"/>
  <c r="J1681" i="3"/>
  <c r="J1306" i="3"/>
  <c r="J1526" i="3"/>
  <c r="J454" i="3"/>
  <c r="J1524" i="3"/>
  <c r="J932" i="3"/>
  <c r="J1191" i="3"/>
  <c r="J368" i="3"/>
  <c r="J1252" i="3"/>
  <c r="J1038" i="3"/>
  <c r="J1894" i="3"/>
  <c r="J403" i="3"/>
  <c r="J1618" i="3"/>
  <c r="J404" i="3"/>
  <c r="J1310" i="3"/>
  <c r="J139" i="3"/>
  <c r="J1930" i="3"/>
  <c r="J1086" i="3"/>
  <c r="J816" i="3"/>
  <c r="J234" i="3"/>
  <c r="J1845" i="3"/>
  <c r="J1071" i="3"/>
  <c r="J274" i="3"/>
  <c r="J1873" i="3"/>
  <c r="J176" i="3"/>
  <c r="J1655" i="3"/>
  <c r="J705" i="3"/>
  <c r="J1668" i="3"/>
  <c r="J1146" i="3"/>
  <c r="J1474" i="3"/>
  <c r="J470" i="3"/>
  <c r="J1076" i="3"/>
  <c r="J926" i="3"/>
  <c r="J910" i="3"/>
  <c r="J1886" i="3"/>
  <c r="J1750" i="3"/>
  <c r="J547" i="3"/>
  <c r="J1450" i="3"/>
  <c r="J912" i="3"/>
  <c r="J977" i="3"/>
  <c r="J957" i="3"/>
  <c r="J654" i="3"/>
  <c r="J54" i="3"/>
  <c r="J1031" i="3"/>
  <c r="J877" i="3"/>
  <c r="J1023" i="3"/>
  <c r="J38" i="3"/>
  <c r="J723" i="3"/>
  <c r="J544" i="3"/>
  <c r="J653" i="3"/>
  <c r="J894" i="3"/>
  <c r="J1048" i="3"/>
  <c r="J749" i="3"/>
  <c r="J311" i="3"/>
  <c r="J299" i="3"/>
  <c r="J256" i="3"/>
  <c r="J941" i="3"/>
  <c r="J830" i="3"/>
  <c r="J183" i="3"/>
  <c r="J891" i="3"/>
  <c r="J383" i="3"/>
  <c r="J119" i="3"/>
  <c r="J419" i="3"/>
  <c r="J363" i="3"/>
  <c r="J837" i="3"/>
  <c r="J2125" i="3"/>
  <c r="J1154" i="3"/>
  <c r="J933" i="3"/>
  <c r="J742" i="3"/>
  <c r="J1860" i="3"/>
  <c r="J1548" i="3"/>
  <c r="J656" i="3"/>
  <c r="J1559" i="3"/>
  <c r="J103" i="3"/>
  <c r="J1267" i="3"/>
  <c r="J691" i="3"/>
  <c r="J1906" i="3"/>
  <c r="J692" i="3"/>
  <c r="J1254" i="3"/>
  <c r="J427" i="3"/>
  <c r="J998" i="3"/>
  <c r="J151" i="3"/>
  <c r="J1361" i="3"/>
  <c r="J522" i="3"/>
  <c r="J1666" i="3"/>
  <c r="J160" i="3"/>
  <c r="J562" i="3"/>
  <c r="J1240" i="3"/>
  <c r="J464" i="3"/>
  <c r="J1943" i="3"/>
  <c r="J2016" i="3"/>
  <c r="J211" i="3"/>
  <c r="J1387" i="3"/>
  <c r="J758" i="3"/>
  <c r="J153" i="3"/>
  <c r="J1537" i="3"/>
  <c r="J1198" i="3"/>
  <c r="J1227" i="3"/>
  <c r="J2038" i="3"/>
  <c r="J835" i="3"/>
  <c r="J1413" i="3"/>
  <c r="J1665" i="3"/>
  <c r="J1265" i="3"/>
  <c r="J1385" i="3"/>
  <c r="J942" i="3"/>
  <c r="J1510" i="3"/>
  <c r="J595" i="3"/>
  <c r="J1487" i="3"/>
  <c r="J592" i="3"/>
  <c r="J1282" i="3"/>
  <c r="J1405" i="3"/>
  <c r="J2796" i="3"/>
  <c r="J2372" i="3"/>
  <c r="J1432" i="3"/>
  <c r="J3099" i="3"/>
  <c r="J1503" i="3"/>
  <c r="J2070" i="3"/>
  <c r="J199" i="3"/>
  <c r="J1319" i="3"/>
  <c r="J326" i="3"/>
  <c r="J64" i="3"/>
  <c r="J339" i="3"/>
  <c r="J362" i="3"/>
  <c r="J1059" i="3"/>
  <c r="J976" i="3"/>
  <c r="J846" i="3"/>
  <c r="J515" i="3"/>
  <c r="J701" i="3"/>
  <c r="J1134" i="3"/>
  <c r="J599" i="3"/>
  <c r="J587" i="3"/>
  <c r="J652" i="3"/>
  <c r="J251" i="3"/>
  <c r="J171" i="3"/>
  <c r="J531" i="3"/>
  <c r="J328" i="3"/>
  <c r="J107" i="3"/>
  <c r="J407" i="3"/>
  <c r="J707" i="3"/>
  <c r="J651" i="3"/>
  <c r="J142" i="3"/>
  <c r="J1514" i="3"/>
  <c r="J1484" i="3"/>
  <c r="J1515" i="3"/>
  <c r="J1030" i="3"/>
  <c r="J2196" i="3"/>
  <c r="J297" i="3"/>
  <c r="J1872" i="3"/>
  <c r="J944" i="3"/>
  <c r="J1847" i="3"/>
  <c r="J391" i="3"/>
  <c r="J1571" i="3"/>
  <c r="J104" i="3"/>
  <c r="J1374" i="3"/>
  <c r="J980" i="3"/>
  <c r="J1596" i="3"/>
  <c r="J715" i="3"/>
  <c r="J1399" i="3"/>
  <c r="J439" i="3"/>
  <c r="J1654" i="3"/>
  <c r="J810" i="3"/>
  <c r="J1954" i="3"/>
  <c r="J448" i="3"/>
  <c r="J850" i="3"/>
  <c r="J1209" i="3"/>
  <c r="J752" i="3"/>
  <c r="J921" i="3"/>
  <c r="J298" i="3"/>
  <c r="J2352" i="3"/>
  <c r="J499" i="3"/>
  <c r="J1679" i="3"/>
  <c r="J255" i="3"/>
  <c r="J441" i="3"/>
  <c r="J1945" i="3"/>
  <c r="J907" i="3"/>
  <c r="J1911" i="3"/>
  <c r="J1715" i="3"/>
  <c r="J248" i="3"/>
  <c r="J1740" i="3"/>
  <c r="J1953" i="3"/>
  <c r="J66" i="3"/>
  <c r="J1677" i="3"/>
  <c r="J1798" i="3"/>
  <c r="J1775" i="3"/>
  <c r="J880" i="3"/>
  <c r="J1119" i="3"/>
  <c r="J1878" i="3"/>
  <c r="J3084" i="3"/>
  <c r="J2216" i="3"/>
  <c r="J1722" i="3"/>
  <c r="J3387" i="3"/>
  <c r="J1791" i="3"/>
  <c r="J2443" i="3"/>
  <c r="J3487" i="3"/>
  <c r="J3408" i="3"/>
  <c r="J2610" i="3"/>
  <c r="J1242" i="3"/>
  <c r="J3229" i="3"/>
  <c r="J650" i="3"/>
  <c r="J472" i="3"/>
  <c r="J699" i="3"/>
  <c r="J686" i="3"/>
  <c r="J100" i="3"/>
  <c r="J641" i="3"/>
  <c r="J467" i="3"/>
  <c r="J1379" i="3"/>
  <c r="J918" i="3"/>
  <c r="J755" i="3"/>
  <c r="J887" i="3"/>
  <c r="J875" i="3"/>
  <c r="J929" i="3"/>
  <c r="J539" i="3"/>
  <c r="J519" i="3"/>
  <c r="J879" i="3"/>
  <c r="J724" i="3"/>
  <c r="J395" i="3"/>
  <c r="J695" i="3"/>
  <c r="J995" i="3"/>
  <c r="J939" i="3"/>
  <c r="J430" i="3"/>
  <c r="J2066" i="3"/>
  <c r="J1772" i="3"/>
  <c r="J1600" i="3"/>
  <c r="J1318" i="3"/>
  <c r="J1284" i="3"/>
  <c r="J585" i="3"/>
  <c r="J2208" i="3"/>
  <c r="J21" i="3"/>
  <c r="J2135" i="3"/>
  <c r="J679" i="3"/>
  <c r="J1859" i="3"/>
  <c r="J392" i="3"/>
  <c r="J1281" i="3"/>
  <c r="J57" i="3"/>
  <c r="J1920" i="3"/>
  <c r="J128" i="3"/>
  <c r="J1607" i="3"/>
  <c r="J727" i="3"/>
  <c r="J1942" i="3"/>
  <c r="J1098" i="3"/>
  <c r="J1058" i="3"/>
  <c r="J736" i="3"/>
  <c r="J1138" i="3"/>
  <c r="J1766" i="3"/>
  <c r="J1040" i="3"/>
  <c r="J1375" i="3"/>
  <c r="J586" i="3"/>
  <c r="J852" i="3"/>
  <c r="J787" i="3"/>
  <c r="J1967" i="3"/>
  <c r="J543" i="3"/>
  <c r="J729" i="3"/>
  <c r="J1326" i="3"/>
  <c r="J1664" i="3"/>
  <c r="J2033" i="3"/>
  <c r="J2003" i="3"/>
  <c r="J536" i="3"/>
  <c r="J2076" i="3"/>
  <c r="J1140" i="3"/>
  <c r="J354" i="3"/>
  <c r="J1965" i="3"/>
  <c r="J295" i="3"/>
  <c r="J2086" i="3"/>
  <c r="J296" i="3"/>
  <c r="J2063" i="3"/>
  <c r="J149" i="3"/>
  <c r="J1459" i="3"/>
  <c r="J2004" i="3"/>
  <c r="J3372" i="3"/>
  <c r="J2886" i="3"/>
  <c r="J2010" i="3"/>
  <c r="J2289" i="3"/>
  <c r="J1552" i="3"/>
  <c r="J2630" i="3"/>
  <c r="J2996" i="3"/>
  <c r="J2254" i="3"/>
  <c r="J2922" i="3"/>
  <c r="J1212" i="3"/>
  <c r="J2117" i="3"/>
  <c r="J2424" i="3"/>
  <c r="J3241" i="3"/>
  <c r="J2624" i="3"/>
  <c r="J3444" i="3"/>
  <c r="J2319" i="3"/>
  <c r="J1065" i="3"/>
  <c r="J2689" i="3"/>
  <c r="J3175" i="3"/>
  <c r="J1673" i="3"/>
  <c r="J2607" i="3"/>
  <c r="J3140" i="3"/>
  <c r="J984" i="3"/>
  <c r="J2907" i="3"/>
  <c r="J1015" i="3"/>
  <c r="J2726" i="3"/>
  <c r="J2708" i="3"/>
  <c r="J2643" i="3"/>
  <c r="J2720" i="3"/>
  <c r="J2750" i="3"/>
  <c r="J3081" i="3"/>
  <c r="J2952" i="3"/>
  <c r="J2215" i="3"/>
  <c r="J2773" i="3"/>
  <c r="J2127" i="3"/>
  <c r="J1358" i="3"/>
  <c r="J3340" i="3"/>
  <c r="J1671" i="3"/>
  <c r="J2178" i="3"/>
  <c r="J3141" i="3"/>
  <c r="J3288" i="3"/>
  <c r="J2276" i="3"/>
  <c r="J1562" i="3"/>
  <c r="J2530" i="3"/>
  <c r="J2361" i="3"/>
  <c r="J3024" i="3"/>
  <c r="J2957" i="3"/>
  <c r="J1214" i="3"/>
  <c r="J3327" i="3"/>
  <c r="J1492" i="3"/>
  <c r="J3433" i="3"/>
  <c r="J2293" i="3"/>
  <c r="J1454" i="3"/>
  <c r="J2775" i="3"/>
  <c r="J2710" i="3"/>
  <c r="J288" i="3"/>
  <c r="J300" i="3"/>
  <c r="J315" i="3"/>
  <c r="J916" i="3"/>
  <c r="J1035" i="3"/>
  <c r="J532" i="3"/>
  <c r="J630" i="3"/>
  <c r="J551" i="3"/>
  <c r="J263" i="3"/>
  <c r="J1331" i="3"/>
  <c r="J1391" i="3"/>
  <c r="J1175" i="3"/>
  <c r="J1163" i="3"/>
  <c r="J479" i="3"/>
  <c r="J1403" i="3"/>
  <c r="J867" i="3"/>
  <c r="J292" i="3"/>
  <c r="J101" i="3"/>
  <c r="J683" i="3"/>
  <c r="J983" i="3"/>
  <c r="J1283" i="3"/>
  <c r="J28" i="3"/>
  <c r="J718" i="3"/>
  <c r="J1491" i="3"/>
  <c r="J1104" i="3"/>
  <c r="J185" i="3"/>
  <c r="J1333" i="3"/>
  <c r="J1717" i="3"/>
  <c r="J873" i="3"/>
  <c r="J1298" i="3"/>
  <c r="J309" i="3"/>
  <c r="J1207" i="3"/>
  <c r="J92" i="3"/>
  <c r="J2147" i="3"/>
  <c r="J680" i="3"/>
  <c r="J1583" i="3"/>
  <c r="J345" i="3"/>
  <c r="J2256" i="3"/>
  <c r="J416" i="3"/>
  <c r="J1895" i="3"/>
  <c r="J140" i="3"/>
  <c r="J1029" i="3"/>
  <c r="J163" i="3"/>
  <c r="J1424" i="3"/>
  <c r="J1024" i="3"/>
  <c r="J1099" i="3"/>
  <c r="J1353" i="3"/>
  <c r="J117" i="3"/>
  <c r="J1324" i="3"/>
  <c r="J874" i="3"/>
  <c r="J1501" i="3"/>
  <c r="J200" i="3"/>
  <c r="J1400" i="3"/>
  <c r="J831" i="3"/>
  <c r="J34" i="3"/>
  <c r="J1299" i="3"/>
  <c r="J1952" i="3"/>
  <c r="J236" i="3"/>
  <c r="J924" i="3"/>
  <c r="J824" i="3"/>
  <c r="J1128" i="3"/>
  <c r="J1473" i="3"/>
  <c r="J642" i="3"/>
  <c r="J1172" i="3"/>
  <c r="J583" i="3"/>
  <c r="J1763" i="3"/>
  <c r="J584" i="3"/>
  <c r="J1107" i="3"/>
  <c r="J437" i="3"/>
  <c r="J1748" i="3"/>
  <c r="J2292" i="3"/>
  <c r="J2299" i="3"/>
  <c r="J576" i="3"/>
  <c r="J588" i="3"/>
  <c r="J675" i="3"/>
  <c r="J413" i="3"/>
  <c r="J76" i="3"/>
  <c r="J375" i="3"/>
  <c r="J964" i="3"/>
  <c r="J847" i="3"/>
  <c r="J839" i="3"/>
  <c r="J275" i="3"/>
  <c r="J827" i="3"/>
  <c r="J144" i="3"/>
  <c r="J1463" i="3"/>
  <c r="J1451" i="3"/>
  <c r="J227" i="3"/>
  <c r="J287" i="3"/>
  <c r="J280" i="3"/>
  <c r="J712" i="3"/>
  <c r="J1037" i="3"/>
  <c r="J971" i="3"/>
  <c r="J1271" i="3"/>
  <c r="J264" i="3"/>
  <c r="J316" i="3"/>
  <c r="J1006" i="3"/>
  <c r="J1588" i="3"/>
  <c r="J1737" i="3"/>
  <c r="J473" i="3"/>
  <c r="J1170" i="3"/>
  <c r="J1538" i="3"/>
  <c r="J178" i="3"/>
  <c r="J1729" i="3"/>
  <c r="J597" i="3"/>
  <c r="J1560" i="3"/>
  <c r="J380" i="3"/>
  <c r="J1224" i="3"/>
  <c r="J968" i="3"/>
  <c r="J1871" i="3"/>
  <c r="J633" i="3"/>
  <c r="J1311" i="3"/>
  <c r="J704" i="3"/>
  <c r="J2183" i="3"/>
  <c r="J428" i="3"/>
  <c r="J1323" i="3"/>
  <c r="J451" i="3"/>
  <c r="J1337" i="3"/>
  <c r="J1446" i="3"/>
  <c r="J1803" i="3"/>
  <c r="J405" i="3"/>
  <c r="J1656" i="3"/>
  <c r="J1162" i="3"/>
  <c r="J1921" i="3"/>
  <c r="J488" i="3"/>
  <c r="J1680" i="3"/>
  <c r="J208" i="3"/>
  <c r="J322" i="3"/>
  <c r="J1874" i="3"/>
  <c r="J1629" i="3"/>
  <c r="J524" i="3"/>
  <c r="J1388" i="3"/>
  <c r="J189" i="3"/>
  <c r="J1573" i="3"/>
  <c r="J1156" i="3"/>
  <c r="J930" i="3"/>
  <c r="J1498" i="3"/>
  <c r="J871" i="3"/>
  <c r="J2051" i="3"/>
  <c r="J872" i="3"/>
  <c r="J1788" i="3"/>
  <c r="J725" i="3"/>
  <c r="J1056" i="3"/>
  <c r="J1693" i="3"/>
  <c r="J2605" i="3"/>
  <c r="J2306" i="3"/>
  <c r="J1153" i="3"/>
  <c r="J2884" i="3"/>
  <c r="J2128" i="3"/>
  <c r="J2532" i="3"/>
  <c r="J2363" i="3"/>
  <c r="J2641" i="3"/>
  <c r="J2399" i="3"/>
  <c r="J1815" i="3"/>
  <c r="J2654" i="3"/>
  <c r="J3139" i="3"/>
  <c r="J2666" i="3"/>
  <c r="J2151" i="3"/>
  <c r="J2677" i="3"/>
  <c r="J2958" i="3"/>
  <c r="J1718" i="3"/>
  <c r="J3265" i="3"/>
  <c r="J2234" i="3"/>
  <c r="J1200" i="3"/>
  <c r="J3183" i="3"/>
  <c r="J2985" i="3"/>
  <c r="J1973" i="3"/>
  <c r="J2142" i="3"/>
  <c r="J253" i="3"/>
  <c r="J265" i="3"/>
  <c r="J1011" i="3"/>
  <c r="J342" i="3"/>
  <c r="J508" i="3"/>
  <c r="J711" i="3"/>
  <c r="J605" i="3"/>
  <c r="J239" i="3"/>
  <c r="J1127" i="3"/>
  <c r="J563" i="3"/>
  <c r="J863" i="3"/>
  <c r="J432" i="3"/>
  <c r="J156" i="3"/>
  <c r="J35" i="3"/>
  <c r="J72" i="3"/>
  <c r="J335" i="3"/>
  <c r="J688" i="3"/>
  <c r="J77" i="3"/>
  <c r="J155" i="3"/>
  <c r="J1259" i="3"/>
  <c r="J252" i="3"/>
  <c r="J552" i="3"/>
  <c r="J604" i="3"/>
  <c r="J1294" i="3"/>
  <c r="J126" i="3"/>
  <c r="J2025" i="3"/>
  <c r="J761" i="3"/>
  <c r="J1496" i="3"/>
  <c r="J1111" i="3"/>
  <c r="J466" i="3"/>
  <c r="J864" i="3"/>
  <c r="J885" i="3"/>
  <c r="J1884" i="3"/>
  <c r="J668" i="3"/>
  <c r="J1572" i="3"/>
  <c r="J45" i="3"/>
  <c r="J2159" i="3"/>
  <c r="J226" i="3"/>
  <c r="J1389" i="3"/>
  <c r="J992" i="3"/>
  <c r="J1268" i="3"/>
  <c r="J716" i="3"/>
  <c r="J1619" i="3"/>
  <c r="J739" i="3"/>
  <c r="J1631" i="3"/>
  <c r="J293" i="3"/>
  <c r="J1604" i="3"/>
  <c r="J1984" i="3"/>
  <c r="J693" i="3"/>
  <c r="J1992" i="3"/>
  <c r="J1136" i="3"/>
  <c r="J1802" i="3"/>
  <c r="J776" i="3"/>
  <c r="J2028" i="3"/>
  <c r="J496" i="3"/>
  <c r="J610" i="3"/>
  <c r="J1195" i="3"/>
  <c r="J1917" i="3"/>
  <c r="J812" i="3"/>
  <c r="J1728" i="3"/>
  <c r="J477" i="3"/>
  <c r="J2017" i="3"/>
  <c r="J1486" i="3"/>
  <c r="J1786" i="3"/>
  <c r="J1776" i="3"/>
  <c r="J237" i="3"/>
  <c r="J2148" i="3"/>
  <c r="J1013" i="3"/>
  <c r="J1713" i="3"/>
  <c r="J1981" i="3"/>
  <c r="J2893" i="3"/>
  <c r="J2347" i="3"/>
  <c r="J1483" i="3"/>
  <c r="J3172" i="3"/>
  <c r="J1601" i="3"/>
  <c r="J2212" i="3"/>
  <c r="J2853" i="3"/>
  <c r="J2929" i="3"/>
  <c r="J2755" i="3"/>
  <c r="J1273" i="3"/>
  <c r="J2942" i="3"/>
  <c r="J2612" i="3"/>
  <c r="J2954" i="3"/>
  <c r="J2476" i="3"/>
  <c r="J2965" i="3"/>
  <c r="J3270" i="3"/>
  <c r="J2006" i="3"/>
  <c r="J2177" i="3"/>
  <c r="J2660" i="3"/>
  <c r="J1518" i="3"/>
  <c r="J2120" i="3"/>
  <c r="J3513" i="3"/>
  <c r="J1215" i="3"/>
  <c r="J2483" i="3"/>
  <c r="J1985" i="3"/>
  <c r="J2631" i="3"/>
  <c r="J3561" i="3"/>
  <c r="J2180" i="3"/>
  <c r="J3069" i="3"/>
  <c r="J2655" i="3"/>
  <c r="J3011" i="3"/>
  <c r="J2392" i="3"/>
  <c r="J2730" i="3"/>
  <c r="J2286" i="3"/>
  <c r="J2911" i="3"/>
  <c r="J2688" i="3"/>
  <c r="J2909" i="3"/>
  <c r="J1070" i="3"/>
  <c r="J553" i="3"/>
  <c r="J565" i="3"/>
  <c r="J52" i="3"/>
  <c r="J535" i="3"/>
  <c r="J928" i="3"/>
  <c r="J1047" i="3"/>
  <c r="J606" i="3"/>
  <c r="J527" i="3"/>
  <c r="J1415" i="3"/>
  <c r="J851" i="3"/>
  <c r="J1151" i="3"/>
  <c r="J720" i="3"/>
  <c r="J444" i="3"/>
  <c r="J323" i="3"/>
  <c r="J1103" i="3"/>
  <c r="J623" i="3"/>
  <c r="J65" i="3"/>
  <c r="J989" i="3"/>
  <c r="J228" i="3"/>
  <c r="J240" i="3"/>
  <c r="J540" i="3"/>
  <c r="J229" i="3"/>
  <c r="J892" i="3"/>
  <c r="J1305" i="3"/>
  <c r="J414" i="3"/>
  <c r="J1236" i="3"/>
  <c r="J1049" i="3"/>
  <c r="J1784" i="3"/>
  <c r="J1539" i="3"/>
  <c r="J754" i="3"/>
  <c r="J1586" i="3"/>
  <c r="J190" i="3"/>
  <c r="J2220" i="3"/>
  <c r="J956" i="3"/>
  <c r="J1896" i="3"/>
  <c r="J333" i="3"/>
  <c r="J1584" i="3"/>
  <c r="J514" i="3"/>
  <c r="J1813" i="3"/>
  <c r="J69" i="3"/>
  <c r="J1608" i="3"/>
  <c r="J1004" i="3"/>
  <c r="J1907" i="3"/>
  <c r="J152" i="3"/>
  <c r="J1919" i="3"/>
  <c r="J581" i="3"/>
  <c r="J1892" i="3"/>
  <c r="J1709" i="3"/>
  <c r="J2340" i="3"/>
  <c r="J1471" i="3"/>
  <c r="J1164" i="3"/>
  <c r="J1064" i="3"/>
  <c r="J2364" i="3"/>
  <c r="J784" i="3"/>
  <c r="J898" i="3"/>
  <c r="J1899" i="3"/>
  <c r="J1082" i="3"/>
  <c r="J1100" i="3"/>
  <c r="J2064" i="3"/>
  <c r="J765" i="3"/>
  <c r="J1377" i="3"/>
  <c r="J1774" i="3"/>
  <c r="J283" i="3"/>
  <c r="J2074" i="3"/>
  <c r="J284" i="3"/>
  <c r="J2136" i="3"/>
  <c r="J525" i="3"/>
  <c r="J1143" i="3"/>
  <c r="J102" i="3"/>
  <c r="J2001" i="3"/>
  <c r="J1144" i="3"/>
  <c r="J3181" i="3"/>
  <c r="J2719" i="3"/>
  <c r="J1771" i="3"/>
  <c r="J2421" i="3"/>
  <c r="J1889" i="3"/>
  <c r="J2823" i="3"/>
  <c r="J3381" i="3"/>
  <c r="J3217" i="3"/>
  <c r="J3115" i="3"/>
  <c r="J1576" i="3"/>
  <c r="J2557" i="3"/>
  <c r="J3044" i="3"/>
  <c r="J2258" i="3"/>
  <c r="J2901" i="3"/>
  <c r="J3253" i="3"/>
  <c r="J2398" i="3"/>
  <c r="J1257" i="3"/>
  <c r="J2690" i="3"/>
  <c r="J3128" i="3"/>
  <c r="J1806" i="3"/>
  <c r="J2470" i="3"/>
  <c r="J2189" i="3"/>
  <c r="J1530" i="3"/>
  <c r="J2692" i="3"/>
  <c r="J1303" i="3"/>
  <c r="J2919" i="3"/>
  <c r="J2266" i="3"/>
  <c r="J2508" i="3"/>
  <c r="J3621" i="3"/>
  <c r="J2943" i="3"/>
  <c r="J1849" i="3"/>
  <c r="J2761" i="3"/>
  <c r="J3042" i="3"/>
  <c r="J2481" i="3"/>
  <c r="J3319" i="3"/>
  <c r="J2976" i="3"/>
  <c r="J3197" i="3"/>
  <c r="J1430" i="3"/>
  <c r="J2703" i="3"/>
  <c r="J1897" i="3"/>
  <c r="J3097" i="3"/>
  <c r="J2561" i="3"/>
  <c r="J1404" i="3"/>
  <c r="J2211" i="3"/>
  <c r="J2697" i="3"/>
  <c r="J2833" i="3"/>
  <c r="J2814" i="3"/>
  <c r="J1662" i="3"/>
  <c r="J3400" i="3"/>
  <c r="J1230" i="3"/>
  <c r="J2469" i="3"/>
  <c r="J2412" i="3"/>
  <c r="J1792" i="3"/>
  <c r="J3136" i="3"/>
  <c r="J719" i="3"/>
  <c r="J853" i="3"/>
  <c r="J865" i="3"/>
  <c r="J436" i="3"/>
  <c r="J767" i="3"/>
  <c r="J461" i="3"/>
  <c r="J88" i="3"/>
  <c r="J823" i="3"/>
  <c r="J815" i="3"/>
  <c r="J108" i="3"/>
  <c r="J1139" i="3"/>
  <c r="J1439" i="3"/>
  <c r="J109" i="3"/>
  <c r="J732" i="3"/>
  <c r="J611" i="3"/>
  <c r="J575" i="3"/>
  <c r="J911" i="3"/>
  <c r="J965" i="3"/>
  <c r="J83" i="3"/>
  <c r="J516" i="3"/>
  <c r="J528" i="3"/>
  <c r="J217" i="3"/>
  <c r="J529" i="3"/>
  <c r="J161" i="3"/>
  <c r="J1760" i="3"/>
  <c r="J702" i="3"/>
  <c r="J1251" i="3"/>
  <c r="J138" i="3"/>
  <c r="J1053" i="3"/>
  <c r="J1301" i="3"/>
  <c r="J1042" i="3"/>
  <c r="J1551" i="3"/>
  <c r="J478" i="3"/>
  <c r="J1339" i="3"/>
  <c r="J33" i="3"/>
  <c r="J2232" i="3"/>
  <c r="J621" i="3"/>
  <c r="J1908" i="3"/>
  <c r="J802" i="3"/>
  <c r="J1129" i="3"/>
  <c r="J357" i="3"/>
  <c r="J1932" i="3"/>
  <c r="J81" i="3"/>
  <c r="J2195" i="3"/>
  <c r="J440" i="3"/>
  <c r="J2207" i="3"/>
  <c r="J869" i="3"/>
  <c r="J1264" i="3"/>
  <c r="J172" i="3"/>
  <c r="J286" i="3"/>
  <c r="J1401" i="3"/>
  <c r="J1628" i="3"/>
  <c r="J1839" i="3"/>
  <c r="J141" i="3"/>
  <c r="J1426" i="3"/>
  <c r="J1072" i="3"/>
  <c r="J1186" i="3"/>
  <c r="J883" i="3"/>
  <c r="J1105" i="3"/>
  <c r="J177" i="3"/>
  <c r="J1464" i="3"/>
  <c r="J70" i="3"/>
  <c r="J1946" i="3"/>
  <c r="J2062" i="3"/>
  <c r="J571" i="3"/>
  <c r="J1237" i="3"/>
  <c r="J572" i="3"/>
  <c r="J1208" i="3"/>
  <c r="J813" i="3"/>
  <c r="J1225" i="3"/>
  <c r="J390" i="3"/>
  <c r="J1220" i="3"/>
  <c r="J1340" i="3"/>
  <c r="J2418" i="3"/>
  <c r="J3079" i="3"/>
  <c r="J2192" i="3"/>
  <c r="J2447" i="3"/>
  <c r="J1096" i="3"/>
  <c r="J3111" i="3"/>
  <c r="J2830" i="3"/>
  <c r="J2094" i="3"/>
  <c r="J1963" i="3"/>
  <c r="J1864" i="3"/>
  <c r="J2242" i="3"/>
  <c r="J2130" i="3"/>
  <c r="J2570" i="3"/>
  <c r="J3429" i="3"/>
  <c r="J2493" i="3"/>
  <c r="J2449" i="3"/>
  <c r="J1563" i="3"/>
  <c r="J2978" i="3"/>
  <c r="J2203" i="3"/>
  <c r="J1395" i="3"/>
  <c r="J2383" i="3"/>
  <c r="J3094" i="3"/>
  <c r="J1818" i="3"/>
  <c r="J2980" i="3"/>
  <c r="J1231" i="3"/>
  <c r="J3207" i="3"/>
  <c r="J2903" i="3"/>
  <c r="J2716" i="3"/>
  <c r="J2282" i="3"/>
  <c r="J3231" i="3"/>
  <c r="J2137" i="3"/>
  <c r="J3049" i="3"/>
  <c r="J2887" i="3"/>
  <c r="J2774" i="3"/>
  <c r="J2828" i="3"/>
  <c r="J3264" i="3"/>
  <c r="J2246" i="3"/>
  <c r="J1720" i="3"/>
  <c r="J2991" i="3"/>
  <c r="J1550" i="3"/>
  <c r="J3385" i="3"/>
  <c r="J2217" i="3"/>
  <c r="J1007" i="3"/>
  <c r="J302" i="3"/>
  <c r="J314" i="3"/>
  <c r="J904" i="3"/>
  <c r="J1343" i="3"/>
  <c r="J558" i="3"/>
  <c r="J520" i="3"/>
  <c r="J1091" i="3"/>
  <c r="J96" i="3"/>
  <c r="J396" i="3"/>
  <c r="J1427" i="3"/>
  <c r="J132" i="3"/>
  <c r="J409" i="3"/>
  <c r="J121" i="3"/>
  <c r="J899" i="3"/>
  <c r="J47" i="3"/>
  <c r="J1199" i="3"/>
  <c r="J443" i="3"/>
  <c r="J371" i="3"/>
  <c r="J804" i="3"/>
  <c r="J205" i="3"/>
  <c r="J517" i="3"/>
  <c r="J829" i="3"/>
  <c r="J449" i="3"/>
  <c r="J1397" i="3"/>
  <c r="J990" i="3"/>
  <c r="J1558" i="3"/>
  <c r="J426" i="3"/>
  <c r="J1422" i="3"/>
  <c r="J1648" i="3"/>
  <c r="J1330" i="3"/>
  <c r="J1442" i="3"/>
  <c r="J766" i="3"/>
  <c r="J1753" i="3"/>
  <c r="J321" i="3"/>
  <c r="J1765" i="3"/>
  <c r="J214" i="3"/>
  <c r="J2244" i="3"/>
  <c r="J1090" i="3"/>
  <c r="J1670" i="3"/>
  <c r="J645" i="3"/>
  <c r="J2280" i="3"/>
  <c r="J369" i="3"/>
  <c r="J1620" i="3"/>
  <c r="J728" i="3"/>
  <c r="J1350" i="3"/>
  <c r="J1157" i="3"/>
  <c r="J1569" i="3"/>
  <c r="J460" i="3"/>
  <c r="J574" i="3"/>
  <c r="J1477" i="3"/>
  <c r="J1916" i="3"/>
  <c r="J888" i="3"/>
  <c r="J429" i="3"/>
  <c r="J972" i="3"/>
  <c r="J53" i="3"/>
  <c r="J1359" i="3"/>
  <c r="J2009" i="3"/>
  <c r="J1738" i="3"/>
  <c r="J465" i="3"/>
  <c r="J1561" i="3"/>
  <c r="J358" i="3"/>
  <c r="J1300" i="3"/>
  <c r="J1106" i="3"/>
  <c r="J859" i="3"/>
  <c r="J1124" i="3"/>
  <c r="J860" i="3"/>
  <c r="J1633" i="3"/>
  <c r="J118" i="3"/>
  <c r="J1645" i="3"/>
  <c r="J678" i="3"/>
  <c r="J1534" i="3"/>
  <c r="J1634" i="3"/>
  <c r="J2606" i="3"/>
  <c r="J3451" i="3"/>
  <c r="J2808" i="3"/>
  <c r="J2741" i="3"/>
  <c r="J1734" i="3"/>
  <c r="J3399" i="3"/>
  <c r="J1564" i="3"/>
  <c r="J2342" i="3"/>
  <c r="J2537" i="3"/>
  <c r="J2152" i="3"/>
  <c r="J2847" i="3"/>
  <c r="J2889" i="3"/>
  <c r="J2859" i="3"/>
  <c r="J2564" i="3"/>
  <c r="J2381" i="3"/>
  <c r="J2791" i="3"/>
  <c r="J1851" i="3"/>
  <c r="J2287" i="3"/>
  <c r="J2501" i="3"/>
  <c r="J1262" i="3"/>
  <c r="J2680" i="3"/>
  <c r="J2675" i="3"/>
  <c r="J1020" i="3"/>
  <c r="J3268" i="3"/>
  <c r="J1542" i="3"/>
  <c r="J2408" i="3"/>
  <c r="J1554" i="3"/>
  <c r="J3004" i="3"/>
  <c r="J2174" i="3"/>
  <c r="J2433" i="3"/>
  <c r="J1178" i="3"/>
  <c r="J3337" i="3"/>
  <c r="J3307" i="3"/>
  <c r="J3062" i="3"/>
  <c r="J3224" i="3"/>
  <c r="J1987" i="3"/>
  <c r="J2585" i="3"/>
  <c r="J2008" i="3"/>
  <c r="J3279" i="3"/>
  <c r="J1838" i="3"/>
  <c r="J2194" i="3"/>
  <c r="J1295" i="3"/>
  <c r="J626" i="3"/>
  <c r="J638" i="3"/>
  <c r="J389" i="3"/>
  <c r="J203" i="3"/>
  <c r="J559" i="3"/>
  <c r="J940" i="3"/>
  <c r="J648" i="3"/>
  <c r="J384" i="3"/>
  <c r="J684" i="3"/>
  <c r="J120" i="3"/>
  <c r="J420" i="3"/>
  <c r="J709" i="3"/>
  <c r="J421" i="3"/>
  <c r="J1187" i="3"/>
  <c r="J468" i="3"/>
  <c r="J180" i="3"/>
  <c r="J71" i="3"/>
  <c r="J659" i="3"/>
  <c r="J193" i="3"/>
  <c r="J505" i="3"/>
  <c r="J817" i="3"/>
  <c r="J254" i="3"/>
  <c r="J737" i="3"/>
  <c r="J1435" i="3"/>
  <c r="J55" i="3"/>
  <c r="J1846" i="3"/>
  <c r="J714" i="3"/>
  <c r="J1120" i="3"/>
  <c r="J197" i="3"/>
  <c r="J1346" i="3"/>
  <c r="J1660" i="3"/>
  <c r="J1054" i="3"/>
  <c r="J931" i="3"/>
  <c r="J609" i="3"/>
  <c r="J1008" i="3"/>
  <c r="J502" i="3"/>
  <c r="J1364" i="3"/>
  <c r="J1396" i="3"/>
  <c r="J1647" i="3"/>
  <c r="J238" i="3"/>
  <c r="J1325" i="3"/>
  <c r="J657" i="3"/>
  <c r="J1944" i="3"/>
  <c r="J1016" i="3"/>
  <c r="J1297" i="3"/>
  <c r="J246" i="3"/>
  <c r="J1857" i="3"/>
  <c r="J748" i="3"/>
  <c r="J862" i="3"/>
  <c r="J1885" i="3"/>
  <c r="J1293" i="3"/>
  <c r="J1745" i="3"/>
  <c r="J717" i="3"/>
  <c r="J1525" i="3"/>
  <c r="J341" i="3"/>
  <c r="J1652" i="3"/>
  <c r="J882" i="3"/>
  <c r="J2026" i="3"/>
  <c r="J753" i="3"/>
  <c r="J2005" i="3"/>
  <c r="J646" i="3"/>
  <c r="J979" i="3"/>
  <c r="J1739" i="3"/>
  <c r="J272" i="3"/>
  <c r="J1462" i="3"/>
  <c r="J225" i="3"/>
  <c r="J2077" i="3"/>
  <c r="J406" i="3"/>
  <c r="J2101" i="3"/>
  <c r="J966" i="3"/>
  <c r="J1822" i="3"/>
  <c r="J1922" i="3"/>
  <c r="J2894" i="3"/>
  <c r="J2462" i="3"/>
  <c r="J3096" i="3"/>
  <c r="J3029" i="3"/>
  <c r="J2022" i="3"/>
  <c r="J2395" i="3"/>
  <c r="J1852" i="3"/>
  <c r="J2642" i="3"/>
  <c r="J2600" i="3"/>
  <c r="J276" i="3"/>
  <c r="J291" i="3"/>
  <c r="J303" i="3"/>
  <c r="J318" i="3"/>
  <c r="J491" i="3"/>
  <c r="J431" i="3"/>
  <c r="J533" i="3"/>
  <c r="J84" i="3"/>
  <c r="J672" i="3"/>
  <c r="J73" i="3"/>
  <c r="J408" i="3"/>
  <c r="J708" i="3"/>
  <c r="J1009" i="3"/>
  <c r="J721" i="3"/>
  <c r="J1475" i="3"/>
  <c r="J756" i="3"/>
  <c r="J59" i="3"/>
  <c r="J359" i="3"/>
  <c r="J947" i="3"/>
  <c r="J493" i="3"/>
  <c r="J805" i="3"/>
  <c r="J242" i="3"/>
  <c r="J602" i="3"/>
  <c r="J1025" i="3"/>
  <c r="J1725" i="3"/>
  <c r="J343" i="3"/>
  <c r="J2134" i="3"/>
  <c r="J1002" i="3"/>
  <c r="J1460" i="3"/>
  <c r="J485" i="3"/>
  <c r="J1185" i="3"/>
  <c r="J1046" i="3"/>
  <c r="J1202" i="3"/>
  <c r="J1598" i="3"/>
  <c r="J202" i="3"/>
  <c r="J1646" i="3"/>
  <c r="J790" i="3"/>
  <c r="J1789" i="3"/>
  <c r="J1249" i="3"/>
  <c r="J1888" i="3"/>
  <c r="J526" i="3"/>
  <c r="J1414" i="3"/>
  <c r="J250" i="3"/>
  <c r="J2304" i="3"/>
  <c r="J93" i="3"/>
  <c r="J1632" i="3"/>
  <c r="J534" i="3"/>
  <c r="J914" i="3"/>
  <c r="J1036" i="3"/>
  <c r="J1150" i="3"/>
  <c r="J1226" i="3"/>
  <c r="J1593" i="3"/>
  <c r="J196" i="3"/>
  <c r="J22" i="3"/>
  <c r="J1933" i="3"/>
  <c r="J629" i="3"/>
  <c r="J1940" i="3"/>
  <c r="J235" i="3"/>
  <c r="J1032" i="3"/>
  <c r="J58" i="3"/>
  <c r="J1365" i="3"/>
  <c r="J934" i="3"/>
  <c r="J1287" i="3"/>
  <c r="J2027" i="3"/>
  <c r="J560" i="3"/>
  <c r="J1751" i="3"/>
  <c r="J513" i="3"/>
  <c r="J1440" i="3"/>
  <c r="J694" i="3"/>
  <c r="J1478" i="3"/>
  <c r="J31" i="3"/>
  <c r="J2110" i="3"/>
  <c r="J1147" i="3"/>
  <c r="J2507" i="3"/>
  <c r="J2960" i="3"/>
  <c r="J3384" i="3"/>
  <c r="J3317" i="3"/>
  <c r="J1168" i="3"/>
  <c r="J2303" i="3"/>
  <c r="J2140" i="3"/>
  <c r="J564" i="3"/>
  <c r="J627" i="3"/>
  <c r="J663" i="3"/>
  <c r="J487" i="3"/>
  <c r="J779" i="3"/>
  <c r="J1055" i="3"/>
  <c r="J594" i="3"/>
  <c r="J372" i="3"/>
  <c r="J61" i="3"/>
  <c r="J373" i="3"/>
  <c r="J696" i="3"/>
  <c r="J97" i="3"/>
  <c r="J122" i="3"/>
  <c r="J1021" i="3"/>
  <c r="J168" i="3"/>
  <c r="J145" i="3"/>
  <c r="J347" i="3"/>
  <c r="J647" i="3"/>
  <c r="J1235" i="3"/>
  <c r="J793" i="3"/>
  <c r="J230" i="3"/>
  <c r="J590" i="3"/>
  <c r="J267" i="3"/>
  <c r="J114" i="3"/>
  <c r="J2013" i="3"/>
  <c r="J631" i="3"/>
  <c r="J1309" i="3"/>
  <c r="J67" i="3"/>
  <c r="J1749" i="3"/>
  <c r="J773" i="3"/>
  <c r="J1508" i="3"/>
  <c r="J209" i="3"/>
  <c r="J1520" i="3"/>
  <c r="J1599" i="3"/>
  <c r="J490" i="3"/>
  <c r="J1611" i="3"/>
  <c r="J1078" i="3"/>
  <c r="J1089" i="3"/>
  <c r="J1556" i="3"/>
  <c r="J124" i="3"/>
  <c r="J814" i="3"/>
  <c r="J1825" i="3"/>
  <c r="J538" i="3"/>
  <c r="J1837" i="3"/>
  <c r="J381" i="3"/>
  <c r="J1956" i="3"/>
  <c r="J822" i="3"/>
  <c r="J1373" i="3"/>
  <c r="J1320" i="3"/>
  <c r="J1778" i="3"/>
  <c r="J1881" i="3"/>
  <c r="J484" i="3"/>
  <c r="J310" i="3"/>
  <c r="J1312" i="3"/>
  <c r="J917" i="3"/>
  <c r="J1321" i="3"/>
  <c r="J523" i="3"/>
  <c r="J1412" i="3"/>
  <c r="J346" i="3"/>
  <c r="J1934" i="3"/>
  <c r="J1222" i="3"/>
  <c r="J201" i="3"/>
  <c r="J1034" i="3"/>
  <c r="J848" i="3"/>
  <c r="J2039" i="3"/>
  <c r="J801" i="3"/>
  <c r="J1994" i="3"/>
  <c r="J982" i="3"/>
  <c r="J2042" i="3"/>
  <c r="J319" i="3"/>
  <c r="J1173" i="3"/>
  <c r="J1479" i="3"/>
  <c r="J2179" i="3"/>
  <c r="J2019" i="3"/>
  <c r="J2224" i="3"/>
  <c r="J2231" i="3"/>
  <c r="J1495" i="3"/>
  <c r="J2608" i="3"/>
  <c r="J1329" i="3"/>
  <c r="J2227" i="3"/>
  <c r="J2107" i="3"/>
  <c r="J1758" i="3"/>
  <c r="J2420" i="3"/>
  <c r="J2878" i="3"/>
  <c r="J2344" i="3"/>
  <c r="J1368" i="3"/>
  <c r="J2272" i="3"/>
  <c r="J2218" i="3"/>
  <c r="J1900" i="3"/>
  <c r="J2883" i="3"/>
  <c r="J2153" i="3"/>
  <c r="J2298" i="3"/>
  <c r="J2509" i="3"/>
  <c r="J2112" i="3"/>
  <c r="J1867" i="3"/>
  <c r="J3125" i="3"/>
  <c r="J241" i="3"/>
  <c r="J987" i="3"/>
  <c r="J999" i="3"/>
  <c r="J1043" i="3"/>
  <c r="J1067" i="3"/>
  <c r="J215" i="3"/>
  <c r="J775" i="3"/>
  <c r="J660" i="3"/>
  <c r="J361" i="3"/>
  <c r="J673" i="3"/>
  <c r="J85" i="3"/>
  <c r="J397" i="3"/>
  <c r="J446" i="3"/>
  <c r="J134" i="3"/>
  <c r="J456" i="3"/>
  <c r="J445" i="3"/>
  <c r="J635" i="3"/>
  <c r="J935" i="3"/>
  <c r="J216" i="3"/>
  <c r="J218" i="3"/>
  <c r="J554" i="3"/>
  <c r="J243" i="3"/>
  <c r="J603" i="3"/>
  <c r="J402" i="3"/>
  <c r="J1546" i="3"/>
  <c r="J44" i="3"/>
  <c r="J1206" i="3"/>
  <c r="J355" i="3"/>
  <c r="J2037" i="3"/>
  <c r="J1061" i="3"/>
  <c r="J1796" i="3"/>
  <c r="J497" i="3"/>
  <c r="J1808" i="3"/>
  <c r="J1467" i="3"/>
  <c r="J778" i="3"/>
  <c r="J1696" i="3"/>
  <c r="J1233" i="3"/>
  <c r="J1658" i="3"/>
  <c r="J1844" i="3"/>
  <c r="J412" i="3"/>
  <c r="J1102" i="3"/>
  <c r="J1694" i="3"/>
  <c r="J826" i="3"/>
  <c r="J1161" i="3"/>
  <c r="J669" i="3"/>
  <c r="J2316" i="3"/>
  <c r="J1110" i="3"/>
  <c r="J962" i="3"/>
  <c r="J305" i="3"/>
  <c r="J1616" i="3"/>
  <c r="J1378" i="3"/>
  <c r="J996" i="3"/>
  <c r="J772" i="3"/>
  <c r="J598" i="3"/>
  <c r="J1285" i="3"/>
  <c r="J1205" i="3"/>
  <c r="J1617" i="3"/>
  <c r="J811" i="3"/>
  <c r="J1703" i="3"/>
  <c r="J634" i="3"/>
  <c r="J1935" i="3"/>
  <c r="J991" i="3"/>
  <c r="J489" i="3"/>
  <c r="J1752" i="3"/>
  <c r="J213" i="3"/>
  <c r="J1142" i="3"/>
  <c r="J106" i="3"/>
  <c r="J1468" i="3"/>
  <c r="J1270" i="3"/>
  <c r="J1429" i="3"/>
  <c r="J607" i="3"/>
  <c r="J1499" i="3"/>
  <c r="J1767" i="3"/>
  <c r="J2799" i="3"/>
  <c r="J2538" i="3"/>
  <c r="J2542" i="3"/>
  <c r="J2898" i="3"/>
  <c r="J1783" i="3"/>
  <c r="J2896" i="3"/>
  <c r="J1316" i="3"/>
  <c r="J2545" i="3"/>
  <c r="J2588" i="3"/>
  <c r="J2046" i="3"/>
  <c r="J2632" i="3"/>
  <c r="J541" i="3"/>
  <c r="J40" i="3"/>
  <c r="J36" i="3"/>
  <c r="J1355" i="3"/>
  <c r="J503" i="3"/>
  <c r="J191" i="3"/>
  <c r="J49" i="3"/>
  <c r="J661" i="3"/>
  <c r="J973" i="3"/>
  <c r="J385" i="3"/>
  <c r="J697" i="3"/>
  <c r="J782" i="3"/>
  <c r="J458" i="3"/>
  <c r="J744" i="3"/>
  <c r="J745" i="3"/>
  <c r="J923" i="3"/>
  <c r="J1223" i="3"/>
  <c r="J504" i="3"/>
  <c r="J542" i="3"/>
  <c r="J231" i="3"/>
  <c r="J591" i="3"/>
  <c r="J963" i="3"/>
  <c r="J690" i="3"/>
  <c r="J1834" i="3"/>
  <c r="J332" i="3"/>
  <c r="J1523" i="3"/>
  <c r="J643" i="3"/>
  <c r="J1266" i="3"/>
  <c r="J150" i="3"/>
  <c r="J1761" i="3"/>
  <c r="J785" i="3"/>
  <c r="J1101" i="3"/>
  <c r="J1672" i="3"/>
  <c r="J1066" i="3"/>
  <c r="J1116" i="3"/>
  <c r="J1544" i="3"/>
  <c r="J1623" i="3"/>
  <c r="J1203" i="3"/>
  <c r="J700" i="3"/>
  <c r="J1022" i="3"/>
  <c r="J1719" i="3"/>
  <c r="J1114" i="3"/>
  <c r="J1706" i="3"/>
  <c r="J262" i="3"/>
  <c r="J1351" i="3"/>
  <c r="J175" i="3"/>
  <c r="J1386" i="3"/>
  <c r="J593" i="3"/>
  <c r="J1904" i="3"/>
  <c r="J1093" i="3"/>
  <c r="J1398" i="3"/>
  <c r="J1060" i="3"/>
  <c r="J886" i="3"/>
  <c r="J1814" i="3"/>
  <c r="J1905" i="3"/>
  <c r="J224" i="3"/>
  <c r="J1991" i="3"/>
  <c r="J922" i="3"/>
  <c r="J89" i="3"/>
  <c r="J1688" i="3"/>
  <c r="J777" i="3"/>
  <c r="J2100" i="3"/>
  <c r="J501" i="3"/>
  <c r="J1438" i="3"/>
  <c r="J394" i="3"/>
  <c r="J1290" i="3"/>
  <c r="J1736" i="3"/>
  <c r="J1380" i="3"/>
  <c r="J1787" i="3"/>
  <c r="J1213" i="3"/>
  <c r="J3087" i="3"/>
  <c r="J2829" i="3"/>
  <c r="J2313" i="3"/>
  <c r="J3210" i="3"/>
  <c r="J2209" i="3"/>
  <c r="J841" i="3"/>
  <c r="J400" i="3"/>
  <c r="J424" i="3"/>
  <c r="J324" i="3"/>
  <c r="J48" i="3"/>
  <c r="J791" i="3"/>
  <c r="J360" i="3"/>
  <c r="J349" i="3"/>
  <c r="J961" i="3"/>
  <c r="J86" i="3"/>
  <c r="J685" i="3"/>
  <c r="J997" i="3"/>
  <c r="J123" i="3"/>
  <c r="J794" i="3"/>
  <c r="J133" i="3"/>
  <c r="J1045" i="3"/>
  <c r="J1211" i="3"/>
  <c r="J204" i="3"/>
  <c r="J792" i="3"/>
  <c r="J890" i="3"/>
  <c r="J579" i="3"/>
  <c r="J951" i="3"/>
  <c r="J376" i="3"/>
  <c r="J978" i="3"/>
  <c r="J2122" i="3"/>
  <c r="J620" i="3"/>
  <c r="J1811" i="3"/>
  <c r="J56" i="3"/>
  <c r="J1570" i="3"/>
  <c r="J438" i="3"/>
  <c r="J2049" i="3"/>
  <c r="J1073" i="3"/>
  <c r="J1447" i="3"/>
  <c r="J664" i="3"/>
  <c r="J1371" i="3"/>
  <c r="J233" i="3"/>
  <c r="J1832" i="3"/>
  <c r="J1876" i="3"/>
  <c r="J1521" i="3"/>
  <c r="J988" i="3"/>
  <c r="J1263" i="3"/>
  <c r="J1936" i="3"/>
  <c r="J1051" i="3"/>
  <c r="J1327" i="3"/>
  <c r="J550" i="3"/>
  <c r="J1861" i="3"/>
  <c r="J463" i="3"/>
  <c r="J1678" i="3"/>
  <c r="J881" i="3"/>
  <c r="J1279" i="3"/>
  <c r="J1827" i="3"/>
  <c r="J1411" i="3"/>
  <c r="J41" i="3"/>
  <c r="J1174" i="3"/>
  <c r="J1466" i="3"/>
  <c r="J294" i="3"/>
  <c r="J1423" i="3"/>
  <c r="J512" i="3"/>
  <c r="J1425" i="3"/>
  <c r="J1210" i="3"/>
  <c r="J377" i="3"/>
  <c r="J1976" i="3"/>
  <c r="J82" i="3"/>
  <c r="J1087" i="3"/>
  <c r="J789" i="3"/>
  <c r="J1764" i="3"/>
  <c r="J682" i="3"/>
  <c r="J425" i="3"/>
  <c r="J909" i="3"/>
  <c r="J1590" i="3"/>
  <c r="J308" i="3"/>
  <c r="J2075" i="3"/>
  <c r="J1528" i="3"/>
  <c r="J3375" i="3"/>
  <c r="J3357" i="3"/>
  <c r="J2617" i="3"/>
  <c r="J2731" i="3"/>
  <c r="J2529" i="3"/>
  <c r="J2753" i="3"/>
  <c r="J266" i="3"/>
  <c r="J856" i="3"/>
  <c r="J868" i="3"/>
  <c r="J612" i="3"/>
  <c r="J336" i="3"/>
  <c r="J1079" i="3"/>
  <c r="J37" i="3"/>
  <c r="J649" i="3"/>
  <c r="J74" i="3"/>
  <c r="J410" i="3"/>
  <c r="J985" i="3"/>
  <c r="J110" i="3"/>
  <c r="J459" i="3"/>
  <c r="J135" i="3"/>
  <c r="J433" i="3"/>
  <c r="J158" i="3"/>
  <c r="J192" i="3"/>
  <c r="J492" i="3"/>
  <c r="J181" i="3"/>
  <c r="J219" i="3"/>
  <c r="J915" i="3"/>
  <c r="J364" i="3"/>
  <c r="J820" i="3"/>
  <c r="J43" i="3"/>
  <c r="J1190" i="3"/>
  <c r="J908" i="3"/>
  <c r="J2099" i="3"/>
  <c r="J344" i="3"/>
  <c r="J1858" i="3"/>
  <c r="J726" i="3"/>
  <c r="J1280" i="3"/>
  <c r="J162" i="3"/>
  <c r="J1155" i="3"/>
  <c r="J952" i="3"/>
  <c r="J1218" i="3"/>
  <c r="J521" i="3"/>
  <c r="J1137" i="3"/>
  <c r="J198" i="3"/>
  <c r="J1809" i="3"/>
  <c r="J257" i="3"/>
  <c r="J1568" i="3"/>
  <c r="J1431" i="3"/>
  <c r="J1421" i="3"/>
  <c r="J1731" i="3"/>
  <c r="J838" i="3"/>
  <c r="J1194" i="3"/>
  <c r="J751" i="3"/>
  <c r="J1966" i="3"/>
  <c r="J1169" i="3"/>
  <c r="J1581" i="3"/>
  <c r="J2164" i="3"/>
  <c r="J1702" i="3"/>
  <c r="J329" i="3"/>
  <c r="J1640" i="3"/>
  <c r="J1179" i="3"/>
  <c r="J582" i="3"/>
  <c r="J1436" i="3"/>
  <c r="J800" i="3"/>
  <c r="J840" i="3"/>
  <c r="J955" i="3"/>
  <c r="J665" i="3"/>
  <c r="J1360" i="3"/>
  <c r="J370" i="3"/>
  <c r="J1585" i="3"/>
  <c r="J94" i="3"/>
  <c r="J2124" i="3"/>
  <c r="J970" i="3"/>
  <c r="J713" i="3"/>
  <c r="J1372" i="3"/>
  <c r="J278" i="3"/>
  <c r="J596" i="3"/>
  <c r="J1125" i="3"/>
  <c r="J1816" i="3"/>
  <c r="J2370" i="3"/>
  <c r="J2782" i="3"/>
  <c r="J2905" i="3"/>
  <c r="J3091" i="3"/>
  <c r="J2820" i="3"/>
  <c r="J3041" i="3"/>
  <c r="J1117" i="3"/>
  <c r="J2317" i="3"/>
  <c r="J3405" i="3"/>
  <c r="J1519" i="3"/>
  <c r="J2102" i="3"/>
  <c r="J614" i="3"/>
  <c r="J353" i="3"/>
  <c r="J365" i="3"/>
  <c r="J289" i="3"/>
  <c r="J624" i="3"/>
  <c r="J1367" i="3"/>
  <c r="J337" i="3"/>
  <c r="J949" i="3"/>
  <c r="J398" i="3"/>
  <c r="J734" i="3"/>
  <c r="J98" i="3"/>
  <c r="J434" i="3"/>
  <c r="J807" i="3"/>
  <c r="J471" i="3"/>
  <c r="J733" i="3"/>
  <c r="J494" i="3"/>
  <c r="J480" i="3"/>
  <c r="J780" i="3"/>
  <c r="J481" i="3"/>
  <c r="J567" i="3"/>
  <c r="J352" i="3"/>
  <c r="J808" i="3"/>
  <c r="J245" i="3"/>
  <c r="J331" i="3"/>
  <c r="J1511" i="3"/>
  <c r="J273" i="3"/>
  <c r="J1159" i="3"/>
  <c r="J632" i="3"/>
  <c r="J2146" i="3"/>
  <c r="J1014" i="3"/>
  <c r="J1582" i="3"/>
  <c r="J450" i="3"/>
  <c r="J1485" i="3"/>
  <c r="J221" i="3"/>
  <c r="J1532" i="3"/>
  <c r="J809" i="3"/>
  <c r="J1472" i="3"/>
  <c r="J486" i="3"/>
  <c r="J2097" i="3"/>
  <c r="J545" i="3"/>
  <c r="J1856" i="3"/>
  <c r="J269" i="3"/>
  <c r="J1278" i="3"/>
  <c r="J1948" i="3"/>
  <c r="J1126" i="3"/>
  <c r="J1754" i="3"/>
  <c r="J164" i="3"/>
  <c r="J1083" i="3"/>
  <c r="J258" i="3"/>
  <c r="J1869" i="3"/>
  <c r="J1721" i="3"/>
  <c r="J1990" i="3"/>
  <c r="J617" i="3"/>
  <c r="J1928" i="3"/>
  <c r="J1887" i="3"/>
  <c r="J870" i="3"/>
  <c r="J1726" i="3"/>
  <c r="J1088" i="3"/>
  <c r="J1716" i="3"/>
  <c r="J1384" i="3"/>
  <c r="J953" i="3"/>
  <c r="J1653" i="3"/>
  <c r="J658" i="3"/>
  <c r="J2041" i="3"/>
  <c r="J382" i="3"/>
  <c r="J1177" i="3"/>
  <c r="J1258" i="3"/>
  <c r="J1001" i="3"/>
  <c r="J1410" i="3"/>
  <c r="J566" i="3"/>
  <c r="J884" i="3"/>
  <c r="J1476" i="3"/>
  <c r="J2104" i="3"/>
  <c r="J2274" i="3"/>
  <c r="J1228" i="3"/>
  <c r="J3193" i="3"/>
  <c r="J3463" i="3"/>
  <c r="J3108" i="3"/>
  <c r="J3329" i="3"/>
  <c r="J1457" i="3"/>
  <c r="J2620" i="3"/>
  <c r="J2866" i="3"/>
  <c r="J1807" i="3"/>
  <c r="J2459" i="3"/>
  <c r="J2058" i="3"/>
  <c r="J2789" i="3"/>
  <c r="J1167" i="3"/>
  <c r="J2656" i="3"/>
  <c r="J2132" i="3"/>
  <c r="J1794" i="3"/>
  <c r="J2199" i="3"/>
  <c r="J2018" i="3"/>
  <c r="J2326" i="3"/>
  <c r="J2346" i="3"/>
  <c r="J2089" i="3"/>
  <c r="J3480" i="3"/>
  <c r="J2827" i="3"/>
  <c r="J3204" i="3"/>
  <c r="J2145" i="3"/>
  <c r="J3504" i="3"/>
  <c r="J2535" i="3"/>
  <c r="J2652" i="3"/>
  <c r="J3161" i="3"/>
  <c r="J1095" i="3"/>
  <c r="J2955" i="3"/>
  <c r="J3191" i="3"/>
  <c r="J3040" i="3"/>
  <c r="J1947" i="3"/>
  <c r="J3074" i="3"/>
  <c r="J2840" i="3"/>
  <c r="J902" i="3"/>
  <c r="J2778" i="3"/>
  <c r="J1166" i="3"/>
  <c r="J2583" i="3"/>
  <c r="J279" i="3"/>
  <c r="J1277" i="3"/>
  <c r="J306" i="3"/>
  <c r="J589" i="3"/>
  <c r="J60" i="3"/>
  <c r="J637" i="3"/>
  <c r="J62" i="3"/>
  <c r="J722" i="3"/>
  <c r="J87" i="3"/>
  <c r="J422" i="3"/>
  <c r="J770" i="3"/>
  <c r="J232" i="3"/>
  <c r="J819" i="3"/>
  <c r="J1033" i="3"/>
  <c r="J818" i="3"/>
  <c r="J768" i="3"/>
  <c r="J169" i="3"/>
  <c r="J781" i="3"/>
  <c r="J903" i="3"/>
  <c r="J796" i="3"/>
  <c r="J173" i="3"/>
  <c r="J1229" i="3"/>
  <c r="J619" i="3"/>
  <c r="J1799" i="3"/>
  <c r="J561" i="3"/>
  <c r="J1500" i="3"/>
  <c r="J920" i="3"/>
  <c r="J1221" i="3"/>
  <c r="J79" i="3"/>
  <c r="J1870" i="3"/>
  <c r="J738" i="3"/>
  <c r="J1773" i="3"/>
  <c r="J509" i="3"/>
  <c r="J1820" i="3"/>
  <c r="J1097" i="3"/>
  <c r="J1188" i="3"/>
  <c r="J774" i="3"/>
  <c r="J1630" i="3"/>
  <c r="J833" i="3"/>
  <c r="J1219" i="3"/>
  <c r="J557" i="3"/>
  <c r="J1580" i="3"/>
  <c r="J1456" i="3"/>
  <c r="J1077" i="3"/>
  <c r="J1779" i="3"/>
  <c r="J452" i="3"/>
  <c r="J1643" i="3"/>
  <c r="J546" i="3"/>
  <c r="J960" i="3"/>
  <c r="J188" i="3"/>
  <c r="J1123" i="3"/>
  <c r="J905" i="3"/>
  <c r="J1605" i="3"/>
  <c r="J1997" i="3"/>
  <c r="J223" i="3"/>
  <c r="J2014" i="3"/>
  <c r="J165" i="3"/>
  <c r="J2052" i="3"/>
  <c r="J1676" i="3"/>
  <c r="J1241" i="3"/>
  <c r="J1941" i="3"/>
  <c r="J946" i="3"/>
  <c r="J1958" i="3"/>
  <c r="J670" i="3"/>
  <c r="J1597" i="3"/>
  <c r="J1080" i="3"/>
  <c r="J1289" i="3"/>
  <c r="J1701" i="3"/>
  <c r="J854" i="3"/>
  <c r="J249" i="3"/>
  <c r="J1812" i="3"/>
  <c r="J1274" i="3"/>
  <c r="J2872" i="3"/>
  <c r="J1540" i="3"/>
  <c r="J2035" i="3"/>
  <c r="J2512" i="3"/>
  <c r="J3396" i="3"/>
  <c r="J2397" i="3"/>
  <c r="J1746" i="3"/>
  <c r="J2908" i="3"/>
  <c r="J1108" i="3"/>
  <c r="J2554" i="3"/>
  <c r="J2144" i="3"/>
  <c r="J1216" i="3"/>
  <c r="J3077" i="3"/>
  <c r="J1494" i="3"/>
  <c r="J2944" i="3"/>
  <c r="J2998" i="3"/>
  <c r="J950" i="3"/>
  <c r="J2522" i="3"/>
  <c r="J1272" i="3"/>
  <c r="J2405" i="3"/>
  <c r="J2670" i="3"/>
  <c r="J1453" i="3"/>
  <c r="J2713" i="3"/>
  <c r="J3211" i="3"/>
  <c r="J3492" i="3"/>
  <c r="J2510" i="3"/>
  <c r="J2367" i="3"/>
  <c r="J2385" i="3"/>
  <c r="J2940" i="3"/>
  <c r="J2718" i="3"/>
  <c r="J1733" i="3"/>
  <c r="J3243" i="3"/>
  <c r="J1135" i="3"/>
  <c r="J3328" i="3"/>
  <c r="J1044" i="3"/>
  <c r="J615" i="3"/>
  <c r="J270" i="3"/>
  <c r="J271" i="3"/>
  <c r="J901" i="3"/>
  <c r="J301" i="3"/>
  <c r="J348" i="3"/>
  <c r="J937" i="3"/>
  <c r="J386" i="3"/>
  <c r="J51" i="3"/>
  <c r="J423" i="3"/>
  <c r="J746" i="3"/>
  <c r="J111" i="3"/>
  <c r="J628" i="3"/>
  <c r="J244" i="3"/>
  <c r="J146" i="3"/>
  <c r="J159" i="3"/>
  <c r="J157" i="3"/>
  <c r="J469" i="3"/>
  <c r="J1081" i="3"/>
  <c r="J340" i="3"/>
  <c r="J137" i="3"/>
  <c r="J1217" i="3"/>
  <c r="J30" i="3"/>
  <c r="J32" i="3"/>
  <c r="J2087" i="3"/>
  <c r="J849" i="3"/>
  <c r="J1848" i="3"/>
  <c r="J1535" i="3"/>
  <c r="J367" i="3"/>
  <c r="J2158" i="3"/>
  <c r="J1026" i="3"/>
  <c r="J2061" i="3"/>
  <c r="J797" i="3"/>
  <c r="J1171" i="3"/>
  <c r="J186" i="3"/>
  <c r="J1509" i="3"/>
  <c r="J1062" i="3"/>
  <c r="J1918" i="3"/>
  <c r="J1121" i="3"/>
  <c r="J1533" i="3"/>
  <c r="J845" i="3"/>
  <c r="J1868" i="3"/>
  <c r="J1292" i="3"/>
  <c r="J1960" i="3"/>
  <c r="J740" i="3"/>
  <c r="J1931" i="3"/>
  <c r="J834" i="3"/>
  <c r="J1690" i="3"/>
  <c r="J476" i="3"/>
  <c r="J919" i="3"/>
  <c r="J1193" i="3"/>
  <c r="J1893" i="3"/>
  <c r="J25" i="3"/>
  <c r="J511" i="3"/>
  <c r="J1691" i="3"/>
  <c r="J453" i="3"/>
  <c r="J1003" i="3"/>
  <c r="J1964" i="3"/>
  <c r="J42" i="3"/>
  <c r="J1762" i="3"/>
  <c r="J1234" i="3"/>
  <c r="J1314" i="3"/>
  <c r="J958" i="3"/>
  <c r="J2053" i="3"/>
  <c r="J1434" i="3"/>
  <c r="J90" i="3"/>
  <c r="J1989" i="3"/>
  <c r="J63" i="3"/>
  <c r="J537" i="3"/>
  <c r="J2160" i="3"/>
  <c r="J1577" i="3"/>
  <c r="J3160" i="3"/>
  <c r="J1828" i="3"/>
  <c r="J2314" i="3"/>
  <c r="J2575" i="3"/>
  <c r="J2239" i="3"/>
  <c r="J2598" i="3"/>
  <c r="J2034" i="3"/>
  <c r="J3196" i="3"/>
  <c r="J1452" i="3"/>
  <c r="J2844" i="3"/>
  <c r="J2777" i="3"/>
  <c r="J1531" i="3"/>
  <c r="J1951" i="3"/>
  <c r="J1782" i="3"/>
  <c r="J3232" i="3"/>
  <c r="J2428" i="3"/>
  <c r="J1248" i="3"/>
  <c r="J2813" i="3"/>
  <c r="J1575" i="3"/>
  <c r="J2701" i="3"/>
  <c r="J2982" i="3"/>
  <c r="J1742" i="3"/>
  <c r="J3001" i="3"/>
  <c r="J2264" i="3"/>
  <c r="J2354" i="3"/>
  <c r="J2694" i="3"/>
  <c r="J2069" i="3"/>
  <c r="J2706" i="3"/>
  <c r="J3228" i="3"/>
  <c r="J3030" i="3"/>
  <c r="J2021" i="3"/>
  <c r="J2533" i="3"/>
  <c r="J975" i="3"/>
  <c r="J247" i="3"/>
  <c r="J24" i="3"/>
  <c r="J613" i="3"/>
  <c r="J636" i="3"/>
  <c r="J50" i="3"/>
  <c r="J710" i="3"/>
  <c r="J411" i="3"/>
  <c r="J759" i="3"/>
  <c r="J99" i="3"/>
  <c r="J447" i="3"/>
  <c r="J821" i="3"/>
  <c r="J640" i="3"/>
  <c r="J482" i="3"/>
  <c r="J507" i="3"/>
  <c r="J457" i="3"/>
  <c r="J769" i="3"/>
  <c r="J206" i="3"/>
  <c r="J760" i="3"/>
  <c r="J1181" i="3"/>
  <c r="J320" i="3"/>
  <c r="J1488" i="3"/>
  <c r="J154" i="3"/>
  <c r="J2184" i="3"/>
  <c r="J285" i="3"/>
  <c r="J1823" i="3"/>
  <c r="J655" i="3"/>
  <c r="J1336" i="3"/>
  <c r="J91" i="3"/>
  <c r="J1594" i="3"/>
  <c r="J1085" i="3"/>
  <c r="J1497" i="3"/>
  <c r="J474" i="3"/>
  <c r="J1797" i="3"/>
  <c r="J127" i="3"/>
  <c r="J1296" i="3"/>
  <c r="J210" i="3"/>
  <c r="J1821" i="3"/>
  <c r="J1133" i="3"/>
  <c r="J1545" i="3"/>
  <c r="J281" i="3"/>
  <c r="J1592" i="3"/>
  <c r="J1637" i="3"/>
  <c r="J1028" i="3"/>
  <c r="J1644" i="3"/>
  <c r="J1122" i="3"/>
  <c r="J1978" i="3"/>
  <c r="J764" i="3"/>
  <c r="J1667" i="3"/>
  <c r="J1027" i="3"/>
  <c r="J313" i="3"/>
  <c r="J799" i="3"/>
  <c r="J1979" i="3"/>
  <c r="J741" i="3"/>
  <c r="J1063" i="3"/>
  <c r="J1641" i="3"/>
  <c r="J330" i="3"/>
  <c r="J2050" i="3"/>
  <c r="J1409" i="3"/>
  <c r="J844" i="3"/>
  <c r="J1246" i="3"/>
  <c r="J1982" i="3"/>
  <c r="J1724" i="3"/>
  <c r="J378" i="3"/>
  <c r="J1204" i="3"/>
  <c r="J351" i="3"/>
  <c r="J825" i="3"/>
  <c r="J1657" i="3"/>
  <c r="J1865" i="3"/>
  <c r="J2045" i="3"/>
  <c r="J2116" i="3"/>
  <c r="J2618" i="3"/>
  <c r="J2972" i="3"/>
  <c r="J2555" i="3"/>
  <c r="J2910" i="3"/>
  <c r="J1332" i="3"/>
  <c r="J2078" i="3"/>
  <c r="J1741" i="3"/>
  <c r="J3132" i="3"/>
  <c r="J3065" i="3"/>
  <c r="J1819" i="3"/>
  <c r="J2634" i="3"/>
  <c r="J900" i="3"/>
  <c r="J2143" i="3"/>
  <c r="J1512" i="3"/>
  <c r="J1555" i="3"/>
  <c r="J3101" i="3"/>
  <c r="J1863" i="3"/>
  <c r="J2989" i="3"/>
  <c r="J3294" i="3"/>
  <c r="J2030" i="3"/>
  <c r="J3289" i="3"/>
  <c r="J2684" i="3"/>
  <c r="J2430" i="3"/>
  <c r="J3006" i="3"/>
  <c r="J2737" i="3"/>
  <c r="J3018" i="3"/>
  <c r="J3516" i="3"/>
  <c r="J2486" i="3"/>
  <c r="J1344" i="3"/>
  <c r="J2740" i="3"/>
  <c r="J1639" i="3"/>
  <c r="J2609" i="3"/>
  <c r="J1996" i="3"/>
  <c r="J2979" i="3"/>
  <c r="J2613" i="3"/>
  <c r="J2700" i="3"/>
  <c r="J2935" i="3"/>
  <c r="J1394" i="3"/>
  <c r="J2788" i="3"/>
  <c r="J2590" i="3"/>
  <c r="J388" i="3"/>
  <c r="J1307" i="3"/>
  <c r="J312" i="3"/>
  <c r="J338" i="3"/>
  <c r="J913" i="3"/>
  <c r="J374" i="3"/>
  <c r="J39" i="3"/>
  <c r="J747" i="3"/>
  <c r="J148" i="3"/>
  <c r="J435" i="3"/>
  <c r="J795" i="3"/>
  <c r="J1019" i="3"/>
  <c r="J893" i="3"/>
  <c r="J806" i="3"/>
  <c r="J855" i="3"/>
  <c r="J757" i="3"/>
  <c r="J1069" i="3"/>
  <c r="J530" i="3"/>
  <c r="J125" i="3"/>
  <c r="J548" i="3"/>
  <c r="J836" i="3"/>
  <c r="J290" i="3"/>
  <c r="J608" i="3"/>
  <c r="J1836" i="3"/>
  <c r="J442" i="3"/>
  <c r="J1269" i="3"/>
  <c r="J573" i="3"/>
  <c r="J2111" i="3"/>
  <c r="J68" i="3"/>
  <c r="J1547" i="3"/>
  <c r="J379" i="3"/>
  <c r="J1882" i="3"/>
  <c r="J174" i="3"/>
  <c r="J1785" i="3"/>
  <c r="J762" i="3"/>
  <c r="J2085" i="3"/>
  <c r="J415" i="3"/>
  <c r="J1595" i="3"/>
  <c r="J498" i="3"/>
  <c r="J2109" i="3"/>
  <c r="J222" i="3"/>
  <c r="J1833" i="3"/>
  <c r="J569" i="3"/>
  <c r="J1880" i="3"/>
  <c r="J207" i="3"/>
  <c r="J105" i="3"/>
  <c r="J1968" i="3"/>
  <c r="J187" i="3"/>
  <c r="J1449" i="3"/>
  <c r="J1052" i="3"/>
  <c r="J1955" i="3"/>
  <c r="J282" i="3"/>
  <c r="J1714" i="3"/>
  <c r="J601" i="3"/>
  <c r="J212" i="3"/>
  <c r="J1363" i="3"/>
  <c r="J46" i="3"/>
  <c r="J1549" i="3"/>
  <c r="J1929" i="3"/>
  <c r="J618" i="3"/>
  <c r="J1437" i="3"/>
  <c r="J1700" i="3"/>
  <c r="J113" i="3"/>
  <c r="J1712" i="3"/>
  <c r="J1443" i="3"/>
  <c r="J993" i="3"/>
  <c r="J666" i="3"/>
  <c r="J1522" i="3"/>
  <c r="J639" i="3"/>
  <c r="J130" i="3"/>
  <c r="J2113" i="3"/>
  <c r="J1710" i="3"/>
  <c r="J2434" i="3"/>
  <c r="J1302" i="3"/>
  <c r="J2906" i="3"/>
  <c r="J2841" i="3"/>
  <c r="J2327" i="3"/>
  <c r="J3222" i="3"/>
  <c r="J1184" i="3"/>
  <c r="J2446" i="3"/>
  <c r="J2029" i="3"/>
  <c r="J3420" i="3"/>
  <c r="J3353" i="3"/>
  <c r="J2567" i="3"/>
  <c r="J2946" i="3"/>
  <c r="J1370" i="3"/>
  <c r="J2484" i="3"/>
  <c r="J1800" i="3"/>
  <c r="J1843" i="3"/>
  <c r="J2079" i="3"/>
  <c r="J1624" i="3"/>
  <c r="J3277" i="3"/>
  <c r="J2012" i="3"/>
  <c r="J1689" i="3"/>
  <c r="J2806" i="3"/>
  <c r="J3234" i="3"/>
  <c r="J2934" i="3"/>
  <c r="J3151" i="3"/>
  <c r="J3089" i="3"/>
  <c r="J2880" i="3"/>
  <c r="J1393" i="3"/>
  <c r="J3199" i="3"/>
  <c r="J1995" i="3"/>
  <c r="J1879" i="3"/>
  <c r="J3164" i="3"/>
  <c r="J2011" i="3"/>
  <c r="J3016" i="3"/>
  <c r="J1627" i="3"/>
  <c r="J2388" i="3"/>
  <c r="J2742" i="3"/>
  <c r="J2300" i="3"/>
  <c r="J2465" i="3"/>
  <c r="J2776" i="3"/>
  <c r="J2020" i="3"/>
  <c r="J2645" i="3"/>
  <c r="J1068" i="3"/>
  <c r="J2822" i="3"/>
  <c r="J1574" i="3"/>
  <c r="J2544" i="3"/>
  <c r="J2425" i="3"/>
  <c r="J2845" i="3"/>
  <c r="J3391" i="3"/>
  <c r="J3336" i="3"/>
  <c r="J2166" i="3"/>
  <c r="J1610" i="3"/>
  <c r="J2482" i="3"/>
  <c r="J1465" i="3"/>
  <c r="J3072" i="3"/>
  <c r="J3005" i="3"/>
  <c r="J3395" i="3"/>
  <c r="J3540" i="3"/>
  <c r="J2414" i="3"/>
  <c r="J2578" i="3"/>
  <c r="J2746" i="3"/>
  <c r="J3179" i="3"/>
  <c r="J3438" i="3"/>
  <c r="J3679" i="3"/>
  <c r="J2253" i="3"/>
  <c r="J3476" i="3"/>
  <c r="J3530" i="3"/>
  <c r="J3551" i="3"/>
  <c r="J2696" i="3"/>
  <c r="J3626" i="3"/>
  <c r="J3374" i="3"/>
  <c r="J2732" i="3"/>
  <c r="J3665" i="3"/>
  <c r="J2154" i="3"/>
  <c r="J3047" i="3"/>
  <c r="J2709" i="3"/>
  <c r="J3602" i="3"/>
  <c r="J3685" i="3"/>
  <c r="J2057" i="3"/>
  <c r="J3426" i="3"/>
  <c r="J3512" i="3"/>
  <c r="I2952" i="3"/>
  <c r="I3291" i="3"/>
  <c r="I2876" i="3"/>
  <c r="I3171" i="3"/>
  <c r="I2874" i="3"/>
  <c r="I3123" i="3"/>
  <c r="I2975" i="3"/>
  <c r="I3216" i="3"/>
  <c r="I2586" i="3"/>
  <c r="I3167" i="3"/>
  <c r="I2510" i="3"/>
  <c r="I3262" i="3"/>
  <c r="I2653" i="3"/>
  <c r="I3429" i="3"/>
  <c r="I2845" i="3"/>
  <c r="I3332" i="3"/>
  <c r="I2740" i="3"/>
  <c r="I3163" i="3"/>
  <c r="I2503" i="3"/>
  <c r="I3306" i="3"/>
  <c r="I2678" i="3"/>
  <c r="I3617" i="3"/>
  <c r="I3041" i="3"/>
  <c r="I2125" i="3"/>
  <c r="I3184" i="3"/>
  <c r="I2537" i="3"/>
  <c r="I3183" i="3"/>
  <c r="I2535" i="3"/>
  <c r="I3566" i="3"/>
  <c r="I2988" i="3"/>
  <c r="I1813" i="3"/>
  <c r="I3061" i="3"/>
  <c r="I2233" i="3"/>
  <c r="I3540" i="3"/>
  <c r="I2961" i="3"/>
  <c r="I3644" i="3"/>
  <c r="I3155" i="3"/>
  <c r="I2490" i="3"/>
  <c r="I3298" i="3"/>
  <c r="I2698" i="3"/>
  <c r="I3633" i="3"/>
  <c r="I3057" i="3"/>
  <c r="I2210" i="3"/>
  <c r="I3272" i="3"/>
  <c r="I2665" i="3"/>
  <c r="I3367" i="3"/>
  <c r="I2781" i="3"/>
  <c r="I3318" i="3"/>
  <c r="I2724" i="3"/>
  <c r="I3581" i="3"/>
  <c r="I2879" i="3"/>
  <c r="I3607" i="3"/>
  <c r="J1189" i="3"/>
  <c r="J1840" i="3"/>
  <c r="J3008" i="3"/>
  <c r="J3246" i="3"/>
  <c r="J2082" i="3"/>
  <c r="J2047" i="3"/>
  <c r="J3168" i="3"/>
  <c r="J943" i="3"/>
  <c r="J2202" i="3"/>
  <c r="J2714" i="3"/>
  <c r="J2628" i="3"/>
  <c r="J3057" i="3"/>
  <c r="J2105" i="3"/>
  <c r="J3304" i="3"/>
  <c r="J1915" i="3"/>
  <c r="J2108" i="3"/>
  <c r="J3066" i="3"/>
  <c r="J2161" i="3"/>
  <c r="J3299" i="3"/>
  <c r="J3064" i="3"/>
  <c r="J1493" i="3"/>
  <c r="J2933" i="3"/>
  <c r="J1010" i="3"/>
  <c r="J2432" i="3"/>
  <c r="J1862" i="3"/>
  <c r="J2834" i="3"/>
  <c r="J2888" i="3"/>
  <c r="J3133" i="3"/>
  <c r="J2900" i="3"/>
  <c r="J2157" i="3"/>
  <c r="J2523" i="3"/>
  <c r="J1898" i="3"/>
  <c r="J3063" i="3"/>
  <c r="J1622" i="3"/>
  <c r="J3360" i="3"/>
  <c r="J3293" i="3"/>
  <c r="J2091" i="3"/>
  <c r="J3581" i="3"/>
  <c r="J2023" i="3"/>
  <c r="J2867" i="3"/>
  <c r="J3034" i="3"/>
  <c r="J3467" i="3"/>
  <c r="J3473" i="3"/>
  <c r="J2373" i="3"/>
  <c r="J2566" i="3"/>
  <c r="J3338" i="3"/>
  <c r="J3322" i="3"/>
  <c r="J2311" i="3"/>
  <c r="J2984" i="3"/>
  <c r="J3556" i="3"/>
  <c r="J3629" i="3"/>
  <c r="J3020" i="3"/>
  <c r="J3595" i="3"/>
  <c r="J2490" i="3"/>
  <c r="J3335" i="3"/>
  <c r="J2997" i="3"/>
  <c r="J3524" i="3"/>
  <c r="J3422" i="3"/>
  <c r="J2733" i="3"/>
  <c r="J3612" i="3"/>
  <c r="J3202" i="3"/>
  <c r="I2927" i="3"/>
  <c r="I3243" i="3"/>
  <c r="I2850" i="3"/>
  <c r="I3099" i="3"/>
  <c r="I2849" i="3"/>
  <c r="I3051" i="3"/>
  <c r="I2950" i="3"/>
  <c r="I3192" i="3"/>
  <c r="I2550" i="3"/>
  <c r="I3143" i="3"/>
  <c r="I2471" i="3"/>
  <c r="I3238" i="3"/>
  <c r="I2620" i="3"/>
  <c r="I3405" i="3"/>
  <c r="I2820" i="3"/>
  <c r="I3308" i="3"/>
  <c r="I2710" i="3"/>
  <c r="I3139" i="3"/>
  <c r="I2465" i="3"/>
  <c r="I3282" i="3"/>
  <c r="I2648" i="3"/>
  <c r="I3593" i="3"/>
  <c r="I3016" i="3"/>
  <c r="I1981" i="3"/>
  <c r="I3160" i="3"/>
  <c r="I2498" i="3"/>
  <c r="I3159" i="3"/>
  <c r="I2497" i="3"/>
  <c r="I3542" i="3"/>
  <c r="I2963" i="3"/>
  <c r="I3571" i="3"/>
  <c r="I3037" i="3"/>
  <c r="I2101" i="3"/>
  <c r="I3516" i="3"/>
  <c r="I2936" i="3"/>
  <c r="I3355" i="3"/>
  <c r="I3131" i="3"/>
  <c r="I2450" i="3"/>
  <c r="I3274" i="3"/>
  <c r="I2668" i="3"/>
  <c r="I3609" i="3"/>
  <c r="I3033" i="3"/>
  <c r="I2077" i="3"/>
  <c r="J954" i="3"/>
  <c r="J2629" i="3"/>
  <c r="J2401" i="3"/>
  <c r="J2360" i="3"/>
  <c r="J2562" i="3"/>
  <c r="J2460" i="3"/>
  <c r="J3456" i="3"/>
  <c r="J1381" i="3"/>
  <c r="J2672" i="3"/>
  <c r="J3002" i="3"/>
  <c r="J2916" i="3"/>
  <c r="J1842" i="3"/>
  <c r="J2863" i="3"/>
  <c r="J2245" i="3"/>
  <c r="J2664" i="3"/>
  <c r="J3093" i="3"/>
  <c r="J2511" i="3"/>
  <c r="J2786" i="3"/>
  <c r="J1826" i="3"/>
  <c r="J3352" i="3"/>
  <c r="J1781" i="3"/>
  <c r="J3221" i="3"/>
  <c r="J1695" i="3"/>
  <c r="J2727" i="3"/>
  <c r="J1441" i="3"/>
  <c r="J2071" i="3"/>
  <c r="J3296" i="3"/>
  <c r="J3421" i="3"/>
  <c r="J3332" i="3"/>
  <c r="J2492" i="3"/>
  <c r="J2838" i="3"/>
  <c r="J1112" i="3"/>
  <c r="J3351" i="3"/>
  <c r="J1910" i="3"/>
  <c r="J2517" i="3"/>
  <c r="J2359" i="3"/>
  <c r="J3670" i="3"/>
  <c r="J3544" i="3"/>
  <c r="J2427" i="3"/>
  <c r="J3155" i="3"/>
  <c r="J2324" i="3"/>
  <c r="J3511" i="3"/>
  <c r="J3506" i="3"/>
  <c r="J2233" i="3"/>
  <c r="J3552" i="3"/>
  <c r="J3646" i="3"/>
  <c r="J3650" i="3"/>
  <c r="J3604" i="3"/>
  <c r="J3272" i="3"/>
  <c r="J3350" i="3"/>
  <c r="J3610" i="3"/>
  <c r="J3308" i="3"/>
  <c r="J3435" i="3"/>
  <c r="J2453" i="3"/>
  <c r="J3623" i="3"/>
  <c r="J3285" i="3"/>
  <c r="J3686" i="3"/>
  <c r="J3459" i="3"/>
  <c r="J3021" i="3"/>
  <c r="J3007" i="3"/>
  <c r="J3637" i="3"/>
  <c r="I2902" i="3"/>
  <c r="I3698" i="3"/>
  <c r="I2825" i="3"/>
  <c r="I3075" i="3"/>
  <c r="I2799" i="3"/>
  <c r="I3410" i="3"/>
  <c r="I2925" i="3"/>
  <c r="I3168" i="3"/>
  <c r="I2511" i="3"/>
  <c r="I3119" i="3"/>
  <c r="I2425" i="3"/>
  <c r="I3214" i="3"/>
  <c r="I2583" i="3"/>
  <c r="I3381" i="3"/>
  <c r="I2795" i="3"/>
  <c r="I3284" i="3"/>
  <c r="I2680" i="3"/>
  <c r="I3115" i="3"/>
  <c r="I2417" i="3"/>
  <c r="I3234" i="3"/>
  <c r="I2614" i="3"/>
  <c r="I3569" i="3"/>
  <c r="I2991" i="3"/>
  <c r="I1837" i="3"/>
  <c r="I3136" i="3"/>
  <c r="I2461" i="3"/>
  <c r="I3135" i="3"/>
  <c r="I2460" i="3"/>
  <c r="I3518" i="3"/>
  <c r="I2938" i="3"/>
  <c r="I3403" i="3"/>
  <c r="I3012" i="3"/>
  <c r="I1957" i="3"/>
  <c r="I3492" i="3"/>
  <c r="I2911" i="3"/>
  <c r="I3544" i="3"/>
  <c r="I3107" i="3"/>
  <c r="I2399" i="3"/>
  <c r="I3250" i="3"/>
  <c r="I2637" i="3"/>
  <c r="J307" i="3"/>
  <c r="J3205" i="3"/>
  <c r="J2877" i="3"/>
  <c r="J2767" i="3"/>
  <c r="J3104" i="3"/>
  <c r="J2646" i="3"/>
  <c r="J2977" i="3"/>
  <c r="J1961" i="3"/>
  <c r="J2219" i="3"/>
  <c r="J2315" i="3"/>
  <c r="J2725" i="3"/>
  <c r="J1075" i="3"/>
  <c r="J3247" i="3"/>
  <c r="J2559" i="3"/>
  <c r="J3240" i="3"/>
  <c r="J1470" i="3"/>
  <c r="J2167" i="3"/>
  <c r="J2394" i="3"/>
  <c r="J936" i="3"/>
  <c r="J2633" i="3"/>
  <c r="J1626" i="3"/>
  <c r="J2048" i="3"/>
  <c r="J1983" i="3"/>
  <c r="J3015" i="3"/>
  <c r="J1707" i="3"/>
  <c r="J2444" i="3"/>
  <c r="J2463" i="3"/>
  <c r="J2368" i="3"/>
  <c r="J2235" i="3"/>
  <c r="J2255" i="3"/>
  <c r="J3162" i="3"/>
  <c r="J1743" i="3"/>
  <c r="J2848" i="3"/>
  <c r="J1130" i="3"/>
  <c r="J2285" i="3"/>
  <c r="J2200" i="3"/>
  <c r="J3526" i="3"/>
  <c r="J3521" i="3"/>
  <c r="J2722" i="3"/>
  <c r="J3443" i="3"/>
  <c r="J2283" i="3"/>
  <c r="J3194" i="3"/>
  <c r="J3423" i="3"/>
  <c r="J2549" i="3"/>
  <c r="J3314" i="3"/>
  <c r="J3465" i="3"/>
  <c r="J3437" i="3"/>
  <c r="J3410" i="3"/>
  <c r="J2249" i="3"/>
  <c r="J3590" i="3"/>
  <c r="J3601" i="3"/>
  <c r="J2376" i="3"/>
  <c r="J3416" i="3"/>
  <c r="J2747" i="3"/>
  <c r="J2391" i="3"/>
  <c r="J3573" i="3"/>
  <c r="J2983" i="3"/>
  <c r="J3640" i="3"/>
  <c r="J3309" i="3"/>
  <c r="J3295" i="3"/>
  <c r="J3682" i="3"/>
  <c r="I2877" i="3"/>
  <c r="I3674" i="3"/>
  <c r="I2800" i="3"/>
  <c r="I3602" i="3"/>
  <c r="I2774" i="3"/>
  <c r="I3266" i="3"/>
  <c r="I2824" i="3"/>
  <c r="I3144" i="3"/>
  <c r="I2473" i="3"/>
  <c r="I3095" i="3"/>
  <c r="I2365" i="3"/>
  <c r="I3190" i="3"/>
  <c r="I2546" i="3"/>
  <c r="I3357" i="3"/>
  <c r="I2769" i="3"/>
  <c r="I3260" i="3"/>
  <c r="I2650" i="3"/>
  <c r="I3091" i="3"/>
  <c r="I2354" i="3"/>
  <c r="I3210" i="3"/>
  <c r="I2578" i="3"/>
  <c r="I3545" i="3"/>
  <c r="I2966" i="3"/>
  <c r="I3627" i="3"/>
  <c r="I3112" i="3"/>
  <c r="I2408" i="3"/>
  <c r="I3111" i="3"/>
  <c r="I2407" i="3"/>
  <c r="I3494" i="3"/>
  <c r="I2913" i="3"/>
  <c r="I3379" i="3"/>
  <c r="I2987" i="3"/>
  <c r="I1794" i="3"/>
  <c r="I3468" i="3"/>
  <c r="I2886" i="3"/>
  <c r="I3687" i="3"/>
  <c r="I3083" i="3"/>
  <c r="I2329" i="3"/>
  <c r="I3226" i="3"/>
  <c r="I2602" i="3"/>
  <c r="I3561" i="3"/>
  <c r="I2983" i="3"/>
  <c r="I1717" i="3"/>
  <c r="I3200" i="3"/>
  <c r="I2562" i="3"/>
  <c r="I3295" i="3"/>
  <c r="I2695" i="3"/>
  <c r="I3246" i="3"/>
  <c r="I2631" i="3"/>
  <c r="I3485" i="3"/>
  <c r="I2804" i="3"/>
  <c r="I3630" i="3"/>
  <c r="J1810" i="3"/>
  <c r="J2918" i="3"/>
  <c r="J974" i="3"/>
  <c r="J3417" i="3"/>
  <c r="J2914" i="3"/>
  <c r="J3163" i="3"/>
  <c r="J2288" i="3"/>
  <c r="J1567" i="3"/>
  <c r="J1536" i="3"/>
  <c r="J2619" i="3"/>
  <c r="J3013" i="3"/>
  <c r="J1603" i="3"/>
  <c r="J2248" i="3"/>
  <c r="J2275" i="3"/>
  <c r="J3528" i="3"/>
  <c r="J1927" i="3"/>
  <c r="J2601" i="3"/>
  <c r="J2691" i="3"/>
  <c r="J1959" i="3"/>
  <c r="J2921" i="3"/>
  <c r="J1914" i="3"/>
  <c r="J2790" i="3"/>
  <c r="J1354" i="3"/>
  <c r="J3303" i="3"/>
  <c r="J1131" i="3"/>
  <c r="J2072" i="3"/>
  <c r="J2757" i="3"/>
  <c r="J2241" i="3"/>
  <c r="J2769" i="3"/>
  <c r="J2568" i="3"/>
  <c r="J2262" i="3"/>
  <c r="J1180" i="3"/>
  <c r="J3424" i="3"/>
  <c r="J1755" i="3"/>
  <c r="J2593" i="3"/>
  <c r="J2548" i="3"/>
  <c r="J3250" i="3"/>
  <c r="J3362" i="3"/>
  <c r="J3010" i="3"/>
  <c r="J2175" i="3"/>
  <c r="J2591" i="3"/>
  <c r="J3656" i="3"/>
  <c r="J3523" i="3"/>
  <c r="J2839" i="3"/>
  <c r="J3692" i="3"/>
  <c r="J2514" i="3"/>
  <c r="J3519" i="3"/>
  <c r="J3483" i="3"/>
  <c r="J2563" i="3"/>
  <c r="J3472" i="3"/>
  <c r="J3548" i="3"/>
  <c r="J2673" i="3"/>
  <c r="J3098" i="3"/>
  <c r="J3035" i="3"/>
  <c r="J3619" i="3"/>
  <c r="J2337" i="3"/>
  <c r="J3271" i="3"/>
  <c r="J3615" i="3"/>
  <c r="J3597" i="3"/>
  <c r="J2168" i="3"/>
  <c r="J3555" i="3"/>
  <c r="I2852" i="3"/>
  <c r="I3650" i="3"/>
  <c r="I2775" i="3"/>
  <c r="I3578" i="3"/>
  <c r="I2746" i="3"/>
  <c r="I3242" i="3"/>
  <c r="I3696" i="3"/>
  <c r="I3120" i="3"/>
  <c r="I2426" i="3"/>
  <c r="I3071" i="3"/>
  <c r="I2281" i="3"/>
  <c r="I3166" i="3"/>
  <c r="I2509" i="3"/>
  <c r="I3333" i="3"/>
  <c r="I2742" i="3"/>
  <c r="J1158" i="3"/>
  <c r="J3184" i="3"/>
  <c r="J1390" i="3"/>
  <c r="J1975" i="3"/>
  <c r="J2378" i="3"/>
  <c r="J2106" i="3"/>
  <c r="J2595" i="3"/>
  <c r="J1855" i="3"/>
  <c r="J1824" i="3"/>
  <c r="J3195" i="3"/>
  <c r="J3301" i="3"/>
  <c r="J1891" i="3"/>
  <c r="J2294" i="3"/>
  <c r="J2873" i="3"/>
  <c r="J2271" i="3"/>
  <c r="J2379" i="3"/>
  <c r="J3117" i="3"/>
  <c r="J3267" i="3"/>
  <c r="J1328" i="3"/>
  <c r="J3209" i="3"/>
  <c r="J1383" i="3"/>
  <c r="J3102" i="3"/>
  <c r="J1113" i="3"/>
  <c r="J2181" i="3"/>
  <c r="J1756" i="3"/>
  <c r="J2739" i="3"/>
  <c r="J3189" i="3"/>
  <c r="J2846" i="3"/>
  <c r="J3225" i="3"/>
  <c r="J2857" i="3"/>
  <c r="J2671" i="3"/>
  <c r="J1504" i="3"/>
  <c r="J2409" i="3"/>
  <c r="J1041" i="3"/>
  <c r="J2881" i="3"/>
  <c r="J2874" i="3"/>
  <c r="J3568" i="3"/>
  <c r="J3510" i="3"/>
  <c r="J2855" i="3"/>
  <c r="J3579" i="3"/>
  <c r="J2879" i="3"/>
  <c r="J3586" i="3"/>
  <c r="J3667" i="3"/>
  <c r="J3127" i="3"/>
  <c r="J3644" i="3"/>
  <c r="J2205" i="3"/>
  <c r="J3546" i="3"/>
  <c r="J3606" i="3"/>
  <c r="J2336" i="3"/>
  <c r="J3572" i="3"/>
  <c r="J3494" i="3"/>
  <c r="J2961" i="3"/>
  <c r="J3603" i="3"/>
  <c r="J3323" i="3"/>
  <c r="J3448" i="3"/>
  <c r="J2638" i="3"/>
  <c r="J2780" i="3"/>
  <c r="J3406" i="3"/>
  <c r="J2350" i="3"/>
  <c r="J2187" i="3"/>
  <c r="J3434" i="3"/>
  <c r="I2826" i="3"/>
  <c r="I3626" i="3"/>
  <c r="I2748" i="3"/>
  <c r="I3554" i="3"/>
  <c r="I2718" i="3"/>
  <c r="I3218" i="3"/>
  <c r="I3672" i="3"/>
  <c r="I3096" i="3"/>
  <c r="I2369" i="3"/>
  <c r="I3047" i="3"/>
  <c r="I2161" i="3"/>
  <c r="I3142" i="3"/>
  <c r="I2470" i="3"/>
  <c r="I3309" i="3"/>
  <c r="I2711" i="3"/>
  <c r="I3212" i="3"/>
  <c r="I2581" i="3"/>
  <c r="I3043" i="3"/>
  <c r="I2137" i="3"/>
  <c r="J927" i="3"/>
  <c r="J2333" i="3"/>
  <c r="J1682" i="3"/>
  <c r="J1925" i="3"/>
  <c r="J1356" i="3"/>
  <c r="J2648" i="3"/>
  <c r="J3171" i="3"/>
  <c r="J2604" i="3"/>
  <c r="J969" i="3"/>
  <c r="J2547" i="3"/>
  <c r="J2225" i="3"/>
  <c r="J2640" i="3"/>
  <c r="J3176" i="3"/>
  <c r="J2524" i="3"/>
  <c r="J2581" i="3"/>
  <c r="J2676" i="3"/>
  <c r="J2415" i="3"/>
  <c r="J2243" i="3"/>
  <c r="J1149" i="3"/>
  <c r="J2448" i="3"/>
  <c r="J1675" i="3"/>
  <c r="J2599" i="3"/>
  <c r="J1455" i="3"/>
  <c r="J2800" i="3"/>
  <c r="J2044" i="3"/>
  <c r="J3027" i="3"/>
  <c r="J2577" i="3"/>
  <c r="J2095" i="3"/>
  <c r="J2541" i="3"/>
  <c r="J3145" i="3"/>
  <c r="J3043" i="3"/>
  <c r="J2080" i="3"/>
  <c r="J2705" i="3"/>
  <c r="J1417" i="3"/>
  <c r="J3169" i="3"/>
  <c r="J3186" i="3"/>
  <c r="J3531" i="3"/>
  <c r="J2237" i="3"/>
  <c r="J3143" i="3"/>
  <c r="J3620" i="3"/>
  <c r="J3167" i="3"/>
  <c r="J3605" i="3"/>
  <c r="J3070" i="3"/>
  <c r="J3415" i="3"/>
  <c r="J3466" i="3"/>
  <c r="J2527" i="3"/>
  <c r="J3664" i="3"/>
  <c r="J3543" i="3"/>
  <c r="J2637" i="3"/>
  <c r="J3226" i="3"/>
  <c r="J3536" i="3"/>
  <c r="J3249" i="3"/>
  <c r="J3522" i="3"/>
  <c r="J3611" i="3"/>
  <c r="J3142" i="3"/>
  <c r="J2926" i="3"/>
  <c r="J3068" i="3"/>
  <c r="J3538" i="3"/>
  <c r="J2662" i="3"/>
  <c r="J2804" i="3"/>
  <c r="J3571" i="3"/>
  <c r="I2801" i="3"/>
  <c r="J304" i="3"/>
  <c r="J2743" i="3"/>
  <c r="J1970" i="3"/>
  <c r="J1152" i="3"/>
  <c r="J1649" i="3"/>
  <c r="J3116" i="3"/>
  <c r="J2668" i="3"/>
  <c r="J2892" i="3"/>
  <c r="J1192" i="3"/>
  <c r="J2837" i="3"/>
  <c r="J2036" i="3"/>
  <c r="J2928" i="3"/>
  <c r="J2551" i="3"/>
  <c r="J2875" i="3"/>
  <c r="J2118" i="3"/>
  <c r="J2964" i="3"/>
  <c r="J3251" i="3"/>
  <c r="J2558" i="3"/>
  <c r="J1481" i="3"/>
  <c r="J3090" i="3"/>
  <c r="J2712" i="3"/>
  <c r="J2959" i="3"/>
  <c r="J1744" i="3"/>
  <c r="J3088" i="3"/>
  <c r="J1197" i="3"/>
  <c r="J3315" i="3"/>
  <c r="J2223" i="3"/>
  <c r="J2096" i="3"/>
  <c r="J1392" i="3"/>
  <c r="J2257" i="3"/>
  <c r="J3403" i="3"/>
  <c r="J1553" i="3"/>
  <c r="J2993" i="3"/>
  <c r="J1196" i="3"/>
  <c r="J2594" i="3"/>
  <c r="J2695" i="3"/>
  <c r="J3266" i="3"/>
  <c r="J2553" i="3"/>
  <c r="J3431" i="3"/>
  <c r="J3672" i="3"/>
  <c r="J3455" i="3"/>
  <c r="J3488" i="3"/>
  <c r="J2365" i="3"/>
  <c r="J2636" i="3"/>
  <c r="J3486" i="3"/>
  <c r="J2818" i="3"/>
  <c r="J3442" i="3"/>
  <c r="J3559" i="3"/>
  <c r="J2925" i="3"/>
  <c r="J3688" i="3"/>
  <c r="J3678" i="3"/>
  <c r="J3537" i="3"/>
  <c r="J3481" i="3"/>
  <c r="J3242" i="3"/>
  <c r="J3598" i="3"/>
  <c r="J2190" i="3"/>
  <c r="J3356" i="3"/>
  <c r="J3698" i="3"/>
  <c r="J2950" i="3"/>
  <c r="J3092" i="3"/>
  <c r="J3298" i="3"/>
  <c r="I2776" i="3"/>
  <c r="I3386" i="3"/>
  <c r="I2687" i="3"/>
  <c r="I3506" i="3"/>
  <c r="I2656" i="3"/>
  <c r="I3673" i="3"/>
  <c r="I3624" i="3"/>
  <c r="I3048" i="3"/>
  <c r="I2162" i="3"/>
  <c r="I2998" i="3"/>
  <c r="I1873" i="3"/>
  <c r="I3094" i="3"/>
  <c r="I2364" i="3"/>
  <c r="I3261" i="3"/>
  <c r="I2652" i="3"/>
  <c r="I3164" i="3"/>
  <c r="I2504" i="3"/>
  <c r="I2993" i="3"/>
  <c r="I1849" i="3"/>
  <c r="I3114" i="3"/>
  <c r="I2413" i="3"/>
  <c r="I3449" i="3"/>
  <c r="I2866" i="3"/>
  <c r="I3331" i="3"/>
  <c r="I3015" i="3"/>
  <c r="I1970" i="3"/>
  <c r="I3014" i="3"/>
  <c r="I1969" i="3"/>
  <c r="I3398" i="3"/>
  <c r="I2813" i="3"/>
  <c r="I3519" i="3"/>
  <c r="I2887" i="3"/>
  <c r="I3591" i="3"/>
  <c r="I3372" i="3"/>
  <c r="I2786" i="3"/>
  <c r="I3563" i="3"/>
  <c r="I2985" i="3"/>
  <c r="I1765" i="3"/>
  <c r="I3130" i="3"/>
  <c r="I2449" i="3"/>
  <c r="I3465" i="3"/>
  <c r="I2883" i="3"/>
  <c r="I3680" i="3"/>
  <c r="I3104" i="3"/>
  <c r="I2393" i="3"/>
  <c r="I3199" i="3"/>
  <c r="J418" i="3"/>
  <c r="J3103" i="3"/>
  <c r="J1527" i="3"/>
  <c r="J1482" i="3"/>
  <c r="J1937" i="3"/>
  <c r="J2937" i="3"/>
  <c r="J2956" i="3"/>
  <c r="J3180" i="3"/>
  <c r="J1513" i="3"/>
  <c r="J2126" i="3"/>
  <c r="J2431" i="3"/>
  <c r="J3216" i="3"/>
  <c r="J2963" i="3"/>
  <c r="J3259" i="3"/>
  <c r="J2762" i="3"/>
  <c r="J3252" i="3"/>
  <c r="J876" i="3"/>
  <c r="J2471" i="3"/>
  <c r="J1769" i="3"/>
  <c r="J2201" i="3"/>
  <c r="J3000" i="3"/>
  <c r="J3355" i="3"/>
  <c r="J2032" i="3"/>
  <c r="J3376" i="3"/>
  <c r="J1517" i="3"/>
  <c r="J2302" i="3"/>
  <c r="J938" i="3"/>
  <c r="J2457" i="3"/>
  <c r="J1165" i="3"/>
  <c r="J2569" i="3"/>
  <c r="J2525" i="3"/>
  <c r="J1841" i="3"/>
  <c r="J3281" i="3"/>
  <c r="J1516" i="3"/>
  <c r="J2882" i="3"/>
  <c r="J3067" i="3"/>
  <c r="J3378" i="3"/>
  <c r="J2843" i="3"/>
  <c r="J2155" i="3"/>
  <c r="J3583" i="3"/>
  <c r="J2191" i="3"/>
  <c r="J3418" i="3"/>
  <c r="J2627" i="3"/>
  <c r="J2924" i="3"/>
  <c r="J3158" i="3"/>
  <c r="J3106" i="3"/>
  <c r="J3386" i="3"/>
  <c r="J3676" i="3"/>
  <c r="J3213" i="3"/>
  <c r="J3535" i="3"/>
  <c r="J3238" i="3"/>
  <c r="J2589" i="3"/>
  <c r="J2659" i="3"/>
  <c r="J3497" i="3"/>
  <c r="J3514" i="3"/>
  <c r="J2515" i="3"/>
  <c r="J2349" i="3"/>
  <c r="J2261" i="3"/>
  <c r="J2222" i="3"/>
  <c r="J3380" i="3"/>
  <c r="J3493" i="3"/>
  <c r="I2749" i="3"/>
  <c r="I3362" i="3"/>
  <c r="I2657" i="3"/>
  <c r="I3482" i="3"/>
  <c r="I2624" i="3"/>
  <c r="I3649" i="3"/>
  <c r="I3600" i="3"/>
  <c r="I3024" i="3"/>
  <c r="I2018" i="3"/>
  <c r="I2973" i="3"/>
  <c r="I3670" i="3"/>
  <c r="I3070" i="3"/>
  <c r="I2274" i="3"/>
  <c r="I3237" i="3"/>
  <c r="I2618" i="3"/>
  <c r="I3140" i="3"/>
  <c r="I2466" i="3"/>
  <c r="I2968" i="3"/>
  <c r="I3548" i="3"/>
  <c r="I3090" i="3"/>
  <c r="I2353" i="3"/>
  <c r="I3425" i="3"/>
  <c r="I2841" i="3"/>
  <c r="I3688" i="3"/>
  <c r="I2990" i="3"/>
  <c r="I1825" i="3"/>
  <c r="I2989" i="3"/>
  <c r="I1818" i="3"/>
  <c r="I3374" i="3"/>
  <c r="I2788" i="3"/>
  <c r="I3685" i="3"/>
  <c r="I2862" i="3"/>
  <c r="I3661" i="3"/>
  <c r="I3348" i="3"/>
  <c r="I2759" i="3"/>
  <c r="I3539" i="3"/>
  <c r="I2960" i="3"/>
  <c r="I3620" i="3"/>
  <c r="I3106" i="3"/>
  <c r="I2398" i="3"/>
  <c r="I3441" i="3"/>
  <c r="I2858" i="3"/>
  <c r="I3656" i="3"/>
  <c r="I3080" i="3"/>
  <c r="I2316" i="3"/>
  <c r="I3175" i="3"/>
  <c r="I2522" i="3"/>
  <c r="I3126" i="3"/>
  <c r="I2441" i="3"/>
  <c r="I3269" i="3"/>
  <c r="I2661" i="3"/>
  <c r="I3605" i="3"/>
  <c r="I3244" i="3"/>
  <c r="I2629" i="3"/>
  <c r="I2344" i="3"/>
  <c r="I1768" i="3"/>
  <c r="I1192" i="3"/>
  <c r="I616" i="3"/>
  <c r="I40" i="3"/>
  <c r="I1911" i="3"/>
  <c r="I1335" i="3"/>
  <c r="I759" i="3"/>
  <c r="I183" i="3"/>
  <c r="I2054" i="3"/>
  <c r="I1478" i="3"/>
  <c r="I902" i="3"/>
  <c r="J994" i="3"/>
  <c r="J2083" i="3"/>
  <c r="J1625" i="3"/>
  <c r="J1770" i="3"/>
  <c r="J1245" i="3"/>
  <c r="J3453" i="3"/>
  <c r="J3244" i="3"/>
  <c r="J3468" i="3"/>
  <c r="J1801" i="3"/>
  <c r="J2682" i="3"/>
  <c r="J3014" i="3"/>
  <c r="J3025" i="3"/>
  <c r="J1261" i="3"/>
  <c r="J2263" i="3"/>
  <c r="J3050" i="3"/>
  <c r="J2480" i="3"/>
  <c r="J1366" i="3"/>
  <c r="J2764" i="3"/>
  <c r="J945" i="3"/>
  <c r="J3343" i="3"/>
  <c r="J2442" i="3"/>
  <c r="J2348" i="3"/>
  <c r="J1182" i="3"/>
  <c r="J2331" i="3"/>
  <c r="J1805" i="3"/>
  <c r="J2198" i="3"/>
  <c r="J1148" i="3"/>
  <c r="J2751" i="3"/>
  <c r="J1780" i="3"/>
  <c r="J2858" i="3"/>
  <c r="J2912" i="3"/>
  <c r="J986" i="3"/>
  <c r="J2185" i="3"/>
  <c r="J1804" i="3"/>
  <c r="J2494" i="3"/>
  <c r="J3439" i="3"/>
  <c r="J3507" i="3"/>
  <c r="J3131" i="3"/>
  <c r="J2491" i="3"/>
  <c r="J3454" i="3"/>
  <c r="J2516" i="3"/>
  <c r="J3560" i="3"/>
  <c r="J2915" i="3"/>
  <c r="J3212" i="3"/>
  <c r="J3600" i="3"/>
  <c r="J2663" i="3"/>
  <c r="J3634" i="3"/>
  <c r="J3460" i="3"/>
  <c r="J3501" i="3"/>
  <c r="J3666" i="3"/>
  <c r="J3683" i="3"/>
  <c r="J2296" i="3"/>
  <c r="J2947" i="3"/>
  <c r="J3681" i="3"/>
  <c r="J3500" i="3"/>
  <c r="J2478" i="3"/>
  <c r="J2426" i="3"/>
  <c r="J2573" i="3"/>
  <c r="J2540" i="3"/>
  <c r="J2084" i="3"/>
  <c r="J3178" i="3"/>
  <c r="I2720" i="3"/>
  <c r="I3338" i="3"/>
  <c r="I2626" i="3"/>
  <c r="I3458" i="3"/>
  <c r="I2588" i="3"/>
  <c r="I3625" i="3"/>
  <c r="I3576" i="3"/>
  <c r="I2999" i="3"/>
  <c r="I1874" i="3"/>
  <c r="I2948" i="3"/>
  <c r="I3622" i="3"/>
  <c r="I3046" i="3"/>
  <c r="I2154" i="3"/>
  <c r="I3213" i="3"/>
  <c r="I2582" i="3"/>
  <c r="I3116" i="3"/>
  <c r="I2418" i="3"/>
  <c r="I2943" i="3"/>
  <c r="I3500" i="3"/>
  <c r="I3066" i="3"/>
  <c r="I2257" i="3"/>
  <c r="I3401" i="3"/>
  <c r="I2816" i="3"/>
  <c r="I3640" i="3"/>
  <c r="J1490" i="3"/>
  <c r="J1613" i="3"/>
  <c r="J1913" i="3"/>
  <c r="J2856" i="3"/>
  <c r="J1232" i="3"/>
  <c r="J2088" i="3"/>
  <c r="J2658" i="3"/>
  <c r="J2518" i="3"/>
  <c r="J1286" i="3"/>
  <c r="J2994" i="3"/>
  <c r="J2329" i="3"/>
  <c r="J3313" i="3"/>
  <c r="J1566" i="3"/>
  <c r="J2756" i="3"/>
  <c r="J2369" i="3"/>
  <c r="J3061" i="3"/>
  <c r="J1659" i="3"/>
  <c r="J3052" i="3"/>
  <c r="J1317" i="3"/>
  <c r="J2334" i="3"/>
  <c r="J2193" i="3"/>
  <c r="J2864" i="3"/>
  <c r="J1505" i="3"/>
  <c r="J2657" i="3"/>
  <c r="J1419" i="3"/>
  <c r="J2521" i="3"/>
  <c r="J1480" i="3"/>
  <c r="J3039" i="3"/>
  <c r="J2068" i="3"/>
  <c r="J2119" i="3"/>
  <c r="J3392" i="3"/>
  <c r="J1686" i="3"/>
  <c r="J2850" i="3"/>
  <c r="J2092" i="3"/>
  <c r="J2162" i="3"/>
  <c r="J2550" i="3"/>
  <c r="J3230" i="3"/>
  <c r="J3419" i="3"/>
  <c r="J3624" i="3"/>
  <c r="J3218" i="3"/>
  <c r="J3592" i="3"/>
  <c r="J3382" i="3"/>
  <c r="J3203" i="3"/>
  <c r="J2265" i="3"/>
  <c r="J3550" i="3"/>
  <c r="J2951" i="3"/>
  <c r="J2322" i="3"/>
  <c r="J3654" i="3"/>
  <c r="J2251" i="3"/>
  <c r="J3659" i="3"/>
  <c r="J2353" i="3"/>
  <c r="J2602" i="3"/>
  <c r="J3235" i="3"/>
  <c r="J3689" i="3"/>
  <c r="J3346" i="3"/>
  <c r="J2771" i="3"/>
  <c r="J2721" i="3"/>
  <c r="J2862" i="3"/>
  <c r="J2503" i="3"/>
  <c r="J2451" i="3"/>
  <c r="J3641" i="3"/>
  <c r="I2689" i="3"/>
  <c r="I3314" i="3"/>
  <c r="I2590" i="3"/>
  <c r="I3194" i="3"/>
  <c r="I2551" i="3"/>
  <c r="I3601" i="3"/>
  <c r="I3552" i="3"/>
  <c r="I2974" i="3"/>
  <c r="I3503" i="3"/>
  <c r="I2922" i="3"/>
  <c r="I3598" i="3"/>
  <c r="I3022" i="3"/>
  <c r="I2010" i="3"/>
  <c r="I3189" i="3"/>
  <c r="I2545" i="3"/>
  <c r="I3092" i="3"/>
  <c r="I2358" i="3"/>
  <c r="I2918" i="3"/>
  <c r="I3667" i="3"/>
  <c r="I3042" i="3"/>
  <c r="I2130" i="3"/>
  <c r="J1243" i="3"/>
  <c r="J1901" i="3"/>
  <c r="J1345" i="3"/>
  <c r="J3144" i="3"/>
  <c r="J1543" i="3"/>
  <c r="J1160" i="3"/>
  <c r="J2970" i="3"/>
  <c r="J2406" i="3"/>
  <c r="J1587" i="3"/>
  <c r="J3306" i="3"/>
  <c r="J2704" i="3"/>
  <c r="J2556" i="3"/>
  <c r="J1854" i="3"/>
  <c r="J3188" i="3"/>
  <c r="J2667" i="3"/>
  <c r="J3349" i="3"/>
  <c r="J1708" i="3"/>
  <c r="J2318" i="3"/>
  <c r="J1614" i="3"/>
  <c r="J2375" i="3"/>
  <c r="J2809" i="3"/>
  <c r="J3260" i="3"/>
  <c r="J1793" i="3"/>
  <c r="J2945" i="3"/>
  <c r="J1357" i="3"/>
  <c r="J2812" i="3"/>
  <c r="J1768" i="3"/>
  <c r="J2213" i="3"/>
  <c r="J1244" i="3"/>
  <c r="J2763" i="3"/>
  <c r="J2488" i="3"/>
  <c r="J1974" i="3"/>
  <c r="J3174" i="3"/>
  <c r="J1260" i="3"/>
  <c r="J2495" i="3"/>
  <c r="J2948" i="3"/>
  <c r="J3182" i="3"/>
  <c r="J3447" i="3"/>
  <c r="J3625" i="3"/>
  <c r="J3458" i="3"/>
  <c r="J3390" i="3"/>
  <c r="J3509" i="3"/>
  <c r="J3491" i="3"/>
  <c r="J2576" i="3"/>
  <c r="J3310" i="3"/>
  <c r="J3239" i="3"/>
  <c r="J2625" i="3"/>
  <c r="J3130" i="3"/>
  <c r="J2854" i="3"/>
  <c r="J2090" i="3"/>
  <c r="J3134" i="3"/>
  <c r="J2890" i="3"/>
  <c r="J2055" i="3"/>
  <c r="J3608" i="3"/>
  <c r="J3616" i="3"/>
  <c r="J3059" i="3"/>
  <c r="J3009" i="3"/>
  <c r="J3150" i="3"/>
  <c r="J2795" i="3"/>
  <c r="J2745" i="3"/>
  <c r="J3446" i="3"/>
  <c r="I2658" i="3"/>
  <c r="I3290" i="3"/>
  <c r="I2552" i="3"/>
  <c r="I3577" i="3"/>
  <c r="I2513" i="3"/>
  <c r="I3553" i="3"/>
  <c r="I3528" i="3"/>
  <c r="I2949" i="3"/>
  <c r="I3479" i="3"/>
  <c r="I2897" i="3"/>
  <c r="I3574" i="3"/>
  <c r="I2997" i="3"/>
  <c r="I1866" i="3"/>
  <c r="I3165" i="3"/>
  <c r="I2508" i="3"/>
  <c r="I3068" i="3"/>
  <c r="I2263" i="3"/>
  <c r="I2893" i="3"/>
  <c r="I3642" i="3"/>
  <c r="I3017" i="3"/>
  <c r="I1986" i="3"/>
  <c r="I3353" i="3"/>
  <c r="I2765" i="3"/>
  <c r="I3496" i="3"/>
  <c r="I2915" i="3"/>
  <c r="I3623" i="3"/>
  <c r="I2914" i="3"/>
  <c r="I3691" i="3"/>
  <c r="I3302" i="3"/>
  <c r="I2703" i="3"/>
  <c r="I3589" i="3"/>
  <c r="I2787" i="3"/>
  <c r="I3493" i="3"/>
  <c r="I3276" i="3"/>
  <c r="I2671" i="3"/>
  <c r="I3467" i="3"/>
  <c r="I2885" i="3"/>
  <c r="I3682" i="3"/>
  <c r="I3034" i="3"/>
  <c r="J1998" i="3"/>
  <c r="J1507" i="3"/>
  <c r="J1201" i="3"/>
  <c r="J3432" i="3"/>
  <c r="J1831" i="3"/>
  <c r="J1489" i="3"/>
  <c r="J3282" i="3"/>
  <c r="J2702" i="3"/>
  <c r="J1875" i="3"/>
  <c r="J3152" i="3"/>
  <c r="J2992" i="3"/>
  <c r="J2738" i="3"/>
  <c r="J1445" i="3"/>
  <c r="J3645" i="3"/>
  <c r="J3028" i="3"/>
  <c r="J2382" i="3"/>
  <c r="J1132" i="3"/>
  <c r="J2621" i="3"/>
  <c r="J1902" i="3"/>
  <c r="J2852" i="3"/>
  <c r="J2519" i="3"/>
  <c r="J2438" i="3"/>
  <c r="J1638" i="3"/>
  <c r="J3233" i="3"/>
  <c r="J1650" i="3"/>
  <c r="J3100" i="3"/>
  <c r="J2056" i="3"/>
  <c r="J2824" i="3"/>
  <c r="J1541" i="3"/>
  <c r="J3051" i="3"/>
  <c r="J2250" i="3"/>
  <c r="J1735" i="3"/>
  <c r="J2277" i="3"/>
  <c r="J1565" i="3"/>
  <c r="J2787" i="3"/>
  <c r="J2295" i="3"/>
  <c r="J3462" i="3"/>
  <c r="J3671" i="3"/>
  <c r="J3566" i="3"/>
  <c r="J3534" i="3"/>
  <c r="J3146" i="3"/>
  <c r="J3461" i="3"/>
  <c r="J2238" i="3"/>
  <c r="J2865" i="3"/>
  <c r="J3691" i="3"/>
  <c r="J3527" i="3"/>
  <c r="J2913" i="3"/>
  <c r="J3647" i="3"/>
  <c r="J2440" i="3"/>
  <c r="J2711" i="3"/>
  <c r="J3643" i="3"/>
  <c r="J2133" i="3"/>
  <c r="J2437" i="3"/>
  <c r="J3649" i="3"/>
  <c r="J3661" i="3"/>
  <c r="J3347" i="3"/>
  <c r="J3297" i="3"/>
  <c r="J2536" i="3"/>
  <c r="J3083" i="3"/>
  <c r="J3033" i="3"/>
  <c r="J3638" i="3"/>
  <c r="I2628" i="3"/>
  <c r="I3170" i="3"/>
  <c r="I2514" i="3"/>
  <c r="I3457" i="3"/>
  <c r="I2474" i="3"/>
  <c r="I3529" i="3"/>
  <c r="I3504" i="3"/>
  <c r="I2924" i="3"/>
  <c r="I3455" i="3"/>
  <c r="I2872" i="3"/>
  <c r="I3550" i="3"/>
  <c r="I2972" i="3"/>
  <c r="I3646" i="3"/>
  <c r="I3141" i="3"/>
  <c r="I2468" i="3"/>
  <c r="I3044" i="3"/>
  <c r="I2138" i="3"/>
  <c r="I2868" i="3"/>
  <c r="I3618" i="3"/>
  <c r="I2992" i="3"/>
  <c r="I1842" i="3"/>
  <c r="I3329" i="3"/>
  <c r="J2504" i="3"/>
  <c r="J1795" i="3"/>
  <c r="J2270" i="3"/>
  <c r="J2665" i="3"/>
  <c r="J2868" i="3"/>
  <c r="J1777" i="3"/>
  <c r="J2411" i="3"/>
  <c r="J2990" i="3"/>
  <c r="J1342" i="3"/>
  <c r="J2526" i="3"/>
  <c r="J3280" i="3"/>
  <c r="J3026" i="3"/>
  <c r="J1615" i="3"/>
  <c r="J2323" i="3"/>
  <c r="J3316" i="3"/>
  <c r="J2679" i="3"/>
  <c r="J1757" i="3"/>
  <c r="J2754" i="3"/>
  <c r="J1663" i="3"/>
  <c r="J3248" i="3"/>
  <c r="J2810" i="3"/>
  <c r="J2188" i="3"/>
  <c r="J1926" i="3"/>
  <c r="J2291" i="3"/>
  <c r="J1938" i="3"/>
  <c r="J3388" i="3"/>
  <c r="J1529" i="3"/>
  <c r="J3112" i="3"/>
  <c r="J1829" i="3"/>
  <c r="J3339" i="3"/>
  <c r="J2781" i="3"/>
  <c r="J2479" i="3"/>
  <c r="J2320" i="3"/>
  <c r="J1853" i="3"/>
  <c r="J3075" i="3"/>
  <c r="J2805" i="3"/>
  <c r="J3345" i="3"/>
  <c r="J3553" i="3"/>
  <c r="J3411" i="3"/>
  <c r="J3358" i="3"/>
  <c r="J3684" i="3"/>
  <c r="J3190" i="3"/>
  <c r="J3680" i="3"/>
  <c r="J3153" i="3"/>
  <c r="J2390" i="3"/>
  <c r="J3578" i="3"/>
  <c r="J3201" i="3"/>
  <c r="J2422" i="3"/>
  <c r="J2403" i="3"/>
  <c r="J2999" i="3"/>
  <c r="J3464" i="3"/>
  <c r="J2735" i="3"/>
  <c r="J2450" i="3"/>
  <c r="J3532" i="3"/>
  <c r="J3545" i="3"/>
  <c r="J3635" i="3"/>
  <c r="J3585" i="3"/>
  <c r="J2707" i="3"/>
  <c r="J3371" i="3"/>
  <c r="J3321" i="3"/>
  <c r="I2591" i="3"/>
  <c r="I3146" i="3"/>
  <c r="I2476" i="3"/>
  <c r="J2729" i="3"/>
  <c r="J2832" i="3"/>
  <c r="J2580" i="3"/>
  <c r="J2953" i="3"/>
  <c r="J3156" i="3"/>
  <c r="J2065" i="3"/>
  <c r="J2803" i="3"/>
  <c r="J2301" i="3"/>
  <c r="J1636" i="3"/>
  <c r="J3045" i="3"/>
  <c r="J2214" i="3"/>
  <c r="J2343" i="3"/>
  <c r="J1903" i="3"/>
  <c r="J1502" i="3"/>
  <c r="J2290" i="3"/>
  <c r="J2967" i="3"/>
  <c r="J895" i="3"/>
  <c r="J3078" i="3"/>
  <c r="J2404" i="3"/>
  <c r="J2649" i="3"/>
  <c r="J2419" i="3"/>
  <c r="J2661" i="3"/>
  <c r="J1687" i="3"/>
  <c r="J2802" i="3"/>
  <c r="J1408" i="3"/>
  <c r="J2669" i="3"/>
  <c r="J1817" i="3"/>
  <c r="J2358" i="3"/>
  <c r="J1444" i="3"/>
  <c r="J2330" i="3"/>
  <c r="J3237" i="3"/>
  <c r="J2772" i="3"/>
  <c r="J2683" i="3"/>
  <c r="J1469" i="3"/>
  <c r="J3363" i="3"/>
  <c r="J3333" i="3"/>
  <c r="J3633" i="3"/>
  <c r="J3389" i="3"/>
  <c r="J3651" i="3"/>
  <c r="J3334" i="3"/>
  <c r="J3596" i="3"/>
  <c r="J3655" i="3"/>
  <c r="J3631" i="3"/>
  <c r="J3441" i="3"/>
  <c r="J2651" i="3"/>
  <c r="J3365" i="3"/>
  <c r="J3489" i="3"/>
  <c r="J2473" i="3"/>
  <c r="J2699" i="3"/>
  <c r="J3287" i="3"/>
  <c r="J3693" i="3"/>
  <c r="J3023" i="3"/>
  <c r="J2744" i="3"/>
  <c r="J3642" i="3"/>
  <c r="J3110" i="3"/>
  <c r="J3632" i="3"/>
  <c r="J2351" i="3"/>
  <c r="J2995" i="3"/>
  <c r="J3498" i="3"/>
  <c r="J3609" i="3"/>
  <c r="I2556" i="3"/>
  <c r="I3122" i="3"/>
  <c r="I2431" i="3"/>
  <c r="I3337" i="3"/>
  <c r="I2370" i="3"/>
  <c r="I3481" i="3"/>
  <c r="I3456" i="3"/>
  <c r="I2873" i="3"/>
  <c r="I3407" i="3"/>
  <c r="I2822" i="3"/>
  <c r="I3502" i="3"/>
  <c r="I2921" i="3"/>
  <c r="I3669" i="3"/>
  <c r="I3093" i="3"/>
  <c r="I2359" i="3"/>
  <c r="I2994" i="3"/>
  <c r="I1850" i="3"/>
  <c r="I2818" i="3"/>
  <c r="I3570" i="3"/>
  <c r="I2942" i="3"/>
  <c r="I3555" i="3"/>
  <c r="I3281" i="3"/>
  <c r="I2677" i="3"/>
  <c r="I3424" i="3"/>
  <c r="I2840" i="3"/>
  <c r="I3663" i="3"/>
  <c r="I2839" i="3"/>
  <c r="I3615" i="3"/>
  <c r="I3230" i="3"/>
  <c r="I2607" i="3"/>
  <c r="I3421" i="3"/>
  <c r="J3305" i="3"/>
  <c r="J3120" i="3"/>
  <c r="J2653" i="3"/>
  <c r="J2139" i="3"/>
  <c r="J2380" i="3"/>
  <c r="J1428" i="3"/>
  <c r="J2587" i="3"/>
  <c r="J2895" i="3"/>
  <c r="J1924" i="3"/>
  <c r="J3525" i="3"/>
  <c r="J2534" i="3"/>
  <c r="J2931" i="3"/>
  <c r="J2093" i="3"/>
  <c r="J1790" i="3"/>
  <c r="J2597" i="3"/>
  <c r="J3255" i="3"/>
  <c r="J1369" i="3"/>
  <c r="J2186" i="3"/>
  <c r="J2988" i="3"/>
  <c r="J2131" i="3"/>
  <c r="J2715" i="3"/>
  <c r="J3165" i="3"/>
  <c r="J2031" i="3"/>
  <c r="J3114" i="3"/>
  <c r="J1699" i="3"/>
  <c r="J3245" i="3"/>
  <c r="J897" i="3"/>
  <c r="J2384" i="3"/>
  <c r="J948" i="3"/>
  <c r="J2546" i="3"/>
  <c r="J2309" i="3"/>
  <c r="J3060" i="3"/>
  <c r="J3055" i="3"/>
  <c r="J1017" i="3"/>
  <c r="J2357" i="3"/>
  <c r="J2770" i="3"/>
  <c r="J2389" i="3"/>
  <c r="J3318" i="3"/>
  <c r="J3663" i="3"/>
  <c r="J3478" i="3"/>
  <c r="J3474" i="3"/>
  <c r="J3639" i="3"/>
  <c r="J3449" i="3"/>
  <c r="J2489" i="3"/>
  <c r="J2939" i="3"/>
  <c r="J3499" i="3"/>
  <c r="J2221" i="3"/>
  <c r="J2766" i="3"/>
  <c r="J2987" i="3"/>
  <c r="J3575" i="3"/>
  <c r="J3694" i="3"/>
  <c r="J3311" i="3"/>
  <c r="J3032" i="3"/>
  <c r="J3170" i="3"/>
  <c r="J3614" i="3"/>
  <c r="J3370" i="3"/>
  <c r="J2650" i="3"/>
  <c r="J3283" i="3"/>
  <c r="J3558" i="3"/>
  <c r="J2377" i="3"/>
  <c r="I2516" i="3"/>
  <c r="I3098" i="3"/>
  <c r="I2377" i="3"/>
  <c r="I3265" i="3"/>
  <c r="I2287" i="3"/>
  <c r="I3409" i="3"/>
  <c r="I3432" i="3"/>
  <c r="I2848" i="3"/>
  <c r="I3383" i="3"/>
  <c r="I2797" i="3"/>
  <c r="I3478" i="3"/>
  <c r="I2896" i="3"/>
  <c r="I3645" i="3"/>
  <c r="I3069" i="3"/>
  <c r="I2269" i="3"/>
  <c r="I2969" i="3"/>
  <c r="I3579" i="3"/>
  <c r="I2793" i="3"/>
  <c r="I3546" i="3"/>
  <c r="I2917" i="3"/>
  <c r="I3507" i="3"/>
  <c r="I3257" i="3"/>
  <c r="I2647" i="3"/>
  <c r="I3400" i="3"/>
  <c r="I2815" i="3"/>
  <c r="I3447" i="3"/>
  <c r="I2814" i="3"/>
  <c r="J3198" i="3"/>
  <c r="J2341" i="3"/>
  <c r="J2941" i="3"/>
  <c r="J3147" i="3"/>
  <c r="J2678" i="3"/>
  <c r="J1315" i="3"/>
  <c r="J2949" i="3"/>
  <c r="J2968" i="3"/>
  <c r="J1685" i="3"/>
  <c r="J2723" i="3"/>
  <c r="J2849" i="3"/>
  <c r="J3219" i="3"/>
  <c r="J2455" i="3"/>
  <c r="J1341" i="3"/>
  <c r="J2885" i="3"/>
  <c r="J2228" i="3"/>
  <c r="J1602" i="3"/>
  <c r="J2574" i="3"/>
  <c r="J3276" i="3"/>
  <c r="J3479" i="3"/>
  <c r="J3003" i="3"/>
  <c r="J2173" i="3"/>
  <c r="J2429" i="3"/>
  <c r="J2623" i="3"/>
  <c r="J2736" i="3"/>
  <c r="J2305" i="3"/>
  <c r="J1950" i="3"/>
  <c r="J2681" i="3"/>
  <c r="J1382" i="3"/>
  <c r="J2836" i="3"/>
  <c r="J2626" i="3"/>
  <c r="J3348" i="3"/>
  <c r="J3427" i="3"/>
  <c r="J1407" i="3"/>
  <c r="J2259" i="3"/>
  <c r="J2686" i="3"/>
  <c r="J2402" i="3"/>
  <c r="J3662" i="3"/>
  <c r="J3607" i="3"/>
  <c r="J3425" i="3"/>
  <c r="J3547" i="3"/>
  <c r="J3668" i="3"/>
  <c r="J3286" i="3"/>
  <c r="J2502" i="3"/>
  <c r="J3227" i="3"/>
  <c r="J3687" i="3"/>
  <c r="J2539" i="3"/>
  <c r="J3054" i="3"/>
  <c r="J3275" i="3"/>
  <c r="J2339" i="3"/>
  <c r="J3567" i="3"/>
  <c r="J3599" i="3"/>
  <c r="J3320" i="3"/>
  <c r="J3402" i="3"/>
  <c r="J3589" i="3"/>
  <c r="J3086" i="3"/>
  <c r="J2938" i="3"/>
  <c r="J2150" i="3"/>
  <c r="J3542" i="3"/>
  <c r="J2674" i="3"/>
  <c r="I2478" i="3"/>
  <c r="I3074" i="3"/>
  <c r="I2292" i="3"/>
  <c r="I3241" i="3"/>
  <c r="I2173" i="3"/>
  <c r="I3385" i="3"/>
  <c r="I3408" i="3"/>
  <c r="I2823" i="3"/>
  <c r="I3359" i="3"/>
  <c r="I2772" i="3"/>
  <c r="I3454" i="3"/>
  <c r="I2871" i="3"/>
  <c r="J1288" i="3"/>
  <c r="J2930" i="3"/>
  <c r="J2468" i="3"/>
  <c r="J2043" i="3"/>
  <c r="J2966" i="3"/>
  <c r="J1612" i="3"/>
  <c r="J3477" i="3"/>
  <c r="J3256" i="3"/>
  <c r="J1276" i="3"/>
  <c r="J1418" i="3"/>
  <c r="J3137" i="3"/>
  <c r="J3292" i="3"/>
  <c r="J2749" i="3"/>
  <c r="J1635" i="3"/>
  <c r="J3173" i="3"/>
  <c r="J2458" i="3"/>
  <c r="J1890" i="3"/>
  <c r="J2923" i="3"/>
  <c r="J2505" i="3"/>
  <c r="J1609" i="3"/>
  <c r="J3291" i="3"/>
  <c r="J3539" i="3"/>
  <c r="J2724" i="3"/>
  <c r="J2971" i="3"/>
  <c r="J3312" i="3"/>
  <c r="J2498" i="3"/>
  <c r="J1711" i="3"/>
  <c r="J2969" i="3"/>
  <c r="J1674" i="3"/>
  <c r="J3124" i="3"/>
  <c r="J1692" i="3"/>
  <c r="J2176" i="3"/>
  <c r="J2936" i="3"/>
  <c r="J1698" i="3"/>
  <c r="J2571" i="3"/>
  <c r="J2974" i="3"/>
  <c r="J2698" i="3"/>
  <c r="J3594" i="3"/>
  <c r="J3648" i="3"/>
  <c r="J3577" i="3"/>
  <c r="J3574" i="3"/>
  <c r="J3675" i="3"/>
  <c r="J3254" i="3"/>
  <c r="J2794" i="3"/>
  <c r="J3515" i="3"/>
  <c r="J3505" i="3"/>
  <c r="J2236" i="3"/>
  <c r="J2436" i="3"/>
  <c r="J3563" i="3"/>
  <c r="J3630" i="3"/>
  <c r="J3653" i="3"/>
  <c r="J2366" i="3"/>
  <c r="J2308" i="3"/>
  <c r="J3588" i="3"/>
  <c r="J3674" i="3"/>
  <c r="J3471" i="3"/>
  <c r="J2783" i="3"/>
  <c r="J2487" i="3"/>
  <c r="J3414" i="3"/>
  <c r="J2962" i="3"/>
  <c r="I2432" i="3"/>
  <c r="I3050" i="3"/>
  <c r="I2178" i="3"/>
  <c r="I3145" i="3"/>
  <c r="I2029" i="3"/>
  <c r="I3361" i="3"/>
  <c r="I3384" i="3"/>
  <c r="I2798" i="3"/>
  <c r="I3335" i="3"/>
  <c r="I2744" i="3"/>
  <c r="I3430" i="3"/>
  <c r="I2846" i="3"/>
  <c r="I3597" i="3"/>
  <c r="I3021" i="3"/>
  <c r="I2005" i="3"/>
  <c r="I2919" i="3"/>
  <c r="I3619" i="3"/>
  <c r="I2738" i="3"/>
  <c r="I3498" i="3"/>
  <c r="I2867" i="3"/>
  <c r="I3671" i="3"/>
  <c r="I3209" i="3"/>
  <c r="I2576" i="3"/>
  <c r="I3352" i="3"/>
  <c r="I2764" i="3"/>
  <c r="I3351" i="3"/>
  <c r="I2762" i="3"/>
  <c r="I3423" i="3"/>
  <c r="I3158" i="3"/>
  <c r="I2495" i="3"/>
  <c r="I3277" i="3"/>
  <c r="I2606" i="3"/>
  <c r="I3181" i="3"/>
  <c r="J1877" i="3"/>
  <c r="J2835" i="3"/>
  <c r="J3135" i="3"/>
  <c r="J2644" i="3"/>
  <c r="J2582" i="3"/>
  <c r="J1661" i="3"/>
  <c r="J3058" i="3"/>
  <c r="J2825" i="3"/>
  <c r="J1579" i="3"/>
  <c r="J1406" i="3"/>
  <c r="J2461" i="3"/>
  <c r="J2229" i="3"/>
  <c r="J3037" i="3"/>
  <c r="J1923" i="3"/>
  <c r="J2560" i="3"/>
  <c r="J2752" i="3"/>
  <c r="J1651" i="3"/>
  <c r="J3331" i="3"/>
  <c r="J2797" i="3"/>
  <c r="J1039" i="3"/>
  <c r="J2273" i="3"/>
  <c r="J1621" i="3"/>
  <c r="J3012" i="3"/>
  <c r="J3367" i="3"/>
  <c r="J2467" i="3"/>
  <c r="J3126" i="3"/>
  <c r="J2454" i="3"/>
  <c r="J3257" i="3"/>
  <c r="J1962" i="3"/>
  <c r="J3412" i="3"/>
  <c r="J1980" i="3"/>
  <c r="J2869" i="3"/>
  <c r="J3404" i="3"/>
  <c r="J1986" i="3"/>
  <c r="J2860" i="3"/>
  <c r="J2252" i="3"/>
  <c r="J2986" i="3"/>
  <c r="J3485" i="3"/>
  <c r="J3570" i="3"/>
  <c r="J2817" i="3"/>
  <c r="J3495" i="3"/>
  <c r="J3618" i="3"/>
  <c r="J3470" i="3"/>
  <c r="J3082" i="3"/>
  <c r="J2269" i="3"/>
  <c r="J3533" i="3"/>
  <c r="J2552" i="3"/>
  <c r="J2611" i="3"/>
  <c r="J2325" i="3"/>
  <c r="J3366" i="3"/>
  <c r="J3582" i="3"/>
  <c r="J3482" i="3"/>
  <c r="J2685" i="3"/>
  <c r="J3576" i="3"/>
  <c r="J2129" i="3"/>
  <c r="J3262" i="3"/>
  <c r="J3071" i="3"/>
  <c r="J2169" i="3"/>
  <c r="J3517" i="3"/>
  <c r="J2807" i="3"/>
  <c r="I2378" i="3"/>
  <c r="I3026" i="3"/>
  <c r="I2034" i="3"/>
  <c r="I3121" i="3"/>
  <c r="I1885" i="3"/>
  <c r="I3313" i="3"/>
  <c r="I3360" i="3"/>
  <c r="I2773" i="3"/>
  <c r="I3311" i="3"/>
  <c r="I2714" i="3"/>
  <c r="I3406" i="3"/>
  <c r="I2821" i="3"/>
  <c r="I3573" i="3"/>
  <c r="I2996" i="3"/>
  <c r="I1861" i="3"/>
  <c r="I2894" i="3"/>
  <c r="I3307" i="3"/>
  <c r="I2709" i="3"/>
  <c r="I3474" i="3"/>
  <c r="I2842" i="3"/>
  <c r="I3666" i="3"/>
  <c r="I3185" i="3"/>
  <c r="I2538" i="3"/>
  <c r="I3328" i="3"/>
  <c r="I2735" i="3"/>
  <c r="I3327" i="3"/>
  <c r="I2734" i="3"/>
  <c r="I3399" i="3"/>
  <c r="I3134" i="3"/>
  <c r="I2456" i="3"/>
  <c r="I3253" i="3"/>
  <c r="I2570" i="3"/>
  <c r="I3684" i="3"/>
  <c r="I3108" i="3"/>
  <c r="I2401" i="3"/>
  <c r="I3299" i="3"/>
  <c r="I2700" i="3"/>
  <c r="I3442" i="3"/>
  <c r="I2859" i="3"/>
  <c r="I3611" i="3"/>
  <c r="I3201" i="3"/>
  <c r="I2564" i="3"/>
  <c r="I3416" i="3"/>
  <c r="I2832" i="3"/>
  <c r="I3511" i="3"/>
  <c r="J1304" i="3"/>
  <c r="J3123" i="3"/>
  <c r="J1999" i="3"/>
  <c r="J2932" i="3"/>
  <c r="J2871" i="3"/>
  <c r="J1949" i="3"/>
  <c r="J2615" i="3"/>
  <c r="J3113" i="3"/>
  <c r="J2312" i="3"/>
  <c r="J1697" i="3"/>
  <c r="J2081" i="3"/>
  <c r="J2260" i="3"/>
  <c r="J3325" i="3"/>
  <c r="J1684" i="3"/>
  <c r="J2410" i="3"/>
  <c r="J2584" i="3"/>
  <c r="J1939" i="3"/>
  <c r="J2307" i="3"/>
  <c r="J3085" i="3"/>
  <c r="J1416" i="3"/>
  <c r="J2163" i="3"/>
  <c r="J1909" i="3"/>
  <c r="J3300" i="3"/>
  <c r="J2876" i="3"/>
  <c r="J2543" i="3"/>
  <c r="J2586" i="3"/>
  <c r="J2748" i="3"/>
  <c r="J2826" i="3"/>
  <c r="J1433" i="3"/>
  <c r="J2371" i="3"/>
  <c r="J2268" i="3"/>
  <c r="J3157" i="3"/>
  <c r="J2513" i="3"/>
  <c r="J1118" i="3"/>
  <c r="J3148" i="3"/>
  <c r="J2565" i="3"/>
  <c r="J2267" i="3"/>
  <c r="J3622" i="3"/>
  <c r="J3354" i="3"/>
  <c r="J3105" i="3"/>
  <c r="J2758" i="3"/>
  <c r="J3430" i="3"/>
  <c r="J3636" i="3"/>
  <c r="J2338" i="3"/>
  <c r="J2579" i="3"/>
  <c r="J3652" i="3"/>
  <c r="J2842" i="3"/>
  <c r="J2899" i="3"/>
  <c r="J3617" i="3"/>
  <c r="J3657" i="3"/>
  <c r="J3302" i="3"/>
  <c r="J3669" i="3"/>
  <c r="J2973" i="3"/>
  <c r="J3564" i="3"/>
  <c r="J2475" i="3"/>
  <c r="J3673" i="3"/>
  <c r="J3359" i="3"/>
  <c r="J2500" i="3"/>
  <c r="J3697" i="3"/>
  <c r="J3095" i="3"/>
  <c r="I2293" i="3"/>
  <c r="I3001" i="3"/>
  <c r="I1890" i="3"/>
  <c r="I3097" i="3"/>
  <c r="I3435" i="3"/>
  <c r="I3289" i="3"/>
  <c r="I3336" i="3"/>
  <c r="I2745" i="3"/>
  <c r="I3287" i="3"/>
  <c r="I2684" i="3"/>
  <c r="I3382" i="3"/>
  <c r="I2796" i="3"/>
  <c r="I3549" i="3"/>
  <c r="I2970" i="3"/>
  <c r="I3452" i="3"/>
  <c r="I2869" i="3"/>
  <c r="I3283" i="3"/>
  <c r="I2679" i="3"/>
  <c r="I3426" i="3"/>
  <c r="I2817" i="3"/>
  <c r="I3450" i="3"/>
  <c r="I3161" i="3"/>
  <c r="I2500" i="3"/>
  <c r="I3304" i="3"/>
  <c r="I2705" i="3"/>
  <c r="I3303" i="3"/>
  <c r="I2704" i="3"/>
  <c r="I3686" i="3"/>
  <c r="J2197" i="3"/>
  <c r="J2472" i="3"/>
  <c r="J2920" i="3"/>
  <c r="J3220" i="3"/>
  <c r="J3159" i="3"/>
  <c r="J1183" i="3"/>
  <c r="J1092" i="3"/>
  <c r="J2103" i="3"/>
  <c r="J2616" i="3"/>
  <c r="J1830" i="3"/>
  <c r="J2499" i="3"/>
  <c r="J2572" i="3"/>
  <c r="J2456" i="3"/>
  <c r="J1972" i="3"/>
  <c r="J2278" i="3"/>
  <c r="J2897" i="3"/>
  <c r="J2417" i="3"/>
  <c r="J3236" i="3"/>
  <c r="J3373" i="3"/>
  <c r="J1683" i="3"/>
  <c r="J2496" i="3"/>
  <c r="J1005" i="3"/>
  <c r="J2210" i="3"/>
  <c r="J3284" i="3"/>
  <c r="J3121" i="3"/>
  <c r="J2635" i="3"/>
  <c r="J3036" i="3"/>
  <c r="J3138" i="3"/>
  <c r="J1723" i="3"/>
  <c r="J2693" i="3"/>
  <c r="J1239" i="3"/>
  <c r="J3445" i="3"/>
  <c r="J2281" i="3"/>
  <c r="J1458" i="3"/>
  <c r="J3436" i="3"/>
  <c r="J2206" i="3"/>
  <c r="J2831" i="3"/>
  <c r="J3557" i="3"/>
  <c r="J2060" i="3"/>
  <c r="J3393" i="3"/>
  <c r="J3046" i="3"/>
  <c r="J3206" i="3"/>
  <c r="J3518" i="3"/>
  <c r="J2639" i="3"/>
  <c r="J3565" i="3"/>
  <c r="J3658" i="3"/>
  <c r="J2024" i="3"/>
  <c r="J3187" i="3"/>
  <c r="J3428" i="3"/>
  <c r="J3554" i="3"/>
  <c r="J3508" i="3"/>
  <c r="J3580" i="3"/>
  <c r="J3261" i="3"/>
  <c r="J3496" i="3"/>
  <c r="J2768" i="3"/>
  <c r="J3401" i="3"/>
  <c r="J2416" i="3"/>
  <c r="J2792" i="3"/>
  <c r="J3166" i="3"/>
  <c r="J3383" i="3"/>
  <c r="I2185" i="3"/>
  <c r="I2976" i="3"/>
  <c r="I3411" i="3"/>
  <c r="I3073" i="3"/>
  <c r="I3363" i="3"/>
  <c r="I3217" i="3"/>
  <c r="I3312" i="3"/>
  <c r="I2716" i="3"/>
  <c r="I3263" i="3"/>
  <c r="I2654" i="3"/>
  <c r="I3358" i="3"/>
  <c r="I2770" i="3"/>
  <c r="I3525" i="3"/>
  <c r="I2945" i="3"/>
  <c r="I3428" i="3"/>
  <c r="I2844" i="3"/>
  <c r="I3259" i="3"/>
  <c r="I2649" i="3"/>
  <c r="I3402" i="3"/>
  <c r="I2792" i="3"/>
  <c r="I3258" i="3"/>
  <c r="I3137" i="3"/>
  <c r="I2462" i="3"/>
  <c r="I3280" i="3"/>
  <c r="I2676" i="3"/>
  <c r="I3279" i="3"/>
  <c r="I2674" i="3"/>
  <c r="I3662" i="3"/>
  <c r="I3086" i="3"/>
  <c r="I2340" i="3"/>
  <c r="I3157" i="3"/>
  <c r="I2494" i="3"/>
  <c r="I3636" i="3"/>
  <c r="J2811" i="3"/>
  <c r="J2765" i="3"/>
  <c r="J3208" i="3"/>
  <c r="J2497" i="3"/>
  <c r="J2445" i="3"/>
  <c r="J1506" i="3"/>
  <c r="J1730" i="3"/>
  <c r="J2485" i="3"/>
  <c r="J2904" i="3"/>
  <c r="J1420" i="3"/>
  <c r="J2851" i="3"/>
  <c r="J2861" i="3"/>
  <c r="J3038" i="3"/>
  <c r="J1275" i="3"/>
  <c r="J2321" i="3"/>
  <c r="J3185" i="3"/>
  <c r="J2785" i="3"/>
  <c r="J2413" i="3"/>
  <c r="J2506" i="3"/>
  <c r="J1971" i="3"/>
  <c r="J3076" i="3"/>
  <c r="J1402" i="3"/>
  <c r="J2821" i="3"/>
  <c r="J2204" i="3"/>
  <c r="J3409" i="3"/>
  <c r="J3019" i="3"/>
  <c r="J3324" i="3"/>
  <c r="J2247" i="3"/>
  <c r="J2115" i="3"/>
  <c r="J2981" i="3"/>
  <c r="J1669" i="3"/>
  <c r="J2393" i="3"/>
  <c r="J2793" i="3"/>
  <c r="J1747" i="3"/>
  <c r="J2396" i="3"/>
  <c r="J2528" i="3"/>
  <c r="J3119" i="3"/>
  <c r="J3377" i="3"/>
  <c r="J2734" i="3"/>
  <c r="J2059" i="3"/>
  <c r="J2297" i="3"/>
  <c r="J3452" i="3"/>
  <c r="J3457" i="3"/>
  <c r="J2927" i="3"/>
  <c r="J3214" i="3"/>
  <c r="J3591" i="3"/>
  <c r="J2687" i="3"/>
  <c r="J3475" i="3"/>
  <c r="J3342" i="3"/>
  <c r="J3450" i="3"/>
  <c r="J3690" i="3"/>
  <c r="J3484" i="3"/>
  <c r="J3549" i="3"/>
  <c r="J3584" i="3"/>
  <c r="J3056" i="3"/>
  <c r="J3677" i="3"/>
  <c r="J3529" i="3"/>
  <c r="J3080" i="3"/>
  <c r="J3330" i="3"/>
  <c r="J2067" i="3"/>
  <c r="I3027" i="3"/>
  <c r="I2041" i="3"/>
  <c r="I2951" i="3"/>
  <c r="I3387" i="3"/>
  <c r="I3025" i="3"/>
  <c r="I3267" i="3"/>
  <c r="I3193" i="3"/>
  <c r="I3288" i="3"/>
  <c r="I2685" i="3"/>
  <c r="I3239" i="3"/>
  <c r="I2622" i="3"/>
  <c r="I3334" i="3"/>
  <c r="I2743" i="3"/>
  <c r="I3501" i="3"/>
  <c r="I2920" i="3"/>
  <c r="I3404" i="3"/>
  <c r="J2596" i="3"/>
  <c r="J3053" i="3"/>
  <c r="J2435" i="3"/>
  <c r="J3258" i="3"/>
  <c r="J2182" i="3"/>
  <c r="J2284" i="3"/>
  <c r="J1912" i="3"/>
  <c r="J2474" i="3"/>
  <c r="J3192" i="3"/>
  <c r="J1291" i="3"/>
  <c r="J3223" i="3"/>
  <c r="J3149" i="3"/>
  <c r="J2356" i="3"/>
  <c r="J1578" i="3"/>
  <c r="J2816" i="3"/>
  <c r="J2230" i="3"/>
  <c r="J3073" i="3"/>
  <c r="J3129" i="3"/>
  <c r="J2798" i="3"/>
  <c r="J1094" i="3"/>
  <c r="J3364" i="3"/>
  <c r="J1256" i="3"/>
  <c r="J3109" i="3"/>
  <c r="J3177" i="3"/>
  <c r="J2355" i="3"/>
  <c r="J3379" i="3"/>
  <c r="J2138" i="3"/>
  <c r="J2647" i="3"/>
  <c r="J2760" i="3"/>
  <c r="J3269" i="3"/>
  <c r="J1957" i="3"/>
  <c r="J2870" i="3"/>
  <c r="J3273" i="3"/>
  <c r="J2156" i="3"/>
  <c r="J2007" i="3"/>
  <c r="J2819" i="3"/>
  <c r="J3407" i="3"/>
  <c r="J3122" i="3"/>
  <c r="J3022" i="3"/>
  <c r="J2439" i="3"/>
  <c r="J2603" i="3"/>
  <c r="J3660" i="3"/>
  <c r="J3490" i="3"/>
  <c r="J3215" i="3"/>
  <c r="J3398" i="3"/>
  <c r="J3593" i="3"/>
  <c r="J2975" i="3"/>
  <c r="J2387" i="3"/>
  <c r="J3541" i="3"/>
  <c r="J3569" i="3"/>
  <c r="J3278" i="3"/>
  <c r="J3469" i="3"/>
  <c r="J2614" i="3"/>
  <c r="J2114" i="3"/>
  <c r="J3344" i="3"/>
  <c r="J3627" i="3"/>
  <c r="J3154" i="3"/>
  <c r="J3368" i="3"/>
  <c r="J3440" i="3"/>
  <c r="J2441" i="3"/>
  <c r="I3002" i="3"/>
  <c r="I1897" i="3"/>
  <c r="I2926" i="3"/>
  <c r="I3339" i="3"/>
  <c r="I3000" i="3"/>
  <c r="I3219" i="3"/>
  <c r="I3169" i="3"/>
  <c r="I3264" i="3"/>
  <c r="I2655" i="3"/>
  <c r="I3215" i="3"/>
  <c r="I2585" i="3"/>
  <c r="I3310" i="3"/>
  <c r="I2713" i="3"/>
  <c r="I3477" i="3"/>
  <c r="I2895" i="3"/>
  <c r="I3380" i="3"/>
  <c r="I2794" i="3"/>
  <c r="I3211" i="3"/>
  <c r="I2580" i="3"/>
  <c r="I3354" i="3"/>
  <c r="I2737" i="3"/>
  <c r="I3665" i="3"/>
  <c r="I3089" i="3"/>
  <c r="I2346" i="3"/>
  <c r="I3232" i="3"/>
  <c r="I2610" i="3"/>
  <c r="I3231" i="3"/>
  <c r="J3369" i="3"/>
  <c r="J3341" i="3"/>
  <c r="J2622" i="3"/>
  <c r="J2779" i="3"/>
  <c r="J2801" i="3"/>
  <c r="J2592" i="3"/>
  <c r="J981" i="3"/>
  <c r="J2815" i="3"/>
  <c r="J2531" i="3"/>
  <c r="J1591" i="3"/>
  <c r="J2279" i="3"/>
  <c r="J2165" i="3"/>
  <c r="J2728" i="3"/>
  <c r="J1866" i="3"/>
  <c r="J3200" i="3"/>
  <c r="J2423" i="3"/>
  <c r="J3361" i="3"/>
  <c r="J2477" i="3"/>
  <c r="J2407" i="3"/>
  <c r="J1732" i="3"/>
  <c r="J2345" i="3"/>
  <c r="J1850" i="3"/>
  <c r="J3397" i="3"/>
  <c r="J3587" i="3"/>
  <c r="J2226" i="3"/>
  <c r="J2374" i="3"/>
  <c r="J2240" i="3"/>
  <c r="J3031" i="3"/>
  <c r="J3048" i="3"/>
  <c r="J2332" i="3"/>
  <c r="J1313" i="3"/>
  <c r="J2141" i="3"/>
  <c r="J1969" i="3"/>
  <c r="J2784" i="3"/>
  <c r="J2717" i="3"/>
  <c r="J3107" i="3"/>
  <c r="J2466" i="3"/>
  <c r="J3274" i="3"/>
  <c r="J2310" i="3"/>
  <c r="J2452" i="3"/>
  <c r="J2891" i="3"/>
  <c r="J3326" i="3"/>
  <c r="J3520" i="3"/>
  <c r="J3503" i="3"/>
  <c r="J3118" i="3"/>
  <c r="J3613" i="3"/>
  <c r="J3263" i="3"/>
  <c r="J2400" i="3"/>
  <c r="J3413" i="3"/>
  <c r="J3394" i="3"/>
  <c r="J3696" i="3"/>
  <c r="J3290" i="3"/>
  <c r="J2902" i="3"/>
  <c r="J2759" i="3"/>
  <c r="J2335" i="3"/>
  <c r="J3562" i="3"/>
  <c r="J3502" i="3"/>
  <c r="J2362" i="3"/>
  <c r="J3628" i="3"/>
  <c r="J3695" i="3"/>
  <c r="I2977" i="3"/>
  <c r="I3315" i="3"/>
  <c r="I2901" i="3"/>
  <c r="I3195" i="3"/>
  <c r="I2900" i="3"/>
  <c r="I3147" i="3"/>
  <c r="I3049" i="3"/>
  <c r="I3240" i="3"/>
  <c r="I2623" i="3"/>
  <c r="I3191" i="3"/>
  <c r="I2548" i="3"/>
  <c r="I3286" i="3"/>
  <c r="I2682" i="3"/>
  <c r="I3453" i="3"/>
  <c r="I2870" i="3"/>
  <c r="I3434" i="3"/>
  <c r="I3117" i="3"/>
  <c r="I2258" i="3"/>
  <c r="I3305" i="3"/>
  <c r="I3040" i="3"/>
  <c r="I2864" i="3"/>
  <c r="I3206" i="3"/>
  <c r="I3565" i="3"/>
  <c r="I3427" i="3"/>
  <c r="I3060" i="3"/>
  <c r="I3491" i="3"/>
  <c r="I2638" i="3"/>
  <c r="I3058" i="3"/>
  <c r="I3586" i="3"/>
  <c r="I2958" i="3"/>
  <c r="I3560" i="3"/>
  <c r="I2857" i="3"/>
  <c r="I3391" i="3"/>
  <c r="I2633" i="3"/>
  <c r="I3102" i="3"/>
  <c r="I2058" i="3"/>
  <c r="I3101" i="3"/>
  <c r="I2053" i="3"/>
  <c r="I3508" i="3"/>
  <c r="I2903" i="3"/>
  <c r="I2560" i="3"/>
  <c r="I1960" i="3"/>
  <c r="I1360" i="3"/>
  <c r="I760" i="3"/>
  <c r="I160" i="3"/>
  <c r="I2007" i="3"/>
  <c r="I1407" i="3"/>
  <c r="I807" i="3"/>
  <c r="I207" i="3"/>
  <c r="I2030" i="3"/>
  <c r="I1430" i="3"/>
  <c r="I830" i="3"/>
  <c r="I254" i="3"/>
  <c r="I1261" i="3"/>
  <c r="I685" i="3"/>
  <c r="I109" i="3"/>
  <c r="I1812" i="3"/>
  <c r="I1236" i="3"/>
  <c r="I660" i="3"/>
  <c r="I84" i="3"/>
  <c r="I2291" i="3"/>
  <c r="I1715" i="3"/>
  <c r="I1139" i="3"/>
  <c r="I563" i="3"/>
  <c r="I2554" i="3"/>
  <c r="I1978" i="3"/>
  <c r="I1402" i="3"/>
  <c r="I826" i="3"/>
  <c r="I250" i="3"/>
  <c r="I2313" i="3"/>
  <c r="I1737" i="3"/>
  <c r="I1161" i="3"/>
  <c r="I585" i="3"/>
  <c r="I1832" i="3"/>
  <c r="I1256" i="3"/>
  <c r="I680" i="3"/>
  <c r="I104" i="3"/>
  <c r="I1711" i="3"/>
  <c r="I1135" i="3"/>
  <c r="I559" i="3"/>
  <c r="I2334" i="3"/>
  <c r="I1758" i="3"/>
  <c r="I1182" i="3"/>
  <c r="I606" i="3"/>
  <c r="I30" i="3"/>
  <c r="I2213" i="3"/>
  <c r="I1637" i="3"/>
  <c r="I1061" i="3"/>
  <c r="I485" i="3"/>
  <c r="I2380" i="3"/>
  <c r="I1804" i="3"/>
  <c r="I1228" i="3"/>
  <c r="I652" i="3"/>
  <c r="I76" i="3"/>
  <c r="I2283" i="3"/>
  <c r="I1707" i="3"/>
  <c r="I1131" i="3"/>
  <c r="I555" i="3"/>
  <c r="I1826" i="3"/>
  <c r="I1250" i="3"/>
  <c r="I674" i="3"/>
  <c r="I98" i="3"/>
  <c r="I1345" i="3"/>
  <c r="I769" i="3"/>
  <c r="I193" i="3"/>
  <c r="I2352" i="3"/>
  <c r="I1776" i="3"/>
  <c r="I1200" i="3"/>
  <c r="I624" i="3"/>
  <c r="I48" i="3"/>
  <c r="I1871" i="3"/>
  <c r="I1295" i="3"/>
  <c r="I719" i="3"/>
  <c r="I143" i="3"/>
  <c r="I1966" i="3"/>
  <c r="I1390" i="3"/>
  <c r="I814" i="3"/>
  <c r="I238" i="3"/>
  <c r="I2301" i="3"/>
  <c r="I1725" i="3"/>
  <c r="I1149" i="3"/>
  <c r="I573" i="3"/>
  <c r="I1892" i="3"/>
  <c r="I1316" i="3"/>
  <c r="I740" i="3"/>
  <c r="I164" i="3"/>
  <c r="I2635" i="3"/>
  <c r="I2059" i="3"/>
  <c r="I1483" i="3"/>
  <c r="I907" i="3"/>
  <c r="I331" i="3"/>
  <c r="I1554" i="3"/>
  <c r="I978" i="3"/>
  <c r="I402" i="3"/>
  <c r="I2177" i="3"/>
  <c r="I1601" i="3"/>
  <c r="I1025" i="3"/>
  <c r="I449" i="3"/>
  <c r="I2129" i="3"/>
  <c r="I401" i="3"/>
  <c r="I2719" i="3"/>
  <c r="I3045" i="3"/>
  <c r="I1993" i="3"/>
  <c r="I3233" i="3"/>
  <c r="I2965" i="3"/>
  <c r="I2789" i="3"/>
  <c r="I3182" i="3"/>
  <c r="I3445" i="3"/>
  <c r="I3541" i="3"/>
  <c r="I3036" i="3"/>
  <c r="I3443" i="3"/>
  <c r="I2604" i="3"/>
  <c r="I3009" i="3"/>
  <c r="I3514" i="3"/>
  <c r="I2933" i="3"/>
  <c r="I3536" i="3"/>
  <c r="I2807" i="3"/>
  <c r="I3343" i="3"/>
  <c r="I2598" i="3"/>
  <c r="I3078" i="3"/>
  <c r="I1914" i="3"/>
  <c r="I3077" i="3"/>
  <c r="I1909" i="3"/>
  <c r="I3484" i="3"/>
  <c r="I2878" i="3"/>
  <c r="I2536" i="3"/>
  <c r="I1936" i="3"/>
  <c r="I1336" i="3"/>
  <c r="I736" i="3"/>
  <c r="I136" i="3"/>
  <c r="I1983" i="3"/>
  <c r="I1383" i="3"/>
  <c r="I783" i="3"/>
  <c r="I159" i="3"/>
  <c r="I2006" i="3"/>
  <c r="I1406" i="3"/>
  <c r="I806" i="3"/>
  <c r="I230" i="3"/>
  <c r="I1237" i="3"/>
  <c r="I661" i="3"/>
  <c r="I85" i="3"/>
  <c r="I1788" i="3"/>
  <c r="I1212" i="3"/>
  <c r="I636" i="3"/>
  <c r="I60" i="3"/>
  <c r="I2267" i="3"/>
  <c r="I1691" i="3"/>
  <c r="I1115" i="3"/>
  <c r="I539" i="3"/>
  <c r="I2530" i="3"/>
  <c r="I1954" i="3"/>
  <c r="I1378" i="3"/>
  <c r="I802" i="3"/>
  <c r="I226" i="3"/>
  <c r="I2289" i="3"/>
  <c r="I1713" i="3"/>
  <c r="I1137" i="3"/>
  <c r="I561" i="3"/>
  <c r="I2384" i="3"/>
  <c r="I1808" i="3"/>
  <c r="I1232" i="3"/>
  <c r="I656" i="3"/>
  <c r="I80" i="3"/>
  <c r="I1687" i="3"/>
  <c r="I1111" i="3"/>
  <c r="I535" i="3"/>
  <c r="I2310" i="3"/>
  <c r="I1734" i="3"/>
  <c r="I1158" i="3"/>
  <c r="I582" i="3"/>
  <c r="I2189" i="3"/>
  <c r="I1613" i="3"/>
  <c r="I1037" i="3"/>
  <c r="I461" i="3"/>
  <c r="I2356" i="3"/>
  <c r="I1780" i="3"/>
  <c r="I1204" i="3"/>
  <c r="I628" i="3"/>
  <c r="I52" i="3"/>
  <c r="I2259" i="3"/>
  <c r="I1683" i="3"/>
  <c r="I1107" i="3"/>
  <c r="I531" i="3"/>
  <c r="I1802" i="3"/>
  <c r="I1226" i="3"/>
  <c r="I650" i="3"/>
  <c r="I74" i="3"/>
  <c r="I1321" i="3"/>
  <c r="I745" i="3"/>
  <c r="I169" i="3"/>
  <c r="I2328" i="3"/>
  <c r="I1752" i="3"/>
  <c r="I1176" i="3"/>
  <c r="I600" i="3"/>
  <c r="I24" i="3"/>
  <c r="I1847" i="3"/>
  <c r="I1271" i="3"/>
  <c r="I695" i="3"/>
  <c r="I119" i="3"/>
  <c r="I1942" i="3"/>
  <c r="I1366" i="3"/>
  <c r="I790" i="3"/>
  <c r="I214" i="3"/>
  <c r="I2277" i="3"/>
  <c r="I1701" i="3"/>
  <c r="I1125" i="3"/>
  <c r="I549" i="3"/>
  <c r="I2444" i="3"/>
  <c r="I1868" i="3"/>
  <c r="I1292" i="3"/>
  <c r="I716" i="3"/>
  <c r="I140" i="3"/>
  <c r="I2611" i="3"/>
  <c r="I2035" i="3"/>
  <c r="I1459" i="3"/>
  <c r="I883" i="3"/>
  <c r="I307" i="3"/>
  <c r="I1530" i="3"/>
  <c r="I954" i="3"/>
  <c r="I378" i="3"/>
  <c r="I2153" i="3"/>
  <c r="I1577" i="3"/>
  <c r="I1001" i="3"/>
  <c r="I425" i="3"/>
  <c r="I977" i="3"/>
  <c r="I2396" i="3"/>
  <c r="I3530" i="3"/>
  <c r="I2681" i="3"/>
  <c r="I3594" i="3"/>
  <c r="I3113" i="3"/>
  <c r="I2940" i="3"/>
  <c r="I2644" i="3"/>
  <c r="I3110" i="3"/>
  <c r="I3397" i="3"/>
  <c r="I3517" i="3"/>
  <c r="I3011" i="3"/>
  <c r="I3419" i="3"/>
  <c r="I2567" i="3"/>
  <c r="I2984" i="3"/>
  <c r="I3490" i="3"/>
  <c r="I2908" i="3"/>
  <c r="I3512" i="3"/>
  <c r="I2782" i="3"/>
  <c r="I3319" i="3"/>
  <c r="I2561" i="3"/>
  <c r="I3054" i="3"/>
  <c r="I1645" i="3"/>
  <c r="I3053" i="3"/>
  <c r="I1621" i="3"/>
  <c r="I3460" i="3"/>
  <c r="I2853" i="3"/>
  <c r="I2512" i="3"/>
  <c r="I1912" i="3"/>
  <c r="I1312" i="3"/>
  <c r="I712" i="3"/>
  <c r="I112" i="3"/>
  <c r="I1959" i="3"/>
  <c r="I1359" i="3"/>
  <c r="I735" i="3"/>
  <c r="I135" i="3"/>
  <c r="I1982" i="3"/>
  <c r="I1382" i="3"/>
  <c r="I782" i="3"/>
  <c r="I206" i="3"/>
  <c r="I1213" i="3"/>
  <c r="I637" i="3"/>
  <c r="I61" i="3"/>
  <c r="I1764" i="3"/>
  <c r="I1188" i="3"/>
  <c r="I612" i="3"/>
  <c r="I36" i="3"/>
  <c r="I2243" i="3"/>
  <c r="I1667" i="3"/>
  <c r="I1091" i="3"/>
  <c r="I515" i="3"/>
  <c r="I2506" i="3"/>
  <c r="I1930" i="3"/>
  <c r="I1354" i="3"/>
  <c r="I778" i="3"/>
  <c r="I202" i="3"/>
  <c r="I2265" i="3"/>
  <c r="I1689" i="3"/>
  <c r="I1113" i="3"/>
  <c r="I537" i="3"/>
  <c r="I2360" i="3"/>
  <c r="I1784" i="3"/>
  <c r="I1208" i="3"/>
  <c r="I632" i="3"/>
  <c r="I56" i="3"/>
  <c r="I1663" i="3"/>
  <c r="I1087" i="3"/>
  <c r="I511" i="3"/>
  <c r="I2286" i="3"/>
  <c r="I1710" i="3"/>
  <c r="I1134" i="3"/>
  <c r="I558" i="3"/>
  <c r="I2741" i="3"/>
  <c r="I2165" i="3"/>
  <c r="I1589" i="3"/>
  <c r="I1013" i="3"/>
  <c r="I437" i="3"/>
  <c r="I2332" i="3"/>
  <c r="I1756" i="3"/>
  <c r="I1180" i="3"/>
  <c r="I604" i="3"/>
  <c r="I28" i="3"/>
  <c r="I2235" i="3"/>
  <c r="I1659" i="3"/>
  <c r="I1083" i="3"/>
  <c r="I507" i="3"/>
  <c r="I1778" i="3"/>
  <c r="I1202" i="3"/>
  <c r="I626" i="3"/>
  <c r="I50" i="3"/>
  <c r="I1297" i="3"/>
  <c r="I721" i="3"/>
  <c r="I145" i="3"/>
  <c r="I2304" i="3"/>
  <c r="I1728" i="3"/>
  <c r="I1152" i="3"/>
  <c r="I576" i="3"/>
  <c r="I1823" i="3"/>
  <c r="I1247" i="3"/>
  <c r="I671" i="3"/>
  <c r="I95" i="3"/>
  <c r="I1918" i="3"/>
  <c r="I1342" i="3"/>
  <c r="I766" i="3"/>
  <c r="I190" i="3"/>
  <c r="I2253" i="3"/>
  <c r="I1677" i="3"/>
  <c r="I1101" i="3"/>
  <c r="I525" i="3"/>
  <c r="I2420" i="3"/>
  <c r="I1844" i="3"/>
  <c r="I1268" i="3"/>
  <c r="I692" i="3"/>
  <c r="I116" i="3"/>
  <c r="I2587" i="3"/>
  <c r="I2011" i="3"/>
  <c r="I1435" i="3"/>
  <c r="I859" i="3"/>
  <c r="I283" i="3"/>
  <c r="I1506" i="3"/>
  <c r="I930" i="3"/>
  <c r="I354" i="3"/>
  <c r="I1553" i="3"/>
  <c r="I3433" i="3"/>
  <c r="I2422" i="3"/>
  <c r="I3522" i="3"/>
  <c r="I3065" i="3"/>
  <c r="I2890" i="3"/>
  <c r="I2609" i="3"/>
  <c r="I3062" i="3"/>
  <c r="I3301" i="3"/>
  <c r="I3469" i="3"/>
  <c r="I2986" i="3"/>
  <c r="I3395" i="3"/>
  <c r="I2528" i="3"/>
  <c r="I2959" i="3"/>
  <c r="I3681" i="3"/>
  <c r="I2833" i="3"/>
  <c r="I3488" i="3"/>
  <c r="I2754" i="3"/>
  <c r="I3271" i="3"/>
  <c r="I2485" i="3"/>
  <c r="I3030" i="3"/>
  <c r="I3575" i="3"/>
  <c r="I3029" i="3"/>
  <c r="I3551" i="3"/>
  <c r="I3436" i="3"/>
  <c r="I2828" i="3"/>
  <c r="I2488" i="3"/>
  <c r="I1888" i="3"/>
  <c r="I1288" i="3"/>
  <c r="I688" i="3"/>
  <c r="I88" i="3"/>
  <c r="I1935" i="3"/>
  <c r="I1311" i="3"/>
  <c r="I711" i="3"/>
  <c r="I111" i="3"/>
  <c r="I1958" i="3"/>
  <c r="I1358" i="3"/>
  <c r="I758" i="3"/>
  <c r="I182" i="3"/>
  <c r="I1189" i="3"/>
  <c r="I613" i="3"/>
  <c r="I37" i="3"/>
  <c r="I1740" i="3"/>
  <c r="I1164" i="3"/>
  <c r="I588" i="3"/>
  <c r="I2219" i="3"/>
  <c r="I1643" i="3"/>
  <c r="I1067" i="3"/>
  <c r="I491" i="3"/>
  <c r="I2482" i="3"/>
  <c r="I1906" i="3"/>
  <c r="I1330" i="3"/>
  <c r="I754" i="3"/>
  <c r="I178" i="3"/>
  <c r="I2241" i="3"/>
  <c r="I1665" i="3"/>
  <c r="I1089" i="3"/>
  <c r="I513" i="3"/>
  <c r="I2336" i="3"/>
  <c r="I1760" i="3"/>
  <c r="I1184" i="3"/>
  <c r="I608" i="3"/>
  <c r="I32" i="3"/>
  <c r="I1639" i="3"/>
  <c r="I1063" i="3"/>
  <c r="I487" i="3"/>
  <c r="I2262" i="3"/>
  <c r="I1686" i="3"/>
  <c r="I1110" i="3"/>
  <c r="I534" i="3"/>
  <c r="I2717" i="3"/>
  <c r="I2141" i="3"/>
  <c r="I1565" i="3"/>
  <c r="I989" i="3"/>
  <c r="I413" i="3"/>
  <c r="I2308" i="3"/>
  <c r="I1732" i="3"/>
  <c r="I1156" i="3"/>
  <c r="I580" i="3"/>
  <c r="I2211" i="3"/>
  <c r="I1635" i="3"/>
  <c r="I1059" i="3"/>
  <c r="I483" i="3"/>
  <c r="I1754" i="3"/>
  <c r="I1178" i="3"/>
  <c r="I602" i="3"/>
  <c r="I26" i="3"/>
  <c r="I1273" i="3"/>
  <c r="I697" i="3"/>
  <c r="I121" i="3"/>
  <c r="I2280" i="3"/>
  <c r="I1704" i="3"/>
  <c r="I1128" i="3"/>
  <c r="I552" i="3"/>
  <c r="I2375" i="3"/>
  <c r="I1799" i="3"/>
  <c r="I1223" i="3"/>
  <c r="I647" i="3"/>
  <c r="I71" i="3"/>
  <c r="I1894" i="3"/>
  <c r="I1318" i="3"/>
  <c r="I742" i="3"/>
  <c r="I166" i="3"/>
  <c r="I2229" i="3"/>
  <c r="I1653" i="3"/>
  <c r="I1077" i="3"/>
  <c r="I501" i="3"/>
  <c r="I2686" i="3"/>
  <c r="I2149" i="3"/>
  <c r="I3378" i="3"/>
  <c r="I2941" i="3"/>
  <c r="I2865" i="3"/>
  <c r="I2574" i="3"/>
  <c r="I3038" i="3"/>
  <c r="I3229" i="3"/>
  <c r="I3373" i="3"/>
  <c r="I2861" i="3"/>
  <c r="I3371" i="3"/>
  <c r="I2221" i="3"/>
  <c r="I2934" i="3"/>
  <c r="I3657" i="3"/>
  <c r="I2808" i="3"/>
  <c r="I3464" i="3"/>
  <c r="I2726" i="3"/>
  <c r="I3247" i="3"/>
  <c r="I2442" i="3"/>
  <c r="I3005" i="3"/>
  <c r="I3523" i="3"/>
  <c r="I3004" i="3"/>
  <c r="I3451" i="3"/>
  <c r="I3412" i="3"/>
  <c r="I2802" i="3"/>
  <c r="I2464" i="3"/>
  <c r="I1864" i="3"/>
  <c r="I1264" i="3"/>
  <c r="I664" i="3"/>
  <c r="I64" i="3"/>
  <c r="I1887" i="3"/>
  <c r="I1287" i="3"/>
  <c r="I687" i="3"/>
  <c r="I87" i="3"/>
  <c r="I1934" i="3"/>
  <c r="I1334" i="3"/>
  <c r="I734" i="3"/>
  <c r="I158" i="3"/>
  <c r="I1165" i="3"/>
  <c r="I589" i="3"/>
  <c r="I1716" i="3"/>
  <c r="I1140" i="3"/>
  <c r="I564" i="3"/>
  <c r="I2771" i="3"/>
  <c r="I2195" i="3"/>
  <c r="I1619" i="3"/>
  <c r="I1043" i="3"/>
  <c r="I467" i="3"/>
  <c r="I2458" i="3"/>
  <c r="I1882" i="3"/>
  <c r="I1306" i="3"/>
  <c r="I730" i="3"/>
  <c r="I154" i="3"/>
  <c r="I2217" i="3"/>
  <c r="I1641" i="3"/>
  <c r="I1065" i="3"/>
  <c r="I489" i="3"/>
  <c r="I2312" i="3"/>
  <c r="I1736" i="3"/>
  <c r="I1160" i="3"/>
  <c r="I584" i="3"/>
  <c r="I1615" i="3"/>
  <c r="I1039" i="3"/>
  <c r="I463" i="3"/>
  <c r="I2238" i="3"/>
  <c r="I1662" i="3"/>
  <c r="I1086" i="3"/>
  <c r="I510" i="3"/>
  <c r="I2693" i="3"/>
  <c r="I2117" i="3"/>
  <c r="I1541" i="3"/>
  <c r="I965" i="3"/>
  <c r="I389" i="3"/>
  <c r="I2284" i="3"/>
  <c r="I1708" i="3"/>
  <c r="I1132" i="3"/>
  <c r="I556" i="3"/>
  <c r="I2763" i="3"/>
  <c r="I2187" i="3"/>
  <c r="I1611" i="3"/>
  <c r="I1035" i="3"/>
  <c r="I459" i="3"/>
  <c r="I1730" i="3"/>
  <c r="I1154" i="3"/>
  <c r="I578" i="3"/>
  <c r="I1249" i="3"/>
  <c r="I673" i="3"/>
  <c r="I97" i="3"/>
  <c r="I2256" i="3"/>
  <c r="I1680" i="3"/>
  <c r="I1104" i="3"/>
  <c r="I528" i="3"/>
  <c r="I2351" i="3"/>
  <c r="I1775" i="3"/>
  <c r="I1199" i="3"/>
  <c r="I623" i="3"/>
  <c r="I47" i="3"/>
  <c r="I1870" i="3"/>
  <c r="I1294" i="3"/>
  <c r="I718" i="3"/>
  <c r="I142" i="3"/>
  <c r="I2205" i="3"/>
  <c r="I1629" i="3"/>
  <c r="I1053" i="3"/>
  <c r="I477" i="3"/>
  <c r="I2372" i="3"/>
  <c r="I1796" i="3"/>
  <c r="I1220" i="3"/>
  <c r="I644" i="3"/>
  <c r="I68" i="3"/>
  <c r="I2430" i="3"/>
  <c r="I3356" i="3"/>
  <c r="I3330" i="3"/>
  <c r="I2916" i="3"/>
  <c r="I2790" i="3"/>
  <c r="I2341" i="3"/>
  <c r="I3013" i="3"/>
  <c r="I3133" i="3"/>
  <c r="I3349" i="3"/>
  <c r="I2836" i="3"/>
  <c r="I3347" i="3"/>
  <c r="I2089" i="3"/>
  <c r="I2909" i="3"/>
  <c r="I3585" i="3"/>
  <c r="I2783" i="3"/>
  <c r="I3440" i="3"/>
  <c r="I2696" i="3"/>
  <c r="I3223" i="3"/>
  <c r="I2389" i="3"/>
  <c r="I2980" i="3"/>
  <c r="I3679" i="3"/>
  <c r="I2979" i="3"/>
  <c r="I3655" i="3"/>
  <c r="I3388" i="3"/>
  <c r="I2777" i="3"/>
  <c r="I2440" i="3"/>
  <c r="I1840" i="3"/>
  <c r="I1240" i="3"/>
  <c r="I640" i="3"/>
  <c r="I1863" i="3"/>
  <c r="I1263" i="3"/>
  <c r="I663" i="3"/>
  <c r="I63" i="3"/>
  <c r="I1910" i="3"/>
  <c r="I1310" i="3"/>
  <c r="I710" i="3"/>
  <c r="I134" i="3"/>
  <c r="I1141" i="3"/>
  <c r="I565" i="3"/>
  <c r="I2268" i="3"/>
  <c r="I1692" i="3"/>
  <c r="I1116" i="3"/>
  <c r="I540" i="3"/>
  <c r="I2747" i="3"/>
  <c r="I2171" i="3"/>
  <c r="I1595" i="3"/>
  <c r="I1019" i="3"/>
  <c r="I443" i="3"/>
  <c r="I2434" i="3"/>
  <c r="I1858" i="3"/>
  <c r="I1282" i="3"/>
  <c r="I706" i="3"/>
  <c r="I130" i="3"/>
  <c r="I2193" i="3"/>
  <c r="I1617" i="3"/>
  <c r="I1041" i="3"/>
  <c r="I465" i="3"/>
  <c r="I2288" i="3"/>
  <c r="I1712" i="3"/>
  <c r="I1136" i="3"/>
  <c r="I560" i="3"/>
  <c r="I2167" i="3"/>
  <c r="I1591" i="3"/>
  <c r="I1015" i="3"/>
  <c r="I439" i="3"/>
  <c r="I2214" i="3"/>
  <c r="I1638" i="3"/>
  <c r="I1062" i="3"/>
  <c r="I486" i="3"/>
  <c r="I2669" i="3"/>
  <c r="I2093" i="3"/>
  <c r="I1517" i="3"/>
  <c r="I941" i="3"/>
  <c r="I365" i="3"/>
  <c r="I2260" i="3"/>
  <c r="I1684" i="3"/>
  <c r="I1108" i="3"/>
  <c r="I532" i="3"/>
  <c r="I2739" i="3"/>
  <c r="I2163" i="3"/>
  <c r="I1587" i="3"/>
  <c r="I1011" i="3"/>
  <c r="I435" i="3"/>
  <c r="I1706" i="3"/>
  <c r="I1130" i="3"/>
  <c r="I554" i="3"/>
  <c r="I1801" i="3"/>
  <c r="I1225" i="3"/>
  <c r="I649" i="3"/>
  <c r="I73" i="3"/>
  <c r="I2232" i="3"/>
  <c r="I1656" i="3"/>
  <c r="I1080" i="3"/>
  <c r="I504" i="3"/>
  <c r="I2327" i="3"/>
  <c r="I1751" i="3"/>
  <c r="I1175" i="3"/>
  <c r="I599" i="3"/>
  <c r="I3697" i="3"/>
  <c r="I3236" i="3"/>
  <c r="I3186" i="3"/>
  <c r="I2891" i="3"/>
  <c r="I2646" i="3"/>
  <c r="I2239" i="3"/>
  <c r="I2888" i="3"/>
  <c r="I3109" i="3"/>
  <c r="I3325" i="3"/>
  <c r="I2811" i="3"/>
  <c r="I3323" i="3"/>
  <c r="I1945" i="3"/>
  <c r="I2884" i="3"/>
  <c r="I3537" i="3"/>
  <c r="I2756" i="3"/>
  <c r="I3392" i="3"/>
  <c r="I2634" i="3"/>
  <c r="I3151" i="3"/>
  <c r="I2311" i="3"/>
  <c r="I2955" i="3"/>
  <c r="I3606" i="3"/>
  <c r="I2954" i="3"/>
  <c r="I3559" i="3"/>
  <c r="I3364" i="3"/>
  <c r="I2750" i="3"/>
  <c r="I2416" i="3"/>
  <c r="I1816" i="3"/>
  <c r="I1216" i="3"/>
  <c r="I592" i="3"/>
  <c r="I2439" i="3"/>
  <c r="I1839" i="3"/>
  <c r="I1239" i="3"/>
  <c r="I639" i="3"/>
  <c r="I39" i="3"/>
  <c r="I1886" i="3"/>
  <c r="I1286" i="3"/>
  <c r="I686" i="3"/>
  <c r="I110" i="3"/>
  <c r="I1117" i="3"/>
  <c r="I541" i="3"/>
  <c r="I2244" i="3"/>
  <c r="I1668" i="3"/>
  <c r="I1092" i="3"/>
  <c r="I516" i="3"/>
  <c r="I2723" i="3"/>
  <c r="I2147" i="3"/>
  <c r="I1571" i="3"/>
  <c r="I995" i="3"/>
  <c r="I419" i="3"/>
  <c r="I2410" i="3"/>
  <c r="I1834" i="3"/>
  <c r="I1258" i="3"/>
  <c r="I682" i="3"/>
  <c r="I106" i="3"/>
  <c r="I2169" i="3"/>
  <c r="I1593" i="3"/>
  <c r="I1017" i="3"/>
  <c r="I441" i="3"/>
  <c r="I2264" i="3"/>
  <c r="I1688" i="3"/>
  <c r="I1112" i="3"/>
  <c r="I536" i="3"/>
  <c r="I2143" i="3"/>
  <c r="I1567" i="3"/>
  <c r="I991" i="3"/>
  <c r="I415" i="3"/>
  <c r="I2190" i="3"/>
  <c r="I1614" i="3"/>
  <c r="I1038" i="3"/>
  <c r="I462" i="3"/>
  <c r="I2645" i="3"/>
  <c r="I2069" i="3"/>
  <c r="I1493" i="3"/>
  <c r="I917" i="3"/>
  <c r="I341" i="3"/>
  <c r="I2236" i="3"/>
  <c r="I1660" i="3"/>
  <c r="I1084" i="3"/>
  <c r="I508" i="3"/>
  <c r="I2715" i="3"/>
  <c r="I2139" i="3"/>
  <c r="I1563" i="3"/>
  <c r="I987" i="3"/>
  <c r="I411" i="3"/>
  <c r="I1682" i="3"/>
  <c r="I1106" i="3"/>
  <c r="I530" i="3"/>
  <c r="I1777" i="3"/>
  <c r="I1201" i="3"/>
  <c r="I625" i="3"/>
  <c r="I49" i="3"/>
  <c r="I2208" i="3"/>
  <c r="I1632" i="3"/>
  <c r="I1056" i="3"/>
  <c r="I480" i="3"/>
  <c r="I2303" i="3"/>
  <c r="I1727" i="3"/>
  <c r="I1151" i="3"/>
  <c r="I575" i="3"/>
  <c r="I1822" i="3"/>
  <c r="I1246" i="3"/>
  <c r="I670" i="3"/>
  <c r="I94" i="3"/>
  <c r="I2157" i="3"/>
  <c r="I1581" i="3"/>
  <c r="I1005" i="3"/>
  <c r="I429" i="3"/>
  <c r="I2324" i="3"/>
  <c r="I1748" i="3"/>
  <c r="I3505" i="3"/>
  <c r="I3188" i="3"/>
  <c r="I3162" i="3"/>
  <c r="I2791" i="3"/>
  <c r="I2575" i="3"/>
  <c r="I2113" i="3"/>
  <c r="I2863" i="3"/>
  <c r="I3085" i="3"/>
  <c r="I3205" i="3"/>
  <c r="I2730" i="3"/>
  <c r="I3275" i="3"/>
  <c r="I3475" i="3"/>
  <c r="I2834" i="3"/>
  <c r="I3513" i="3"/>
  <c r="I2727" i="3"/>
  <c r="I3368" i="3"/>
  <c r="I2599" i="3"/>
  <c r="I3127" i="3"/>
  <c r="I2202" i="3"/>
  <c r="I2930" i="3"/>
  <c r="I3390" i="3"/>
  <c r="I2929" i="3"/>
  <c r="I3678" i="3"/>
  <c r="I3340" i="3"/>
  <c r="I2721" i="3"/>
  <c r="I2392" i="3"/>
  <c r="I1792" i="3"/>
  <c r="I1168" i="3"/>
  <c r="I568" i="3"/>
  <c r="I2415" i="3"/>
  <c r="I1815" i="3"/>
  <c r="I1215" i="3"/>
  <c r="I615" i="3"/>
  <c r="I1862" i="3"/>
  <c r="I1262" i="3"/>
  <c r="I662" i="3"/>
  <c r="I86" i="3"/>
  <c r="I1093" i="3"/>
  <c r="I517" i="3"/>
  <c r="I2220" i="3"/>
  <c r="I1644" i="3"/>
  <c r="I1068" i="3"/>
  <c r="I492" i="3"/>
  <c r="I2699" i="3"/>
  <c r="I2123" i="3"/>
  <c r="I1547" i="3"/>
  <c r="I971" i="3"/>
  <c r="I395" i="3"/>
  <c r="I2386" i="3"/>
  <c r="I1810" i="3"/>
  <c r="I1234" i="3"/>
  <c r="I658" i="3"/>
  <c r="I82" i="3"/>
  <c r="I2145" i="3"/>
  <c r="I1569" i="3"/>
  <c r="I993" i="3"/>
  <c r="I417" i="3"/>
  <c r="I2240" i="3"/>
  <c r="I1664" i="3"/>
  <c r="I1088" i="3"/>
  <c r="I512" i="3"/>
  <c r="I2119" i="3"/>
  <c r="I1543" i="3"/>
  <c r="I967" i="3"/>
  <c r="I391" i="3"/>
  <c r="I2166" i="3"/>
  <c r="I1590" i="3"/>
  <c r="I1014" i="3"/>
  <c r="I438" i="3"/>
  <c r="I2621" i="3"/>
  <c r="I2045" i="3"/>
  <c r="I1469" i="3"/>
  <c r="I893" i="3"/>
  <c r="I317" i="3"/>
  <c r="I2212" i="3"/>
  <c r="I1636" i="3"/>
  <c r="I1060" i="3"/>
  <c r="I484" i="3"/>
  <c r="I2691" i="3"/>
  <c r="I2115" i="3"/>
  <c r="I1539" i="3"/>
  <c r="I963" i="3"/>
  <c r="I387" i="3"/>
  <c r="I1658" i="3"/>
  <c r="I1082" i="3"/>
  <c r="I506" i="3"/>
  <c r="I1753" i="3"/>
  <c r="I1177" i="3"/>
  <c r="I601" i="3"/>
  <c r="I25" i="3"/>
  <c r="I2184" i="3"/>
  <c r="I1608" i="3"/>
  <c r="I1032" i="3"/>
  <c r="I456" i="3"/>
  <c r="I2279" i="3"/>
  <c r="I1703" i="3"/>
  <c r="I1127" i="3"/>
  <c r="I551" i="3"/>
  <c r="I2374" i="3"/>
  <c r="I1798" i="3"/>
  <c r="I1222" i="3"/>
  <c r="I646" i="3"/>
  <c r="I70" i="3"/>
  <c r="I3648" i="3"/>
  <c r="I3020" i="3"/>
  <c r="I3138" i="3"/>
  <c r="I2736" i="3"/>
  <c r="I2345" i="3"/>
  <c r="I3668" i="3"/>
  <c r="I2838" i="3"/>
  <c r="I2962" i="3"/>
  <c r="I3660" i="3"/>
  <c r="I2701" i="3"/>
  <c r="I3251" i="3"/>
  <c r="I3587" i="3"/>
  <c r="I2809" i="3"/>
  <c r="I3489" i="3"/>
  <c r="I2697" i="3"/>
  <c r="I3344" i="3"/>
  <c r="I2524" i="3"/>
  <c r="I3103" i="3"/>
  <c r="I2065" i="3"/>
  <c r="I2905" i="3"/>
  <c r="I3366" i="3"/>
  <c r="I2904" i="3"/>
  <c r="I3534" i="3"/>
  <c r="I3316" i="3"/>
  <c r="I2690" i="3"/>
  <c r="I2368" i="3"/>
  <c r="I1744" i="3"/>
  <c r="I1144" i="3"/>
  <c r="I544" i="3"/>
  <c r="I2391" i="3"/>
  <c r="I1791" i="3"/>
  <c r="I1191" i="3"/>
  <c r="I591" i="3"/>
  <c r="I2438" i="3"/>
  <c r="I1838" i="3"/>
  <c r="I1238" i="3"/>
  <c r="I638" i="3"/>
  <c r="I62" i="3"/>
  <c r="I1069" i="3"/>
  <c r="I493" i="3"/>
  <c r="I2196" i="3"/>
  <c r="I1620" i="3"/>
  <c r="I1044" i="3"/>
  <c r="I468" i="3"/>
  <c r="I2675" i="3"/>
  <c r="I2099" i="3"/>
  <c r="I1523" i="3"/>
  <c r="I947" i="3"/>
  <c r="I371" i="3"/>
  <c r="I2362" i="3"/>
  <c r="I1786" i="3"/>
  <c r="I1210" i="3"/>
  <c r="I634" i="3"/>
  <c r="I58" i="3"/>
  <c r="I2121" i="3"/>
  <c r="I1545" i="3"/>
  <c r="I969" i="3"/>
  <c r="I393" i="3"/>
  <c r="I2216" i="3"/>
  <c r="I1640" i="3"/>
  <c r="I1064" i="3"/>
  <c r="I488" i="3"/>
  <c r="I2095" i="3"/>
  <c r="I1519" i="3"/>
  <c r="I943" i="3"/>
  <c r="I367" i="3"/>
  <c r="I2142" i="3"/>
  <c r="I1566" i="3"/>
  <c r="I990" i="3"/>
  <c r="I414" i="3"/>
  <c r="I2597" i="3"/>
  <c r="I2021" i="3"/>
  <c r="I1445" i="3"/>
  <c r="I869" i="3"/>
  <c r="I293" i="3"/>
  <c r="I2188" i="3"/>
  <c r="I1612" i="3"/>
  <c r="I1036" i="3"/>
  <c r="I460" i="3"/>
  <c r="I2667" i="3"/>
  <c r="I2091" i="3"/>
  <c r="I1515" i="3"/>
  <c r="I3480" i="3"/>
  <c r="I2944" i="3"/>
  <c r="I2967" i="3"/>
  <c r="I2706" i="3"/>
  <c r="I2245" i="3"/>
  <c r="I3572" i="3"/>
  <c r="I2761" i="3"/>
  <c r="I2937" i="3"/>
  <c r="I3612" i="3"/>
  <c r="I2639" i="3"/>
  <c r="I3227" i="3"/>
  <c r="I3658" i="3"/>
  <c r="I2784" i="3"/>
  <c r="I3417" i="3"/>
  <c r="I2666" i="3"/>
  <c r="I3320" i="3"/>
  <c r="I2486" i="3"/>
  <c r="I3079" i="3"/>
  <c r="I1921" i="3"/>
  <c r="I2880" i="3"/>
  <c r="I3677" i="3"/>
  <c r="I2854" i="3"/>
  <c r="I3486" i="3"/>
  <c r="I3292" i="3"/>
  <c r="I2660" i="3"/>
  <c r="I2320" i="3"/>
  <c r="I1720" i="3"/>
  <c r="I1120" i="3"/>
  <c r="I520" i="3"/>
  <c r="I2367" i="3"/>
  <c r="I1767" i="3"/>
  <c r="I1167" i="3"/>
  <c r="I567" i="3"/>
  <c r="I2414" i="3"/>
  <c r="I1814" i="3"/>
  <c r="I1214" i="3"/>
  <c r="I614" i="3"/>
  <c r="I38" i="3"/>
  <c r="I1045" i="3"/>
  <c r="I469" i="3"/>
  <c r="I2172" i="3"/>
  <c r="I1596" i="3"/>
  <c r="I1020" i="3"/>
  <c r="I444" i="3"/>
  <c r="I2651" i="3"/>
  <c r="I2075" i="3"/>
  <c r="I1499" i="3"/>
  <c r="I923" i="3"/>
  <c r="I347" i="3"/>
  <c r="I2338" i="3"/>
  <c r="I1762" i="3"/>
  <c r="I1186" i="3"/>
  <c r="I610" i="3"/>
  <c r="I34" i="3"/>
  <c r="I2097" i="3"/>
  <c r="I1521" i="3"/>
  <c r="I945" i="3"/>
  <c r="I369" i="3"/>
  <c r="I2192" i="3"/>
  <c r="I1616" i="3"/>
  <c r="I1040" i="3"/>
  <c r="I464" i="3"/>
  <c r="I2071" i="3"/>
  <c r="I1495" i="3"/>
  <c r="I919" i="3"/>
  <c r="I343" i="3"/>
  <c r="I2118" i="3"/>
  <c r="I1542" i="3"/>
  <c r="I966" i="3"/>
  <c r="I390" i="3"/>
  <c r="I2573" i="3"/>
  <c r="I1997" i="3"/>
  <c r="I1421" i="3"/>
  <c r="I845" i="3"/>
  <c r="I269" i="3"/>
  <c r="I2164" i="3"/>
  <c r="I1588" i="3"/>
  <c r="I1012" i="3"/>
  <c r="I436" i="3"/>
  <c r="I2643" i="3"/>
  <c r="I2067" i="3"/>
  <c r="I1491" i="3"/>
  <c r="I915" i="3"/>
  <c r="I339" i="3"/>
  <c r="I1610" i="3"/>
  <c r="I1034" i="3"/>
  <c r="I458" i="3"/>
  <c r="I1705" i="3"/>
  <c r="I1129" i="3"/>
  <c r="I553" i="3"/>
  <c r="I2712" i="3"/>
  <c r="I2136" i="3"/>
  <c r="I1560" i="3"/>
  <c r="I984" i="3"/>
  <c r="I408" i="3"/>
  <c r="I2231" i="3"/>
  <c r="I1655" i="3"/>
  <c r="I1079" i="3"/>
  <c r="I503" i="3"/>
  <c r="I2326" i="3"/>
  <c r="I1750" i="3"/>
  <c r="I1174" i="3"/>
  <c r="I598" i="3"/>
  <c r="I22" i="3"/>
  <c r="I2085" i="3"/>
  <c r="I1509" i="3"/>
  <c r="I933" i="3"/>
  <c r="I357" i="3"/>
  <c r="I2252" i="3"/>
  <c r="I1676" i="3"/>
  <c r="I1100" i="3"/>
  <c r="I524" i="3"/>
  <c r="I2995" i="3"/>
  <c r="I2419" i="3"/>
  <c r="I3072" i="3"/>
  <c r="I2819" i="3"/>
  <c r="I2892" i="3"/>
  <c r="I2612" i="3"/>
  <c r="I2114" i="3"/>
  <c r="I3616" i="3"/>
  <c r="I2733" i="3"/>
  <c r="I2912" i="3"/>
  <c r="I3588" i="3"/>
  <c r="I2605" i="3"/>
  <c r="I3203" i="3"/>
  <c r="I3634" i="3"/>
  <c r="I2757" i="3"/>
  <c r="I3393" i="3"/>
  <c r="I2636" i="3"/>
  <c r="I3296" i="3"/>
  <c r="I2446" i="3"/>
  <c r="I3055" i="3"/>
  <c r="I1669" i="3"/>
  <c r="I2855" i="3"/>
  <c r="I3653" i="3"/>
  <c r="I2829" i="3"/>
  <c r="I3438" i="3"/>
  <c r="I3268" i="3"/>
  <c r="I2593" i="3"/>
  <c r="I2296" i="3"/>
  <c r="I1696" i="3"/>
  <c r="I1096" i="3"/>
  <c r="I496" i="3"/>
  <c r="I2343" i="3"/>
  <c r="I1743" i="3"/>
  <c r="I1143" i="3"/>
  <c r="I543" i="3"/>
  <c r="I2390" i="3"/>
  <c r="I1790" i="3"/>
  <c r="I1190" i="3"/>
  <c r="I590" i="3"/>
  <c r="I1021" i="3"/>
  <c r="I445" i="3"/>
  <c r="I2148" i="3"/>
  <c r="I1572" i="3"/>
  <c r="I996" i="3"/>
  <c r="I420" i="3"/>
  <c r="I2627" i="3"/>
  <c r="I2051" i="3"/>
  <c r="I1475" i="3"/>
  <c r="I899" i="3"/>
  <c r="I323" i="3"/>
  <c r="I2314" i="3"/>
  <c r="I1738" i="3"/>
  <c r="I1162" i="3"/>
  <c r="I586" i="3"/>
  <c r="I2073" i="3"/>
  <c r="I1497" i="3"/>
  <c r="I921" i="3"/>
  <c r="I345" i="3"/>
  <c r="I2168" i="3"/>
  <c r="I1592" i="3"/>
  <c r="I1016" i="3"/>
  <c r="I440" i="3"/>
  <c r="I2047" i="3"/>
  <c r="I1471" i="3"/>
  <c r="I895" i="3"/>
  <c r="I319" i="3"/>
  <c r="I2094" i="3"/>
  <c r="I1518" i="3"/>
  <c r="I942" i="3"/>
  <c r="I366" i="3"/>
  <c r="I2549" i="3"/>
  <c r="I1973" i="3"/>
  <c r="I1397" i="3"/>
  <c r="I821" i="3"/>
  <c r="I245" i="3"/>
  <c r="I2140" i="3"/>
  <c r="I1564" i="3"/>
  <c r="I988" i="3"/>
  <c r="I412" i="3"/>
  <c r="I2619" i="3"/>
  <c r="I2043" i="3"/>
  <c r="I1467" i="3"/>
  <c r="I891" i="3"/>
  <c r="I315" i="3"/>
  <c r="I1586" i="3"/>
  <c r="I1010" i="3"/>
  <c r="I434" i="3"/>
  <c r="I1681" i="3"/>
  <c r="I1105" i="3"/>
  <c r="I529" i="3"/>
  <c r="I2688" i="3"/>
  <c r="I2112" i="3"/>
  <c r="I1536" i="3"/>
  <c r="I960" i="3"/>
  <c r="I384" i="3"/>
  <c r="I2207" i="3"/>
  <c r="I1631" i="3"/>
  <c r="I1055" i="3"/>
  <c r="I2898" i="3"/>
  <c r="I2768" i="3"/>
  <c r="I2766" i="3"/>
  <c r="I2412" i="3"/>
  <c r="I3603" i="3"/>
  <c r="I3639" i="3"/>
  <c r="I2673" i="3"/>
  <c r="I2837" i="3"/>
  <c r="I3564" i="3"/>
  <c r="I2569" i="3"/>
  <c r="I3179" i="3"/>
  <c r="I3610" i="3"/>
  <c r="I2728" i="3"/>
  <c r="I3369" i="3"/>
  <c r="I2600" i="3"/>
  <c r="I3248" i="3"/>
  <c r="I2209" i="3"/>
  <c r="I3031" i="3"/>
  <c r="I3547" i="3"/>
  <c r="I2830" i="3"/>
  <c r="I3629" i="3"/>
  <c r="I2778" i="3"/>
  <c r="I3414" i="3"/>
  <c r="I3220" i="3"/>
  <c r="I2557" i="3"/>
  <c r="I2272" i="3"/>
  <c r="I1672" i="3"/>
  <c r="I1072" i="3"/>
  <c r="I472" i="3"/>
  <c r="I2319" i="3"/>
  <c r="I1719" i="3"/>
  <c r="I1119" i="3"/>
  <c r="I519" i="3"/>
  <c r="I2366" i="3"/>
  <c r="I1766" i="3"/>
  <c r="I1166" i="3"/>
  <c r="I566" i="3"/>
  <c r="I1573" i="3"/>
  <c r="I997" i="3"/>
  <c r="I421" i="3"/>
  <c r="I2124" i="3"/>
  <c r="I1548" i="3"/>
  <c r="I972" i="3"/>
  <c r="I396" i="3"/>
  <c r="I2603" i="3"/>
  <c r="I2027" i="3"/>
  <c r="I1451" i="3"/>
  <c r="I875" i="3"/>
  <c r="I299" i="3"/>
  <c r="I2290" i="3"/>
  <c r="I1714" i="3"/>
  <c r="I1138" i="3"/>
  <c r="I562" i="3"/>
  <c r="I2625" i="3"/>
  <c r="I2049" i="3"/>
  <c r="I1473" i="3"/>
  <c r="I897" i="3"/>
  <c r="I321" i="3"/>
  <c r="I2144" i="3"/>
  <c r="I1568" i="3"/>
  <c r="I992" i="3"/>
  <c r="I416" i="3"/>
  <c r="I2023" i="3"/>
  <c r="I1447" i="3"/>
  <c r="I871" i="3"/>
  <c r="I295" i="3"/>
  <c r="I2070" i="3"/>
  <c r="I1494" i="3"/>
  <c r="I918" i="3"/>
  <c r="I342" i="3"/>
  <c r="I2525" i="3"/>
  <c r="I1949" i="3"/>
  <c r="I1373" i="3"/>
  <c r="I797" i="3"/>
  <c r="I221" i="3"/>
  <c r="I2116" i="3"/>
  <c r="I1540" i="3"/>
  <c r="I964" i="3"/>
  <c r="I388" i="3"/>
  <c r="I2595" i="3"/>
  <c r="I2019" i="3"/>
  <c r="I1443" i="3"/>
  <c r="I867" i="3"/>
  <c r="I291" i="3"/>
  <c r="I1562" i="3"/>
  <c r="I986" i="3"/>
  <c r="I410" i="3"/>
  <c r="I1657" i="3"/>
  <c r="I1081" i="3"/>
  <c r="I505" i="3"/>
  <c r="I2664" i="3"/>
  <c r="I2088" i="3"/>
  <c r="I1512" i="3"/>
  <c r="I936" i="3"/>
  <c r="I360" i="3"/>
  <c r="I2183" i="3"/>
  <c r="I1607" i="3"/>
  <c r="I1031" i="3"/>
  <c r="I455" i="3"/>
  <c r="I2278" i="3"/>
  <c r="I1702" i="3"/>
  <c r="I1126" i="3"/>
  <c r="I550" i="3"/>
  <c r="I2613" i="3"/>
  <c r="I2037" i="3"/>
  <c r="I1461" i="3"/>
  <c r="I885" i="3"/>
  <c r="I309" i="3"/>
  <c r="I2204" i="3"/>
  <c r="I1628" i="3"/>
  <c r="I1052" i="3"/>
  <c r="I2282" i="3"/>
  <c r="I2617" i="3"/>
  <c r="I2708" i="3"/>
  <c r="I2250" i="3"/>
  <c r="I3459" i="3"/>
  <c r="I3495" i="3"/>
  <c r="I2642" i="3"/>
  <c r="I2812" i="3"/>
  <c r="I3444" i="3"/>
  <c r="I2532" i="3"/>
  <c r="I3059" i="3"/>
  <c r="I3562" i="3"/>
  <c r="I2566" i="3"/>
  <c r="I3345" i="3"/>
  <c r="I2526" i="3"/>
  <c r="I3224" i="3"/>
  <c r="I2066" i="3"/>
  <c r="I3006" i="3"/>
  <c r="I3654" i="3"/>
  <c r="I2805" i="3"/>
  <c r="I3557" i="3"/>
  <c r="I2751" i="3"/>
  <c r="I3533" i="3"/>
  <c r="I3196" i="3"/>
  <c r="I2518" i="3"/>
  <c r="I2248" i="3"/>
  <c r="I1648" i="3"/>
  <c r="I1048" i="3"/>
  <c r="I448" i="3"/>
  <c r="I2295" i="3"/>
  <c r="I1695" i="3"/>
  <c r="I1095" i="3"/>
  <c r="I495" i="3"/>
  <c r="I2342" i="3"/>
  <c r="I1742" i="3"/>
  <c r="I1142" i="3"/>
  <c r="I542" i="3"/>
  <c r="I1549" i="3"/>
  <c r="I973" i="3"/>
  <c r="I397" i="3"/>
  <c r="I2100" i="3"/>
  <c r="I1524" i="3"/>
  <c r="I948" i="3"/>
  <c r="I372" i="3"/>
  <c r="I2579" i="3"/>
  <c r="I2003" i="3"/>
  <c r="I1427" i="3"/>
  <c r="I851" i="3"/>
  <c r="I275" i="3"/>
  <c r="I2266" i="3"/>
  <c r="I1690" i="3"/>
  <c r="I1114" i="3"/>
  <c r="I538" i="3"/>
  <c r="I2601" i="3"/>
  <c r="I2025" i="3"/>
  <c r="I1449" i="3"/>
  <c r="I873" i="3"/>
  <c r="I297" i="3"/>
  <c r="I2120" i="3"/>
  <c r="I1544" i="3"/>
  <c r="I968" i="3"/>
  <c r="I392" i="3"/>
  <c r="I1999" i="3"/>
  <c r="I1423" i="3"/>
  <c r="I847" i="3"/>
  <c r="I271" i="3"/>
  <c r="I2046" i="3"/>
  <c r="I1470" i="3"/>
  <c r="I894" i="3"/>
  <c r="I318" i="3"/>
  <c r="I2501" i="3"/>
  <c r="I1925" i="3"/>
  <c r="I1349" i="3"/>
  <c r="I773" i="3"/>
  <c r="I197" i="3"/>
  <c r="I2092" i="3"/>
  <c r="I1516" i="3"/>
  <c r="I940" i="3"/>
  <c r="I364" i="3"/>
  <c r="I2571" i="3"/>
  <c r="I1995" i="3"/>
  <c r="I1419" i="3"/>
  <c r="I3431" i="3"/>
  <c r="I2543" i="3"/>
  <c r="I2540" i="3"/>
  <c r="I3531" i="3"/>
  <c r="I3595" i="3"/>
  <c r="I3471" i="3"/>
  <c r="I2572" i="3"/>
  <c r="I2760" i="3"/>
  <c r="I3420" i="3"/>
  <c r="I2492" i="3"/>
  <c r="I3035" i="3"/>
  <c r="I3538" i="3"/>
  <c r="I2527" i="3"/>
  <c r="I3321" i="3"/>
  <c r="I2487" i="3"/>
  <c r="I3176" i="3"/>
  <c r="I1922" i="3"/>
  <c r="I2981" i="3"/>
  <c r="I3582" i="3"/>
  <c r="I2780" i="3"/>
  <c r="I3509" i="3"/>
  <c r="I2722" i="3"/>
  <c r="I3461" i="3"/>
  <c r="I3172" i="3"/>
  <c r="I2479" i="3"/>
  <c r="I2224" i="3"/>
  <c r="I1624" i="3"/>
  <c r="I1024" i="3"/>
  <c r="I424" i="3"/>
  <c r="I2271" i="3"/>
  <c r="I1671" i="3"/>
  <c r="I1071" i="3"/>
  <c r="I471" i="3"/>
  <c r="I2318" i="3"/>
  <c r="I1718" i="3"/>
  <c r="I1118" i="3"/>
  <c r="I518" i="3"/>
  <c r="I1525" i="3"/>
  <c r="I949" i="3"/>
  <c r="I373" i="3"/>
  <c r="I2076" i="3"/>
  <c r="I1500" i="3"/>
  <c r="I924" i="3"/>
  <c r="I348" i="3"/>
  <c r="I2555" i="3"/>
  <c r="I1979" i="3"/>
  <c r="I1403" i="3"/>
  <c r="I827" i="3"/>
  <c r="I251" i="3"/>
  <c r="I2242" i="3"/>
  <c r="I1666" i="3"/>
  <c r="I1090" i="3"/>
  <c r="I514" i="3"/>
  <c r="I2577" i="3"/>
  <c r="I2001" i="3"/>
  <c r="I1425" i="3"/>
  <c r="I849" i="3"/>
  <c r="I273" i="3"/>
  <c r="I2096" i="3"/>
  <c r="I1520" i="3"/>
  <c r="I944" i="3"/>
  <c r="I368" i="3"/>
  <c r="I1975" i="3"/>
  <c r="I1399" i="3"/>
  <c r="I823" i="3"/>
  <c r="I247" i="3"/>
  <c r="I2022" i="3"/>
  <c r="I1446" i="3"/>
  <c r="I870" i="3"/>
  <c r="I294" i="3"/>
  <c r="I2477" i="3"/>
  <c r="I1901" i="3"/>
  <c r="I1325" i="3"/>
  <c r="I749" i="3"/>
  <c r="I173" i="3"/>
  <c r="I2068" i="3"/>
  <c r="I1492" i="3"/>
  <c r="I916" i="3"/>
  <c r="I340" i="3"/>
  <c r="I2547" i="3"/>
  <c r="I1971" i="3"/>
  <c r="I1395" i="3"/>
  <c r="I819" i="3"/>
  <c r="I243" i="3"/>
  <c r="I1514" i="3"/>
  <c r="I938" i="3"/>
  <c r="I362" i="3"/>
  <c r="I1609" i="3"/>
  <c r="I1033" i="3"/>
  <c r="I457" i="3"/>
  <c r="I2616" i="3"/>
  <c r="I2040" i="3"/>
  <c r="I1464" i="3"/>
  <c r="I888" i="3"/>
  <c r="I312" i="3"/>
  <c r="I2135" i="3"/>
  <c r="I1559" i="3"/>
  <c r="I983" i="3"/>
  <c r="I407" i="3"/>
  <c r="I2230" i="3"/>
  <c r="I1654" i="3"/>
  <c r="I1078" i="3"/>
  <c r="I502" i="3"/>
  <c r="I2565" i="3"/>
  <c r="I1989" i="3"/>
  <c r="I1413" i="3"/>
  <c r="I837" i="3"/>
  <c r="I261" i="3"/>
  <c r="I2156" i="3"/>
  <c r="I1580" i="3"/>
  <c r="I1004" i="3"/>
  <c r="I428" i="3"/>
  <c r="I2899" i="3"/>
  <c r="I2323" i="3"/>
  <c r="I1747" i="3"/>
  <c r="I1171" i="3"/>
  <c r="I3023" i="3"/>
  <c r="I1994" i="3"/>
  <c r="I2502" i="3"/>
  <c r="I3483" i="3"/>
  <c r="I3568" i="3"/>
  <c r="I3638" i="3"/>
  <c r="I2534" i="3"/>
  <c r="I2732" i="3"/>
  <c r="I3396" i="3"/>
  <c r="I2454" i="3"/>
  <c r="I3010" i="3"/>
  <c r="I3466" i="3"/>
  <c r="I2489" i="3"/>
  <c r="I3297" i="3"/>
  <c r="I2447" i="3"/>
  <c r="I3152" i="3"/>
  <c r="I1693" i="3"/>
  <c r="I2956" i="3"/>
  <c r="I3558" i="3"/>
  <c r="I2752" i="3"/>
  <c r="I3365" i="3"/>
  <c r="I2692" i="3"/>
  <c r="I3437" i="3"/>
  <c r="I3148" i="3"/>
  <c r="I2436" i="3"/>
  <c r="I2200" i="3"/>
  <c r="I1600" i="3"/>
  <c r="I1000" i="3"/>
  <c r="I400" i="3"/>
  <c r="I2247" i="3"/>
  <c r="I1647" i="3"/>
  <c r="I1047" i="3"/>
  <c r="I447" i="3"/>
  <c r="I2294" i="3"/>
  <c r="I1694" i="3"/>
  <c r="I1094" i="3"/>
  <c r="I494" i="3"/>
  <c r="I1501" i="3"/>
  <c r="I925" i="3"/>
  <c r="I349" i="3"/>
  <c r="I2052" i="3"/>
  <c r="I1476" i="3"/>
  <c r="I900" i="3"/>
  <c r="I324" i="3"/>
  <c r="I2531" i="3"/>
  <c r="I1955" i="3"/>
  <c r="I1379" i="3"/>
  <c r="I803" i="3"/>
  <c r="I227" i="3"/>
  <c r="I2218" i="3"/>
  <c r="I1642" i="3"/>
  <c r="I1066" i="3"/>
  <c r="I490" i="3"/>
  <c r="I2553" i="3"/>
  <c r="I1977" i="3"/>
  <c r="I1401" i="3"/>
  <c r="I825" i="3"/>
  <c r="I249" i="3"/>
  <c r="I2072" i="3"/>
  <c r="I1496" i="3"/>
  <c r="I920" i="3"/>
  <c r="I344" i="3"/>
  <c r="I1951" i="3"/>
  <c r="I1375" i="3"/>
  <c r="I799" i="3"/>
  <c r="I223" i="3"/>
  <c r="I1998" i="3"/>
  <c r="I1422" i="3"/>
  <c r="I846" i="3"/>
  <c r="I270" i="3"/>
  <c r="I2453" i="3"/>
  <c r="I1877" i="3"/>
  <c r="I1301" i="3"/>
  <c r="I725" i="3"/>
  <c r="I149" i="3"/>
  <c r="I2044" i="3"/>
  <c r="I1468" i="3"/>
  <c r="I892" i="3"/>
  <c r="I316" i="3"/>
  <c r="I2523" i="3"/>
  <c r="I1947" i="3"/>
  <c r="I1371" i="3"/>
  <c r="I795" i="3"/>
  <c r="I219" i="3"/>
  <c r="I1490" i="3"/>
  <c r="I914" i="3"/>
  <c r="I338" i="3"/>
  <c r="I2847" i="3"/>
  <c r="I3476" i="3"/>
  <c r="I2463" i="3"/>
  <c r="I3647" i="3"/>
  <c r="I3375" i="3"/>
  <c r="I3614" i="3"/>
  <c r="I2406" i="3"/>
  <c r="I2702" i="3"/>
  <c r="I3324" i="3"/>
  <c r="I2330" i="3"/>
  <c r="I2935" i="3"/>
  <c r="I3418" i="3"/>
  <c r="I2322" i="3"/>
  <c r="I3273" i="3"/>
  <c r="I2394" i="3"/>
  <c r="I3128" i="3"/>
  <c r="I3599" i="3"/>
  <c r="I2931" i="3"/>
  <c r="I3510" i="3"/>
  <c r="I2694" i="3"/>
  <c r="I3341" i="3"/>
  <c r="I2630" i="3"/>
  <c r="I3413" i="3"/>
  <c r="I3124" i="3"/>
  <c r="I2382" i="3"/>
  <c r="I2176" i="3"/>
  <c r="I1576" i="3"/>
  <c r="I976" i="3"/>
  <c r="I376" i="3"/>
  <c r="I2223" i="3"/>
  <c r="I1623" i="3"/>
  <c r="I1023" i="3"/>
  <c r="I423" i="3"/>
  <c r="I2270" i="3"/>
  <c r="I1670" i="3"/>
  <c r="I1070" i="3"/>
  <c r="I470" i="3"/>
  <c r="I1477" i="3"/>
  <c r="I901" i="3"/>
  <c r="I325" i="3"/>
  <c r="I2028" i="3"/>
  <c r="I1452" i="3"/>
  <c r="I876" i="3"/>
  <c r="I300" i="3"/>
  <c r="I2507" i="3"/>
  <c r="I1931" i="3"/>
  <c r="I1355" i="3"/>
  <c r="I779" i="3"/>
  <c r="I203" i="3"/>
  <c r="I2194" i="3"/>
  <c r="I1618" i="3"/>
  <c r="I1042" i="3"/>
  <c r="I466" i="3"/>
  <c r="I2529" i="3"/>
  <c r="I1953" i="3"/>
  <c r="I1377" i="3"/>
  <c r="I801" i="3"/>
  <c r="I225" i="3"/>
  <c r="I2048" i="3"/>
  <c r="I1472" i="3"/>
  <c r="I896" i="3"/>
  <c r="I320" i="3"/>
  <c r="I1927" i="3"/>
  <c r="I1351" i="3"/>
  <c r="I775" i="3"/>
  <c r="I199" i="3"/>
  <c r="I1974" i="3"/>
  <c r="I1398" i="3"/>
  <c r="I822" i="3"/>
  <c r="I246" i="3"/>
  <c r="I2429" i="3"/>
  <c r="I1853" i="3"/>
  <c r="I1277" i="3"/>
  <c r="I701" i="3"/>
  <c r="I125" i="3"/>
  <c r="I2020" i="3"/>
  <c r="I1444" i="3"/>
  <c r="I868" i="3"/>
  <c r="I292" i="3"/>
  <c r="I2499" i="3"/>
  <c r="I1923" i="3"/>
  <c r="I1347" i="3"/>
  <c r="I771" i="3"/>
  <c r="I195" i="3"/>
  <c r="I1466" i="3"/>
  <c r="I890" i="3"/>
  <c r="I314" i="3"/>
  <c r="I1561" i="3"/>
  <c r="I985" i="3"/>
  <c r="I409" i="3"/>
  <c r="I2568" i="3"/>
  <c r="I1992" i="3"/>
  <c r="I1416" i="3"/>
  <c r="I840" i="3"/>
  <c r="I264" i="3"/>
  <c r="I2087" i="3"/>
  <c r="I1511" i="3"/>
  <c r="I935" i="3"/>
  <c r="I359" i="3"/>
  <c r="I2182" i="3"/>
  <c r="I1606" i="3"/>
  <c r="I1030" i="3"/>
  <c r="I2017" i="3"/>
  <c r="I3235" i="3"/>
  <c r="I3675" i="3"/>
  <c r="I3520" i="3"/>
  <c r="I3255" i="3"/>
  <c r="I3590" i="3"/>
  <c r="I2234" i="3"/>
  <c r="I2672" i="3"/>
  <c r="I3300" i="3"/>
  <c r="I2226" i="3"/>
  <c r="I2910" i="3"/>
  <c r="I3394" i="3"/>
  <c r="I2215" i="3"/>
  <c r="I3249" i="3"/>
  <c r="I2317" i="3"/>
  <c r="I3056" i="3"/>
  <c r="I3527" i="3"/>
  <c r="I2906" i="3"/>
  <c r="I3462" i="3"/>
  <c r="I2662" i="3"/>
  <c r="I3317" i="3"/>
  <c r="I2594" i="3"/>
  <c r="I3389" i="3"/>
  <c r="I3100" i="3"/>
  <c r="I2298" i="3"/>
  <c r="I2152" i="3"/>
  <c r="I1552" i="3"/>
  <c r="I952" i="3"/>
  <c r="I352" i="3"/>
  <c r="I2199" i="3"/>
  <c r="I1599" i="3"/>
  <c r="I999" i="3"/>
  <c r="I399" i="3"/>
  <c r="I2246" i="3"/>
  <c r="I1646" i="3"/>
  <c r="I1046" i="3"/>
  <c r="I446" i="3"/>
  <c r="I1453" i="3"/>
  <c r="I877" i="3"/>
  <c r="I301" i="3"/>
  <c r="I2004" i="3"/>
  <c r="I1428" i="3"/>
  <c r="I852" i="3"/>
  <c r="I276" i="3"/>
  <c r="I2483" i="3"/>
  <c r="I1907" i="3"/>
  <c r="I1331" i="3"/>
  <c r="I755" i="3"/>
  <c r="I179" i="3"/>
  <c r="I2170" i="3"/>
  <c r="I1594" i="3"/>
  <c r="I1018" i="3"/>
  <c r="I442" i="3"/>
  <c r="I2505" i="3"/>
  <c r="I1929" i="3"/>
  <c r="I1353" i="3"/>
  <c r="I777" i="3"/>
  <c r="I201" i="3"/>
  <c r="I2024" i="3"/>
  <c r="I1448" i="3"/>
  <c r="I872" i="3"/>
  <c r="I296" i="3"/>
  <c r="I1903" i="3"/>
  <c r="I1327" i="3"/>
  <c r="I751" i="3"/>
  <c r="I175" i="3"/>
  <c r="I1950" i="3"/>
  <c r="I1374" i="3"/>
  <c r="I798" i="3"/>
  <c r="I222" i="3"/>
  <c r="I2405" i="3"/>
  <c r="I1829" i="3"/>
  <c r="I1253" i="3"/>
  <c r="I677" i="3"/>
  <c r="I101" i="3"/>
  <c r="I1996" i="3"/>
  <c r="I1420" i="3"/>
  <c r="I844" i="3"/>
  <c r="I268" i="3"/>
  <c r="I2475" i="3"/>
  <c r="I1899" i="3"/>
  <c r="I1323" i="3"/>
  <c r="I747" i="3"/>
  <c r="I3526" i="3"/>
  <c r="I3187" i="3"/>
  <c r="I3695" i="3"/>
  <c r="I3472" i="3"/>
  <c r="I3207" i="3"/>
  <c r="I3470" i="3"/>
  <c r="I2106" i="3"/>
  <c r="I2641" i="3"/>
  <c r="I3252" i="3"/>
  <c r="I2090" i="3"/>
  <c r="I2860" i="3"/>
  <c r="I3370" i="3"/>
  <c r="I2082" i="3"/>
  <c r="I3225" i="3"/>
  <c r="I1933" i="3"/>
  <c r="I3032" i="3"/>
  <c r="I3631" i="3"/>
  <c r="I2881" i="3"/>
  <c r="I3342" i="3"/>
  <c r="I2596" i="3"/>
  <c r="I3293" i="3"/>
  <c r="I2558" i="3"/>
  <c r="I3676" i="3"/>
  <c r="I3076" i="3"/>
  <c r="I2186" i="3"/>
  <c r="I2128" i="3"/>
  <c r="I1528" i="3"/>
  <c r="I928" i="3"/>
  <c r="I328" i="3"/>
  <c r="I2175" i="3"/>
  <c r="I1575" i="3"/>
  <c r="I975" i="3"/>
  <c r="I375" i="3"/>
  <c r="I2222" i="3"/>
  <c r="I1622" i="3"/>
  <c r="I1022" i="3"/>
  <c r="I422" i="3"/>
  <c r="I1429" i="3"/>
  <c r="I853" i="3"/>
  <c r="I277" i="3"/>
  <c r="I1980" i="3"/>
  <c r="I1404" i="3"/>
  <c r="I828" i="3"/>
  <c r="I252" i="3"/>
  <c r="I2459" i="3"/>
  <c r="I1883" i="3"/>
  <c r="I1307" i="3"/>
  <c r="I731" i="3"/>
  <c r="I155" i="3"/>
  <c r="I2146" i="3"/>
  <c r="I1570" i="3"/>
  <c r="I994" i="3"/>
  <c r="I418" i="3"/>
  <c r="I2481" i="3"/>
  <c r="I1905" i="3"/>
  <c r="I1329" i="3"/>
  <c r="I753" i="3"/>
  <c r="I177" i="3"/>
  <c r="I2000" i="3"/>
  <c r="I1424" i="3"/>
  <c r="I848" i="3"/>
  <c r="I272" i="3"/>
  <c r="I1879" i="3"/>
  <c r="I1303" i="3"/>
  <c r="I727" i="3"/>
  <c r="I151" i="3"/>
  <c r="I1926" i="3"/>
  <c r="I1350" i="3"/>
  <c r="I774" i="3"/>
  <c r="I198" i="3"/>
  <c r="I2381" i="3"/>
  <c r="I1805" i="3"/>
  <c r="I1229" i="3"/>
  <c r="I653" i="3"/>
  <c r="I77" i="3"/>
  <c r="I1972" i="3"/>
  <c r="I1396" i="3"/>
  <c r="I820" i="3"/>
  <c r="I244" i="3"/>
  <c r="I2451" i="3"/>
  <c r="I1875" i="3"/>
  <c r="I1299" i="3"/>
  <c r="I723" i="3"/>
  <c r="I147" i="3"/>
  <c r="I1418" i="3"/>
  <c r="I842" i="3"/>
  <c r="I266" i="3"/>
  <c r="I1513" i="3"/>
  <c r="I937" i="3"/>
  <c r="I361" i="3"/>
  <c r="I2520" i="3"/>
  <c r="I1944" i="3"/>
  <c r="I1368" i="3"/>
  <c r="I792" i="3"/>
  <c r="I216" i="3"/>
  <c r="I2039" i="3"/>
  <c r="I1463" i="3"/>
  <c r="I887" i="3"/>
  <c r="I311" i="3"/>
  <c r="I2134" i="3"/>
  <c r="I1558" i="3"/>
  <c r="I982" i="3"/>
  <c r="I406" i="3"/>
  <c r="I2469" i="3"/>
  <c r="I1893" i="3"/>
  <c r="I1317" i="3"/>
  <c r="I741" i="3"/>
  <c r="I165" i="3"/>
  <c r="I2060" i="3"/>
  <c r="I1484" i="3"/>
  <c r="I908" i="3"/>
  <c r="I332" i="3"/>
  <c r="I2803" i="3"/>
  <c r="I2227" i="3"/>
  <c r="I1651" i="3"/>
  <c r="I3118" i="3"/>
  <c r="I3067" i="3"/>
  <c r="I3689" i="3"/>
  <c r="I3448" i="3"/>
  <c r="I3087" i="3"/>
  <c r="I3446" i="3"/>
  <c r="I1962" i="3"/>
  <c r="I2533" i="3"/>
  <c r="I3228" i="3"/>
  <c r="I1946" i="3"/>
  <c r="I2835" i="3"/>
  <c r="I3346" i="3"/>
  <c r="I1938" i="3"/>
  <c r="I3177" i="3"/>
  <c r="I3651" i="3"/>
  <c r="I3007" i="3"/>
  <c r="I3583" i="3"/>
  <c r="I2856" i="3"/>
  <c r="I3294" i="3"/>
  <c r="I2559" i="3"/>
  <c r="I3245" i="3"/>
  <c r="I2519" i="3"/>
  <c r="I3652" i="3"/>
  <c r="I3052" i="3"/>
  <c r="I2042" i="3"/>
  <c r="I2104" i="3"/>
  <c r="I1504" i="3"/>
  <c r="I904" i="3"/>
  <c r="I304" i="3"/>
  <c r="I2151" i="3"/>
  <c r="I1551" i="3"/>
  <c r="I951" i="3"/>
  <c r="I351" i="3"/>
  <c r="I2198" i="3"/>
  <c r="I1598" i="3"/>
  <c r="I998" i="3"/>
  <c r="I398" i="3"/>
  <c r="I1405" i="3"/>
  <c r="I829" i="3"/>
  <c r="I253" i="3"/>
  <c r="I1956" i="3"/>
  <c r="I1380" i="3"/>
  <c r="I804" i="3"/>
  <c r="I228" i="3"/>
  <c r="I2435" i="3"/>
  <c r="I1859" i="3"/>
  <c r="I1283" i="3"/>
  <c r="I707" i="3"/>
  <c r="I131" i="3"/>
  <c r="I2122" i="3"/>
  <c r="I1546" i="3"/>
  <c r="I970" i="3"/>
  <c r="I394" i="3"/>
  <c r="I2457" i="3"/>
  <c r="I1881" i="3"/>
  <c r="I1305" i="3"/>
  <c r="I729" i="3"/>
  <c r="I153" i="3"/>
  <c r="I1976" i="3"/>
  <c r="I1400" i="3"/>
  <c r="I824" i="3"/>
  <c r="I248" i="3"/>
  <c r="I1855" i="3"/>
  <c r="I1279" i="3"/>
  <c r="I703" i="3"/>
  <c r="I127" i="3"/>
  <c r="I1902" i="3"/>
  <c r="I1326" i="3"/>
  <c r="I750" i="3"/>
  <c r="I174" i="3"/>
  <c r="I2357" i="3"/>
  <c r="I1781" i="3"/>
  <c r="I1205" i="3"/>
  <c r="I629" i="3"/>
  <c r="I53" i="3"/>
  <c r="I1948" i="3"/>
  <c r="I1372" i="3"/>
  <c r="I796" i="3"/>
  <c r="I220" i="3"/>
  <c r="I2427" i="3"/>
  <c r="I1851" i="3"/>
  <c r="I1275" i="3"/>
  <c r="I699" i="3"/>
  <c r="I123" i="3"/>
  <c r="I1394" i="3"/>
  <c r="I818" i="3"/>
  <c r="I242" i="3"/>
  <c r="I1489" i="3"/>
  <c r="I913" i="3"/>
  <c r="I337" i="3"/>
  <c r="I2496" i="3"/>
  <c r="I1920" i="3"/>
  <c r="I1344" i="3"/>
  <c r="I768" i="3"/>
  <c r="I192" i="3"/>
  <c r="I2015" i="3"/>
  <c r="I1439" i="3"/>
  <c r="I863" i="3"/>
  <c r="I287" i="3"/>
  <c r="I2110" i="3"/>
  <c r="I1534" i="3"/>
  <c r="I958" i="3"/>
  <c r="I382" i="3"/>
  <c r="I2445" i="3"/>
  <c r="I1869" i="3"/>
  <c r="I1293" i="3"/>
  <c r="I717" i="3"/>
  <c r="I141" i="3"/>
  <c r="I2036" i="3"/>
  <c r="I1460" i="3"/>
  <c r="I884" i="3"/>
  <c r="I2946" i="3"/>
  <c r="I3018" i="3"/>
  <c r="I3641" i="3"/>
  <c r="I3376" i="3"/>
  <c r="I3063" i="3"/>
  <c r="I3422" i="3"/>
  <c r="I3664" i="3"/>
  <c r="I2455" i="3"/>
  <c r="I3204" i="3"/>
  <c r="I1789" i="3"/>
  <c r="I2810" i="3"/>
  <c r="I3322" i="3"/>
  <c r="I1741" i="3"/>
  <c r="I3153" i="3"/>
  <c r="I3694" i="3"/>
  <c r="I2982" i="3"/>
  <c r="I3535" i="3"/>
  <c r="I2831" i="3"/>
  <c r="I3270" i="3"/>
  <c r="I2521" i="3"/>
  <c r="I3221" i="3"/>
  <c r="I2480" i="3"/>
  <c r="I3628" i="3"/>
  <c r="I3028" i="3"/>
  <c r="I1898" i="3"/>
  <c r="I2080" i="3"/>
  <c r="I1480" i="3"/>
  <c r="I880" i="3"/>
  <c r="I280" i="3"/>
  <c r="I2127" i="3"/>
  <c r="I1527" i="3"/>
  <c r="I927" i="3"/>
  <c r="I327" i="3"/>
  <c r="I2174" i="3"/>
  <c r="I1574" i="3"/>
  <c r="I974" i="3"/>
  <c r="I374" i="3"/>
  <c r="I1381" i="3"/>
  <c r="I805" i="3"/>
  <c r="I229" i="3"/>
  <c r="I1932" i="3"/>
  <c r="I1356" i="3"/>
  <c r="I780" i="3"/>
  <c r="I204" i="3"/>
  <c r="I2411" i="3"/>
  <c r="I1835" i="3"/>
  <c r="I1259" i="3"/>
  <c r="I683" i="3"/>
  <c r="I107" i="3"/>
  <c r="I2098" i="3"/>
  <c r="I1522" i="3"/>
  <c r="I946" i="3"/>
  <c r="I370" i="3"/>
  <c r="I2433" i="3"/>
  <c r="I1857" i="3"/>
  <c r="I1281" i="3"/>
  <c r="I705" i="3"/>
  <c r="I129" i="3"/>
  <c r="I1952" i="3"/>
  <c r="I1376" i="3"/>
  <c r="I800" i="3"/>
  <c r="I224" i="3"/>
  <c r="I1831" i="3"/>
  <c r="I1255" i="3"/>
  <c r="I679" i="3"/>
  <c r="I103" i="3"/>
  <c r="I1878" i="3"/>
  <c r="I1302" i="3"/>
  <c r="I726" i="3"/>
  <c r="I150" i="3"/>
  <c r="I2333" i="3"/>
  <c r="I1757" i="3"/>
  <c r="I1181" i="3"/>
  <c r="I605" i="3"/>
  <c r="I29" i="3"/>
  <c r="I1924" i="3"/>
  <c r="I1348" i="3"/>
  <c r="I772" i="3"/>
  <c r="I196" i="3"/>
  <c r="I2403" i="3"/>
  <c r="I1827" i="3"/>
  <c r="I1251" i="3"/>
  <c r="I675" i="3"/>
  <c r="I99" i="3"/>
  <c r="I1370" i="3"/>
  <c r="I794" i="3"/>
  <c r="I218" i="3"/>
  <c r="I1465" i="3"/>
  <c r="I889" i="3"/>
  <c r="I313" i="3"/>
  <c r="I2423" i="3"/>
  <c r="I2843" i="3"/>
  <c r="I3521" i="3"/>
  <c r="I3256" i="3"/>
  <c r="I3039" i="3"/>
  <c r="I3350" i="3"/>
  <c r="I3567" i="3"/>
  <c r="I2402" i="3"/>
  <c r="I3180" i="3"/>
  <c r="I3683" i="3"/>
  <c r="I2785" i="3"/>
  <c r="I3202" i="3"/>
  <c r="I3596" i="3"/>
  <c r="I3129" i="3"/>
  <c r="I3690" i="3"/>
  <c r="I2957" i="3"/>
  <c r="I3487" i="3"/>
  <c r="I2806" i="3"/>
  <c r="I3222" i="3"/>
  <c r="I2484" i="3"/>
  <c r="I3197" i="3"/>
  <c r="I2437" i="3"/>
  <c r="I3604" i="3"/>
  <c r="I3003" i="3"/>
  <c r="I1597" i="3"/>
  <c r="I2056" i="3"/>
  <c r="I1456" i="3"/>
  <c r="I856" i="3"/>
  <c r="I256" i="3"/>
  <c r="I2103" i="3"/>
  <c r="I1503" i="3"/>
  <c r="I903" i="3"/>
  <c r="I303" i="3"/>
  <c r="I2150" i="3"/>
  <c r="I1550" i="3"/>
  <c r="I950" i="3"/>
  <c r="I350" i="3"/>
  <c r="I1357" i="3"/>
  <c r="I781" i="3"/>
  <c r="I205" i="3"/>
  <c r="I1908" i="3"/>
  <c r="I1332" i="3"/>
  <c r="I756" i="3"/>
  <c r="I180" i="3"/>
  <c r="I2387" i="3"/>
  <c r="I1811" i="3"/>
  <c r="I1235" i="3"/>
  <c r="I659" i="3"/>
  <c r="I83" i="3"/>
  <c r="I2074" i="3"/>
  <c r="I1498" i="3"/>
  <c r="I922" i="3"/>
  <c r="I346" i="3"/>
  <c r="I2409" i="3"/>
  <c r="I1833" i="3"/>
  <c r="I1257" i="3"/>
  <c r="I681" i="3"/>
  <c r="I105" i="3"/>
  <c r="I1928" i="3"/>
  <c r="I1352" i="3"/>
  <c r="I776" i="3"/>
  <c r="I200" i="3"/>
  <c r="I1807" i="3"/>
  <c r="I1231" i="3"/>
  <c r="I655" i="3"/>
  <c r="I79" i="3"/>
  <c r="I1854" i="3"/>
  <c r="I1278" i="3"/>
  <c r="I702" i="3"/>
  <c r="I126" i="3"/>
  <c r="I2309" i="3"/>
  <c r="I1733" i="3"/>
  <c r="I1157" i="3"/>
  <c r="I581" i="3"/>
  <c r="I1900" i="3"/>
  <c r="I1324" i="3"/>
  <c r="I748" i="3"/>
  <c r="I172" i="3"/>
  <c r="I2379" i="3"/>
  <c r="I1803" i="3"/>
  <c r="I1227" i="3"/>
  <c r="I651" i="3"/>
  <c r="I75" i="3"/>
  <c r="I1346" i="3"/>
  <c r="I770" i="3"/>
  <c r="I194" i="3"/>
  <c r="I1441" i="3"/>
  <c r="I865" i="3"/>
  <c r="I289" i="3"/>
  <c r="I2448" i="3"/>
  <c r="I1872" i="3"/>
  <c r="I1296" i="3"/>
  <c r="I720" i="3"/>
  <c r="I144" i="3"/>
  <c r="I1967" i="3"/>
  <c r="I1391" i="3"/>
  <c r="I815" i="3"/>
  <c r="I239" i="3"/>
  <c r="I2062" i="3"/>
  <c r="I1486" i="3"/>
  <c r="I910" i="3"/>
  <c r="I334" i="3"/>
  <c r="I2397" i="3"/>
  <c r="I1821" i="3"/>
  <c r="I1245" i="3"/>
  <c r="I669" i="3"/>
  <c r="I93" i="3"/>
  <c r="I3693" i="3"/>
  <c r="I2767" i="3"/>
  <c r="I3497" i="3"/>
  <c r="I3208" i="3"/>
  <c r="I2964" i="3"/>
  <c r="I3326" i="3"/>
  <c r="I3543" i="3"/>
  <c r="I2335" i="3"/>
  <c r="I3156" i="3"/>
  <c r="I3659" i="3"/>
  <c r="I2758" i="3"/>
  <c r="I3178" i="3"/>
  <c r="I3524" i="3"/>
  <c r="I3105" i="3"/>
  <c r="I3632" i="3"/>
  <c r="I2932" i="3"/>
  <c r="I3463" i="3"/>
  <c r="I2753" i="3"/>
  <c r="I3198" i="3"/>
  <c r="I2388" i="3"/>
  <c r="I3173" i="3"/>
  <c r="I2383" i="3"/>
  <c r="I3580" i="3"/>
  <c r="I2978" i="3"/>
  <c r="I2632" i="3"/>
  <c r="I2032" i="3"/>
  <c r="I1432" i="3"/>
  <c r="I832" i="3"/>
  <c r="I232" i="3"/>
  <c r="I2079" i="3"/>
  <c r="I1479" i="3"/>
  <c r="I879" i="3"/>
  <c r="I279" i="3"/>
  <c r="I2126" i="3"/>
  <c r="I1526" i="3"/>
  <c r="I926" i="3"/>
  <c r="I326" i="3"/>
  <c r="I1333" i="3"/>
  <c r="I757" i="3"/>
  <c r="I181" i="3"/>
  <c r="I1884" i="3"/>
  <c r="I1308" i="3"/>
  <c r="I732" i="3"/>
  <c r="I156" i="3"/>
  <c r="I2363" i="3"/>
  <c r="I1787" i="3"/>
  <c r="I1211" i="3"/>
  <c r="I635" i="3"/>
  <c r="I59" i="3"/>
  <c r="I2050" i="3"/>
  <c r="I1474" i="3"/>
  <c r="I898" i="3"/>
  <c r="I322" i="3"/>
  <c r="I2385" i="3"/>
  <c r="I1809" i="3"/>
  <c r="I1233" i="3"/>
  <c r="I657" i="3"/>
  <c r="I81" i="3"/>
  <c r="I1904" i="3"/>
  <c r="I1328" i="3"/>
  <c r="I752" i="3"/>
  <c r="I176" i="3"/>
  <c r="I1783" i="3"/>
  <c r="I1207" i="3"/>
  <c r="I631" i="3"/>
  <c r="I55" i="3"/>
  <c r="I1830" i="3"/>
  <c r="I1254" i="3"/>
  <c r="I678" i="3"/>
  <c r="I102" i="3"/>
  <c r="I2285" i="3"/>
  <c r="I1709" i="3"/>
  <c r="I1133" i="3"/>
  <c r="I557" i="3"/>
  <c r="I2452" i="3"/>
  <c r="I1876" i="3"/>
  <c r="I1300" i="3"/>
  <c r="I724" i="3"/>
  <c r="I148" i="3"/>
  <c r="I2355" i="3"/>
  <c r="I1779" i="3"/>
  <c r="I1203" i="3"/>
  <c r="I627" i="3"/>
  <c r="I51" i="3"/>
  <c r="I1322" i="3"/>
  <c r="I746" i="3"/>
  <c r="I170" i="3"/>
  <c r="I1417" i="3"/>
  <c r="I841" i="3"/>
  <c r="I265" i="3"/>
  <c r="I2424" i="3"/>
  <c r="I1848" i="3"/>
  <c r="I1272" i="3"/>
  <c r="I696" i="3"/>
  <c r="I120" i="3"/>
  <c r="I1943" i="3"/>
  <c r="I3621" i="3"/>
  <c r="I2615" i="3"/>
  <c r="I3473" i="3"/>
  <c r="I3088" i="3"/>
  <c r="I2939" i="3"/>
  <c r="I3278" i="3"/>
  <c r="I3637" i="3"/>
  <c r="I3692" i="3"/>
  <c r="I3132" i="3"/>
  <c r="I3635" i="3"/>
  <c r="I2729" i="3"/>
  <c r="I3154" i="3"/>
  <c r="I3643" i="3"/>
  <c r="I3081" i="3"/>
  <c r="I3608" i="3"/>
  <c r="I2907" i="3"/>
  <c r="I3439" i="3"/>
  <c r="I2725" i="3"/>
  <c r="I3174" i="3"/>
  <c r="I2306" i="3"/>
  <c r="I3149" i="3"/>
  <c r="I2305" i="3"/>
  <c r="I3556" i="3"/>
  <c r="I2953" i="3"/>
  <c r="I2608" i="3"/>
  <c r="I2008" i="3"/>
  <c r="I1408" i="3"/>
  <c r="I808" i="3"/>
  <c r="I208" i="3"/>
  <c r="I2055" i="3"/>
  <c r="I1455" i="3"/>
  <c r="I855" i="3"/>
  <c r="I255" i="3"/>
  <c r="I2102" i="3"/>
  <c r="I1502" i="3"/>
  <c r="I878" i="3"/>
  <c r="I302" i="3"/>
  <c r="I1309" i="3"/>
  <c r="I733" i="3"/>
  <c r="I157" i="3"/>
  <c r="I1860" i="3"/>
  <c r="I1284" i="3"/>
  <c r="I708" i="3"/>
  <c r="I132" i="3"/>
  <c r="I2339" i="3"/>
  <c r="I1763" i="3"/>
  <c r="I1187" i="3"/>
  <c r="I611" i="3"/>
  <c r="I35" i="3"/>
  <c r="I2026" i="3"/>
  <c r="I1450" i="3"/>
  <c r="I874" i="3"/>
  <c r="I298" i="3"/>
  <c r="I2361" i="3"/>
  <c r="I1785" i="3"/>
  <c r="I1209" i="3"/>
  <c r="I633" i="3"/>
  <c r="I57" i="3"/>
  <c r="I1880" i="3"/>
  <c r="I1304" i="3"/>
  <c r="I728" i="3"/>
  <c r="I152" i="3"/>
  <c r="I1759" i="3"/>
  <c r="I1183" i="3"/>
  <c r="I607" i="3"/>
  <c r="I31" i="3"/>
  <c r="I1806" i="3"/>
  <c r="I1230" i="3"/>
  <c r="I654" i="3"/>
  <c r="I78" i="3"/>
  <c r="I2261" i="3"/>
  <c r="I1685" i="3"/>
  <c r="I1109" i="3"/>
  <c r="I533" i="3"/>
  <c r="I2428" i="3"/>
  <c r="I1852" i="3"/>
  <c r="I1276" i="3"/>
  <c r="I700" i="3"/>
  <c r="I124" i="3"/>
  <c r="I2331" i="3"/>
  <c r="I1755" i="3"/>
  <c r="I1179" i="3"/>
  <c r="I603" i="3"/>
  <c r="I27" i="3"/>
  <c r="I1298" i="3"/>
  <c r="I722" i="3"/>
  <c r="I146" i="3"/>
  <c r="I1393" i="3"/>
  <c r="I817" i="3"/>
  <c r="I241" i="3"/>
  <c r="I2400" i="3"/>
  <c r="I1824" i="3"/>
  <c r="I1248" i="3"/>
  <c r="I672" i="3"/>
  <c r="I96" i="3"/>
  <c r="I1919" i="3"/>
  <c r="I1343" i="3"/>
  <c r="I767" i="3"/>
  <c r="I191" i="3"/>
  <c r="I2014" i="3"/>
  <c r="I1438" i="3"/>
  <c r="I862" i="3"/>
  <c r="I286" i="3"/>
  <c r="I2349" i="3"/>
  <c r="I1773" i="3"/>
  <c r="I1197" i="3"/>
  <c r="I621" i="3"/>
  <c r="I45" i="3"/>
  <c r="I1940" i="3"/>
  <c r="I1364" i="3"/>
  <c r="I788" i="3"/>
  <c r="I3285" i="3"/>
  <c r="I2542" i="3"/>
  <c r="I3377" i="3"/>
  <c r="I3064" i="3"/>
  <c r="I2889" i="3"/>
  <c r="I3254" i="3"/>
  <c r="I3613" i="3"/>
  <c r="I3499" i="3"/>
  <c r="I3084" i="3"/>
  <c r="I3515" i="3"/>
  <c r="I2670" i="3"/>
  <c r="I3082" i="3"/>
  <c r="I3592" i="3"/>
  <c r="I3008" i="3"/>
  <c r="I3584" i="3"/>
  <c r="I2882" i="3"/>
  <c r="I3415" i="3"/>
  <c r="I2663" i="3"/>
  <c r="I3150" i="3"/>
  <c r="I2197" i="3"/>
  <c r="I3125" i="3"/>
  <c r="I2191" i="3"/>
  <c r="I3532" i="3"/>
  <c r="I2928" i="3"/>
  <c r="I2584" i="3"/>
  <c r="I1984" i="3"/>
  <c r="I1384" i="3"/>
  <c r="I784" i="3"/>
  <c r="I184" i="3"/>
  <c r="I2031" i="3"/>
  <c r="I1431" i="3"/>
  <c r="I831" i="3"/>
  <c r="I231" i="3"/>
  <c r="I2078" i="3"/>
  <c r="I1454" i="3"/>
  <c r="I854" i="3"/>
  <c r="I278" i="3"/>
  <c r="I1285" i="3"/>
  <c r="I709" i="3"/>
  <c r="I133" i="3"/>
  <c r="I1836" i="3"/>
  <c r="I1260" i="3"/>
  <c r="I684" i="3"/>
  <c r="I108" i="3"/>
  <c r="I2315" i="3"/>
  <c r="I1739" i="3"/>
  <c r="I1163" i="3"/>
  <c r="I587" i="3"/>
  <c r="I2002" i="3"/>
  <c r="I1426" i="3"/>
  <c r="I850" i="3"/>
  <c r="I274" i="3"/>
  <c r="I2337" i="3"/>
  <c r="I1761" i="3"/>
  <c r="I1185" i="3"/>
  <c r="I609" i="3"/>
  <c r="I33" i="3"/>
  <c r="I1856" i="3"/>
  <c r="I1280" i="3"/>
  <c r="I704" i="3"/>
  <c r="I128" i="3"/>
  <c r="I1735" i="3"/>
  <c r="I1159" i="3"/>
  <c r="I583" i="3"/>
  <c r="I1782" i="3"/>
  <c r="I1206" i="3"/>
  <c r="I630" i="3"/>
  <c r="I54" i="3"/>
  <c r="I2237" i="3"/>
  <c r="I1661" i="3"/>
  <c r="I1085" i="3"/>
  <c r="I509" i="3"/>
  <c r="I2404" i="3"/>
  <c r="I1828" i="3"/>
  <c r="I1252" i="3"/>
  <c r="I676" i="3"/>
  <c r="I100" i="3"/>
  <c r="I2307" i="3"/>
  <c r="I1731" i="3"/>
  <c r="I1155" i="3"/>
  <c r="I579" i="3"/>
  <c r="I1274" i="3"/>
  <c r="I698" i="3"/>
  <c r="I122" i="3"/>
  <c r="I1369" i="3"/>
  <c r="I793" i="3"/>
  <c r="I217" i="3"/>
  <c r="I2376" i="3"/>
  <c r="I1800" i="3"/>
  <c r="I1224" i="3"/>
  <c r="I648" i="3"/>
  <c r="I72" i="3"/>
  <c r="I1895" i="3"/>
  <c r="I1319" i="3"/>
  <c r="I743" i="3"/>
  <c r="I167" i="3"/>
  <c r="I1990" i="3"/>
  <c r="I1414" i="3"/>
  <c r="I838" i="3"/>
  <c r="I262" i="3"/>
  <c r="I2325" i="3"/>
  <c r="I1749" i="3"/>
  <c r="I1173" i="3"/>
  <c r="I939" i="3"/>
  <c r="I433" i="3"/>
  <c r="I288" i="3"/>
  <c r="I335" i="3"/>
  <c r="I1006" i="3"/>
  <c r="I2061" i="3"/>
  <c r="I765" i="3"/>
  <c r="I1988" i="3"/>
  <c r="I956" i="3"/>
  <c r="I44" i="3"/>
  <c r="I2347" i="3"/>
  <c r="I1603" i="3"/>
  <c r="I931" i="3"/>
  <c r="I211" i="3"/>
  <c r="I1362" i="3"/>
  <c r="I714" i="3"/>
  <c r="I66" i="3"/>
  <c r="I1769" i="3"/>
  <c r="I1121" i="3"/>
  <c r="I473" i="3"/>
  <c r="I932" i="3"/>
  <c r="I2299" i="3"/>
  <c r="I1579" i="3"/>
  <c r="I835" i="3"/>
  <c r="I1338" i="3"/>
  <c r="I811" i="3"/>
  <c r="I666" i="3"/>
  <c r="I353" i="3"/>
  <c r="I2297" i="3"/>
  <c r="I233" i="3"/>
  <c r="I185" i="3"/>
  <c r="I1650" i="3"/>
  <c r="I1985" i="3"/>
  <c r="I689" i="3"/>
  <c r="I2539" i="3"/>
  <c r="I843" i="3"/>
  <c r="I385" i="3"/>
  <c r="I240" i="3"/>
  <c r="I263" i="3"/>
  <c r="I934" i="3"/>
  <c r="I2013" i="3"/>
  <c r="I693" i="3"/>
  <c r="I1964" i="3"/>
  <c r="I187" i="3"/>
  <c r="I42" i="3"/>
  <c r="I1314" i="3"/>
  <c r="I1721" i="3"/>
  <c r="I139" i="3"/>
  <c r="I2155" i="3"/>
  <c r="I570" i="3"/>
  <c r="I1099" i="3"/>
  <c r="I363" i="3"/>
  <c r="I168" i="3"/>
  <c r="I215" i="3"/>
  <c r="I886" i="3"/>
  <c r="I1965" i="3"/>
  <c r="I645" i="3"/>
  <c r="I1916" i="3"/>
  <c r="I860" i="3"/>
  <c r="I1073" i="3"/>
  <c r="I787" i="3"/>
  <c r="I1290" i="3"/>
  <c r="I1625" i="3"/>
  <c r="I257" i="3"/>
  <c r="I881" i="3"/>
  <c r="I2225" i="3"/>
  <c r="I1505" i="3"/>
  <c r="I857" i="3"/>
  <c r="I209" i="3"/>
  <c r="I2201" i="3"/>
  <c r="I833" i="3"/>
  <c r="I619" i="3"/>
  <c r="I267" i="3"/>
  <c r="I2640" i="3"/>
  <c r="I2255" i="3"/>
  <c r="I23" i="3"/>
  <c r="I694" i="3"/>
  <c r="I1941" i="3"/>
  <c r="I597" i="3"/>
  <c r="I1820" i="3"/>
  <c r="I836" i="3"/>
  <c r="I3019" i="3"/>
  <c r="I2251" i="3"/>
  <c r="I1531" i="3"/>
  <c r="I905" i="3"/>
  <c r="I1529" i="3"/>
  <c r="I113" i="3"/>
  <c r="I171" i="3"/>
  <c r="I2592" i="3"/>
  <c r="I2159" i="3"/>
  <c r="I2350" i="3"/>
  <c r="I622" i="3"/>
  <c r="I1917" i="3"/>
  <c r="I453" i="3"/>
  <c r="I1772" i="3"/>
  <c r="I812" i="3"/>
  <c r="I2971" i="3"/>
  <c r="I2203" i="3"/>
  <c r="I1507" i="3"/>
  <c r="I763" i="3"/>
  <c r="I115" i="3"/>
  <c r="I1266" i="3"/>
  <c r="I618" i="3"/>
  <c r="I2321" i="3"/>
  <c r="I1673" i="3"/>
  <c r="I953" i="3"/>
  <c r="I305" i="3"/>
  <c r="I739" i="3"/>
  <c r="I91" i="3"/>
  <c r="I1649" i="3"/>
  <c r="I281" i="3"/>
  <c r="I715" i="3"/>
  <c r="I474" i="3"/>
  <c r="I1634" i="3"/>
  <c r="I2544" i="3"/>
  <c r="I2111" i="3"/>
  <c r="I2302" i="3"/>
  <c r="I574" i="3"/>
  <c r="I1845" i="3"/>
  <c r="I405" i="3"/>
  <c r="I1724" i="3"/>
  <c r="I764" i="3"/>
  <c r="I2947" i="3"/>
  <c r="I2179" i="3"/>
  <c r="I1411" i="3"/>
  <c r="I594" i="3"/>
  <c r="I929" i="3"/>
  <c r="I1387" i="3"/>
  <c r="I67" i="3"/>
  <c r="I2273" i="3"/>
  <c r="I761" i="3"/>
  <c r="I1937" i="3"/>
  <c r="I1538" i="3"/>
  <c r="I2472" i="3"/>
  <c r="I2063" i="3"/>
  <c r="I2254" i="3"/>
  <c r="I526" i="3"/>
  <c r="I1797" i="3"/>
  <c r="I381" i="3"/>
  <c r="I1700" i="3"/>
  <c r="I668" i="3"/>
  <c r="I2923" i="3"/>
  <c r="I1218" i="3"/>
  <c r="I1442" i="3"/>
  <c r="I2160" i="3"/>
  <c r="I1991" i="3"/>
  <c r="I2206" i="3"/>
  <c r="I478" i="3"/>
  <c r="I1605" i="3"/>
  <c r="I333" i="3"/>
  <c r="I1652" i="3"/>
  <c r="I620" i="3"/>
  <c r="I2875" i="3"/>
  <c r="I2131" i="3"/>
  <c r="I1363" i="3"/>
  <c r="I691" i="3"/>
  <c r="I43" i="3"/>
  <c r="I1194" i="3"/>
  <c r="I546" i="3"/>
  <c r="I2249" i="3"/>
  <c r="I1170" i="3"/>
  <c r="I809" i="3"/>
  <c r="I1058" i="3"/>
  <c r="I2064" i="3"/>
  <c r="I1679" i="3"/>
  <c r="I2158" i="3"/>
  <c r="I454" i="3"/>
  <c r="I1557" i="3"/>
  <c r="I285" i="3"/>
  <c r="I1604" i="3"/>
  <c r="I596" i="3"/>
  <c r="I2851" i="3"/>
  <c r="I2107" i="3"/>
  <c r="I1339" i="3"/>
  <c r="I667" i="3"/>
  <c r="I1770" i="3"/>
  <c r="I1457" i="3"/>
  <c r="I65" i="3"/>
  <c r="I1289" i="3"/>
  <c r="I962" i="3"/>
  <c r="I2016" i="3"/>
  <c r="I1583" i="3"/>
  <c r="I2086" i="3"/>
  <c r="I430" i="3"/>
  <c r="I1533" i="3"/>
  <c r="I237" i="3"/>
  <c r="I1556" i="3"/>
  <c r="I572" i="3"/>
  <c r="I2827" i="3"/>
  <c r="I2083" i="3"/>
  <c r="I1315" i="3"/>
  <c r="I643" i="3"/>
  <c r="I1146" i="3"/>
  <c r="I498" i="3"/>
  <c r="I1481" i="3"/>
  <c r="I866" i="3"/>
  <c r="I1968" i="3"/>
  <c r="I1535" i="3"/>
  <c r="I2038" i="3"/>
  <c r="I358" i="3"/>
  <c r="I1485" i="3"/>
  <c r="I213" i="3"/>
  <c r="I1532" i="3"/>
  <c r="I548" i="3"/>
  <c r="I2779" i="3"/>
  <c r="I1987" i="3"/>
  <c r="I1291" i="3"/>
  <c r="I2105" i="3"/>
  <c r="I482" i="3"/>
  <c r="I1896" i="3"/>
  <c r="I1487" i="3"/>
  <c r="I1846" i="3"/>
  <c r="I310" i="3"/>
  <c r="I1437" i="3"/>
  <c r="I189" i="3"/>
  <c r="I1508" i="3"/>
  <c r="I500" i="3"/>
  <c r="I2755" i="3"/>
  <c r="I1963" i="3"/>
  <c r="I1267" i="3"/>
  <c r="I595" i="3"/>
  <c r="I1746" i="3"/>
  <c r="I1098" i="3"/>
  <c r="I450" i="3"/>
  <c r="I2081" i="3"/>
  <c r="I1433" i="3"/>
  <c r="I785" i="3"/>
  <c r="I137" i="3"/>
  <c r="I2731" i="3"/>
  <c r="I1939" i="3"/>
  <c r="I1243" i="3"/>
  <c r="I571" i="3"/>
  <c r="I1722" i="3"/>
  <c r="I1074" i="3"/>
  <c r="I426" i="3"/>
  <c r="I2057" i="3"/>
  <c r="I713" i="3"/>
  <c r="I1602" i="3"/>
  <c r="I386" i="3"/>
  <c r="I1584" i="3"/>
  <c r="I1415" i="3"/>
  <c r="I1774" i="3"/>
  <c r="I118" i="3"/>
  <c r="I1389" i="3"/>
  <c r="I117" i="3"/>
  <c r="I1436" i="3"/>
  <c r="I476" i="3"/>
  <c r="I1409" i="3"/>
  <c r="I290" i="3"/>
  <c r="I1488" i="3"/>
  <c r="I1367" i="3"/>
  <c r="I1726" i="3"/>
  <c r="I46" i="3"/>
  <c r="I1365" i="3"/>
  <c r="I69" i="3"/>
  <c r="I1412" i="3"/>
  <c r="I452" i="3"/>
  <c r="I2707" i="3"/>
  <c r="I1915" i="3"/>
  <c r="I1219" i="3"/>
  <c r="I547" i="3"/>
  <c r="I1698" i="3"/>
  <c r="I1050" i="3"/>
  <c r="I330" i="3"/>
  <c r="I2033" i="3"/>
  <c r="I1385" i="3"/>
  <c r="I737" i="3"/>
  <c r="I1729" i="3"/>
  <c r="I1440" i="3"/>
  <c r="I1103" i="3"/>
  <c r="I1678" i="3"/>
  <c r="I1341" i="3"/>
  <c r="I21" i="3"/>
  <c r="I1388" i="3"/>
  <c r="I404" i="3"/>
  <c r="I2683" i="3"/>
  <c r="I1891" i="3"/>
  <c r="I1195" i="3"/>
  <c r="I523" i="3"/>
  <c r="I1674" i="3"/>
  <c r="I1026" i="3"/>
  <c r="I306" i="3"/>
  <c r="I2009" i="3"/>
  <c r="I1361" i="3"/>
  <c r="I882" i="3"/>
  <c r="I1633" i="3"/>
  <c r="I1392" i="3"/>
  <c r="I1007" i="3"/>
  <c r="I1630" i="3"/>
  <c r="I2589" i="3"/>
  <c r="I1269" i="3"/>
  <c r="I2348" i="3"/>
  <c r="I1340" i="3"/>
  <c r="I380" i="3"/>
  <c r="I2659" i="3"/>
  <c r="I1867" i="3"/>
  <c r="I1147" i="3"/>
  <c r="I499" i="3"/>
  <c r="I1002" i="3"/>
  <c r="I282" i="3"/>
  <c r="I1337" i="3"/>
  <c r="I41" i="3"/>
  <c r="I1585" i="3"/>
  <c r="I1320" i="3"/>
  <c r="I959" i="3"/>
  <c r="I1582" i="3"/>
  <c r="I2541" i="3"/>
  <c r="I1221" i="3"/>
  <c r="I2300" i="3"/>
  <c r="I1244" i="3"/>
  <c r="I356" i="3"/>
  <c r="I2563" i="3"/>
  <c r="I1843" i="3"/>
  <c r="I1123" i="3"/>
  <c r="I475" i="3"/>
  <c r="I1626" i="3"/>
  <c r="I906" i="3"/>
  <c r="I258" i="3"/>
  <c r="I1961" i="3"/>
  <c r="I1313" i="3"/>
  <c r="I665" i="3"/>
  <c r="I308" i="3"/>
  <c r="I1537" i="3"/>
  <c r="I1008" i="3"/>
  <c r="I911" i="3"/>
  <c r="I1510" i="3"/>
  <c r="I2517" i="3"/>
  <c r="I1029" i="3"/>
  <c r="I2276" i="3"/>
  <c r="I1196" i="3"/>
  <c r="I1153" i="3"/>
  <c r="I912" i="3"/>
  <c r="I839" i="3"/>
  <c r="I1462" i="3"/>
  <c r="I2493" i="3"/>
  <c r="I981" i="3"/>
  <c r="I2228" i="3"/>
  <c r="I1172" i="3"/>
  <c r="I284" i="3"/>
  <c r="I2515" i="3"/>
  <c r="I1795" i="3"/>
  <c r="I1075" i="3"/>
  <c r="I427" i="3"/>
  <c r="I1578" i="3"/>
  <c r="I858" i="3"/>
  <c r="I210" i="3"/>
  <c r="I1913" i="3"/>
  <c r="I1265" i="3"/>
  <c r="I617" i="3"/>
  <c r="I593" i="3"/>
  <c r="I569" i="3"/>
  <c r="I1193" i="3"/>
  <c r="I1057" i="3"/>
  <c r="I864" i="3"/>
  <c r="I791" i="3"/>
  <c r="I1270" i="3"/>
  <c r="I2421" i="3"/>
  <c r="I957" i="3"/>
  <c r="I2180" i="3"/>
  <c r="I1148" i="3"/>
  <c r="I260" i="3"/>
  <c r="I2491" i="3"/>
  <c r="I1771" i="3"/>
  <c r="I1051" i="3"/>
  <c r="I403" i="3"/>
  <c r="I1482" i="3"/>
  <c r="I834" i="3"/>
  <c r="I186" i="3"/>
  <c r="I1889" i="3"/>
  <c r="I1241" i="3"/>
  <c r="I545" i="3"/>
  <c r="I1009" i="3"/>
  <c r="I816" i="3"/>
  <c r="I527" i="3"/>
  <c r="I1198" i="3"/>
  <c r="I2373" i="3"/>
  <c r="I909" i="3"/>
  <c r="I2132" i="3"/>
  <c r="I1124" i="3"/>
  <c r="I236" i="3"/>
  <c r="I2467" i="3"/>
  <c r="I1723" i="3"/>
  <c r="I1027" i="3"/>
  <c r="I379" i="3"/>
  <c r="I1458" i="3"/>
  <c r="I810" i="3"/>
  <c r="I162" i="3"/>
  <c r="I1865" i="3"/>
  <c r="I1217" i="3"/>
  <c r="I1841" i="3"/>
  <c r="I961" i="3"/>
  <c r="I744" i="3"/>
  <c r="I479" i="3"/>
  <c r="I1150" i="3"/>
  <c r="I2181" i="3"/>
  <c r="I861" i="3"/>
  <c r="I2108" i="3"/>
  <c r="I1076" i="3"/>
  <c r="I212" i="3"/>
  <c r="I2443" i="3"/>
  <c r="I1699" i="3"/>
  <c r="I1003" i="3"/>
  <c r="I355" i="3"/>
  <c r="I1434" i="3"/>
  <c r="I786" i="3"/>
  <c r="I138" i="3"/>
  <c r="I451" i="3"/>
  <c r="I577" i="3"/>
  <c r="I432" i="3"/>
  <c r="I431" i="3"/>
  <c r="I1102" i="3"/>
  <c r="I2133" i="3"/>
  <c r="I813" i="3"/>
  <c r="I2084" i="3"/>
  <c r="I1028" i="3"/>
  <c r="I188" i="3"/>
  <c r="I2395" i="3"/>
  <c r="I1675" i="3"/>
  <c r="I979" i="3"/>
  <c r="I259" i="3"/>
  <c r="I1410" i="3"/>
  <c r="I762" i="3"/>
  <c r="I114" i="3"/>
  <c r="I1817" i="3"/>
  <c r="I1169" i="3"/>
  <c r="I521" i="3"/>
  <c r="I161" i="3"/>
  <c r="I1819" i="3"/>
  <c r="I481" i="3"/>
  <c r="I336" i="3"/>
  <c r="I383" i="3"/>
  <c r="I1054" i="3"/>
  <c r="I2109" i="3"/>
  <c r="I789" i="3"/>
  <c r="I2012" i="3"/>
  <c r="I980" i="3"/>
  <c r="I92" i="3"/>
  <c r="I2371" i="3"/>
  <c r="I1627" i="3"/>
  <c r="I955" i="3"/>
  <c r="I235" i="3"/>
  <c r="I1386" i="3"/>
  <c r="I738" i="3"/>
  <c r="I90" i="3"/>
  <c r="I1793" i="3"/>
  <c r="I1145" i="3"/>
  <c r="I497" i="3"/>
  <c r="I690" i="3"/>
  <c r="I1745" i="3"/>
  <c r="I1097" i="3"/>
  <c r="I377" i="3"/>
  <c r="I2275" i="3"/>
  <c r="I1555" i="3"/>
  <c r="I163" i="3"/>
  <c r="I642" i="3"/>
  <c r="I1697" i="3"/>
  <c r="I1049" i="3"/>
  <c r="I329" i="3"/>
  <c r="I1242" i="3"/>
  <c r="I522" i="3"/>
  <c r="I1122" i="3"/>
  <c r="I89" i="3"/>
  <c r="I234" i="3"/>
  <c r="I641" i="3"/>
  <c r="F20" i="3"/>
  <c r="H20" i="3"/>
  <c r="I20" i="3"/>
  <c r="J20" i="3"/>
  <c r="D20" i="3"/>
  <c r="E20" i="3"/>
</calcChain>
</file>

<file path=xl/sharedStrings.xml><?xml version="1.0" encoding="utf-8"?>
<sst xmlns="http://schemas.openxmlformats.org/spreadsheetml/2006/main" count="14787" uniqueCount="3345">
  <si>
    <t>[Begin Format Range]</t>
  </si>
  <si>
    <t>Default</t>
  </si>
  <si>
    <t>Leaf</t>
  </si>
  <si>
    <t>[End Format Range]</t>
  </si>
  <si>
    <t>Element Name</t>
  </si>
  <si>
    <t>{TM1SubsetToSet([SP_DistributionCenter].[SP_DistributionCenter], "All Level 0")}</t>
  </si>
  <si>
    <t>{TM1FILTERBYLEVEL(TM1SUBSETALL([SP_SKU]) , 0)}</t>
  </si>
  <si>
    <t>{TM1SubsetToSet([SP_DCItem].[SP_DCItem], "All Level 0")}</t>
  </si>
  <si>
    <t>{TM1SubsetToSet([SP_Manufacturer].[SP_Manufacturer], "All Level 0")}</t>
  </si>
  <si>
    <t>Ending Balance</t>
  </si>
  <si>
    <t>Brown Foodservice</t>
  </si>
  <si>
    <t>CASH-WA</t>
  </si>
  <si>
    <t>Cheney Florence</t>
  </si>
  <si>
    <t>Cheney Punta Gorda</t>
  </si>
  <si>
    <t>Cheney Riviera</t>
  </si>
  <si>
    <t>Cheney Statesville</t>
  </si>
  <si>
    <t>DOT Foods</t>
  </si>
  <si>
    <t>Feesers</t>
  </si>
  <si>
    <t>I-Supply</t>
  </si>
  <si>
    <t>KUNA Foodservice</t>
  </si>
  <si>
    <t>McDonald</t>
  </si>
  <si>
    <t>Quirch - Houston</t>
  </si>
  <si>
    <t>Quirch - Vineland</t>
  </si>
  <si>
    <t>Quirch - Winter Haven</t>
  </si>
  <si>
    <t>Springfield Grocer</t>
  </si>
  <si>
    <t>Tapia Fresno</t>
  </si>
  <si>
    <t>Tapia Las Vegas</t>
  </si>
  <si>
    <t>Tapia Maywood</t>
  </si>
  <si>
    <t>Tapia Phoenix</t>
  </si>
  <si>
    <t>150001 - Dessert, GF Brownie 48CT</t>
  </si>
  <si>
    <t>182500 - Avocado Spread, 48ct.</t>
  </si>
  <si>
    <t>200688 - Bread Dough Croissant Butter 144/2.4oz</t>
  </si>
  <si>
    <t>200720 - Bowl, Black 16oz Oval</t>
  </si>
  <si>
    <t>200721 - Lid, Clear Dome Lid for Oval Bowl</t>
  </si>
  <si>
    <t>200977 - Foil Wrap 16x14 500CT</t>
  </si>
  <si>
    <t>200995 - FOIL CARVER 20X24 300CT - Holiday AS</t>
  </si>
  <si>
    <t>201111 - CHIPS KETTLE ZESTY JALAPENO 64/1.375OZ</t>
  </si>
  <si>
    <t>201112 - CHIPS KETTLE SEA SALT 64/1.375OZ</t>
  </si>
  <si>
    <t>201113 - CHIPS KETTLE MESQUITE BBQ 64/1.375OZ</t>
  </si>
  <si>
    <t>201114 - CHIPS KETTLE SW MAUI ONION 64/1.375OZ</t>
  </si>
  <si>
    <t>201115 - INGREDIENT VINEGAR RED WINE 4/1GAL</t>
  </si>
  <si>
    <t>201116 - CHEESE MILD CHEDDAR SHREDDED 20/1LB</t>
  </si>
  <si>
    <t>201117 - CONDIMENT MAYO HD 4/1GAL</t>
  </si>
  <si>
    <t>201119 - INGREDIENT BALSAMIC VINAIGRETTE SIGN 4/1GAL</t>
  </si>
  <si>
    <t>201122 - PAPER NAPKIN 13"X13" 2PLY KRAFT 6000PK</t>
  </si>
  <si>
    <t>201123 - UTENSIL STRAWS CLEAR GIANT PAPER IND WRAP 7.75" 12</t>
  </si>
  <si>
    <t>201124 - PAPER DELI WAX 8X10.75 6000PK</t>
  </si>
  <si>
    <t>201125 - CONTAINER DELI ROUND PLSTC CLR W/LID 240/16OZ</t>
  </si>
  <si>
    <t>201126 - UTENSIL PLASTIC SPOON WHITE IND WRAP 1000CT</t>
  </si>
  <si>
    <t>201127 - UTENSIL PLASTIC KNIFE WHITE IND WRAP 1000CT</t>
  </si>
  <si>
    <t>201128 - UTENSIL PLASTIC FORK WHITE IND WRAP 1000CT</t>
  </si>
  <si>
    <t>201129 - DISPENSER PAPER TOWEL ROLL 1CT</t>
  </si>
  <si>
    <t>201130 - PAPER TOWEL ROLL KRAFT 6CT</t>
  </si>
  <si>
    <t>201131 - CONTAINER SOUP BLACK SQUAT 500/8OZ</t>
  </si>
  <si>
    <t>201133 - PAPER DELI PATTY 5.5X5.5 24000PK</t>
  </si>
  <si>
    <t>201134 - GLOVE SMALL VINYL PF 10/100PK</t>
  </si>
  <si>
    <t>201135 - GLOVE MEDIUM VINYL PF 10/100PK</t>
  </si>
  <si>
    <t>201136 - GLOVE LARGE VINYL PF 10/100PK</t>
  </si>
  <si>
    <t>201137 - GLOVE XLARGE VINYL PF 10/100PK</t>
  </si>
  <si>
    <t>201139 - CONTAINER SOUP BLACK SQUAT 500/12OZ</t>
  </si>
  <si>
    <t>201140 - PAPER BATH TISSUE 2PLY 96CT</t>
  </si>
  <si>
    <t>201141 - FOIL XTRA HEAVY DUTY 24X1000LF</t>
  </si>
  <si>
    <t>140169 - Potato Salad, Classic w/Egg</t>
  </si>
  <si>
    <t>181299 - Potatoes, Diced 102 oz 6 ct (Sunsource)</t>
  </si>
  <si>
    <t>181418 - CHIPS KETTLE SALT &amp; VINEGAR 48/1.375OZ</t>
  </si>
  <si>
    <t>185630 - CHEESE PROVOLONE .75OZ 6/24PK</t>
  </si>
  <si>
    <t>185631 - INGREDIENT BANANA PEPP RNG 4CT</t>
  </si>
  <si>
    <t>185634 - INGREDIENT SUGAR BROWN 12CT</t>
  </si>
  <si>
    <t>185635 - INGREDIENT DRY RANCH MIX 18CT</t>
  </si>
  <si>
    <t>185636 - CONDIMENT MAYO GAL 4CT</t>
  </si>
  <si>
    <t>185637 - SIDES PASTA SALAD 2CT</t>
  </si>
  <si>
    <t>185639 - INGREDIENT CRSHD PINEAPPLE 6CT</t>
  </si>
  <si>
    <t>185640 - INGREDIENT CHIPOTLE PASTE 6CT</t>
  </si>
  <si>
    <t>185641 - CONDIMENT SWT BBY GAL 4CT</t>
  </si>
  <si>
    <t>185642 - CONDIMENT TARIYAKI GAL 4CT</t>
  </si>
  <si>
    <t>200533 - Bowl, Black 7"</t>
  </si>
  <si>
    <t>200534 - Lid, 7" Clear</t>
  </si>
  <si>
    <t>200725 - DRESSING FRENCH PKT 84/1.5CT</t>
  </si>
  <si>
    <t>200727 - INGREDIENT VINEGAR RED WINE 1/1GAL</t>
  </si>
  <si>
    <t>200729 - PAPER DELI PATTY 5.5X5.5 24/1000CT</t>
  </si>
  <si>
    <t>200731 - CHEESE SHRED MLD CHED 4/5LB</t>
  </si>
  <si>
    <t>200737 - GLOVE LARGE VINYL CLR PF 10/100PK</t>
  </si>
  <si>
    <t>200738 - GLOVE MEDIUM VINYL CLR PF 10/100PK</t>
  </si>
  <si>
    <t>200739 - GLOLVE SMALL VINYL CLR 10/100PK</t>
  </si>
  <si>
    <t>200740 - GLOVE XLARGE VINYL CLR PF 10/100PK</t>
  </si>
  <si>
    <t>200755 - BAG SANDWICH SADDLE 6.5X7 2000CT</t>
  </si>
  <si>
    <t>200759 - BAG TRASH 60 GAL 100CT</t>
  </si>
  <si>
    <t>200762 - CHEESE CHEDDAR SLICED .75OZ 6/24PK</t>
  </si>
  <si>
    <t>200978 - Ingredient Egg Patty 20lb</t>
  </si>
  <si>
    <t>201191 - Container, Rnd, Deli 16oz w/lid</t>
  </si>
  <si>
    <t>201194 - Cont Deli 16oz Sq Hngd Dome Lid Clr</t>
  </si>
  <si>
    <t>202000 - CONTAINER LID SQUARE 500CT</t>
  </si>
  <si>
    <t>202001 - PAPER WRAP NATRL 3000CT</t>
  </si>
  <si>
    <t>202002 - DRINK COKE CLASSIC 1/5GAL</t>
  </si>
  <si>
    <t>202003 - SIDES POTATO SALAD 2/5LB</t>
  </si>
  <si>
    <t>202004 - DRINK WATER DASANI 32CT</t>
  </si>
  <si>
    <t>202005 - UTENSIL CUTLERY KIT KIT</t>
  </si>
  <si>
    <t>202007 - DRINK ICE TEA 96CT</t>
  </si>
  <si>
    <t>210498 - Gel Pak SHR AMB 18/2LB - Holiday AS</t>
  </si>
  <si>
    <t>210501 - PAPER PF RECEIPT THRML 3.125" 50CT</t>
  </si>
  <si>
    <t>185609 - Chicken Noodle Soup</t>
  </si>
  <si>
    <t>185610 - Baked Potato Soup</t>
  </si>
  <si>
    <t>185611 - Broccoli &amp; Cheese Soup</t>
  </si>
  <si>
    <t>185616 - CHEESE PROVOLONE .75OZ 8/16PK</t>
  </si>
  <si>
    <t>185617 - INGREDIENT BANANA PEPP RNG 4CT</t>
  </si>
  <si>
    <t>185618 - CHEESE PARMESAN 5LB 4CT</t>
  </si>
  <si>
    <t>185619 - INGREDIENT BALSAMIC VINAIGRETTE GAL 4CT</t>
  </si>
  <si>
    <t>185620 - INGREDIENT SUGAR BROWN 12CT</t>
  </si>
  <si>
    <t>185621 - INGREDIENT DRY RANCH MIX 18CT</t>
  </si>
  <si>
    <t>185622 - CONDIMENT MAYO GAL 4CT</t>
  </si>
  <si>
    <t>185624 - INGREDIENT JERK SEASONING 6CT</t>
  </si>
  <si>
    <t>185626 - INGREDIENT CHIPOTLE PASTE 6CT</t>
  </si>
  <si>
    <t>185627 - CONDIMENT SWT BBY GAL 4CT</t>
  </si>
  <si>
    <t>185628 - CONDIMENT TARIYAKI GAL 4CT</t>
  </si>
  <si>
    <t>185629 - INGREDIENT APPLE CIDAR VIN GAL 4CT</t>
  </si>
  <si>
    <t>200601 - Bowl, Black 8" CC</t>
  </si>
  <si>
    <t>200602 - Lid,8" Clear CC</t>
  </si>
  <si>
    <t>200746 - BAG CLEAR POLY 8X4X18 1000CT</t>
  </si>
  <si>
    <t>200766 - CONTAINER FOAM WHITE 25/12OZ</t>
  </si>
  <si>
    <t>200767 - CONTAINER FOAM WHITE 50/8OZ</t>
  </si>
  <si>
    <t>200769 - DRESSING RANCH ORIGINAL PKT 60/1.5CT</t>
  </si>
  <si>
    <t>200770 - DRESSING BLUE CHEESE PKT 60/1.5CT</t>
  </si>
  <si>
    <t>200772 - PAPER NAPKIN 13"X12" 12/500PK</t>
  </si>
  <si>
    <t>200775 - UTENSIL PLASTIC FORK HVY BLK 1000CT</t>
  </si>
  <si>
    <t>200776 - UTENSIL PLASTIC KNIFE HVY BLK 1000CT</t>
  </si>
  <si>
    <t>200778 - UTENSIL STRAW WRAP 7.75" 24/500CT</t>
  </si>
  <si>
    <t>200779 - GLOVES LARGE VINYL PF 1/100PK</t>
  </si>
  <si>
    <t>200780 - GLOVES MEDIUM VINYL PF 1/100PK</t>
  </si>
  <si>
    <t>200781 - GLOVES SMALL VINYL PF 1/100PK</t>
  </si>
  <si>
    <t>200782 - GLOVES XLARGE VINYL PF 1/100PK</t>
  </si>
  <si>
    <t>200783 - FILM WRAP CUTTER BOX 12"X2000LF</t>
  </si>
  <si>
    <t>200784 - FILM WRAP CUTTER BOX 18"X2000LF</t>
  </si>
  <si>
    <t>200785 - PRODUCE LETTUCE GRN LEAF 4/6CT</t>
  </si>
  <si>
    <t>200786 - PRODUCE LETTUCE SPRING MIX 3LB</t>
  </si>
  <si>
    <t>200787 - PRODUCE TOMATOES FRSH 5X6 25LB</t>
  </si>
  <si>
    <t>200788 - PRODUCE BROCCOLI FLORET FRSH 4/3LB</t>
  </si>
  <si>
    <t>200789 - PRODUCE ONIONS FRSH RED JMBO 25LB</t>
  </si>
  <si>
    <t>200790 - PRODUCE CELERY CALI 3CT</t>
  </si>
  <si>
    <t>200791 - LID PLAS TRANS VENTED 100CT</t>
  </si>
  <si>
    <t>200794 - PLATE PLAS BLACK 9" 100CT</t>
  </si>
  <si>
    <t>200795 - BOWL ROUND 80OZ BLACK 25CT</t>
  </si>
  <si>
    <t>200796 - BOWL LID DOME CLEAR 25/80OZ</t>
  </si>
  <si>
    <t>200797 - UTENSIL SPOON SERVING BLACK 9" 144CT</t>
  </si>
  <si>
    <t>200798 - UTENSIL TONG PLASTIC BLACK 9" 24CT</t>
  </si>
  <si>
    <t>200799 - PAPER TOWEL ROLL 6CT</t>
  </si>
  <si>
    <t>200800 - PAPER BATH TISSUE JMBO 2 PLY 8CT</t>
  </si>
  <si>
    <t>200801 - INGREDIENT VINEGAR RED WINE 4/1GAL</t>
  </si>
  <si>
    <t>200804 - DRESSING ITALI FAT FREE PKT 60/1.5CT</t>
  </si>
  <si>
    <t>200805 - BAG CLEAR POLY 6.5X7 2000CT</t>
  </si>
  <si>
    <t>200808 - PLATE FOAM WHITE 9" 125CT</t>
  </si>
  <si>
    <t>200810 - CHEESE CHEDDAR SHRD FANCY 4/5LB</t>
  </si>
  <si>
    <t>200971 - PAPER DELI PATTY 4.75X5 1/1000PK</t>
  </si>
  <si>
    <t>200973 - CONTAINER PLAS CLR DELI 200C/16OZ</t>
  </si>
  <si>
    <t>200974 - TRAY CATER ROUND BLACK 12" 25CT</t>
  </si>
  <si>
    <t>200975 - TRAY CATER ROUND BLACK 16" 25CT</t>
  </si>
  <si>
    <t>200976 - TRAY CATER ROUND BLACK 18" 25CT</t>
  </si>
  <si>
    <t>200982 - DRESSING BALSAMIC VINAIGRETTE PKT 60/1.5CT</t>
  </si>
  <si>
    <t>202008 - DRESSING HON MUST 60/1.5OZ</t>
  </si>
  <si>
    <t>202009 - CONTAINER PLAS CLEAR 125CT</t>
  </si>
  <si>
    <t>202010 - GLOVES LARGE NITRILE 100CT</t>
  </si>
  <si>
    <t>202012 - CONTAINER SOUFFLE 250/2OZ</t>
  </si>
  <si>
    <t>202013 - INGREDIENT VINEGAR 4/1GAL</t>
  </si>
  <si>
    <t>202014 - CHEMICAL DEGREASER 4/1GAL</t>
  </si>
  <si>
    <t>202016 - DRINK COKE CLASSIC 1/20OZ</t>
  </si>
  <si>
    <t>202017 - CHEESE CHEDDAR SLICED 8CT</t>
  </si>
  <si>
    <t>202021 - PRODUCE TOMATOES 6X6 25LB</t>
  </si>
  <si>
    <t>202025 - DRINK ROOT BEER 1/2.5GAL</t>
  </si>
  <si>
    <t>202028 - PAPER TOWEL ROLL 6/800FT</t>
  </si>
  <si>
    <t>202031 - LABEL 2X3 PRODUCT 250CT</t>
  </si>
  <si>
    <t>202032 - CHEESE SWISS SLICED 8CT</t>
  </si>
  <si>
    <t>202037 - CLEANING MOPHEAD 2CT</t>
  </si>
  <si>
    <t>202040 - GLOVES MEDIUM LATEX PF</t>
  </si>
  <si>
    <t>202041 - DRESSING RANCH 4/1GAL</t>
  </si>
  <si>
    <t>202042 - DRINK LEMONADE 1/5GAL</t>
  </si>
  <si>
    <t>202044 - DRESSING DIJON 4/1GAL</t>
  </si>
  <si>
    <t>202045 - CONTAINER FOAM 50/8OZ</t>
  </si>
  <si>
    <t>202047 - UTENSIL KIT MED 250CT</t>
  </si>
  <si>
    <t>202049 - CONTAINER LID 100CT</t>
  </si>
  <si>
    <t>202050 - GLOVES XLARGE 100CT</t>
  </si>
  <si>
    <t>202051 - GLOVES MEDIUM 100CT</t>
  </si>
  <si>
    <t>202054 - TRAY LID PLAS 36CT 12"</t>
  </si>
  <si>
    <t>202055 - TRAY LID PLAS 36CT 16"</t>
  </si>
  <si>
    <t>202056 - TRAY LID PLAS 36CT 18"</t>
  </si>
  <si>
    <t>202062 - CONTAINER FOAM 50/6OZ</t>
  </si>
  <si>
    <t>202064 - DRESSING BLU CHS 100/1.5OZ</t>
  </si>
  <si>
    <t>202065 - EQUIP THERMOMETER DIGITAL</t>
  </si>
  <si>
    <t>202067 - INGREDIENT LEMON JCE 200CT</t>
  </si>
  <si>
    <t>202068 - CLEANING BOTTLE SPRAY 24OZ</t>
  </si>
  <si>
    <t>202070 - CLEANING PAD SCOURING 10CT</t>
  </si>
  <si>
    <t>202071 - DRINK LEMONADE PINK 1/5GAL</t>
  </si>
  <si>
    <t>202072 - PAPER NAPKIN WHITE 8CT</t>
  </si>
  <si>
    <t>202073 - CHEMICAL MULTI PURPOSE GAL</t>
  </si>
  <si>
    <t>202074 - DRINK WATER BOTTLE 25/20OZ</t>
  </si>
  <si>
    <t>202075 - DRINK LEMONADE MIX 15/2GAL</t>
  </si>
  <si>
    <t>202077 - CHEMICAL DETERGENT  4/1GAL</t>
  </si>
  <si>
    <t>202078 - CONDIMENT PEPPER 6/11.5OZ</t>
  </si>
  <si>
    <t>202079 - INGREDIENT VINEGAR 4/1GAL</t>
  </si>
  <si>
    <t>202080 - PROTEIN BACON PRE 150CT</t>
  </si>
  <si>
    <t>202082 - INGREDIENT EGG  180/1.5OZ</t>
  </si>
  <si>
    <t>202084 - CONTAINER LID SFFLE 125CT</t>
  </si>
  <si>
    <t>202085 - UTENSIL TONG PLASTIC 72CT</t>
  </si>
  <si>
    <t>202088 - CLEANING HAIRNETS 144CT</t>
  </si>
  <si>
    <t>202091 - PAPER REGISTER ROLL 10CT</t>
  </si>
  <si>
    <t>202095 - CONTAINER LID DELI 500CT</t>
  </si>
  <si>
    <t>202096 - PAPER REGISTER ROLL 50CT</t>
  </si>
  <si>
    <t>202097 - CLEANING PAD STNLES 12CT</t>
  </si>
  <si>
    <t>202098 - DRINK MELLO YELLO 1/5GAL</t>
  </si>
  <si>
    <t>202099 - BAG PAPER W/HANDLE 250CT</t>
  </si>
  <si>
    <t>202100 - PRODUCE LEMONS FANCY LBS</t>
  </si>
  <si>
    <t>202101 - GLOVES SMALL LATEX 100CT</t>
  </si>
  <si>
    <t>202103 - CHEMICAL CHLORINE 100CT</t>
  </si>
  <si>
    <t>202104 - INGREDIENT SWEET 2000CT</t>
  </si>
  <si>
    <t>202105 - INGREDIENT SWEET 3000CT</t>
  </si>
  <si>
    <t>202106 - CONTAINER DELI 500/16OZ</t>
  </si>
  <si>
    <t>202107 - DRINK LEMONADE 1/2.5GAL</t>
  </si>
  <si>
    <t>202108 - PAPER TOWEL MULTI 250CT</t>
  </si>
  <si>
    <t>202109 - DRINK SPRITE PET 1/20OZ</t>
  </si>
  <si>
    <t>202110 - BOWL PLAS CLEAR 69/32OZ</t>
  </si>
  <si>
    <t>202112 - DRINK SPRITE BIB 1/5GAL</t>
  </si>
  <si>
    <t>202114 - CONTAINER DELI 500/8OZ</t>
  </si>
  <si>
    <t>202115 - CONTAINER LID CLR 69CT</t>
  </si>
  <si>
    <t>202116 - PAPER TOWEL ROLL 210CT</t>
  </si>
  <si>
    <t>202117 - PAPER BATH TISSUE 12CT</t>
  </si>
  <si>
    <t>202118 - CUP SOUFFLE PLAS 250CT</t>
  </si>
  <si>
    <t>202119 - PAPER PAN LINER 1000CT</t>
  </si>
  <si>
    <t>202120 - PAPER PAN LINER 1000CT</t>
  </si>
  <si>
    <t>202121 - FOIL ALUM SILVER 500CT</t>
  </si>
  <si>
    <t>202122 - PAPER TOWEL ROLL 1CT</t>
  </si>
  <si>
    <t>202124 - CUP DRINK CARRIER 75CT</t>
  </si>
  <si>
    <t>202125 - PRODUCE ONIONS RED 5LB</t>
  </si>
  <si>
    <t>202127 - PAPER BATH TISSUE 96CT</t>
  </si>
  <si>
    <t>202129 - DRINK DIET COKE 1/5GAL</t>
  </si>
  <si>
    <t>202131 - PLATE FOAM WHITE 125CT</t>
  </si>
  <si>
    <t>202132 - DRINK COFFEE 40/2.5OZ</t>
  </si>
  <si>
    <t>202133 - CRACKER CAPTAIN 500CT</t>
  </si>
  <si>
    <t>202134 - MINT PEPPERMINT 8/3LB</t>
  </si>
  <si>
    <t>202135 - DRINK ORANGE 1/2.5GAL</t>
  </si>
  <si>
    <t>202136 - TOOTHPICK WOOD 1000CT</t>
  </si>
  <si>
    <t>202138 - BAG TRASH 38X58 100CT</t>
  </si>
  <si>
    <t>202139 - EQUIP ALUM LID 50CT</t>
  </si>
  <si>
    <t>202140 - PAPER WRAP DELI 500CT</t>
  </si>
  <si>
    <t>202141 - PAPER WRAP DELI 500CT</t>
  </si>
  <si>
    <t>202142 - BAG PAPER BROWN 500CT</t>
  </si>
  <si>
    <t>202143 - CRACKER SALTINE 50CT</t>
  </si>
  <si>
    <t>202144 - EQUIP ALUM PAN 100CT</t>
  </si>
  <si>
    <t>202146 - PAPER TOWEL CNTR 6CT</t>
  </si>
  <si>
    <t>202147 - BAG TRASH 24X32 25CT</t>
  </si>
  <si>
    <t>202148 - BAG TRASH 28X45 25CT</t>
  </si>
  <si>
    <t>202149 - DRINK MR PIBB 1/5GAL</t>
  </si>
  <si>
    <t>202150 - BAG TRASH 38X58 25CT</t>
  </si>
  <si>
    <t>202152 - CONTAINER PLAS 57CT</t>
  </si>
  <si>
    <t>202153 - CONTAINER LID 100CT</t>
  </si>
  <si>
    <t>202154 - PRODUCE CELERY 30CT</t>
  </si>
  <si>
    <t>202155 - CUP FOAM WHITE 25CT</t>
  </si>
  <si>
    <t>202156 - BAG ZIPLOCK 1 250CT</t>
  </si>
  <si>
    <t>202158 - EQUIP ALUM PAN 1CT</t>
  </si>
  <si>
    <t>202159 - CUP LID PLAS 100CT</t>
  </si>
  <si>
    <t>202160 - FOIL ALUM CBI 1CT</t>
  </si>
  <si>
    <t>910092 - Paper, Patty 4.75X5 - Each</t>
  </si>
  <si>
    <t>201197 - CONT DELI H/L PLAS CLEAR 8 OZ SELLOPLUS</t>
  </si>
  <si>
    <t>200715 - Lid Clr Dome 24 32 48 oz Lg Rd Bowl</t>
  </si>
  <si>
    <t>200777 - UTENSIL PLASTIC SPOON HVY BLK 1000CT</t>
  </si>
  <si>
    <t>200792 - BAG PAPER BROWN 12# 500CT</t>
  </si>
  <si>
    <t>200793 - PLATE PLAS BLACK 10.25" 100CT</t>
  </si>
  <si>
    <t>200803 - DRESSING ITALIAN LIT PKT 60/1.5CT</t>
  </si>
  <si>
    <t>200806 - BAG TRASH 38X58 100CT</t>
  </si>
  <si>
    <t>200809 - BOWL ROUND 48OZ BLACK 100CT</t>
  </si>
  <si>
    <t>200972 - BOWL ROUND 32OZ CLEAR 150CT</t>
  </si>
  <si>
    <t>202011 - PRODUCE LETTUCE GREEN 10LB</t>
  </si>
  <si>
    <t>202015 - CONTAINER LID RD 100/24OZ</t>
  </si>
  <si>
    <t>202019 - DRINK TEA SWEET 12/18.5OZ</t>
  </si>
  <si>
    <t>202020 - GAS CARBON DIOXIDE 1/20LB</t>
  </si>
  <si>
    <t>202022 - CHEMICAL SANITIZER 6/8OZ</t>
  </si>
  <si>
    <t>202023 - CONTAINER LID 90/24-32OZ</t>
  </si>
  <si>
    <t>202024 - CONTAINER LID PLAS 100CT</t>
  </si>
  <si>
    <t>202026 - CHEMICAL HD LEMON 4/1GAL</t>
  </si>
  <si>
    <t>202030 - DRINK LEMONADE 1/2.5GAL</t>
  </si>
  <si>
    <t>202034 - DRINK TEA ICED 32/2.5OZ</t>
  </si>
  <si>
    <t>202035 - CLEANING EMPTY GAL 48CT</t>
  </si>
  <si>
    <t>202036 - CLEANING EMPTY GAL 48CT</t>
  </si>
  <si>
    <t>202038 - DRINK LEMONADE 24/20OZ</t>
  </si>
  <si>
    <t>202043 - DRINK WATER 24/16.9OZ</t>
  </si>
  <si>
    <t>202048 - PAPER DELI WAX 1000CT</t>
  </si>
  <si>
    <t>202052 - CRACKERS CLUB 500CT</t>
  </si>
  <si>
    <t>202053 - BAG TRASH BLK 250CT</t>
  </si>
  <si>
    <t>202057 - CLEANING MOPHEAD</t>
  </si>
  <si>
    <t>200631 - Bowl, 8.5", 32oz, Round (Anchor)</t>
  </si>
  <si>
    <t>202058 - DRINK WATER DASANI 24/20OZ</t>
  </si>
  <si>
    <t>202059 - PAPER TOWEL ROLL 6/800FT</t>
  </si>
  <si>
    <t>202061 - PAPER BATH TISSUE 12CT</t>
  </si>
  <si>
    <t>202063 - DRINK HI C 1/2.5LB</t>
  </si>
  <si>
    <t>200008 - PLATE PLAS BLACK 6" ROUND - OPS</t>
  </si>
  <si>
    <t>200774 - BOWL SQUARE 24OZ BLACK 500CT</t>
  </si>
  <si>
    <t>202076 - CLEANING MASK EARLOOP 50CT</t>
  </si>
  <si>
    <t>202083 - CHEMICAL DETERGENT  168CT</t>
  </si>
  <si>
    <t>202086 - UTENSIL TONG PLASTIC 36CT</t>
  </si>
  <si>
    <t>202087 - UTENSIL SPOON SOUP 1000CT</t>
  </si>
  <si>
    <t>202090 - CONTAINER LID PLAS 500CT</t>
  </si>
  <si>
    <t>202145 - BAG TRASH 40X46 25CT</t>
  </si>
  <si>
    <t>202157 - CUP LID PLAS 100CT</t>
  </si>
  <si>
    <t>201198 - REGISTER ROLL THERMAL 3.13"X230' 1 PLY</t>
  </si>
  <si>
    <t>180110 - Chips, Miss Vickies Original</t>
  </si>
  <si>
    <t>185643 - CHEESE PROVOLONE .75OZ 6/24PK</t>
  </si>
  <si>
    <t>185644 - INGREDIENT BANANA PEPP RNG 4CT</t>
  </si>
  <si>
    <t>185645 - CHEESE PARMESAN 3CT</t>
  </si>
  <si>
    <t>185646 - INGREDIENT BALSAMIC VINAIGRETTE GAL 4CT</t>
  </si>
  <si>
    <t>185648 - INGREDIENT DRY RANCH MIX 18CT</t>
  </si>
  <si>
    <t>185650 - SIDES PASTA SALAD 2CT</t>
  </si>
  <si>
    <t>185651 - INGREDIENT JERK SEASONING 6CT</t>
  </si>
  <si>
    <t>185652 - INGREDIENT CRSHD PINEAPPLE 6CT</t>
  </si>
  <si>
    <t>185654 - CONDIMENT SWT BBY GAL 4CT</t>
  </si>
  <si>
    <t>185655 - CONDIMENT TARIYAKI GAL 4CT</t>
  </si>
  <si>
    <t>185656 - INGREDIENT APPLE CIDAR VIN GAL 4CT</t>
  </si>
  <si>
    <t>200604 - Tong, Serving, 9" White</t>
  </si>
  <si>
    <t>200624 - Lid, 24 - 48 oz Bowl (Dart)</t>
  </si>
  <si>
    <t>200627 - Bowl, Square, 48 oz (Dart)</t>
  </si>
  <si>
    <t>200654 - Bowl, PET, 80 oz, (EMI)</t>
  </si>
  <si>
    <t>200662 - Tray, 18" Round, Deli Max, (EMI)</t>
  </si>
  <si>
    <t>200814 - DRESSING BLUE CHEESE PKT 60/1.5CT</t>
  </si>
  <si>
    <t>200815 - DRESSING BTM RANCH PKT 60/1.5CT</t>
  </si>
  <si>
    <t>200819 - FILM WRAP CUTTER BOX 12"X2000LF</t>
  </si>
  <si>
    <t>200820 - FILM WRAP CUTTER BOX 24"X2000LF</t>
  </si>
  <si>
    <t>200821 - PLATE FOAM WHITE 6" 8/125CT</t>
  </si>
  <si>
    <t>200829 - BAG CLEAR POLY 6.5X7 2000CT</t>
  </si>
  <si>
    <t>200830 - BAG TRASH 38X58 100CT</t>
  </si>
  <si>
    <t>200832 - CRACKERS SALTINE IND 500CT</t>
  </si>
  <si>
    <t>200833 - PAPER DELI PATTY 5.5X5.5 24/1000PK</t>
  </si>
  <si>
    <t>200834 - INGREDIENT VINEGAR RED WINE 4/1GAL</t>
  </si>
  <si>
    <t>200835 - UTENSIL PLASTIC FORK WH WRAP 250CT</t>
  </si>
  <si>
    <t>200836 - PRODUCE LETTUCE GRN LEAF 2/5LB</t>
  </si>
  <si>
    <t>200837 - PRODUCE TOMATO 5X6 25LB</t>
  </si>
  <si>
    <t>200838 - PRODUCE RED ONION 25LB</t>
  </si>
  <si>
    <t>200839 - INGREDIENT CELERY DICED 4/5LB</t>
  </si>
  <si>
    <t>200846 - PAPER BATH TISSUE 2PLY 36CT</t>
  </si>
  <si>
    <t>200847 - PAPER TOWEL MULTIFOLD 16CT</t>
  </si>
  <si>
    <t>200984 - Lid, Dome, 16" Round (EMI)</t>
  </si>
  <si>
    <t>200985 - Lid, Dome, 18" Round (EMI)</t>
  </si>
  <si>
    <t>202161 - UTENSIL SPOON SOUP 1000CT</t>
  </si>
  <si>
    <t>202165 - CHEMICAL SOAP HAND 4/1GAL</t>
  </si>
  <si>
    <t>202166 - CUP SOUFFLE PLAS 2500CT</t>
  </si>
  <si>
    <t>202167 - CHEESE MILD CHEDDAR 4/5LB</t>
  </si>
  <si>
    <t>202168 - DRINK COKE CLASSIC 1/5GAL</t>
  </si>
  <si>
    <t>202169 - CUP SOUFFLE PLAS 2500CT</t>
  </si>
  <si>
    <t>202171 - PRODUCE TOMATO 6X6 1/25LB</t>
  </si>
  <si>
    <t>202174 - BREAD ROLL ITAL 66/3.5OZ</t>
  </si>
  <si>
    <t>202175 - DRINK ORANGE SODA 1/5GAL</t>
  </si>
  <si>
    <t>202176 - PROTEIN CHKN DICED 2/5LB</t>
  </si>
  <si>
    <t>202179 - UTENSIL CUTLERY 250CT</t>
  </si>
  <si>
    <t>202180 - DRINK LEMONADE 1/2.5GAL</t>
  </si>
  <si>
    <t>202181 - DRESSING RANCH 84/1.5OZ</t>
  </si>
  <si>
    <t>202184 - PRODUCE BROCCOLI 6/3LB</t>
  </si>
  <si>
    <t>202185 - CHEMICAL SANIT 6CT</t>
  </si>
  <si>
    <t>202186 - PRODUCE LETTUCE 24CT</t>
  </si>
  <si>
    <t>202188 - PAPER TOWEL CNTRFD 6CT</t>
  </si>
  <si>
    <t>202189 - BREAD CROIS BKD 48/3OZ</t>
  </si>
  <si>
    <t>202191 - DRINK COKE DIET 1/5GAL</t>
  </si>
  <si>
    <t>202192 - DRINK ROOT BEER 1/5GAL</t>
  </si>
  <si>
    <t>202193 - DRINK WATER 35/16.9OZ</t>
  </si>
  <si>
    <t>202194 - CONDIMENT MAYO 4/1GAL</t>
  </si>
  <si>
    <t>202195 - SIDES SALAD MIX 1/3LB</t>
  </si>
  <si>
    <t>200695 - TRAY ROUND CLEAR 12" 50CT</t>
  </si>
  <si>
    <t>200697 - TRAY ROUND CLEAR 16" 50CT</t>
  </si>
  <si>
    <t>200698 - TRAY ROUND CLEAR 18" 50CT</t>
  </si>
  <si>
    <t>200703 - CHEESE MILD CHEDDAR SHREDDED 4/5LB</t>
  </si>
  <si>
    <t>201097 - PAPER NAPKIN 16"X16" 1PLY KRAFT 3000PK</t>
  </si>
  <si>
    <t>201142 - TRAY ROUND BLACK 16" 25CT</t>
  </si>
  <si>
    <t>201143 - TRAY LID DOME ROUND CLEAR 16" 25CT</t>
  </si>
  <si>
    <t>201144 - TRAY ROUND BLACK 18" 25CT</t>
  </si>
  <si>
    <t>201145 - TRAY LID DOME ROUND CLEAR 18" 25CT</t>
  </si>
  <si>
    <t>201147 - TRAY ROUND BLACK 12" 25CT</t>
  </si>
  <si>
    <t>201149 - BOWL ROUND 80OZ BLACK 10" 25CT</t>
  </si>
  <si>
    <t>201150 - BOWL LID FLAT ROUND 80OZ CLEAR 10" 25CT</t>
  </si>
  <si>
    <t>201152 - UTENSIL TONG PLASTIC BLACK 9" 48CT</t>
  </si>
  <si>
    <t>201153 - GLOVE MEDIUM VINYL PF 10/100PK</t>
  </si>
  <si>
    <t>201154 - GLOVE LARGE VINYL PF 10/100PK</t>
  </si>
  <si>
    <t>201155 - GLOVE XLARGE VINYL PF 10/100PK</t>
  </si>
  <si>
    <t>201156 - BAG TRASH XHVY BLK 60 GAL 38X58 100CT</t>
  </si>
  <si>
    <t>201157 - GLOVE SMALL VINYL CLR NO PWDR 10/100PK</t>
  </si>
  <si>
    <t>201158 - BAG SANDWICH SADDLE PK 6.5X7" 8/250PK</t>
  </si>
  <si>
    <t>201159 - PLATE FOAM DINNER WHITE 9" 500CT</t>
  </si>
  <si>
    <t>201160 - UTENSIL PLASTIC KNIFE WHITE IND WRAP 1000CT</t>
  </si>
  <si>
    <t>201161 - UTENSIL PLASTIC FORK WHITE IND WRAP 1000CT</t>
  </si>
  <si>
    <t>201163 - BAG PAPER WHITE 12# 500CT</t>
  </si>
  <si>
    <t>201165 - PAPER DELI PATTY 5.5X5.5 24/100PK</t>
  </si>
  <si>
    <t>201166 - UTENSIL PLASTIC SPOON WHITE IND WRAP 1000CT</t>
  </si>
  <si>
    <t>201168 - PLATE POLY BLACK 6' 1000CT</t>
  </si>
  <si>
    <t>201169 - FOIL WRAP 16X14 1000CT</t>
  </si>
  <si>
    <t>201171 - PAPER TOWEL ROLL KRAFT 6CT</t>
  </si>
  <si>
    <t>201172 - PAPER BATH TISSUE 2PLY 96CT</t>
  </si>
  <si>
    <t>201196 - CONTAINER SOUP LID SQT 500-8OZ/12OZ</t>
  </si>
  <si>
    <t>182264 - Dough, Cookie Snickerdoodle</t>
  </si>
  <si>
    <t>201079 - BAG TRASH XHVY BLK 60 GAL 38X58 100CT</t>
  </si>
  <si>
    <t>201080 - CHEESE MILD CHEDDAR SHREDDED 4/5LB</t>
  </si>
  <si>
    <t>201081 - FILM WRAP CUTTER BOX 12"X2000LF</t>
  </si>
  <si>
    <t>201082 - GLOVE LARGE VINYL PF 10/100PK</t>
  </si>
  <si>
    <t>201083 - GLOVE MEDIUM VINYL PF 10/100PK</t>
  </si>
  <si>
    <t>201085 - GLOVE XLARGE VINYL PF 10/100PK</t>
  </si>
  <si>
    <t>201086 - INGREDIENT POTATO DCD 102OZ 6CT</t>
  </si>
  <si>
    <t>201087 - PAPER DELI PATTY 5.5X5.5 12/24PK</t>
  </si>
  <si>
    <t>201088 - PAPER DELI WAX 8X10.75 12/200PK</t>
  </si>
  <si>
    <t>201090 - PLATE FOAM DINNER WHITE 9" 500CT</t>
  </si>
  <si>
    <t>201091 - PLATE POLY BLACK 7" 1000CT</t>
  </si>
  <si>
    <t>201095 - UTENSIL PLASTIC KNIFE WHITE IND WRAP 1000CT</t>
  </si>
  <si>
    <t>201098 - DRESSING 1000 ISLAND PKT 60/1.5OZ</t>
  </si>
  <si>
    <t>201099 - DRESSING BLUE CHEESE PKT 60/1.5OZ</t>
  </si>
  <si>
    <t>201100 - DRESSING FRENCH CREAMY PKT 60/1.5OZ</t>
  </si>
  <si>
    <t>201101 - DRESSING ITALIAN GOLDEN PKT 60/1.5OZ</t>
  </si>
  <si>
    <t>201102 - DRESSING RANCH 12G PKT 200CT</t>
  </si>
  <si>
    <t>201103 - DRESSING RANCH POUCH 60/1.5OZ</t>
  </si>
  <si>
    <t>201104 - INGREDIENT BALSAMIC VINAIGRETTE SIGN 4/1GAL</t>
  </si>
  <si>
    <t>201105 - INGREDIENT HONEY MUSTARD 4/1GAL</t>
  </si>
  <si>
    <t>201106 - INGREDIENT RANCH BUTTERMILK 4/1GAL</t>
  </si>
  <si>
    <t>201110 - CONTAINER SOUP LID CLEAR SQUAT 500-8OZ/12OZ</t>
  </si>
  <si>
    <t>201054 - CONDIMENT MUSTARD PACKETS  PKT 500CT</t>
  </si>
  <si>
    <t>201055 - CHEESE SWISS SLICED .75OZ 8/24PK</t>
  </si>
  <si>
    <t>201056 - CHEESE MILD CHEDDAR .75OZ 6/24PK</t>
  </si>
  <si>
    <t>201057 - CONDIMENT MAYO DUKES IND PKT 200CT</t>
  </si>
  <si>
    <t>201059 - UTENSIL TONG PLASTIC BLACK 16" 48CT</t>
  </si>
  <si>
    <t>201060 - GLOVE SMALL VINYL PF 10/100PK</t>
  </si>
  <si>
    <t>201061 - GLOVE MEDIUM VINYL PF 10/100PK</t>
  </si>
  <si>
    <t>201062 - GLOVE LARGE VINYL PF 10/100PK</t>
  </si>
  <si>
    <t>201063 - GLOVE XLARGE VINYL PF 10/100PK</t>
  </si>
  <si>
    <t>201064 - CHEESE MILD CHEDDAR SHREDDED 4/5LB</t>
  </si>
  <si>
    <t>201066 - PAPER NAPKIN 14"X16" 2PLY WHT 20/250PK</t>
  </si>
  <si>
    <t>201067 - BAG SANDWICH SADDLE PK 6.5X7" 200CT</t>
  </si>
  <si>
    <t>201068 - CONTAINER SOUP BLACK SQUAT 500/8OZ</t>
  </si>
  <si>
    <t>201069 - CONTAINER SOUP LID CLEAR SQUAT 500-8OZ/12OZ</t>
  </si>
  <si>
    <t>201071 - CONTAINER DELI ROUND PLSTC CLR W/LID 500/16OZ</t>
  </si>
  <si>
    <t>201072 - FILM WRAP CUTTER BOX 12"X2000LF</t>
  </si>
  <si>
    <t>201073 - FILM WRAP CUTTER BOX 24"X2000LF</t>
  </si>
  <si>
    <t>201074 - PAPER DELI WAX 6X6 10/200PK</t>
  </si>
  <si>
    <t>201076 - INGREDIENT EGG PATTY CF 120CT</t>
  </si>
  <si>
    <t>201077 - BAG TRASH XHVY BLK 60 GAL 38X58 100CT</t>
  </si>
  <si>
    <t>201078 - PLATE FIBER DINNER WHITE 9" 500CT</t>
  </si>
  <si>
    <t>200705 - Knife, White wrapped</t>
  </si>
  <si>
    <t>200707 - Spoon, White Wrapped 750CT</t>
  </si>
  <si>
    <t>202130 - PLATE FOAM WHITE 125CT</t>
  </si>
  <si>
    <t>202197 - CONTAINER MICROWAVE 126CT</t>
  </si>
  <si>
    <t>202198 - CHEMICAL DETERGENT  4/1GAL</t>
  </si>
  <si>
    <t>202199 - CONDIMENT LEMON JCE 200/4G</t>
  </si>
  <si>
    <t>202201 - SIDES ORCHARD FRUIT 48/4OZ</t>
  </si>
  <si>
    <t>202202 - DRINK LEMONDATE MIN 1/5GAL</t>
  </si>
  <si>
    <t>202203 - UTENSIL FORK PLASTIC 100CT</t>
  </si>
  <si>
    <t>202204 - UTENSIL CUTLERY KIT 250CT</t>
  </si>
  <si>
    <t>202205 - CLEANING PAD SCOURING 20CT</t>
  </si>
  <si>
    <t>202206 - PAPER BATH TISSUE 96CT</t>
  </si>
  <si>
    <t>202207 - GLOVE LARGE VINYL 1000CT</t>
  </si>
  <si>
    <t>202208 - DRINK WATER BOTTLE 28/20OZ</t>
  </si>
  <si>
    <t>202209 - CONDIMENT MAYO PKT 200CT</t>
  </si>
  <si>
    <t>202210 - COOKIE DOUGH SNK 150/2.5OZ</t>
  </si>
  <si>
    <t>202211 - CHIPS JALAPENO 64/1.375OZ</t>
  </si>
  <si>
    <t>202212 - PROTEIN BACON PRE 192CT</t>
  </si>
  <si>
    <t>202213 - DRESSING DIJON HONEY 60CT</t>
  </si>
  <si>
    <t>202214 - CHIPS KETTLE JAL 55/1.5OZ</t>
  </si>
  <si>
    <t>202215 - CHIPS KETTLE SEA 55/1.5OZ</t>
  </si>
  <si>
    <t>202216 - PRODUCE TOMATO 5X6 60CT</t>
  </si>
  <si>
    <t>202217 - PLATE PLAS CHINET 500CT</t>
  </si>
  <si>
    <t>202218 - CHEESE HAVARTI SLICED 6CT</t>
  </si>
  <si>
    <t>202219 - DRINK COKE CLASSIC 1/5GAL</t>
  </si>
  <si>
    <t>202220 - PRODUCE LETTUCE SALAD 4CT</t>
  </si>
  <si>
    <t>202221 - FILM WRAP CUTTER 18"X2000</t>
  </si>
  <si>
    <t>202222 - FILM WRAP CUTTER 18"X2000</t>
  </si>
  <si>
    <t>202223 - CONDIMENT MAYO HVY 4/1GAL</t>
  </si>
  <si>
    <t>202224 - CHIPS LAYS PLAIN 64/1.5OZ</t>
  </si>
  <si>
    <t>202225 - PAPER WRAP DELI 5000CT</t>
  </si>
  <si>
    <t>202226 - DRINK ROOT BEER 1/2.5GAL</t>
  </si>
  <si>
    <t>202227 - PLATE FOAM BLACK 500CT</t>
  </si>
  <si>
    <t>202228 - BOWL PLAS SQUARE 63/32OZ</t>
  </si>
  <si>
    <t>202229 - CONTAINER HINGED 4/125C</t>
  </si>
  <si>
    <t>202230 - DRINK LEMONADE PWD 12CT</t>
  </si>
  <si>
    <t>202232 - CLEANING EMPTY GAL 48CT</t>
  </si>
  <si>
    <t>202233 - DRINK SPRITE BIB 1/5GAL</t>
  </si>
  <si>
    <t>202234 - CLEANING HAIRNET 144CT</t>
  </si>
  <si>
    <t>202235 - DRINK GATORADE 24/20OZ</t>
  </si>
  <si>
    <t>202236 - GLOVE XXLARGE 1000CT</t>
  </si>
  <si>
    <t>202237 - DRINK GATORADE 24/20OZ</t>
  </si>
  <si>
    <t>202238 - SIDES POTATO SALAD 2CT</t>
  </si>
  <si>
    <t>202240 - DRINK COKE DIET 1/5GAL</t>
  </si>
  <si>
    <t>202241 - PRODUCE TOMATO XL 25LB</t>
  </si>
  <si>
    <t>202242 - PAPER NAPKIN 16CT</t>
  </si>
  <si>
    <t>202243 - MINT PEPPERMINT 8/8LB</t>
  </si>
  <si>
    <t>202244 - PAPER NAPKIN 20CT</t>
  </si>
  <si>
    <t>202247 - BAG TRASH 40-45 250CT</t>
  </si>
  <si>
    <t>202248 - BAG TRASH WHT 100CT</t>
  </si>
  <si>
    <t>202249 - CUP SOUFFLE PLAS 50CT</t>
  </si>
  <si>
    <t>202250 - CUP LID SOUFFLE 50CT</t>
  </si>
  <si>
    <t>202251 - DRINK MR PIBB 1/5GAL</t>
  </si>
  <si>
    <t>202252 - PAPER TOWEL HRD 12CT</t>
  </si>
  <si>
    <t>202253 - BOWL PLAS 24OZ 63CT</t>
  </si>
  <si>
    <t>202255 - BAG TRASH 33 250CT</t>
  </si>
  <si>
    <t>202313 - PAPER NAPKIN COCKTAIL 1CT</t>
  </si>
  <si>
    <t>200903 - DRESSING BLUE CHEESE PKT 60/1.5CT</t>
  </si>
  <si>
    <t>200906 - FILM WRAP CUTTER BOX 12"X2000LF</t>
  </si>
  <si>
    <t>200914 - CHEESE SWISS SLICED 4OZ 8/24PK</t>
  </si>
  <si>
    <t>200928 - PRODUCE RED ONION JBO 1CT</t>
  </si>
  <si>
    <t>200934 - DRESSING ITALIAN PKT60/1.5CT</t>
  </si>
  <si>
    <t>200937 - GLOVE XLARGE VINYL PF 1/100PK</t>
  </si>
  <si>
    <t>200939 - GLOVE MEDIUM NITRILE BLUE PF 1/100PK</t>
  </si>
  <si>
    <t>200941 - UTENSIL PLASTIC KNIFE HVY BLK 1000CT</t>
  </si>
  <si>
    <t>200942 - CHIPS KETTLE SEA SALT 64/1.375OZ</t>
  </si>
  <si>
    <t>200943 - CONTAINER DELI RD W/LID 250/16OZ</t>
  </si>
  <si>
    <t>200946 - PAPER DELI WAX 5X5 1/1000CT</t>
  </si>
  <si>
    <t>200951 - BAG SANDWICH SADDLE 7X7 2000CT</t>
  </si>
  <si>
    <t>200956 - GLOVE LARGE NITRILE BLUE PF 1/100PK</t>
  </si>
  <si>
    <t>200958 - PAPER TOWEL ROLL 6CT</t>
  </si>
  <si>
    <t>200961 - CHEESE CHEDDAR SHRD REG 4/5LB</t>
  </si>
  <si>
    <t>200962 - INGREDIENT VINEGAR RED WINE 4/1GAL</t>
  </si>
  <si>
    <t>200968 - PLATE COMPOSITIE BLACK 10.25" 200CT</t>
  </si>
  <si>
    <t>200969 - BAG TRASH 55 GAL 36X58 100CT</t>
  </si>
  <si>
    <t>202257 - CONDIMENT MAYO PKT 200CT</t>
  </si>
  <si>
    <t>202260 - INGREDIENT POTATOES 102OZ</t>
  </si>
  <si>
    <t>202261 - PROTEIN BACON PRE 300CT</t>
  </si>
  <si>
    <t>202265 - CHEMICAL SANI TECH 2/1GAL</t>
  </si>
  <si>
    <t>202266 - DRESSING CEASAR 60/1.5OZ</t>
  </si>
  <si>
    <t>202272 - INGREDIENT CRUTON 250OZ</t>
  </si>
  <si>
    <t>202273 - DRESSING RANCH 60/1.5OZ</t>
  </si>
  <si>
    <t>202277 - DRINK KIWI STRW 12/16OZ</t>
  </si>
  <si>
    <t>202278 - DRINK TEA PEACH 12/16OZ</t>
  </si>
  <si>
    <t>202281 - DRESSING RANCH 4/1GAL</t>
  </si>
  <si>
    <t>202282 - CONDIMENT MAYO 4/1GAL</t>
  </si>
  <si>
    <t>202283 - DRINK MONSTER 24/16OZ</t>
  </si>
  <si>
    <t>202289 - CLEANING PAD HVY 10CT</t>
  </si>
  <si>
    <t>202292 - BAG TRASH 33X39 200CT</t>
  </si>
  <si>
    <t>202294 - SIDES GRAVY 12/50OZ</t>
  </si>
  <si>
    <t>202295 - DRINK MANGO 12/16OZ</t>
  </si>
  <si>
    <t>202296 - FOIL ALUM ROLL 1CT</t>
  </si>
  <si>
    <t>4000818 - Olives, Sliced</t>
  </si>
  <si>
    <t>400109 - Sirloin Tri Tip, Fully Cooked, W/Juices</t>
  </si>
  <si>
    <t>400811 - Sauce, Alfredo</t>
  </si>
  <si>
    <t>400813 - Salad, Ambrosia, Carton</t>
  </si>
  <si>
    <t>400814 - Apple Chips</t>
  </si>
  <si>
    <t>400817 - Baked Beans, BBQ</t>
  </si>
  <si>
    <t>400820 - Brown Sugar 25lb</t>
  </si>
  <si>
    <t>400823 - Sauce, Cheddar Cheese**</t>
  </si>
  <si>
    <t>400829 - Bag, Goo</t>
  </si>
  <si>
    <t>400833 - Marshmallow, Mini</t>
  </si>
  <si>
    <t>400835 - Melted Butter</t>
  </si>
  <si>
    <t>400850 - Cornbread Stuffing, Mrs. Cubbison's</t>
  </si>
  <si>
    <t>400852 - Gravy, Turkey, Fully Cooked</t>
  </si>
  <si>
    <t>402038 - Flakes, Parsley</t>
  </si>
  <si>
    <t>402069 - Potato</t>
  </si>
  <si>
    <t>405002 - Gravy, Roasted Turkey</t>
  </si>
  <si>
    <t>200902 - CONDIMENT MUSTARD PKT 4.5G PKT 500CT</t>
  </si>
  <si>
    <t>200908 - BOWL SQUARE BLACK 7" 500CT</t>
  </si>
  <si>
    <t>200916 - UTENSIL STRAW IND WRAP 7.75" 300CT</t>
  </si>
  <si>
    <t>200919 - BAG SANDWICH SADDLE 2000CT</t>
  </si>
  <si>
    <t>200922 - GLOVE LARGE LATEX PF 1/100CT</t>
  </si>
  <si>
    <t>200925 - PRODUCE TOMATO 4X5 1CT</t>
  </si>
  <si>
    <t>200931 - CONTAINER PLY HOT/COLD 50/8OZ</t>
  </si>
  <si>
    <t>200935 - DRESSING ITALIAN LIT PKT 60/1.5CT</t>
  </si>
  <si>
    <t>200940 - UTENSIL PLASTIC FORK HVY BLK 1000CT</t>
  </si>
  <si>
    <t>200949 - PAPER TOWEL PREMIUM TAD 4CT</t>
  </si>
  <si>
    <t>200954 - GLOVE MEDIUM VINYL PF 1/100PK</t>
  </si>
  <si>
    <t>200957 - PAPER NAPKIN 15"X17" 1PLY 1/12PK</t>
  </si>
  <si>
    <t>202297 - CLEANING MOPHEAD COTTON 32</t>
  </si>
  <si>
    <t>202298 - CONTAINER CLAMSHELL 120CT</t>
  </si>
  <si>
    <t>202299 - UTENSIL TONG PLASTIC 48CT</t>
  </si>
  <si>
    <t>202300 - DRINK COKE CLASSIC 1/5GAL</t>
  </si>
  <si>
    <t>202301 - CLEANING HAIR 1440CT</t>
  </si>
  <si>
    <t>202302 - GLOVE MEDIUM 1000CT</t>
  </si>
  <si>
    <t>202303 - PAPER TOWEL ROLL 12CT</t>
  </si>
  <si>
    <t>200909 - BOWL SQUARE BLACK 8" 150CT</t>
  </si>
  <si>
    <t>200917 - UTENSIL STRAW IND WRAP 10.25" 1200CT</t>
  </si>
  <si>
    <t>200918 - UTENSIL PLASTIC KNIFE HVY BLK 1000CT</t>
  </si>
  <si>
    <t>200921 - INGREDIENT EGGS HARD COOK PLD 4CT</t>
  </si>
  <si>
    <t>200929 - PRODUCE LETTUCE GREEN LF 24CT</t>
  </si>
  <si>
    <t>200936 - DRESSING ITALIAN PKT 60/1.5CT</t>
  </si>
  <si>
    <t>200955 - GLOVE LARGE VINYL PF 1/100PK</t>
  </si>
  <si>
    <t>200959 - PAPER BATH TISSUE JMBO 2 PLY 12CT</t>
  </si>
  <si>
    <t>202256 - INGREDIENT CHKN BR 12/49OZ</t>
  </si>
  <si>
    <t>202259 - DRINK COKE CLASSIC 24/12OZ</t>
  </si>
  <si>
    <t>202263 - CHEMICAL SOAP HAND 4/1GAL</t>
  </si>
  <si>
    <t>202267 - PROTEIN BEEF BACK 6/36OZ</t>
  </si>
  <si>
    <t>202269 - BREAD SOURDOUGH SLC 32OZ</t>
  </si>
  <si>
    <t>202270 - CHEMICAL HI POWER 2/1GAL</t>
  </si>
  <si>
    <t>202274 - CHEESE CHEDDAR MILD 2CT</t>
  </si>
  <si>
    <t>202285 - CHEMICAL FLOOR 2/1GAL</t>
  </si>
  <si>
    <t>202290 - CHEESE SWISS LOAF 6CT</t>
  </si>
  <si>
    <t>202291 - BREAD MARBLED RYE 6CT</t>
  </si>
  <si>
    <t>202304 - DRESSING HON MUST 60/1.5OZ</t>
  </si>
  <si>
    <t>202305 - PRODUCE BANANA PEP 4/1GAL</t>
  </si>
  <si>
    <t>202307 - COOKIE DOUGH PB 150/2.5OZ</t>
  </si>
  <si>
    <t>202308 - INGREDIENT RELISH 4/1GAL</t>
  </si>
  <si>
    <t>202309 - INGREDINET PICKLE 1/5GAL</t>
  </si>
  <si>
    <t>202310 - DESSERT BRWNIE 144/2.3OZ</t>
  </si>
  <si>
    <t>202311 - CONDIMENT SWT BBY 4/1GAL</t>
  </si>
  <si>
    <t>202312 - CONTAINER HD COMBO 250CT</t>
  </si>
  <si>
    <t>202314 - PLATE 3-COMP 10" 500CT</t>
  </si>
  <si>
    <t>202315 - PROTEIN PASTRAMI CKD 6LB</t>
  </si>
  <si>
    <t>202316 - CLEANING TOWEL WHT 150CT</t>
  </si>
  <si>
    <t>202318 - DRINK COKE PLAS 24/20OZ</t>
  </si>
  <si>
    <t>202319 - DRINK TEA PEACH 12/16OZ</t>
  </si>
  <si>
    <t>202320 - DRINK TEA LEMON 12/16OZ</t>
  </si>
  <si>
    <t>202321 - CHEMICAL HI SUDS 2/1GAL</t>
  </si>
  <si>
    <t>202322 - BREAD COUNTRY WHITE 8CT</t>
  </si>
  <si>
    <t>202323 - DRINK SPRITE BIB 1/5GAL</t>
  </si>
  <si>
    <t>202324 - DRINK LEMONADE ORIGINAL</t>
  </si>
  <si>
    <t>202325 - PROTEIN BACON PRE2/5LB</t>
  </si>
  <si>
    <t>202326 - COOKIE DOUGH 150/2.5OZ</t>
  </si>
  <si>
    <t>202327 - PRODUCE CUCUMBERS 36CT</t>
  </si>
  <si>
    <t>202328 - PAPER WRAP LOGO 1000CT</t>
  </si>
  <si>
    <t>202329 - CHEESE PEPPER JACK 2CT</t>
  </si>
  <si>
    <t>202332 - PROTEIN ROAST BEEF 2LB</t>
  </si>
  <si>
    <t>202334 - PAPER BATH TISSUE 96CT</t>
  </si>
  <si>
    <t>202335 - DRINK SNAPPLE 12/16OZ</t>
  </si>
  <si>
    <t>202336 - SIDES SOUP TOMATO 8LB</t>
  </si>
  <si>
    <t>202337 - SIDES BAKED BEANS 6CT</t>
  </si>
  <si>
    <t>202338 - PAPER TOWEL 16CT</t>
  </si>
  <si>
    <t>202340 - BREAD HONEY LOAF 1CT</t>
  </si>
  <si>
    <t>202341 - INGREDIENT OIL 35LB</t>
  </si>
  <si>
    <t>202342 - FOIL ALUM ROLL 1CT</t>
  </si>
  <si>
    <t>205066 - Sugar, C&amp;H Special Coarse Glazing Machine</t>
  </si>
  <si>
    <t>4000853 - Vanilla Extract</t>
  </si>
  <si>
    <t>4000874 - Fritter, Beef</t>
  </si>
  <si>
    <t>4000879 - Syrup</t>
  </si>
  <si>
    <t>400106 - Ribs, Beef Back W/Sauce</t>
  </si>
  <si>
    <t>4002042 - Mustard, Yellow</t>
  </si>
  <si>
    <t>4002050 - Vinegar, Red Wine</t>
  </si>
  <si>
    <t>4002059 - Sauce, Tobasco</t>
  </si>
  <si>
    <t>4002096 - Mix, Pancake</t>
  </si>
  <si>
    <t>4002100 - Relish, Sweet</t>
  </si>
  <si>
    <t>400824 - Broth, Chicken</t>
  </si>
  <si>
    <t>400827 - Chives Chopped</t>
  </si>
  <si>
    <t>400834 - Mashed Potatoes, Creamy Deluxe</t>
  </si>
  <si>
    <t>400836 - Pecan Pieces</t>
  </si>
  <si>
    <t>200932 - CONTAINER PLY HOT/COLD 1000/12OZ</t>
  </si>
  <si>
    <t>200938 - GLOVE SMALL NITRILE BLUE PF 1/100PK</t>
  </si>
  <si>
    <t>200960 - BAG SANDWICH SADDLE 6X5 1000CT</t>
  </si>
  <si>
    <t>202344 - CONTAINER LID CLEAR 500CT</t>
  </si>
  <si>
    <t>202346 - INGREDIENT BALSAM  4/1GAL</t>
  </si>
  <si>
    <t>202347 - CONTAINER FOAM 6OZ 25CT</t>
  </si>
  <si>
    <t>202348 - DRINK COKE DIET 1/5GAL</t>
  </si>
  <si>
    <t>20211</t>
  </si>
  <si>
    <t>20209</t>
  </si>
  <si>
    <t>20204</t>
  </si>
  <si>
    <t>20210</t>
  </si>
  <si>
    <t>20207</t>
  </si>
  <si>
    <t>20225</t>
  </si>
  <si>
    <t>20221</t>
  </si>
  <si>
    <t>20220</t>
  </si>
  <si>
    <t>20236</t>
  </si>
  <si>
    <t>22658</t>
  </si>
  <si>
    <t>20235</t>
  </si>
  <si>
    <t>20237</t>
  </si>
  <si>
    <t>20341</t>
  </si>
  <si>
    <t>20342</t>
  </si>
  <si>
    <t>20340</t>
  </si>
  <si>
    <t>20223</t>
  </si>
  <si>
    <t>20224</t>
  </si>
  <si>
    <t>22888</t>
  </si>
  <si>
    <t>22889</t>
  </si>
  <si>
    <t>20489</t>
  </si>
  <si>
    <t>20480</t>
  </si>
  <si>
    <t>20481</t>
  </si>
  <si>
    <t>20482</t>
  </si>
  <si>
    <t>20487</t>
  </si>
  <si>
    <t>20486</t>
  </si>
  <si>
    <t>20483</t>
  </si>
  <si>
    <t>20488</t>
  </si>
  <si>
    <t>20491</t>
  </si>
  <si>
    <t>20490</t>
  </si>
  <si>
    <t>26656</t>
  </si>
  <si>
    <t>20247</t>
  </si>
  <si>
    <t>20246</t>
  </si>
  <si>
    <t>20318</t>
  </si>
  <si>
    <t>23520</t>
  </si>
  <si>
    <t>20319</t>
  </si>
  <si>
    <t>20311</t>
  </si>
  <si>
    <t>20512</t>
  </si>
  <si>
    <t>20514</t>
  </si>
  <si>
    <t>20515</t>
  </si>
  <si>
    <t>20516</t>
  </si>
  <si>
    <t>23522</t>
  </si>
  <si>
    <t>20309</t>
  </si>
  <si>
    <t>20313</t>
  </si>
  <si>
    <t>20335</t>
  </si>
  <si>
    <t>20408</t>
  </si>
  <si>
    <t>20410</t>
  </si>
  <si>
    <t>20411</t>
  </si>
  <si>
    <t>20417</t>
  </si>
  <si>
    <t>20405</t>
  </si>
  <si>
    <t>20413</t>
  </si>
  <si>
    <t>20407</t>
  </si>
  <si>
    <t>60982</t>
  </si>
  <si>
    <t>61178</t>
  </si>
  <si>
    <t>60976</t>
  </si>
  <si>
    <t>60984</t>
  </si>
  <si>
    <t>60983</t>
  </si>
  <si>
    <t>26659</t>
  </si>
  <si>
    <t>60981</t>
  </si>
  <si>
    <t>26670</t>
  </si>
  <si>
    <t>20269</t>
  </si>
  <si>
    <t>20271</t>
  </si>
  <si>
    <t>20248</t>
  </si>
  <si>
    <t>20262</t>
  </si>
  <si>
    <t>20250</t>
  </si>
  <si>
    <t>20251</t>
  </si>
  <si>
    <t>27759</t>
  </si>
  <si>
    <t>27751</t>
  </si>
  <si>
    <t>27752</t>
  </si>
  <si>
    <t>20254</t>
  </si>
  <si>
    <t>20416</t>
  </si>
  <si>
    <t>44916</t>
  </si>
  <si>
    <t>20415</t>
  </si>
  <si>
    <t>20714</t>
  </si>
  <si>
    <t>20419</t>
  </si>
  <si>
    <t>95852</t>
  </si>
  <si>
    <t>91241</t>
  </si>
  <si>
    <t>91239</t>
  </si>
  <si>
    <t>91233</t>
  </si>
  <si>
    <t>20303</t>
  </si>
  <si>
    <t>61213</t>
  </si>
  <si>
    <t>57124</t>
  </si>
  <si>
    <t>27760</t>
  </si>
  <si>
    <t>20713</t>
  </si>
  <si>
    <t>20711</t>
  </si>
  <si>
    <t>47802</t>
  </si>
  <si>
    <t>72008</t>
  </si>
  <si>
    <t>53749</t>
  </si>
  <si>
    <t>53543</t>
  </si>
  <si>
    <t>37346</t>
  </si>
  <si>
    <t>37356</t>
  </si>
  <si>
    <t>37321</t>
  </si>
  <si>
    <t>20717</t>
  </si>
  <si>
    <t>26658</t>
  </si>
  <si>
    <t>22644</t>
  </si>
  <si>
    <t>20371</t>
  </si>
  <si>
    <t>20385</t>
  </si>
  <si>
    <t>20388</t>
  </si>
  <si>
    <t>20386</t>
  </si>
  <si>
    <t>20389</t>
  </si>
  <si>
    <t>20352</t>
  </si>
  <si>
    <t>20362</t>
  </si>
  <si>
    <t>20348</t>
  </si>
  <si>
    <t>20347</t>
  </si>
  <si>
    <t>20360</t>
  </si>
  <si>
    <t>20363</t>
  </si>
  <si>
    <t>20361</t>
  </si>
  <si>
    <t>20499</t>
  </si>
  <si>
    <t>20350</t>
  </si>
  <si>
    <t>20384</t>
  </si>
  <si>
    <t>20387</t>
  </si>
  <si>
    <t>20391</t>
  </si>
  <si>
    <t>20394</t>
  </si>
  <si>
    <t>76064</t>
  </si>
  <si>
    <t>20402</t>
  </si>
  <si>
    <t>20364</t>
  </si>
  <si>
    <t>20370</t>
  </si>
  <si>
    <t>20372</t>
  </si>
  <si>
    <t>20374</t>
  </si>
  <si>
    <t>20390</t>
  </si>
  <si>
    <t>20359</t>
  </si>
  <si>
    <t>20357</t>
  </si>
  <si>
    <t>20356</t>
  </si>
  <si>
    <t>34523</t>
  </si>
  <si>
    <t>83402</t>
  </si>
  <si>
    <t>83401</t>
  </si>
  <si>
    <t>20392</t>
  </si>
  <si>
    <t>20509</t>
  </si>
  <si>
    <t>20523</t>
  </si>
  <si>
    <t>85409</t>
  </si>
  <si>
    <t>78034</t>
  </si>
  <si>
    <t>85408</t>
  </si>
  <si>
    <t>20283</t>
  </si>
  <si>
    <t>20281</t>
  </si>
  <si>
    <t>26649</t>
  </si>
  <si>
    <t>26650</t>
  </si>
  <si>
    <t>27758</t>
  </si>
  <si>
    <t>27761</t>
  </si>
  <si>
    <t>27762</t>
  </si>
  <si>
    <t>26655</t>
  </si>
  <si>
    <t>80394</t>
  </si>
  <si>
    <t>20615</t>
  </si>
  <si>
    <t>20616</t>
  </si>
  <si>
    <t>20617</t>
  </si>
  <si>
    <t>20620</t>
  </si>
  <si>
    <t>23578</t>
  </si>
  <si>
    <t>44083</t>
  </si>
  <si>
    <t>51474</t>
  </si>
  <si>
    <t>68217</t>
  </si>
  <si>
    <t>77135</t>
  </si>
  <si>
    <t>78743</t>
  </si>
  <si>
    <t>78916</t>
  </si>
  <si>
    <t>79784</t>
  </si>
  <si>
    <t>80171</t>
  </si>
  <si>
    <t>80243</t>
  </si>
  <si>
    <t>80254</t>
  </si>
  <si>
    <t>81006</t>
  </si>
  <si>
    <t>81007</t>
  </si>
  <si>
    <t>82158</t>
  </si>
  <si>
    <t>83888</t>
  </si>
  <si>
    <t>84341</t>
  </si>
  <si>
    <t>84342</t>
  </si>
  <si>
    <t>84343</t>
  </si>
  <si>
    <t>84344</t>
  </si>
  <si>
    <t>85160</t>
  </si>
  <si>
    <t>85421</t>
  </si>
  <si>
    <t>85444</t>
  </si>
  <si>
    <t>20365</t>
  </si>
  <si>
    <t>64644</t>
  </si>
  <si>
    <t>20320</t>
  </si>
  <si>
    <t>20218</t>
  </si>
  <si>
    <t>20358</t>
  </si>
  <si>
    <t>912543</t>
  </si>
  <si>
    <t>912449</t>
  </si>
  <si>
    <t>912447</t>
  </si>
  <si>
    <t>912459</t>
  </si>
  <si>
    <t>912443</t>
  </si>
  <si>
    <t>912450</t>
  </si>
  <si>
    <t>912381</t>
  </si>
  <si>
    <t>912384</t>
  </si>
  <si>
    <t>912228</t>
  </si>
  <si>
    <t>912227</t>
  </si>
  <si>
    <t>912365</t>
  </si>
  <si>
    <t>912454</t>
  </si>
  <si>
    <t>912456</t>
  </si>
  <si>
    <t>912455</t>
  </si>
  <si>
    <t>912463</t>
  </si>
  <si>
    <t>912462</t>
  </si>
  <si>
    <t>912614</t>
  </si>
  <si>
    <t>912615</t>
  </si>
  <si>
    <t>67006</t>
  </si>
  <si>
    <t>912541</t>
  </si>
  <si>
    <t>912533</t>
  </si>
  <si>
    <t>912544</t>
  </si>
  <si>
    <t>912534</t>
  </si>
  <si>
    <t>912539</t>
  </si>
  <si>
    <t>912538</t>
  </si>
  <si>
    <t>912535</t>
  </si>
  <si>
    <t>912540</t>
  </si>
  <si>
    <t>912591</t>
  </si>
  <si>
    <t>912590</t>
  </si>
  <si>
    <t>501420</t>
  </si>
  <si>
    <t>912313</t>
  </si>
  <si>
    <t>912373</t>
  </si>
  <si>
    <t>912563</t>
  </si>
  <si>
    <t>912569</t>
  </si>
  <si>
    <t>912562</t>
  </si>
  <si>
    <t>912442</t>
  </si>
  <si>
    <t>912360</t>
  </si>
  <si>
    <t>912359</t>
  </si>
  <si>
    <t>912377</t>
  </si>
  <si>
    <t>912599</t>
  </si>
  <si>
    <t>912135</t>
  </si>
  <si>
    <t>912226</t>
  </si>
  <si>
    <t>912241</t>
  </si>
  <si>
    <t>912113</t>
  </si>
  <si>
    <t>912529</t>
  </si>
  <si>
    <t>912304</t>
  </si>
  <si>
    <t>912314</t>
  </si>
  <si>
    <t>912115</t>
  </si>
  <si>
    <t>SD8141</t>
  </si>
  <si>
    <t>912246</t>
  </si>
  <si>
    <t>912427</t>
  </si>
  <si>
    <t>912514</t>
  </si>
  <si>
    <t>502151</t>
  </si>
  <si>
    <t>502093</t>
  </si>
  <si>
    <t>502923</t>
  </si>
  <si>
    <t>912629</t>
  </si>
  <si>
    <t>912630</t>
  </si>
  <si>
    <t>912627</t>
  </si>
  <si>
    <t>912628</t>
  </si>
  <si>
    <t>503491</t>
  </si>
  <si>
    <t>60646</t>
  </si>
  <si>
    <t>912114</t>
  </si>
  <si>
    <t>912110</t>
  </si>
  <si>
    <t>48581</t>
  </si>
  <si>
    <t>63143</t>
  </si>
  <si>
    <t>912566</t>
  </si>
  <si>
    <t>912565</t>
  </si>
  <si>
    <t>912283</t>
  </si>
  <si>
    <t>912285</t>
  </si>
  <si>
    <t>912281</t>
  </si>
  <si>
    <t>43790</t>
  </si>
  <si>
    <t>901067</t>
  </si>
  <si>
    <t>39504</t>
  </si>
  <si>
    <t>63154</t>
  </si>
  <si>
    <t>29398</t>
  </si>
  <si>
    <t>29346</t>
  </si>
  <si>
    <t>29345</t>
  </si>
  <si>
    <t>29347</t>
  </si>
  <si>
    <t>29344</t>
  </si>
  <si>
    <t>48579</t>
  </si>
  <si>
    <t>48582</t>
  </si>
  <si>
    <t>44640</t>
  </si>
  <si>
    <t>49073</t>
  </si>
  <si>
    <t>42893</t>
  </si>
  <si>
    <t>65646</t>
  </si>
  <si>
    <t>48706</t>
  </si>
  <si>
    <t>503518</t>
  </si>
  <si>
    <t>60722</t>
  </si>
  <si>
    <t>46763</t>
  </si>
  <si>
    <t>47254</t>
  </si>
  <si>
    <t>48589</t>
  </si>
  <si>
    <t>48725</t>
  </si>
  <si>
    <t>102400</t>
  </si>
  <si>
    <t>45710</t>
  </si>
  <si>
    <t>62928</t>
  </si>
  <si>
    <t>42063</t>
  </si>
  <si>
    <t>41542</t>
  </si>
  <si>
    <t>503373</t>
  </si>
  <si>
    <t>912171</t>
  </si>
  <si>
    <t>912172</t>
  </si>
  <si>
    <t>912165</t>
  </si>
  <si>
    <t>912176</t>
  </si>
  <si>
    <t>912486</t>
  </si>
  <si>
    <t>912596</t>
  </si>
  <si>
    <t>912597</t>
  </si>
  <si>
    <t>912558</t>
  </si>
  <si>
    <t>912559</t>
  </si>
  <si>
    <t>912560</t>
  </si>
  <si>
    <t>912602</t>
  </si>
  <si>
    <t>912177</t>
  </si>
  <si>
    <t>912323</t>
  </si>
  <si>
    <t>912163</t>
  </si>
  <si>
    <t>912169</t>
  </si>
  <si>
    <t>912168</t>
  </si>
  <si>
    <t>912428</t>
  </si>
  <si>
    <t>752201</t>
  </si>
  <si>
    <t>912397</t>
  </si>
  <si>
    <t>912147</t>
  </si>
  <si>
    <t>912530</t>
  </si>
  <si>
    <t>912335</t>
  </si>
  <si>
    <t>912173</t>
  </si>
  <si>
    <t>912234</t>
  </si>
  <si>
    <t>912409</t>
  </si>
  <si>
    <t>912518</t>
  </si>
  <si>
    <t>912547</t>
  </si>
  <si>
    <t>912488</t>
  </si>
  <si>
    <t>500441</t>
  </si>
  <si>
    <t>912413</t>
  </si>
  <si>
    <t>912595</t>
  </si>
  <si>
    <t>912613</t>
  </si>
  <si>
    <t>912593</t>
  </si>
  <si>
    <t>503279</t>
  </si>
  <si>
    <t>80812</t>
  </si>
  <si>
    <t>912626</t>
  </si>
  <si>
    <t>88136</t>
  </si>
  <si>
    <t>88137</t>
  </si>
  <si>
    <t>48403</t>
  </si>
  <si>
    <t>47181</t>
  </si>
  <si>
    <t>82100</t>
  </si>
  <si>
    <t>60965</t>
  </si>
  <si>
    <t>103226</t>
  </si>
  <si>
    <t>103225</t>
  </si>
  <si>
    <t>103224</t>
  </si>
  <si>
    <t>103227</t>
  </si>
  <si>
    <t>88359</t>
  </si>
  <si>
    <t>60604</t>
  </si>
  <si>
    <t>912632</t>
  </si>
  <si>
    <t>503517</t>
  </si>
  <si>
    <t>80212</t>
  </si>
  <si>
    <t>86617</t>
  </si>
  <si>
    <t>122602</t>
  </si>
  <si>
    <t>102012</t>
  </si>
  <si>
    <t>122700</t>
  </si>
  <si>
    <t>87214</t>
  </si>
  <si>
    <t>74220</t>
  </si>
  <si>
    <t>912156</t>
  </si>
  <si>
    <t>914602</t>
  </si>
  <si>
    <t>912637</t>
  </si>
  <si>
    <t>912638</t>
  </si>
  <si>
    <t>912481</t>
  </si>
  <si>
    <t>912513</t>
  </si>
  <si>
    <t>912348</t>
  </si>
  <si>
    <t>912385</t>
  </si>
  <si>
    <t>10057445</t>
  </si>
  <si>
    <t>10057446</t>
  </si>
  <si>
    <t>10057184</t>
  </si>
  <si>
    <t>10089503</t>
  </si>
  <si>
    <t>10056530</t>
  </si>
  <si>
    <t>10057563</t>
  </si>
  <si>
    <t>10057568</t>
  </si>
  <si>
    <t>198047</t>
  </si>
  <si>
    <t>10082767</t>
  </si>
  <si>
    <t>10055296</t>
  </si>
  <si>
    <t>10055579</t>
  </si>
  <si>
    <t>10093255</t>
  </si>
  <si>
    <t>10100962</t>
  </si>
  <si>
    <t>10053268</t>
  </si>
  <si>
    <t>10054706</t>
  </si>
  <si>
    <t>10055601</t>
  </si>
  <si>
    <t>10053431</t>
  </si>
  <si>
    <t>10053435</t>
  </si>
  <si>
    <t>10053439</t>
  </si>
  <si>
    <t>10053423</t>
  </si>
  <si>
    <t>10051435</t>
  </si>
  <si>
    <t>10051455</t>
  </si>
  <si>
    <t>312168</t>
  </si>
  <si>
    <t>10111556</t>
  </si>
  <si>
    <t>10115943</t>
  </si>
  <si>
    <t>10130052</t>
  </si>
  <si>
    <t>10148644</t>
  </si>
  <si>
    <t>10146075</t>
  </si>
  <si>
    <t>10053421</t>
  </si>
  <si>
    <t>168511</t>
  </si>
  <si>
    <t>10053429</t>
  </si>
  <si>
    <t>10060571</t>
  </si>
  <si>
    <t>10097309</t>
  </si>
  <si>
    <t>10097310</t>
  </si>
  <si>
    <t>10055990</t>
  </si>
  <si>
    <t>10064810</t>
  </si>
  <si>
    <t>10055991</t>
  </si>
  <si>
    <t>10055993</t>
  </si>
  <si>
    <t>10127466</t>
  </si>
  <si>
    <t>10134490</t>
  </si>
  <si>
    <t>10153482</t>
  </si>
  <si>
    <t>10084545</t>
  </si>
  <si>
    <t>10084550</t>
  </si>
  <si>
    <t>10084547</t>
  </si>
  <si>
    <t>10084549</t>
  </si>
  <si>
    <t>10046838</t>
  </si>
  <si>
    <t>74009</t>
  </si>
  <si>
    <t>138057</t>
  </si>
  <si>
    <t>10079393</t>
  </si>
  <si>
    <t>10084630</t>
  </si>
  <si>
    <t>10009078</t>
  </si>
  <si>
    <t>10123669</t>
  </si>
  <si>
    <t>10121225</t>
  </si>
  <si>
    <t>10121626</t>
  </si>
  <si>
    <t>102280</t>
  </si>
  <si>
    <t>10154450</t>
  </si>
  <si>
    <t>10116006</t>
  </si>
  <si>
    <t>10151194</t>
  </si>
  <si>
    <t>10116005</t>
  </si>
  <si>
    <t>10024350</t>
  </si>
  <si>
    <t>122028</t>
  </si>
  <si>
    <t>10152873</t>
  </si>
  <si>
    <t>76278</t>
  </si>
  <si>
    <t>10110385</t>
  </si>
  <si>
    <t>80020</t>
  </si>
  <si>
    <t>10044624</t>
  </si>
  <si>
    <t>140136</t>
  </si>
  <si>
    <t>68309</t>
  </si>
  <si>
    <t>10026249</t>
  </si>
  <si>
    <t>48060</t>
  </si>
  <si>
    <t>10082786</t>
  </si>
  <si>
    <t>10058139</t>
  </si>
  <si>
    <t>10129771</t>
  </si>
  <si>
    <t>10058194</t>
  </si>
  <si>
    <t>10131882</t>
  </si>
  <si>
    <t>10070886</t>
  </si>
  <si>
    <t>10055635</t>
  </si>
  <si>
    <t>10139980</t>
  </si>
  <si>
    <t>10131999</t>
  </si>
  <si>
    <t>10132000</t>
  </si>
  <si>
    <t>10142461</t>
  </si>
  <si>
    <t>10141932</t>
  </si>
  <si>
    <t>816050</t>
  </si>
  <si>
    <t>338056</t>
  </si>
  <si>
    <t>314032</t>
  </si>
  <si>
    <t>10036426</t>
  </si>
  <si>
    <t>10051279</t>
  </si>
  <si>
    <t>823330</t>
  </si>
  <si>
    <t>823320</t>
  </si>
  <si>
    <t>78081</t>
  </si>
  <si>
    <t>78061</t>
  </si>
  <si>
    <t>841085</t>
  </si>
  <si>
    <t>10025959</t>
  </si>
  <si>
    <t>10025960</t>
  </si>
  <si>
    <t>865030</t>
  </si>
  <si>
    <t>708232</t>
  </si>
  <si>
    <t>708230</t>
  </si>
  <si>
    <t>708228</t>
  </si>
  <si>
    <t>708234</t>
  </si>
  <si>
    <t>858025</t>
  </si>
  <si>
    <t>858050</t>
  </si>
  <si>
    <t>436042</t>
  </si>
  <si>
    <t>437090</t>
  </si>
  <si>
    <t>464040</t>
  </si>
  <si>
    <t>476120</t>
  </si>
  <si>
    <t>445010</t>
  </si>
  <si>
    <t>10120657</t>
  </si>
  <si>
    <t>823360</t>
  </si>
  <si>
    <t>10119251</t>
  </si>
  <si>
    <t>803382</t>
  </si>
  <si>
    <t>803387</t>
  </si>
  <si>
    <t>10123249</t>
  </si>
  <si>
    <t>803343</t>
  </si>
  <si>
    <t>851496</t>
  </si>
  <si>
    <t>947474</t>
  </si>
  <si>
    <t>62100</t>
  </si>
  <si>
    <t>78031</t>
  </si>
  <si>
    <t>811020</t>
  </si>
  <si>
    <t>10087955</t>
  </si>
  <si>
    <t>168015</t>
  </si>
  <si>
    <t>816005</t>
  </si>
  <si>
    <t>10144253</t>
  </si>
  <si>
    <t>803018</t>
  </si>
  <si>
    <t>803048</t>
  </si>
  <si>
    <t>10143969</t>
  </si>
  <si>
    <t>10155925</t>
  </si>
  <si>
    <t>78007</t>
  </si>
  <si>
    <t>10058107</t>
  </si>
  <si>
    <t>10132396</t>
  </si>
  <si>
    <t>830835</t>
  </si>
  <si>
    <t>62096</t>
  </si>
  <si>
    <t>10067927</t>
  </si>
  <si>
    <t>102279</t>
  </si>
  <si>
    <t>10024349</t>
  </si>
  <si>
    <t>464020</t>
  </si>
  <si>
    <t>102244</t>
  </si>
  <si>
    <t>851497</t>
  </si>
  <si>
    <t>863955</t>
  </si>
  <si>
    <t>10024371</t>
  </si>
  <si>
    <t>711412</t>
  </si>
  <si>
    <t>708290</t>
  </si>
  <si>
    <t>76240</t>
  </si>
  <si>
    <t>102253</t>
  </si>
  <si>
    <t>76121</t>
  </si>
  <si>
    <t>823315</t>
  </si>
  <si>
    <t>10069607</t>
  </si>
  <si>
    <t>830850</t>
  </si>
  <si>
    <t>10132395</t>
  </si>
  <si>
    <t>10132397</t>
  </si>
  <si>
    <t>803022</t>
  </si>
  <si>
    <t>803052</t>
  </si>
  <si>
    <t>803092</t>
  </si>
  <si>
    <t>823310</t>
  </si>
  <si>
    <t>78048</t>
  </si>
  <si>
    <t>764738</t>
  </si>
  <si>
    <t>10034115</t>
  </si>
  <si>
    <t>10038146</t>
  </si>
  <si>
    <t>10056008</t>
  </si>
  <si>
    <t>102259</t>
  </si>
  <si>
    <t>842011</t>
  </si>
  <si>
    <t>10122150</t>
  </si>
  <si>
    <t>10055476</t>
  </si>
  <si>
    <t>98155</t>
  </si>
  <si>
    <t>540011</t>
  </si>
  <si>
    <t>136136</t>
  </si>
  <si>
    <t>62110</t>
  </si>
  <si>
    <t>220082</t>
  </si>
  <si>
    <t>10122243</t>
  </si>
  <si>
    <t>830745</t>
  </si>
  <si>
    <t>10056003</t>
  </si>
  <si>
    <t>10057245</t>
  </si>
  <si>
    <t>827236</t>
  </si>
  <si>
    <t>10055549</t>
  </si>
  <si>
    <t>10106438</t>
  </si>
  <si>
    <t>102242</t>
  </si>
  <si>
    <t>10130940</t>
  </si>
  <si>
    <t>412500</t>
  </si>
  <si>
    <t>708280</t>
  </si>
  <si>
    <t>520140</t>
  </si>
  <si>
    <t>18123</t>
  </si>
  <si>
    <t>10015315</t>
  </si>
  <si>
    <t>827221</t>
  </si>
  <si>
    <t>102256</t>
  </si>
  <si>
    <t>849295</t>
  </si>
  <si>
    <t>102379</t>
  </si>
  <si>
    <t>102239</t>
  </si>
  <si>
    <t>827211</t>
  </si>
  <si>
    <t>847060</t>
  </si>
  <si>
    <t>854385</t>
  </si>
  <si>
    <t>10024309</t>
  </si>
  <si>
    <t>10051043</t>
  </si>
  <si>
    <t>10125147</t>
  </si>
  <si>
    <t>10080267</t>
  </si>
  <si>
    <t>851361</t>
  </si>
  <si>
    <t>10111894</t>
  </si>
  <si>
    <t>445015</t>
  </si>
  <si>
    <t>10053485</t>
  </si>
  <si>
    <t>102231</t>
  </si>
  <si>
    <t>10034790</t>
  </si>
  <si>
    <t>28200</t>
  </si>
  <si>
    <t>44025</t>
  </si>
  <si>
    <t>24033</t>
  </si>
  <si>
    <t>102243</t>
  </si>
  <si>
    <t>10127526</t>
  </si>
  <si>
    <t>805215</t>
  </si>
  <si>
    <t>10066775</t>
  </si>
  <si>
    <t>10125209</t>
  </si>
  <si>
    <t>10125207</t>
  </si>
  <si>
    <t>808036</t>
  </si>
  <si>
    <t>44019</t>
  </si>
  <si>
    <t>802191</t>
  </si>
  <si>
    <t>851540</t>
  </si>
  <si>
    <t>10052290</t>
  </si>
  <si>
    <t>10052296</t>
  </si>
  <si>
    <t>102233</t>
  </si>
  <si>
    <t>10052297</t>
  </si>
  <si>
    <t>830870</t>
  </si>
  <si>
    <t>432310</t>
  </si>
  <si>
    <t>823145</t>
  </si>
  <si>
    <t>10052301</t>
  </si>
  <si>
    <t>10024428</t>
  </si>
  <si>
    <t>823155</t>
  </si>
  <si>
    <t>10080252</t>
  </si>
  <si>
    <t>10055378</t>
  </si>
  <si>
    <t>18016</t>
  </si>
  <si>
    <t>102298</t>
  </si>
  <si>
    <t>10051291</t>
  </si>
  <si>
    <t>10056732</t>
  </si>
  <si>
    <t>10058192</t>
  </si>
  <si>
    <t>10144190</t>
  </si>
  <si>
    <t>10060874</t>
  </si>
  <si>
    <t>10060875</t>
  </si>
  <si>
    <t>10060876</t>
  </si>
  <si>
    <t>10060878</t>
  </si>
  <si>
    <t>10060879</t>
  </si>
  <si>
    <t>10060877</t>
  </si>
  <si>
    <t>10158172</t>
  </si>
  <si>
    <t>10057566</t>
  </si>
  <si>
    <t>10057565</t>
  </si>
  <si>
    <t>10058227</t>
  </si>
  <si>
    <t>10142737</t>
  </si>
  <si>
    <t>10142728</t>
  </si>
  <si>
    <t>10142729</t>
  </si>
  <si>
    <t>10142730</t>
  </si>
  <si>
    <t>10142734</t>
  </si>
  <si>
    <t>10142733</t>
  </si>
  <si>
    <t>10142731</t>
  </si>
  <si>
    <t>10142735</t>
  </si>
  <si>
    <t>10142727</t>
  </si>
  <si>
    <t>10142732</t>
  </si>
  <si>
    <t>10093257</t>
  </si>
  <si>
    <t>10062476</t>
  </si>
  <si>
    <t>10055605</t>
  </si>
  <si>
    <t>10100963</t>
  </si>
  <si>
    <t>10131893</t>
  </si>
  <si>
    <t>10131894</t>
  </si>
  <si>
    <t>10056043</t>
  </si>
  <si>
    <t>10053436</t>
  </si>
  <si>
    <t>10070576</t>
  </si>
  <si>
    <t>10053438</t>
  </si>
  <si>
    <t>10148646</t>
  </si>
  <si>
    <t>10148645</t>
  </si>
  <si>
    <t>10148647</t>
  </si>
  <si>
    <t>10153444</t>
  </si>
  <si>
    <t>10151034</t>
  </si>
  <si>
    <t>10055447</t>
  </si>
  <si>
    <t>10054130</t>
  </si>
  <si>
    <t>10057632</t>
  </si>
  <si>
    <t>10086913</t>
  </si>
  <si>
    <t>10054128</t>
  </si>
  <si>
    <t>10055441</t>
  </si>
  <si>
    <t>10056048</t>
  </si>
  <si>
    <t>10058454</t>
  </si>
  <si>
    <t>10055895</t>
  </si>
  <si>
    <t>10070885</t>
  </si>
  <si>
    <t>10050352</t>
  </si>
  <si>
    <t>10050356</t>
  </si>
  <si>
    <t>10148024</t>
  </si>
  <si>
    <t>10141000</t>
  </si>
  <si>
    <t>831329</t>
  </si>
  <si>
    <t>10142699</t>
  </si>
  <si>
    <t>10142700</t>
  </si>
  <si>
    <t>10025961</t>
  </si>
  <si>
    <t>10028484</t>
  </si>
  <si>
    <t>10119250</t>
  </si>
  <si>
    <t>78090</t>
  </si>
  <si>
    <t>805206</t>
  </si>
  <si>
    <t>10000060</t>
  </si>
  <si>
    <t>436050</t>
  </si>
  <si>
    <t>10031143</t>
  </si>
  <si>
    <t>102200</t>
  </si>
  <si>
    <t>10078206</t>
  </si>
  <si>
    <t>10140388</t>
  </si>
  <si>
    <t>823100</t>
  </si>
  <si>
    <t>10067825</t>
  </si>
  <si>
    <t>102264</t>
  </si>
  <si>
    <t>10026896</t>
  </si>
  <si>
    <t>819300</t>
  </si>
  <si>
    <t>819301</t>
  </si>
  <si>
    <t>98083</t>
  </si>
  <si>
    <t>100027</t>
  </si>
  <si>
    <t>10127013</t>
  </si>
  <si>
    <t>44021</t>
  </si>
  <si>
    <t>805082</t>
  </si>
  <si>
    <t>711466</t>
  </si>
  <si>
    <t>10055088</t>
  </si>
  <si>
    <t>10171623</t>
  </si>
  <si>
    <t>10070897</t>
  </si>
  <si>
    <t>10054959</t>
  </si>
  <si>
    <t>10137425</t>
  </si>
  <si>
    <t>10062661</t>
  </si>
  <si>
    <t>851070</t>
  </si>
  <si>
    <t>854630</t>
  </si>
  <si>
    <t>102207</t>
  </si>
  <si>
    <t>10124685</t>
  </si>
  <si>
    <t>10131971</t>
  </si>
  <si>
    <t>10050282</t>
  </si>
  <si>
    <t>10050380</t>
  </si>
  <si>
    <t>10154471</t>
  </si>
  <si>
    <t>10126254</t>
  </si>
  <si>
    <t>10004694</t>
  </si>
  <si>
    <t>10082797</t>
  </si>
  <si>
    <t>10127880</t>
  </si>
  <si>
    <t>10052308</t>
  </si>
  <si>
    <t>10024053</t>
  </si>
  <si>
    <t>863793</t>
  </si>
  <si>
    <t>593645</t>
  </si>
  <si>
    <t>593643</t>
  </si>
  <si>
    <t>514239</t>
  </si>
  <si>
    <t>514240</t>
  </si>
  <si>
    <t>579403</t>
  </si>
  <si>
    <t>624666</t>
  </si>
  <si>
    <t>624667</t>
  </si>
  <si>
    <t>624665</t>
  </si>
  <si>
    <t>625364</t>
  </si>
  <si>
    <t>625365</t>
  </si>
  <si>
    <t>690563</t>
  </si>
  <si>
    <t>690572</t>
  </si>
  <si>
    <t>690565</t>
  </si>
  <si>
    <t>690568</t>
  </si>
  <si>
    <t>690566</t>
  </si>
  <si>
    <t>690569</t>
  </si>
  <si>
    <t>690564</t>
  </si>
  <si>
    <t>690571</t>
  </si>
  <si>
    <t>712338</t>
  </si>
  <si>
    <t>712337</t>
  </si>
  <si>
    <t>549279</t>
  </si>
  <si>
    <t>583544</t>
  </si>
  <si>
    <t>694168</t>
  </si>
  <si>
    <t>694169</t>
  </si>
  <si>
    <t>694167</t>
  </si>
  <si>
    <t>579836</t>
  </si>
  <si>
    <t>579837</t>
  </si>
  <si>
    <t>591727</t>
  </si>
  <si>
    <t>591726</t>
  </si>
  <si>
    <t>420292</t>
  </si>
  <si>
    <t>499382</t>
  </si>
  <si>
    <t>499381</t>
  </si>
  <si>
    <t>499380</t>
  </si>
  <si>
    <t>665860</t>
  </si>
  <si>
    <t>460110</t>
  </si>
  <si>
    <t>547376</t>
  </si>
  <si>
    <t>499383</t>
  </si>
  <si>
    <t>467478</t>
  </si>
  <si>
    <t>491740</t>
  </si>
  <si>
    <t>473149</t>
  </si>
  <si>
    <t>775044</t>
  </si>
  <si>
    <t>437138</t>
  </si>
  <si>
    <t>701066</t>
  </si>
  <si>
    <t>701065</t>
  </si>
  <si>
    <t>510466</t>
  </si>
  <si>
    <t>501623</t>
  </si>
  <si>
    <t>644753</t>
  </si>
  <si>
    <t>748949</t>
  </si>
  <si>
    <t>748948</t>
  </si>
  <si>
    <t>688348</t>
  </si>
  <si>
    <t>688345</t>
  </si>
  <si>
    <t>688347</t>
  </si>
  <si>
    <t>751016</t>
  </si>
  <si>
    <t>501624</t>
  </si>
  <si>
    <t>595145</t>
  </si>
  <si>
    <t>510460</t>
  </si>
  <si>
    <t>510462</t>
  </si>
  <si>
    <t>565266</t>
  </si>
  <si>
    <t>665826</t>
  </si>
  <si>
    <t>687548</t>
  </si>
  <si>
    <t>644772</t>
  </si>
  <si>
    <t>745759</t>
  </si>
  <si>
    <t>745761</t>
  </si>
  <si>
    <t>768407</t>
  </si>
  <si>
    <t>536125</t>
  </si>
  <si>
    <t>643247</t>
  </si>
  <si>
    <t>593022</t>
  </si>
  <si>
    <t>443353</t>
  </si>
  <si>
    <t>443354</t>
  </si>
  <si>
    <t>443355</t>
  </si>
  <si>
    <t>443357</t>
  </si>
  <si>
    <t>443359</t>
  </si>
  <si>
    <t>443673</t>
  </si>
  <si>
    <t>750323</t>
  </si>
  <si>
    <t>750319</t>
  </si>
  <si>
    <t>446875</t>
  </si>
  <si>
    <t>444183</t>
  </si>
  <si>
    <t>446733</t>
  </si>
  <si>
    <t>441452</t>
  </si>
  <si>
    <t>661603</t>
  </si>
  <si>
    <t>661602</t>
  </si>
  <si>
    <t>661601</t>
  </si>
  <si>
    <t>440601</t>
  </si>
  <si>
    <t>440602</t>
  </si>
  <si>
    <t>661122</t>
  </si>
  <si>
    <t>662606</t>
  </si>
  <si>
    <t>761565</t>
  </si>
  <si>
    <t>600209</t>
  </si>
  <si>
    <t>170497</t>
  </si>
  <si>
    <t>351201</t>
  </si>
  <si>
    <t>372083</t>
  </si>
  <si>
    <t>351708</t>
  </si>
  <si>
    <t>371876</t>
  </si>
  <si>
    <t>400816</t>
  </si>
  <si>
    <t>351199</t>
  </si>
  <si>
    <t>351512</t>
  </si>
  <si>
    <t>561744</t>
  </si>
  <si>
    <t>538869</t>
  </si>
  <si>
    <t>569511</t>
  </si>
  <si>
    <t>562217</t>
  </si>
  <si>
    <t>562578</t>
  </si>
  <si>
    <t>562850</t>
  </si>
  <si>
    <t>562188</t>
  </si>
  <si>
    <t>563357</t>
  </si>
  <si>
    <t>563324</t>
  </si>
  <si>
    <t>569615</t>
  </si>
  <si>
    <t>562846</t>
  </si>
  <si>
    <t>562839</t>
  </si>
  <si>
    <t>562128</t>
  </si>
  <si>
    <t>562607</t>
  </si>
  <si>
    <t>562606</t>
  </si>
  <si>
    <t>670935</t>
  </si>
  <si>
    <t>301715</t>
  </si>
  <si>
    <t>301361</t>
  </si>
  <si>
    <t>300421</t>
  </si>
  <si>
    <t>301752</t>
  </si>
  <si>
    <t>610382</t>
  </si>
  <si>
    <t>301279</t>
  </si>
  <si>
    <t>301711</t>
  </si>
  <si>
    <t>570212</t>
  </si>
  <si>
    <t>561561</t>
  </si>
  <si>
    <t>566748</t>
  </si>
  <si>
    <t>564620</t>
  </si>
  <si>
    <t>561585</t>
  </si>
  <si>
    <t>566749</t>
  </si>
  <si>
    <t>570423</t>
  </si>
  <si>
    <t>570421</t>
  </si>
  <si>
    <t>570424</t>
  </si>
  <si>
    <t>570422</t>
  </si>
  <si>
    <t>650529</t>
  </si>
  <si>
    <t>301716</t>
  </si>
  <si>
    <t>221828</t>
  </si>
  <si>
    <t>301719</t>
  </si>
  <si>
    <t>301355</t>
  </si>
  <si>
    <t>340498</t>
  </si>
  <si>
    <t>400114</t>
  </si>
  <si>
    <t>400115</t>
  </si>
  <si>
    <t>564316</t>
  </si>
  <si>
    <t>564313</t>
  </si>
  <si>
    <t>564315</t>
  </si>
  <si>
    <t>564310</t>
  </si>
  <si>
    <t>662659</t>
  </si>
  <si>
    <t>220591</t>
  </si>
  <si>
    <t>680504</t>
  </si>
  <si>
    <t>764613</t>
  </si>
  <si>
    <t>650554</t>
  </si>
  <si>
    <t>650555</t>
  </si>
  <si>
    <t>650553</t>
  </si>
  <si>
    <t>650556</t>
  </si>
  <si>
    <t>340644</t>
  </si>
  <si>
    <t>301298</t>
  </si>
  <si>
    <t>936034</t>
  </si>
  <si>
    <t>181603</t>
  </si>
  <si>
    <t>313547</t>
  </si>
  <si>
    <t>510931</t>
  </si>
  <si>
    <t>564137</t>
  </si>
  <si>
    <t>918704</t>
  </si>
  <si>
    <t>563776</t>
  </si>
  <si>
    <t>340261</t>
  </si>
  <si>
    <t>148324</t>
  </si>
  <si>
    <t>470438</t>
  </si>
  <si>
    <t>222735</t>
  </si>
  <si>
    <t>510655</t>
  </si>
  <si>
    <t>222230</t>
  </si>
  <si>
    <t>922703</t>
  </si>
  <si>
    <t>342074</t>
  </si>
  <si>
    <t>601696</t>
  </si>
  <si>
    <t>680349</t>
  </si>
  <si>
    <t>382262</t>
  </si>
  <si>
    <t>610626</t>
  </si>
  <si>
    <t>613004</t>
  </si>
  <si>
    <t>790142</t>
  </si>
  <si>
    <t>350753</t>
  </si>
  <si>
    <t>532376</t>
  </si>
  <si>
    <t>536051</t>
  </si>
  <si>
    <t>530896</t>
  </si>
  <si>
    <t>536060</t>
  </si>
  <si>
    <t>536059</t>
  </si>
  <si>
    <t>530904</t>
  </si>
  <si>
    <t>530903</t>
  </si>
  <si>
    <t>530902</t>
  </si>
  <si>
    <t>532466</t>
  </si>
  <si>
    <t>535988</t>
  </si>
  <si>
    <t>537631</t>
  </si>
  <si>
    <t>540948</t>
  </si>
  <si>
    <t>530886</t>
  </si>
  <si>
    <t>532372</t>
  </si>
  <si>
    <t>532373</t>
  </si>
  <si>
    <t>532412</t>
  </si>
  <si>
    <t>530892</t>
  </si>
  <si>
    <t>534556</t>
  </si>
  <si>
    <t>537801</t>
  </si>
  <si>
    <t>251868</t>
  </si>
  <si>
    <t>536791</t>
  </si>
  <si>
    <t>536796</t>
  </si>
  <si>
    <t>536798</t>
  </si>
  <si>
    <t>543354</t>
  </si>
  <si>
    <t>543353</t>
  </si>
  <si>
    <t>540443</t>
  </si>
  <si>
    <t>537905</t>
  </si>
  <si>
    <t>531333</t>
  </si>
  <si>
    <t>560695</t>
  </si>
  <si>
    <t>531273</t>
  </si>
  <si>
    <t>543045</t>
  </si>
  <si>
    <t>540226</t>
  </si>
  <si>
    <t>535712</t>
  </si>
  <si>
    <t>564621</t>
  </si>
  <si>
    <t>561098</t>
  </si>
  <si>
    <t>561272</t>
  </si>
  <si>
    <t>535717</t>
  </si>
  <si>
    <t>531336</t>
  </si>
  <si>
    <t>537945</t>
  </si>
  <si>
    <t>341769</t>
  </si>
  <si>
    <t>922329</t>
  </si>
  <si>
    <t>340481</t>
  </si>
  <si>
    <t>540511</t>
  </si>
  <si>
    <t>540513</t>
  </si>
  <si>
    <t>539898</t>
  </si>
  <si>
    <t>530680</t>
  </si>
  <si>
    <t>532602</t>
  </si>
  <si>
    <t>311803</t>
  </si>
  <si>
    <t>535695</t>
  </si>
  <si>
    <t>790373</t>
  </si>
  <si>
    <t>536421</t>
  </si>
  <si>
    <t>594357</t>
  </si>
  <si>
    <t>591943</t>
  </si>
  <si>
    <t>591410</t>
  </si>
  <si>
    <t>594210</t>
  </si>
  <si>
    <t>542225</t>
  </si>
  <si>
    <t>542852</t>
  </si>
  <si>
    <t>537660</t>
  </si>
  <si>
    <t>543042</t>
  </si>
  <si>
    <t>301930</t>
  </si>
  <si>
    <t>540894</t>
  </si>
  <si>
    <t>240807</t>
  </si>
  <si>
    <t>534829</t>
  </si>
  <si>
    <t>221821</t>
  </si>
  <si>
    <t>148898</t>
  </si>
  <si>
    <t>534766</t>
  </si>
  <si>
    <t>591964</t>
  </si>
  <si>
    <t>561231</t>
  </si>
  <si>
    <t>149528</t>
  </si>
  <si>
    <t>251822</t>
  </si>
  <si>
    <t>535450</t>
  </si>
  <si>
    <t>149079</t>
  </si>
  <si>
    <t>342027</t>
  </si>
  <si>
    <t>594012</t>
  </si>
  <si>
    <t>243389</t>
  </si>
  <si>
    <t>591200</t>
  </si>
  <si>
    <t>542600</t>
  </si>
  <si>
    <t>564623</t>
  </si>
  <si>
    <t>149003</t>
  </si>
  <si>
    <t>149738</t>
  </si>
  <si>
    <t>152418</t>
  </si>
  <si>
    <t>301524</t>
  </si>
  <si>
    <t>594627</t>
  </si>
  <si>
    <t>682720</t>
  </si>
  <si>
    <t>700261</t>
  </si>
  <si>
    <t>700520</t>
  </si>
  <si>
    <t>536773</t>
  </si>
  <si>
    <t>151074</t>
  </si>
  <si>
    <t>533703</t>
  </si>
  <si>
    <t>440617</t>
  </si>
  <si>
    <t>533460</t>
  </si>
  <si>
    <t>90140</t>
  </si>
  <si>
    <t>90141</t>
  </si>
  <si>
    <t>90142</t>
  </si>
  <si>
    <t>90148</t>
  </si>
  <si>
    <t>90149</t>
  </si>
  <si>
    <t>90150</t>
  </si>
  <si>
    <t>80205</t>
  </si>
  <si>
    <t>80206</t>
  </si>
  <si>
    <t>80207</t>
  </si>
  <si>
    <t>80221</t>
  </si>
  <si>
    <t>80094</t>
  </si>
  <si>
    <t>80222</t>
  </si>
  <si>
    <t>80223</t>
  </si>
  <si>
    <t>40139</t>
  </si>
  <si>
    <t>40140</t>
  </si>
  <si>
    <t>40141</t>
  </si>
  <si>
    <t>80266</t>
  </si>
  <si>
    <t>80267</t>
  </si>
  <si>
    <t>80238</t>
  </si>
  <si>
    <t>80239</t>
  </si>
  <si>
    <t>80240</t>
  </si>
  <si>
    <t>80241</t>
  </si>
  <si>
    <t>80242</t>
  </si>
  <si>
    <t>80244</t>
  </si>
  <si>
    <t>80245</t>
  </si>
  <si>
    <t>80246</t>
  </si>
  <si>
    <t>80247</t>
  </si>
  <si>
    <t>80081</t>
  </si>
  <si>
    <t>80235</t>
  </si>
  <si>
    <t>80236</t>
  </si>
  <si>
    <t>80211</t>
  </si>
  <si>
    <t>80213</t>
  </si>
  <si>
    <t>80263</t>
  </si>
  <si>
    <t>80219</t>
  </si>
  <si>
    <t>80220</t>
  </si>
  <si>
    <t>80215</t>
  </si>
  <si>
    <t>80216</t>
  </si>
  <si>
    <t>80214</t>
  </si>
  <si>
    <t>80264</t>
  </si>
  <si>
    <t>80265</t>
  </si>
  <si>
    <t>40199</t>
  </si>
  <si>
    <t>40161</t>
  </si>
  <si>
    <t>40162</t>
  </si>
  <si>
    <t>40163</t>
  </si>
  <si>
    <t>40164</t>
  </si>
  <si>
    <t>40165</t>
  </si>
  <si>
    <t>40166</t>
  </si>
  <si>
    <t>40167</t>
  </si>
  <si>
    <t>40150</t>
  </si>
  <si>
    <t>40151</t>
  </si>
  <si>
    <t>40152</t>
  </si>
  <si>
    <t>40154</t>
  </si>
  <si>
    <t>40155</t>
  </si>
  <si>
    <t>40192</t>
  </si>
  <si>
    <t>40156</t>
  </si>
  <si>
    <t>40169</t>
  </si>
  <si>
    <t>40193</t>
  </si>
  <si>
    <t>80252</t>
  </si>
  <si>
    <t>80253</t>
  </si>
  <si>
    <t>80249</t>
  </si>
  <si>
    <t>80250</t>
  </si>
  <si>
    <t>80251</t>
  </si>
  <si>
    <t>80231</t>
  </si>
  <si>
    <t>80232</t>
  </si>
  <si>
    <t>80233</t>
  </si>
  <si>
    <t>80234</t>
  </si>
  <si>
    <t>80248</t>
  </si>
  <si>
    <t>90124</t>
  </si>
  <si>
    <t>40170</t>
  </si>
  <si>
    <t>90125</t>
  </si>
  <si>
    <t>40171</t>
  </si>
  <si>
    <t>40194</t>
  </si>
  <si>
    <t>40172</t>
  </si>
  <si>
    <t>40173</t>
  </si>
  <si>
    <t>80224</t>
  </si>
  <si>
    <t>80225</t>
  </si>
  <si>
    <t>80226</t>
  </si>
  <si>
    <t>80227</t>
  </si>
  <si>
    <t>90122</t>
  </si>
  <si>
    <t>40160</t>
  </si>
  <si>
    <t>44520</t>
  </si>
  <si>
    <t>40158</t>
  </si>
  <si>
    <t>40208</t>
  </si>
  <si>
    <t>40209</t>
  </si>
  <si>
    <t>40211</t>
  </si>
  <si>
    <t>40212</t>
  </si>
  <si>
    <t>40196</t>
  </si>
  <si>
    <t>40197</t>
  </si>
  <si>
    <t>40159</t>
  </si>
  <si>
    <t>40157</t>
  </si>
  <si>
    <t>40201</t>
  </si>
  <si>
    <t>90120</t>
  </si>
  <si>
    <t>80228</t>
  </si>
  <si>
    <t>80229</t>
  </si>
  <si>
    <t>80230</t>
  </si>
  <si>
    <t>40198</t>
  </si>
  <si>
    <t>80260</t>
  </si>
  <si>
    <t>80258</t>
  </si>
  <si>
    <t>60907</t>
  </si>
  <si>
    <t>60970</t>
  </si>
  <si>
    <t>60908</t>
  </si>
  <si>
    <t>60971</t>
  </si>
  <si>
    <t>60972</t>
  </si>
  <si>
    <t>60973</t>
  </si>
  <si>
    <t>60931</t>
  </si>
  <si>
    <t>61059</t>
  </si>
  <si>
    <t>60974</t>
  </si>
  <si>
    <t>60918</t>
  </si>
  <si>
    <t>60920</t>
  </si>
  <si>
    <t>60933</t>
  </si>
  <si>
    <t>60975</t>
  </si>
  <si>
    <t>60035</t>
  </si>
  <si>
    <t>60036</t>
  </si>
  <si>
    <t>80269</t>
  </si>
  <si>
    <t>60926</t>
  </si>
  <si>
    <t>60927</t>
  </si>
  <si>
    <t>60934</t>
  </si>
  <si>
    <t>80259</t>
  </si>
  <si>
    <t>60899</t>
  </si>
  <si>
    <t>60923</t>
  </si>
  <si>
    <t>60903</t>
  </si>
  <si>
    <t>60932</t>
  </si>
  <si>
    <t>60905</t>
  </si>
  <si>
    <t>60906</t>
  </si>
  <si>
    <t>80255</t>
  </si>
  <si>
    <t>80256</t>
  </si>
  <si>
    <t>80257</t>
  </si>
  <si>
    <t>60935</t>
  </si>
  <si>
    <t>60936</t>
  </si>
  <si>
    <t>90126</t>
  </si>
  <si>
    <t>60921</t>
  </si>
  <si>
    <t>60928</t>
  </si>
  <si>
    <t>60929</t>
  </si>
  <si>
    <t>62036</t>
  </si>
  <si>
    <t>60778</t>
  </si>
  <si>
    <t>62037</t>
  </si>
  <si>
    <t>60741</t>
  </si>
  <si>
    <t>62035</t>
  </si>
  <si>
    <t>62042</t>
  </si>
  <si>
    <t>62043</t>
  </si>
  <si>
    <t>60730</t>
  </si>
  <si>
    <t>60966</t>
  </si>
  <si>
    <t>60967</t>
  </si>
  <si>
    <t>61309</t>
  </si>
  <si>
    <t>60964</t>
  </si>
  <si>
    <t>60922</t>
  </si>
  <si>
    <t>60554</t>
  </si>
  <si>
    <t>61593</t>
  </si>
  <si>
    <t>61592</t>
  </si>
  <si>
    <t>60750</t>
  </si>
  <si>
    <t>60333</t>
  </si>
  <si>
    <t>61591</t>
  </si>
  <si>
    <t>60588</t>
  </si>
  <si>
    <t>60271</t>
  </si>
  <si>
    <t>60145</t>
  </si>
  <si>
    <t>60637</t>
  </si>
  <si>
    <t>40200</t>
  </si>
  <si>
    <t>40174</t>
  </si>
  <si>
    <t>61181</t>
  </si>
  <si>
    <t>60930</t>
  </si>
  <si>
    <t>60914</t>
  </si>
  <si>
    <t>80268</t>
  </si>
  <si>
    <t>60915</t>
  </si>
  <si>
    <t>61219</t>
  </si>
  <si>
    <t>24120</t>
  </si>
  <si>
    <t>24130</t>
  </si>
  <si>
    <t>24140</t>
  </si>
  <si>
    <t>24161</t>
  </si>
  <si>
    <t>24590</t>
  </si>
  <si>
    <t>24450</t>
  </si>
  <si>
    <t>46293</t>
  </si>
  <si>
    <t>46292</t>
  </si>
  <si>
    <t>43740</t>
  </si>
  <si>
    <t>46890</t>
  </si>
  <si>
    <t>43739</t>
  </si>
  <si>
    <t>43744</t>
  </si>
  <si>
    <t>74123</t>
  </si>
  <si>
    <t>74124</t>
  </si>
  <si>
    <t>74122</t>
  </si>
  <si>
    <t>43742</t>
  </si>
  <si>
    <t>43743</t>
  </si>
  <si>
    <t>49613</t>
  </si>
  <si>
    <t>49614</t>
  </si>
  <si>
    <t>46303</t>
  </si>
  <si>
    <t>45898</t>
  </si>
  <si>
    <t>45897</t>
  </si>
  <si>
    <t>46302</t>
  </si>
  <si>
    <t>46270</t>
  </si>
  <si>
    <t>46273</t>
  </si>
  <si>
    <t>46271</t>
  </si>
  <si>
    <t>46269</t>
  </si>
  <si>
    <t>46035</t>
  </si>
  <si>
    <t>49606</t>
  </si>
  <si>
    <t>42469</t>
  </si>
  <si>
    <t>46261</t>
  </si>
  <si>
    <t>46262</t>
  </si>
  <si>
    <t>46263</t>
  </si>
  <si>
    <t>46264</t>
  </si>
  <si>
    <t>S40560</t>
  </si>
  <si>
    <t>s46316</t>
  </si>
  <si>
    <t>46268</t>
  </si>
  <si>
    <t>46267</t>
  </si>
  <si>
    <t>S40558</t>
  </si>
  <si>
    <t>46266</t>
  </si>
  <si>
    <t>46265</t>
  </si>
  <si>
    <t>S49784</t>
  </si>
  <si>
    <t>S49783</t>
  </si>
  <si>
    <t>74143</t>
  </si>
  <si>
    <t>74114</t>
  </si>
  <si>
    <t>74130</t>
  </si>
  <si>
    <t>74134</t>
  </si>
  <si>
    <t>74111</t>
  </si>
  <si>
    <t>74121</t>
  </si>
  <si>
    <t>74131</t>
  </si>
  <si>
    <t>74113</t>
  </si>
  <si>
    <t>X79307</t>
  </si>
  <si>
    <t>73061</t>
  </si>
  <si>
    <t>77971</t>
  </si>
  <si>
    <t>46284</t>
  </si>
  <si>
    <t>46283</t>
  </si>
  <si>
    <t>46352</t>
  </si>
  <si>
    <t>43031</t>
  </si>
  <si>
    <t>46582</t>
  </si>
  <si>
    <t>46706</t>
  </si>
  <si>
    <t>43745</t>
  </si>
  <si>
    <t>400293</t>
  </si>
  <si>
    <t>43747</t>
  </si>
  <si>
    <t>46282</t>
  </si>
  <si>
    <t>48548</t>
  </si>
  <si>
    <t>34473</t>
  </si>
  <si>
    <t>74119</t>
  </si>
  <si>
    <t>34325</t>
  </si>
  <si>
    <t>74112</t>
  </si>
  <si>
    <t>74107</t>
  </si>
  <si>
    <t>34108</t>
  </si>
  <si>
    <t>74146</t>
  </si>
  <si>
    <t>74145</t>
  </si>
  <si>
    <t>45885</t>
  </si>
  <si>
    <t>45887</t>
  </si>
  <si>
    <t>45886</t>
  </si>
  <si>
    <t>45884</t>
  </si>
  <si>
    <t>45395</t>
  </si>
  <si>
    <t>32241</t>
  </si>
  <si>
    <t>79870</t>
  </si>
  <si>
    <t>75936</t>
  </si>
  <si>
    <t>X71594</t>
  </si>
  <si>
    <t>74125</t>
  </si>
  <si>
    <t>74133</t>
  </si>
  <si>
    <t>74126</t>
  </si>
  <si>
    <t>74132</t>
  </si>
  <si>
    <t>74142</t>
  </si>
  <si>
    <t>74120</t>
  </si>
  <si>
    <t>73469</t>
  </si>
  <si>
    <t>73042</t>
  </si>
  <si>
    <t>74106</t>
  </si>
  <si>
    <t>33844</t>
  </si>
  <si>
    <t>47284</t>
  </si>
  <si>
    <t>47282</t>
  </si>
  <si>
    <t>47281</t>
  </si>
  <si>
    <t>78050</t>
  </si>
  <si>
    <t>46771</t>
  </si>
  <si>
    <t>46772</t>
  </si>
  <si>
    <t>86241</t>
  </si>
  <si>
    <t>86240</t>
  </si>
  <si>
    <t>86243</t>
  </si>
  <si>
    <t>86242</t>
  </si>
  <si>
    <t>86256</t>
  </si>
  <si>
    <t>86271</t>
  </si>
  <si>
    <t>80779</t>
  </si>
  <si>
    <t>80780</t>
  </si>
  <si>
    <t>86274</t>
  </si>
  <si>
    <t>86275</t>
  </si>
  <si>
    <t>86276</t>
  </si>
  <si>
    <t>87278</t>
  </si>
  <si>
    <t>86257</t>
  </si>
  <si>
    <t>86239</t>
  </si>
  <si>
    <t>86238</t>
  </si>
  <si>
    <t>86247</t>
  </si>
  <si>
    <t>86246</t>
  </si>
  <si>
    <t>86244</t>
  </si>
  <si>
    <t>86245</t>
  </si>
  <si>
    <t>86273</t>
  </si>
  <si>
    <t>S80458</t>
  </si>
  <si>
    <t>S80460</t>
  </si>
  <si>
    <t>S80459</t>
  </si>
  <si>
    <t>86248</t>
  </si>
  <si>
    <t>86272</t>
  </si>
  <si>
    <t>81557</t>
  </si>
  <si>
    <t>86263</t>
  </si>
  <si>
    <t>45890</t>
  </si>
  <si>
    <t>84624</t>
  </si>
  <si>
    <t>84623</t>
  </si>
  <si>
    <t>86649</t>
  </si>
  <si>
    <t>46768</t>
  </si>
  <si>
    <t>87783</t>
  </si>
  <si>
    <t>80827</t>
  </si>
  <si>
    <t>81454</t>
  </si>
  <si>
    <t>80948</t>
  </si>
  <si>
    <t>86294</t>
  </si>
  <si>
    <t>46285</t>
  </si>
  <si>
    <t>41872</t>
  </si>
  <si>
    <t>45899</t>
  </si>
  <si>
    <t>81559</t>
  </si>
  <si>
    <t>81274</t>
  </si>
  <si>
    <t>80947</t>
  </si>
  <si>
    <t>81558</t>
  </si>
  <si>
    <t>81554</t>
  </si>
  <si>
    <t>80731</t>
  </si>
  <si>
    <t>33856</t>
  </si>
  <si>
    <t>85931</t>
  </si>
  <si>
    <t>81164</t>
  </si>
  <si>
    <t>81163</t>
  </si>
  <si>
    <t>80572</t>
  </si>
  <si>
    <t>74165</t>
  </si>
  <si>
    <t>81043</t>
  </si>
  <si>
    <t>88743</t>
  </si>
  <si>
    <t>80114</t>
  </si>
  <si>
    <t>86650</t>
  </si>
  <si>
    <t>88410</t>
  </si>
  <si>
    <t>77972</t>
  </si>
  <si>
    <t>31444</t>
  </si>
  <si>
    <t>71288</t>
  </si>
  <si>
    <t>77973</t>
  </si>
  <si>
    <t>76619</t>
  </si>
  <si>
    <t>79914</t>
  </si>
  <si>
    <t>77974</t>
  </si>
  <si>
    <t>74117</t>
  </si>
  <si>
    <t>71020</t>
  </si>
  <si>
    <t>86281</t>
  </si>
  <si>
    <t>86279</t>
  </si>
  <si>
    <t>43741</t>
  </si>
  <si>
    <t>86264</t>
  </si>
  <si>
    <t>81179</t>
  </si>
  <si>
    <t>84908</t>
  </si>
  <si>
    <t>26272</t>
  </si>
  <si>
    <t>26274</t>
  </si>
  <si>
    <t>26270</t>
  </si>
  <si>
    <t>26273</t>
  </si>
  <si>
    <t>26276</t>
  </si>
  <si>
    <t>26277</t>
  </si>
  <si>
    <t>26280</t>
  </si>
  <si>
    <t>1776</t>
  </si>
  <si>
    <t>1775</t>
  </si>
  <si>
    <t>72811</t>
  </si>
  <si>
    <t>72836</t>
  </si>
  <si>
    <t>97068</t>
  </si>
  <si>
    <t>71827</t>
  </si>
  <si>
    <t>13564</t>
  </si>
  <si>
    <t>13563</t>
  </si>
  <si>
    <t>6387</t>
  </si>
  <si>
    <t>6413</t>
  </si>
  <si>
    <t>71824</t>
  </si>
  <si>
    <t>7030</t>
  </si>
  <si>
    <t>71816</t>
  </si>
  <si>
    <t>71818</t>
  </si>
  <si>
    <t>71822</t>
  </si>
  <si>
    <t>71821</t>
  </si>
  <si>
    <t>71819</t>
  </si>
  <si>
    <t>71823</t>
  </si>
  <si>
    <t>71815</t>
  </si>
  <si>
    <t>71814</t>
  </si>
  <si>
    <t>877</t>
  </si>
  <si>
    <t>7027</t>
  </si>
  <si>
    <t>7029</t>
  </si>
  <si>
    <t>7031</t>
  </si>
  <si>
    <t>7032</t>
  </si>
  <si>
    <t>7024</t>
  </si>
  <si>
    <t>4651</t>
  </si>
  <si>
    <t>4652</t>
  </si>
  <si>
    <t>7026</t>
  </si>
  <si>
    <t>7025</t>
  </si>
  <si>
    <t>71545</t>
  </si>
  <si>
    <t>73576</t>
  </si>
  <si>
    <t>73577</t>
  </si>
  <si>
    <t>73575</t>
  </si>
  <si>
    <t>73584</t>
  </si>
  <si>
    <t>78583</t>
  </si>
  <si>
    <t>73578</t>
  </si>
  <si>
    <t>73586</t>
  </si>
  <si>
    <t>19171</t>
  </si>
  <si>
    <t>19183</t>
  </si>
  <si>
    <t>19172</t>
  </si>
  <si>
    <t>19173</t>
  </si>
  <si>
    <t>19176</t>
  </si>
  <si>
    <t>19178</t>
  </si>
  <si>
    <t>19179</t>
  </si>
  <si>
    <t>73581</t>
  </si>
  <si>
    <t>5754</t>
  </si>
  <si>
    <t>5756</t>
  </si>
  <si>
    <t>4005</t>
  </si>
  <si>
    <t>73814</t>
  </si>
  <si>
    <t>4006</t>
  </si>
  <si>
    <t>4007</t>
  </si>
  <si>
    <t>71471</t>
  </si>
  <si>
    <t>71735</t>
  </si>
  <si>
    <t>66414</t>
  </si>
  <si>
    <t>25312</t>
  </si>
  <si>
    <t>11438</t>
  </si>
  <si>
    <t>73579</t>
  </si>
  <si>
    <t>25619</t>
  </si>
  <si>
    <t>73580</t>
  </si>
  <si>
    <t>19477</t>
  </si>
  <si>
    <t>26284</t>
  </si>
  <si>
    <t>26283</t>
  </si>
  <si>
    <t>8004</t>
  </si>
  <si>
    <t>8005</t>
  </si>
  <si>
    <t>8008</t>
  </si>
  <si>
    <t>8006</t>
  </si>
  <si>
    <t>6394</t>
  </si>
  <si>
    <t>10438</t>
  </si>
  <si>
    <t>66248</t>
  </si>
  <si>
    <t>17058</t>
  </si>
  <si>
    <t>95060</t>
  </si>
  <si>
    <t>95057</t>
  </si>
  <si>
    <t>95054</t>
  </si>
  <si>
    <t>95053</t>
  </si>
  <si>
    <t>19469</t>
  </si>
  <si>
    <t>19051</t>
  </si>
  <si>
    <t>68934</t>
  </si>
  <si>
    <t>11875</t>
  </si>
  <si>
    <t>8014</t>
  </si>
  <si>
    <t>5879</t>
  </si>
  <si>
    <t>71828</t>
  </si>
  <si>
    <t>71889</t>
  </si>
  <si>
    <t>93903</t>
  </si>
  <si>
    <t>71882</t>
  </si>
  <si>
    <t>94194</t>
  </si>
  <si>
    <t>71783</t>
  </si>
  <si>
    <t>26286</t>
  </si>
  <si>
    <t>20704</t>
  </si>
  <si>
    <t>20702</t>
  </si>
  <si>
    <t>20703</t>
  </si>
  <si>
    <t>71776</t>
  </si>
  <si>
    <t>43026</t>
  </si>
  <si>
    <t>71886</t>
  </si>
  <si>
    <t>71878</t>
  </si>
  <si>
    <t>71884</t>
  </si>
  <si>
    <t>71876</t>
  </si>
  <si>
    <t>93914</t>
  </si>
  <si>
    <t>26288</t>
  </si>
  <si>
    <t>93913</t>
  </si>
  <si>
    <t>2974</t>
  </si>
  <si>
    <t>44203</t>
  </si>
  <si>
    <t>71895</t>
  </si>
  <si>
    <t>71894</t>
  </si>
  <si>
    <t>71879</t>
  </si>
  <si>
    <t>1156</t>
  </si>
  <si>
    <t>81084</t>
  </si>
  <si>
    <t>71912</t>
  </si>
  <si>
    <t>84330</t>
  </si>
  <si>
    <t>71917</t>
  </si>
  <si>
    <t>71918</t>
  </si>
  <si>
    <t>71916</t>
  </si>
  <si>
    <t>71914</t>
  </si>
  <si>
    <t>71915</t>
  </si>
  <si>
    <t>19133</t>
  </si>
  <si>
    <t>19132</t>
  </si>
  <si>
    <t>93515</t>
  </si>
  <si>
    <t>44198</t>
  </si>
  <si>
    <t>44201</t>
  </si>
  <si>
    <t>44202</t>
  </si>
  <si>
    <t>91037</t>
  </si>
  <si>
    <t>22117</t>
  </si>
  <si>
    <t>84961</t>
  </si>
  <si>
    <t>21404</t>
  </si>
  <si>
    <t>22243</t>
  </si>
  <si>
    <t>75660</t>
  </si>
  <si>
    <t>60004</t>
  </si>
  <si>
    <t>60001</t>
  </si>
  <si>
    <t>71258</t>
  </si>
  <si>
    <t>21280</t>
  </si>
  <si>
    <t>4045</t>
  </si>
  <si>
    <t>34062</t>
  </si>
  <si>
    <t>21633</t>
  </si>
  <si>
    <t>89918</t>
  </si>
  <si>
    <t>19562</t>
  </si>
  <si>
    <t>88016</t>
  </si>
  <si>
    <t>26285</t>
  </si>
  <si>
    <t>111711590</t>
  </si>
  <si>
    <t>111711591</t>
  </si>
  <si>
    <t>111711592</t>
  </si>
  <si>
    <t>111711593</t>
  </si>
  <si>
    <t>111711594</t>
  </si>
  <si>
    <t>111711595</t>
  </si>
  <si>
    <t>111711062</t>
  </si>
  <si>
    <t>111711067</t>
  </si>
  <si>
    <t>111711377</t>
  </si>
  <si>
    <t>111714456</t>
  </si>
  <si>
    <t>111710806</t>
  </si>
  <si>
    <t>111714457</t>
  </si>
  <si>
    <t>111714458</t>
  </si>
  <si>
    <t>111714459</t>
  </si>
  <si>
    <t>111714460</t>
  </si>
  <si>
    <t>111714461</t>
  </si>
  <si>
    <t>111710812</t>
  </si>
  <si>
    <t>111710813</t>
  </si>
  <si>
    <t>111714462</t>
  </si>
  <si>
    <t>111714463</t>
  </si>
  <si>
    <t>111714464</t>
  </si>
  <si>
    <t>111714465</t>
  </si>
  <si>
    <t>111714466</t>
  </si>
  <si>
    <t>111714467</t>
  </si>
  <si>
    <t>111714468</t>
  </si>
  <si>
    <t>111714469</t>
  </si>
  <si>
    <t>111714470</t>
  </si>
  <si>
    <t>111714471</t>
  </si>
  <si>
    <t>111714472</t>
  </si>
  <si>
    <t>111714473</t>
  </si>
  <si>
    <t>111714474</t>
  </si>
  <si>
    <t>111714475</t>
  </si>
  <si>
    <t>111714476</t>
  </si>
  <si>
    <t>111714477</t>
  </si>
  <si>
    <t>111714478</t>
  </si>
  <si>
    <t>111714479</t>
  </si>
  <si>
    <t>111711111</t>
  </si>
  <si>
    <t>111714480</t>
  </si>
  <si>
    <t>111714481</t>
  </si>
  <si>
    <t>111714482</t>
  </si>
  <si>
    <t>111714483</t>
  </si>
  <si>
    <t>111714484</t>
  </si>
  <si>
    <t>111714485</t>
  </si>
  <si>
    <t>111711112</t>
  </si>
  <si>
    <t>111711113</t>
  </si>
  <si>
    <t>111714486</t>
  </si>
  <si>
    <t>111714487</t>
  </si>
  <si>
    <t>111714488</t>
  </si>
  <si>
    <t>111714489</t>
  </si>
  <si>
    <t>111714490</t>
  </si>
  <si>
    <t>111714491</t>
  </si>
  <si>
    <t>111714492</t>
  </si>
  <si>
    <t>111714493</t>
  </si>
  <si>
    <t>111714494</t>
  </si>
  <si>
    <t>111714495</t>
  </si>
  <si>
    <t>111714496</t>
  </si>
  <si>
    <t>111714497</t>
  </si>
  <si>
    <t>111714498</t>
  </si>
  <si>
    <t>111714499</t>
  </si>
  <si>
    <t>111714500</t>
  </si>
  <si>
    <t>111714501</t>
  </si>
  <si>
    <t>111714502</t>
  </si>
  <si>
    <t>111714503</t>
  </si>
  <si>
    <t>111714504</t>
  </si>
  <si>
    <t>111714505</t>
  </si>
  <si>
    <t>111714506</t>
  </si>
  <si>
    <t>111714507</t>
  </si>
  <si>
    <t>111714508</t>
  </si>
  <si>
    <t>111714509</t>
  </si>
  <si>
    <t>111714510</t>
  </si>
  <si>
    <t>111714511</t>
  </si>
  <si>
    <t>111714512</t>
  </si>
  <si>
    <t>111714513</t>
  </si>
  <si>
    <t>111714514</t>
  </si>
  <si>
    <t>111711122</t>
  </si>
  <si>
    <t>111714515</t>
  </si>
  <si>
    <t>111711123</t>
  </si>
  <si>
    <t>111714516</t>
  </si>
  <si>
    <t>111714517</t>
  </si>
  <si>
    <t>111714518</t>
  </si>
  <si>
    <t>111714519</t>
  </si>
  <si>
    <t>111714520</t>
  </si>
  <si>
    <t>111714521</t>
  </si>
  <si>
    <t>111714522</t>
  </si>
  <si>
    <t>111714523</t>
  </si>
  <si>
    <t>111714524</t>
  </si>
  <si>
    <t>111714525</t>
  </si>
  <si>
    <t>111714526</t>
  </si>
  <si>
    <t>111711083</t>
  </si>
  <si>
    <t>111714527</t>
  </si>
  <si>
    <t>111714528</t>
  </si>
  <si>
    <t>111714529</t>
  </si>
  <si>
    <t>111714530</t>
  </si>
  <si>
    <t>111714531</t>
  </si>
  <si>
    <t>111714532</t>
  </si>
  <si>
    <t>111714533</t>
  </si>
  <si>
    <t>111714534</t>
  </si>
  <si>
    <t>111714535</t>
  </si>
  <si>
    <t>111714536</t>
  </si>
  <si>
    <t>111714537</t>
  </si>
  <si>
    <t>111714538</t>
  </si>
  <si>
    <t>111714539</t>
  </si>
  <si>
    <t>111714540</t>
  </si>
  <si>
    <t>111714541</t>
  </si>
  <si>
    <t>111714542</t>
  </si>
  <si>
    <t>111714543</t>
  </si>
  <si>
    <t>111714544</t>
  </si>
  <si>
    <t>111714545</t>
  </si>
  <si>
    <t>111714546</t>
  </si>
  <si>
    <t>111714547</t>
  </si>
  <si>
    <t>111714548</t>
  </si>
  <si>
    <t>111714549</t>
  </si>
  <si>
    <t>111714550</t>
  </si>
  <si>
    <t>111714551</t>
  </si>
  <si>
    <t>111714552</t>
  </si>
  <si>
    <t>111714553</t>
  </si>
  <si>
    <t>111714554</t>
  </si>
  <si>
    <t>111714555</t>
  </si>
  <si>
    <t>111714556</t>
  </si>
  <si>
    <t>111711934</t>
  </si>
  <si>
    <t>111714557</t>
  </si>
  <si>
    <t>111714558</t>
  </si>
  <si>
    <t>111714559</t>
  </si>
  <si>
    <t>111714560</t>
  </si>
  <si>
    <t>111714561</t>
  </si>
  <si>
    <t>111714562</t>
  </si>
  <si>
    <t>111714563</t>
  </si>
  <si>
    <t>111714564</t>
  </si>
  <si>
    <t>111714565</t>
  </si>
  <si>
    <t>111714566</t>
  </si>
  <si>
    <t>111710929</t>
  </si>
  <si>
    <t>111714567</t>
  </si>
  <si>
    <t>111714568</t>
  </si>
  <si>
    <t>111714569</t>
  </si>
  <si>
    <t>111714570</t>
  </si>
  <si>
    <t>111710934</t>
  </si>
  <si>
    <t>111714571</t>
  </si>
  <si>
    <t>111714572</t>
  </si>
  <si>
    <t>111714573</t>
  </si>
  <si>
    <t>111714574</t>
  </si>
  <si>
    <t>111714575</t>
  </si>
  <si>
    <t>111714576</t>
  </si>
  <si>
    <t>111714577</t>
  </si>
  <si>
    <t>111714578</t>
  </si>
  <si>
    <t>111714579</t>
  </si>
  <si>
    <t>111714580</t>
  </si>
  <si>
    <t>111714581</t>
  </si>
  <si>
    <t>111714582</t>
  </si>
  <si>
    <t>111714583</t>
  </si>
  <si>
    <t>111714584</t>
  </si>
  <si>
    <t>111714585</t>
  </si>
  <si>
    <t>111714586</t>
  </si>
  <si>
    <t>111714587</t>
  </si>
  <si>
    <t>111714588</t>
  </si>
  <si>
    <t>111714589</t>
  </si>
  <si>
    <t>111714590</t>
  </si>
  <si>
    <t>111714591</t>
  </si>
  <si>
    <t>111714592</t>
  </si>
  <si>
    <t>111714593</t>
  </si>
  <si>
    <t>111714594</t>
  </si>
  <si>
    <t>111714595</t>
  </si>
  <si>
    <t>111714596</t>
  </si>
  <si>
    <t>111714597</t>
  </si>
  <si>
    <t>111714598</t>
  </si>
  <si>
    <t>111714599</t>
  </si>
  <si>
    <t>111714600</t>
  </si>
  <si>
    <t>111714601</t>
  </si>
  <si>
    <t>111714602</t>
  </si>
  <si>
    <t>111714603</t>
  </si>
  <si>
    <t>111711124</t>
  </si>
  <si>
    <t>111714605</t>
  </si>
  <si>
    <t>111714606</t>
  </si>
  <si>
    <t>111714607</t>
  </si>
  <si>
    <t>111714608</t>
  </si>
  <si>
    <t>111714609</t>
  </si>
  <si>
    <t>111714611</t>
  </si>
  <si>
    <t>111711121</t>
  </si>
  <si>
    <t>111715509</t>
  </si>
  <si>
    <t>111714612</t>
  </si>
  <si>
    <t>111714613</t>
  </si>
  <si>
    <t>111710987</t>
  </si>
  <si>
    <t>111713322</t>
  </si>
  <si>
    <t>111714614</t>
  </si>
  <si>
    <t>111714616</t>
  </si>
  <si>
    <t>111714617</t>
  </si>
  <si>
    <t>111711597</t>
  </si>
  <si>
    <t>111711598</t>
  </si>
  <si>
    <t>111711599</t>
  </si>
  <si>
    <t>111711600</t>
  </si>
  <si>
    <t>111711601</t>
  </si>
  <si>
    <t>111711602</t>
  </si>
  <si>
    <t>111725767</t>
  </si>
  <si>
    <t>111725094</t>
  </si>
  <si>
    <t>111725964</t>
  </si>
  <si>
    <t>132599</t>
  </si>
  <si>
    <t>132600</t>
  </si>
  <si>
    <t>132537</t>
  </si>
  <si>
    <t>132711</t>
  </si>
  <si>
    <t>132131</t>
  </si>
  <si>
    <t>131912</t>
  </si>
  <si>
    <t>275090</t>
  </si>
  <si>
    <t>275088</t>
  </si>
  <si>
    <t>582757</t>
  </si>
  <si>
    <t>452448</t>
  </si>
  <si>
    <t>194219</t>
  </si>
  <si>
    <t>806619</t>
  </si>
  <si>
    <t>806618</t>
  </si>
  <si>
    <t>806621</t>
  </si>
  <si>
    <t>806620</t>
  </si>
  <si>
    <t>806627</t>
  </si>
  <si>
    <t>806624</t>
  </si>
  <si>
    <t>806625</t>
  </si>
  <si>
    <t>806622</t>
  </si>
  <si>
    <t>806629</t>
  </si>
  <si>
    <t>806628</t>
  </si>
  <si>
    <t>33379</t>
  </si>
  <si>
    <t>209141</t>
  </si>
  <si>
    <t>209146</t>
  </si>
  <si>
    <t>209129</t>
  </si>
  <si>
    <t>461567</t>
  </si>
  <si>
    <t>208629</t>
  </si>
  <si>
    <t>702837</t>
  </si>
  <si>
    <t>729009</t>
  </si>
  <si>
    <t>477269</t>
  </si>
  <si>
    <t>420281</t>
  </si>
  <si>
    <t>477270</t>
  </si>
  <si>
    <t>420282</t>
  </si>
  <si>
    <t>214061</t>
  </si>
  <si>
    <t>35801</t>
  </si>
  <si>
    <t>437139</t>
  </si>
  <si>
    <t>35000</t>
  </si>
  <si>
    <t>537138</t>
  </si>
  <si>
    <t>539942</t>
  </si>
  <si>
    <t>523935</t>
  </si>
  <si>
    <t>523936</t>
  </si>
  <si>
    <t>523937</t>
  </si>
  <si>
    <t>523939</t>
  </si>
  <si>
    <t>493017</t>
  </si>
  <si>
    <t>703121</t>
  </si>
  <si>
    <t>501682</t>
  </si>
  <si>
    <t>443260</t>
  </si>
  <si>
    <t>692404</t>
  </si>
  <si>
    <t>692408</t>
  </si>
  <si>
    <t>692399</t>
  </si>
  <si>
    <t>692407</t>
  </si>
  <si>
    <t>502233</t>
  </si>
  <si>
    <t>123444</t>
  </si>
  <si>
    <t>539007</t>
  </si>
  <si>
    <t>81427</t>
  </si>
  <si>
    <t>538977</t>
  </si>
  <si>
    <t>354306</t>
  </si>
  <si>
    <t>524834</t>
  </si>
  <si>
    <t>524837</t>
  </si>
  <si>
    <t>524836</t>
  </si>
  <si>
    <t>498747</t>
  </si>
  <si>
    <t>663418</t>
  </si>
  <si>
    <t>774947</t>
  </si>
  <si>
    <t>521212</t>
  </si>
  <si>
    <t>503845</t>
  </si>
  <si>
    <t>521214</t>
  </si>
  <si>
    <t>503846</t>
  </si>
  <si>
    <t>600113</t>
  </si>
  <si>
    <t>565199</t>
  </si>
  <si>
    <t>521210</t>
  </si>
  <si>
    <t>503844</t>
  </si>
  <si>
    <t>421472</t>
  </si>
  <si>
    <t>421471</t>
  </si>
  <si>
    <t>590790</t>
  </si>
  <si>
    <t>590787</t>
  </si>
  <si>
    <t>421512</t>
  </si>
  <si>
    <t>213690</t>
  </si>
  <si>
    <t>484341</t>
  </si>
  <si>
    <t>484342</t>
  </si>
  <si>
    <t>484343</t>
  </si>
  <si>
    <t>741736</t>
  </si>
  <si>
    <t>296196</t>
  </si>
  <si>
    <t>300758</t>
  </si>
  <si>
    <t>208398</t>
  </si>
  <si>
    <t>603844</t>
  </si>
  <si>
    <t>491434</t>
  </si>
  <si>
    <t>208637</t>
  </si>
  <si>
    <t>208628</t>
  </si>
  <si>
    <t>208643</t>
  </si>
  <si>
    <t>774009</t>
  </si>
  <si>
    <t>298622</t>
  </si>
  <si>
    <t>300773</t>
  </si>
  <si>
    <t>301507</t>
  </si>
  <si>
    <t>304238</t>
  </si>
  <si>
    <t>370013</t>
  </si>
  <si>
    <t>263565</t>
  </si>
  <si>
    <t>82180</t>
  </si>
  <si>
    <t>98145</t>
  </si>
  <si>
    <t>82540</t>
  </si>
  <si>
    <t>301275</t>
  </si>
  <si>
    <t>300252</t>
  </si>
  <si>
    <t>378908</t>
  </si>
  <si>
    <t>307428</t>
  </si>
  <si>
    <t>625202</t>
  </si>
  <si>
    <t>87976</t>
  </si>
  <si>
    <t>123455</t>
  </si>
  <si>
    <t>88231</t>
  </si>
  <si>
    <t>217836</t>
  </si>
  <si>
    <t>128620</t>
  </si>
  <si>
    <t>57010</t>
  </si>
  <si>
    <t>57486</t>
  </si>
  <si>
    <t>191932</t>
  </si>
  <si>
    <t>298558</t>
  </si>
  <si>
    <t>369785</t>
  </si>
  <si>
    <t>54008</t>
  </si>
  <si>
    <t>82452</t>
  </si>
  <si>
    <t>196006</t>
  </si>
  <si>
    <t>305169</t>
  </si>
  <si>
    <t>305171</t>
  </si>
  <si>
    <t>123547</t>
  </si>
  <si>
    <t>58040</t>
  </si>
  <si>
    <t>304840</t>
  </si>
  <si>
    <t>82001</t>
  </si>
  <si>
    <t>306016</t>
  </si>
  <si>
    <t>300757</t>
  </si>
  <si>
    <t>606377</t>
  </si>
  <si>
    <t>83741</t>
  </si>
  <si>
    <t>87985</t>
  </si>
  <si>
    <t>82996</t>
  </si>
  <si>
    <t>379223</t>
  </si>
  <si>
    <t>89037</t>
  </si>
  <si>
    <t>651201</t>
  </si>
  <si>
    <t>89029</t>
  </si>
  <si>
    <t>194584</t>
  </si>
  <si>
    <t>400533</t>
  </si>
  <si>
    <t>82401</t>
  </si>
  <si>
    <t>192062</t>
  </si>
  <si>
    <t>301102</t>
  </si>
  <si>
    <t>141754</t>
  </si>
  <si>
    <t>308017</t>
  </si>
  <si>
    <t>304485</t>
  </si>
  <si>
    <t>304543</t>
  </si>
  <si>
    <t>603266</t>
  </si>
  <si>
    <t>299926</t>
  </si>
  <si>
    <t>82450</t>
  </si>
  <si>
    <t>307124</t>
  </si>
  <si>
    <t>296195</t>
  </si>
  <si>
    <t>300319</t>
  </si>
  <si>
    <t>51847</t>
  </si>
  <si>
    <t>52088</t>
  </si>
  <si>
    <t>646367</t>
  </si>
  <si>
    <t>90355</t>
  </si>
  <si>
    <t>300599</t>
  </si>
  <si>
    <t>667546</t>
  </si>
  <si>
    <t>100426</t>
  </si>
  <si>
    <t>100427</t>
  </si>
  <si>
    <t>100425</t>
  </si>
  <si>
    <t>100460</t>
  </si>
  <si>
    <t>100457</t>
  </si>
  <si>
    <t>100504</t>
  </si>
  <si>
    <t>11342</t>
  </si>
  <si>
    <t>11343</t>
  </si>
  <si>
    <t>11340</t>
  </si>
  <si>
    <t>11339</t>
  </si>
  <si>
    <t>11336</t>
  </si>
  <si>
    <t>22852</t>
  </si>
  <si>
    <t>11338</t>
  </si>
  <si>
    <t>11337</t>
  </si>
  <si>
    <t>12106</t>
  </si>
  <si>
    <t>11748</t>
  </si>
  <si>
    <t>11749</t>
  </si>
  <si>
    <t>15126</t>
  </si>
  <si>
    <t>15117</t>
  </si>
  <si>
    <t>15118</t>
  </si>
  <si>
    <t>15119</t>
  </si>
  <si>
    <t>15124</t>
  </si>
  <si>
    <t>15123</t>
  </si>
  <si>
    <t>15120</t>
  </si>
  <si>
    <t>15125</t>
  </si>
  <si>
    <t>18630</t>
  </si>
  <si>
    <t>18419</t>
  </si>
  <si>
    <t>21617</t>
  </si>
  <si>
    <t>11403</t>
  </si>
  <si>
    <t>11402</t>
  </si>
  <si>
    <t>15663</t>
  </si>
  <si>
    <t>15665</t>
  </si>
  <si>
    <t>15664</t>
  </si>
  <si>
    <t>11649</t>
  </si>
  <si>
    <t>11398</t>
  </si>
  <si>
    <t>11397</t>
  </si>
  <si>
    <t>11419</t>
  </si>
  <si>
    <t>11418</t>
  </si>
  <si>
    <t>16630</t>
  </si>
  <si>
    <t>19797</t>
  </si>
  <si>
    <t>19798</t>
  </si>
  <si>
    <t>11420</t>
  </si>
  <si>
    <t>11384</t>
  </si>
  <si>
    <t>11385</t>
  </si>
  <si>
    <t>11386</t>
  </si>
  <si>
    <t>13973</t>
  </si>
  <si>
    <t>11377</t>
  </si>
  <si>
    <t>11378</t>
  </si>
  <si>
    <t>11383</t>
  </si>
  <si>
    <t>8780</t>
  </si>
  <si>
    <t>11574</t>
  </si>
  <si>
    <t>11451</t>
  </si>
  <si>
    <t>11453</t>
  </si>
  <si>
    <t>12664</t>
  </si>
  <si>
    <t>17738</t>
  </si>
  <si>
    <t>19402</t>
  </si>
  <si>
    <t>19547</t>
  </si>
  <si>
    <t>21240</t>
  </si>
  <si>
    <t>21242</t>
  </si>
  <si>
    <t>21558</t>
  </si>
  <si>
    <t>18934</t>
  </si>
  <si>
    <t>19244</t>
  </si>
  <si>
    <t>11382</t>
  </si>
  <si>
    <t>11380</t>
  </si>
  <si>
    <t>16185</t>
  </si>
  <si>
    <t>16186</t>
  </si>
  <si>
    <t>16200</t>
  </si>
  <si>
    <t>16201</t>
  </si>
  <si>
    <t>12361</t>
  </si>
  <si>
    <t>11357</t>
  </si>
  <si>
    <t>11358</t>
  </si>
  <si>
    <t>11359</t>
  </si>
  <si>
    <t>11361</t>
  </si>
  <si>
    <t>19401</t>
  </si>
  <si>
    <t>20166</t>
  </si>
  <si>
    <t>21560</t>
  </si>
  <si>
    <t>16191</t>
  </si>
  <si>
    <t>16195</t>
  </si>
  <si>
    <t>16184</t>
  </si>
  <si>
    <t>16196</t>
  </si>
  <si>
    <t>16197</t>
  </si>
  <si>
    <t>16198</t>
  </si>
  <si>
    <t>16188</t>
  </si>
  <si>
    <t>20050</t>
  </si>
  <si>
    <t>10621</t>
  </si>
  <si>
    <t>21618</t>
  </si>
  <si>
    <t>21223</t>
  </si>
  <si>
    <t>11504</t>
  </si>
  <si>
    <t>11515</t>
  </si>
  <si>
    <t>11518</t>
  </si>
  <si>
    <t>11516</t>
  </si>
  <si>
    <t>11520</t>
  </si>
  <si>
    <t>11483</t>
  </si>
  <si>
    <t>12790</t>
  </si>
  <si>
    <t>19548</t>
  </si>
  <si>
    <t>19549</t>
  </si>
  <si>
    <t>11500</t>
  </si>
  <si>
    <t>11499</t>
  </si>
  <si>
    <t>11498</t>
  </si>
  <si>
    <t>19675</t>
  </si>
  <si>
    <t>11481</t>
  </si>
  <si>
    <t>11513</t>
  </si>
  <si>
    <t>11519</t>
  </si>
  <si>
    <t>11512</t>
  </si>
  <si>
    <t>11522</t>
  </si>
  <si>
    <t>11640</t>
  </si>
  <si>
    <t>8518</t>
  </si>
  <si>
    <t>11501</t>
  </si>
  <si>
    <t>11503</t>
  </si>
  <si>
    <t>11505</t>
  </si>
  <si>
    <t>11507</t>
  </si>
  <si>
    <t>11511</t>
  </si>
  <si>
    <t>13987</t>
  </si>
  <si>
    <t>15170</t>
  </si>
  <si>
    <t>12661</t>
  </si>
  <si>
    <t>17618</t>
  </si>
  <si>
    <t>12174</t>
  </si>
  <si>
    <t>19404</t>
  </si>
  <si>
    <t>19403</t>
  </si>
  <si>
    <t>20049</t>
  </si>
  <si>
    <t>20052</t>
  </si>
  <si>
    <t>20791</t>
  </si>
  <si>
    <t>20537</t>
  </si>
  <si>
    <t>20792</t>
  </si>
  <si>
    <t>22556</t>
  </si>
  <si>
    <t>22555</t>
  </si>
  <si>
    <t>21059</t>
  </si>
  <si>
    <t>21169</t>
  </si>
  <si>
    <t>21170</t>
  </si>
  <si>
    <t>11299</t>
  </si>
  <si>
    <t>FI122M</t>
  </si>
  <si>
    <t>11978</t>
  </si>
  <si>
    <t>ONRE</t>
  </si>
  <si>
    <t>11304</t>
  </si>
  <si>
    <t>9810</t>
  </si>
  <si>
    <t>10151</t>
  </si>
  <si>
    <t>12714</t>
  </si>
  <si>
    <t>9677</t>
  </si>
  <si>
    <t>18296</t>
  </si>
  <si>
    <t>2MSABA</t>
  </si>
  <si>
    <t>7664</t>
  </si>
  <si>
    <t>10677</t>
  </si>
  <si>
    <t>12634</t>
  </si>
  <si>
    <t>4RWVITB</t>
  </si>
  <si>
    <t>20521</t>
  </si>
  <si>
    <t>JS20140</t>
  </si>
  <si>
    <t>12546</t>
  </si>
  <si>
    <t>11457</t>
  </si>
  <si>
    <t>14915</t>
  </si>
  <si>
    <t>12637</t>
  </si>
  <si>
    <t>10186</t>
  </si>
  <si>
    <t>11300</t>
  </si>
  <si>
    <t>11548</t>
  </si>
  <si>
    <t>11298</t>
  </si>
  <si>
    <t>2560</t>
  </si>
  <si>
    <t>2561</t>
  </si>
  <si>
    <t>10934</t>
  </si>
  <si>
    <t>SD13140</t>
  </si>
  <si>
    <t>8133</t>
  </si>
  <si>
    <t>JS19120</t>
  </si>
  <si>
    <t>3414</t>
  </si>
  <si>
    <t>20994</t>
  </si>
  <si>
    <t>2559</t>
  </si>
  <si>
    <t>FORO12TB</t>
  </si>
  <si>
    <t>11399</t>
  </si>
  <si>
    <t>12725</t>
  </si>
  <si>
    <t>50SUGA</t>
  </si>
  <si>
    <t>22903</t>
  </si>
  <si>
    <t>23034</t>
  </si>
  <si>
    <t>6SLOLCG</t>
  </si>
  <si>
    <t>12625</t>
  </si>
  <si>
    <t>17295</t>
  </si>
  <si>
    <t>14468</t>
  </si>
  <si>
    <t>12718</t>
  </si>
  <si>
    <t>12703</t>
  </si>
  <si>
    <t>25BRSUIM</t>
  </si>
  <si>
    <t>10986</t>
  </si>
  <si>
    <t>20453</t>
  </si>
  <si>
    <t>9432</t>
  </si>
  <si>
    <t>8134</t>
  </si>
  <si>
    <t>12741</t>
  </si>
  <si>
    <t>SP16120</t>
  </si>
  <si>
    <t>12639</t>
  </si>
  <si>
    <t>13941</t>
  </si>
  <si>
    <t>11351</t>
  </si>
  <si>
    <t>11497</t>
  </si>
  <si>
    <t>11758</t>
  </si>
  <si>
    <t>11759</t>
  </si>
  <si>
    <t>12734</t>
  </si>
  <si>
    <t>12735</t>
  </si>
  <si>
    <t>11576</t>
  </si>
  <si>
    <t>21241</t>
  </si>
  <si>
    <t>21243</t>
  </si>
  <si>
    <t>16193</t>
  </si>
  <si>
    <t>16194</t>
  </si>
  <si>
    <t>16192</t>
  </si>
  <si>
    <t>19014</t>
  </si>
  <si>
    <t>11622</t>
  </si>
  <si>
    <t>11623</t>
  </si>
  <si>
    <t>11456</t>
  </si>
  <si>
    <t>9381</t>
  </si>
  <si>
    <t>12826</t>
  </si>
  <si>
    <t>1400</t>
  </si>
  <si>
    <t>5465</t>
  </si>
  <si>
    <t>11538</t>
  </si>
  <si>
    <t>11573</t>
  </si>
  <si>
    <t>12713</t>
  </si>
  <si>
    <t>7453</t>
  </si>
  <si>
    <t>4684</t>
  </si>
  <si>
    <t>5180GP</t>
  </si>
  <si>
    <t>21619</t>
  </si>
  <si>
    <t>JS13160</t>
  </si>
  <si>
    <t>19585</t>
  </si>
  <si>
    <t>4767</t>
  </si>
  <si>
    <t>BBCOKE</t>
  </si>
  <si>
    <t>CSHANE</t>
  </si>
  <si>
    <t>3948</t>
  </si>
  <si>
    <t>1285</t>
  </si>
  <si>
    <t>12303</t>
  </si>
  <si>
    <t>19174</t>
  </si>
  <si>
    <t>11413</t>
  </si>
  <si>
    <t>18918</t>
  </si>
  <si>
    <t>12043</t>
  </si>
  <si>
    <t>12175</t>
  </si>
  <si>
    <t>11581</t>
  </si>
  <si>
    <t>7870</t>
  </si>
  <si>
    <t>12052</t>
  </si>
  <si>
    <t>17604</t>
  </si>
  <si>
    <t>GRLE</t>
  </si>
  <si>
    <t>4683</t>
  </si>
  <si>
    <t>5456</t>
  </si>
  <si>
    <t>12666</t>
  </si>
  <si>
    <t>17699</t>
  </si>
  <si>
    <t>10269</t>
  </si>
  <si>
    <t>12698</t>
  </si>
  <si>
    <t>12707</t>
  </si>
  <si>
    <t>10077</t>
  </si>
  <si>
    <t>12681</t>
  </si>
  <si>
    <t>10078</t>
  </si>
  <si>
    <t>12680</t>
  </si>
  <si>
    <t>12696</t>
  </si>
  <si>
    <t>8791</t>
  </si>
  <si>
    <t>10496</t>
  </si>
  <si>
    <t>19015</t>
  </si>
  <si>
    <t>4SWRE</t>
  </si>
  <si>
    <t>5DICH</t>
  </si>
  <si>
    <t>15420</t>
  </si>
  <si>
    <t>8829</t>
  </si>
  <si>
    <t>11876</t>
  </si>
  <si>
    <t>NABA</t>
  </si>
  <si>
    <t>DIPL39</t>
  </si>
  <si>
    <t>12765</t>
  </si>
  <si>
    <t>12509</t>
  </si>
  <si>
    <t>2563</t>
  </si>
  <si>
    <t>8746</t>
  </si>
  <si>
    <t>10185</t>
  </si>
  <si>
    <t>12678</t>
  </si>
  <si>
    <t>BBSPRI</t>
  </si>
  <si>
    <t>BBLEMOMM</t>
  </si>
  <si>
    <t>10498</t>
  </si>
  <si>
    <t>18952</t>
  </si>
  <si>
    <t>11187</t>
  </si>
  <si>
    <t>12679</t>
  </si>
  <si>
    <t>11550</t>
  </si>
  <si>
    <t>SN694</t>
  </si>
  <si>
    <t>5799</t>
  </si>
  <si>
    <t>9472</t>
  </si>
  <si>
    <t>1605</t>
  </si>
  <si>
    <t>750OP</t>
  </si>
  <si>
    <t>19126</t>
  </si>
  <si>
    <t>35SSOIWI</t>
  </si>
  <si>
    <t>FR1815TB</t>
  </si>
  <si>
    <t>19062</t>
  </si>
  <si>
    <t>12VAEX</t>
  </si>
  <si>
    <t>12644</t>
  </si>
  <si>
    <t>4MASY</t>
  </si>
  <si>
    <t>4MUSTGS</t>
  </si>
  <si>
    <t>12TASA</t>
  </si>
  <si>
    <t>4660</t>
  </si>
  <si>
    <t>12845</t>
  </si>
  <si>
    <t>12690</t>
  </si>
  <si>
    <t>3978</t>
  </si>
  <si>
    <t>12112</t>
  </si>
  <si>
    <t>10152</t>
  </si>
  <si>
    <t>BAPR</t>
  </si>
  <si>
    <t>10937</t>
  </si>
  <si>
    <t>F6</t>
  </si>
  <si>
    <t>BBDICO</t>
  </si>
  <si>
    <t>Freshmark</t>
  </si>
  <si>
    <t>Butterball</t>
  </si>
  <si>
    <t>BBQ Select</t>
  </si>
  <si>
    <t>Tyson</t>
  </si>
  <si>
    <t>AC LEGG</t>
  </si>
  <si>
    <t>Blount</t>
  </si>
  <si>
    <t>OVERHILL FARMS</t>
  </si>
  <si>
    <t>Sweet Street Desserts</t>
  </si>
  <si>
    <t>Gardner Pies</t>
  </si>
  <si>
    <t>Love &amp; Quiches</t>
  </si>
  <si>
    <t>CASSANDRA'S GOURMET CLASSICS</t>
  </si>
  <si>
    <t>DIANNE'S FINE DESSERTS</t>
  </si>
  <si>
    <t>Bake N Joy</t>
  </si>
  <si>
    <t>Grandma Hoerners</t>
  </si>
  <si>
    <t>Woeber</t>
  </si>
  <si>
    <t>Kraft</t>
  </si>
  <si>
    <t>C.F. Sauer</t>
  </si>
  <si>
    <t>Rotella's</t>
  </si>
  <si>
    <t>King's Hawaiian</t>
  </si>
  <si>
    <t>Vie de France</t>
  </si>
  <si>
    <t>Engelman's</t>
  </si>
  <si>
    <t>Christies Cookies</t>
  </si>
  <si>
    <t>GREAT LAKES</t>
  </si>
  <si>
    <t>Land O Lakes</t>
  </si>
  <si>
    <t>McCormick</t>
  </si>
  <si>
    <t>SENECA FOODS</t>
  </si>
  <si>
    <t>French's Foodservice</t>
  </si>
  <si>
    <t>Ocean Spray</t>
  </si>
  <si>
    <t>Sugar Foods</t>
  </si>
  <si>
    <t>Bay Valley</t>
  </si>
  <si>
    <t>HORMEL</t>
  </si>
  <si>
    <t>BUTTERFIELD FOODS</t>
  </si>
  <si>
    <t>Kapstone</t>
  </si>
  <si>
    <t>WNA</t>
  </si>
  <si>
    <t>All Foils</t>
  </si>
  <si>
    <t>FORDION PACKAGING</t>
  </si>
  <si>
    <t>Southern Champion</t>
  </si>
  <si>
    <t>Berry Plastics</t>
  </si>
  <si>
    <t>Sabert</t>
  </si>
  <si>
    <t>Stephen Gould</t>
  </si>
  <si>
    <t>C.H. Gunther</t>
  </si>
  <si>
    <t>D&amp;W FINE PACK</t>
  </si>
  <si>
    <t>HANDGARDS</t>
  </si>
  <si>
    <t>Interplast</t>
  </si>
  <si>
    <t>Novoflex (Bagcraft)</t>
  </si>
  <si>
    <t>Stewart Sutherland</t>
  </si>
  <si>
    <t>Handy Wacks Corporation</t>
  </si>
  <si>
    <t>FRITO LAY</t>
  </si>
  <si>
    <t>HEINZ</t>
  </si>
  <si>
    <t>GREAT LAKES CHEESE</t>
  </si>
  <si>
    <t>KENS FOODS INC</t>
  </si>
  <si>
    <t>PACTIV LLC</t>
  </si>
  <si>
    <t>ESSITY</t>
  </si>
  <si>
    <t>RJ SCHINNER CO INC.</t>
  </si>
  <si>
    <t>R-3 INDIANAPOLIS</t>
  </si>
  <si>
    <t>NORPAK</t>
  </si>
  <si>
    <t>HANDGARDS INC</t>
  </si>
  <si>
    <t>HANDI-FOIL OF AMERICA</t>
  </si>
  <si>
    <t>Griffith Foods</t>
  </si>
  <si>
    <t>Indiana Sugars</t>
  </si>
  <si>
    <t>Evergreen Manufacturing</t>
  </si>
  <si>
    <t>Flavorseal</t>
  </si>
  <si>
    <t>Resers</t>
  </si>
  <si>
    <t>KRAFT HEINZ COMPANY</t>
  </si>
  <si>
    <t>Z-General Products</t>
  </si>
  <si>
    <t>MICHAEL FOODS</t>
  </si>
  <si>
    <t>Deep River Snacks</t>
  </si>
  <si>
    <t>Kaiser</t>
  </si>
  <si>
    <t>Affiliated</t>
  </si>
  <si>
    <t>Highland Market</t>
  </si>
  <si>
    <t>Mrs Gerrys</t>
  </si>
  <si>
    <t>World Horizon</t>
  </si>
  <si>
    <t>Minors</t>
  </si>
  <si>
    <t>KENS</t>
  </si>
  <si>
    <t>Kikkomans</t>
  </si>
  <si>
    <t>Anchor</t>
  </si>
  <si>
    <t>COCA-COLA USA</t>
  </si>
  <si>
    <t>HIDDEN VALLEY</t>
  </si>
  <si>
    <t>REGINA</t>
  </si>
  <si>
    <t>BAGCRAFT RJ SCHINNER</t>
  </si>
  <si>
    <t>BRIGHTON FARMS</t>
  </si>
  <si>
    <t>COMPANIONS ESS</t>
  </si>
  <si>
    <t>DARNEL</t>
  </si>
  <si>
    <t>EMI Yoshi</t>
  </si>
  <si>
    <t>GenPak</t>
  </si>
  <si>
    <t>PITT PLASTICS</t>
  </si>
  <si>
    <t>SCHRIEBER</t>
  </si>
  <si>
    <t>DART</t>
  </si>
  <si>
    <t>ANCHOR PACKAGING</t>
  </si>
  <si>
    <t>STEWART SUTHERLAND INC</t>
  </si>
  <si>
    <t>MRS GERRYS KITCHEN</t>
  </si>
  <si>
    <t>GEORGIA-PACIFIC LLC</t>
  </si>
  <si>
    <t>Shorr Packaging Corporation</t>
  </si>
  <si>
    <t>NATIONAL CHECKING COMPANY</t>
  </si>
  <si>
    <t>Coke</t>
  </si>
  <si>
    <t>CBI</t>
  </si>
  <si>
    <t>DOMINO</t>
  </si>
  <si>
    <t>H Valley</t>
  </si>
  <si>
    <t>CF Sauer</t>
  </si>
  <si>
    <t>KIKKOMAN</t>
  </si>
  <si>
    <t>TORK</t>
  </si>
  <si>
    <t>AXIS</t>
  </si>
  <si>
    <t>CARDINAL</t>
  </si>
  <si>
    <t>Fineline</t>
  </si>
  <si>
    <t>GP</t>
  </si>
  <si>
    <t>LK PKG</t>
  </si>
  <si>
    <t>PLASTIFAR</t>
  </si>
  <si>
    <t>SCHREIBE</t>
  </si>
  <si>
    <t>HANDYWAC</t>
  </si>
  <si>
    <t>PACTIV CORPORATION</t>
  </si>
  <si>
    <t>VOLK ENTERPRISES INC</t>
  </si>
  <si>
    <t>FABRI-KAL CORP</t>
  </si>
  <si>
    <t>AMERICAN SPICE CO</t>
  </si>
  <si>
    <t>THEOCHEM LABORATORIES INC</t>
  </si>
  <si>
    <t>MDS FOODS INC</t>
  </si>
  <si>
    <t>FARM FRESH PACKERS LLC</t>
  </si>
  <si>
    <t>ABCO CLEANING PRODUCTS</t>
  </si>
  <si>
    <t>DART CONTAINER CORPORATION</t>
  </si>
  <si>
    <t>JRMI</t>
  </si>
  <si>
    <t>SABERT CORP</t>
  </si>
  <si>
    <t>COOPER-ATKINS CORPORATION</t>
  </si>
  <si>
    <t>CONTINENTAL COMMERCIAL PRODUCT</t>
  </si>
  <si>
    <t>DISCO</t>
  </si>
  <si>
    <t>AXIS REDISTRIBUTION LLC</t>
  </si>
  <si>
    <t>ECOLAB INC</t>
  </si>
  <si>
    <t>LE BLEU CORPORATION</t>
  </si>
  <si>
    <t>PROCTER &amp; GAMBLE</t>
  </si>
  <si>
    <t>MARINA FOODS</t>
  </si>
  <si>
    <t>SMITHFIELDS FOODS INC</t>
  </si>
  <si>
    <t>DEB EL FOOD PRODUCTS CORP</t>
  </si>
  <si>
    <t>CELLUCAP MANUFACTURING COMPANY</t>
  </si>
  <si>
    <t>MONACO FOODS INC</t>
  </si>
  <si>
    <t>PRO PAK ENTERPRISES</t>
  </si>
  <si>
    <t>CHENEY BROTHERS INC</t>
  </si>
  <si>
    <t>TCD PARTS</t>
  </si>
  <si>
    <t>HEARTLAND SWEETENERS LLC</t>
  </si>
  <si>
    <t>DOMINO FOODS INC</t>
  </si>
  <si>
    <t>SOFIDEL AMERICA CORPORATION</t>
  </si>
  <si>
    <t>SCA Tissue North America</t>
  </si>
  <si>
    <t>BAGCRAFT PACKAGING DIV OF NOVOLEX</t>
  </si>
  <si>
    <t>ESSITY PRO HYGIENE NORAM</t>
  </si>
  <si>
    <t>JOFFREYS COFFEE &amp; TEA COMPANY</t>
  </si>
  <si>
    <t>Campbell Sales Company</t>
  </si>
  <si>
    <t>AZAR NUT COMPANY</t>
  </si>
  <si>
    <t>ROFSON ASSOCIATES INC</t>
  </si>
  <si>
    <t>OMEGA PLASTICS CORP</t>
  </si>
  <si>
    <t>DURABLE PACKAGING INTERNATIONAL</t>
  </si>
  <si>
    <t>DURO BAG MANUFACTURING CO DIV OF NOVOLEX</t>
  </si>
  <si>
    <t>INTEGRATED BAGGING SYSTEMS (IBS) DIV OF INTEPLAST</t>
  </si>
  <si>
    <t>OCEAN MIST FARMS</t>
  </si>
  <si>
    <t>Z-General Supplies</t>
  </si>
  <si>
    <t>DURO</t>
  </si>
  <si>
    <t>OMEGA</t>
  </si>
  <si>
    <t>RIVER FRESH FARMS</t>
  </si>
  <si>
    <t>SUNBURST CHEMICALS</t>
  </si>
  <si>
    <t>SPECIALTY PRODUCTS OF AMERICA</t>
  </si>
  <si>
    <t>SILVER SPRINGS BOTTLED WATER CO</t>
  </si>
  <si>
    <t>KELLOGGS</t>
  </si>
  <si>
    <t>JR PLASTICS CORP</t>
  </si>
  <si>
    <t>PACTIV</t>
  </si>
  <si>
    <t>LINEAGE GENEVA</t>
  </si>
  <si>
    <t>GREAT LAKES CHEESE CO INC</t>
  </si>
  <si>
    <t>GLC</t>
  </si>
  <si>
    <t>GIELOW</t>
  </si>
  <si>
    <t>CHIANTI</t>
  </si>
  <si>
    <t>ASK</t>
  </si>
  <si>
    <t>BARON</t>
  </si>
  <si>
    <t>NEMCO</t>
  </si>
  <si>
    <t>SWT BABY RAYS</t>
  </si>
  <si>
    <t>KIKOMAN</t>
  </si>
  <si>
    <t>OASIS</t>
  </si>
  <si>
    <t>Dart/Solo</t>
  </si>
  <si>
    <t>COMPANS</t>
  </si>
  <si>
    <t>HANDGRD</t>
  </si>
  <si>
    <t>INTEPLA</t>
  </si>
  <si>
    <t>LANCE</t>
  </si>
  <si>
    <t>MCNAIRN</t>
  </si>
  <si>
    <t>P L</t>
  </si>
  <si>
    <t>BERK ENTERPRISES INC</t>
  </si>
  <si>
    <t>SIMONIZ USA INC</t>
  </si>
  <si>
    <t>LAND O LAKES INC</t>
  </si>
  <si>
    <t>BEDWAY PRODUCE COMPANY</t>
  </si>
  <si>
    <t>VIE DE FRANCE YAMAZAKI INC</t>
  </si>
  <si>
    <t>TYSON FOODS INC</t>
  </si>
  <si>
    <t>CLOROX SALES COMPANY</t>
  </si>
  <si>
    <t>TAYLOR FARMS INC</t>
  </si>
  <si>
    <t>R J SCHINNER COMPANY</t>
  </si>
  <si>
    <t>COASTAL SUNBELT PRODUCE</t>
  </si>
  <si>
    <t>CG ROXANE LLC  aka crystal geyser</t>
  </si>
  <si>
    <t>KELLOGG'S</t>
  </si>
  <si>
    <t>Novoflex (Waddington)</t>
  </si>
  <si>
    <t>AMERCARE INC</t>
  </si>
  <si>
    <t>ELKAY PLASTICS</t>
  </si>
  <si>
    <t>AJM PACKAGING CORPORATION</t>
  </si>
  <si>
    <t>Novolex</t>
  </si>
  <si>
    <t>GEORGIA PACIFIC</t>
  </si>
  <si>
    <t>DAXWELL</t>
  </si>
  <si>
    <t>VENTURA</t>
  </si>
  <si>
    <t>ENMOTION</t>
  </si>
  <si>
    <t>ENVISION</t>
  </si>
  <si>
    <t>Schreiber</t>
  </si>
  <si>
    <t>Vollrath</t>
  </si>
  <si>
    <t>Jobselect</t>
  </si>
  <si>
    <t>Restaurant Pride</t>
  </si>
  <si>
    <t>DAILYS</t>
  </si>
  <si>
    <t>Empress</t>
  </si>
  <si>
    <t>Solo</t>
  </si>
  <si>
    <t>Pac Paper</t>
  </si>
  <si>
    <t>Papettis</t>
  </si>
  <si>
    <t>Pitt Plastics Inc.</t>
  </si>
  <si>
    <t>WORLD CENTRIC</t>
  </si>
  <si>
    <t>Ecosense</t>
  </si>
  <si>
    <t>AmerCare</t>
  </si>
  <si>
    <t>BUNZL</t>
  </si>
  <si>
    <t>C F SAUER FOODSERVICE</t>
  </si>
  <si>
    <t>PACIFIC COAST PRODUCERS PCP</t>
  </si>
  <si>
    <t>DISPOZ-O PRODUCTS INC</t>
  </si>
  <si>
    <t>3M CORPORATION</t>
  </si>
  <si>
    <t>PREMIUM WATERS INC</t>
  </si>
  <si>
    <t>CHRISTIE COOKIE CO (THE)</t>
  </si>
  <si>
    <t>PEPSICO INC</t>
  </si>
  <si>
    <t>HORMEL FOODS CORPORATION</t>
  </si>
  <si>
    <t>T MARZETTI FOODSERVICE</t>
  </si>
  <si>
    <t>UTZ QUALITY FOODS INC</t>
  </si>
  <si>
    <t>THE INVENTURE GROUP</t>
  </si>
  <si>
    <t>FRONT ROW PRODUCE</t>
  </si>
  <si>
    <t>AEP INDUSTRIES INC</t>
  </si>
  <si>
    <t>FIRST FOODS COMPANY</t>
  </si>
  <si>
    <t>HILAND DAIRY</t>
  </si>
  <si>
    <t>ST CLAIR FOODS INC</t>
  </si>
  <si>
    <t>R3 Redistribution</t>
  </si>
  <si>
    <t>PITT PLASTICS INC</t>
  </si>
  <si>
    <t>AEP</t>
  </si>
  <si>
    <t>CSF</t>
  </si>
  <si>
    <t>J. HELLMAN PRODUCE  INC.</t>
  </si>
  <si>
    <t>LIFE GUARD</t>
  </si>
  <si>
    <t>LOLLICUP</t>
  </si>
  <si>
    <t>MISS VICKIES</t>
  </si>
  <si>
    <t>NOWPAK</t>
  </si>
  <si>
    <t>PAPER CUTTERS</t>
  </si>
  <si>
    <t>RIPAC</t>
  </si>
  <si>
    <t>SANITEX</t>
  </si>
  <si>
    <t>SCA</t>
  </si>
  <si>
    <t>TAPIA</t>
  </si>
  <si>
    <t>VERDE PACK INC</t>
  </si>
  <si>
    <t>WARDLEY</t>
  </si>
  <si>
    <t>NESTLE USA</t>
  </si>
  <si>
    <t>DAILYS PREMIUM MEATS</t>
  </si>
  <si>
    <t>UNIPRO FOODSERVICE INC</t>
  </si>
  <si>
    <t>SUGAR FOODS CORPORATION</t>
  </si>
  <si>
    <t>DR PEPPER SNAPPLE GROUP</t>
  </si>
  <si>
    <t>UNILEVER BESTFOODS FOODSERVICE UBF</t>
  </si>
  <si>
    <t>ACS  INDUSTRIES (SCRUBBLE)</t>
  </si>
  <si>
    <t>WARDLEY INDUSTRIAL INC.</t>
  </si>
  <si>
    <t>VANEE FOODS COMPANY</t>
  </si>
  <si>
    <t>Atalanta Corporation</t>
  </si>
  <si>
    <t>Burrnett &amp; Sons</t>
  </si>
  <si>
    <t>Nestle</t>
  </si>
  <si>
    <t>Knouse Foods</t>
  </si>
  <si>
    <t>Libby's</t>
  </si>
  <si>
    <t>Vanee Foods</t>
  </si>
  <si>
    <t>DIAMOND STRAW</t>
  </si>
  <si>
    <t>GRAND A INTERNATIONAL CO. INC</t>
  </si>
  <si>
    <t>INTERFRESH</t>
  </si>
  <si>
    <t>KARAT</t>
  </si>
  <si>
    <t>R3 BUNZL/PAPERCRAFT</t>
  </si>
  <si>
    <t>EMI YOSHI INC.</t>
  </si>
  <si>
    <t>LIFE GUARD MFG</t>
  </si>
  <si>
    <t>ALLIED WEST PAPER</t>
  </si>
  <si>
    <t>ROTELLAS ITALIAN BAKERY</t>
  </si>
  <si>
    <t>DIAMOND STRAW INC.</t>
  </si>
  <si>
    <t>DIXIE</t>
  </si>
  <si>
    <t>GOOD FOODS</t>
  </si>
  <si>
    <t>JUST FRESH PRODUCE</t>
  </si>
  <si>
    <t>SOFT TOUCH</t>
  </si>
  <si>
    <t>BARBEQUE SELECT</t>
  </si>
  <si>
    <t>ALPHA BAKING COMPANY</t>
  </si>
  <si>
    <t>PACIFIC CHEESE</t>
  </si>
  <si>
    <t>CHARLEY &amp; SONS INC DBA KACHWA FOOD GROUP</t>
  </si>
  <si>
    <t>J HELLMAN FROZEN FOODS INC</t>
  </si>
  <si>
    <t>NowPak Inc.</t>
  </si>
  <si>
    <t>PAPER SOURCE CONVERTING</t>
  </si>
  <si>
    <t>GROWERS PRIDE</t>
  </si>
  <si>
    <t>B &amp; G FOODS INC</t>
  </si>
  <si>
    <t>Stratas Foods LLC</t>
  </si>
  <si>
    <t>C&amp;H</t>
  </si>
  <si>
    <t>Felbro Food Products</t>
  </si>
  <si>
    <t>SPECTRUM PLASTI</t>
  </si>
  <si>
    <t>WINCUP</t>
  </si>
  <si>
    <t>HBH SKU</t>
  </si>
  <si>
    <t>DC Name</t>
  </si>
  <si>
    <t xml:space="preserve">Year: </t>
  </si>
  <si>
    <t xml:space="preserve">Week: </t>
  </si>
  <si>
    <t>Primary / Secondary</t>
  </si>
  <si>
    <t>Category</t>
  </si>
  <si>
    <t>Primary/Secondary</t>
  </si>
  <si>
    <t>DC Item Number</t>
  </si>
  <si>
    <t>Manufacturer</t>
  </si>
  <si>
    <t>Case Qty on Hand</t>
  </si>
  <si>
    <t>At Risk Out of Stock</t>
  </si>
  <si>
    <t>201121 - PLATE FOAM DINNER WHITE 9" 500CT</t>
  </si>
  <si>
    <t>201132 - BAG TRASH XHVY BLK 60 GAL 38X58 100CT</t>
  </si>
  <si>
    <t>200726 - DRESSING BLUE CHEESE PKT 60/1.5CT</t>
  </si>
  <si>
    <t>200732 - PRODUCE CELERY FRSH 6CT</t>
  </si>
  <si>
    <t>200734 - PRODUCE LETTUCE GRN LEAF 10LB</t>
  </si>
  <si>
    <t>200744 - PRODUCE LETTUCE SPRING MIX 3LB</t>
  </si>
  <si>
    <t>200747 - TRAY CATER PLATTER BLACK 12" 25CT</t>
  </si>
  <si>
    <t>200748 - TRAY CATER PLATTER BLACK 16" 25CT</t>
  </si>
  <si>
    <t>200749 - TRAY CATER PLATTER BLACK 18" 25CT</t>
  </si>
  <si>
    <t>200753 - CONTAINER PLAS HNGD DME 38X4 2CT</t>
  </si>
  <si>
    <t>200756 - DRESSING BTMLK RANCH PKT 120/1.5CT</t>
  </si>
  <si>
    <t>200757 - DRESSING ITALIAN PKT 60/1.5CT</t>
  </si>
  <si>
    <t>200760 - PRODUCE TOMATOES FRSH 4X5 20LB</t>
  </si>
  <si>
    <t xml:space="preserve">200761 - PRODUCE ONIONS FRSH RED JMBO 25LB </t>
  </si>
  <si>
    <t>200763 - PRODUCE BROCCOLI FLORET FRSH 6/3LB</t>
  </si>
  <si>
    <t>185623 - SIDES PASTA SALAD 2CT</t>
  </si>
  <si>
    <t>200811 - SOUP BAKED POTATO 4CT</t>
  </si>
  <si>
    <t>200828 - UTENSIL TONG PLASTIC BLACK 9" 48CT</t>
  </si>
  <si>
    <t>200841 - UTENSIL PLASTIC KNIFE WH WRAP 1000CT</t>
  </si>
  <si>
    <t>200842 - CONTAINER PLAS CLR DELI 50/16OZ</t>
  </si>
  <si>
    <t>200848 - BOWL ROUND 80OZ BLACK 25CT</t>
  </si>
  <si>
    <t>200850 - TRAY CATER BLACK 12" 25CT</t>
  </si>
  <si>
    <t>200851 - TRAY CATER BLACK 18" 25CT</t>
  </si>
  <si>
    <t>202172 - DRINK TEA SWEET 24/16.9OZ</t>
  </si>
  <si>
    <t>200696 - BOWL ROUND 80OZ CLEAR 10" 25CT</t>
  </si>
  <si>
    <t>200702 - BOWL ROUND 48OZ CLEAR 9" 25CT</t>
  </si>
  <si>
    <t>201148 - TRAY LID DOME ROUND CLEAR 12" 25CT</t>
  </si>
  <si>
    <t>201151 - UTENSIL SPOON SERVING BLACK 9" 144CT</t>
  </si>
  <si>
    <t>201162 - FILM WRAP CUTTER BOX 12"X2000LF</t>
  </si>
  <si>
    <t>201164 - FILM WRAP CUTTER BOX 24"X2000LF</t>
  </si>
  <si>
    <t>201170 - PAPER NAPKIN 13"X13" 2PLY KRAFT 24/100PK</t>
  </si>
  <si>
    <t>201089 - PLATE BLK 9IN PP 500CT</t>
  </si>
  <si>
    <t>201107 - FILM WRAP CUTTER BOX 24"X2000LF</t>
  </si>
  <si>
    <t>201070 - CONTAINER DELI ROUND PLSTC CLR W/LID 500/16OZ</t>
  </si>
  <si>
    <t>200701 - UTENSIL TONG PLASTIC CLEAR 9" 48CT</t>
  </si>
  <si>
    <t>200862 - PAPER PATTY 5.5" 24/1000CT</t>
  </si>
  <si>
    <t>200864 - PRODUCE LETTUCE GREEN LF 24CT</t>
  </si>
  <si>
    <t>200870 - UTENSIL TONG PLASTIC BLACK 9" 48CT</t>
  </si>
  <si>
    <t>200871 - TRAY ROUND BLACK 12" 25CT</t>
  </si>
  <si>
    <t>200872 - TRAY ROUND BLACK 16" 25CT</t>
  </si>
  <si>
    <t>200873 - TRAY ROUND BLACK PLASTIC 25CT</t>
  </si>
  <si>
    <t>200880 - PRODUCE CELERY SLEEVED 12/3CT</t>
  </si>
  <si>
    <t>200891 - UTENSIL PLASTIC KNIFE HVY BLK 1000CT</t>
  </si>
  <si>
    <t>200893 - PRODUCE TOMATO 40CT</t>
  </si>
  <si>
    <t>200898 - PRODUCE LETTUCE SPRING MIX 3LB</t>
  </si>
  <si>
    <t>200899 - PRODUCE BROCCOLI FLORET 6/3LB</t>
  </si>
  <si>
    <t>200913 - CHEESE CHEDDAR MILD SLD 8/24PK</t>
  </si>
  <si>
    <t>200967 - PROTEIN CHICKEN BRST GRILLED 40/4OZ</t>
  </si>
  <si>
    <t>200927 - PRODUCE TOMATO LRG 1CT</t>
  </si>
  <si>
    <t>200924 - FOIL HAM BNLS WHITE WRAP20X24 300CT</t>
  </si>
  <si>
    <t>27750</t>
  </si>
  <si>
    <t>20418</t>
  </si>
  <si>
    <t>74965</t>
  </si>
  <si>
    <t>83473</t>
  </si>
  <si>
    <t>67546</t>
  </si>
  <si>
    <t>912378</t>
  </si>
  <si>
    <t>912284</t>
  </si>
  <si>
    <t>63024</t>
  </si>
  <si>
    <t>780225</t>
  </si>
  <si>
    <t>180247</t>
  </si>
  <si>
    <t>180414</t>
  </si>
  <si>
    <t>87835</t>
  </si>
  <si>
    <t>87836</t>
  </si>
  <si>
    <t>87837</t>
  </si>
  <si>
    <t>86042</t>
  </si>
  <si>
    <t>81804</t>
  </si>
  <si>
    <t>916022</t>
  </si>
  <si>
    <t>916026</t>
  </si>
  <si>
    <t>180350</t>
  </si>
  <si>
    <t>180289</t>
  </si>
  <si>
    <t>180823</t>
  </si>
  <si>
    <t>198058</t>
  </si>
  <si>
    <t>567043</t>
  </si>
  <si>
    <t>222980</t>
  </si>
  <si>
    <t>540427</t>
  </si>
  <si>
    <t>537260</t>
  </si>
  <si>
    <t>533732</t>
  </si>
  <si>
    <t>543043</t>
  </si>
  <si>
    <t>150954</t>
  </si>
  <si>
    <t>536747</t>
  </si>
  <si>
    <t>40195</t>
  </si>
  <si>
    <t>60937</t>
  </si>
  <si>
    <t>60945</t>
  </si>
  <si>
    <t>60938</t>
  </si>
  <si>
    <t>60939</t>
  </si>
  <si>
    <t>62013</t>
  </si>
  <si>
    <t>62047</t>
  </si>
  <si>
    <t>60668</t>
  </si>
  <si>
    <t>60669</t>
  </si>
  <si>
    <t>60924</t>
  </si>
  <si>
    <t>80804</t>
  </si>
  <si>
    <t>86872</t>
  </si>
  <si>
    <t>812181</t>
  </si>
  <si>
    <t>71021</t>
  </si>
  <si>
    <t>75658</t>
  </si>
  <si>
    <t>111714604</t>
  </si>
  <si>
    <t>541156</t>
  </si>
  <si>
    <t>524835</t>
  </si>
  <si>
    <t>304741</t>
  </si>
  <si>
    <t>191429</t>
  </si>
  <si>
    <t>192295</t>
  </si>
  <si>
    <t>301881</t>
  </si>
  <si>
    <t>191692</t>
  </si>
  <si>
    <t>192492</t>
  </si>
  <si>
    <t>192450</t>
  </si>
  <si>
    <t>11234</t>
  </si>
  <si>
    <t>10001</t>
  </si>
  <si>
    <t>17039</t>
  </si>
  <si>
    <t>HERITAGE BAG COMPANY</t>
  </si>
  <si>
    <t>CAPITAL CITY</t>
  </si>
  <si>
    <t>CHURCH</t>
  </si>
  <si>
    <t>CUSTOM PRODUCE</t>
  </si>
  <si>
    <t>LK PLASTICS</t>
  </si>
  <si>
    <t>MARZETTI</t>
  </si>
  <si>
    <t>PROMARK</t>
  </si>
  <si>
    <t>TAYLOR FARMS</t>
  </si>
  <si>
    <t>H B H</t>
  </si>
  <si>
    <t>PRIMESC</t>
  </si>
  <si>
    <t>PRO-KAL</t>
  </si>
  <si>
    <t>YOSHI</t>
  </si>
  <si>
    <t>ANCHOR PACKAGE</t>
  </si>
  <si>
    <t>BAGCRAFT</t>
  </si>
  <si>
    <t>CALIFORNIA</t>
  </si>
  <si>
    <t>CATERLINE</t>
  </si>
  <si>
    <t>CHECKMATE</t>
  </si>
  <si>
    <t>DOLE</t>
  </si>
  <si>
    <t>PACKER</t>
  </si>
  <si>
    <t>Tyson/REDLABEL</t>
  </si>
  <si>
    <t>HONEYBAKE</t>
  </si>
  <si>
    <t>Instructions:</t>
  </si>
  <si>
    <t>1. Change Year from Drop-Down if needed</t>
  </si>
  <si>
    <t>2. Change Week from Drop-Down if needed</t>
  </si>
  <si>
    <t>3. From Toolbar, choose IBM Planning Analytics --&gt; Rebuild Sheet</t>
  </si>
  <si>
    <t>4. Filter Case Qty On Hand Column as needed</t>
  </si>
  <si>
    <t>TTL Case Qty on Hand</t>
  </si>
  <si>
    <t>100408 - HAM BI RED 17-19 3CT-FM</t>
  </si>
  <si>
    <t>100409 - HAM BI WHITE 19-21 3CT-FM</t>
  </si>
  <si>
    <t>100457 - HAM BI PURPLE 21-23 2CT-FM</t>
  </si>
  <si>
    <t>100460 - HAM BI WHITE 19-21 QTR 6CT-FM</t>
  </si>
  <si>
    <t>100504 - HAM BONELESS 6CT-FM</t>
  </si>
  <si>
    <t>110500 - TURKEY BREAST SLICED SMOKED 12CT</t>
  </si>
  <si>
    <t>110501 - TURKEY BREAST SLICED ROASTED 12CT</t>
  </si>
  <si>
    <t>120000 - PROTEIN ROAST PORK W BBQ SAUCE 6CT</t>
  </si>
  <si>
    <t>120101 - Beef Prime Rib 6lb 3CT</t>
  </si>
  <si>
    <t>120113 - PROTEIN RIBS BABYBACK PORK W SAUCE 10CT</t>
  </si>
  <si>
    <t>120146 - PROTEIN ROAST BEEF W GRAVY 6CT</t>
  </si>
  <si>
    <t>120266 - SOUP MIX SPLIT PEA 30CT</t>
  </si>
  <si>
    <t>120267 - SOUP MIX WHITE BEAN 30CT</t>
  </si>
  <si>
    <t>120268 - SOUP MIX MIXED BEAN 30 CT</t>
  </si>
  <si>
    <t>120269 - PROTEIN BACON SWEET GLAZED 16CT</t>
  </si>
  <si>
    <t>120270 - PROTEIN BACON PEPPERED 16CT</t>
  </si>
  <si>
    <t>120276 - SOUP BROCCOLI &amp; CHEDDAR 8CT</t>
  </si>
  <si>
    <t>120278 - SOUP CHICKEN NOODLE 8CT</t>
  </si>
  <si>
    <t>140253 - SIDES TUSCAN BROCCOLI 18CT</t>
  </si>
  <si>
    <t>140254 - SIDES CINNAMON APPLES 18CT</t>
  </si>
  <si>
    <t>140255 - SIDES CORNBREAD DRESSING 18CT</t>
  </si>
  <si>
    <t>140256 - SIDES GREEN BEAN CASSEROLE 18CT</t>
  </si>
  <si>
    <t>140258 - SIDES SWEET POTATO SOUFFLE 18CT</t>
  </si>
  <si>
    <t>140260 - SIDES POTATOES AU GRATIN 18CT</t>
  </si>
  <si>
    <t>140261 - SIDES LOADED MASHED POTATO 18CT</t>
  </si>
  <si>
    <t>140262 - SIDES TURKEY GRAVY 18CT</t>
  </si>
  <si>
    <t>140272 - SIDES BAKED BEANS 18CT</t>
  </si>
  <si>
    <t>140273 - SIDES MACARONI &amp; CHEESE 18CT</t>
  </si>
  <si>
    <t>150106 - PIE APPLE WALNUT 9" 8/42OZ</t>
  </si>
  <si>
    <t>150163 - PIE SOUTHERN PECAN 9" 12/32OZ</t>
  </si>
  <si>
    <t>150194 - CAKE CARROT 8" 6CT</t>
  </si>
  <si>
    <t>150195 - CAKE CHOCOLATE 8" 6CT</t>
  </si>
  <si>
    <t>150196 - CAKE COCONUT 8" 6CT</t>
  </si>
  <si>
    <t>150287 - CAKE RUM SAMPLER 4OZ 16CT</t>
  </si>
  <si>
    <t>150289 - DESSERT CHEESECAKE NY STYLE 6CT</t>
  </si>
  <si>
    <t>150290 - DESSERT CHEESECAKE VARIETY 6CT</t>
  </si>
  <si>
    <t>150297 - PIE PUMPKIN CINN PREBAKED 9" 12/32OZ</t>
  </si>
  <si>
    <t>150304 - CAKE CINN WALNUT COFFEE 28OZ 8CT</t>
  </si>
  <si>
    <t>150305 - CAKE BLUEBERRY COFF 28OZ 8CT</t>
  </si>
  <si>
    <t>150350 - CAKE RED VELVET 8" 6CT</t>
  </si>
  <si>
    <t>150352 - CAKE RUM CHOCOLATE 24OZ 8CT</t>
  </si>
  <si>
    <t>150355 - CAKE RUM VANILLA 24OZ 8CT</t>
  </si>
  <si>
    <t>160128 - CONDIMENT CHUTNEY CRANBERRY WALNUT 12CT</t>
  </si>
  <si>
    <t>160135 - CONDIMENT MUSTARD HONEY 12OZ BTL 12CT</t>
  </si>
  <si>
    <t>160136 - CONDIMENT MAYO HONEY MUSTARD 12OZ BTL 12CT</t>
  </si>
  <si>
    <t>160138 - CONDIMENT SAUCE HORSERADISH 12OZ BTL 12CT</t>
  </si>
  <si>
    <t>160145 - CONDIMENT MUSTARD CHAMPAGNE 12OZ BTL 12CT</t>
  </si>
  <si>
    <t>160165 - CONDIMENT SAUCE BBQ 12OZ BTL 12CT</t>
  </si>
  <si>
    <t>160204 - CONDIMENT MAYO SAVORY 12OZ BTL 12CT</t>
  </si>
  <si>
    <t>160275 - CONDIMENT MUSTARD HICKORY HONEY 12OZ BTL 12CT</t>
  </si>
  <si>
    <t>160293 - DRESSING RANCH POUCH 60/1.5OZ</t>
  </si>
  <si>
    <t>160294 - DRESSING BALSAMIC VINAIGRETTE PKT 60/1.5OZ</t>
  </si>
  <si>
    <t>160295 - DRESSING BLUE CHEESE PKT 60/1.5OZ</t>
  </si>
  <si>
    <t>160297 - DRESSING FRENCH CREAMY PKT 60/1.5OZ</t>
  </si>
  <si>
    <t>160298 - DRESSING ITALIAN GOLDEN PKT 60/1.5OZ</t>
  </si>
  <si>
    <t>160299 - DRESSING RANCH 12G PKT 200CT</t>
  </si>
  <si>
    <t>160300 - DRESSING 1000 ISLAND PKT 60/1.5OZ</t>
  </si>
  <si>
    <t>160302 - CONDIMENT MUSTARD PACKETS FANCY 4.5G PKT 500CT</t>
  </si>
  <si>
    <t>170104 - BREAD CIABATTA HOAGIE 6.5" 9CT</t>
  </si>
  <si>
    <t>170154 - BREAD MULTIGRAIN 11" 6CT</t>
  </si>
  <si>
    <t>170190 - BREAD ROLL ORIGINAL HAWAIIAN 12/12PK</t>
  </si>
  <si>
    <t>170192 - BREAD CROISSANT MED SLICED 72/2OZ</t>
  </si>
  <si>
    <t>170193 - BREAD ROLL ORIGINAL HAWAIIAN PRE-SLICED 10/24PK</t>
  </si>
  <si>
    <t>170194 - BREAD ROLL ORIGINAL HAWAIIAN 4/32PK</t>
  </si>
  <si>
    <t>170198 - BREAD KNOT ROLL 8/12PK</t>
  </si>
  <si>
    <t>170199 - BREAD ROLL DINNER WHEAT 24/6PK</t>
  </si>
  <si>
    <t>170200 - BREAD ROLL DINNER MINI EGG TWIST 24/6PK</t>
  </si>
  <si>
    <t>170201 - BREAD ROLL DINNER WHITE MTN TOP 12/12PK</t>
  </si>
  <si>
    <t>180115 - CHEESE SWISS SLICED .75OZ 6/24PK</t>
  </si>
  <si>
    <t>180168 - CONDIMENT MUSTARD HICKORY HONEY PKT 456CT</t>
  </si>
  <si>
    <t>180269 - CHEESE MILD CHEDDAR .75OZ 6/24PK</t>
  </si>
  <si>
    <t>180303 - CONDIMENT MUSTARD HICKORY HONEY 4/1GAL</t>
  </si>
  <si>
    <t>180903 - INGREDIENT DUKES RANCH BUTTERMILK 4/1GAL</t>
  </si>
  <si>
    <t>180904 - CONDIMENT SAUCE SWEET GLAZE 4/1GAL</t>
  </si>
  <si>
    <t>180905 - CONDIMENT SAUCE SWEET GLAZE PKT 500CT</t>
  </si>
  <si>
    <t>181049 - COOKIE OATMEAL RAISIN T&amp;S 72/2.4OZ</t>
  </si>
  <si>
    <t>181050 - COOKIE WHITE CHOC MAC NUT T&amp;S 72/2.4OZ</t>
  </si>
  <si>
    <t>181052 - COOKIE SNICKERDOODLE T&amp;S 72/2.4OZ</t>
  </si>
  <si>
    <t>181053 - COOKIE CHOCOLATE CHUNK T&amp;S 72/2.4OZ</t>
  </si>
  <si>
    <t>181171 - SOUP BAKED POTATO 8CT</t>
  </si>
  <si>
    <t>181346 - INGREDIENT BUTTER GARLIC HERB 12/6.5OZ</t>
  </si>
  <si>
    <t>181381 - INGREDIENT SEASONING ROTISSERIE CHICKEN 6/24OZ</t>
  </si>
  <si>
    <t>181419 - INGREDIENT POTATO DCD 102OZ 6CT</t>
  </si>
  <si>
    <t>182007 - SIDES DUKES COLESLAW 4/1GAL</t>
  </si>
  <si>
    <t>182010 - CONDIMENT MAYO DUKES IND 12G PKT 200CT</t>
  </si>
  <si>
    <t>182016 - INGREDIENT FRENCH FRIED ONION 6/24OZ</t>
  </si>
  <si>
    <t>182017 - INGREDIENT CRANBERRIES DRIED SWEETENED 2/48OZ</t>
  </si>
  <si>
    <t>182019 - INGREDIENT CROUTONS SWEET CORNBREAD 4/2.5LB</t>
  </si>
  <si>
    <t>182027 - INGREDIENT PICKLE SPICY CRINKLE SLC 1/2GAL</t>
  </si>
  <si>
    <t>182262 - COOKIE DOUGH CHOCOLATE CHIP 150/2.5OZ</t>
  </si>
  <si>
    <t>182263 - COOKIE DOUGH WHITE CHOC MAC 150/2.5OZ</t>
  </si>
  <si>
    <t>182265 - COOKIE DOUGH OATMEAL RAISIN 150/2.5OZ</t>
  </si>
  <si>
    <t>182371 - INGREDIENT DUKES HONEY MUSTARD 4/1GAL</t>
  </si>
  <si>
    <t>190102 - INGREDIENT SAVORY PIE FILLING 8/4LB</t>
  </si>
  <si>
    <t>200105 - BOX B2B HAM MULTI 20CT</t>
  </si>
  <si>
    <t>200114 - TRAY ROUND BLACK 16" 25CT</t>
  </si>
  <si>
    <t>200115 - TRAY LID DOME ROUND CLEAR 16" 25CT</t>
  </si>
  <si>
    <t>200116 - TRAY ROUND BLACK 18" 25CT</t>
  </si>
  <si>
    <t>200117 - TRAY LID DOME ROUND CLEAR 18" 25CT</t>
  </si>
  <si>
    <t>200133 - FOIL HAM WRAP 24X24 300CT</t>
  </si>
  <si>
    <t>200162 - BAG HAM BONE 500CT</t>
  </si>
  <si>
    <t>200169 - FOIL HAM BNLS WHITE WRAP20X24 300CT</t>
  </si>
  <si>
    <t>200170 - FOIL HAM PORTION WHTWRAP20X12 300CT</t>
  </si>
  <si>
    <t>200240 - BAG LARGE 21X10.5X30 300CT</t>
  </si>
  <si>
    <t>200241 - BAG MEDIUM 12X8X20 1000CT</t>
  </si>
  <si>
    <t>200242 - BAG SMALL 9X6X20 1000CT</t>
  </si>
  <si>
    <t>200412 - BOX LUNCH LOGO PRINT 250CT</t>
  </si>
  <si>
    <t>200439 - FOIL XTRA HEAVY DUTY 24X500LF</t>
  </si>
  <si>
    <t>200446 - TRAY ROUND BLACK 12" 25CT</t>
  </si>
  <si>
    <t>200447 - TRAY LID DOME ROUND CLEAR 12" 25CT</t>
  </si>
  <si>
    <t>200448 - BOWL ROUND 80OZ BLACK 10" 25CT</t>
  </si>
  <si>
    <t>200449 - BOWL LID FLAT ROUND 80OZ CLEAR 10" 25CT</t>
  </si>
  <si>
    <t>200450 - UTENSIL SPOON SERVING BLACK 9" 144CT</t>
  </si>
  <si>
    <t>200451 - UTENSIL TONG PLASTIC BLACK 9" 48CT</t>
  </si>
  <si>
    <t>200456 - BAG CLEAR POLY 15.5X24 500CT</t>
  </si>
  <si>
    <t>200479 - BOX B2B HAM HALF 50CT</t>
  </si>
  <si>
    <t>200480 - BOX B2B HAM WHOLE 50CT</t>
  </si>
  <si>
    <t>200481 - BOX B2B TURKEY 50CT</t>
  </si>
  <si>
    <t>200486 - BOWL ROUND 48OZ BLACK 9" 50CT</t>
  </si>
  <si>
    <t>200572 - BAG BY THE SLICE 700CT</t>
  </si>
  <si>
    <t>200576 - CUP 20OZ LOGO 1000CT</t>
  </si>
  <si>
    <t>200577 - CUP LID 20OZ 1000CT</t>
  </si>
  <si>
    <t>200589 - PROTEIN CHICKEN WHT FRZN COOKED BNLS SKNL LOW SOD PULL 2/5LB</t>
  </si>
  <si>
    <t>200596 - TRAY LID RECTANGLE LARGE CLEAR 13X7.5 150/68OZ</t>
  </si>
  <si>
    <t>200597 - TRAY RECTANGLE LARGE BLACK 150/68OZ</t>
  </si>
  <si>
    <t>200599 - BOWL LID DOME ROUND 48OZ CLEAR 9" 200CT</t>
  </si>
  <si>
    <t>200663 - TRAY OVAL BLACK 8x11 125/4PK</t>
  </si>
  <si>
    <t>200667 - BAG SANDWICH SADDLE PK 6.5X7" 200CT</t>
  </si>
  <si>
    <t>200677 - FILM WRAP CUTTER BOX 12"X2000LF</t>
  </si>
  <si>
    <t>200679 - BAG PAPER WHITE 12# 500CT</t>
  </si>
  <si>
    <t>200682 - FILM WRAP CUTTER BOX 24"X2000LF</t>
  </si>
  <si>
    <t>200689 - BREAD DOUGH BATARD FRENCH 19" 24CT</t>
  </si>
  <si>
    <t>200691 - BOWL SQUARE 24OZ CLEAR W/LID 7.5" 300CT</t>
  </si>
  <si>
    <t>200693 - BOWL SQUARE 32OZ CLEAR W/LID 7.5" 300CT</t>
  </si>
  <si>
    <t>200704 - PAPER WRAP SANDWICH LOGO 15X15 3000CT</t>
  </si>
  <si>
    <t>205001 - INGREDIENT HAM DRESSING SEASONING 50LB</t>
  </si>
  <si>
    <t>205002 - INGREDIENT SUGAR GRANULATED CANE 50LB</t>
  </si>
  <si>
    <t>910355 - CONTAINER TURKEY TUB HINGED SQUARE 10X10 148CT</t>
  </si>
  <si>
    <t>910374 - PAPER REGISTER ROLL THRML 3.125" 50CT</t>
  </si>
  <si>
    <t>910395 - PROTEIN BACON PRECOOKED THICK 7" 2CT</t>
  </si>
  <si>
    <t>910458 - PAD SOAKER 6.25X7 1000CT</t>
  </si>
  <si>
    <t>100426 - HAM BI RED 17-19 3CT-TY</t>
  </si>
  <si>
    <t>100427 - HAM BI WHITE 19-21 3CT-TY</t>
  </si>
  <si>
    <t>100439 - HAM BI BROWN 13-17 4CT-TY</t>
  </si>
  <si>
    <t>100601 - HAM BI WHITE 19-21 QTR 6CT-TY</t>
  </si>
  <si>
    <t>100602 - HAM BI PURPLE 21-23 2CT-TY</t>
  </si>
  <si>
    <t>100604 - HAM BONELESS 6CT-TY</t>
  </si>
  <si>
    <t>170202 - BREAD WRAP GF 13.76OZ 12CT</t>
  </si>
  <si>
    <t>180902 - CONDIMENT MAYO DUKES REAL 4/1GAL</t>
  </si>
  <si>
    <t>181404 - INGREDIENT EGGS HARD COOK PEELD CF 2CT</t>
  </si>
  <si>
    <t>182003 - CHIPS KETTLE MESQUITE BBQ 48/1.375OZ</t>
  </si>
  <si>
    <t>182004 - CHIPS KETTLE ZESTY JALAPENO 48/1.375OZ</t>
  </si>
  <si>
    <t>182005 - CHIPS KETTLE SEA SALT 48/1.375OZ</t>
  </si>
  <si>
    <t>182006 - CHIPS KETTLE SW MAUI ONION 48/1.375OZ</t>
  </si>
  <si>
    <t>200646 - GEL PAK AMBIENT 18/2LB</t>
  </si>
  <si>
    <t>200649 - BREAD BISCUIT CONESTOGA BTRMLK 1.8OZ 210CT</t>
  </si>
  <si>
    <t>200664 - PAPER DELI WAX 8X10.75 4/500PK</t>
  </si>
  <si>
    <t>200724 - CONDIMENT MUSTARD PKT 4.5G PKT 200CT</t>
  </si>
  <si>
    <t>200742 - BOWL SQUARE 24OZ BLACK 7" 500CT</t>
  </si>
  <si>
    <t>200743 - BOWL SQUARE 32OZ BLACK 276CT</t>
  </si>
  <si>
    <t>200745 - PLATE FOAM WHITE 10" 500CT</t>
  </si>
  <si>
    <t>200754 - CRACKERS SALTINE IND 500CT</t>
  </si>
  <si>
    <t>910272 - DRINK TEA CLASSIC BLEND GOLD PEAK 96CT</t>
  </si>
  <si>
    <t>910301 - Jugs, Gallon</t>
  </si>
  <si>
    <t>182386 - DRINK COKE CLASSIC 12 OZ CAN 24CT</t>
  </si>
  <si>
    <t>100407 - HAM BI BROWN 13-17 4CT-FM</t>
  </si>
  <si>
    <t>200765 - SOUP BAKED POTATO 4CT</t>
  </si>
  <si>
    <t>200768 - CONDIMENT MUSTARD PKT 4.5G PKT 500CT</t>
  </si>
  <si>
    <t>160301 - INGREDIENT VINEGAR RED WINE 5% 4/1GAL</t>
  </si>
  <si>
    <t>200590 - GLOVE MEDIUM VINYL PF 10/100PK</t>
  </si>
  <si>
    <t>200591 - GLOVE LARGE VINYL PF 10/100PK</t>
  </si>
  <si>
    <t>200592 - GLOVE XLARGE VINYL PF 10/100PK</t>
  </si>
  <si>
    <t>200690 - BREAD DOUGH MULTIGRAIN BATARD LOAF 19" 24CT</t>
  </si>
  <si>
    <t>200818 - GLOVE SMALL VINYL PF 10/100PK</t>
  </si>
  <si>
    <t>200831 - DRESSING BALSAMIC VINGR PKT 60/1.5CT</t>
  </si>
  <si>
    <t>202164 - MINT SPEARMINT 8/8LB 8/8LB</t>
  </si>
  <si>
    <t>110403 - TURKEY WHOLE CAJUN 4CT</t>
  </si>
  <si>
    <t>181411 - CRACKERS SALTINES ZESTA 2PK 500CT</t>
  </si>
  <si>
    <t>200669 - CONTAINER SOUP BLACK SQUAT 500/8OZ</t>
  </si>
  <si>
    <t>200676 - CONTAINER DELI ROUND PLSTC CLR W/LID 210/16OZ</t>
  </si>
  <si>
    <t>200683 - CONTAINER SOUP BLACK SQUAT 500/12OZ</t>
  </si>
  <si>
    <t>200686 - UTENSIL STRAWS CLEAR GIANT PAPER IND WRAP 7.75" 10/500CT</t>
  </si>
  <si>
    <t>200670 - CONTAINER SOUP LID CLEAR SQUAT 500-8OZ/12OZ</t>
  </si>
  <si>
    <t>201084 - GLOVE SMALL VINYL PF 10/100PK</t>
  </si>
  <si>
    <t>910603 - PAPER TOWEL ROLL KRAFT 6CT</t>
  </si>
  <si>
    <t>910604 - PAPER BATH TISSUE 2PLY 80CT</t>
  </si>
  <si>
    <t>110101 - TURKEY WHOLE SMOKED 4CT</t>
  </si>
  <si>
    <t>180118 - CHIPS KETTLE MESQUITE BBQ 64/1.375OZ</t>
  </si>
  <si>
    <t>200674 - UTENSIL PLASTIC KNIFE WHITE IND WRAP 1000CT</t>
  </si>
  <si>
    <t>200719 - PLATE POLY BLACK 6' 144CT</t>
  </si>
  <si>
    <t>201075 - UTENSIL STRAWS CLEAR GIANT PAPER IND WRAP 7.75" 24/200CT</t>
  </si>
  <si>
    <t>160296 - INGREDIENT BALSAMIC VINAIGRETTE SIGN 4/1GAL</t>
  </si>
  <si>
    <t>200665 - BAG TRASH XHVY BLK 60 GAL 38X58 100CT</t>
  </si>
  <si>
    <t>200666 - GLOVE SMALL VINYL CLR NO PWDR 10/100PK</t>
  </si>
  <si>
    <t>200668 - PLATE FOAM DINNER WHITE 9" 500CT</t>
  </si>
  <si>
    <t>200675 - UTENSIL PLASTIC FORK WHITE IND WRAP 1000CT</t>
  </si>
  <si>
    <t>200684 - PAPER DELI PATTY 5.5X5.5 12/24PK</t>
  </si>
  <si>
    <t>200687 - UTENSIL PLASTIC SPOON WHITE IND WRAP 1000CT</t>
  </si>
  <si>
    <t>910601 - PAPER NAPKIN 13"X13" 2PLY KRAFT 18/250PK</t>
  </si>
  <si>
    <t>200859 - CONTAINER DELI COMBO 240/16OZ</t>
  </si>
  <si>
    <t>200879 - PLATE FOAM BLACK 9" 4/125CT</t>
  </si>
  <si>
    <t>200884 - DRESSING RANCH ORIGINAL PKT 84/1.5CT</t>
  </si>
  <si>
    <t>200894 - PRODUCE ONION RED JMBO 25LB</t>
  </si>
  <si>
    <t>180923 - CHIPS KETTLE ZESTY JALAPENO 64/1.375OZ</t>
  </si>
  <si>
    <t>200948 - PAPER NAPKIN 15"X17" 2 PLY 1/150PK</t>
  </si>
  <si>
    <t>200965 - PAPER BATH TISSUE MINI JMBO  12CT</t>
  </si>
  <si>
    <t>200944 - PAPER BATH TISSUE 12CT</t>
  </si>
  <si>
    <t>200947 - BAG TRASH 60GAL 38X58 50CT</t>
  </si>
  <si>
    <t>20245</t>
  </si>
  <si>
    <t>SF39168</t>
  </si>
  <si>
    <t>82007</t>
  </si>
  <si>
    <t>49101</t>
  </si>
  <si>
    <t>912608</t>
  </si>
  <si>
    <t>80646</t>
  </si>
  <si>
    <t>43261</t>
  </si>
  <si>
    <t>29430</t>
  </si>
  <si>
    <t>280010</t>
  </si>
  <si>
    <t>64010</t>
  </si>
  <si>
    <t>536829</t>
  </si>
  <si>
    <t>340181</t>
  </si>
  <si>
    <t>181287</t>
  </si>
  <si>
    <t>82577</t>
  </si>
  <si>
    <t>19473</t>
  </si>
  <si>
    <t>48208</t>
  </si>
  <si>
    <t>111726319</t>
  </si>
  <si>
    <t>774029</t>
  </si>
  <si>
    <t>300771</t>
  </si>
  <si>
    <t>300178</t>
  </si>
  <si>
    <t>128181</t>
  </si>
  <si>
    <t>192179</t>
  </si>
  <si>
    <t>19697</t>
  </si>
  <si>
    <t>10092</t>
  </si>
  <si>
    <t>525OP</t>
  </si>
  <si>
    <t>80600</t>
  </si>
  <si>
    <t>CRYSTAL CLASSICS</t>
  </si>
  <si>
    <t>GOURMET TABLE</t>
  </si>
  <si>
    <t>Affiliated Foods</t>
  </si>
  <si>
    <t>PLATINUM</t>
  </si>
  <si>
    <t>OPTIMA</t>
  </si>
  <si>
    <t>PITT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</si>
</sst>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11"/>
      <color rgb="FF0070C0"/>
      <name val="Aptos Narrow"/>
      <family val="2"/>
      <scheme val="minor"/>
    </font>
    <font>
      <b/>
      <i/>
      <sz val="16"/>
      <color rgb="FF0070C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6">
    <xf numFmtId="0" fontId="0" fillId="0" borderId="0"/>
    <xf numFmtId="0" fontId="2" fillId="0" borderId="1" applyNumberFormat="0" applyFill="0" applyProtection="0">
      <alignment horizontal="center" vertical="center"/>
    </xf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>
      <alignment horizontal="right" vertical="center"/>
    </xf>
    <xf numFmtId="3" fontId="3" fillId="2" borderId="2">
      <alignment horizontal="center" vertical="center"/>
    </xf>
    <xf numFmtId="0" fontId="3" fillId="2" borderId="2">
      <alignment horizontal="right" vertical="center"/>
    </xf>
    <xf numFmtId="0" fontId="2" fillId="0" borderId="3">
      <alignment horizontal="left" vertical="center"/>
    </xf>
    <xf numFmtId="0" fontId="2" fillId="0" borderId="4">
      <alignment horizontal="center" vertical="center"/>
    </xf>
    <xf numFmtId="0" fontId="4" fillId="0" borderId="5">
      <alignment horizontal="center" vertical="center"/>
    </xf>
    <xf numFmtId="0" fontId="3" fillId="3" borderId="2"/>
    <xf numFmtId="3" fontId="2" fillId="0" borderId="1" applyFill="0" applyAlignment="0" applyProtection="0"/>
    <xf numFmtId="3" fontId="2" fillId="0" borderId="1" applyFill="0" applyAlignment="0" applyProtection="0"/>
    <xf numFmtId="3" fontId="2" fillId="0" borderId="1" applyFill="0" applyAlignment="0" applyProtection="0"/>
    <xf numFmtId="3" fontId="2" fillId="0" borderId="1" applyFill="0" applyAlignment="0" applyProtection="0"/>
    <xf numFmtId="0" fontId="2" fillId="0" borderId="1" applyFill="0" applyAlignment="0" applyProtection="0"/>
    <xf numFmtId="3" fontId="2" fillId="0" borderId="1" applyFill="0" applyAlignment="0" applyProtection="0"/>
    <xf numFmtId="0" fontId="2" fillId="0" borderId="4">
      <alignment horizontal="center" vertical="center"/>
    </xf>
    <xf numFmtId="0" fontId="2" fillId="0" borderId="4">
      <alignment horizontal="center" vertical="center"/>
    </xf>
    <xf numFmtId="3" fontId="3" fillId="0" borderId="2" applyFill="0" applyAlignment="0" applyProtection="0"/>
    <xf numFmtId="0" fontId="3" fillId="0" borderId="2" applyFill="0" applyAlignment="0" applyProtection="0"/>
    <xf numFmtId="3" fontId="2" fillId="4" borderId="6" applyNumberFormat="0" applyFont="0" applyAlignment="0" applyProtection="0"/>
    <xf numFmtId="0" fontId="1" fillId="5" borderId="7" applyNumberFormat="0" applyFont="0" applyAlignment="0" applyProtection="0"/>
    <xf numFmtId="0" fontId="2" fillId="0" borderId="1" applyFill="0" applyAlignment="0" applyProtection="0"/>
    <xf numFmtId="3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3">
      <alignment horizontal="left" vertical="center"/>
    </xf>
    <xf numFmtId="3" fontId="2" fillId="0" borderId="1" applyFill="0" applyAlignment="0" applyProtection="0"/>
    <xf numFmtId="3" fontId="5" fillId="0" borderId="2"/>
    <xf numFmtId="3" fontId="6" fillId="0" borderId="2"/>
    <xf numFmtId="0" fontId="2" fillId="0" borderId="4">
      <alignment horizontal="left" vertical="top"/>
    </xf>
    <xf numFmtId="0" fontId="7" fillId="0" borderId="2"/>
    <xf numFmtId="0" fontId="2" fillId="0" borderId="4">
      <alignment horizontal="left" vertical="center"/>
    </xf>
    <xf numFmtId="0" fontId="3" fillId="2" borderId="8"/>
    <xf numFmtId="3" fontId="3" fillId="0" borderId="2">
      <alignment horizontal="right" vertical="center"/>
    </xf>
    <xf numFmtId="0" fontId="2" fillId="0" borderId="4">
      <alignment horizontal="right" vertical="center"/>
    </xf>
    <xf numFmtId="0" fontId="3" fillId="0" borderId="5">
      <alignment horizontal="center" vertical="center"/>
    </xf>
    <xf numFmtId="3" fontId="3" fillId="0" borderId="2"/>
    <xf numFmtId="3" fontId="3" fillId="0" borderId="2"/>
    <xf numFmtId="0" fontId="3" fillId="0" borderId="5">
      <alignment horizontal="center" vertical="center" wrapText="1"/>
    </xf>
    <xf numFmtId="0" fontId="8" fillId="0" borderId="5">
      <alignment horizontal="left" vertical="center" indent="1"/>
    </xf>
    <xf numFmtId="0" fontId="9" fillId="0" borderId="2"/>
    <xf numFmtId="0" fontId="2" fillId="0" borderId="3">
      <alignment horizontal="left" vertical="center"/>
    </xf>
    <xf numFmtId="3" fontId="3" fillId="0" borderId="2">
      <alignment horizontal="center" vertical="center"/>
    </xf>
    <xf numFmtId="0" fontId="2" fillId="0" borderId="4">
      <alignment horizontal="center" vertical="center"/>
    </xf>
    <xf numFmtId="0" fontId="2" fillId="0" borderId="4">
      <alignment horizontal="center" vertical="center"/>
    </xf>
    <xf numFmtId="0" fontId="2" fillId="0" borderId="3">
      <alignment horizontal="left" vertical="center"/>
    </xf>
    <xf numFmtId="0" fontId="2" fillId="0" borderId="3">
      <alignment horizontal="left" vertical="center"/>
    </xf>
    <xf numFmtId="0" fontId="10" fillId="0" borderId="2"/>
  </cellStyleXfs>
  <cellXfs count="65">
    <xf numFmtId="0" fontId="0" fillId="0" borderId="0" xfId="0"/>
    <xf numFmtId="0" fontId="0" fillId="0" borderId="0" xfId="0" quotePrefix="1"/>
    <xf numFmtId="0" fontId="3" fillId="0" borderId="0" xfId="19" applyNumberFormat="1"/>
    <xf numFmtId="0" fontId="2" fillId="0" borderId="1" xfId="11" applyNumberFormat="1"/>
    <xf numFmtId="3" fontId="3" fillId="0" borderId="2" xfId="3"/>
    <xf numFmtId="0" fontId="3" fillId="0" borderId="0" xfId="20" applyNumberFormat="1"/>
    <xf numFmtId="0" fontId="2" fillId="0" borderId="1" xfId="12" applyNumberFormat="1"/>
    <xf numFmtId="3" fontId="3" fillId="0" borderId="2" xfId="4"/>
    <xf numFmtId="0" fontId="3" fillId="0" borderId="0" xfId="21" applyNumberFormat="1"/>
    <xf numFmtId="0" fontId="2" fillId="0" borderId="1" xfId="13" applyNumberFormat="1"/>
    <xf numFmtId="3" fontId="3" fillId="0" borderId="2" xfId="5"/>
    <xf numFmtId="0" fontId="3" fillId="0" borderId="0" xfId="22" applyNumberFormat="1"/>
    <xf numFmtId="0" fontId="2" fillId="0" borderId="1" xfId="14" applyNumberFormat="1"/>
    <xf numFmtId="3" fontId="3" fillId="0" borderId="2" xfId="6"/>
    <xf numFmtId="0" fontId="3" fillId="0" borderId="0" xfId="23" applyNumberFormat="1" applyBorder="1"/>
    <xf numFmtId="0" fontId="2" fillId="0" borderId="1" xfId="15" applyNumberFormat="1"/>
    <xf numFmtId="3" fontId="3" fillId="0" borderId="2" xfId="7"/>
    <xf numFmtId="0" fontId="3" fillId="0" borderId="0" xfId="24" applyNumberFormat="1" applyBorder="1"/>
    <xf numFmtId="0" fontId="2" fillId="0" borderId="1" xfId="16" applyNumberFormat="1"/>
    <xf numFmtId="3" fontId="3" fillId="0" borderId="2" xfId="8"/>
    <xf numFmtId="0" fontId="3" fillId="0" borderId="0" xfId="18" applyNumberFormat="1"/>
    <xf numFmtId="0" fontId="2" fillId="0" borderId="1" xfId="10" applyNumberFormat="1"/>
    <xf numFmtId="3" fontId="3" fillId="0" borderId="2" xfId="2"/>
    <xf numFmtId="0" fontId="3" fillId="0" borderId="0" xfId="25" applyNumberFormat="1" applyBorder="1"/>
    <xf numFmtId="0" fontId="2" fillId="0" borderId="1" xfId="17" applyNumberFormat="1"/>
    <xf numFmtId="3" fontId="3" fillId="0" borderId="2" xfId="9"/>
    <xf numFmtId="49" fontId="2" fillId="0" borderId="1" xfId="17" applyNumberFormat="1" applyAlignment="1"/>
    <xf numFmtId="0" fontId="2" fillId="6" borderId="1" xfId="1" quotePrefix="1" applyFill="1" applyAlignment="1">
      <alignment horizontal="center" vertical="center" wrapText="1"/>
    </xf>
    <xf numFmtId="0" fontId="3" fillId="0" borderId="2" xfId="27" quotePrefix="1" applyAlignment="1">
      <alignment horizontal="right"/>
    </xf>
    <xf numFmtId="0" fontId="11" fillId="7" borderId="0" xfId="0" quotePrefix="1" applyFont="1" applyFill="1"/>
    <xf numFmtId="0" fontId="3" fillId="0" borderId="0" xfId="18" quotePrefix="1" applyNumberFormat="1" applyAlignment="1">
      <alignment horizontal="right"/>
    </xf>
    <xf numFmtId="0" fontId="3" fillId="0" borderId="0" xfId="25" quotePrefix="1" applyNumberFormat="1" applyBorder="1" applyAlignment="1">
      <alignment horizontal="right"/>
    </xf>
    <xf numFmtId="0" fontId="3" fillId="0" borderId="10" xfId="27" quotePrefix="1" applyBorder="1" applyAlignment="1">
      <alignment horizontal="right"/>
    </xf>
    <xf numFmtId="0" fontId="3" fillId="8" borderId="9" xfId="26" applyFill="1" applyBorder="1" applyAlignment="1">
      <alignment horizontal="center"/>
    </xf>
    <xf numFmtId="0" fontId="12" fillId="0" borderId="0" xfId="0" applyFont="1" applyAlignment="1">
      <alignment horizontal="left"/>
    </xf>
    <xf numFmtId="0" fontId="0" fillId="7" borderId="0" xfId="0" applyFill="1"/>
    <xf numFmtId="0" fontId="3" fillId="7" borderId="2" xfId="26" applyFill="1"/>
    <xf numFmtId="0" fontId="3" fillId="7" borderId="0" xfId="19" applyNumberFormat="1" applyFill="1"/>
    <xf numFmtId="0" fontId="3" fillId="7" borderId="0" xfId="20" applyNumberFormat="1" applyFill="1"/>
    <xf numFmtId="0" fontId="3" fillId="7" borderId="0" xfId="21" applyNumberFormat="1" applyFill="1"/>
    <xf numFmtId="0" fontId="3" fillId="7" borderId="0" xfId="22" applyNumberFormat="1" applyFill="1"/>
    <xf numFmtId="0" fontId="3" fillId="7" borderId="0" xfId="23" applyNumberFormat="1" applyFill="1" applyBorder="1"/>
    <xf numFmtId="0" fontId="3" fillId="7" borderId="0" xfId="24" applyNumberFormat="1" applyFill="1" applyBorder="1"/>
    <xf numFmtId="0" fontId="3" fillId="7" borderId="0" xfId="18" applyNumberFormat="1" applyFill="1"/>
    <xf numFmtId="0" fontId="3" fillId="7" borderId="0" xfId="25" applyNumberFormat="1" applyFill="1" applyBorder="1"/>
    <xf numFmtId="0" fontId="0" fillId="7" borderId="0" xfId="0" quotePrefix="1" applyFill="1"/>
    <xf numFmtId="0" fontId="2" fillId="7" borderId="1" xfId="1" quotePrefix="1" applyFill="1" applyAlignment="1">
      <alignment horizontal="center" vertical="center" wrapText="1"/>
    </xf>
    <xf numFmtId="164" fontId="3" fillId="0" borderId="11" xfId="3" applyNumberFormat="1" applyBorder="1"/>
    <xf numFmtId="164" fontId="3" fillId="0" borderId="11" xfId="4" applyNumberFormat="1" applyBorder="1"/>
    <xf numFmtId="164" fontId="3" fillId="0" borderId="11" xfId="5" applyNumberFormat="1" applyBorder="1"/>
    <xf numFmtId="164" fontId="3" fillId="0" borderId="11" xfId="6" applyNumberFormat="1" applyBorder="1"/>
    <xf numFmtId="164" fontId="3" fillId="0" borderId="11" xfId="7" applyNumberFormat="1" applyBorder="1"/>
    <xf numFmtId="164" fontId="3" fillId="0" borderId="11" xfId="8" applyNumberFormat="1" applyBorder="1"/>
    <xf numFmtId="164" fontId="3" fillId="0" borderId="11" xfId="2" applyNumberFormat="1" applyBorder="1"/>
    <xf numFmtId="164" fontId="3" fillId="0" borderId="11" xfId="9" applyNumberFormat="1" applyBorder="1"/>
    <xf numFmtId="0" fontId="2" fillId="9" borderId="12" xfId="17" applyNumberFormat="1" applyFill="1" applyBorder="1"/>
    <xf numFmtId="0" fontId="0" fillId="9" borderId="13" xfId="0" applyFill="1" applyBorder="1"/>
    <xf numFmtId="0" fontId="0" fillId="9" borderId="14" xfId="0" applyFill="1" applyBorder="1"/>
    <xf numFmtId="0" fontId="2" fillId="9" borderId="15" xfId="17" applyNumberFormat="1" applyFill="1" applyBorder="1"/>
    <xf numFmtId="0" fontId="0" fillId="9" borderId="0" xfId="0" applyFill="1"/>
    <xf numFmtId="0" fontId="0" fillId="9" borderId="16" xfId="0" applyFill="1" applyBorder="1"/>
    <xf numFmtId="0" fontId="2" fillId="9" borderId="17" xfId="17" applyNumberFormat="1" applyFill="1" applyBorder="1"/>
    <xf numFmtId="0" fontId="0" fillId="9" borderId="18" xfId="0" applyFill="1" applyBorder="1"/>
    <xf numFmtId="0" fontId="0" fillId="9" borderId="19" xfId="0" applyFill="1" applyBorder="1"/>
    <xf numFmtId="0" fontId="3" fillId="8" borderId="9" xfId="26" applyNumberFormat="1" applyFill="1" applyBorder="1" applyAlignment="1">
      <alignment horizontal="center"/>
    </xf>
  </cellXfs>
  <cellStyles count="76">
    <cellStyle name="AF Column - IBM Cognos" xfId="1" xr:uid="{4B0FD43B-4029-4910-A3A7-9008EB8A86F4}"/>
    <cellStyle name="AF Data - IBM Cognos" xfId="2" xr:uid="{CC8D5D24-7250-4BBB-802D-5B02CC76C33E}"/>
    <cellStyle name="AF Data 0 - IBM Cognos" xfId="3" xr:uid="{13795D18-0BBA-43B0-9023-829267321C71}"/>
    <cellStyle name="AF Data 1 - IBM Cognos" xfId="4" xr:uid="{E6073F4D-6458-40A7-9673-AF6BEF8D4EEA}"/>
    <cellStyle name="AF Data 2 - IBM Cognos" xfId="5" xr:uid="{8B7CC34E-B3B3-4AD1-B3E1-04549C89F0BA}"/>
    <cellStyle name="AF Data 3 - IBM Cognos" xfId="6" xr:uid="{52FB1CF4-87EF-4F4C-B4C3-49C9E7A8D9B4}"/>
    <cellStyle name="AF Data 4 - IBM Cognos" xfId="7" xr:uid="{CFC37A15-77CE-47AB-ABC3-231B1735955A}"/>
    <cellStyle name="AF Data 5 - IBM Cognos" xfId="8" xr:uid="{AC789F5B-AEC1-41A2-883B-B342C8F6AACF}"/>
    <cellStyle name="AF Data Leaf - IBM Cognos" xfId="9" xr:uid="{D4FD9E99-3E1B-444A-AB37-D403B3E09C67}"/>
    <cellStyle name="AF Header - IBM Cognos" xfId="10" xr:uid="{B7D72A5B-7387-409E-BA33-89DFC4059A4F}"/>
    <cellStyle name="AF Header 0 - IBM Cognos" xfId="11" xr:uid="{35C3DBF6-102B-4D56-9A3C-655C7E773C65}"/>
    <cellStyle name="AF Header 1 - IBM Cognos" xfId="12" xr:uid="{8AD4B5B7-EE10-4AFA-86F4-B1667863B49A}"/>
    <cellStyle name="AF Header 2 - IBM Cognos" xfId="13" xr:uid="{E6FB5314-B17E-4CB3-BBC1-6C0FC797E3AD}"/>
    <cellStyle name="AF Header 3 - IBM Cognos" xfId="14" xr:uid="{E0E25817-62E6-428B-A26C-9103BC42C199}"/>
    <cellStyle name="AF Header 4 - IBM Cognos" xfId="15" xr:uid="{B68382D3-4CD6-4D02-A833-DB41F14716A7}"/>
    <cellStyle name="AF Header 5 - IBM Cognos" xfId="16" xr:uid="{EA736D76-DBFE-4B9A-9F5B-E181684A3A92}"/>
    <cellStyle name="AF Header Leaf - IBM Cognos" xfId="17" xr:uid="{AB99194A-F627-4B2C-9CFD-E27C0B31B343}"/>
    <cellStyle name="AF Row - IBM Cognos" xfId="18" xr:uid="{8F56830D-DFD4-4C19-99E9-F9F7A52A5A68}"/>
    <cellStyle name="AF Row 0 - IBM Cognos" xfId="19" xr:uid="{71813DFF-744B-4442-B681-0189DCD2CD4E}"/>
    <cellStyle name="AF Row 1 - IBM Cognos" xfId="20" xr:uid="{4C387682-680E-46EF-A7CE-EAE6C7ACA3B9}"/>
    <cellStyle name="AF Row 2 - IBM Cognos" xfId="21" xr:uid="{71FDB633-A672-4648-9046-19629C57204D}"/>
    <cellStyle name="AF Row 3 - IBM Cognos" xfId="22" xr:uid="{302F3609-0B19-4A01-A4A9-D4599837CB57}"/>
    <cellStyle name="AF Row 4 - IBM Cognos" xfId="23" xr:uid="{7F59E75D-7DC7-4184-8720-B228C71F8F8E}"/>
    <cellStyle name="AF Row 5 - IBM Cognos" xfId="24" xr:uid="{647F50F8-07EE-4B19-AEFE-68FDFF79F097}"/>
    <cellStyle name="AF Row Leaf - IBM Cognos" xfId="25" xr:uid="{4C7F7045-26FE-49F2-B3F3-3EB53327A043}"/>
    <cellStyle name="AF Subnm - IBM Cognos" xfId="26" xr:uid="{A8F67B43-E661-45BC-BEA1-EAB5135B7CD8}"/>
    <cellStyle name="AF Title - IBM Cognos" xfId="27" xr:uid="{962ECE47-47E3-4687-B3A2-F78C9F7AB59E}"/>
    <cellStyle name="Calculated Column - IBM Cognos" xfId="28" xr:uid="{09DDA284-8E33-45E3-B3B2-47DDFF1351AF}"/>
    <cellStyle name="Calculated Column Name - IBM Cognos" xfId="29" xr:uid="{18D4FCC8-F26E-4EFF-9B26-EE856F4EDF79}"/>
    <cellStyle name="Calculated Row - IBM Cognos" xfId="30" xr:uid="{15FB6EBC-0CB7-46E7-86E0-DD5C25B1F702}"/>
    <cellStyle name="Calculated Row Name - IBM Cognos" xfId="31" xr:uid="{A5D4B8E1-A4B9-4E6E-B840-8629327CEDF8}"/>
    <cellStyle name="Column Name - IBM Cognos" xfId="32" xr:uid="{E03DEDF8-7C4D-4694-A808-4DDE09DA46FA}"/>
    <cellStyle name="Column Template - IBM Cognos" xfId="33" xr:uid="{12CA9B9F-9729-4870-9C91-22422D271296}"/>
    <cellStyle name="Differs From Base - IBM Cognos" xfId="34" xr:uid="{F3263980-F52A-4371-9F86-5AA7B1071D5A}"/>
    <cellStyle name="DQR Column 0 - IBM Cognos" xfId="35" xr:uid="{06A6F530-1C29-442F-94EB-7EA6D8A1EAE1}"/>
    <cellStyle name="DQR Column 1 - IBM Cognos" xfId="36" xr:uid="{99736591-1542-4EA1-9DE0-E9DCF75ED42F}"/>
    <cellStyle name="DQR Column 2 - IBM Cognos" xfId="37" xr:uid="{D553B085-B0F4-4842-B21A-64A97CC598ED}"/>
    <cellStyle name="DQR Column 3 - IBM Cognos" xfId="38" xr:uid="{3DF14142-3225-4FA7-A3D5-A2D5B089A536}"/>
    <cellStyle name="DQR Column 4 - IBM Cognos" xfId="39" xr:uid="{6CD11EFD-844F-4F05-A297-B80D7AB3706F}"/>
    <cellStyle name="DQR Column 5 - IBM Cognos" xfId="40" xr:uid="{B9FE0F56-D8F6-402A-8D82-C2F96C5FC8A4}"/>
    <cellStyle name="DQR Column Default - IBM Cognos" xfId="41" xr:uid="{EC2123CD-3CCE-44F6-AD04-58EF00CF8291}"/>
    <cellStyle name="DQR Column Leaf - IBM Cognos" xfId="42" xr:uid="{9CA5D853-1EC0-4207-95F7-051DBBECD1A9}"/>
    <cellStyle name="DQR Data Default - IBM Cognos" xfId="43" xr:uid="{31C322CC-5280-442C-9321-0E43346B5CA5}"/>
    <cellStyle name="DQR Default - IBM Cognos" xfId="44" xr:uid="{7AEFEBBE-5D97-45BA-8728-E73C122D60E3}"/>
    <cellStyle name="DQR Gutter Default - IBM Cognos" xfId="45" xr:uid="{B2533D71-6524-4F9D-93E9-DD55D0AD9465}"/>
    <cellStyle name="DQR Gutter Default (OFF) - IBM Cognos" xfId="46" xr:uid="{D9277E8C-9100-4DF4-8CF3-C0BCCD6ECF06}"/>
    <cellStyle name="DQR Row 0 - IBM Cognos" xfId="47" xr:uid="{ACFEBD78-490A-47E5-83CA-EAA5304280C1}"/>
    <cellStyle name="DQR Row 1 - IBM Cognos" xfId="48" xr:uid="{066799F4-504D-4FC8-8E25-5DDE1D57D931}"/>
    <cellStyle name="DQR Row 2 - IBM Cognos" xfId="49" xr:uid="{EEFB884B-A642-44C6-AA47-E09278D7A2A6}"/>
    <cellStyle name="DQR Row 3 - IBM Cognos" xfId="50" xr:uid="{A7D1D892-87DE-4E26-AAF2-610841922C43}"/>
    <cellStyle name="DQR Row 4 - IBM Cognos" xfId="51" xr:uid="{A6F5B9F3-376A-4A51-B233-09343731E1FB}"/>
    <cellStyle name="DQR Row 5 - IBM Cognos" xfId="52" xr:uid="{1B57A39D-268C-461E-8DBD-D8290FCDD600}"/>
    <cellStyle name="DQR Row Default - IBM Cognos" xfId="53" xr:uid="{BC640FF8-E9EF-41C9-B338-91DED4717153}"/>
    <cellStyle name="DQR Row Leaf - IBM Cognos" xfId="54" xr:uid="{A3F96AEB-DB11-46E1-8B05-1A3A71E83645}"/>
    <cellStyle name="Edit - IBM Cognos" xfId="55" xr:uid="{EDF183A0-52B2-40F7-9120-455D9A2A57A6}"/>
    <cellStyle name="Formula - IBM Cognos" xfId="56" xr:uid="{AA5F8C1B-72AE-460E-A1F7-018467CC4DFF}"/>
    <cellStyle name="Group Name - IBM Cognos" xfId="57" xr:uid="{589E67FB-2477-4A5A-945C-64265F0B3951}"/>
    <cellStyle name="Hold Values - IBM Cognos" xfId="58" xr:uid="{F3C5B4B0-2C5B-47D6-9171-D614C1B0F295}"/>
    <cellStyle name="List Name - IBM Cognos" xfId="59" xr:uid="{8627F160-53C9-4AF3-AC8D-545910377817}"/>
    <cellStyle name="Locked - IBM Cognos" xfId="60" xr:uid="{A388D111-7B0B-4055-9083-E574CCFD9B98}"/>
    <cellStyle name="Measure - IBM Cognos" xfId="61" xr:uid="{F801C095-54B4-4777-8170-378B41CB3D55}"/>
    <cellStyle name="Measure Header - IBM Cognos" xfId="62" xr:uid="{C3252563-3F88-4D68-A766-77DABEBDE1E9}"/>
    <cellStyle name="Measure Name - IBM Cognos" xfId="63" xr:uid="{CCA74E0B-311C-450C-9016-568969D4DC4A}"/>
    <cellStyle name="Measure Summary - IBM Cognos" xfId="64" xr:uid="{7A1DC897-DDDB-4DF2-AB6B-CD4A01463909}"/>
    <cellStyle name="Measure Summary TM1 - IBM Cognos" xfId="65" xr:uid="{6B28B8CE-8144-4D86-9770-83EF7A5BA5E9}"/>
    <cellStyle name="Measure Template - IBM Cognos" xfId="66" xr:uid="{1C537FD7-6C3A-4303-97E1-F62B1726F894}"/>
    <cellStyle name="More - IBM Cognos" xfId="67" xr:uid="{8110321D-87B3-427A-AEEA-CA5808EEFDE8}"/>
    <cellStyle name="Normal" xfId="0" builtinId="0" customBuiltin="1"/>
    <cellStyle name="Pending Change - IBM Cognos" xfId="68" xr:uid="{1BD99DFE-B099-48E6-BC83-F3AB0C9B0AD9}"/>
    <cellStyle name="Row Name - IBM Cognos" xfId="69" xr:uid="{DE4738C9-48D9-4189-93C2-EA8C9D105A3E}"/>
    <cellStyle name="Row Template - IBM Cognos" xfId="70" xr:uid="{03BCB4BA-BD35-457D-8006-35ADED0F1841}"/>
    <cellStyle name="Summary Column Name - IBM Cognos" xfId="71" xr:uid="{58B4D997-DDF9-468A-A57F-22E49EFD4FF3}"/>
    <cellStyle name="Summary Column Name TM1 - IBM Cognos" xfId="72" xr:uid="{8600E8FC-A43E-4470-A30B-362495044887}"/>
    <cellStyle name="Summary Row Name - IBM Cognos" xfId="73" xr:uid="{47B88BB8-BB6F-486A-8087-B1FE84E5E8D1}"/>
    <cellStyle name="Summary Row Name TM1 - IBM Cognos" xfId="74" xr:uid="{BA0D7EBA-1571-444C-9A21-3F53EC1A8D9A}"/>
    <cellStyle name="Unsaved Change - IBM Cognos" xfId="75" xr:uid="{10ED619A-81AA-458D-B505-4A948B3DB187}"/>
  </cellStyles>
  <dxfs count="1">
    <dxf>
      <font>
        <color theme="0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8866-1A43-46F1-9AED-38DA6B38D275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CC58-3CAB-4FF8-B276-2DF1E78BC51F}">
  <dimension ref="A1:R3698"/>
  <sheetViews>
    <sheetView tabSelected="1" topLeftCell="C13" workbookViewId="0">
      <selection activeCell="C13" sqref="C13"/>
    </sheetView>
  </sheetViews>
  <sheetFormatPr defaultRowHeight="15" outlineLevelRow="1" outlineLevelCol="1" x14ac:dyDescent="0.25"/>
  <cols>
    <col min="1" max="1" width="9.140625" style="35" hidden="1" customWidth="1" outlineLevel="1"/>
    <col min="2" max="2" width="25.7109375" hidden="1" customWidth="1" outlineLevel="1"/>
    <col min="3" max="3" width="25.7109375" customWidth="1" collapsed="1"/>
    <col min="4" max="4" width="15.7109375" customWidth="1"/>
    <col min="5" max="5" width="14.7109375" customWidth="1"/>
    <col min="6" max="6" width="58" bestFit="1" customWidth="1"/>
    <col min="7" max="8" width="25.7109375" customWidth="1"/>
    <col min="9" max="9" width="12" customWidth="1"/>
    <col min="10" max="10" width="12" hidden="1" customWidth="1" outlineLevel="1"/>
    <col min="11" max="11" width="9.140625" collapsed="1"/>
  </cols>
  <sheetData>
    <row r="1" spans="1:18" s="35" customFormat="1" hidden="1" outlineLevel="1" x14ac:dyDescent="0.25">
      <c r="A1" s="35" t="str">
        <f>_xll.TM1RPTVIEW("TM1-S1_DEV:SP_Inventory:40479590",1,_xll.TM1RPTTITLE("TM1-S1_DEV:YEAR",$F$14),_xll.TM1RPTTITLE("TM1-S1_DEV:SP_Locations",$A$2),TM1RPTFMTRNG40479590,TM1RPTFMTIDCOL40479590)</f>
        <v>TM1-S1_DEV:SP_Inventory:40479590</v>
      </c>
      <c r="C1" s="45" t="s">
        <v>5</v>
      </c>
      <c r="D1" s="29" t="s">
        <v>2965</v>
      </c>
      <c r="E1" s="29" t="s">
        <v>2964</v>
      </c>
      <c r="F1" s="45" t="s">
        <v>6</v>
      </c>
      <c r="G1" s="45" t="s">
        <v>7</v>
      </c>
      <c r="H1" s="45" t="s">
        <v>8</v>
      </c>
      <c r="I1" s="45" t="s">
        <v>3104</v>
      </c>
    </row>
    <row r="2" spans="1:18" s="35" customFormat="1" hidden="1" outlineLevel="1" x14ac:dyDescent="0.25">
      <c r="A2" s="36" t="str">
        <f>_xll.SUBNM("TM1-S1_DEV:SP_Locations",,"No Store")</f>
        <v>No Store</v>
      </c>
    </row>
    <row r="3" spans="1:18" s="35" customFormat="1" ht="15.75" hidden="1" outlineLevel="1" thickBot="1" x14ac:dyDescent="0.3">
      <c r="B3" s="45" t="s">
        <v>0</v>
      </c>
    </row>
    <row r="4" spans="1:18" s="2" customFormat="1" hidden="1" outlineLevel="1" thickBot="1" x14ac:dyDescent="0.3">
      <c r="A4" s="37"/>
      <c r="B4" s="2">
        <v>0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47">
        <v>-123</v>
      </c>
      <c r="J4" s="4">
        <v>123.456789</v>
      </c>
    </row>
    <row r="5" spans="1:18" s="5" customFormat="1" hidden="1" outlineLevel="1" thickBot="1" x14ac:dyDescent="0.3">
      <c r="A5" s="38"/>
      <c r="B5" s="5">
        <v>1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48">
        <v>0</v>
      </c>
      <c r="J5" s="7">
        <v>123.456789</v>
      </c>
    </row>
    <row r="6" spans="1:18" s="8" customFormat="1" hidden="1" outlineLevel="1" thickBot="1" x14ac:dyDescent="0.3">
      <c r="A6" s="39"/>
      <c r="B6" s="8">
        <v>2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49">
        <v>123.456789</v>
      </c>
      <c r="J6" s="10">
        <v>123.456789</v>
      </c>
    </row>
    <row r="7" spans="1:18" s="11" customFormat="1" hidden="1" outlineLevel="1" thickBot="1" x14ac:dyDescent="0.3">
      <c r="A7" s="40"/>
      <c r="B7" s="11">
        <v>3</v>
      </c>
      <c r="C7" s="12" t="s">
        <v>4</v>
      </c>
      <c r="D7" s="12" t="s">
        <v>4</v>
      </c>
      <c r="E7" s="12" t="s">
        <v>4</v>
      </c>
      <c r="F7" s="12" t="s">
        <v>4</v>
      </c>
      <c r="G7" s="12" t="s">
        <v>4</v>
      </c>
      <c r="H7" s="12" t="s">
        <v>4</v>
      </c>
      <c r="I7" s="50">
        <v>123.456789</v>
      </c>
      <c r="J7" s="13">
        <v>123.456789</v>
      </c>
    </row>
    <row r="8" spans="1:18" s="14" customFormat="1" hidden="1" outlineLevel="1" thickBot="1" x14ac:dyDescent="0.3">
      <c r="A8" s="41"/>
      <c r="B8" s="14">
        <v>4</v>
      </c>
      <c r="C8" s="15" t="s">
        <v>4</v>
      </c>
      <c r="D8" s="15" t="s">
        <v>4</v>
      </c>
      <c r="E8" s="15" t="s">
        <v>4</v>
      </c>
      <c r="F8" s="15" t="s">
        <v>4</v>
      </c>
      <c r="G8" s="15" t="s">
        <v>4</v>
      </c>
      <c r="H8" s="15" t="s">
        <v>4</v>
      </c>
      <c r="I8" s="51">
        <v>123.456789</v>
      </c>
      <c r="J8" s="16">
        <v>123.456789</v>
      </c>
    </row>
    <row r="9" spans="1:18" s="17" customFormat="1" hidden="1" outlineLevel="1" thickBot="1" x14ac:dyDescent="0.3">
      <c r="A9" s="42"/>
      <c r="B9" s="17">
        <v>5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52">
        <v>123.456789</v>
      </c>
      <c r="J9" s="19">
        <v>123.456789</v>
      </c>
    </row>
    <row r="10" spans="1:18" s="20" customFormat="1" hidden="1" outlineLevel="1" thickBot="1" x14ac:dyDescent="0.3">
      <c r="A10" s="43"/>
      <c r="B10" s="30" t="s">
        <v>1</v>
      </c>
      <c r="C10" s="21" t="s">
        <v>4</v>
      </c>
      <c r="D10" s="21" t="s">
        <v>4</v>
      </c>
      <c r="E10" s="21" t="s">
        <v>4</v>
      </c>
      <c r="F10" s="21" t="s">
        <v>4</v>
      </c>
      <c r="G10" s="21" t="s">
        <v>4</v>
      </c>
      <c r="H10" s="21" t="s">
        <v>4</v>
      </c>
      <c r="I10" s="53">
        <v>123.456789</v>
      </c>
      <c r="J10" s="22">
        <v>123.456789</v>
      </c>
    </row>
    <row r="11" spans="1:18" s="23" customFormat="1" hidden="1" outlineLevel="1" thickBot="1" x14ac:dyDescent="0.3">
      <c r="A11" s="44"/>
      <c r="B11" s="31" t="s">
        <v>2</v>
      </c>
      <c r="C11" s="24" t="s">
        <v>4</v>
      </c>
      <c r="D11" s="24" t="s">
        <v>4</v>
      </c>
      <c r="E11" s="24" t="s">
        <v>4</v>
      </c>
      <c r="F11" s="24" t="s">
        <v>4</v>
      </c>
      <c r="G11" s="24" t="s">
        <v>4</v>
      </c>
      <c r="H11" s="24" t="s">
        <v>4</v>
      </c>
      <c r="I11" s="54">
        <v>0</v>
      </c>
      <c r="J11" s="25">
        <v>123.456789</v>
      </c>
    </row>
    <row r="12" spans="1:18" ht="15.75" hidden="1" outlineLevel="1" thickBot="1" x14ac:dyDescent="0.3">
      <c r="B12" s="1" t="s">
        <v>3</v>
      </c>
    </row>
    <row r="13" spans="1:18" collapsed="1" x14ac:dyDescent="0.25">
      <c r="L13" s="55" t="s">
        <v>3099</v>
      </c>
      <c r="M13" s="56"/>
      <c r="N13" s="56"/>
      <c r="O13" s="56"/>
      <c r="P13" s="56"/>
      <c r="Q13" s="56"/>
      <c r="R13" s="57"/>
    </row>
    <row r="14" spans="1:18" x14ac:dyDescent="0.25">
      <c r="E14" s="32" t="s">
        <v>2961</v>
      </c>
      <c r="F14" s="33" t="str">
        <f>_xll.SUBNM("TM1-S1_DEV:YEAR","Fiscal Year - Leaves","FY 26","MEMBER_NAME")</f>
        <v>FY 26</v>
      </c>
      <c r="L14" s="58" t="s">
        <v>3100</v>
      </c>
      <c r="M14" s="59"/>
      <c r="N14" s="59"/>
      <c r="O14" s="59"/>
      <c r="P14" s="59"/>
      <c r="Q14" s="59"/>
      <c r="R14" s="60"/>
    </row>
    <row r="15" spans="1:18" x14ac:dyDescent="0.25">
      <c r="E15" s="28" t="s">
        <v>2962</v>
      </c>
      <c r="F15" s="64" t="str">
        <f>_xll.SUBNM("TM1-S1_DEV:SP_Week","All Level 0","Wk 26")</f>
        <v>Wk 26</v>
      </c>
      <c r="L15" s="58" t="s">
        <v>3101</v>
      </c>
      <c r="M15" s="59"/>
      <c r="N15" s="59"/>
      <c r="O15" s="59"/>
      <c r="P15" s="59"/>
      <c r="Q15" s="59"/>
      <c r="R15" s="60"/>
    </row>
    <row r="16" spans="1:18" x14ac:dyDescent="0.25">
      <c r="L16" s="58" t="s">
        <v>3102</v>
      </c>
      <c r="M16" s="59"/>
      <c r="N16" s="59"/>
      <c r="O16" s="59"/>
      <c r="P16" s="59"/>
      <c r="Q16" s="59"/>
      <c r="R16" s="60"/>
    </row>
    <row r="17" spans="1:18" ht="15.75" thickBot="1" x14ac:dyDescent="0.3">
      <c r="L17" s="61" t="s">
        <v>3103</v>
      </c>
      <c r="M17" s="62"/>
      <c r="N17" s="62"/>
      <c r="O17" s="62"/>
      <c r="P17" s="62"/>
      <c r="Q17" s="62"/>
      <c r="R17" s="63"/>
    </row>
    <row r="18" spans="1:18" ht="21.75" thickBot="1" x14ac:dyDescent="0.4">
      <c r="C18" s="34" t="s">
        <v>2969</v>
      </c>
    </row>
    <row r="19" spans="1:18" ht="29.25" thickBot="1" x14ac:dyDescent="0.3">
      <c r="C19" s="27" t="s">
        <v>2960</v>
      </c>
      <c r="D19" s="27" t="s">
        <v>2963</v>
      </c>
      <c r="E19" s="27" t="s">
        <v>2964</v>
      </c>
      <c r="F19" s="27" t="s">
        <v>2959</v>
      </c>
      <c r="G19" s="27" t="s">
        <v>2966</v>
      </c>
      <c r="H19" s="27" t="s">
        <v>2967</v>
      </c>
      <c r="I19" s="46" t="s">
        <v>2968</v>
      </c>
      <c r="J19" s="46" t="s">
        <v>9</v>
      </c>
    </row>
    <row r="20" spans="1:18" s="23" customFormat="1" outlineLevel="1" thickBot="1" x14ac:dyDescent="0.3">
      <c r="A20" s="44"/>
      <c r="B20" s="31" t="str">
        <f>IF(_xll.TM1RPTELISCONSOLIDATED($H$20,$H20),IF(_xll.TM1RPTELLEV($H$20,$H20)&lt;=5,_xll.TM1RPTELLEV($H$20,$H20),"Default"),"Leaf")</f>
        <v>Leaf</v>
      </c>
      <c r="C20" s="26" t="str">
        <f>_xll.TM1RPTROW($A$1,"TM1-S1_DEV:SP_DistributionCenter",,,"MEMBER_NAME",FALSE,C$1)</f>
        <v>Brown Foodservice</v>
      </c>
      <c r="D20" s="24" t="str">
        <f>_xll.DBRW("TM1-S1_DEV:}ElementAttributes_SP_SKU",$F20,D$1)</f>
        <v>Primary</v>
      </c>
      <c r="E20" s="24" t="str">
        <f>_xll.DBRW("TM1-S1_DEV:}ElementAttributes_SP_SKU",$F20,E$1)</f>
        <v>PROTEIN</v>
      </c>
      <c r="F20" s="26" t="str">
        <f>_xll.TM1RPTROW($A$1,"TM1-S1_DEV:SP_SKU",,,"SKU Description",FALSE,F$1)</f>
        <v>100407 - HAM BI BROWN 13-17 4CT-FM</v>
      </c>
      <c r="G20" s="26" t="str">
        <f>_xll.TM1RPTROW($A$1,"TM1-S1_DEV:SP_DCItem",,,"MEMBER_NAME",FALSE,G$1)</f>
        <v>20202</v>
      </c>
      <c r="H20" s="26" t="str">
        <f>_xll.TM1RPTROW($A$1,"TM1-S1_DEV:SP_Manufacturer",,,"MEMBER_NAME",FALSE,H$1)</f>
        <v>Freshmark</v>
      </c>
      <c r="I20" s="54">
        <f>_xll.DBRW($A$1,$F$14,$F$15,$C20,$A$2,$F20,$G20,$H20,I$1)</f>
        <v>8</v>
      </c>
      <c r="J20" s="25">
        <f>_xll.DBRW($A$1,$F$14,$F$15,$C20,$A$2,$F20,$G20,$H20,J$19)</f>
        <v>18</v>
      </c>
    </row>
    <row r="21" spans="1:18" s="23" customFormat="1" outlineLevel="1" thickBot="1" x14ac:dyDescent="0.3">
      <c r="A21" s="44"/>
      <c r="B21" s="31" t="str">
        <f>IF(_xll.TM1RPTELISCONSOLIDATED($H$20,$H21),IF(_xll.TM1RPTELLEV($H$20,$H21)&lt;=5,_xll.TM1RPTELLEV($H$20,$H21),"Default"),"Leaf")</f>
        <v>Leaf</v>
      </c>
      <c r="C21" s="26" t="s">
        <v>10</v>
      </c>
      <c r="D21" s="24" t="str">
        <f>_xll.DBRW("TM1-S1_DEV:}ElementAttributes_SP_SKU",$F21,D$1)</f>
        <v>Primary</v>
      </c>
      <c r="E21" s="24" t="str">
        <f>_xll.DBRW("TM1-S1_DEV:}ElementAttributes_SP_SKU",$F21,E$1)</f>
        <v>PROTEIN</v>
      </c>
      <c r="F21" s="26" t="s">
        <v>3105</v>
      </c>
      <c r="G21" s="26" t="s">
        <v>632</v>
      </c>
      <c r="H21" s="26" t="s">
        <v>2670</v>
      </c>
      <c r="I21" s="54">
        <f>_xll.DBRW($A$1,$F$14,$F$15,$C21,$A$2,$F21,$G21,$H21,I$1)</f>
        <v>1490</v>
      </c>
      <c r="J21" s="25">
        <f>_xll.DBRW($A$1,$F$14,$F$15,$C21,$A$2,$F21,$G21,$H21,J$19)</f>
        <v>24</v>
      </c>
    </row>
    <row r="22" spans="1:18" s="23" customFormat="1" outlineLevel="1" thickBot="1" x14ac:dyDescent="0.3">
      <c r="A22" s="44"/>
      <c r="B22" s="31" t="str">
        <f>IF(_xll.TM1RPTELISCONSOLIDATED($H$20,$H22),IF(_xll.TM1RPTELLEV($H$20,$H22)&lt;=5,_xll.TM1RPTELLEV($H$20,$H22),"Default"),"Leaf")</f>
        <v>Leaf</v>
      </c>
      <c r="C22" s="26" t="s">
        <v>10</v>
      </c>
      <c r="D22" s="24" t="str">
        <f>_xll.DBRW("TM1-S1_DEV:}ElementAttributes_SP_SKU",$F22,D$1)</f>
        <v>Primary</v>
      </c>
      <c r="E22" s="24" t="str">
        <f>_xll.DBRW("TM1-S1_DEV:}ElementAttributes_SP_SKU",$F22,E$1)</f>
        <v>PROTEIN</v>
      </c>
      <c r="F22" s="26" t="s">
        <v>3106</v>
      </c>
      <c r="G22" s="26" t="s">
        <v>633</v>
      </c>
      <c r="H22" s="26" t="s">
        <v>2670</v>
      </c>
      <c r="I22" s="54">
        <f>_xll.DBRW($A$1,$F$14,$F$15,$C22,$A$2,$F22,$G22,$H22,I$1)</f>
        <v>956</v>
      </c>
      <c r="J22" s="25">
        <f>_xll.DBRW($A$1,$F$14,$F$15,$C22,$A$2,$F22,$G22,$H22,J$19)</f>
        <v>-15</v>
      </c>
    </row>
    <row r="23" spans="1:18" s="23" customFormat="1" outlineLevel="1" thickBot="1" x14ac:dyDescent="0.3">
      <c r="A23" s="44"/>
      <c r="B23" s="31" t="str">
        <f>IF(_xll.TM1RPTELISCONSOLIDATED($H$20,$H23),IF(_xll.TM1RPTELLEV($H$20,$H23)&lt;=5,_xll.TM1RPTELLEV($H$20,$H23),"Default"),"Leaf")</f>
        <v>Leaf</v>
      </c>
      <c r="C23" s="26" t="s">
        <v>10</v>
      </c>
      <c r="D23" s="24" t="str">
        <f>_xll.DBRW("TM1-S1_DEV:}ElementAttributes_SP_SKU",$F23,D$1)</f>
        <v>Primary</v>
      </c>
      <c r="E23" s="24" t="str">
        <f>_xll.DBRW("TM1-S1_DEV:}ElementAttributes_SP_SKU",$F23,E$1)</f>
        <v>HAM</v>
      </c>
      <c r="F23" s="26" t="s">
        <v>3107</v>
      </c>
      <c r="G23" s="26" t="s">
        <v>634</v>
      </c>
      <c r="H23" s="26" t="s">
        <v>2670</v>
      </c>
      <c r="I23" s="54">
        <f>_xll.DBRW($A$1,$F$14,$F$15,$C23,$A$2,$F23,$G23,$H23,I$1)</f>
        <v>127</v>
      </c>
      <c r="J23" s="25">
        <f>_xll.DBRW($A$1,$F$14,$F$15,$C23,$A$2,$F23,$G23,$H23,J$19)</f>
        <v>0</v>
      </c>
    </row>
    <row r="24" spans="1:18" s="23" customFormat="1" outlineLevel="1" thickBot="1" x14ac:dyDescent="0.3">
      <c r="A24" s="44"/>
      <c r="B24" s="31" t="str">
        <f>IF(_xll.TM1RPTELISCONSOLIDATED($H$20,$H24),IF(_xll.TM1RPTELLEV($H$20,$H24)&lt;=5,_xll.TM1RPTELLEV($H$20,$H24),"Default"),"Leaf")</f>
        <v>Leaf</v>
      </c>
      <c r="C24" s="26" t="s">
        <v>10</v>
      </c>
      <c r="D24" s="24" t="str">
        <f>_xll.DBRW("TM1-S1_DEV:}ElementAttributes_SP_SKU",$F24,D$1)</f>
        <v>Primary</v>
      </c>
      <c r="E24" s="24" t="str">
        <f>_xll.DBRW("TM1-S1_DEV:}ElementAttributes_SP_SKU",$F24,E$1)</f>
        <v>HAM</v>
      </c>
      <c r="F24" s="26" t="s">
        <v>3108</v>
      </c>
      <c r="G24" s="26" t="s">
        <v>635</v>
      </c>
      <c r="H24" s="26" t="s">
        <v>2670</v>
      </c>
      <c r="I24" s="54">
        <f>_xll.DBRW($A$1,$F$14,$F$15,$C24,$A$2,$F24,$G24,$H24,I$1)</f>
        <v>200</v>
      </c>
      <c r="J24" s="25">
        <f>_xll.DBRW($A$1,$F$14,$F$15,$C24,$A$2,$F24,$G24,$H24,J$19)</f>
        <v>0</v>
      </c>
    </row>
    <row r="25" spans="1:18" s="23" customFormat="1" outlineLevel="1" thickBot="1" x14ac:dyDescent="0.3">
      <c r="A25" s="44"/>
      <c r="B25" s="31" t="str">
        <f>IF(_xll.TM1RPTELISCONSOLIDATED($H$20,$H25),IF(_xll.TM1RPTELLEV($H$20,$H25)&lt;=5,_xll.TM1RPTELLEV($H$20,$H25),"Default"),"Leaf")</f>
        <v>Leaf</v>
      </c>
      <c r="C25" s="26" t="s">
        <v>10</v>
      </c>
      <c r="D25" s="24" t="str">
        <f>_xll.DBRW("TM1-S1_DEV:}ElementAttributes_SP_SKU",$F25,D$1)</f>
        <v>Primary</v>
      </c>
      <c r="E25" s="24" t="str">
        <f>_xll.DBRW("TM1-S1_DEV:}ElementAttributes_SP_SKU",$F25,E$1)</f>
        <v>HAM</v>
      </c>
      <c r="F25" s="26" t="s">
        <v>3109</v>
      </c>
      <c r="G25" s="26" t="s">
        <v>636</v>
      </c>
      <c r="H25" s="26" t="s">
        <v>2670</v>
      </c>
      <c r="I25" s="54">
        <f>_xll.DBRW($A$1,$F$14,$F$15,$C25,$A$2,$F25,$G25,$H25,I$1)</f>
        <v>767</v>
      </c>
      <c r="J25" s="25">
        <f>_xll.DBRW($A$1,$F$14,$F$15,$C25,$A$2,$F25,$G25,$H25,J$19)</f>
        <v>5</v>
      </c>
    </row>
    <row r="26" spans="1:18" s="23" customFormat="1" outlineLevel="1" thickBot="1" x14ac:dyDescent="0.3">
      <c r="A26" s="44"/>
      <c r="B26" s="31" t="str">
        <f>IF(_xll.TM1RPTELISCONSOLIDATED($H$20,$H26),IF(_xll.TM1RPTELLEV($H$20,$H26)&lt;=5,_xll.TM1RPTELLEV($H$20,$H26),"Default"),"Leaf")</f>
        <v>Leaf</v>
      </c>
      <c r="C26" s="26" t="s">
        <v>10</v>
      </c>
      <c r="D26" s="24" t="str">
        <f>_xll.DBRW("TM1-S1_DEV:}ElementAttributes_SP_SKU",$F26,D$1)</f>
        <v>Primary</v>
      </c>
      <c r="E26" s="24" t="str">
        <f>_xll.DBRW("TM1-S1_DEV:}ElementAttributes_SP_SKU",$F26,E$1)</f>
        <v>TURKEY</v>
      </c>
      <c r="F26" s="26" t="s">
        <v>3110</v>
      </c>
      <c r="G26" s="26" t="s">
        <v>638</v>
      </c>
      <c r="H26" s="26" t="s">
        <v>2671</v>
      </c>
      <c r="I26" s="54">
        <f>_xll.DBRW($A$1,$F$14,$F$15,$C26,$A$2,$F26,$G26,$H26,I$1)</f>
        <v>307</v>
      </c>
      <c r="J26" s="25">
        <f>_xll.DBRW($A$1,$F$14,$F$15,$C26,$A$2,$F26,$G26,$H26,J$19)</f>
        <v>-32</v>
      </c>
    </row>
    <row r="27" spans="1:18" s="23" customFormat="1" outlineLevel="1" thickBot="1" x14ac:dyDescent="0.3">
      <c r="A27" s="44"/>
      <c r="B27" s="31" t="str">
        <f>IF(_xll.TM1RPTELISCONSOLIDATED($H$20,$H27),IF(_xll.TM1RPTELLEV($H$20,$H27)&lt;=5,_xll.TM1RPTELLEV($H$20,$H27),"Default"),"Leaf")</f>
        <v>Leaf</v>
      </c>
      <c r="C27" s="26" t="s">
        <v>10</v>
      </c>
      <c r="D27" s="24" t="str">
        <f>_xll.DBRW("TM1-S1_DEV:}ElementAttributes_SP_SKU",$F27,D$1)</f>
        <v>Primary</v>
      </c>
      <c r="E27" s="24" t="str">
        <f>_xll.DBRW("TM1-S1_DEV:}ElementAttributes_SP_SKU",$F27,E$1)</f>
        <v>TURKEY</v>
      </c>
      <c r="F27" s="26" t="s">
        <v>3111</v>
      </c>
      <c r="G27" s="26" t="s">
        <v>639</v>
      </c>
      <c r="H27" s="26" t="s">
        <v>2671</v>
      </c>
      <c r="I27" s="54">
        <f>_xll.DBRW($A$1,$F$14,$F$15,$C27,$A$2,$F27,$G27,$H27,I$1)</f>
        <v>262</v>
      </c>
      <c r="J27" s="25">
        <f>_xll.DBRW($A$1,$F$14,$F$15,$C27,$A$2,$F27,$G27,$H27,J$19)</f>
        <v>-26</v>
      </c>
    </row>
    <row r="28" spans="1:18" s="23" customFormat="1" outlineLevel="1" thickBot="1" x14ac:dyDescent="0.3">
      <c r="A28" s="44"/>
      <c r="B28" s="31" t="str">
        <f>IF(_xll.TM1RPTELISCONSOLIDATED($H$20,$H28),IF(_xll.TM1RPTELLEV($H$20,$H28)&lt;=5,_xll.TM1RPTELLEV($H$20,$H28),"Default"),"Leaf")</f>
        <v>Leaf</v>
      </c>
      <c r="C28" s="26" t="s">
        <v>10</v>
      </c>
      <c r="D28" s="24" t="str">
        <f>_xll.DBRW("TM1-S1_DEV:}ElementAttributes_SP_SKU",$F28,D$1)</f>
        <v>Primary</v>
      </c>
      <c r="E28" s="24" t="str">
        <f>_xll.DBRW("TM1-S1_DEV:}ElementAttributes_SP_SKU",$F28,E$1)</f>
        <v>PROTEIN</v>
      </c>
      <c r="F28" s="26" t="s">
        <v>3112</v>
      </c>
      <c r="G28" s="26" t="s">
        <v>640</v>
      </c>
      <c r="H28" s="26" t="s">
        <v>2672</v>
      </c>
      <c r="I28" s="54">
        <f>_xll.DBRW($A$1,$F$14,$F$15,$C28,$A$2,$F28,$G28,$H28,I$1)</f>
        <v>6</v>
      </c>
      <c r="J28" s="25">
        <f>_xll.DBRW($A$1,$F$14,$F$15,$C28,$A$2,$F28,$G28,$H28,J$19)</f>
        <v>1</v>
      </c>
    </row>
    <row r="29" spans="1:18" s="23" customFormat="1" outlineLevel="1" thickBot="1" x14ac:dyDescent="0.3">
      <c r="A29" s="44"/>
      <c r="B29" s="31" t="str">
        <f>IF(_xll.TM1RPTELISCONSOLIDATED($H$20,$H29),IF(_xll.TM1RPTELLEV($H$20,$H29)&lt;=5,_xll.TM1RPTELLEV($H$20,$H29),"Default"),"Leaf")</f>
        <v>Leaf</v>
      </c>
      <c r="C29" s="26" t="s">
        <v>10</v>
      </c>
      <c r="D29" s="24" t="str">
        <f>_xll.DBRW("TM1-S1_DEV:}ElementAttributes_SP_SKU",$F29,D$1)</f>
        <v>Primary</v>
      </c>
      <c r="E29" s="24" t="str">
        <f>_xll.DBRW("TM1-S1_DEV:}ElementAttributes_SP_SKU",$F29,E$1)</f>
        <v>PROTEIN</v>
      </c>
      <c r="F29" s="26" t="s">
        <v>3113</v>
      </c>
      <c r="G29" s="26" t="s">
        <v>641</v>
      </c>
      <c r="H29" s="26" t="s">
        <v>2673</v>
      </c>
      <c r="I29" s="54">
        <f>_xll.DBRW($A$1,$F$14,$F$15,$C29,$A$2,$F29,$G29,$H29,I$1)</f>
        <v>4</v>
      </c>
      <c r="J29" s="25">
        <f>_xll.DBRW($A$1,$F$14,$F$15,$C29,$A$2,$F29,$G29,$H29,J$19)</f>
        <v>4</v>
      </c>
    </row>
    <row r="30" spans="1:18" s="23" customFormat="1" outlineLevel="1" thickBot="1" x14ac:dyDescent="0.3">
      <c r="A30" s="44"/>
      <c r="B30" s="31" t="str">
        <f>IF(_xll.TM1RPTELISCONSOLIDATED($H$20,$H30),IF(_xll.TM1RPTELLEV($H$20,$H30)&lt;=5,_xll.TM1RPTELLEV($H$20,$H30),"Default"),"Leaf")</f>
        <v>Leaf</v>
      </c>
      <c r="C30" s="26" t="s">
        <v>10</v>
      </c>
      <c r="D30" s="24" t="str">
        <f>_xll.DBRW("TM1-S1_DEV:}ElementAttributes_SP_SKU",$F30,D$1)</f>
        <v>Primary</v>
      </c>
      <c r="E30" s="24" t="str">
        <f>_xll.DBRW("TM1-S1_DEV:}ElementAttributes_SP_SKU",$F30,E$1)</f>
        <v>PROTEIN</v>
      </c>
      <c r="F30" s="26" t="s">
        <v>3114</v>
      </c>
      <c r="G30" s="26" t="s">
        <v>642</v>
      </c>
      <c r="H30" s="26" t="s">
        <v>2672</v>
      </c>
      <c r="I30" s="54">
        <f>_xll.DBRW($A$1,$F$14,$F$15,$C30,$A$2,$F30,$G30,$H30,I$1)</f>
        <v>26</v>
      </c>
      <c r="J30" s="25">
        <f>_xll.DBRW($A$1,$F$14,$F$15,$C30,$A$2,$F30,$G30,$H30,J$19)</f>
        <v>12</v>
      </c>
    </row>
    <row r="31" spans="1:18" s="23" customFormat="1" outlineLevel="1" thickBot="1" x14ac:dyDescent="0.3">
      <c r="A31" s="44"/>
      <c r="B31" s="31" t="str">
        <f>IF(_xll.TM1RPTELISCONSOLIDATED($H$20,$H31),IF(_xll.TM1RPTELLEV($H$20,$H31)&lt;=5,_xll.TM1RPTELLEV($H$20,$H31),"Default"),"Leaf")</f>
        <v>Leaf</v>
      </c>
      <c r="C31" s="26" t="s">
        <v>10</v>
      </c>
      <c r="D31" s="24" t="str">
        <f>_xll.DBRW("TM1-S1_DEV:}ElementAttributes_SP_SKU",$F31,D$1)</f>
        <v>Primary</v>
      </c>
      <c r="E31" s="24" t="str">
        <f>_xll.DBRW("TM1-S1_DEV:}ElementAttributes_SP_SKU",$F31,E$1)</f>
        <v>PROTEIN</v>
      </c>
      <c r="F31" s="26" t="s">
        <v>3115</v>
      </c>
      <c r="G31" s="26" t="s">
        <v>643</v>
      </c>
      <c r="H31" s="26" t="s">
        <v>2672</v>
      </c>
      <c r="I31" s="54">
        <f>_xll.DBRW($A$1,$F$14,$F$15,$C31,$A$2,$F31,$G31,$H31,I$1)</f>
        <v>10</v>
      </c>
      <c r="J31" s="25">
        <f>_xll.DBRW($A$1,$F$14,$F$15,$C31,$A$2,$F31,$G31,$H31,J$19)</f>
        <v>6</v>
      </c>
    </row>
    <row r="32" spans="1:18" s="23" customFormat="1" outlineLevel="1" thickBot="1" x14ac:dyDescent="0.3">
      <c r="A32" s="44"/>
      <c r="B32" s="31" t="str">
        <f>IF(_xll.TM1RPTELISCONSOLIDATED($H$20,$H32),IF(_xll.TM1RPTELLEV($H$20,$H32)&lt;=5,_xll.TM1RPTELLEV($H$20,$H32),"Default"),"Leaf")</f>
        <v>Leaf</v>
      </c>
      <c r="C32" s="26" t="s">
        <v>10</v>
      </c>
      <c r="D32" s="24" t="str">
        <f>_xll.DBRW("TM1-S1_DEV:}ElementAttributes_SP_SKU",$F32,D$1)</f>
        <v>Primary</v>
      </c>
      <c r="E32" s="24" t="str">
        <f>_xll.DBRW("TM1-S1_DEV:}ElementAttributes_SP_SKU",$F32,E$1)</f>
        <v>SOUP</v>
      </c>
      <c r="F32" s="26" t="s">
        <v>3116</v>
      </c>
      <c r="G32" s="26" t="s">
        <v>644</v>
      </c>
      <c r="H32" s="26" t="s">
        <v>2674</v>
      </c>
      <c r="I32" s="54">
        <f>_xll.DBRW($A$1,$F$14,$F$15,$C32,$A$2,$F32,$G32,$H32,I$1)</f>
        <v>8</v>
      </c>
      <c r="J32" s="25">
        <f>_xll.DBRW($A$1,$F$14,$F$15,$C32,$A$2,$F32,$G32,$H32,J$19)</f>
        <v>3</v>
      </c>
    </row>
    <row r="33" spans="1:10" s="23" customFormat="1" outlineLevel="1" thickBot="1" x14ac:dyDescent="0.3">
      <c r="A33" s="44"/>
      <c r="B33" s="31" t="str">
        <f>IF(_xll.TM1RPTELISCONSOLIDATED($H$20,$H33),IF(_xll.TM1RPTELLEV($H$20,$H33)&lt;=5,_xll.TM1RPTELLEV($H$20,$H33),"Default"),"Leaf")</f>
        <v>Leaf</v>
      </c>
      <c r="C33" s="26" t="s">
        <v>10</v>
      </c>
      <c r="D33" s="24" t="str">
        <f>_xll.DBRW("TM1-S1_DEV:}ElementAttributes_SP_SKU",$F33,D$1)</f>
        <v>Primary</v>
      </c>
      <c r="E33" s="24" t="str">
        <f>_xll.DBRW("TM1-S1_DEV:}ElementAttributes_SP_SKU",$F33,E$1)</f>
        <v>SOUP</v>
      </c>
      <c r="F33" s="26" t="s">
        <v>3117</v>
      </c>
      <c r="G33" s="26" t="s">
        <v>645</v>
      </c>
      <c r="H33" s="26" t="s">
        <v>2674</v>
      </c>
      <c r="I33" s="54">
        <f>_xll.DBRW($A$1,$F$14,$F$15,$C33,$A$2,$F33,$G33,$H33,I$1)</f>
        <v>13</v>
      </c>
      <c r="J33" s="25">
        <f>_xll.DBRW($A$1,$F$14,$F$15,$C33,$A$2,$F33,$G33,$H33,J$19)</f>
        <v>4</v>
      </c>
    </row>
    <row r="34" spans="1:10" s="23" customFormat="1" outlineLevel="1" thickBot="1" x14ac:dyDescent="0.3">
      <c r="A34" s="44"/>
      <c r="B34" s="31" t="str">
        <f>IF(_xll.TM1RPTELISCONSOLIDATED($H$20,$H34),IF(_xll.TM1RPTELLEV($H$20,$H34)&lt;=5,_xll.TM1RPTELLEV($H$20,$H34),"Default"),"Leaf")</f>
        <v>Leaf</v>
      </c>
      <c r="C34" s="26" t="s">
        <v>10</v>
      </c>
      <c r="D34" s="24" t="str">
        <f>_xll.DBRW("TM1-S1_DEV:}ElementAttributes_SP_SKU",$F34,D$1)</f>
        <v>Primary</v>
      </c>
      <c r="E34" s="24" t="str">
        <f>_xll.DBRW("TM1-S1_DEV:}ElementAttributes_SP_SKU",$F34,E$1)</f>
        <v>SOUP</v>
      </c>
      <c r="F34" s="26" t="s">
        <v>3118</v>
      </c>
      <c r="G34" s="26" t="s">
        <v>646</v>
      </c>
      <c r="H34" s="26" t="s">
        <v>2674</v>
      </c>
      <c r="I34" s="54">
        <f>_xll.DBRW($A$1,$F$14,$F$15,$C34,$A$2,$F34,$G34,$H34,I$1)</f>
        <v>11</v>
      </c>
      <c r="J34" s="25">
        <f>_xll.DBRW($A$1,$F$14,$F$15,$C34,$A$2,$F34,$G34,$H34,J$19)</f>
        <v>3</v>
      </c>
    </row>
    <row r="35" spans="1:10" s="23" customFormat="1" outlineLevel="1" thickBot="1" x14ac:dyDescent="0.3">
      <c r="A35" s="44"/>
      <c r="B35" s="31" t="str">
        <f>IF(_xll.TM1RPTELISCONSOLIDATED($H$20,$H35),IF(_xll.TM1RPTELLEV($H$20,$H35)&lt;=5,_xll.TM1RPTELLEV($H$20,$H35),"Default"),"Leaf")</f>
        <v>Leaf</v>
      </c>
      <c r="C35" s="26" t="s">
        <v>10</v>
      </c>
      <c r="D35" s="24" t="str">
        <f>_xll.DBRW("TM1-S1_DEV:}ElementAttributes_SP_SKU",$F35,D$1)</f>
        <v>Primary</v>
      </c>
      <c r="E35" s="24" t="str">
        <f>_xll.DBRW("TM1-S1_DEV:}ElementAttributes_SP_SKU",$F35,E$1)</f>
        <v>PROTEIN</v>
      </c>
      <c r="F35" s="26" t="s">
        <v>3119</v>
      </c>
      <c r="G35" s="26" t="s">
        <v>647</v>
      </c>
      <c r="H35" s="26" t="s">
        <v>2670</v>
      </c>
      <c r="I35" s="54">
        <f>_xll.DBRW($A$1,$F$14,$F$15,$C35,$A$2,$F35,$G35,$H35,I$1)</f>
        <v>15</v>
      </c>
      <c r="J35" s="25">
        <f>_xll.DBRW($A$1,$F$14,$F$15,$C35,$A$2,$F35,$G35,$H35,J$19)</f>
        <v>10</v>
      </c>
    </row>
    <row r="36" spans="1:10" s="23" customFormat="1" outlineLevel="1" thickBot="1" x14ac:dyDescent="0.3">
      <c r="A36" s="44"/>
      <c r="B36" s="31" t="str">
        <f>IF(_xll.TM1RPTELISCONSOLIDATED($H$20,$H36),IF(_xll.TM1RPTELLEV($H$20,$H36)&lt;=5,_xll.TM1RPTELLEV($H$20,$H36),"Default"),"Leaf")</f>
        <v>Leaf</v>
      </c>
      <c r="C36" s="26" t="s">
        <v>10</v>
      </c>
      <c r="D36" s="24" t="str">
        <f>_xll.DBRW("TM1-S1_DEV:}ElementAttributes_SP_SKU",$F36,D$1)</f>
        <v>Primary</v>
      </c>
      <c r="E36" s="24" t="str">
        <f>_xll.DBRW("TM1-S1_DEV:}ElementAttributes_SP_SKU",$F36,E$1)</f>
        <v>PROTEIN</v>
      </c>
      <c r="F36" s="26" t="s">
        <v>3120</v>
      </c>
      <c r="G36" s="26" t="s">
        <v>648</v>
      </c>
      <c r="H36" s="26" t="s">
        <v>2670</v>
      </c>
      <c r="I36" s="54">
        <f>_xll.DBRW($A$1,$F$14,$F$15,$C36,$A$2,$F36,$G36,$H36,I$1)</f>
        <v>1</v>
      </c>
      <c r="J36" s="25">
        <f>_xll.DBRW($A$1,$F$14,$F$15,$C36,$A$2,$F36,$G36,$H36,J$19)</f>
        <v>1</v>
      </c>
    </row>
    <row r="37" spans="1:10" s="23" customFormat="1" outlineLevel="1" thickBot="1" x14ac:dyDescent="0.3">
      <c r="A37" s="44"/>
      <c r="B37" s="31" t="str">
        <f>IF(_xll.TM1RPTELISCONSOLIDATED($H$20,$H37),IF(_xll.TM1RPTELLEV($H$20,$H37)&lt;=5,_xll.TM1RPTELLEV($H$20,$H37),"Default"),"Leaf")</f>
        <v>Leaf</v>
      </c>
      <c r="C37" s="26" t="s">
        <v>10</v>
      </c>
      <c r="D37" s="24" t="str">
        <f>_xll.DBRW("TM1-S1_DEV:}ElementAttributes_SP_SKU",$F37,D$1)</f>
        <v>Primary</v>
      </c>
      <c r="E37" s="24" t="str">
        <f>_xll.DBRW("TM1-S1_DEV:}ElementAttributes_SP_SKU",$F37,E$1)</f>
        <v>SOUP</v>
      </c>
      <c r="F37" s="26" t="s">
        <v>3121</v>
      </c>
      <c r="G37" s="26" t="s">
        <v>649</v>
      </c>
      <c r="H37" s="26" t="s">
        <v>2675</v>
      </c>
      <c r="I37" s="54">
        <f>_xll.DBRW($A$1,$F$14,$F$15,$C37,$A$2,$F37,$G37,$H37,I$1)</f>
        <v>4</v>
      </c>
      <c r="J37" s="25">
        <f>_xll.DBRW($A$1,$F$14,$F$15,$C37,$A$2,$F37,$G37,$H37,J$19)</f>
        <v>4</v>
      </c>
    </row>
    <row r="38" spans="1:10" s="23" customFormat="1" outlineLevel="1" thickBot="1" x14ac:dyDescent="0.3">
      <c r="A38" s="44"/>
      <c r="B38" s="31" t="str">
        <f>IF(_xll.TM1RPTELISCONSOLIDATED($H$20,$H38),IF(_xll.TM1RPTELLEV($H$20,$H38)&lt;=5,_xll.TM1RPTELLEV($H$20,$H38),"Default"),"Leaf")</f>
        <v>Leaf</v>
      </c>
      <c r="C38" s="26" t="s">
        <v>10</v>
      </c>
      <c r="D38" s="24" t="str">
        <f>_xll.DBRW("TM1-S1_DEV:}ElementAttributes_SP_SKU",$F38,D$1)</f>
        <v>Primary</v>
      </c>
      <c r="E38" s="24" t="str">
        <f>_xll.DBRW("TM1-S1_DEV:}ElementAttributes_SP_SKU",$F38,E$1)</f>
        <v>SOUP</v>
      </c>
      <c r="F38" s="26" t="s">
        <v>3122</v>
      </c>
      <c r="G38" s="26" t="s">
        <v>650</v>
      </c>
      <c r="H38" s="26" t="s">
        <v>2675</v>
      </c>
      <c r="I38" s="54">
        <f>_xll.DBRW($A$1,$F$14,$F$15,$C38,$A$2,$F38,$G38,$H38,I$1)</f>
        <v>4</v>
      </c>
      <c r="J38" s="25">
        <f>_xll.DBRW($A$1,$F$14,$F$15,$C38,$A$2,$F38,$G38,$H38,J$19)</f>
        <v>4</v>
      </c>
    </row>
    <row r="39" spans="1:10" s="23" customFormat="1" outlineLevel="1" thickBot="1" x14ac:dyDescent="0.3">
      <c r="A39" s="44"/>
      <c r="B39" s="31" t="str">
        <f>IF(_xll.TM1RPTELISCONSOLIDATED($H$20,$H39),IF(_xll.TM1RPTELLEV($H$20,$H39)&lt;=5,_xll.TM1RPTELLEV($H$20,$H39),"Default"),"Leaf")</f>
        <v>Leaf</v>
      </c>
      <c r="C39" s="26" t="s">
        <v>10</v>
      </c>
      <c r="D39" s="24" t="str">
        <f>_xll.DBRW("TM1-S1_DEV:}ElementAttributes_SP_SKU",$F39,D$1)</f>
        <v>Primary</v>
      </c>
      <c r="E39" s="24" t="str">
        <f>_xll.DBRW("TM1-S1_DEV:}ElementAttributes_SP_SKU",$F39,E$1)</f>
        <v>SIDES</v>
      </c>
      <c r="F39" s="26" t="s">
        <v>3123</v>
      </c>
      <c r="G39" s="26" t="s">
        <v>651</v>
      </c>
      <c r="H39" s="26" t="s">
        <v>2676</v>
      </c>
      <c r="I39" s="54">
        <f>_xll.DBRW($A$1,$F$14,$F$15,$C39,$A$2,$F39,$G39,$H39,I$1)</f>
        <v>55</v>
      </c>
      <c r="J39" s="25">
        <f>_xll.DBRW($A$1,$F$14,$F$15,$C39,$A$2,$F39,$G39,$H39,J$19)</f>
        <v>21</v>
      </c>
    </row>
    <row r="40" spans="1:10" s="23" customFormat="1" outlineLevel="1" thickBot="1" x14ac:dyDescent="0.3">
      <c r="A40" s="44"/>
      <c r="B40" s="31" t="str">
        <f>IF(_xll.TM1RPTELISCONSOLIDATED($H$20,$H40),IF(_xll.TM1RPTELLEV($H$20,$H40)&lt;=5,_xll.TM1RPTELLEV($H$20,$H40),"Default"),"Leaf")</f>
        <v>Leaf</v>
      </c>
      <c r="C40" s="26" t="s">
        <v>10</v>
      </c>
      <c r="D40" s="24" t="str">
        <f>_xll.DBRW("TM1-S1_DEV:}ElementAttributes_SP_SKU",$F40,D$1)</f>
        <v>Primary</v>
      </c>
      <c r="E40" s="24" t="str">
        <f>_xll.DBRW("TM1-S1_DEV:}ElementAttributes_SP_SKU",$F40,E$1)</f>
        <v>SIDES</v>
      </c>
      <c r="F40" s="26" t="s">
        <v>3124</v>
      </c>
      <c r="G40" s="26" t="s">
        <v>652</v>
      </c>
      <c r="H40" s="26" t="s">
        <v>2676</v>
      </c>
      <c r="I40" s="54">
        <f>_xll.DBRW($A$1,$F$14,$F$15,$C40,$A$2,$F40,$G40,$H40,I$1)</f>
        <v>58</v>
      </c>
      <c r="J40" s="25">
        <f>_xll.DBRW($A$1,$F$14,$F$15,$C40,$A$2,$F40,$G40,$H40,J$19)</f>
        <v>10</v>
      </c>
    </row>
    <row r="41" spans="1:10" s="23" customFormat="1" outlineLevel="1" thickBot="1" x14ac:dyDescent="0.3">
      <c r="A41" s="44"/>
      <c r="B41" s="31" t="str">
        <f>IF(_xll.TM1RPTELISCONSOLIDATED($H$20,$H41),IF(_xll.TM1RPTELLEV($H$20,$H41)&lt;=5,_xll.TM1RPTELLEV($H$20,$H41),"Default"),"Leaf")</f>
        <v>Leaf</v>
      </c>
      <c r="C41" s="26" t="s">
        <v>10</v>
      </c>
      <c r="D41" s="24" t="str">
        <f>_xll.DBRW("TM1-S1_DEV:}ElementAttributes_SP_SKU",$F41,D$1)</f>
        <v>Primary</v>
      </c>
      <c r="E41" s="24" t="str">
        <f>_xll.DBRW("TM1-S1_DEV:}ElementAttributes_SP_SKU",$F41,E$1)</f>
        <v>SIDES</v>
      </c>
      <c r="F41" s="26" t="s">
        <v>3125</v>
      </c>
      <c r="G41" s="26" t="s">
        <v>653</v>
      </c>
      <c r="H41" s="26" t="s">
        <v>2676</v>
      </c>
      <c r="I41" s="54">
        <f>_xll.DBRW($A$1,$F$14,$F$15,$C41,$A$2,$F41,$G41,$H41,I$1)</f>
        <v>36</v>
      </c>
      <c r="J41" s="25">
        <f>_xll.DBRW($A$1,$F$14,$F$15,$C41,$A$2,$F41,$G41,$H41,J$19)</f>
        <v>36</v>
      </c>
    </row>
    <row r="42" spans="1:10" s="23" customFormat="1" outlineLevel="1" thickBot="1" x14ac:dyDescent="0.3">
      <c r="A42" s="44"/>
      <c r="B42" s="31" t="str">
        <f>IF(_xll.TM1RPTELISCONSOLIDATED($H$20,$H42),IF(_xll.TM1RPTELLEV($H$20,$H42)&lt;=5,_xll.TM1RPTELLEV($H$20,$H42),"Default"),"Leaf")</f>
        <v>Leaf</v>
      </c>
      <c r="C42" s="26" t="s">
        <v>10</v>
      </c>
      <c r="D42" s="24" t="str">
        <f>_xll.DBRW("TM1-S1_DEV:}ElementAttributes_SP_SKU",$F42,D$1)</f>
        <v>Primary</v>
      </c>
      <c r="E42" s="24" t="str">
        <f>_xll.DBRW("TM1-S1_DEV:}ElementAttributes_SP_SKU",$F42,E$1)</f>
        <v>SIDES</v>
      </c>
      <c r="F42" s="26" t="s">
        <v>3126</v>
      </c>
      <c r="G42" s="26" t="s">
        <v>654</v>
      </c>
      <c r="H42" s="26" t="s">
        <v>2676</v>
      </c>
      <c r="I42" s="54">
        <f>_xll.DBRW($A$1,$F$14,$F$15,$C42,$A$2,$F42,$G42,$H42,I$1)</f>
        <v>79</v>
      </c>
      <c r="J42" s="25">
        <f>_xll.DBRW($A$1,$F$14,$F$15,$C42,$A$2,$F42,$G42,$H42,J$19)</f>
        <v>32</v>
      </c>
    </row>
    <row r="43" spans="1:10" s="23" customFormat="1" outlineLevel="1" thickBot="1" x14ac:dyDescent="0.3">
      <c r="A43" s="44"/>
      <c r="B43" s="31" t="str">
        <f>IF(_xll.TM1RPTELISCONSOLIDATED($H$20,$H43),IF(_xll.TM1RPTELLEV($H$20,$H43)&lt;=5,_xll.TM1RPTELLEV($H$20,$H43),"Default"),"Leaf")</f>
        <v>Leaf</v>
      </c>
      <c r="C43" s="26" t="s">
        <v>10</v>
      </c>
      <c r="D43" s="24" t="str">
        <f>_xll.DBRW("TM1-S1_DEV:}ElementAttributes_SP_SKU",$F43,D$1)</f>
        <v>Primary</v>
      </c>
      <c r="E43" s="24" t="str">
        <f>_xll.DBRW("TM1-S1_DEV:}ElementAttributes_SP_SKU",$F43,E$1)</f>
        <v>SIDES</v>
      </c>
      <c r="F43" s="26" t="s">
        <v>3127</v>
      </c>
      <c r="G43" s="26" t="s">
        <v>655</v>
      </c>
      <c r="H43" s="26" t="s">
        <v>2676</v>
      </c>
      <c r="I43" s="54">
        <f>_xll.DBRW($A$1,$F$14,$F$15,$C43,$A$2,$F43,$G43,$H43,I$1)</f>
        <v>104</v>
      </c>
      <c r="J43" s="25">
        <f>_xll.DBRW($A$1,$F$14,$F$15,$C43,$A$2,$F43,$G43,$H43,J$19)</f>
        <v>31</v>
      </c>
    </row>
    <row r="44" spans="1:10" s="23" customFormat="1" outlineLevel="1" thickBot="1" x14ac:dyDescent="0.3">
      <c r="A44" s="44"/>
      <c r="B44" s="31" t="str">
        <f>IF(_xll.TM1RPTELISCONSOLIDATED($H$20,$H44),IF(_xll.TM1RPTELLEV($H$20,$H44)&lt;=5,_xll.TM1RPTELLEV($H$20,$H44),"Default"),"Leaf")</f>
        <v>Leaf</v>
      </c>
      <c r="C44" s="26" t="s">
        <v>10</v>
      </c>
      <c r="D44" s="24" t="str">
        <f>_xll.DBRW("TM1-S1_DEV:}ElementAttributes_SP_SKU",$F44,D$1)</f>
        <v>Primary</v>
      </c>
      <c r="E44" s="24" t="str">
        <f>_xll.DBRW("TM1-S1_DEV:}ElementAttributes_SP_SKU",$F44,E$1)</f>
        <v>SIDES</v>
      </c>
      <c r="F44" s="26" t="s">
        <v>3128</v>
      </c>
      <c r="G44" s="26" t="s">
        <v>656</v>
      </c>
      <c r="H44" s="26" t="s">
        <v>2676</v>
      </c>
      <c r="I44" s="54">
        <f>_xll.DBRW($A$1,$F$14,$F$15,$C44,$A$2,$F44,$G44,$H44,I$1)</f>
        <v>100</v>
      </c>
      <c r="J44" s="25">
        <f>_xll.DBRW($A$1,$F$14,$F$15,$C44,$A$2,$F44,$G44,$H44,J$19)</f>
        <v>15</v>
      </c>
    </row>
    <row r="45" spans="1:10" s="23" customFormat="1" outlineLevel="1" thickBot="1" x14ac:dyDescent="0.3">
      <c r="A45" s="44"/>
      <c r="B45" s="31" t="str">
        <f>IF(_xll.TM1RPTELISCONSOLIDATED($H$20,$H45),IF(_xll.TM1RPTELLEV($H$20,$H45)&lt;=5,_xll.TM1RPTELLEV($H$20,$H45),"Default"),"Leaf")</f>
        <v>Leaf</v>
      </c>
      <c r="C45" s="26" t="s">
        <v>10</v>
      </c>
      <c r="D45" s="24" t="str">
        <f>_xll.DBRW("TM1-S1_DEV:}ElementAttributes_SP_SKU",$F45,D$1)</f>
        <v>Primary</v>
      </c>
      <c r="E45" s="24" t="str">
        <f>_xll.DBRW("TM1-S1_DEV:}ElementAttributes_SP_SKU",$F45,E$1)</f>
        <v>SIDES</v>
      </c>
      <c r="F45" s="26" t="s">
        <v>3129</v>
      </c>
      <c r="G45" s="26" t="s">
        <v>657</v>
      </c>
      <c r="H45" s="26" t="s">
        <v>2676</v>
      </c>
      <c r="I45" s="54">
        <f>_xll.DBRW($A$1,$F$14,$F$15,$C45,$A$2,$F45,$G45,$H45,I$1)</f>
        <v>96</v>
      </c>
      <c r="J45" s="25">
        <f>_xll.DBRW($A$1,$F$14,$F$15,$C45,$A$2,$F45,$G45,$H45,J$19)</f>
        <v>71</v>
      </c>
    </row>
    <row r="46" spans="1:10" s="23" customFormat="1" outlineLevel="1" thickBot="1" x14ac:dyDescent="0.3">
      <c r="A46" s="44"/>
      <c r="B46" s="31" t="str">
        <f>IF(_xll.TM1RPTELISCONSOLIDATED($H$20,$H46),IF(_xll.TM1RPTELLEV($H$20,$H46)&lt;=5,_xll.TM1RPTELLEV($H$20,$H46),"Default"),"Leaf")</f>
        <v>Leaf</v>
      </c>
      <c r="C46" s="26" t="s">
        <v>10</v>
      </c>
      <c r="D46" s="24" t="str">
        <f>_xll.DBRW("TM1-S1_DEV:}ElementAttributes_SP_SKU",$F46,D$1)</f>
        <v>Primary</v>
      </c>
      <c r="E46" s="24" t="str">
        <f>_xll.DBRW("TM1-S1_DEV:}ElementAttributes_SP_SKU",$F46,E$1)</f>
        <v>SIDES</v>
      </c>
      <c r="F46" s="26" t="s">
        <v>3130</v>
      </c>
      <c r="G46" s="26" t="s">
        <v>658</v>
      </c>
      <c r="H46" s="26" t="s">
        <v>2676</v>
      </c>
      <c r="I46" s="54">
        <f>_xll.DBRW($A$1,$F$14,$F$15,$C46,$A$2,$F46,$G46,$H46,I$1)</f>
        <v>27</v>
      </c>
      <c r="J46" s="25">
        <f>_xll.DBRW($A$1,$F$14,$F$15,$C46,$A$2,$F46,$G46,$H46,J$19)</f>
        <v>27</v>
      </c>
    </row>
    <row r="47" spans="1:10" s="23" customFormat="1" outlineLevel="1" thickBot="1" x14ac:dyDescent="0.3">
      <c r="A47" s="44"/>
      <c r="B47" s="31" t="str">
        <f>IF(_xll.TM1RPTELISCONSOLIDATED($H$20,$H47),IF(_xll.TM1RPTELLEV($H$20,$H47)&lt;=5,_xll.TM1RPTELLEV($H$20,$H47),"Default"),"Leaf")</f>
        <v>Leaf</v>
      </c>
      <c r="C47" s="26" t="s">
        <v>10</v>
      </c>
      <c r="D47" s="24" t="str">
        <f>_xll.DBRW("TM1-S1_DEV:}ElementAttributes_SP_SKU",$F47,D$1)</f>
        <v>Primary</v>
      </c>
      <c r="E47" s="24" t="str">
        <f>_xll.DBRW("TM1-S1_DEV:}ElementAttributes_SP_SKU",$F47,E$1)</f>
        <v>SIDES</v>
      </c>
      <c r="F47" s="26" t="s">
        <v>3131</v>
      </c>
      <c r="G47" s="26" t="s">
        <v>659</v>
      </c>
      <c r="H47" s="26" t="s">
        <v>2676</v>
      </c>
      <c r="I47" s="54">
        <f>_xll.DBRW($A$1,$F$14,$F$15,$C47,$A$2,$F47,$G47,$H47,I$1)</f>
        <v>53</v>
      </c>
      <c r="J47" s="25">
        <f>_xll.DBRW($A$1,$F$14,$F$15,$C47,$A$2,$F47,$G47,$H47,J$19)</f>
        <v>31</v>
      </c>
    </row>
    <row r="48" spans="1:10" s="23" customFormat="1" outlineLevel="1" thickBot="1" x14ac:dyDescent="0.3">
      <c r="A48" s="44"/>
      <c r="B48" s="31" t="str">
        <f>IF(_xll.TM1RPTELISCONSOLIDATED($H$20,$H48),IF(_xll.TM1RPTELLEV($H$20,$H48)&lt;=5,_xll.TM1RPTELLEV($H$20,$H48),"Default"),"Leaf")</f>
        <v>Leaf</v>
      </c>
      <c r="C48" s="26" t="s">
        <v>10</v>
      </c>
      <c r="D48" s="24" t="str">
        <f>_xll.DBRW("TM1-S1_DEV:}ElementAttributes_SP_SKU",$F48,D$1)</f>
        <v>Primary</v>
      </c>
      <c r="E48" s="24" t="str">
        <f>_xll.DBRW("TM1-S1_DEV:}ElementAttributes_SP_SKU",$F48,E$1)</f>
        <v>SIDES</v>
      </c>
      <c r="F48" s="26" t="s">
        <v>3132</v>
      </c>
      <c r="G48" s="26" t="s">
        <v>660</v>
      </c>
      <c r="H48" s="26" t="s">
        <v>2676</v>
      </c>
      <c r="I48" s="54">
        <f>_xll.DBRW($A$1,$F$14,$F$15,$C48,$A$2,$F48,$G48,$H48,I$1)</f>
        <v>121</v>
      </c>
      <c r="J48" s="25">
        <f>_xll.DBRW($A$1,$F$14,$F$15,$C48,$A$2,$F48,$G48,$H48,J$19)</f>
        <v>121</v>
      </c>
    </row>
    <row r="49" spans="1:10" s="23" customFormat="1" outlineLevel="1" thickBot="1" x14ac:dyDescent="0.3">
      <c r="A49" s="44"/>
      <c r="B49" s="31" t="str">
        <f>IF(_xll.TM1RPTELISCONSOLIDATED($H$20,$H49),IF(_xll.TM1RPTELLEV($H$20,$H49)&lt;=5,_xll.TM1RPTELLEV($H$20,$H49),"Default"),"Leaf")</f>
        <v>Leaf</v>
      </c>
      <c r="C49" s="26" t="s">
        <v>10</v>
      </c>
      <c r="D49" s="24" t="str">
        <f>_xll.DBRW("TM1-S1_DEV:}ElementAttributes_SP_SKU",$F49,D$1)</f>
        <v>Primary</v>
      </c>
      <c r="E49" s="24" t="str">
        <f>_xll.DBRW("TM1-S1_DEV:}ElementAttributes_SP_SKU",$F49,E$1)</f>
        <v>DESSERT</v>
      </c>
      <c r="F49" s="26" t="s">
        <v>29</v>
      </c>
      <c r="G49" s="26" t="s">
        <v>661</v>
      </c>
      <c r="H49" s="26" t="s">
        <v>2677</v>
      </c>
      <c r="I49" s="54">
        <f>_xll.DBRW($A$1,$F$14,$F$15,$C49,$A$2,$F49,$G49,$H49,I$1)</f>
        <v>13</v>
      </c>
      <c r="J49" s="25">
        <f>_xll.DBRW($A$1,$F$14,$F$15,$C49,$A$2,$F49,$G49,$H49,J$19)</f>
        <v>7</v>
      </c>
    </row>
    <row r="50" spans="1:10" s="23" customFormat="1" outlineLevel="1" thickBot="1" x14ac:dyDescent="0.3">
      <c r="A50" s="44"/>
      <c r="B50" s="31" t="str">
        <f>IF(_xll.TM1RPTELISCONSOLIDATED($H$20,$H50),IF(_xll.TM1RPTELLEV($H$20,$H50)&lt;=5,_xll.TM1RPTELLEV($H$20,$H50),"Default"),"Leaf")</f>
        <v>Leaf</v>
      </c>
      <c r="C50" s="26" t="s">
        <v>10</v>
      </c>
      <c r="D50" s="24" t="str">
        <f>_xll.DBRW("TM1-S1_DEV:}ElementAttributes_SP_SKU",$F50,D$1)</f>
        <v>Primary</v>
      </c>
      <c r="E50" s="24" t="str">
        <f>_xll.DBRW("TM1-S1_DEV:}ElementAttributes_SP_SKU",$F50,E$1)</f>
        <v>PIE</v>
      </c>
      <c r="F50" s="26" t="s">
        <v>3133</v>
      </c>
      <c r="G50" s="26" t="s">
        <v>662</v>
      </c>
      <c r="H50" s="26" t="s">
        <v>2678</v>
      </c>
      <c r="I50" s="54">
        <f>_xll.DBRW($A$1,$F$14,$F$15,$C50,$A$2,$F50,$G50,$H50,I$1)</f>
        <v>26</v>
      </c>
      <c r="J50" s="25">
        <f>_xll.DBRW($A$1,$F$14,$F$15,$C50,$A$2,$F50,$G50,$H50,J$19)</f>
        <v>13</v>
      </c>
    </row>
    <row r="51" spans="1:10" s="23" customFormat="1" outlineLevel="1" thickBot="1" x14ac:dyDescent="0.3">
      <c r="A51" s="44"/>
      <c r="B51" s="31" t="str">
        <f>IF(_xll.TM1RPTELISCONSOLIDATED($H$20,$H51),IF(_xll.TM1RPTELLEV($H$20,$H51)&lt;=5,_xll.TM1RPTELLEV($H$20,$H51),"Default"),"Leaf")</f>
        <v>Leaf</v>
      </c>
      <c r="C51" s="26" t="s">
        <v>10</v>
      </c>
      <c r="D51" s="24" t="str">
        <f>_xll.DBRW("TM1-S1_DEV:}ElementAttributes_SP_SKU",$F51,D$1)</f>
        <v>Primary</v>
      </c>
      <c r="E51" s="24" t="str">
        <f>_xll.DBRW("TM1-S1_DEV:}ElementAttributes_SP_SKU",$F51,E$1)</f>
        <v>PIE</v>
      </c>
      <c r="F51" s="26" t="s">
        <v>3134</v>
      </c>
      <c r="G51" s="26" t="s">
        <v>663</v>
      </c>
      <c r="H51" s="26" t="s">
        <v>2678</v>
      </c>
      <c r="I51" s="54">
        <f>_xll.DBRW($A$1,$F$14,$F$15,$C51,$A$2,$F51,$G51,$H51,I$1)</f>
        <v>37</v>
      </c>
      <c r="J51" s="25">
        <f>_xll.DBRW($A$1,$F$14,$F$15,$C51,$A$2,$F51,$G51,$H51,J$19)</f>
        <v>28</v>
      </c>
    </row>
    <row r="52" spans="1:10" s="23" customFormat="1" outlineLevel="1" thickBot="1" x14ac:dyDescent="0.3">
      <c r="A52" s="44"/>
      <c r="B52" s="31" t="str">
        <f>IF(_xll.TM1RPTELISCONSOLIDATED($H$20,$H52),IF(_xll.TM1RPTELLEV($H$20,$H52)&lt;=5,_xll.TM1RPTELLEV($H$20,$H52),"Default"),"Leaf")</f>
        <v>Leaf</v>
      </c>
      <c r="C52" s="26" t="s">
        <v>10</v>
      </c>
      <c r="D52" s="24" t="str">
        <f>_xll.DBRW("TM1-S1_DEV:}ElementAttributes_SP_SKU",$F52,D$1)</f>
        <v>Primary</v>
      </c>
      <c r="E52" s="24" t="str">
        <f>_xll.DBRW("TM1-S1_DEV:}ElementAttributes_SP_SKU",$F52,E$1)</f>
        <v>CAKE</v>
      </c>
      <c r="F52" s="26" t="s">
        <v>3135</v>
      </c>
      <c r="G52" s="26" t="s">
        <v>664</v>
      </c>
      <c r="H52" s="26" t="s">
        <v>2679</v>
      </c>
      <c r="I52" s="54">
        <f>_xll.DBRW($A$1,$F$14,$F$15,$C52,$A$2,$F52,$G52,$H52,I$1)</f>
        <v>29</v>
      </c>
      <c r="J52" s="25">
        <f>_xll.DBRW($A$1,$F$14,$F$15,$C52,$A$2,$F52,$G52,$H52,J$19)</f>
        <v>16</v>
      </c>
    </row>
    <row r="53" spans="1:10" s="23" customFormat="1" outlineLevel="1" thickBot="1" x14ac:dyDescent="0.3">
      <c r="A53" s="44"/>
      <c r="B53" s="31" t="str">
        <f>IF(_xll.TM1RPTELISCONSOLIDATED($H$20,$H53),IF(_xll.TM1RPTELLEV($H$20,$H53)&lt;=5,_xll.TM1RPTELLEV($H$20,$H53),"Default"),"Leaf")</f>
        <v>Leaf</v>
      </c>
      <c r="C53" s="26" t="s">
        <v>10</v>
      </c>
      <c r="D53" s="24" t="str">
        <f>_xll.DBRW("TM1-S1_DEV:}ElementAttributes_SP_SKU",$F53,D$1)</f>
        <v>Primary</v>
      </c>
      <c r="E53" s="24" t="str">
        <f>_xll.DBRW("TM1-S1_DEV:}ElementAttributes_SP_SKU",$F53,E$1)</f>
        <v>CAKE</v>
      </c>
      <c r="F53" s="26" t="s">
        <v>3136</v>
      </c>
      <c r="G53" s="26" t="s">
        <v>665</v>
      </c>
      <c r="H53" s="26" t="s">
        <v>2679</v>
      </c>
      <c r="I53" s="54">
        <f>_xll.DBRW($A$1,$F$14,$F$15,$C53,$A$2,$F53,$G53,$H53,I$1)</f>
        <v>38</v>
      </c>
      <c r="J53" s="25">
        <f>_xll.DBRW($A$1,$F$14,$F$15,$C53,$A$2,$F53,$G53,$H53,J$19)</f>
        <v>26</v>
      </c>
    </row>
    <row r="54" spans="1:10" s="23" customFormat="1" outlineLevel="1" thickBot="1" x14ac:dyDescent="0.3">
      <c r="A54" s="44"/>
      <c r="B54" s="31" t="str">
        <f>IF(_xll.TM1RPTELISCONSOLIDATED($H$20,$H54),IF(_xll.TM1RPTELLEV($H$20,$H54)&lt;=5,_xll.TM1RPTELLEV($H$20,$H54),"Default"),"Leaf")</f>
        <v>Leaf</v>
      </c>
      <c r="C54" s="26" t="s">
        <v>10</v>
      </c>
      <c r="D54" s="24" t="str">
        <f>_xll.DBRW("TM1-S1_DEV:}ElementAttributes_SP_SKU",$F54,D$1)</f>
        <v>Primary</v>
      </c>
      <c r="E54" s="24" t="str">
        <f>_xll.DBRW("TM1-S1_DEV:}ElementAttributes_SP_SKU",$F54,E$1)</f>
        <v>CAKE</v>
      </c>
      <c r="F54" s="26" t="s">
        <v>3137</v>
      </c>
      <c r="G54" s="26" t="s">
        <v>666</v>
      </c>
      <c r="H54" s="26" t="s">
        <v>2679</v>
      </c>
      <c r="I54" s="54">
        <f>_xll.DBRW($A$1,$F$14,$F$15,$C54,$A$2,$F54,$G54,$H54,I$1)</f>
        <v>15</v>
      </c>
      <c r="J54" s="25">
        <f>_xll.DBRW($A$1,$F$14,$F$15,$C54,$A$2,$F54,$G54,$H54,J$19)</f>
        <v>0</v>
      </c>
    </row>
    <row r="55" spans="1:10" s="23" customFormat="1" outlineLevel="1" thickBot="1" x14ac:dyDescent="0.3">
      <c r="A55" s="44"/>
      <c r="B55" s="31" t="str">
        <f>IF(_xll.TM1RPTELISCONSOLIDATED($H$20,$H55),IF(_xll.TM1RPTELLEV($H$20,$H55)&lt;=5,_xll.TM1RPTELLEV($H$20,$H55),"Default"),"Leaf")</f>
        <v>Leaf</v>
      </c>
      <c r="C55" s="26" t="s">
        <v>10</v>
      </c>
      <c r="D55" s="24" t="str">
        <f>_xll.DBRW("TM1-S1_DEV:}ElementAttributes_SP_SKU",$F55,D$1)</f>
        <v>Primary</v>
      </c>
      <c r="E55" s="24" t="str">
        <f>_xll.DBRW("TM1-S1_DEV:}ElementAttributes_SP_SKU",$F55,E$1)</f>
        <v>CAKE</v>
      </c>
      <c r="F55" s="26" t="s">
        <v>3138</v>
      </c>
      <c r="G55" s="26" t="s">
        <v>667</v>
      </c>
      <c r="H55" s="26" t="s">
        <v>2680</v>
      </c>
      <c r="I55" s="54">
        <f>_xll.DBRW($A$1,$F$14,$F$15,$C55,$A$2,$F55,$G55,$H55,I$1)</f>
        <v>15</v>
      </c>
      <c r="J55" s="25">
        <f>_xll.DBRW($A$1,$F$14,$F$15,$C55,$A$2,$F55,$G55,$H55,J$19)</f>
        <v>12</v>
      </c>
    </row>
    <row r="56" spans="1:10" s="23" customFormat="1" outlineLevel="1" thickBot="1" x14ac:dyDescent="0.3">
      <c r="A56" s="44"/>
      <c r="B56" s="31" t="str">
        <f>IF(_xll.TM1RPTELISCONSOLIDATED($H$20,$H56),IF(_xll.TM1RPTELLEV($H$20,$H56)&lt;=5,_xll.TM1RPTELLEV($H$20,$H56),"Default"),"Leaf")</f>
        <v>Leaf</v>
      </c>
      <c r="C56" s="26" t="s">
        <v>10</v>
      </c>
      <c r="D56" s="24" t="str">
        <f>_xll.DBRW("TM1-S1_DEV:}ElementAttributes_SP_SKU",$F56,D$1)</f>
        <v>Primary</v>
      </c>
      <c r="E56" s="24" t="str">
        <f>_xll.DBRW("TM1-S1_DEV:}ElementAttributes_SP_SKU",$F56,E$1)</f>
        <v>DESSERT</v>
      </c>
      <c r="F56" s="26" t="s">
        <v>3139</v>
      </c>
      <c r="G56" s="26" t="s">
        <v>668</v>
      </c>
      <c r="H56" s="26" t="s">
        <v>2681</v>
      </c>
      <c r="I56" s="54">
        <f>_xll.DBRW($A$1,$F$14,$F$15,$C56,$A$2,$F56,$G56,$H56,I$1)</f>
        <v>40</v>
      </c>
      <c r="J56" s="25">
        <f>_xll.DBRW($A$1,$F$14,$F$15,$C56,$A$2,$F56,$G56,$H56,J$19)</f>
        <v>30</v>
      </c>
    </row>
    <row r="57" spans="1:10" s="23" customFormat="1" outlineLevel="1" thickBot="1" x14ac:dyDescent="0.3">
      <c r="A57" s="44"/>
      <c r="B57" s="31" t="str">
        <f>IF(_xll.TM1RPTELISCONSOLIDATED($H$20,$H57),IF(_xll.TM1RPTELLEV($H$20,$H57)&lt;=5,_xll.TM1RPTELLEV($H$20,$H57),"Default"),"Leaf")</f>
        <v>Leaf</v>
      </c>
      <c r="C57" s="26" t="s">
        <v>10</v>
      </c>
      <c r="D57" s="24" t="str">
        <f>_xll.DBRW("TM1-S1_DEV:}ElementAttributes_SP_SKU",$F57,D$1)</f>
        <v>Primary</v>
      </c>
      <c r="E57" s="24" t="str">
        <f>_xll.DBRW("TM1-S1_DEV:}ElementAttributes_SP_SKU",$F57,E$1)</f>
        <v>DESSERT</v>
      </c>
      <c r="F57" s="26" t="s">
        <v>3140</v>
      </c>
      <c r="G57" s="26" t="s">
        <v>669</v>
      </c>
      <c r="H57" s="26" t="s">
        <v>2681</v>
      </c>
      <c r="I57" s="54">
        <f>_xll.DBRW($A$1,$F$14,$F$15,$C57,$A$2,$F57,$G57,$H57,I$1)</f>
        <v>46</v>
      </c>
      <c r="J57" s="25">
        <f>_xll.DBRW($A$1,$F$14,$F$15,$C57,$A$2,$F57,$G57,$H57,J$19)</f>
        <v>33</v>
      </c>
    </row>
    <row r="58" spans="1:10" s="23" customFormat="1" outlineLevel="1" thickBot="1" x14ac:dyDescent="0.3">
      <c r="A58" s="44"/>
      <c r="B58" s="31" t="str">
        <f>IF(_xll.TM1RPTELISCONSOLIDATED($H$20,$H58),IF(_xll.TM1RPTELLEV($H$20,$H58)&lt;=5,_xll.TM1RPTELLEV($H$20,$H58),"Default"),"Leaf")</f>
        <v>Leaf</v>
      </c>
      <c r="C58" s="26" t="s">
        <v>10</v>
      </c>
      <c r="D58" s="24" t="str">
        <f>_xll.DBRW("TM1-S1_DEV:}ElementAttributes_SP_SKU",$F58,D$1)</f>
        <v>Primary</v>
      </c>
      <c r="E58" s="24" t="str">
        <f>_xll.DBRW("TM1-S1_DEV:}ElementAttributes_SP_SKU",$F58,E$1)</f>
        <v>PIE</v>
      </c>
      <c r="F58" s="26" t="s">
        <v>3141</v>
      </c>
      <c r="G58" s="26" t="s">
        <v>3313</v>
      </c>
      <c r="H58" s="26" t="s">
        <v>2678</v>
      </c>
      <c r="I58" s="54">
        <f>_xll.DBRW($A$1,$F$14,$F$15,$C58,$A$2,$F58,$G58,$H58,I$1)</f>
        <v>0</v>
      </c>
      <c r="J58" s="25">
        <f>_xll.DBRW($A$1,$F$14,$F$15,$C58,$A$2,$F58,$G58,$H58,J$19)</f>
        <v>-1</v>
      </c>
    </row>
    <row r="59" spans="1:10" s="23" customFormat="1" outlineLevel="1" thickBot="1" x14ac:dyDescent="0.3">
      <c r="A59" s="44"/>
      <c r="B59" s="31" t="str">
        <f>IF(_xll.TM1RPTELISCONSOLIDATED($H$20,$H59),IF(_xll.TM1RPTELLEV($H$20,$H59)&lt;=5,_xll.TM1RPTELLEV($H$20,$H59),"Default"),"Leaf")</f>
        <v>Leaf</v>
      </c>
      <c r="C59" s="26" t="s">
        <v>10</v>
      </c>
      <c r="D59" s="24" t="str">
        <f>_xll.DBRW("TM1-S1_DEV:}ElementAttributes_SP_SKU",$F59,D$1)</f>
        <v>Primary</v>
      </c>
      <c r="E59" s="24" t="str">
        <f>_xll.DBRW("TM1-S1_DEV:}ElementAttributes_SP_SKU",$F59,E$1)</f>
        <v>CAKE</v>
      </c>
      <c r="F59" s="26" t="s">
        <v>3142</v>
      </c>
      <c r="G59" s="26" t="s">
        <v>670</v>
      </c>
      <c r="H59" s="26" t="s">
        <v>2682</v>
      </c>
      <c r="I59" s="54">
        <f>_xll.DBRW($A$1,$F$14,$F$15,$C59,$A$2,$F59,$G59,$H59,I$1)</f>
        <v>23</v>
      </c>
      <c r="J59" s="25">
        <f>_xll.DBRW($A$1,$F$14,$F$15,$C59,$A$2,$F59,$G59,$H59,J$19)</f>
        <v>15</v>
      </c>
    </row>
    <row r="60" spans="1:10" s="23" customFormat="1" outlineLevel="1" thickBot="1" x14ac:dyDescent="0.3">
      <c r="A60" s="44"/>
      <c r="B60" s="31" t="str">
        <f>IF(_xll.TM1RPTELISCONSOLIDATED($H$20,$H60),IF(_xll.TM1RPTELLEV($H$20,$H60)&lt;=5,_xll.TM1RPTELLEV($H$20,$H60),"Default"),"Leaf")</f>
        <v>Leaf</v>
      </c>
      <c r="C60" s="26" t="s">
        <v>10</v>
      </c>
      <c r="D60" s="24" t="str">
        <f>_xll.DBRW("TM1-S1_DEV:}ElementAttributes_SP_SKU",$F60,D$1)</f>
        <v>Primary</v>
      </c>
      <c r="E60" s="24" t="str">
        <f>_xll.DBRW("TM1-S1_DEV:}ElementAttributes_SP_SKU",$F60,E$1)</f>
        <v>CAKE</v>
      </c>
      <c r="F60" s="26" t="s">
        <v>3143</v>
      </c>
      <c r="G60" s="26" t="s">
        <v>671</v>
      </c>
      <c r="H60" s="26" t="s">
        <v>2682</v>
      </c>
      <c r="I60" s="54">
        <f>_xll.DBRW($A$1,$F$14,$F$15,$C60,$A$2,$F60,$G60,$H60,I$1)</f>
        <v>19</v>
      </c>
      <c r="J60" s="25">
        <f>_xll.DBRW($A$1,$F$14,$F$15,$C60,$A$2,$F60,$G60,$H60,J$19)</f>
        <v>13</v>
      </c>
    </row>
    <row r="61" spans="1:10" s="23" customFormat="1" outlineLevel="1" thickBot="1" x14ac:dyDescent="0.3">
      <c r="A61" s="44"/>
      <c r="B61" s="31" t="str">
        <f>IF(_xll.TM1RPTELISCONSOLIDATED($H$20,$H61),IF(_xll.TM1RPTELLEV($H$20,$H61)&lt;=5,_xll.TM1RPTELLEV($H$20,$H61),"Default"),"Leaf")</f>
        <v>Leaf</v>
      </c>
      <c r="C61" s="26" t="s">
        <v>10</v>
      </c>
      <c r="D61" s="24" t="str">
        <f>_xll.DBRW("TM1-S1_DEV:}ElementAttributes_SP_SKU",$F61,D$1)</f>
        <v>Primary</v>
      </c>
      <c r="E61" s="24" t="str">
        <f>_xll.DBRW("TM1-S1_DEV:}ElementAttributes_SP_SKU",$F61,E$1)</f>
        <v>CAKE</v>
      </c>
      <c r="F61" s="26" t="s">
        <v>3144</v>
      </c>
      <c r="G61" s="26" t="s">
        <v>672</v>
      </c>
      <c r="H61" s="26" t="s">
        <v>2679</v>
      </c>
      <c r="I61" s="54">
        <f>_xll.DBRW($A$1,$F$14,$F$15,$C61,$A$2,$F61,$G61,$H61,I$1)</f>
        <v>2</v>
      </c>
      <c r="J61" s="25">
        <f>_xll.DBRW($A$1,$F$14,$F$15,$C61,$A$2,$F61,$G61,$H61,J$19)</f>
        <v>0</v>
      </c>
    </row>
    <row r="62" spans="1:10" s="23" customFormat="1" outlineLevel="1" thickBot="1" x14ac:dyDescent="0.3">
      <c r="A62" s="44"/>
      <c r="B62" s="31" t="str">
        <f>IF(_xll.TM1RPTELISCONSOLIDATED($H$20,$H62),IF(_xll.TM1RPTELLEV($H$20,$H62)&lt;=5,_xll.TM1RPTELLEV($H$20,$H62),"Default"),"Leaf")</f>
        <v>Leaf</v>
      </c>
      <c r="C62" s="26" t="s">
        <v>10</v>
      </c>
      <c r="D62" s="24" t="str">
        <f>_xll.DBRW("TM1-S1_DEV:}ElementAttributes_SP_SKU",$F62,D$1)</f>
        <v>Primary</v>
      </c>
      <c r="E62" s="24" t="str">
        <f>_xll.DBRW("TM1-S1_DEV:}ElementAttributes_SP_SKU",$F62,E$1)</f>
        <v>CAKE</v>
      </c>
      <c r="F62" s="26" t="s">
        <v>3145</v>
      </c>
      <c r="G62" s="26" t="s">
        <v>673</v>
      </c>
      <c r="H62" s="26" t="s">
        <v>2680</v>
      </c>
      <c r="I62" s="54">
        <f>_xll.DBRW($A$1,$F$14,$F$15,$C62,$A$2,$F62,$G62,$H62,I$1)</f>
        <v>22</v>
      </c>
      <c r="J62" s="25">
        <f>_xll.DBRW($A$1,$F$14,$F$15,$C62,$A$2,$F62,$G62,$H62,J$19)</f>
        <v>14</v>
      </c>
    </row>
    <row r="63" spans="1:10" s="23" customFormat="1" outlineLevel="1" thickBot="1" x14ac:dyDescent="0.3">
      <c r="A63" s="44"/>
      <c r="B63" s="31" t="str">
        <f>IF(_xll.TM1RPTELISCONSOLIDATED($H$20,$H63),IF(_xll.TM1RPTELLEV($H$20,$H63)&lt;=5,_xll.TM1RPTELLEV($H$20,$H63),"Default"),"Leaf")</f>
        <v>Leaf</v>
      </c>
      <c r="C63" s="26" t="s">
        <v>10</v>
      </c>
      <c r="D63" s="24" t="str">
        <f>_xll.DBRW("TM1-S1_DEV:}ElementAttributes_SP_SKU",$F63,D$1)</f>
        <v>Primary</v>
      </c>
      <c r="E63" s="24" t="str">
        <f>_xll.DBRW("TM1-S1_DEV:}ElementAttributes_SP_SKU",$F63,E$1)</f>
        <v>CAKE</v>
      </c>
      <c r="F63" s="26" t="s">
        <v>3146</v>
      </c>
      <c r="G63" s="26" t="s">
        <v>674</v>
      </c>
      <c r="H63" s="26" t="s">
        <v>2680</v>
      </c>
      <c r="I63" s="54">
        <f>_xll.DBRW($A$1,$F$14,$F$15,$C63,$A$2,$F63,$G63,$H63,I$1)</f>
        <v>42</v>
      </c>
      <c r="J63" s="25">
        <f>_xll.DBRW($A$1,$F$14,$F$15,$C63,$A$2,$F63,$G63,$H63,J$19)</f>
        <v>39</v>
      </c>
    </row>
    <row r="64" spans="1:10" s="23" customFormat="1" outlineLevel="1" thickBot="1" x14ac:dyDescent="0.3">
      <c r="A64" s="44"/>
      <c r="B64" s="31" t="str">
        <f>IF(_xll.TM1RPTELISCONSOLIDATED($H$20,$H64),IF(_xll.TM1RPTELLEV($H$20,$H64)&lt;=5,_xll.TM1RPTELLEV($H$20,$H64),"Default"),"Leaf")</f>
        <v>Leaf</v>
      </c>
      <c r="C64" s="26" t="s">
        <v>10</v>
      </c>
      <c r="D64" s="24" t="str">
        <f>_xll.DBRW("TM1-S1_DEV:}ElementAttributes_SP_SKU",$F64,D$1)</f>
        <v>Primary</v>
      </c>
      <c r="E64" s="24" t="str">
        <f>_xll.DBRW("TM1-S1_DEV:}ElementAttributes_SP_SKU",$F64,E$1)</f>
        <v>CONDIMENT</v>
      </c>
      <c r="F64" s="26" t="s">
        <v>3147</v>
      </c>
      <c r="G64" s="26" t="s">
        <v>675</v>
      </c>
      <c r="H64" s="26" t="s">
        <v>2683</v>
      </c>
      <c r="I64" s="54">
        <f>_xll.DBRW($A$1,$F$14,$F$15,$C64,$A$2,$F64,$G64,$H64,I$1)</f>
        <v>25</v>
      </c>
      <c r="J64" s="25">
        <f>_xll.DBRW($A$1,$F$14,$F$15,$C64,$A$2,$F64,$G64,$H64,J$19)</f>
        <v>18</v>
      </c>
    </row>
    <row r="65" spans="1:10" s="23" customFormat="1" outlineLevel="1" thickBot="1" x14ac:dyDescent="0.3">
      <c r="A65" s="44"/>
      <c r="B65" s="31" t="str">
        <f>IF(_xll.TM1RPTELISCONSOLIDATED($H$20,$H65),IF(_xll.TM1RPTELLEV($H$20,$H65)&lt;=5,_xll.TM1RPTELLEV($H$20,$H65),"Default"),"Leaf")</f>
        <v>Leaf</v>
      </c>
      <c r="C65" s="26" t="s">
        <v>10</v>
      </c>
      <c r="D65" s="24" t="str">
        <f>_xll.DBRW("TM1-S1_DEV:}ElementAttributes_SP_SKU",$F65,D$1)</f>
        <v>Primary</v>
      </c>
      <c r="E65" s="24" t="str">
        <f>_xll.DBRW("TM1-S1_DEV:}ElementAttributes_SP_SKU",$F65,E$1)</f>
        <v>CONDIMENT</v>
      </c>
      <c r="F65" s="26" t="s">
        <v>3148</v>
      </c>
      <c r="G65" s="26" t="s">
        <v>676</v>
      </c>
      <c r="H65" s="26" t="s">
        <v>2684</v>
      </c>
      <c r="I65" s="54">
        <f>_xll.DBRW($A$1,$F$14,$F$15,$C65,$A$2,$F65,$G65,$H65,I$1)</f>
        <v>8</v>
      </c>
      <c r="J65" s="25">
        <f>_xll.DBRW($A$1,$F$14,$F$15,$C65,$A$2,$F65,$G65,$H65,J$19)</f>
        <v>3</v>
      </c>
    </row>
    <row r="66" spans="1:10" s="23" customFormat="1" outlineLevel="1" thickBot="1" x14ac:dyDescent="0.3">
      <c r="A66" s="44"/>
      <c r="B66" s="31" t="str">
        <f>IF(_xll.TM1RPTELISCONSOLIDATED($H$20,$H66),IF(_xll.TM1RPTELLEV($H$20,$H66)&lt;=5,_xll.TM1RPTELLEV($H$20,$H66),"Default"),"Leaf")</f>
        <v>Leaf</v>
      </c>
      <c r="C66" s="26" t="s">
        <v>10</v>
      </c>
      <c r="D66" s="24" t="str">
        <f>_xll.DBRW("TM1-S1_DEV:}ElementAttributes_SP_SKU",$F66,D$1)</f>
        <v>Primary</v>
      </c>
      <c r="E66" s="24" t="str">
        <f>_xll.DBRW("TM1-S1_DEV:}ElementAttributes_SP_SKU",$F66,E$1)</f>
        <v>CONDIMENT</v>
      </c>
      <c r="F66" s="26" t="s">
        <v>3149</v>
      </c>
      <c r="G66" s="26" t="s">
        <v>677</v>
      </c>
      <c r="H66" s="26" t="s">
        <v>2684</v>
      </c>
      <c r="I66" s="54">
        <f>_xll.DBRW($A$1,$F$14,$F$15,$C66,$A$2,$F66,$G66,$H66,I$1)</f>
        <v>17</v>
      </c>
      <c r="J66" s="25">
        <f>_xll.DBRW($A$1,$F$14,$F$15,$C66,$A$2,$F66,$G66,$H66,J$19)</f>
        <v>4</v>
      </c>
    </row>
    <row r="67" spans="1:10" s="23" customFormat="1" outlineLevel="1" thickBot="1" x14ac:dyDescent="0.3">
      <c r="A67" s="44"/>
      <c r="B67" s="31" t="str">
        <f>IF(_xll.TM1RPTELISCONSOLIDATED($H$20,$H67),IF(_xll.TM1RPTELLEV($H$20,$H67)&lt;=5,_xll.TM1RPTELLEV($H$20,$H67),"Default"),"Leaf")</f>
        <v>Leaf</v>
      </c>
      <c r="C67" s="26" t="s">
        <v>10</v>
      </c>
      <c r="D67" s="24" t="str">
        <f>_xll.DBRW("TM1-S1_DEV:}ElementAttributes_SP_SKU",$F67,D$1)</f>
        <v>Primary</v>
      </c>
      <c r="E67" s="24" t="str">
        <f>_xll.DBRW("TM1-S1_DEV:}ElementAttributes_SP_SKU",$F67,E$1)</f>
        <v>CONDIMENT</v>
      </c>
      <c r="F67" s="26" t="s">
        <v>3150</v>
      </c>
      <c r="G67" s="26" t="s">
        <v>678</v>
      </c>
      <c r="H67" s="26" t="s">
        <v>2684</v>
      </c>
      <c r="I67" s="54">
        <f>_xll.DBRW($A$1,$F$14,$F$15,$C67,$A$2,$F67,$G67,$H67,I$1)</f>
        <v>25</v>
      </c>
      <c r="J67" s="25">
        <f>_xll.DBRW($A$1,$F$14,$F$15,$C67,$A$2,$F67,$G67,$H67,J$19)</f>
        <v>11</v>
      </c>
    </row>
    <row r="68" spans="1:10" s="23" customFormat="1" outlineLevel="1" thickBot="1" x14ac:dyDescent="0.3">
      <c r="A68" s="44"/>
      <c r="B68" s="31" t="str">
        <f>IF(_xll.TM1RPTELISCONSOLIDATED($H$20,$H68),IF(_xll.TM1RPTELLEV($H$20,$H68)&lt;=5,_xll.TM1RPTELLEV($H$20,$H68),"Default"),"Leaf")</f>
        <v>Leaf</v>
      </c>
      <c r="C68" s="26" t="s">
        <v>10</v>
      </c>
      <c r="D68" s="24" t="str">
        <f>_xll.DBRW("TM1-S1_DEV:}ElementAttributes_SP_SKU",$F68,D$1)</f>
        <v>Primary</v>
      </c>
      <c r="E68" s="24" t="str">
        <f>_xll.DBRW("TM1-S1_DEV:}ElementAttributes_SP_SKU",$F68,E$1)</f>
        <v>CONDIMENT</v>
      </c>
      <c r="F68" s="26" t="s">
        <v>3151</v>
      </c>
      <c r="G68" s="26" t="s">
        <v>679</v>
      </c>
      <c r="H68" s="26" t="s">
        <v>2684</v>
      </c>
      <c r="I68" s="54">
        <f>_xll.DBRW($A$1,$F$14,$F$15,$C68,$A$2,$F68,$G68,$H68,I$1)</f>
        <v>23</v>
      </c>
      <c r="J68" s="25">
        <f>_xll.DBRW($A$1,$F$14,$F$15,$C68,$A$2,$F68,$G68,$H68,J$19)</f>
        <v>12</v>
      </c>
    </row>
    <row r="69" spans="1:10" s="23" customFormat="1" outlineLevel="1" thickBot="1" x14ac:dyDescent="0.3">
      <c r="A69" s="44"/>
      <c r="B69" s="31" t="str">
        <f>IF(_xll.TM1RPTELISCONSOLIDATED($H$20,$H69),IF(_xll.TM1RPTELLEV($H$20,$H69)&lt;=5,_xll.TM1RPTELLEV($H$20,$H69),"Default"),"Leaf")</f>
        <v>Leaf</v>
      </c>
      <c r="C69" s="26" t="s">
        <v>10</v>
      </c>
      <c r="D69" s="24" t="str">
        <f>_xll.DBRW("TM1-S1_DEV:}ElementAttributes_SP_SKU",$F69,D$1)</f>
        <v>Primary</v>
      </c>
      <c r="E69" s="24" t="str">
        <f>_xll.DBRW("TM1-S1_DEV:}ElementAttributes_SP_SKU",$F69,E$1)</f>
        <v>CONDIMENT</v>
      </c>
      <c r="F69" s="26" t="s">
        <v>3152</v>
      </c>
      <c r="G69" s="26" t="s">
        <v>680</v>
      </c>
      <c r="H69" s="26" t="s">
        <v>2684</v>
      </c>
      <c r="I69" s="54">
        <f>_xll.DBRW($A$1,$F$14,$F$15,$C69,$A$2,$F69,$G69,$H69,I$1)</f>
        <v>15</v>
      </c>
      <c r="J69" s="25">
        <f>_xll.DBRW($A$1,$F$14,$F$15,$C69,$A$2,$F69,$G69,$H69,J$19)</f>
        <v>5</v>
      </c>
    </row>
    <row r="70" spans="1:10" s="23" customFormat="1" outlineLevel="1" thickBot="1" x14ac:dyDescent="0.3">
      <c r="A70" s="44"/>
      <c r="B70" s="31" t="str">
        <f>IF(_xll.TM1RPTELISCONSOLIDATED($H$20,$H70),IF(_xll.TM1RPTELLEV($H$20,$H70)&lt;=5,_xll.TM1RPTELLEV($H$20,$H70),"Default"),"Leaf")</f>
        <v>Leaf</v>
      </c>
      <c r="C70" s="26" t="s">
        <v>10</v>
      </c>
      <c r="D70" s="24" t="str">
        <f>_xll.DBRW("TM1-S1_DEV:}ElementAttributes_SP_SKU",$F70,D$1)</f>
        <v>Primary</v>
      </c>
      <c r="E70" s="24" t="str">
        <f>_xll.DBRW("TM1-S1_DEV:}ElementAttributes_SP_SKU",$F70,E$1)</f>
        <v>CONDIMENT</v>
      </c>
      <c r="F70" s="26" t="s">
        <v>3153</v>
      </c>
      <c r="G70" s="26" t="s">
        <v>681</v>
      </c>
      <c r="H70" s="26" t="s">
        <v>2684</v>
      </c>
      <c r="I70" s="54">
        <f>_xll.DBRW($A$1,$F$14,$F$15,$C70,$A$2,$F70,$G70,$H70,I$1)</f>
        <v>26</v>
      </c>
      <c r="J70" s="25">
        <f>_xll.DBRW($A$1,$F$14,$F$15,$C70,$A$2,$F70,$G70,$H70,J$19)</f>
        <v>11</v>
      </c>
    </row>
    <row r="71" spans="1:10" s="23" customFormat="1" outlineLevel="1" thickBot="1" x14ac:dyDescent="0.3">
      <c r="A71" s="44"/>
      <c r="B71" s="31" t="str">
        <f>IF(_xll.TM1RPTELISCONSOLIDATED($H$20,$H71),IF(_xll.TM1RPTELLEV($H$20,$H71)&lt;=5,_xll.TM1RPTELLEV($H$20,$H71),"Default"),"Leaf")</f>
        <v>Leaf</v>
      </c>
      <c r="C71" s="26" t="s">
        <v>10</v>
      </c>
      <c r="D71" s="24" t="str">
        <f>_xll.DBRW("TM1-S1_DEV:}ElementAttributes_SP_SKU",$F71,D$1)</f>
        <v>Primary</v>
      </c>
      <c r="E71" s="24" t="str">
        <f>_xll.DBRW("TM1-S1_DEV:}ElementAttributes_SP_SKU",$F71,E$1)</f>
        <v>CONDIMENT</v>
      </c>
      <c r="F71" s="26" t="s">
        <v>3154</v>
      </c>
      <c r="G71" s="26" t="s">
        <v>682</v>
      </c>
      <c r="H71" s="26" t="s">
        <v>2684</v>
      </c>
      <c r="I71" s="54">
        <f>_xll.DBRW($A$1,$F$14,$F$15,$C71,$A$2,$F71,$G71,$H71,I$1)</f>
        <v>59</v>
      </c>
      <c r="J71" s="25">
        <f>_xll.DBRW($A$1,$F$14,$F$15,$C71,$A$2,$F71,$G71,$H71,J$19)</f>
        <v>36</v>
      </c>
    </row>
    <row r="72" spans="1:10" s="23" customFormat="1" outlineLevel="1" thickBot="1" x14ac:dyDescent="0.3">
      <c r="A72" s="44"/>
      <c r="B72" s="31" t="str">
        <f>IF(_xll.TM1RPTELISCONSOLIDATED($H$20,$H72),IF(_xll.TM1RPTELLEV($H$20,$H72)&lt;=5,_xll.TM1RPTELLEV($H$20,$H72),"Default"),"Leaf")</f>
        <v>Leaf</v>
      </c>
      <c r="C72" s="26" t="s">
        <v>10</v>
      </c>
      <c r="D72" s="24" t="str">
        <f>_xll.DBRW("TM1-S1_DEV:}ElementAttributes_SP_SKU",$F72,D$1)</f>
        <v>Primary</v>
      </c>
      <c r="E72" s="24" t="str">
        <f>_xll.DBRW("TM1-S1_DEV:}ElementAttributes_SP_SKU",$F72,E$1)</f>
        <v>DRESSING</v>
      </c>
      <c r="F72" s="26" t="s">
        <v>3155</v>
      </c>
      <c r="G72" s="26" t="s">
        <v>683</v>
      </c>
      <c r="H72" s="26" t="s">
        <v>2685</v>
      </c>
      <c r="I72" s="54">
        <f>_xll.DBRW($A$1,$F$14,$F$15,$C72,$A$2,$F72,$G72,$H72,I$1)</f>
        <v>86</v>
      </c>
      <c r="J72" s="25">
        <f>_xll.DBRW($A$1,$F$14,$F$15,$C72,$A$2,$F72,$G72,$H72,J$19)</f>
        <v>84</v>
      </c>
    </row>
    <row r="73" spans="1:10" s="23" customFormat="1" outlineLevel="1" thickBot="1" x14ac:dyDescent="0.3">
      <c r="A73" s="44"/>
      <c r="B73" s="31" t="str">
        <f>IF(_xll.TM1RPTELISCONSOLIDATED($H$20,$H73),IF(_xll.TM1RPTELLEV($H$20,$H73)&lt;=5,_xll.TM1RPTELLEV($H$20,$H73),"Default"),"Leaf")</f>
        <v>Leaf</v>
      </c>
      <c r="C73" s="26" t="s">
        <v>10</v>
      </c>
      <c r="D73" s="24" t="str">
        <f>_xll.DBRW("TM1-S1_DEV:}ElementAttributes_SP_SKU",$F73,D$1)</f>
        <v>Primary</v>
      </c>
      <c r="E73" s="24" t="str">
        <f>_xll.DBRW("TM1-S1_DEV:}ElementAttributes_SP_SKU",$F73,E$1)</f>
        <v>DRESSING</v>
      </c>
      <c r="F73" s="26" t="s">
        <v>3156</v>
      </c>
      <c r="G73" s="26" t="s">
        <v>684</v>
      </c>
      <c r="H73" s="26" t="s">
        <v>2685</v>
      </c>
      <c r="I73" s="54">
        <f>_xll.DBRW($A$1,$F$14,$F$15,$C73,$A$2,$F73,$G73,$H73,I$1)</f>
        <v>9</v>
      </c>
      <c r="J73" s="25">
        <f>_xll.DBRW($A$1,$F$14,$F$15,$C73,$A$2,$F73,$G73,$H73,J$19)</f>
        <v>9</v>
      </c>
    </row>
    <row r="74" spans="1:10" s="23" customFormat="1" outlineLevel="1" thickBot="1" x14ac:dyDescent="0.3">
      <c r="A74" s="44"/>
      <c r="B74" s="31" t="str">
        <f>IF(_xll.TM1RPTELISCONSOLIDATED($H$20,$H74),IF(_xll.TM1RPTELLEV($H$20,$H74)&lt;=5,_xll.TM1RPTELLEV($H$20,$H74),"Default"),"Leaf")</f>
        <v>Leaf</v>
      </c>
      <c r="C74" s="26" t="s">
        <v>10</v>
      </c>
      <c r="D74" s="24" t="str">
        <f>_xll.DBRW("TM1-S1_DEV:}ElementAttributes_SP_SKU",$F74,D$1)</f>
        <v>Primary</v>
      </c>
      <c r="E74" s="24" t="str">
        <f>_xll.DBRW("TM1-S1_DEV:}ElementAttributes_SP_SKU",$F74,E$1)</f>
        <v>DRESSING</v>
      </c>
      <c r="F74" s="26" t="s">
        <v>3157</v>
      </c>
      <c r="G74" s="26" t="s">
        <v>685</v>
      </c>
      <c r="H74" s="26" t="s">
        <v>2685</v>
      </c>
      <c r="I74" s="54">
        <f>_xll.DBRW($A$1,$F$14,$F$15,$C74,$A$2,$F74,$G74,$H74,I$1)</f>
        <v>14</v>
      </c>
      <c r="J74" s="25">
        <f>_xll.DBRW($A$1,$F$14,$F$15,$C74,$A$2,$F74,$G74,$H74,J$19)</f>
        <v>14</v>
      </c>
    </row>
    <row r="75" spans="1:10" s="23" customFormat="1" outlineLevel="1" thickBot="1" x14ac:dyDescent="0.3">
      <c r="A75" s="44"/>
      <c r="B75" s="31" t="str">
        <f>IF(_xll.TM1RPTELISCONSOLIDATED($H$20,$H75),IF(_xll.TM1RPTELLEV($H$20,$H75)&lt;=5,_xll.TM1RPTELLEV($H$20,$H75),"Default"),"Leaf")</f>
        <v>Leaf</v>
      </c>
      <c r="C75" s="26" t="s">
        <v>10</v>
      </c>
      <c r="D75" s="24" t="str">
        <f>_xll.DBRW("TM1-S1_DEV:}ElementAttributes_SP_SKU",$F75,D$1)</f>
        <v>Primary</v>
      </c>
      <c r="E75" s="24" t="str">
        <f>_xll.DBRW("TM1-S1_DEV:}ElementAttributes_SP_SKU",$F75,E$1)</f>
        <v>DRESSING</v>
      </c>
      <c r="F75" s="26" t="s">
        <v>3158</v>
      </c>
      <c r="G75" s="26" t="s">
        <v>686</v>
      </c>
      <c r="H75" s="26" t="s">
        <v>2685</v>
      </c>
      <c r="I75" s="54">
        <f>_xll.DBRW($A$1,$F$14,$F$15,$C75,$A$2,$F75,$G75,$H75,I$1)</f>
        <v>29</v>
      </c>
      <c r="J75" s="25">
        <f>_xll.DBRW($A$1,$F$14,$F$15,$C75,$A$2,$F75,$G75,$H75,J$19)</f>
        <v>29</v>
      </c>
    </row>
    <row r="76" spans="1:10" s="23" customFormat="1" outlineLevel="1" thickBot="1" x14ac:dyDescent="0.3">
      <c r="A76" s="44"/>
      <c r="B76" s="31" t="str">
        <f>IF(_xll.TM1RPTELISCONSOLIDATED($H$20,$H76),IF(_xll.TM1RPTELLEV($H$20,$H76)&lt;=5,_xll.TM1RPTELLEV($H$20,$H76),"Default"),"Leaf")</f>
        <v>Leaf</v>
      </c>
      <c r="C76" s="26" t="s">
        <v>10</v>
      </c>
      <c r="D76" s="24" t="str">
        <f>_xll.DBRW("TM1-S1_DEV:}ElementAttributes_SP_SKU",$F76,D$1)</f>
        <v>Primary</v>
      </c>
      <c r="E76" s="24" t="str">
        <f>_xll.DBRW("TM1-S1_DEV:}ElementAttributes_SP_SKU",$F76,E$1)</f>
        <v>DRESSING</v>
      </c>
      <c r="F76" s="26" t="s">
        <v>3159</v>
      </c>
      <c r="G76" s="26" t="s">
        <v>687</v>
      </c>
      <c r="H76" s="26" t="s">
        <v>2685</v>
      </c>
      <c r="I76" s="54">
        <f>_xll.DBRW($A$1,$F$14,$F$15,$C76,$A$2,$F76,$G76,$H76,I$1)</f>
        <v>26</v>
      </c>
      <c r="J76" s="25">
        <f>_xll.DBRW($A$1,$F$14,$F$15,$C76,$A$2,$F76,$G76,$H76,J$19)</f>
        <v>26</v>
      </c>
    </row>
    <row r="77" spans="1:10" s="23" customFormat="1" outlineLevel="1" thickBot="1" x14ac:dyDescent="0.3">
      <c r="A77" s="44"/>
      <c r="B77" s="31" t="str">
        <f>IF(_xll.TM1RPTELISCONSOLIDATED($H$20,$H77),IF(_xll.TM1RPTELLEV($H$20,$H77)&lt;=5,_xll.TM1RPTELLEV($H$20,$H77),"Default"),"Leaf")</f>
        <v>Leaf</v>
      </c>
      <c r="C77" s="26" t="s">
        <v>10</v>
      </c>
      <c r="D77" s="24" t="str">
        <f>_xll.DBRW("TM1-S1_DEV:}ElementAttributes_SP_SKU",$F77,D$1)</f>
        <v>Primary</v>
      </c>
      <c r="E77" s="24" t="str">
        <f>_xll.DBRW("TM1-S1_DEV:}ElementAttributes_SP_SKU",$F77,E$1)</f>
        <v>DRESSING</v>
      </c>
      <c r="F77" s="26" t="s">
        <v>3160</v>
      </c>
      <c r="G77" s="26" t="s">
        <v>688</v>
      </c>
      <c r="H77" s="26" t="s">
        <v>2686</v>
      </c>
      <c r="I77" s="54">
        <f>_xll.DBRW($A$1,$F$14,$F$15,$C77,$A$2,$F77,$G77,$H77,I$1)</f>
        <v>3</v>
      </c>
      <c r="J77" s="25">
        <f>_xll.DBRW($A$1,$F$14,$F$15,$C77,$A$2,$F77,$G77,$H77,J$19)</f>
        <v>5</v>
      </c>
    </row>
    <row r="78" spans="1:10" s="23" customFormat="1" outlineLevel="1" thickBot="1" x14ac:dyDescent="0.3">
      <c r="A78" s="44"/>
      <c r="B78" s="31" t="str">
        <f>IF(_xll.TM1RPTELISCONSOLIDATED($H$20,$H78),IF(_xll.TM1RPTELLEV($H$20,$H78)&lt;=5,_xll.TM1RPTELLEV($H$20,$H78),"Default"),"Leaf")</f>
        <v>Leaf</v>
      </c>
      <c r="C78" s="26" t="s">
        <v>10</v>
      </c>
      <c r="D78" s="24" t="str">
        <f>_xll.DBRW("TM1-S1_DEV:}ElementAttributes_SP_SKU",$F78,D$1)</f>
        <v>Primary</v>
      </c>
      <c r="E78" s="24" t="str">
        <f>_xll.DBRW("TM1-S1_DEV:}ElementAttributes_SP_SKU",$F78,E$1)</f>
        <v>DRESSING</v>
      </c>
      <c r="F78" s="26" t="s">
        <v>3161</v>
      </c>
      <c r="G78" s="26" t="s">
        <v>689</v>
      </c>
      <c r="H78" s="26" t="s">
        <v>2685</v>
      </c>
      <c r="I78" s="54">
        <f>_xll.DBRW($A$1,$F$14,$F$15,$C78,$A$2,$F78,$G78,$H78,I$1)</f>
        <v>13</v>
      </c>
      <c r="J78" s="25">
        <f>_xll.DBRW($A$1,$F$14,$F$15,$C78,$A$2,$F78,$G78,$H78,J$19)</f>
        <v>13</v>
      </c>
    </row>
    <row r="79" spans="1:10" s="23" customFormat="1" outlineLevel="1" thickBot="1" x14ac:dyDescent="0.3">
      <c r="A79" s="44"/>
      <c r="B79" s="31" t="str">
        <f>IF(_xll.TM1RPTELISCONSOLIDATED($H$20,$H79),IF(_xll.TM1RPTELLEV($H$20,$H79)&lt;=5,_xll.TM1RPTELLEV($H$20,$H79),"Default"),"Leaf")</f>
        <v>Leaf</v>
      </c>
      <c r="C79" s="26" t="s">
        <v>10</v>
      </c>
      <c r="D79" s="24" t="str">
        <f>_xll.DBRW("TM1-S1_DEV:}ElementAttributes_SP_SKU",$F79,D$1)</f>
        <v>Primary</v>
      </c>
      <c r="E79" s="24" t="str">
        <f>_xll.DBRW("TM1-S1_DEV:}ElementAttributes_SP_SKU",$F79,E$1)</f>
        <v>CONDIMENT</v>
      </c>
      <c r="F79" s="26" t="s">
        <v>3162</v>
      </c>
      <c r="G79" s="26" t="s">
        <v>690</v>
      </c>
      <c r="H79" s="26" t="s">
        <v>2686</v>
      </c>
      <c r="I79" s="54">
        <f>_xll.DBRW($A$1,$F$14,$F$15,$C79,$A$2,$F79,$G79,$H79,I$1)</f>
        <v>8</v>
      </c>
      <c r="J79" s="25">
        <f>_xll.DBRW($A$1,$F$14,$F$15,$C79,$A$2,$F79,$G79,$H79,J$19)</f>
        <v>8</v>
      </c>
    </row>
    <row r="80" spans="1:10" s="23" customFormat="1" outlineLevel="1" thickBot="1" x14ac:dyDescent="0.3">
      <c r="A80" s="44"/>
      <c r="B80" s="31" t="str">
        <f>IF(_xll.TM1RPTELISCONSOLIDATED($H$20,$H80),IF(_xll.TM1RPTELLEV($H$20,$H80)&lt;=5,_xll.TM1RPTELLEV($H$20,$H80),"Default"),"Leaf")</f>
        <v>Leaf</v>
      </c>
      <c r="C80" s="26" t="s">
        <v>10</v>
      </c>
      <c r="D80" s="24" t="str">
        <f>_xll.DBRW("TM1-S1_DEV:}ElementAttributes_SP_SKU",$F80,D$1)</f>
        <v>Primary</v>
      </c>
      <c r="E80" s="24" t="str">
        <f>_xll.DBRW("TM1-S1_DEV:}ElementAttributes_SP_SKU",$F80,E$1)</f>
        <v>BREAD</v>
      </c>
      <c r="F80" s="26" t="s">
        <v>3163</v>
      </c>
      <c r="G80" s="26" t="s">
        <v>691</v>
      </c>
      <c r="H80" s="26" t="s">
        <v>2687</v>
      </c>
      <c r="I80" s="54">
        <f>_xll.DBRW($A$1,$F$14,$F$15,$C80,$A$2,$F80,$G80,$H80,I$1)</f>
        <v>31</v>
      </c>
      <c r="J80" s="25">
        <f>_xll.DBRW($A$1,$F$14,$F$15,$C80,$A$2,$F80,$G80,$H80,J$19)</f>
        <v>18</v>
      </c>
    </row>
    <row r="81" spans="1:10" s="23" customFormat="1" outlineLevel="1" thickBot="1" x14ac:dyDescent="0.3">
      <c r="A81" s="44"/>
      <c r="B81" s="31" t="str">
        <f>IF(_xll.TM1RPTELISCONSOLIDATED($H$20,$H81),IF(_xll.TM1RPTELLEV($H$20,$H81)&lt;=5,_xll.TM1RPTELLEV($H$20,$H81),"Default"),"Leaf")</f>
        <v>Leaf</v>
      </c>
      <c r="C81" s="26" t="s">
        <v>10</v>
      </c>
      <c r="D81" s="24" t="str">
        <f>_xll.DBRW("TM1-S1_DEV:}ElementAttributes_SP_SKU",$F81,D$1)</f>
        <v>Primary</v>
      </c>
      <c r="E81" s="24" t="str">
        <f>_xll.DBRW("TM1-S1_DEV:}ElementAttributes_SP_SKU",$F81,E$1)</f>
        <v>BREAD</v>
      </c>
      <c r="F81" s="26" t="s">
        <v>3164</v>
      </c>
      <c r="G81" s="26" t="s">
        <v>692</v>
      </c>
      <c r="H81" s="26" t="s">
        <v>2687</v>
      </c>
      <c r="I81" s="54">
        <f>_xll.DBRW($A$1,$F$14,$F$15,$C81,$A$2,$F81,$G81,$H81,I$1)</f>
        <v>96</v>
      </c>
      <c r="J81" s="25">
        <f>_xll.DBRW($A$1,$F$14,$F$15,$C81,$A$2,$F81,$G81,$H81,J$19)</f>
        <v>77</v>
      </c>
    </row>
    <row r="82" spans="1:10" s="23" customFormat="1" outlineLevel="1" thickBot="1" x14ac:dyDescent="0.3">
      <c r="A82" s="44"/>
      <c r="B82" s="31" t="str">
        <f>IF(_xll.TM1RPTELISCONSOLIDATED($H$20,$H82),IF(_xll.TM1RPTELLEV($H$20,$H82)&lt;=5,_xll.TM1RPTELLEV($H$20,$H82),"Default"),"Leaf")</f>
        <v>Leaf</v>
      </c>
      <c r="C82" s="26" t="s">
        <v>10</v>
      </c>
      <c r="D82" s="24" t="str">
        <f>_xll.DBRW("TM1-S1_DEV:}ElementAttributes_SP_SKU",$F82,D$1)</f>
        <v>Primary</v>
      </c>
      <c r="E82" s="24" t="str">
        <f>_xll.DBRW("TM1-S1_DEV:}ElementAttributes_SP_SKU",$F82,E$1)</f>
        <v>BREAD</v>
      </c>
      <c r="F82" s="26" t="s">
        <v>3165</v>
      </c>
      <c r="G82" s="26" t="s">
        <v>693</v>
      </c>
      <c r="H82" s="26" t="s">
        <v>2688</v>
      </c>
      <c r="I82" s="54">
        <f>_xll.DBRW($A$1,$F$14,$F$15,$C82,$A$2,$F82,$G82,$H82,I$1)</f>
        <v>181</v>
      </c>
      <c r="J82" s="25">
        <f>_xll.DBRW($A$1,$F$14,$F$15,$C82,$A$2,$F82,$G82,$H82,J$19)</f>
        <v>115</v>
      </c>
    </row>
    <row r="83" spans="1:10" s="23" customFormat="1" outlineLevel="1" thickBot="1" x14ac:dyDescent="0.3">
      <c r="A83" s="44"/>
      <c r="B83" s="31" t="str">
        <f>IF(_xll.TM1RPTELISCONSOLIDATED($H$20,$H83),IF(_xll.TM1RPTELLEV($H$20,$H83)&lt;=5,_xll.TM1RPTELLEV($H$20,$H83),"Default"),"Leaf")</f>
        <v>Leaf</v>
      </c>
      <c r="C83" s="26" t="s">
        <v>10</v>
      </c>
      <c r="D83" s="24" t="str">
        <f>_xll.DBRW("TM1-S1_DEV:}ElementAttributes_SP_SKU",$F83,D$1)</f>
        <v>Primary</v>
      </c>
      <c r="E83" s="24" t="str">
        <f>_xll.DBRW("TM1-S1_DEV:}ElementAttributes_SP_SKU",$F83,E$1)</f>
        <v>BREAD</v>
      </c>
      <c r="F83" s="26" t="s">
        <v>3166</v>
      </c>
      <c r="G83" s="26" t="s">
        <v>694</v>
      </c>
      <c r="H83" s="26" t="s">
        <v>2689</v>
      </c>
      <c r="I83" s="54">
        <f>_xll.DBRW($A$1,$F$14,$F$15,$C83,$A$2,$F83,$G83,$H83,I$1)</f>
        <v>146</v>
      </c>
      <c r="J83" s="25">
        <f>_xll.DBRW($A$1,$F$14,$F$15,$C83,$A$2,$F83,$G83,$H83,J$19)</f>
        <v>106</v>
      </c>
    </row>
    <row r="84" spans="1:10" s="23" customFormat="1" outlineLevel="1" thickBot="1" x14ac:dyDescent="0.3">
      <c r="A84" s="44"/>
      <c r="B84" s="31" t="str">
        <f>IF(_xll.TM1RPTELISCONSOLIDATED($H$20,$H84),IF(_xll.TM1RPTELLEV($H$20,$H84)&lt;=5,_xll.TM1RPTELLEV($H$20,$H84),"Default"),"Leaf")</f>
        <v>Leaf</v>
      </c>
      <c r="C84" s="26" t="s">
        <v>10</v>
      </c>
      <c r="D84" s="24" t="str">
        <f>_xll.DBRW("TM1-S1_DEV:}ElementAttributes_SP_SKU",$F84,D$1)</f>
        <v>Primary</v>
      </c>
      <c r="E84" s="24" t="str">
        <f>_xll.DBRW("TM1-S1_DEV:}ElementAttributes_SP_SKU",$F84,E$1)</f>
        <v>BREAD</v>
      </c>
      <c r="F84" s="26" t="s">
        <v>3167</v>
      </c>
      <c r="G84" s="26" t="s">
        <v>695</v>
      </c>
      <c r="H84" s="26" t="s">
        <v>2688</v>
      </c>
      <c r="I84" s="54">
        <f>_xll.DBRW($A$1,$F$14,$F$15,$C84,$A$2,$F84,$G84,$H84,I$1)</f>
        <v>47</v>
      </c>
      <c r="J84" s="25">
        <f>_xll.DBRW($A$1,$F$14,$F$15,$C84,$A$2,$F84,$G84,$H84,J$19)</f>
        <v>14</v>
      </c>
    </row>
    <row r="85" spans="1:10" s="23" customFormat="1" outlineLevel="1" thickBot="1" x14ac:dyDescent="0.3">
      <c r="A85" s="44"/>
      <c r="B85" s="31" t="str">
        <f>IF(_xll.TM1RPTELISCONSOLIDATED($H$20,$H85),IF(_xll.TM1RPTELLEV($H$20,$H85)&lt;=5,_xll.TM1RPTELLEV($H$20,$H85),"Default"),"Leaf")</f>
        <v>Leaf</v>
      </c>
      <c r="C85" s="26" t="s">
        <v>10</v>
      </c>
      <c r="D85" s="24" t="str">
        <f>_xll.DBRW("TM1-S1_DEV:}ElementAttributes_SP_SKU",$F85,D$1)</f>
        <v>Primary</v>
      </c>
      <c r="E85" s="24" t="str">
        <f>_xll.DBRW("TM1-S1_DEV:}ElementAttributes_SP_SKU",$F85,E$1)</f>
        <v>BREAD</v>
      </c>
      <c r="F85" s="26" t="s">
        <v>3168</v>
      </c>
      <c r="G85" s="26" t="s">
        <v>696</v>
      </c>
      <c r="H85" s="26" t="s">
        <v>2688</v>
      </c>
      <c r="I85" s="54">
        <f>_xll.DBRW($A$1,$F$14,$F$15,$C85,$A$2,$F85,$G85,$H85,I$1)</f>
        <v>37</v>
      </c>
      <c r="J85" s="25">
        <f>_xll.DBRW($A$1,$F$14,$F$15,$C85,$A$2,$F85,$G85,$H85,J$19)</f>
        <v>22</v>
      </c>
    </row>
    <row r="86" spans="1:10" s="23" customFormat="1" outlineLevel="1" thickBot="1" x14ac:dyDescent="0.3">
      <c r="A86" s="44"/>
      <c r="B86" s="31" t="str">
        <f>IF(_xll.TM1RPTELISCONSOLIDATED($H$20,$H86),IF(_xll.TM1RPTELLEV($H$20,$H86)&lt;=5,_xll.TM1RPTELLEV($H$20,$H86),"Default"),"Leaf")</f>
        <v>Leaf</v>
      </c>
      <c r="C86" s="26" t="s">
        <v>10</v>
      </c>
      <c r="D86" s="24" t="str">
        <f>_xll.DBRW("TM1-S1_DEV:}ElementAttributes_SP_SKU",$F86,D$1)</f>
        <v>Primary</v>
      </c>
      <c r="E86" s="24" t="str">
        <f>_xll.DBRW("TM1-S1_DEV:}ElementAttributes_SP_SKU",$F86,E$1)</f>
        <v>BREAD</v>
      </c>
      <c r="F86" s="26" t="s">
        <v>3169</v>
      </c>
      <c r="G86" s="26" t="s">
        <v>697</v>
      </c>
      <c r="H86" s="26" t="s">
        <v>2690</v>
      </c>
      <c r="I86" s="54">
        <f>_xll.DBRW($A$1,$F$14,$F$15,$C86,$A$2,$F86,$G86,$H86,I$1)</f>
        <v>83</v>
      </c>
      <c r="J86" s="25">
        <f>_xll.DBRW($A$1,$F$14,$F$15,$C86,$A$2,$F86,$G86,$H86,J$19)</f>
        <v>49</v>
      </c>
    </row>
    <row r="87" spans="1:10" s="23" customFormat="1" outlineLevel="1" thickBot="1" x14ac:dyDescent="0.3">
      <c r="A87" s="44"/>
      <c r="B87" s="31" t="str">
        <f>IF(_xll.TM1RPTELISCONSOLIDATED($H$20,$H87),IF(_xll.TM1RPTELLEV($H$20,$H87)&lt;=5,_xll.TM1RPTELLEV($H$20,$H87),"Default"),"Leaf")</f>
        <v>Leaf</v>
      </c>
      <c r="C87" s="26" t="s">
        <v>10</v>
      </c>
      <c r="D87" s="24" t="str">
        <f>_xll.DBRW("TM1-S1_DEV:}ElementAttributes_SP_SKU",$F87,D$1)</f>
        <v>Primary</v>
      </c>
      <c r="E87" s="24" t="str">
        <f>_xll.DBRW("TM1-S1_DEV:}ElementAttributes_SP_SKU",$F87,E$1)</f>
        <v>BREAD</v>
      </c>
      <c r="F87" s="26" t="s">
        <v>3170</v>
      </c>
      <c r="G87" s="26" t="s">
        <v>3020</v>
      </c>
      <c r="H87" s="26" t="s">
        <v>2690</v>
      </c>
      <c r="I87" s="54">
        <f>_xll.DBRW($A$1,$F$14,$F$15,$C87,$A$2,$F87,$G87,$H87,I$1)</f>
        <v>0</v>
      </c>
      <c r="J87" s="25">
        <f>_xll.DBRW($A$1,$F$14,$F$15,$C87,$A$2,$F87,$G87,$H87,J$19)</f>
        <v>-2</v>
      </c>
    </row>
    <row r="88" spans="1:10" s="23" customFormat="1" outlineLevel="1" thickBot="1" x14ac:dyDescent="0.3">
      <c r="A88" s="44"/>
      <c r="B88" s="31" t="str">
        <f>IF(_xll.TM1RPTELISCONSOLIDATED($H$20,$H88),IF(_xll.TM1RPTELLEV($H$20,$H88)&lt;=5,_xll.TM1RPTELLEV($H$20,$H88),"Default"),"Leaf")</f>
        <v>Leaf</v>
      </c>
      <c r="C88" s="26" t="s">
        <v>10</v>
      </c>
      <c r="D88" s="24" t="str">
        <f>_xll.DBRW("TM1-S1_DEV:}ElementAttributes_SP_SKU",$F88,D$1)</f>
        <v>Primary</v>
      </c>
      <c r="E88" s="24" t="str">
        <f>_xll.DBRW("TM1-S1_DEV:}ElementAttributes_SP_SKU",$F88,E$1)</f>
        <v>BREAD</v>
      </c>
      <c r="F88" s="26" t="s">
        <v>3171</v>
      </c>
      <c r="G88" s="26" t="s">
        <v>698</v>
      </c>
      <c r="H88" s="26" t="s">
        <v>2690</v>
      </c>
      <c r="I88" s="54">
        <f>_xll.DBRW($A$1,$F$14,$F$15,$C88,$A$2,$F88,$G88,$H88,I$1)</f>
        <v>0</v>
      </c>
      <c r="J88" s="25">
        <f>_xll.DBRW($A$1,$F$14,$F$15,$C88,$A$2,$F88,$G88,$H88,J$19)</f>
        <v>-1</v>
      </c>
    </row>
    <row r="89" spans="1:10" s="23" customFormat="1" outlineLevel="1" thickBot="1" x14ac:dyDescent="0.3">
      <c r="A89" s="44"/>
      <c r="B89" s="31" t="str">
        <f>IF(_xll.TM1RPTELISCONSOLIDATED($H$20,$H89),IF(_xll.TM1RPTELLEV($H$20,$H89)&lt;=5,_xll.TM1RPTELLEV($H$20,$H89),"Default"),"Leaf")</f>
        <v>Leaf</v>
      </c>
      <c r="C89" s="26" t="s">
        <v>10</v>
      </c>
      <c r="D89" s="24" t="str">
        <f>_xll.DBRW("TM1-S1_DEV:}ElementAttributes_SP_SKU",$F89,D$1)</f>
        <v>Primary</v>
      </c>
      <c r="E89" s="24" t="str">
        <f>_xll.DBRW("TM1-S1_DEV:}ElementAttributes_SP_SKU",$F89,E$1)</f>
        <v>BREAD</v>
      </c>
      <c r="F89" s="26" t="s">
        <v>3172</v>
      </c>
      <c r="G89" s="26" t="s">
        <v>699</v>
      </c>
      <c r="H89" s="26" t="s">
        <v>2690</v>
      </c>
      <c r="I89" s="54">
        <f>_xll.DBRW($A$1,$F$14,$F$15,$C89,$A$2,$F89,$G89,$H89,I$1)</f>
        <v>14</v>
      </c>
      <c r="J89" s="25">
        <f>_xll.DBRW($A$1,$F$14,$F$15,$C89,$A$2,$F89,$G89,$H89,J$19)</f>
        <v>12</v>
      </c>
    </row>
    <row r="90" spans="1:10" s="23" customFormat="1" outlineLevel="1" thickBot="1" x14ac:dyDescent="0.3">
      <c r="A90" s="44"/>
      <c r="B90" s="31" t="str">
        <f>IF(_xll.TM1RPTELISCONSOLIDATED($H$20,$H90),IF(_xll.TM1RPTELLEV($H$20,$H90)&lt;=5,_xll.TM1RPTELLEV($H$20,$H90),"Default"),"Leaf")</f>
        <v>Leaf</v>
      </c>
      <c r="C90" s="26" t="s">
        <v>10</v>
      </c>
      <c r="D90" s="24" t="str">
        <f>_xll.DBRW("TM1-S1_DEV:}ElementAttributes_SP_SKU",$F90,D$1)</f>
        <v>Primary</v>
      </c>
      <c r="E90" s="24" t="str">
        <f>_xll.DBRW("TM1-S1_DEV:}ElementAttributes_SP_SKU",$F90,E$1)</f>
        <v>CHEESE</v>
      </c>
      <c r="F90" s="26" t="s">
        <v>3173</v>
      </c>
      <c r="G90" s="26" t="s">
        <v>700</v>
      </c>
      <c r="H90" s="26" t="s">
        <v>2692</v>
      </c>
      <c r="I90" s="54">
        <f>_xll.DBRW($A$1,$F$14,$F$15,$C90,$A$2,$F90,$G90,$H90,I$1)</f>
        <v>69</v>
      </c>
      <c r="J90" s="25">
        <f>_xll.DBRW($A$1,$F$14,$F$15,$C90,$A$2,$F90,$G90,$H90,J$19)</f>
        <v>95</v>
      </c>
    </row>
    <row r="91" spans="1:10" s="23" customFormat="1" outlineLevel="1" thickBot="1" x14ac:dyDescent="0.3">
      <c r="A91" s="44"/>
      <c r="B91" s="31" t="str">
        <f>IF(_xll.TM1RPTELISCONSOLIDATED($H$20,$H91),IF(_xll.TM1RPTELLEV($H$20,$H91)&lt;=5,_xll.TM1RPTELLEV($H$20,$H91),"Default"),"Leaf")</f>
        <v>Leaf</v>
      </c>
      <c r="C91" s="26" t="s">
        <v>10</v>
      </c>
      <c r="D91" s="24" t="str">
        <f>_xll.DBRW("TM1-S1_DEV:}ElementAttributes_SP_SKU",$F91,D$1)</f>
        <v>Primary</v>
      </c>
      <c r="E91" s="24" t="str">
        <f>_xll.DBRW("TM1-S1_DEV:}ElementAttributes_SP_SKU",$F91,E$1)</f>
        <v>CONDIMENT</v>
      </c>
      <c r="F91" s="26" t="s">
        <v>3174</v>
      </c>
      <c r="G91" s="26" t="s">
        <v>701</v>
      </c>
      <c r="H91" s="26" t="s">
        <v>2684</v>
      </c>
      <c r="I91" s="54">
        <f>_xll.DBRW($A$1,$F$14,$F$15,$C91,$A$2,$F91,$G91,$H91,I$1)</f>
        <v>18</v>
      </c>
      <c r="J91" s="25">
        <f>_xll.DBRW($A$1,$F$14,$F$15,$C91,$A$2,$F91,$G91,$H91,J$19)</f>
        <v>39</v>
      </c>
    </row>
    <row r="92" spans="1:10" s="23" customFormat="1" outlineLevel="1" thickBot="1" x14ac:dyDescent="0.3">
      <c r="A92" s="44"/>
      <c r="B92" s="31" t="str">
        <f>IF(_xll.TM1RPTELISCONSOLIDATED($H$20,$H92),IF(_xll.TM1RPTELLEV($H$20,$H92)&lt;=5,_xll.TM1RPTELLEV($H$20,$H92),"Default"),"Leaf")</f>
        <v>Leaf</v>
      </c>
      <c r="C92" s="26" t="s">
        <v>10</v>
      </c>
      <c r="D92" s="24" t="str">
        <f>_xll.DBRW("TM1-S1_DEV:}ElementAttributes_SP_SKU",$F92,D$1)</f>
        <v>Primary</v>
      </c>
      <c r="E92" s="24" t="str">
        <f>_xll.DBRW("TM1-S1_DEV:}ElementAttributes_SP_SKU",$F92,E$1)</f>
        <v>CHEESE</v>
      </c>
      <c r="F92" s="26" t="s">
        <v>3175</v>
      </c>
      <c r="G92" s="26" t="s">
        <v>702</v>
      </c>
      <c r="H92" s="26" t="s">
        <v>2692</v>
      </c>
      <c r="I92" s="54">
        <f>_xll.DBRW($A$1,$F$14,$F$15,$C92,$A$2,$F92,$G92,$H92,I$1)</f>
        <v>719</v>
      </c>
      <c r="J92" s="25">
        <f>_xll.DBRW($A$1,$F$14,$F$15,$C92,$A$2,$F92,$G92,$H92,J$19)</f>
        <v>732</v>
      </c>
    </row>
    <row r="93" spans="1:10" s="23" customFormat="1" outlineLevel="1" thickBot="1" x14ac:dyDescent="0.3">
      <c r="A93" s="44"/>
      <c r="B93" s="31" t="str">
        <f>IF(_xll.TM1RPTELISCONSOLIDATED($H$20,$H93),IF(_xll.TM1RPTELLEV($H$20,$H93)&lt;=5,_xll.TM1RPTELLEV($H$20,$H93),"Default"),"Leaf")</f>
        <v>Leaf</v>
      </c>
      <c r="C93" s="26" t="s">
        <v>10</v>
      </c>
      <c r="D93" s="24" t="str">
        <f>_xll.DBRW("TM1-S1_DEV:}ElementAttributes_SP_SKU",$F93,D$1)</f>
        <v>Primary</v>
      </c>
      <c r="E93" s="24" t="str">
        <f>_xll.DBRW("TM1-S1_DEV:}ElementAttributes_SP_SKU",$F93,E$1)</f>
        <v>CONDIMENT</v>
      </c>
      <c r="F93" s="26" t="s">
        <v>3176</v>
      </c>
      <c r="G93" s="26" t="s">
        <v>703</v>
      </c>
      <c r="H93" s="26" t="s">
        <v>2684</v>
      </c>
      <c r="I93" s="54">
        <f>_xll.DBRW($A$1,$F$14,$F$15,$C93,$A$2,$F93,$G93,$H93,I$1)</f>
        <v>18</v>
      </c>
      <c r="J93" s="25">
        <f>_xll.DBRW($A$1,$F$14,$F$15,$C93,$A$2,$F93,$G93,$H93,J$19)</f>
        <v>11</v>
      </c>
    </row>
    <row r="94" spans="1:10" s="23" customFormat="1" outlineLevel="1" thickBot="1" x14ac:dyDescent="0.3">
      <c r="A94" s="44"/>
      <c r="B94" s="31" t="str">
        <f>IF(_xll.TM1RPTELISCONSOLIDATED($H$20,$H94),IF(_xll.TM1RPTELLEV($H$20,$H94)&lt;=5,_xll.TM1RPTELLEV($H$20,$H94),"Default"),"Leaf")</f>
        <v>Leaf</v>
      </c>
      <c r="C94" s="26" t="s">
        <v>10</v>
      </c>
      <c r="D94" s="24" t="str">
        <f>_xll.DBRW("TM1-S1_DEV:}ElementAttributes_SP_SKU",$F94,D$1)</f>
        <v>Primary</v>
      </c>
      <c r="E94" s="24" t="str">
        <f>_xll.DBRW("TM1-S1_DEV:}ElementAttributes_SP_SKU",$F94,E$1)</f>
        <v>INGREDIENT</v>
      </c>
      <c r="F94" s="26" t="s">
        <v>3177</v>
      </c>
      <c r="G94" s="26" t="s">
        <v>704</v>
      </c>
      <c r="H94" s="26" t="s">
        <v>2686</v>
      </c>
      <c r="I94" s="54">
        <f>_xll.DBRW($A$1,$F$14,$F$15,$C94,$A$2,$F94,$G94,$H94,I$1)</f>
        <v>10</v>
      </c>
      <c r="J94" s="25">
        <f>_xll.DBRW($A$1,$F$14,$F$15,$C94,$A$2,$F94,$G94,$H94,J$19)</f>
        <v>7</v>
      </c>
    </row>
    <row r="95" spans="1:10" s="23" customFormat="1" outlineLevel="1" thickBot="1" x14ac:dyDescent="0.3">
      <c r="A95" s="44"/>
      <c r="B95" s="31" t="str">
        <f>IF(_xll.TM1RPTELISCONSOLIDATED($H$20,$H95),IF(_xll.TM1RPTELLEV($H$20,$H95)&lt;=5,_xll.TM1RPTELLEV($H$20,$H95),"Default"),"Leaf")</f>
        <v>Leaf</v>
      </c>
      <c r="C95" s="26" t="s">
        <v>10</v>
      </c>
      <c r="D95" s="24" t="str">
        <f>_xll.DBRW("TM1-S1_DEV:}ElementAttributes_SP_SKU",$F95,D$1)</f>
        <v>Primary</v>
      </c>
      <c r="E95" s="24" t="str">
        <f>_xll.DBRW("TM1-S1_DEV:}ElementAttributes_SP_SKU",$F95,E$1)</f>
        <v>CONDIMENT</v>
      </c>
      <c r="F95" s="26" t="s">
        <v>3178</v>
      </c>
      <c r="G95" s="26" t="s">
        <v>705</v>
      </c>
      <c r="H95" s="26" t="s">
        <v>2684</v>
      </c>
      <c r="I95" s="54">
        <f>_xll.DBRW($A$1,$F$14,$F$15,$C95,$A$2,$F95,$G95,$H95,I$1)</f>
        <v>8</v>
      </c>
      <c r="J95" s="25">
        <f>_xll.DBRW($A$1,$F$14,$F$15,$C95,$A$2,$F95,$G95,$H95,J$19)</f>
        <v>3</v>
      </c>
    </row>
    <row r="96" spans="1:10" s="23" customFormat="1" outlineLevel="1" thickBot="1" x14ac:dyDescent="0.3">
      <c r="A96" s="44"/>
      <c r="B96" s="31" t="str">
        <f>IF(_xll.TM1RPTELISCONSOLIDATED($H$20,$H96),IF(_xll.TM1RPTELLEV($H$20,$H96)&lt;=5,_xll.TM1RPTELLEV($H$20,$H96),"Default"),"Leaf")</f>
        <v>Leaf</v>
      </c>
      <c r="C96" s="26" t="s">
        <v>10</v>
      </c>
      <c r="D96" s="24" t="str">
        <f>_xll.DBRW("TM1-S1_DEV:}ElementAttributes_SP_SKU",$F96,D$1)</f>
        <v>Primary</v>
      </c>
      <c r="E96" s="24" t="str">
        <f>_xll.DBRW("TM1-S1_DEV:}ElementAttributes_SP_SKU",$F96,E$1)</f>
        <v>CONDIMENT</v>
      </c>
      <c r="F96" s="26" t="s">
        <v>3179</v>
      </c>
      <c r="G96" s="26" t="s">
        <v>3021</v>
      </c>
      <c r="H96" s="26" t="s">
        <v>2684</v>
      </c>
      <c r="I96" s="54">
        <f>_xll.DBRW($A$1,$F$14,$F$15,$C96,$A$2,$F96,$G96,$H96,I$1)</f>
        <v>26</v>
      </c>
      <c r="J96" s="25">
        <f>_xll.DBRW($A$1,$F$14,$F$15,$C96,$A$2,$F96,$G96,$H96,J$19)</f>
        <v>24</v>
      </c>
    </row>
    <row r="97" spans="1:10" s="23" customFormat="1" outlineLevel="1" thickBot="1" x14ac:dyDescent="0.3">
      <c r="A97" s="44"/>
      <c r="B97" s="31" t="str">
        <f>IF(_xll.TM1RPTELISCONSOLIDATED($H$20,$H97),IF(_xll.TM1RPTELLEV($H$20,$H97)&lt;=5,_xll.TM1RPTELLEV($H$20,$H97),"Default"),"Leaf")</f>
        <v>Leaf</v>
      </c>
      <c r="C97" s="26" t="s">
        <v>10</v>
      </c>
      <c r="D97" s="24" t="str">
        <f>_xll.DBRW("TM1-S1_DEV:}ElementAttributes_SP_SKU",$F97,D$1)</f>
        <v>Primary</v>
      </c>
      <c r="E97" s="24" t="str">
        <f>_xll.DBRW("TM1-S1_DEV:}ElementAttributes_SP_SKU",$F97,E$1)</f>
        <v>COOKIE</v>
      </c>
      <c r="F97" s="26" t="s">
        <v>3180</v>
      </c>
      <c r="G97" s="26" t="s">
        <v>706</v>
      </c>
      <c r="H97" s="26" t="s">
        <v>2691</v>
      </c>
      <c r="I97" s="54">
        <f>_xll.DBRW($A$1,$F$14,$F$15,$C97,$A$2,$F97,$G97,$H97,I$1)</f>
        <v>70</v>
      </c>
      <c r="J97" s="25">
        <f>_xll.DBRW($A$1,$F$14,$F$15,$C97,$A$2,$F97,$G97,$H97,J$19)</f>
        <v>60</v>
      </c>
    </row>
    <row r="98" spans="1:10" s="23" customFormat="1" outlineLevel="1" thickBot="1" x14ac:dyDescent="0.3">
      <c r="A98" s="44"/>
      <c r="B98" s="31" t="str">
        <f>IF(_xll.TM1RPTELISCONSOLIDATED($H$20,$H98),IF(_xll.TM1RPTELLEV($H$20,$H98)&lt;=5,_xll.TM1RPTELLEV($H$20,$H98),"Default"),"Leaf")</f>
        <v>Leaf</v>
      </c>
      <c r="C98" s="26" t="s">
        <v>10</v>
      </c>
      <c r="D98" s="24" t="str">
        <f>_xll.DBRW("TM1-S1_DEV:}ElementAttributes_SP_SKU",$F98,D$1)</f>
        <v>Primary</v>
      </c>
      <c r="E98" s="24" t="str">
        <f>_xll.DBRW("TM1-S1_DEV:}ElementAttributes_SP_SKU",$F98,E$1)</f>
        <v>COOKIE</v>
      </c>
      <c r="F98" s="26" t="s">
        <v>3181</v>
      </c>
      <c r="G98" s="26" t="s">
        <v>707</v>
      </c>
      <c r="H98" s="26" t="s">
        <v>2691</v>
      </c>
      <c r="I98" s="54">
        <f>_xll.DBRW($A$1,$F$14,$F$15,$C98,$A$2,$F98,$G98,$H98,I$1)</f>
        <v>148</v>
      </c>
      <c r="J98" s="25">
        <f>_xll.DBRW($A$1,$F$14,$F$15,$C98,$A$2,$F98,$G98,$H98,J$19)</f>
        <v>137</v>
      </c>
    </row>
    <row r="99" spans="1:10" s="23" customFormat="1" outlineLevel="1" thickBot="1" x14ac:dyDescent="0.3">
      <c r="A99" s="44"/>
      <c r="B99" s="31" t="str">
        <f>IF(_xll.TM1RPTELISCONSOLIDATED($H$20,$H99),IF(_xll.TM1RPTELLEV($H$20,$H99)&lt;=5,_xll.TM1RPTELLEV($H$20,$H99),"Default"),"Leaf")</f>
        <v>Leaf</v>
      </c>
      <c r="C99" s="26" t="s">
        <v>10</v>
      </c>
      <c r="D99" s="24" t="str">
        <f>_xll.DBRW("TM1-S1_DEV:}ElementAttributes_SP_SKU",$F99,D$1)</f>
        <v>Primary</v>
      </c>
      <c r="E99" s="24" t="str">
        <f>_xll.DBRW("TM1-S1_DEV:}ElementAttributes_SP_SKU",$F99,E$1)</f>
        <v>COOKIE</v>
      </c>
      <c r="F99" s="26" t="s">
        <v>3182</v>
      </c>
      <c r="G99" s="26" t="s">
        <v>708</v>
      </c>
      <c r="H99" s="26" t="s">
        <v>2691</v>
      </c>
      <c r="I99" s="54">
        <f>_xll.DBRW($A$1,$F$14,$F$15,$C99,$A$2,$F99,$G99,$H99,I$1)</f>
        <v>79</v>
      </c>
      <c r="J99" s="25">
        <f>_xll.DBRW($A$1,$F$14,$F$15,$C99,$A$2,$F99,$G99,$H99,J$19)</f>
        <v>67</v>
      </c>
    </row>
    <row r="100" spans="1:10" s="23" customFormat="1" outlineLevel="1" thickBot="1" x14ac:dyDescent="0.3">
      <c r="A100" s="44"/>
      <c r="B100" s="31" t="str">
        <f>IF(_xll.TM1RPTELISCONSOLIDATED($H$20,$H100),IF(_xll.TM1RPTELLEV($H$20,$H100)&lt;=5,_xll.TM1RPTELLEV($H$20,$H100),"Default"),"Leaf")</f>
        <v>Leaf</v>
      </c>
      <c r="C100" s="26" t="s">
        <v>10</v>
      </c>
      <c r="D100" s="24" t="str">
        <f>_xll.DBRW("TM1-S1_DEV:}ElementAttributes_SP_SKU",$F100,D$1)</f>
        <v>Primary</v>
      </c>
      <c r="E100" s="24" t="str">
        <f>_xll.DBRW("TM1-S1_DEV:}ElementAttributes_SP_SKU",$F100,E$1)</f>
        <v>COOKIE</v>
      </c>
      <c r="F100" s="26" t="s">
        <v>3183</v>
      </c>
      <c r="G100" s="26" t="s">
        <v>709</v>
      </c>
      <c r="H100" s="26" t="s">
        <v>2691</v>
      </c>
      <c r="I100" s="54">
        <f>_xll.DBRW($A$1,$F$14,$F$15,$C100,$A$2,$F100,$G100,$H100,I$1)</f>
        <v>167</v>
      </c>
      <c r="J100" s="25">
        <f>_xll.DBRW($A$1,$F$14,$F$15,$C100,$A$2,$F100,$G100,$H100,J$19)</f>
        <v>149</v>
      </c>
    </row>
    <row r="101" spans="1:10" s="23" customFormat="1" outlineLevel="1" thickBot="1" x14ac:dyDescent="0.3">
      <c r="A101" s="44"/>
      <c r="B101" s="31" t="str">
        <f>IF(_xll.TM1RPTELISCONSOLIDATED($H$20,$H101),IF(_xll.TM1RPTELLEV($H$20,$H101)&lt;=5,_xll.TM1RPTELLEV($H$20,$H101),"Default"),"Leaf")</f>
        <v>Leaf</v>
      </c>
      <c r="C101" s="26" t="s">
        <v>10</v>
      </c>
      <c r="D101" s="24" t="str">
        <f>_xll.DBRW("TM1-S1_DEV:}ElementAttributes_SP_SKU",$F101,D$1)</f>
        <v>Primary</v>
      </c>
      <c r="E101" s="24" t="str">
        <f>_xll.DBRW("TM1-S1_DEV:}ElementAttributes_SP_SKU",$F101,E$1)</f>
        <v>SOUP</v>
      </c>
      <c r="F101" s="26" t="s">
        <v>3184</v>
      </c>
      <c r="G101" s="26" t="s">
        <v>710</v>
      </c>
      <c r="H101" s="26" t="s">
        <v>2675</v>
      </c>
      <c r="I101" s="54">
        <f>_xll.DBRW($A$1,$F$14,$F$15,$C101,$A$2,$F101,$G101,$H101,I$1)</f>
        <v>2</v>
      </c>
      <c r="J101" s="25">
        <f>_xll.DBRW($A$1,$F$14,$F$15,$C101,$A$2,$F101,$G101,$H101,J$19)</f>
        <v>2</v>
      </c>
    </row>
    <row r="102" spans="1:10" s="23" customFormat="1" outlineLevel="1" thickBot="1" x14ac:dyDescent="0.3">
      <c r="A102" s="44"/>
      <c r="B102" s="31" t="str">
        <f>IF(_xll.TM1RPTELISCONSOLIDATED($H$20,$H102),IF(_xll.TM1RPTELLEV($H$20,$H102)&lt;=5,_xll.TM1RPTELLEV($H$20,$H102),"Default"),"Leaf")</f>
        <v>Leaf</v>
      </c>
      <c r="C102" s="26" t="s">
        <v>10</v>
      </c>
      <c r="D102" s="24" t="str">
        <f>_xll.DBRW("TM1-S1_DEV:}ElementAttributes_SP_SKU",$F102,D$1)</f>
        <v>Primary</v>
      </c>
      <c r="E102" s="24" t="str">
        <f>_xll.DBRW("TM1-S1_DEV:}ElementAttributes_SP_SKU",$F102,E$1)</f>
        <v>INGREDIENT</v>
      </c>
      <c r="F102" s="26" t="s">
        <v>3185</v>
      </c>
      <c r="G102" s="26" t="s">
        <v>711</v>
      </c>
      <c r="H102" s="26" t="s">
        <v>2693</v>
      </c>
      <c r="I102" s="54">
        <f>_xll.DBRW($A$1,$F$14,$F$15,$C102,$A$2,$F102,$G102,$H102,I$1)</f>
        <v>37</v>
      </c>
      <c r="J102" s="25">
        <f>_xll.DBRW($A$1,$F$14,$F$15,$C102,$A$2,$F102,$G102,$H102,J$19)</f>
        <v>25</v>
      </c>
    </row>
    <row r="103" spans="1:10" s="23" customFormat="1" outlineLevel="1" thickBot="1" x14ac:dyDescent="0.3">
      <c r="A103" s="44"/>
      <c r="B103" s="31" t="str">
        <f>IF(_xll.TM1RPTELISCONSOLIDATED($H$20,$H103),IF(_xll.TM1RPTELLEV($H$20,$H103)&lt;=5,_xll.TM1RPTELLEV($H$20,$H103),"Default"),"Leaf")</f>
        <v>Leaf</v>
      </c>
      <c r="C103" s="26" t="s">
        <v>10</v>
      </c>
      <c r="D103" s="24" t="str">
        <f>_xll.DBRW("TM1-S1_DEV:}ElementAttributes_SP_SKU",$F103,D$1)</f>
        <v>Primary</v>
      </c>
      <c r="E103" s="24" t="str">
        <f>_xll.DBRW("TM1-S1_DEV:}ElementAttributes_SP_SKU",$F103,E$1)</f>
        <v>INGREDIENT</v>
      </c>
      <c r="F103" s="26" t="s">
        <v>3186</v>
      </c>
      <c r="G103" s="26" t="s">
        <v>712</v>
      </c>
      <c r="H103" s="26" t="s">
        <v>2694</v>
      </c>
      <c r="I103" s="54">
        <f>_xll.DBRW($A$1,$F$14,$F$15,$C103,$A$2,$F103,$G103,$H103,I$1)</f>
        <v>35</v>
      </c>
      <c r="J103" s="25">
        <f>_xll.DBRW($A$1,$F$14,$F$15,$C103,$A$2,$F103,$G103,$H103,J$19)</f>
        <v>35</v>
      </c>
    </row>
    <row r="104" spans="1:10" s="23" customFormat="1" outlineLevel="1" thickBot="1" x14ac:dyDescent="0.3">
      <c r="A104" s="44"/>
      <c r="B104" s="31" t="str">
        <f>IF(_xll.TM1RPTELISCONSOLIDATED($H$20,$H104),IF(_xll.TM1RPTELLEV($H$20,$H104)&lt;=5,_xll.TM1RPTELLEV($H$20,$H104),"Default"),"Leaf")</f>
        <v>Leaf</v>
      </c>
      <c r="C104" s="26" t="s">
        <v>10</v>
      </c>
      <c r="D104" s="24" t="str">
        <f>_xll.DBRW("TM1-S1_DEV:}ElementAttributes_SP_SKU",$F104,D$1)</f>
        <v>Primary</v>
      </c>
      <c r="E104" s="24" t="str">
        <f>_xll.DBRW("TM1-S1_DEV:}ElementAttributes_SP_SKU",$F104,E$1)</f>
        <v>INGREDIENT</v>
      </c>
      <c r="F104" s="26" t="s">
        <v>3187</v>
      </c>
      <c r="G104" s="26" t="s">
        <v>713</v>
      </c>
      <c r="H104" s="26" t="s">
        <v>2695</v>
      </c>
      <c r="I104" s="54">
        <f>_xll.DBRW($A$1,$F$14,$F$15,$C104,$A$2,$F104,$G104,$H104,I$1)</f>
        <v>0</v>
      </c>
      <c r="J104" s="25">
        <f>_xll.DBRW($A$1,$F$14,$F$15,$C104,$A$2,$F104,$G104,$H104,J$19)</f>
        <v>49</v>
      </c>
    </row>
    <row r="105" spans="1:10" s="23" customFormat="1" outlineLevel="1" thickBot="1" x14ac:dyDescent="0.3">
      <c r="A105" s="44"/>
      <c r="B105" s="31" t="str">
        <f>IF(_xll.TM1RPTELISCONSOLIDATED($H$20,$H105),IF(_xll.TM1RPTELLEV($H$20,$H105)&lt;=5,_xll.TM1RPTELLEV($H$20,$H105),"Default"),"Leaf")</f>
        <v>Leaf</v>
      </c>
      <c r="C105" s="26" t="s">
        <v>10</v>
      </c>
      <c r="D105" s="24" t="str">
        <f>_xll.DBRW("TM1-S1_DEV:}ElementAttributes_SP_SKU",$F105,D$1)</f>
        <v>Primary</v>
      </c>
      <c r="E105" s="24" t="str">
        <f>_xll.DBRW("TM1-S1_DEV:}ElementAttributes_SP_SKU",$F105,E$1)</f>
        <v>SIDES</v>
      </c>
      <c r="F105" s="26" t="s">
        <v>3188</v>
      </c>
      <c r="G105" s="26" t="s">
        <v>714</v>
      </c>
      <c r="H105" s="26" t="s">
        <v>2686</v>
      </c>
      <c r="I105" s="54">
        <f>_xll.DBRW($A$1,$F$14,$F$15,$C105,$A$2,$F105,$G105,$H105,I$1)</f>
        <v>3</v>
      </c>
      <c r="J105" s="25">
        <f>_xll.DBRW($A$1,$F$14,$F$15,$C105,$A$2,$F105,$G105,$H105,J$19)</f>
        <v>10</v>
      </c>
    </row>
    <row r="106" spans="1:10" s="23" customFormat="1" outlineLevel="1" thickBot="1" x14ac:dyDescent="0.3">
      <c r="A106" s="44"/>
      <c r="B106" s="31" t="str">
        <f>IF(_xll.TM1RPTELISCONSOLIDATED($H$20,$H106),IF(_xll.TM1RPTELLEV($H$20,$H106)&lt;=5,_xll.TM1RPTELLEV($H$20,$H106),"Default"),"Leaf")</f>
        <v>Leaf</v>
      </c>
      <c r="C106" s="26" t="s">
        <v>10</v>
      </c>
      <c r="D106" s="24" t="str">
        <f>_xll.DBRW("TM1-S1_DEV:}ElementAttributes_SP_SKU",$F106,D$1)</f>
        <v>Primary</v>
      </c>
      <c r="E106" s="24" t="str">
        <f>_xll.DBRW("TM1-S1_DEV:}ElementAttributes_SP_SKU",$F106,E$1)</f>
        <v>CONDIMENT</v>
      </c>
      <c r="F106" s="26" t="s">
        <v>3189</v>
      </c>
      <c r="G106" s="26" t="s">
        <v>715</v>
      </c>
      <c r="H106" s="26" t="s">
        <v>2686</v>
      </c>
      <c r="I106" s="54">
        <f>_xll.DBRW($A$1,$F$14,$F$15,$C106,$A$2,$F106,$G106,$H106,I$1)</f>
        <v>330</v>
      </c>
      <c r="J106" s="25">
        <f>_xll.DBRW($A$1,$F$14,$F$15,$C106,$A$2,$F106,$G106,$H106,J$19)</f>
        <v>325</v>
      </c>
    </row>
    <row r="107" spans="1:10" s="23" customFormat="1" outlineLevel="1" thickBot="1" x14ac:dyDescent="0.3">
      <c r="A107" s="44"/>
      <c r="B107" s="31" t="str">
        <f>IF(_xll.TM1RPTELISCONSOLIDATED($H$20,$H107),IF(_xll.TM1RPTELLEV($H$20,$H107)&lt;=5,_xll.TM1RPTELLEV($H$20,$H107),"Default"),"Leaf")</f>
        <v>Leaf</v>
      </c>
      <c r="C107" s="26" t="s">
        <v>10</v>
      </c>
      <c r="D107" s="24" t="str">
        <f>_xll.DBRW("TM1-S1_DEV:}ElementAttributes_SP_SKU",$F107,D$1)</f>
        <v>Primary</v>
      </c>
      <c r="E107" s="24" t="str">
        <f>_xll.DBRW("TM1-S1_DEV:}ElementAttributes_SP_SKU",$F107,E$1)</f>
        <v>INGREDIENT</v>
      </c>
      <c r="F107" s="26" t="s">
        <v>3190</v>
      </c>
      <c r="G107" s="26" t="s">
        <v>716</v>
      </c>
      <c r="H107" s="26" t="s">
        <v>2696</v>
      </c>
      <c r="I107" s="54">
        <f>_xll.DBRW($A$1,$F$14,$F$15,$C107,$A$2,$F107,$G107,$H107,I$1)</f>
        <v>8</v>
      </c>
      <c r="J107" s="25">
        <f>_xll.DBRW($A$1,$F$14,$F$15,$C107,$A$2,$F107,$G107,$H107,J$19)</f>
        <v>6</v>
      </c>
    </row>
    <row r="108" spans="1:10" s="23" customFormat="1" outlineLevel="1" thickBot="1" x14ac:dyDescent="0.3">
      <c r="A108" s="44"/>
      <c r="B108" s="31" t="str">
        <f>IF(_xll.TM1RPTELISCONSOLIDATED($H$20,$H108),IF(_xll.TM1RPTELLEV($H$20,$H108)&lt;=5,_xll.TM1RPTELLEV($H$20,$H108),"Default"),"Leaf")</f>
        <v>Leaf</v>
      </c>
      <c r="C108" s="26" t="s">
        <v>10</v>
      </c>
      <c r="D108" s="24" t="str">
        <f>_xll.DBRW("TM1-S1_DEV:}ElementAttributes_SP_SKU",$F108,D$1)</f>
        <v>Primary</v>
      </c>
      <c r="E108" s="24" t="str">
        <f>_xll.DBRW("TM1-S1_DEV:}ElementAttributes_SP_SKU",$F108,E$1)</f>
        <v>INGREDIENT</v>
      </c>
      <c r="F108" s="26" t="s">
        <v>3191</v>
      </c>
      <c r="G108" s="26" t="s">
        <v>717</v>
      </c>
      <c r="H108" s="26" t="s">
        <v>2697</v>
      </c>
      <c r="I108" s="54">
        <f>_xll.DBRW($A$1,$F$14,$F$15,$C108,$A$2,$F108,$G108,$H108,I$1)</f>
        <v>7</v>
      </c>
      <c r="J108" s="25">
        <f>_xll.DBRW($A$1,$F$14,$F$15,$C108,$A$2,$F108,$G108,$H108,J$19)</f>
        <v>29</v>
      </c>
    </row>
    <row r="109" spans="1:10" s="23" customFormat="1" outlineLevel="1" thickBot="1" x14ac:dyDescent="0.3">
      <c r="A109" s="44"/>
      <c r="B109" s="31" t="str">
        <f>IF(_xll.TM1RPTELISCONSOLIDATED($H$20,$H109),IF(_xll.TM1RPTELLEV($H$20,$H109)&lt;=5,_xll.TM1RPTELLEV($H$20,$H109),"Default"),"Leaf")</f>
        <v>Leaf</v>
      </c>
      <c r="C109" s="26" t="s">
        <v>10</v>
      </c>
      <c r="D109" s="24" t="str">
        <f>_xll.DBRW("TM1-S1_DEV:}ElementAttributes_SP_SKU",$F109,D$1)</f>
        <v>Primary</v>
      </c>
      <c r="E109" s="24" t="str">
        <f>_xll.DBRW("TM1-S1_DEV:}ElementAttributes_SP_SKU",$F109,E$1)</f>
        <v>INGREDIENT</v>
      </c>
      <c r="F109" s="26" t="s">
        <v>3192</v>
      </c>
      <c r="G109" s="26" t="s">
        <v>718</v>
      </c>
      <c r="H109" s="26" t="s">
        <v>2698</v>
      </c>
      <c r="I109" s="54">
        <f>_xll.DBRW($A$1,$F$14,$F$15,$C109,$A$2,$F109,$G109,$H109,I$1)</f>
        <v>11</v>
      </c>
      <c r="J109" s="25">
        <f>_xll.DBRW($A$1,$F$14,$F$15,$C109,$A$2,$F109,$G109,$H109,J$19)</f>
        <v>11</v>
      </c>
    </row>
    <row r="110" spans="1:10" s="23" customFormat="1" outlineLevel="1" thickBot="1" x14ac:dyDescent="0.3">
      <c r="A110" s="44"/>
      <c r="B110" s="31" t="str">
        <f>IF(_xll.TM1RPTELISCONSOLIDATED($H$20,$H110),IF(_xll.TM1RPTELLEV($H$20,$H110)&lt;=5,_xll.TM1RPTELLEV($H$20,$H110),"Default"),"Leaf")</f>
        <v>Leaf</v>
      </c>
      <c r="C110" s="26" t="s">
        <v>10</v>
      </c>
      <c r="D110" s="24" t="str">
        <f>_xll.DBRW("TM1-S1_DEV:}ElementAttributes_SP_SKU",$F110,D$1)</f>
        <v>Primary</v>
      </c>
      <c r="E110" s="24" t="str">
        <f>_xll.DBRW("TM1-S1_DEV:}ElementAttributes_SP_SKU",$F110,E$1)</f>
        <v>INGREDIENT</v>
      </c>
      <c r="F110" s="26" t="s">
        <v>3193</v>
      </c>
      <c r="G110" s="26" t="s">
        <v>719</v>
      </c>
      <c r="H110" s="26" t="s">
        <v>2699</v>
      </c>
      <c r="I110" s="54">
        <f>_xll.DBRW($A$1,$F$14,$F$15,$C110,$A$2,$F110,$G110,$H110,I$1)</f>
        <v>35</v>
      </c>
      <c r="J110" s="25">
        <f>_xll.DBRW($A$1,$F$14,$F$15,$C110,$A$2,$F110,$G110,$H110,J$19)</f>
        <v>76</v>
      </c>
    </row>
    <row r="111" spans="1:10" s="23" customFormat="1" outlineLevel="1" thickBot="1" x14ac:dyDescent="0.3">
      <c r="A111" s="44"/>
      <c r="B111" s="31" t="str">
        <f>IF(_xll.TM1RPTELISCONSOLIDATED($H$20,$H111),IF(_xll.TM1RPTELLEV($H$20,$H111)&lt;=5,_xll.TM1RPTELLEV($H$20,$H111),"Default"),"Leaf")</f>
        <v>Leaf</v>
      </c>
      <c r="C111" s="26" t="s">
        <v>10</v>
      </c>
      <c r="D111" s="24" t="str">
        <f>_xll.DBRW("TM1-S1_DEV:}ElementAttributes_SP_SKU",$F111,D$1)</f>
        <v>Primary</v>
      </c>
      <c r="E111" s="24" t="str">
        <f>_xll.DBRW("TM1-S1_DEV:}ElementAttributes_SP_SKU",$F111,E$1)</f>
        <v>COOKIE</v>
      </c>
      <c r="F111" s="26" t="s">
        <v>3194</v>
      </c>
      <c r="G111" s="26" t="s">
        <v>720</v>
      </c>
      <c r="H111" s="26" t="s">
        <v>2691</v>
      </c>
      <c r="I111" s="54">
        <f>_xll.DBRW($A$1,$F$14,$F$15,$C111,$A$2,$F111,$G111,$H111,I$1)</f>
        <v>1</v>
      </c>
      <c r="J111" s="25">
        <f>_xll.DBRW($A$1,$F$14,$F$15,$C111,$A$2,$F111,$G111,$H111,J$19)</f>
        <v>-1</v>
      </c>
    </row>
    <row r="112" spans="1:10" s="23" customFormat="1" outlineLevel="1" thickBot="1" x14ac:dyDescent="0.3">
      <c r="A112" s="44"/>
      <c r="B112" s="31" t="str">
        <f>IF(_xll.TM1RPTELISCONSOLIDATED($H$20,$H112),IF(_xll.TM1RPTELLEV($H$20,$H112)&lt;=5,_xll.TM1RPTELLEV($H$20,$H112),"Default"),"Leaf")</f>
        <v>Leaf</v>
      </c>
      <c r="C112" s="26" t="s">
        <v>10</v>
      </c>
      <c r="D112" s="24" t="str">
        <f>_xll.DBRW("TM1-S1_DEV:}ElementAttributes_SP_SKU",$F112,D$1)</f>
        <v>Primary</v>
      </c>
      <c r="E112" s="24" t="str">
        <f>_xll.DBRW("TM1-S1_DEV:}ElementAttributes_SP_SKU",$F112,E$1)</f>
        <v>COOKIE</v>
      </c>
      <c r="F112" s="26" t="s">
        <v>3195</v>
      </c>
      <c r="G112" s="26" t="s">
        <v>721</v>
      </c>
      <c r="H112" s="26" t="s">
        <v>2691</v>
      </c>
      <c r="I112" s="54">
        <f>_xll.DBRW($A$1,$F$14,$F$15,$C112,$A$2,$F112,$G112,$H112,I$1)</f>
        <v>1</v>
      </c>
      <c r="J112" s="25">
        <f>_xll.DBRW($A$1,$F$14,$F$15,$C112,$A$2,$F112,$G112,$H112,J$19)</f>
        <v>10</v>
      </c>
    </row>
    <row r="113" spans="1:10" s="23" customFormat="1" outlineLevel="1" thickBot="1" x14ac:dyDescent="0.3">
      <c r="A113" s="44"/>
      <c r="B113" s="31" t="str">
        <f>IF(_xll.TM1RPTELISCONSOLIDATED($H$20,$H113),IF(_xll.TM1RPTELLEV($H$20,$H113)&lt;=5,_xll.TM1RPTELLEV($H$20,$H113),"Default"),"Leaf")</f>
        <v>Leaf</v>
      </c>
      <c r="C113" s="26" t="s">
        <v>10</v>
      </c>
      <c r="D113" s="24" t="str">
        <f>_xll.DBRW("TM1-S1_DEV:}ElementAttributes_SP_SKU",$F113,D$1)</f>
        <v>Primary</v>
      </c>
      <c r="E113" s="24" t="str">
        <f>_xll.DBRW("TM1-S1_DEV:}ElementAttributes_SP_SKU",$F113,E$1)</f>
        <v>COOKIE</v>
      </c>
      <c r="F113" s="26" t="s">
        <v>3196</v>
      </c>
      <c r="G113" s="26" t="s">
        <v>722</v>
      </c>
      <c r="H113" s="26" t="s">
        <v>2691</v>
      </c>
      <c r="I113" s="54">
        <f>_xll.DBRW($A$1,$F$14,$F$15,$C113,$A$2,$F113,$G113,$H113,I$1)</f>
        <v>0</v>
      </c>
      <c r="J113" s="25">
        <f>_xll.DBRW($A$1,$F$14,$F$15,$C113,$A$2,$F113,$G113,$H113,J$19)</f>
        <v>12</v>
      </c>
    </row>
    <row r="114" spans="1:10" s="23" customFormat="1" outlineLevel="1" thickBot="1" x14ac:dyDescent="0.3">
      <c r="A114" s="44"/>
      <c r="B114" s="31" t="str">
        <f>IF(_xll.TM1RPTELISCONSOLIDATED($H$20,$H114),IF(_xll.TM1RPTELLEV($H$20,$H114)&lt;=5,_xll.TM1RPTELLEV($H$20,$H114),"Default"),"Leaf")</f>
        <v>Leaf</v>
      </c>
      <c r="C114" s="26" t="s">
        <v>10</v>
      </c>
      <c r="D114" s="24" t="str">
        <f>_xll.DBRW("TM1-S1_DEV:}ElementAttributes_SP_SKU",$F114,D$1)</f>
        <v>Primary</v>
      </c>
      <c r="E114" s="24" t="str">
        <f>_xll.DBRW("TM1-S1_DEV:}ElementAttributes_SP_SKU",$F114,E$1)</f>
        <v>INGREDIENT</v>
      </c>
      <c r="F114" s="26" t="s">
        <v>3197</v>
      </c>
      <c r="G114" s="26" t="s">
        <v>723</v>
      </c>
      <c r="H114" s="26" t="s">
        <v>2686</v>
      </c>
      <c r="I114" s="54">
        <f>_xll.DBRW($A$1,$F$14,$F$15,$C114,$A$2,$F114,$G114,$H114,I$1)</f>
        <v>8</v>
      </c>
      <c r="J114" s="25">
        <f>_xll.DBRW($A$1,$F$14,$F$15,$C114,$A$2,$F114,$G114,$H114,J$19)</f>
        <v>6</v>
      </c>
    </row>
    <row r="115" spans="1:10" s="23" customFormat="1" outlineLevel="1" thickBot="1" x14ac:dyDescent="0.3">
      <c r="A115" s="44"/>
      <c r="B115" s="31" t="str">
        <f>IF(_xll.TM1RPTELISCONSOLIDATED($H$20,$H115),IF(_xll.TM1RPTELLEV($H$20,$H115)&lt;=5,_xll.TM1RPTELLEV($H$20,$H115),"Default"),"Leaf")</f>
        <v>Leaf</v>
      </c>
      <c r="C115" s="26" t="s">
        <v>10</v>
      </c>
      <c r="D115" s="24" t="str">
        <f>_xll.DBRW("TM1-S1_DEV:}ElementAttributes_SP_SKU",$F115,D$1)</f>
        <v>Primary</v>
      </c>
      <c r="E115" s="24" t="str">
        <f>_xll.DBRW("TM1-S1_DEV:}ElementAttributes_SP_SKU",$F115,E$1)</f>
        <v>INGREDIENT</v>
      </c>
      <c r="F115" s="26" t="s">
        <v>30</v>
      </c>
      <c r="G115" s="26" t="s">
        <v>724</v>
      </c>
      <c r="H115" s="26" t="s">
        <v>2700</v>
      </c>
      <c r="I115" s="54">
        <f>_xll.DBRW($A$1,$F$14,$F$15,$C115,$A$2,$F115,$G115,$H115,I$1)</f>
        <v>13</v>
      </c>
      <c r="J115" s="25">
        <f>_xll.DBRW($A$1,$F$14,$F$15,$C115,$A$2,$F115,$G115,$H115,J$19)</f>
        <v>37</v>
      </c>
    </row>
    <row r="116" spans="1:10" s="23" customFormat="1" outlineLevel="1" thickBot="1" x14ac:dyDescent="0.3">
      <c r="A116" s="44"/>
      <c r="B116" s="31" t="str">
        <f>IF(_xll.TM1RPTELISCONSOLIDATED($H$20,$H116),IF(_xll.TM1RPTELLEV($H$20,$H116)&lt;=5,_xll.TM1RPTELLEV($H$20,$H116),"Default"),"Leaf")</f>
        <v>Leaf</v>
      </c>
      <c r="C116" s="26" t="s">
        <v>10</v>
      </c>
      <c r="D116" s="24" t="str">
        <f>_xll.DBRW("TM1-S1_DEV:}ElementAttributes_SP_SKU",$F116,D$1)</f>
        <v>Primary</v>
      </c>
      <c r="E116" s="24" t="str">
        <f>_xll.DBRW("TM1-S1_DEV:}ElementAttributes_SP_SKU",$F116,E$1)</f>
        <v>INGREDIENT</v>
      </c>
      <c r="F116" s="26" t="s">
        <v>3198</v>
      </c>
      <c r="G116" s="26" t="s">
        <v>725</v>
      </c>
      <c r="H116" s="26" t="s">
        <v>2701</v>
      </c>
      <c r="I116" s="54">
        <f>_xll.DBRW($A$1,$F$14,$F$15,$C116,$A$2,$F116,$G116,$H116,I$1)</f>
        <v>4</v>
      </c>
      <c r="J116" s="25">
        <f>_xll.DBRW($A$1,$F$14,$F$15,$C116,$A$2,$F116,$G116,$H116,J$19)</f>
        <v>2</v>
      </c>
    </row>
    <row r="117" spans="1:10" s="23" customFormat="1" outlineLevel="1" thickBot="1" x14ac:dyDescent="0.3">
      <c r="A117" s="44"/>
      <c r="B117" s="31" t="str">
        <f>IF(_xll.TM1RPTELISCONSOLIDATED($H$20,$H117),IF(_xll.TM1RPTELLEV($H$20,$H117)&lt;=5,_xll.TM1RPTELLEV($H$20,$H117),"Default"),"Leaf")</f>
        <v>Leaf</v>
      </c>
      <c r="C117" s="26" t="s">
        <v>10</v>
      </c>
      <c r="D117" s="24" t="str">
        <f>_xll.DBRW("TM1-S1_DEV:}ElementAttributes_SP_SKU",$F117,D$1)</f>
        <v>Primary</v>
      </c>
      <c r="E117" s="24" t="str">
        <f>_xll.DBRW("TM1-S1_DEV:}ElementAttributes_SP_SKU",$F117,E$1)</f>
        <v>BOX</v>
      </c>
      <c r="F117" s="26" t="s">
        <v>3199</v>
      </c>
      <c r="G117" s="26" t="s">
        <v>726</v>
      </c>
      <c r="H117" s="26" t="s">
        <v>2702</v>
      </c>
      <c r="I117" s="54">
        <f>_xll.DBRW($A$1,$F$14,$F$15,$C117,$A$2,$F117,$G117,$H117,I$1)</f>
        <v>3</v>
      </c>
      <c r="J117" s="25">
        <f>_xll.DBRW($A$1,$F$14,$F$15,$C117,$A$2,$F117,$G117,$H117,J$19)</f>
        <v>3</v>
      </c>
    </row>
    <row r="118" spans="1:10" s="23" customFormat="1" outlineLevel="1" thickBot="1" x14ac:dyDescent="0.3">
      <c r="A118" s="44"/>
      <c r="B118" s="31" t="str">
        <f>IF(_xll.TM1RPTELISCONSOLIDATED($H$20,$H118),IF(_xll.TM1RPTELLEV($H$20,$H118)&lt;=5,_xll.TM1RPTELLEV($H$20,$H118),"Default"),"Leaf")</f>
        <v>Leaf</v>
      </c>
      <c r="C118" s="26" t="s">
        <v>10</v>
      </c>
      <c r="D118" s="24" t="str">
        <f>_xll.DBRW("TM1-S1_DEV:}ElementAttributes_SP_SKU",$F118,D$1)</f>
        <v>Primary</v>
      </c>
      <c r="E118" s="24" t="str">
        <f>_xll.DBRW("TM1-S1_DEV:}ElementAttributes_SP_SKU",$F118,E$1)</f>
        <v>TRAY</v>
      </c>
      <c r="F118" s="26" t="s">
        <v>3200</v>
      </c>
      <c r="G118" s="26" t="s">
        <v>727</v>
      </c>
      <c r="H118" s="26" t="s">
        <v>2703</v>
      </c>
      <c r="I118" s="54">
        <f>_xll.DBRW($A$1,$F$14,$F$15,$C118,$A$2,$F118,$G118,$H118,I$1)</f>
        <v>19</v>
      </c>
      <c r="J118" s="25">
        <f>_xll.DBRW($A$1,$F$14,$F$15,$C118,$A$2,$F118,$G118,$H118,J$19)</f>
        <v>18</v>
      </c>
    </row>
    <row r="119" spans="1:10" s="23" customFormat="1" outlineLevel="1" thickBot="1" x14ac:dyDescent="0.3">
      <c r="A119" s="44"/>
      <c r="B119" s="31" t="str">
        <f>IF(_xll.TM1RPTELISCONSOLIDATED($H$20,$H119),IF(_xll.TM1RPTELLEV($H$20,$H119)&lt;=5,_xll.TM1RPTELLEV($H$20,$H119),"Default"),"Leaf")</f>
        <v>Leaf</v>
      </c>
      <c r="C119" s="26" t="s">
        <v>10</v>
      </c>
      <c r="D119" s="24" t="str">
        <f>_xll.DBRW("TM1-S1_DEV:}ElementAttributes_SP_SKU",$F119,D$1)</f>
        <v>Primary</v>
      </c>
      <c r="E119" s="24" t="str">
        <f>_xll.DBRW("TM1-S1_DEV:}ElementAttributes_SP_SKU",$F119,E$1)</f>
        <v>TRAY</v>
      </c>
      <c r="F119" s="26" t="s">
        <v>3201</v>
      </c>
      <c r="G119" s="26" t="s">
        <v>728</v>
      </c>
      <c r="H119" s="26" t="s">
        <v>2703</v>
      </c>
      <c r="I119" s="54">
        <f>_xll.DBRW($A$1,$F$14,$F$15,$C119,$A$2,$F119,$G119,$H119,I$1)</f>
        <v>4</v>
      </c>
      <c r="J119" s="25">
        <f>_xll.DBRW($A$1,$F$14,$F$15,$C119,$A$2,$F119,$G119,$H119,J$19)</f>
        <v>27</v>
      </c>
    </row>
    <row r="120" spans="1:10" s="23" customFormat="1" outlineLevel="1" thickBot="1" x14ac:dyDescent="0.3">
      <c r="A120" s="44"/>
      <c r="B120" s="31" t="str">
        <f>IF(_xll.TM1RPTELISCONSOLIDATED($H$20,$H120),IF(_xll.TM1RPTELLEV($H$20,$H120)&lt;=5,_xll.TM1RPTELLEV($H$20,$H120),"Default"),"Leaf")</f>
        <v>Leaf</v>
      </c>
      <c r="C120" s="26" t="s">
        <v>10</v>
      </c>
      <c r="D120" s="24" t="str">
        <f>_xll.DBRW("TM1-S1_DEV:}ElementAttributes_SP_SKU",$F120,D$1)</f>
        <v>Primary</v>
      </c>
      <c r="E120" s="24" t="str">
        <f>_xll.DBRW("TM1-S1_DEV:}ElementAttributes_SP_SKU",$F120,E$1)</f>
        <v>TRAY</v>
      </c>
      <c r="F120" s="26" t="s">
        <v>3202</v>
      </c>
      <c r="G120" s="26" t="s">
        <v>729</v>
      </c>
      <c r="H120" s="26" t="s">
        <v>2703</v>
      </c>
      <c r="I120" s="54">
        <f>_xll.DBRW($A$1,$F$14,$F$15,$C120,$A$2,$F120,$G120,$H120,I$1)</f>
        <v>7</v>
      </c>
      <c r="J120" s="25">
        <f>_xll.DBRW($A$1,$F$14,$F$15,$C120,$A$2,$F120,$G120,$H120,J$19)</f>
        <v>2</v>
      </c>
    </row>
    <row r="121" spans="1:10" s="23" customFormat="1" outlineLevel="1" thickBot="1" x14ac:dyDescent="0.3">
      <c r="A121" s="44"/>
      <c r="B121" s="31" t="str">
        <f>IF(_xll.TM1RPTELISCONSOLIDATED($H$20,$H121),IF(_xll.TM1RPTELLEV($H$20,$H121)&lt;=5,_xll.TM1RPTELLEV($H$20,$H121),"Default"),"Leaf")</f>
        <v>Leaf</v>
      </c>
      <c r="C121" s="26" t="s">
        <v>10</v>
      </c>
      <c r="D121" s="24" t="str">
        <f>_xll.DBRW("TM1-S1_DEV:}ElementAttributes_SP_SKU",$F121,D$1)</f>
        <v>Primary</v>
      </c>
      <c r="E121" s="24" t="str">
        <f>_xll.DBRW("TM1-S1_DEV:}ElementAttributes_SP_SKU",$F121,E$1)</f>
        <v>TRAY</v>
      </c>
      <c r="F121" s="26" t="s">
        <v>3203</v>
      </c>
      <c r="G121" s="26" t="s">
        <v>730</v>
      </c>
      <c r="H121" s="26" t="s">
        <v>2703</v>
      </c>
      <c r="I121" s="54">
        <f>_xll.DBRW($A$1,$F$14,$F$15,$C121,$A$2,$F121,$G121,$H121,I$1)</f>
        <v>7</v>
      </c>
      <c r="J121" s="25">
        <f>_xll.DBRW($A$1,$F$14,$F$15,$C121,$A$2,$F121,$G121,$H121,J$19)</f>
        <v>2</v>
      </c>
    </row>
    <row r="122" spans="1:10" s="23" customFormat="1" outlineLevel="1" thickBot="1" x14ac:dyDescent="0.3">
      <c r="A122" s="44"/>
      <c r="B122" s="31" t="str">
        <f>IF(_xll.TM1RPTELISCONSOLIDATED($H$20,$H122),IF(_xll.TM1RPTELLEV($H$20,$H122)&lt;=5,_xll.TM1RPTELLEV($H$20,$H122),"Default"),"Leaf")</f>
        <v>Leaf</v>
      </c>
      <c r="C122" s="26" t="s">
        <v>10</v>
      </c>
      <c r="D122" s="24" t="str">
        <f>_xll.DBRW("TM1-S1_DEV:}ElementAttributes_SP_SKU",$F122,D$1)</f>
        <v>Primary</v>
      </c>
      <c r="E122" s="24" t="str">
        <f>_xll.DBRW("TM1-S1_DEV:}ElementAttributes_SP_SKU",$F122,E$1)</f>
        <v>FOIL</v>
      </c>
      <c r="F122" s="26" t="s">
        <v>3204</v>
      </c>
      <c r="G122" s="26" t="s">
        <v>731</v>
      </c>
      <c r="H122" s="26" t="s">
        <v>2704</v>
      </c>
      <c r="I122" s="54">
        <f>_xll.DBRW($A$1,$F$14,$F$15,$C122,$A$2,$F122,$G122,$H122,I$1)</f>
        <v>24</v>
      </c>
      <c r="J122" s="25">
        <f>_xll.DBRW($A$1,$F$14,$F$15,$C122,$A$2,$F122,$G122,$H122,J$19)</f>
        <v>-3</v>
      </c>
    </row>
    <row r="123" spans="1:10" s="23" customFormat="1" outlineLevel="1" thickBot="1" x14ac:dyDescent="0.3">
      <c r="A123" s="44"/>
      <c r="B123" s="31" t="str">
        <f>IF(_xll.TM1RPTELISCONSOLIDATED($H$20,$H123),IF(_xll.TM1RPTELLEV($H$20,$H123)&lt;=5,_xll.TM1RPTELLEV($H$20,$H123),"Default"),"Leaf")</f>
        <v>Leaf</v>
      </c>
      <c r="C123" s="26" t="s">
        <v>10</v>
      </c>
      <c r="D123" s="24" t="str">
        <f>_xll.DBRW("TM1-S1_DEV:}ElementAttributes_SP_SKU",$F123,D$1)</f>
        <v>Primary</v>
      </c>
      <c r="E123" s="24" t="str">
        <f>_xll.DBRW("TM1-S1_DEV:}ElementAttributes_SP_SKU",$F123,E$1)</f>
        <v>BAG</v>
      </c>
      <c r="F123" s="26" t="s">
        <v>3205</v>
      </c>
      <c r="G123" s="26" t="s">
        <v>732</v>
      </c>
      <c r="H123" s="26" t="s">
        <v>2705</v>
      </c>
      <c r="I123" s="54">
        <f>_xll.DBRW($A$1,$F$14,$F$15,$C123,$A$2,$F123,$G123,$H123,I$1)</f>
        <v>10</v>
      </c>
      <c r="J123" s="25">
        <f>_xll.DBRW($A$1,$F$14,$F$15,$C123,$A$2,$F123,$G123,$H123,J$19)</f>
        <v>5</v>
      </c>
    </row>
    <row r="124" spans="1:10" s="23" customFormat="1" outlineLevel="1" thickBot="1" x14ac:dyDescent="0.3">
      <c r="A124" s="44"/>
      <c r="B124" s="31" t="str">
        <f>IF(_xll.TM1RPTELISCONSOLIDATED($H$20,$H124),IF(_xll.TM1RPTELLEV($H$20,$H124)&lt;=5,_xll.TM1RPTELLEV($H$20,$H124),"Default"),"Leaf")</f>
        <v>Leaf</v>
      </c>
      <c r="C124" s="26" t="s">
        <v>10</v>
      </c>
      <c r="D124" s="24" t="str">
        <f>_xll.DBRW("TM1-S1_DEV:}ElementAttributes_SP_SKU",$F124,D$1)</f>
        <v>Primary</v>
      </c>
      <c r="E124" s="24" t="str">
        <f>_xll.DBRW("TM1-S1_DEV:}ElementAttributes_SP_SKU",$F124,E$1)</f>
        <v>FOIL</v>
      </c>
      <c r="F124" s="26" t="s">
        <v>3206</v>
      </c>
      <c r="G124" s="26" t="s">
        <v>733</v>
      </c>
      <c r="H124" s="26" t="s">
        <v>2704</v>
      </c>
      <c r="I124" s="54">
        <f>_xll.DBRW($A$1,$F$14,$F$15,$C124,$A$2,$F124,$G124,$H124,I$1)</f>
        <v>57</v>
      </c>
      <c r="J124" s="25">
        <f>_xll.DBRW($A$1,$F$14,$F$15,$C124,$A$2,$F124,$G124,$H124,J$19)</f>
        <v>39</v>
      </c>
    </row>
    <row r="125" spans="1:10" s="23" customFormat="1" outlineLevel="1" thickBot="1" x14ac:dyDescent="0.3">
      <c r="A125" s="44"/>
      <c r="B125" s="31" t="str">
        <f>IF(_xll.TM1RPTELISCONSOLIDATED($H$20,$H125),IF(_xll.TM1RPTELLEV($H$20,$H125)&lt;=5,_xll.TM1RPTELLEV($H$20,$H125),"Default"),"Leaf")</f>
        <v>Leaf</v>
      </c>
      <c r="C125" s="26" t="s">
        <v>10</v>
      </c>
      <c r="D125" s="24" t="str">
        <f>_xll.DBRW("TM1-S1_DEV:}ElementAttributes_SP_SKU",$F125,D$1)</f>
        <v>Primary</v>
      </c>
      <c r="E125" s="24" t="str">
        <f>_xll.DBRW("TM1-S1_DEV:}ElementAttributes_SP_SKU",$F125,E$1)</f>
        <v>FOIL</v>
      </c>
      <c r="F125" s="26" t="s">
        <v>3207</v>
      </c>
      <c r="G125" s="26" t="s">
        <v>734</v>
      </c>
      <c r="H125" s="26" t="s">
        <v>2704</v>
      </c>
      <c r="I125" s="54">
        <f>_xll.DBRW($A$1,$F$14,$F$15,$C125,$A$2,$F125,$G125,$H125,I$1)</f>
        <v>27</v>
      </c>
      <c r="J125" s="25">
        <f>_xll.DBRW($A$1,$F$14,$F$15,$C125,$A$2,$F125,$G125,$H125,J$19)</f>
        <v>27</v>
      </c>
    </row>
    <row r="126" spans="1:10" s="23" customFormat="1" outlineLevel="1" thickBot="1" x14ac:dyDescent="0.3">
      <c r="A126" s="44"/>
      <c r="B126" s="31" t="str">
        <f>IF(_xll.TM1RPTELISCONSOLIDATED($H$20,$H126),IF(_xll.TM1RPTELLEV($H$20,$H126)&lt;=5,_xll.TM1RPTELLEV($H$20,$H126),"Default"),"Leaf")</f>
        <v>Leaf</v>
      </c>
      <c r="C126" s="26" t="s">
        <v>10</v>
      </c>
      <c r="D126" s="24" t="str">
        <f>_xll.DBRW("TM1-S1_DEV:}ElementAttributes_SP_SKU",$F126,D$1)</f>
        <v>Primary</v>
      </c>
      <c r="E126" s="24" t="str">
        <f>_xll.DBRW("TM1-S1_DEV:}ElementAttributes_SP_SKU",$F126,E$1)</f>
        <v>BAG</v>
      </c>
      <c r="F126" s="26" t="s">
        <v>3208</v>
      </c>
      <c r="G126" s="26" t="s">
        <v>735</v>
      </c>
      <c r="H126" s="26" t="s">
        <v>2705</v>
      </c>
      <c r="I126" s="54">
        <f>_xll.DBRW($A$1,$F$14,$F$15,$C126,$A$2,$F126,$G126,$H126,I$1)</f>
        <v>23</v>
      </c>
      <c r="J126" s="25">
        <f>_xll.DBRW($A$1,$F$14,$F$15,$C126,$A$2,$F126,$G126,$H126,J$19)</f>
        <v>13</v>
      </c>
    </row>
    <row r="127" spans="1:10" s="23" customFormat="1" outlineLevel="1" thickBot="1" x14ac:dyDescent="0.3">
      <c r="A127" s="44"/>
      <c r="B127" s="31" t="str">
        <f>IF(_xll.TM1RPTELISCONSOLIDATED($H$20,$H127),IF(_xll.TM1RPTELLEV($H$20,$H127)&lt;=5,_xll.TM1RPTELLEV($H$20,$H127),"Default"),"Leaf")</f>
        <v>Leaf</v>
      </c>
      <c r="C127" s="26" t="s">
        <v>10</v>
      </c>
      <c r="D127" s="24" t="str">
        <f>_xll.DBRW("TM1-S1_DEV:}ElementAttributes_SP_SKU",$F127,D$1)</f>
        <v>Primary</v>
      </c>
      <c r="E127" s="24" t="str">
        <f>_xll.DBRW("TM1-S1_DEV:}ElementAttributes_SP_SKU",$F127,E$1)</f>
        <v>BAG</v>
      </c>
      <c r="F127" s="26" t="s">
        <v>3209</v>
      </c>
      <c r="G127" s="26" t="s">
        <v>736</v>
      </c>
      <c r="H127" s="26" t="s">
        <v>2705</v>
      </c>
      <c r="I127" s="54">
        <f>_xll.DBRW($A$1,$F$14,$F$15,$C127,$A$2,$F127,$G127,$H127,I$1)</f>
        <v>49</v>
      </c>
      <c r="J127" s="25">
        <f>_xll.DBRW($A$1,$F$14,$F$15,$C127,$A$2,$F127,$G127,$H127,J$19)</f>
        <v>21</v>
      </c>
    </row>
    <row r="128" spans="1:10" s="23" customFormat="1" outlineLevel="1" thickBot="1" x14ac:dyDescent="0.3">
      <c r="A128" s="44"/>
      <c r="B128" s="31" t="str">
        <f>IF(_xll.TM1RPTELISCONSOLIDATED($H$20,$H128),IF(_xll.TM1RPTELLEV($H$20,$H128)&lt;=5,_xll.TM1RPTELLEV($H$20,$H128),"Default"),"Leaf")</f>
        <v>Leaf</v>
      </c>
      <c r="C128" s="26" t="s">
        <v>10</v>
      </c>
      <c r="D128" s="24" t="str">
        <f>_xll.DBRW("TM1-S1_DEV:}ElementAttributes_SP_SKU",$F128,D$1)</f>
        <v>Primary</v>
      </c>
      <c r="E128" s="24" t="str">
        <f>_xll.DBRW("TM1-S1_DEV:}ElementAttributes_SP_SKU",$F128,E$1)</f>
        <v>BAG</v>
      </c>
      <c r="F128" s="26" t="s">
        <v>3210</v>
      </c>
      <c r="G128" s="26" t="s">
        <v>737</v>
      </c>
      <c r="H128" s="26" t="s">
        <v>2705</v>
      </c>
      <c r="I128" s="54">
        <f>_xll.DBRW($A$1,$F$14,$F$15,$C128,$A$2,$F128,$G128,$H128,I$1)</f>
        <v>8</v>
      </c>
      <c r="J128" s="25">
        <f>_xll.DBRW($A$1,$F$14,$F$15,$C128,$A$2,$F128,$G128,$H128,J$19)</f>
        <v>5</v>
      </c>
    </row>
    <row r="129" spans="1:10" s="23" customFormat="1" outlineLevel="1" thickBot="1" x14ac:dyDescent="0.3">
      <c r="A129" s="44"/>
      <c r="B129" s="31" t="str">
        <f>IF(_xll.TM1RPTELISCONSOLIDATED($H$20,$H129),IF(_xll.TM1RPTELLEV($H$20,$H129)&lt;=5,_xll.TM1RPTELLEV($H$20,$H129),"Default"),"Leaf")</f>
        <v>Leaf</v>
      </c>
      <c r="C129" s="26" t="s">
        <v>10</v>
      </c>
      <c r="D129" s="24" t="str">
        <f>_xll.DBRW("TM1-S1_DEV:}ElementAttributes_SP_SKU",$F129,D$1)</f>
        <v>Primary</v>
      </c>
      <c r="E129" s="24" t="str">
        <f>_xll.DBRW("TM1-S1_DEV:}ElementAttributes_SP_SKU",$F129,E$1)</f>
        <v>BOX</v>
      </c>
      <c r="F129" s="26" t="s">
        <v>3211</v>
      </c>
      <c r="G129" s="26" t="s">
        <v>738</v>
      </c>
      <c r="H129" s="26" t="s">
        <v>2706</v>
      </c>
      <c r="I129" s="54">
        <f>_xll.DBRW($A$1,$F$14,$F$15,$C129,$A$2,$F129,$G129,$H129,I$1)</f>
        <v>43</v>
      </c>
      <c r="J129" s="25">
        <f>_xll.DBRW($A$1,$F$14,$F$15,$C129,$A$2,$F129,$G129,$H129,J$19)</f>
        <v>43</v>
      </c>
    </row>
    <row r="130" spans="1:10" s="23" customFormat="1" outlineLevel="1" thickBot="1" x14ac:dyDescent="0.3">
      <c r="A130" s="44"/>
      <c r="B130" s="31" t="str">
        <f>IF(_xll.TM1RPTELISCONSOLIDATED($H$20,$H130),IF(_xll.TM1RPTELLEV($H$20,$H130)&lt;=5,_xll.TM1RPTELLEV($H$20,$H130),"Default"),"Leaf")</f>
        <v>Leaf</v>
      </c>
      <c r="C130" s="26" t="s">
        <v>10</v>
      </c>
      <c r="D130" s="24" t="str">
        <f>_xll.DBRW("TM1-S1_DEV:}ElementAttributes_SP_SKU",$F130,D$1)</f>
        <v>Primary</v>
      </c>
      <c r="E130" s="24" t="str">
        <f>_xll.DBRW("TM1-S1_DEV:}ElementAttributes_SP_SKU",$F130,E$1)</f>
        <v>FOIL</v>
      </c>
      <c r="F130" s="26" t="s">
        <v>3212</v>
      </c>
      <c r="G130" s="26" t="s">
        <v>739</v>
      </c>
      <c r="H130" s="26" t="s">
        <v>2704</v>
      </c>
      <c r="I130" s="54">
        <f>_xll.DBRW($A$1,$F$14,$F$15,$C130,$A$2,$F130,$G130,$H130,I$1)</f>
        <v>50</v>
      </c>
      <c r="J130" s="25">
        <f>_xll.DBRW($A$1,$F$14,$F$15,$C130,$A$2,$F130,$G130,$H130,J$19)</f>
        <v>50</v>
      </c>
    </row>
    <row r="131" spans="1:10" s="23" customFormat="1" outlineLevel="1" thickBot="1" x14ac:dyDescent="0.3">
      <c r="A131" s="44"/>
      <c r="B131" s="31" t="str">
        <f>IF(_xll.TM1RPTELISCONSOLIDATED($H$20,$H131),IF(_xll.TM1RPTELLEV($H$20,$H131)&lt;=5,_xll.TM1RPTELLEV($H$20,$H131),"Default"),"Leaf")</f>
        <v>Leaf</v>
      </c>
      <c r="C131" s="26" t="s">
        <v>10</v>
      </c>
      <c r="D131" s="24" t="str">
        <f>_xll.DBRW("TM1-S1_DEV:}ElementAttributes_SP_SKU",$F131,D$1)</f>
        <v>Primary</v>
      </c>
      <c r="E131" s="24" t="str">
        <f>_xll.DBRW("TM1-S1_DEV:}ElementAttributes_SP_SKU",$F131,E$1)</f>
        <v>TRAY</v>
      </c>
      <c r="F131" s="26" t="s">
        <v>3213</v>
      </c>
      <c r="G131" s="26" t="s">
        <v>740</v>
      </c>
      <c r="H131" s="26" t="s">
        <v>2703</v>
      </c>
      <c r="I131" s="54">
        <f>_xll.DBRW($A$1,$F$14,$F$15,$C131,$A$2,$F131,$G131,$H131,I$1)</f>
        <v>9</v>
      </c>
      <c r="J131" s="25">
        <f>_xll.DBRW($A$1,$F$14,$F$15,$C131,$A$2,$F131,$G131,$H131,J$19)</f>
        <v>6</v>
      </c>
    </row>
    <row r="132" spans="1:10" s="23" customFormat="1" outlineLevel="1" thickBot="1" x14ac:dyDescent="0.3">
      <c r="A132" s="44"/>
      <c r="B132" s="31" t="str">
        <f>IF(_xll.TM1RPTELISCONSOLIDATED($H$20,$H132),IF(_xll.TM1RPTELLEV($H$20,$H132)&lt;=5,_xll.TM1RPTELLEV($H$20,$H132),"Default"),"Leaf")</f>
        <v>Leaf</v>
      </c>
      <c r="C132" s="26" t="s">
        <v>10</v>
      </c>
      <c r="D132" s="24" t="str">
        <f>_xll.DBRW("TM1-S1_DEV:}ElementAttributes_SP_SKU",$F132,D$1)</f>
        <v>Primary</v>
      </c>
      <c r="E132" s="24" t="str">
        <f>_xll.DBRW("TM1-S1_DEV:}ElementAttributes_SP_SKU",$F132,E$1)</f>
        <v>TRAY</v>
      </c>
      <c r="F132" s="26" t="s">
        <v>3214</v>
      </c>
      <c r="G132" s="26" t="s">
        <v>741</v>
      </c>
      <c r="H132" s="26" t="s">
        <v>2703</v>
      </c>
      <c r="I132" s="54">
        <f>_xll.DBRW($A$1,$F$14,$F$15,$C132,$A$2,$F132,$G132,$H132,I$1)</f>
        <v>15</v>
      </c>
      <c r="J132" s="25">
        <f>_xll.DBRW($A$1,$F$14,$F$15,$C132,$A$2,$F132,$G132,$H132,J$19)</f>
        <v>10</v>
      </c>
    </row>
    <row r="133" spans="1:10" s="23" customFormat="1" outlineLevel="1" thickBot="1" x14ac:dyDescent="0.3">
      <c r="A133" s="44"/>
      <c r="B133" s="31" t="str">
        <f>IF(_xll.TM1RPTELISCONSOLIDATED($H$20,$H133),IF(_xll.TM1RPTELLEV($H$20,$H133)&lt;=5,_xll.TM1RPTELLEV($H$20,$H133),"Default"),"Leaf")</f>
        <v>Leaf</v>
      </c>
      <c r="C133" s="26" t="s">
        <v>10</v>
      </c>
      <c r="D133" s="24" t="str">
        <f>_xll.DBRW("TM1-S1_DEV:}ElementAttributes_SP_SKU",$F133,D$1)</f>
        <v>Primary</v>
      </c>
      <c r="E133" s="24" t="str">
        <f>_xll.DBRW("TM1-S1_DEV:}ElementAttributes_SP_SKU",$F133,E$1)</f>
        <v>BOWL</v>
      </c>
      <c r="F133" s="26" t="s">
        <v>3215</v>
      </c>
      <c r="G133" s="26" t="s">
        <v>742</v>
      </c>
      <c r="H133" s="26" t="s">
        <v>2703</v>
      </c>
      <c r="I133" s="54">
        <f>_xll.DBRW($A$1,$F$14,$F$15,$C133,$A$2,$F133,$G133,$H133,I$1)</f>
        <v>14</v>
      </c>
      <c r="J133" s="25">
        <f>_xll.DBRW($A$1,$F$14,$F$15,$C133,$A$2,$F133,$G133,$H133,J$19)</f>
        <v>10</v>
      </c>
    </row>
    <row r="134" spans="1:10" s="23" customFormat="1" outlineLevel="1" thickBot="1" x14ac:dyDescent="0.3">
      <c r="A134" s="44"/>
      <c r="B134" s="31" t="str">
        <f>IF(_xll.TM1RPTELISCONSOLIDATED($H$20,$H134),IF(_xll.TM1RPTELLEV($H$20,$H134)&lt;=5,_xll.TM1RPTELLEV($H$20,$H134),"Default"),"Leaf")</f>
        <v>Leaf</v>
      </c>
      <c r="C134" s="26" t="s">
        <v>10</v>
      </c>
      <c r="D134" s="24" t="str">
        <f>_xll.DBRW("TM1-S1_DEV:}ElementAttributes_SP_SKU",$F134,D$1)</f>
        <v>Primary</v>
      </c>
      <c r="E134" s="24" t="str">
        <f>_xll.DBRW("TM1-S1_DEV:}ElementAttributes_SP_SKU",$F134,E$1)</f>
        <v>BOWL</v>
      </c>
      <c r="F134" s="26" t="s">
        <v>3216</v>
      </c>
      <c r="G134" s="26" t="s">
        <v>743</v>
      </c>
      <c r="H134" s="26" t="s">
        <v>2703</v>
      </c>
      <c r="I134" s="54">
        <f>_xll.DBRW($A$1,$F$14,$F$15,$C134,$A$2,$F134,$G134,$H134,I$1)</f>
        <v>6</v>
      </c>
      <c r="J134" s="25">
        <f>_xll.DBRW($A$1,$F$14,$F$15,$C134,$A$2,$F134,$G134,$H134,J$19)</f>
        <v>6</v>
      </c>
    </row>
    <row r="135" spans="1:10" s="23" customFormat="1" outlineLevel="1" thickBot="1" x14ac:dyDescent="0.3">
      <c r="A135" s="44"/>
      <c r="B135" s="31" t="str">
        <f>IF(_xll.TM1RPTELISCONSOLIDATED($H$20,$H135),IF(_xll.TM1RPTELLEV($H$20,$H135)&lt;=5,_xll.TM1RPTELLEV($H$20,$H135),"Default"),"Leaf")</f>
        <v>Leaf</v>
      </c>
      <c r="C135" s="26" t="s">
        <v>10</v>
      </c>
      <c r="D135" s="24" t="str">
        <f>_xll.DBRW("TM1-S1_DEV:}ElementAttributes_SP_SKU",$F135,D$1)</f>
        <v>Primary</v>
      </c>
      <c r="E135" s="24" t="str">
        <f>_xll.DBRW("TM1-S1_DEV:}ElementAttributes_SP_SKU",$F135,E$1)</f>
        <v>UTENSIL</v>
      </c>
      <c r="F135" s="26" t="s">
        <v>3217</v>
      </c>
      <c r="G135" s="26" t="s">
        <v>744</v>
      </c>
      <c r="H135" s="26" t="s">
        <v>2703</v>
      </c>
      <c r="I135" s="54">
        <f>_xll.DBRW($A$1,$F$14,$F$15,$C135,$A$2,$F135,$G135,$H135,I$1)</f>
        <v>4</v>
      </c>
      <c r="J135" s="25">
        <f>_xll.DBRW($A$1,$F$14,$F$15,$C135,$A$2,$F135,$G135,$H135,J$19)</f>
        <v>4</v>
      </c>
    </row>
    <row r="136" spans="1:10" s="23" customFormat="1" outlineLevel="1" thickBot="1" x14ac:dyDescent="0.3">
      <c r="A136" s="44"/>
      <c r="B136" s="31" t="str">
        <f>IF(_xll.TM1RPTELISCONSOLIDATED($H$20,$H136),IF(_xll.TM1RPTELLEV($H$20,$H136)&lt;=5,_xll.TM1RPTELLEV($H$20,$H136),"Default"),"Leaf")</f>
        <v>Leaf</v>
      </c>
      <c r="C136" s="26" t="s">
        <v>10</v>
      </c>
      <c r="D136" s="24" t="str">
        <f>_xll.DBRW("TM1-S1_DEV:}ElementAttributes_SP_SKU",$F136,D$1)</f>
        <v>Primary</v>
      </c>
      <c r="E136" s="24" t="str">
        <f>_xll.DBRW("TM1-S1_DEV:}ElementAttributes_SP_SKU",$F136,E$1)</f>
        <v>UTENSIL</v>
      </c>
      <c r="F136" s="26" t="s">
        <v>3218</v>
      </c>
      <c r="G136" s="26" t="s">
        <v>745</v>
      </c>
      <c r="H136" s="26" t="s">
        <v>2703</v>
      </c>
      <c r="I136" s="54">
        <f>_xll.DBRW($A$1,$F$14,$F$15,$C136,$A$2,$F136,$G136,$H136,I$1)</f>
        <v>15</v>
      </c>
      <c r="J136" s="25">
        <f>_xll.DBRW($A$1,$F$14,$F$15,$C136,$A$2,$F136,$G136,$H136,J$19)</f>
        <v>27</v>
      </c>
    </row>
    <row r="137" spans="1:10" s="23" customFormat="1" outlineLevel="1" thickBot="1" x14ac:dyDescent="0.3">
      <c r="A137" s="44"/>
      <c r="B137" s="31" t="str">
        <f>IF(_xll.TM1RPTELISCONSOLIDATED($H$20,$H137),IF(_xll.TM1RPTELLEV($H$20,$H137)&lt;=5,_xll.TM1RPTELLEV($H$20,$H137),"Default"),"Leaf")</f>
        <v>Leaf</v>
      </c>
      <c r="C137" s="26" t="s">
        <v>10</v>
      </c>
      <c r="D137" s="24" t="str">
        <f>_xll.DBRW("TM1-S1_DEV:}ElementAttributes_SP_SKU",$F137,D$1)</f>
        <v>Primary</v>
      </c>
      <c r="E137" s="24" t="str">
        <f>_xll.DBRW("TM1-S1_DEV:}ElementAttributes_SP_SKU",$F137,E$1)</f>
        <v>BAG</v>
      </c>
      <c r="F137" s="26" t="s">
        <v>3219</v>
      </c>
      <c r="G137" s="26" t="s">
        <v>746</v>
      </c>
      <c r="H137" s="26" t="s">
        <v>2705</v>
      </c>
      <c r="I137" s="54">
        <f>_xll.DBRW($A$1,$F$14,$F$15,$C137,$A$2,$F137,$G137,$H137,I$1)</f>
        <v>27</v>
      </c>
      <c r="J137" s="25">
        <f>_xll.DBRW($A$1,$F$14,$F$15,$C137,$A$2,$F137,$G137,$H137,J$19)</f>
        <v>27</v>
      </c>
    </row>
    <row r="138" spans="1:10" s="23" customFormat="1" outlineLevel="1" thickBot="1" x14ac:dyDescent="0.3">
      <c r="A138" s="44"/>
      <c r="B138" s="31" t="str">
        <f>IF(_xll.TM1RPTELISCONSOLIDATED($H$20,$H138),IF(_xll.TM1RPTELLEV($H$20,$H138)&lt;=5,_xll.TM1RPTELLEV($H$20,$H138),"Default"),"Leaf")</f>
        <v>Leaf</v>
      </c>
      <c r="C138" s="26" t="s">
        <v>10</v>
      </c>
      <c r="D138" s="24" t="str">
        <f>_xll.DBRW("TM1-S1_DEV:}ElementAttributes_SP_SKU",$F138,D$1)</f>
        <v>Primary</v>
      </c>
      <c r="E138" s="24" t="str">
        <f>_xll.DBRW("TM1-S1_DEV:}ElementAttributes_SP_SKU",$F138,E$1)</f>
        <v>BOX</v>
      </c>
      <c r="F138" s="26" t="s">
        <v>3220</v>
      </c>
      <c r="G138" s="26" t="s">
        <v>747</v>
      </c>
      <c r="H138" s="26" t="s">
        <v>2702</v>
      </c>
      <c r="I138" s="54">
        <f>_xll.DBRW($A$1,$F$14,$F$15,$C138,$A$2,$F138,$G138,$H138,I$1)</f>
        <v>4</v>
      </c>
      <c r="J138" s="25">
        <f>_xll.DBRW($A$1,$F$14,$F$15,$C138,$A$2,$F138,$G138,$H138,J$19)</f>
        <v>4</v>
      </c>
    </row>
    <row r="139" spans="1:10" s="23" customFormat="1" outlineLevel="1" thickBot="1" x14ac:dyDescent="0.3">
      <c r="A139" s="44"/>
      <c r="B139" s="31" t="str">
        <f>IF(_xll.TM1RPTELISCONSOLIDATED($H$20,$H139),IF(_xll.TM1RPTELLEV($H$20,$H139)&lt;=5,_xll.TM1RPTELLEV($H$20,$H139),"Default"),"Leaf")</f>
        <v>Leaf</v>
      </c>
      <c r="C139" s="26" t="s">
        <v>10</v>
      </c>
      <c r="D139" s="24" t="str">
        <f>_xll.DBRW("TM1-S1_DEV:}ElementAttributes_SP_SKU",$F139,D$1)</f>
        <v>Primary</v>
      </c>
      <c r="E139" s="24" t="str">
        <f>_xll.DBRW("TM1-S1_DEV:}ElementAttributes_SP_SKU",$F139,E$1)</f>
        <v>BOX</v>
      </c>
      <c r="F139" s="26" t="s">
        <v>3221</v>
      </c>
      <c r="G139" s="26" t="s">
        <v>748</v>
      </c>
      <c r="H139" s="26" t="s">
        <v>2702</v>
      </c>
      <c r="I139" s="54">
        <f>_xll.DBRW($A$1,$F$14,$F$15,$C139,$A$2,$F139,$G139,$H139,I$1)</f>
        <v>19</v>
      </c>
      <c r="J139" s="25">
        <f>_xll.DBRW($A$1,$F$14,$F$15,$C139,$A$2,$F139,$G139,$H139,J$19)</f>
        <v>19</v>
      </c>
    </row>
    <row r="140" spans="1:10" s="23" customFormat="1" outlineLevel="1" thickBot="1" x14ac:dyDescent="0.3">
      <c r="A140" s="44"/>
      <c r="B140" s="31" t="str">
        <f>IF(_xll.TM1RPTELISCONSOLIDATED($H$20,$H140),IF(_xll.TM1RPTELLEV($H$20,$H140)&lt;=5,_xll.TM1RPTELLEV($H$20,$H140),"Default"),"Leaf")</f>
        <v>Leaf</v>
      </c>
      <c r="C140" s="26" t="s">
        <v>10</v>
      </c>
      <c r="D140" s="24" t="str">
        <f>_xll.DBRW("TM1-S1_DEV:}ElementAttributes_SP_SKU",$F140,D$1)</f>
        <v>Primary</v>
      </c>
      <c r="E140" s="24" t="str">
        <f>_xll.DBRW("TM1-S1_DEV:}ElementAttributes_SP_SKU",$F140,E$1)</f>
        <v>BOX</v>
      </c>
      <c r="F140" s="26" t="s">
        <v>3222</v>
      </c>
      <c r="G140" s="26" t="s">
        <v>749</v>
      </c>
      <c r="H140" s="26" t="s">
        <v>2702</v>
      </c>
      <c r="I140" s="54">
        <f>_xll.DBRW($A$1,$F$14,$F$15,$C140,$A$2,$F140,$G140,$H140,I$1)</f>
        <v>26</v>
      </c>
      <c r="J140" s="25">
        <f>_xll.DBRW($A$1,$F$14,$F$15,$C140,$A$2,$F140,$G140,$H140,J$19)</f>
        <v>26</v>
      </c>
    </row>
    <row r="141" spans="1:10" s="23" customFormat="1" outlineLevel="1" thickBot="1" x14ac:dyDescent="0.3">
      <c r="A141" s="44"/>
      <c r="B141" s="31" t="str">
        <f>IF(_xll.TM1RPTELISCONSOLIDATED($H$20,$H141),IF(_xll.TM1RPTELLEV($H$20,$H141)&lt;=5,_xll.TM1RPTELLEV($H$20,$H141),"Default"),"Leaf")</f>
        <v>Leaf</v>
      </c>
      <c r="C141" s="26" t="s">
        <v>10</v>
      </c>
      <c r="D141" s="24" t="str">
        <f>_xll.DBRW("TM1-S1_DEV:}ElementAttributes_SP_SKU",$F141,D$1)</f>
        <v>Primary</v>
      </c>
      <c r="E141" s="24" t="str">
        <f>_xll.DBRW("TM1-S1_DEV:}ElementAttributes_SP_SKU",$F141,E$1)</f>
        <v>BOWL</v>
      </c>
      <c r="F141" s="26" t="s">
        <v>3223</v>
      </c>
      <c r="G141" s="26" t="s">
        <v>750</v>
      </c>
      <c r="H141" s="26" t="s">
        <v>2703</v>
      </c>
      <c r="I141" s="54">
        <f>_xll.DBRW($A$1,$F$14,$F$15,$C141,$A$2,$F141,$G141,$H141,I$1)</f>
        <v>8</v>
      </c>
      <c r="J141" s="25">
        <f>_xll.DBRW($A$1,$F$14,$F$15,$C141,$A$2,$F141,$G141,$H141,J$19)</f>
        <v>8</v>
      </c>
    </row>
    <row r="142" spans="1:10" s="23" customFormat="1" outlineLevel="1" thickBot="1" x14ac:dyDescent="0.3">
      <c r="A142" s="44"/>
      <c r="B142" s="31" t="str">
        <f>IF(_xll.TM1RPTELISCONSOLIDATED($H$20,$H142),IF(_xll.TM1RPTELLEV($H$20,$H142)&lt;=5,_xll.TM1RPTELLEV($H$20,$H142),"Default"),"Leaf")</f>
        <v>Leaf</v>
      </c>
      <c r="C142" s="26" t="s">
        <v>10</v>
      </c>
      <c r="D142" s="24" t="str">
        <f>_xll.DBRW("TM1-S1_DEV:}ElementAttributes_SP_SKU",$F142,D$1)</f>
        <v>Primary</v>
      </c>
      <c r="E142" s="24" t="str">
        <f>_xll.DBRW("TM1-S1_DEV:}ElementAttributes_SP_SKU",$F142,E$1)</f>
        <v>BAG</v>
      </c>
      <c r="F142" s="26" t="s">
        <v>3224</v>
      </c>
      <c r="G142" s="26" t="s">
        <v>751</v>
      </c>
      <c r="H142" s="26" t="s">
        <v>2705</v>
      </c>
      <c r="I142" s="54">
        <f>_xll.DBRW($A$1,$F$14,$F$15,$C142,$A$2,$F142,$G142,$H142,I$1)</f>
        <v>16</v>
      </c>
      <c r="J142" s="25">
        <f>_xll.DBRW($A$1,$F$14,$F$15,$C142,$A$2,$F142,$G142,$H142,J$19)</f>
        <v>10</v>
      </c>
    </row>
    <row r="143" spans="1:10" s="23" customFormat="1" outlineLevel="1" thickBot="1" x14ac:dyDescent="0.3">
      <c r="A143" s="44"/>
      <c r="B143" s="31" t="str">
        <f>IF(_xll.TM1RPTELISCONSOLIDATED($H$20,$H143),IF(_xll.TM1RPTELLEV($H$20,$H143)&lt;=5,_xll.TM1RPTELLEV($H$20,$H143),"Default"),"Leaf")</f>
        <v>Leaf</v>
      </c>
      <c r="C143" s="26" t="s">
        <v>10</v>
      </c>
      <c r="D143" s="24" t="str">
        <f>_xll.DBRW("TM1-S1_DEV:}ElementAttributes_SP_SKU",$F143,D$1)</f>
        <v>Primary</v>
      </c>
      <c r="E143" s="24" t="str">
        <f>_xll.DBRW("TM1-S1_DEV:}ElementAttributes_SP_SKU",$F143,E$1)</f>
        <v>CUP</v>
      </c>
      <c r="F143" s="26" t="s">
        <v>3225</v>
      </c>
      <c r="G143" s="26" t="s">
        <v>752</v>
      </c>
      <c r="H143" s="26" t="s">
        <v>2707</v>
      </c>
      <c r="I143" s="54">
        <f>_xll.DBRW($A$1,$F$14,$F$15,$C143,$A$2,$F143,$G143,$H143,I$1)</f>
        <v>10</v>
      </c>
      <c r="J143" s="25">
        <f>_xll.DBRW($A$1,$F$14,$F$15,$C143,$A$2,$F143,$G143,$H143,J$19)</f>
        <v>10</v>
      </c>
    </row>
    <row r="144" spans="1:10" s="23" customFormat="1" outlineLevel="1" thickBot="1" x14ac:dyDescent="0.3">
      <c r="A144" s="44"/>
      <c r="B144" s="31" t="str">
        <f>IF(_xll.TM1RPTELISCONSOLIDATED($H$20,$H144),IF(_xll.TM1RPTELLEV($H$20,$H144)&lt;=5,_xll.TM1RPTELLEV($H$20,$H144),"Default"),"Leaf")</f>
        <v>Leaf</v>
      </c>
      <c r="C144" s="26" t="s">
        <v>10</v>
      </c>
      <c r="D144" s="24" t="str">
        <f>_xll.DBRW("TM1-S1_DEV:}ElementAttributes_SP_SKU",$F144,D$1)</f>
        <v>Primary</v>
      </c>
      <c r="E144" s="24" t="str">
        <f>_xll.DBRW("TM1-S1_DEV:}ElementAttributes_SP_SKU",$F144,E$1)</f>
        <v>CUP</v>
      </c>
      <c r="F144" s="26" t="s">
        <v>3226</v>
      </c>
      <c r="G144" s="26" t="s">
        <v>753</v>
      </c>
      <c r="H144" s="26" t="s">
        <v>2707</v>
      </c>
      <c r="I144" s="54">
        <f>_xll.DBRW($A$1,$F$14,$F$15,$C144,$A$2,$F144,$G144,$H144,I$1)</f>
        <v>16</v>
      </c>
      <c r="J144" s="25">
        <f>_xll.DBRW($A$1,$F$14,$F$15,$C144,$A$2,$F144,$G144,$H144,J$19)</f>
        <v>16</v>
      </c>
    </row>
    <row r="145" spans="1:10" s="23" customFormat="1" outlineLevel="1" thickBot="1" x14ac:dyDescent="0.3">
      <c r="A145" s="44"/>
      <c r="B145" s="31" t="str">
        <f>IF(_xll.TM1RPTELISCONSOLIDATED($H$20,$H145),IF(_xll.TM1RPTELLEV($H$20,$H145)&lt;=5,_xll.TM1RPTELLEV($H$20,$H145),"Default"),"Leaf")</f>
        <v>Leaf</v>
      </c>
      <c r="C145" s="26" t="s">
        <v>10</v>
      </c>
      <c r="D145" s="24" t="str">
        <f>_xll.DBRW("TM1-S1_DEV:}ElementAttributes_SP_SKU",$F145,D$1)</f>
        <v>Primary</v>
      </c>
      <c r="E145" s="24" t="str">
        <f>_xll.DBRW("TM1-S1_DEV:}ElementAttributes_SP_SKU",$F145,E$1)</f>
        <v>PROTEIN</v>
      </c>
      <c r="F145" s="26" t="s">
        <v>3227</v>
      </c>
      <c r="G145" s="26" t="s">
        <v>754</v>
      </c>
      <c r="H145" s="26" t="s">
        <v>2673</v>
      </c>
      <c r="I145" s="54">
        <f>_xll.DBRW($A$1,$F$14,$F$15,$C145,$A$2,$F145,$G145,$H145,I$1)</f>
        <v>207</v>
      </c>
      <c r="J145" s="25">
        <f>_xll.DBRW($A$1,$F$14,$F$15,$C145,$A$2,$F145,$G145,$H145,J$19)</f>
        <v>195</v>
      </c>
    </row>
    <row r="146" spans="1:10" s="23" customFormat="1" outlineLevel="1" thickBot="1" x14ac:dyDescent="0.3">
      <c r="A146" s="44"/>
      <c r="B146" s="31" t="str">
        <f>IF(_xll.TM1RPTELISCONSOLIDATED($H$20,$H146),IF(_xll.TM1RPTELLEV($H$20,$H146)&lt;=5,_xll.TM1RPTELLEV($H$20,$H146),"Default"),"Leaf")</f>
        <v>Leaf</v>
      </c>
      <c r="C146" s="26" t="s">
        <v>10</v>
      </c>
      <c r="D146" s="24" t="str">
        <f>_xll.DBRW("TM1-S1_DEV:}ElementAttributes_SP_SKU",$F146,D$1)</f>
        <v>Primary</v>
      </c>
      <c r="E146" s="24" t="str">
        <f>_xll.DBRW("TM1-S1_DEV:}ElementAttributes_SP_SKU",$F146,E$1)</f>
        <v>TRAY</v>
      </c>
      <c r="F146" s="26" t="s">
        <v>3228</v>
      </c>
      <c r="G146" s="26" t="s">
        <v>755</v>
      </c>
      <c r="H146" s="26" t="s">
        <v>2708</v>
      </c>
      <c r="I146" s="54">
        <f>_xll.DBRW($A$1,$F$14,$F$15,$C146,$A$2,$F146,$G146,$H146,I$1)</f>
        <v>13</v>
      </c>
      <c r="J146" s="25">
        <f>_xll.DBRW($A$1,$F$14,$F$15,$C146,$A$2,$F146,$G146,$H146,J$19)</f>
        <v>12</v>
      </c>
    </row>
    <row r="147" spans="1:10" s="23" customFormat="1" outlineLevel="1" thickBot="1" x14ac:dyDescent="0.3">
      <c r="A147" s="44"/>
      <c r="B147" s="31" t="str">
        <f>IF(_xll.TM1RPTELISCONSOLIDATED($H$20,$H147),IF(_xll.TM1RPTELLEV($H$20,$H147)&lt;=5,_xll.TM1RPTELLEV($H$20,$H147),"Default"),"Leaf")</f>
        <v>Leaf</v>
      </c>
      <c r="C147" s="26" t="s">
        <v>10</v>
      </c>
      <c r="D147" s="24" t="str">
        <f>_xll.DBRW("TM1-S1_DEV:}ElementAttributes_SP_SKU",$F147,D$1)</f>
        <v>Primary</v>
      </c>
      <c r="E147" s="24" t="str">
        <f>_xll.DBRW("TM1-S1_DEV:}ElementAttributes_SP_SKU",$F147,E$1)</f>
        <v>TRAY</v>
      </c>
      <c r="F147" s="26" t="s">
        <v>3229</v>
      </c>
      <c r="G147" s="26" t="s">
        <v>756</v>
      </c>
      <c r="H147" s="26" t="s">
        <v>2708</v>
      </c>
      <c r="I147" s="54">
        <f>_xll.DBRW($A$1,$F$14,$F$15,$C147,$A$2,$F147,$G147,$H147,I$1)</f>
        <v>8</v>
      </c>
      <c r="J147" s="25">
        <f>_xll.DBRW($A$1,$F$14,$F$15,$C147,$A$2,$F147,$G147,$H147,J$19)</f>
        <v>7</v>
      </c>
    </row>
    <row r="148" spans="1:10" s="23" customFormat="1" outlineLevel="1" thickBot="1" x14ac:dyDescent="0.3">
      <c r="A148" s="44"/>
      <c r="B148" s="31" t="str">
        <f>IF(_xll.TM1RPTELISCONSOLIDATED($H$20,$H148),IF(_xll.TM1RPTELLEV($H$20,$H148)&lt;=5,_xll.TM1RPTELLEV($H$20,$H148),"Default"),"Leaf")</f>
        <v>Leaf</v>
      </c>
      <c r="C148" s="26" t="s">
        <v>10</v>
      </c>
      <c r="D148" s="24" t="str">
        <f>_xll.DBRW("TM1-S1_DEV:}ElementAttributes_SP_SKU",$F148,D$1)</f>
        <v>Primary</v>
      </c>
      <c r="E148" s="24" t="str">
        <f>_xll.DBRW("TM1-S1_DEV:}ElementAttributes_SP_SKU",$F148,E$1)</f>
        <v>BOWL</v>
      </c>
      <c r="F148" s="26" t="s">
        <v>3230</v>
      </c>
      <c r="G148" s="26" t="s">
        <v>757</v>
      </c>
      <c r="H148" s="26" t="s">
        <v>2703</v>
      </c>
      <c r="I148" s="54">
        <f>_xll.DBRW($A$1,$F$14,$F$15,$C148,$A$2,$F148,$G148,$H148,I$1)</f>
        <v>10</v>
      </c>
      <c r="J148" s="25">
        <f>_xll.DBRW($A$1,$F$14,$F$15,$C148,$A$2,$F148,$G148,$H148,J$19)</f>
        <v>10</v>
      </c>
    </row>
    <row r="149" spans="1:10" s="23" customFormat="1" outlineLevel="1" thickBot="1" x14ac:dyDescent="0.3">
      <c r="A149" s="44"/>
      <c r="B149" s="31" t="str">
        <f>IF(_xll.TM1RPTELISCONSOLIDATED($H$20,$H149),IF(_xll.TM1RPTELLEV($H$20,$H149)&lt;=5,_xll.TM1RPTELLEV($H$20,$H149),"Default"),"Leaf")</f>
        <v>Leaf</v>
      </c>
      <c r="C149" s="26" t="s">
        <v>10</v>
      </c>
      <c r="D149" s="24" t="str">
        <f>_xll.DBRW("TM1-S1_DEV:}ElementAttributes_SP_SKU",$F149,D$1)</f>
        <v>Primary</v>
      </c>
      <c r="E149" s="24" t="str">
        <f>_xll.DBRW("TM1-S1_DEV:}ElementAttributes_SP_SKU",$F149,E$1)</f>
        <v>TRAY</v>
      </c>
      <c r="F149" s="26" t="s">
        <v>3231</v>
      </c>
      <c r="G149" s="26" t="s">
        <v>758</v>
      </c>
      <c r="H149" s="26" t="s">
        <v>2711</v>
      </c>
      <c r="I149" s="54">
        <f>_xll.DBRW($A$1,$F$14,$F$15,$C149,$A$2,$F149,$G149,$H149,I$1)</f>
        <v>21</v>
      </c>
      <c r="J149" s="25">
        <f>_xll.DBRW($A$1,$F$14,$F$15,$C149,$A$2,$F149,$G149,$H149,J$19)</f>
        <v>13</v>
      </c>
    </row>
    <row r="150" spans="1:10" s="23" customFormat="1" outlineLevel="1" thickBot="1" x14ac:dyDescent="0.3">
      <c r="A150" s="44"/>
      <c r="B150" s="31" t="str">
        <f>IF(_xll.TM1RPTELISCONSOLIDATED($H$20,$H150),IF(_xll.TM1RPTELLEV($H$20,$H150)&lt;=5,_xll.TM1RPTELLEV($H$20,$H150),"Default"),"Leaf")</f>
        <v>Leaf</v>
      </c>
      <c r="C150" s="26" t="s">
        <v>10</v>
      </c>
      <c r="D150" s="24" t="str">
        <f>_xll.DBRW("TM1-S1_DEV:}ElementAttributes_SP_SKU",$F150,D$1)</f>
        <v>Primary</v>
      </c>
      <c r="E150" s="24" t="str">
        <f>_xll.DBRW("TM1-S1_DEV:}ElementAttributes_SP_SKU",$F150,E$1)</f>
        <v>BAG</v>
      </c>
      <c r="F150" s="26" t="s">
        <v>3232</v>
      </c>
      <c r="G150" s="26" t="s">
        <v>759</v>
      </c>
      <c r="H150" s="26" t="s">
        <v>2712</v>
      </c>
      <c r="I150" s="54">
        <f>_xll.DBRW($A$1,$F$14,$F$15,$C150,$A$2,$F150,$G150,$H150,I$1)</f>
        <v>70</v>
      </c>
      <c r="J150" s="25">
        <f>_xll.DBRW($A$1,$F$14,$F$15,$C150,$A$2,$F150,$G150,$H150,J$19)</f>
        <v>63</v>
      </c>
    </row>
    <row r="151" spans="1:10" s="23" customFormat="1" outlineLevel="1" thickBot="1" x14ac:dyDescent="0.3">
      <c r="A151" s="44"/>
      <c r="B151" s="31" t="str">
        <f>IF(_xll.TM1RPTELISCONSOLIDATED($H$20,$H151),IF(_xll.TM1RPTELLEV($H$20,$H151)&lt;=5,_xll.TM1RPTELLEV($H$20,$H151),"Default"),"Leaf")</f>
        <v>Leaf</v>
      </c>
      <c r="C151" s="26" t="s">
        <v>10</v>
      </c>
      <c r="D151" s="24" t="str">
        <f>_xll.DBRW("TM1-S1_DEV:}ElementAttributes_SP_SKU",$F151,D$1)</f>
        <v>Primary</v>
      </c>
      <c r="E151" s="24" t="str">
        <f>_xll.DBRW("TM1-S1_DEV:}ElementAttributes_SP_SKU",$F151,E$1)</f>
        <v>FILM</v>
      </c>
      <c r="F151" s="26" t="s">
        <v>3233</v>
      </c>
      <c r="G151" s="26" t="s">
        <v>760</v>
      </c>
      <c r="H151" s="26" t="s">
        <v>2713</v>
      </c>
      <c r="I151" s="54">
        <f>_xll.DBRW($A$1,$F$14,$F$15,$C151,$A$2,$F151,$G151,$H151,I$1)</f>
        <v>184</v>
      </c>
      <c r="J151" s="25">
        <f>_xll.DBRW($A$1,$F$14,$F$15,$C151,$A$2,$F151,$G151,$H151,J$19)</f>
        <v>183</v>
      </c>
    </row>
    <row r="152" spans="1:10" s="23" customFormat="1" outlineLevel="1" thickBot="1" x14ac:dyDescent="0.3">
      <c r="A152" s="44"/>
      <c r="B152" s="31" t="str">
        <f>IF(_xll.TM1RPTELISCONSOLIDATED($H$20,$H152),IF(_xll.TM1RPTELLEV($H$20,$H152)&lt;=5,_xll.TM1RPTELLEV($H$20,$H152),"Default"),"Leaf")</f>
        <v>Leaf</v>
      </c>
      <c r="C152" s="26" t="s">
        <v>10</v>
      </c>
      <c r="D152" s="24" t="str">
        <f>_xll.DBRW("TM1-S1_DEV:}ElementAttributes_SP_SKU",$F152,D$1)</f>
        <v>Primary</v>
      </c>
      <c r="E152" s="24" t="str">
        <f>_xll.DBRW("TM1-S1_DEV:}ElementAttributes_SP_SKU",$F152,E$1)</f>
        <v>BAG</v>
      </c>
      <c r="F152" s="26" t="s">
        <v>3234</v>
      </c>
      <c r="G152" s="26" t="s">
        <v>761</v>
      </c>
      <c r="H152" s="26" t="s">
        <v>2714</v>
      </c>
      <c r="I152" s="54">
        <f>_xll.DBRW($A$1,$F$14,$F$15,$C152,$A$2,$F152,$G152,$H152,I$1)</f>
        <v>26</v>
      </c>
      <c r="J152" s="25">
        <f>_xll.DBRW($A$1,$F$14,$F$15,$C152,$A$2,$F152,$G152,$H152,J$19)</f>
        <v>26</v>
      </c>
    </row>
    <row r="153" spans="1:10" s="23" customFormat="1" outlineLevel="1" thickBot="1" x14ac:dyDescent="0.3">
      <c r="A153" s="44"/>
      <c r="B153" s="31" t="str">
        <f>IF(_xll.TM1RPTELISCONSOLIDATED($H$20,$H153),IF(_xll.TM1RPTELLEV($H$20,$H153)&lt;=5,_xll.TM1RPTELLEV($H$20,$H153),"Default"),"Leaf")</f>
        <v>Leaf</v>
      </c>
      <c r="C153" s="26" t="s">
        <v>10</v>
      </c>
      <c r="D153" s="24" t="str">
        <f>_xll.DBRW("TM1-S1_DEV:}ElementAttributes_SP_SKU",$F153,D$1)</f>
        <v>Primary</v>
      </c>
      <c r="E153" s="24" t="str">
        <f>_xll.DBRW("TM1-S1_DEV:}ElementAttributes_SP_SKU",$F153,E$1)</f>
        <v>FILM</v>
      </c>
      <c r="F153" s="26" t="s">
        <v>3235</v>
      </c>
      <c r="G153" s="26" t="s">
        <v>762</v>
      </c>
      <c r="H153" s="26" t="s">
        <v>2713</v>
      </c>
      <c r="I153" s="54">
        <f>_xll.DBRW($A$1,$F$14,$F$15,$C153,$A$2,$F153,$G153,$H153,I$1)</f>
        <v>90</v>
      </c>
      <c r="J153" s="25">
        <f>_xll.DBRW($A$1,$F$14,$F$15,$C153,$A$2,$F153,$G153,$H153,J$19)</f>
        <v>90</v>
      </c>
    </row>
    <row r="154" spans="1:10" s="23" customFormat="1" outlineLevel="1" thickBot="1" x14ac:dyDescent="0.3">
      <c r="A154" s="44"/>
      <c r="B154" s="31" t="str">
        <f>IF(_xll.TM1RPTELISCONSOLIDATED($H$20,$H154),IF(_xll.TM1RPTELLEV($H$20,$H154)&lt;=5,_xll.TM1RPTELLEV($H$20,$H154),"Default"),"Leaf")</f>
        <v>Leaf</v>
      </c>
      <c r="C154" s="26" t="s">
        <v>10</v>
      </c>
      <c r="D154" s="24" t="str">
        <f>_xll.DBRW("TM1-S1_DEV:}ElementAttributes_SP_SKU",$F154,D$1)</f>
        <v>Primary</v>
      </c>
      <c r="E154" s="24" t="str">
        <f>_xll.DBRW("TM1-S1_DEV:}ElementAttributes_SP_SKU",$F154,E$1)</f>
        <v>BREAD</v>
      </c>
      <c r="F154" s="26" t="s">
        <v>31</v>
      </c>
      <c r="G154" s="26" t="s">
        <v>763</v>
      </c>
      <c r="H154" s="26" t="s">
        <v>2689</v>
      </c>
      <c r="I154" s="54">
        <f>_xll.DBRW($A$1,$F$14,$F$15,$C154,$A$2,$F154,$G154,$H154,I$1)</f>
        <v>80</v>
      </c>
      <c r="J154" s="25">
        <f>_xll.DBRW($A$1,$F$14,$F$15,$C154,$A$2,$F154,$G154,$H154,J$19)</f>
        <v>80</v>
      </c>
    </row>
    <row r="155" spans="1:10" s="23" customFormat="1" outlineLevel="1" thickBot="1" x14ac:dyDescent="0.3">
      <c r="A155" s="44"/>
      <c r="B155" s="31" t="str">
        <f>IF(_xll.TM1RPTELISCONSOLIDATED($H$20,$H155),IF(_xll.TM1RPTELLEV($H$20,$H155)&lt;=5,_xll.TM1RPTELLEV($H$20,$H155),"Default"),"Leaf")</f>
        <v>Leaf</v>
      </c>
      <c r="C155" s="26" t="s">
        <v>10</v>
      </c>
      <c r="D155" s="24" t="str">
        <f>_xll.DBRW("TM1-S1_DEV:}ElementAttributes_SP_SKU",$F155,D$1)</f>
        <v>Primary</v>
      </c>
      <c r="E155" s="24" t="str">
        <f>_xll.DBRW("TM1-S1_DEV:}ElementAttributes_SP_SKU",$F155,E$1)</f>
        <v>BREAD</v>
      </c>
      <c r="F155" s="26" t="s">
        <v>3236</v>
      </c>
      <c r="G155" s="26" t="s">
        <v>764</v>
      </c>
      <c r="H155" s="26" t="s">
        <v>2689</v>
      </c>
      <c r="I155" s="54">
        <f>_xll.DBRW($A$1,$F$14,$F$15,$C155,$A$2,$F155,$G155,$H155,I$1)</f>
        <v>1</v>
      </c>
      <c r="J155" s="25">
        <f>_xll.DBRW($A$1,$F$14,$F$15,$C155,$A$2,$F155,$G155,$H155,J$19)</f>
        <v>1</v>
      </c>
    </row>
    <row r="156" spans="1:10" s="23" customFormat="1" outlineLevel="1" thickBot="1" x14ac:dyDescent="0.3">
      <c r="A156" s="44"/>
      <c r="B156" s="31" t="str">
        <f>IF(_xll.TM1RPTELISCONSOLIDATED($H$20,$H156),IF(_xll.TM1RPTELLEV($H$20,$H156)&lt;=5,_xll.TM1RPTELLEV($H$20,$H156),"Default"),"Leaf")</f>
        <v>Leaf</v>
      </c>
      <c r="C156" s="26" t="s">
        <v>10</v>
      </c>
      <c r="D156" s="24" t="str">
        <f>_xll.DBRW("TM1-S1_DEV:}ElementAttributes_SP_SKU",$F156,D$1)</f>
        <v>Primary</v>
      </c>
      <c r="E156" s="24" t="str">
        <f>_xll.DBRW("TM1-S1_DEV:}ElementAttributes_SP_SKU",$F156,E$1)</f>
        <v>BOWL</v>
      </c>
      <c r="F156" s="26" t="s">
        <v>3237</v>
      </c>
      <c r="G156" s="26" t="s">
        <v>765</v>
      </c>
      <c r="H156" s="26" t="s">
        <v>2703</v>
      </c>
      <c r="I156" s="54">
        <f>_xll.DBRW($A$1,$F$14,$F$15,$C156,$A$2,$F156,$G156,$H156,I$1)</f>
        <v>11</v>
      </c>
      <c r="J156" s="25">
        <f>_xll.DBRW($A$1,$F$14,$F$15,$C156,$A$2,$F156,$G156,$H156,J$19)</f>
        <v>11</v>
      </c>
    </row>
    <row r="157" spans="1:10" s="23" customFormat="1" outlineLevel="1" thickBot="1" x14ac:dyDescent="0.3">
      <c r="A157" s="44"/>
      <c r="B157" s="31" t="str">
        <f>IF(_xll.TM1RPTELISCONSOLIDATED($H$20,$H157),IF(_xll.TM1RPTELLEV($H$20,$H157)&lt;=5,_xll.TM1RPTELLEV($H$20,$H157),"Default"),"Leaf")</f>
        <v>Leaf</v>
      </c>
      <c r="C157" s="26" t="s">
        <v>10</v>
      </c>
      <c r="D157" s="24" t="str">
        <f>_xll.DBRW("TM1-S1_DEV:}ElementAttributes_SP_SKU",$F157,D$1)</f>
        <v>Primary</v>
      </c>
      <c r="E157" s="24" t="str">
        <f>_xll.DBRW("TM1-S1_DEV:}ElementAttributes_SP_SKU",$F157,E$1)</f>
        <v>BOWL</v>
      </c>
      <c r="F157" s="26" t="s">
        <v>3238</v>
      </c>
      <c r="G157" s="26" t="s">
        <v>766</v>
      </c>
      <c r="H157" s="26" t="s">
        <v>2703</v>
      </c>
      <c r="I157" s="54">
        <f>_xll.DBRW($A$1,$F$14,$F$15,$C157,$A$2,$F157,$G157,$H157,I$1)</f>
        <v>12</v>
      </c>
      <c r="J157" s="25">
        <f>_xll.DBRW($A$1,$F$14,$F$15,$C157,$A$2,$F157,$G157,$H157,J$19)</f>
        <v>10</v>
      </c>
    </row>
    <row r="158" spans="1:10" s="23" customFormat="1" outlineLevel="1" thickBot="1" x14ac:dyDescent="0.3">
      <c r="A158" s="44"/>
      <c r="B158" s="31" t="str">
        <f>IF(_xll.TM1RPTELISCONSOLIDATED($H$20,$H158),IF(_xll.TM1RPTELLEV($H$20,$H158)&lt;=5,_xll.TM1RPTELLEV($H$20,$H158),"Default"),"Leaf")</f>
        <v>Leaf</v>
      </c>
      <c r="C158" s="26" t="s">
        <v>10</v>
      </c>
      <c r="D158" s="24" t="str">
        <f>_xll.DBRW("TM1-S1_DEV:}ElementAttributes_SP_SKU",$F158,D$1)</f>
        <v>Primary</v>
      </c>
      <c r="E158" s="24" t="str">
        <f>_xll.DBRW("TM1-S1_DEV:}ElementAttributes_SP_SKU",$F158,E$1)</f>
        <v>PAPER</v>
      </c>
      <c r="F158" s="26" t="s">
        <v>3239</v>
      </c>
      <c r="G158" s="26" t="s">
        <v>767</v>
      </c>
      <c r="H158" s="26" t="s">
        <v>2715</v>
      </c>
      <c r="I158" s="54">
        <f>_xll.DBRW($A$1,$F$14,$F$15,$C158,$A$2,$F158,$G158,$H158,I$1)</f>
        <v>2</v>
      </c>
      <c r="J158" s="25">
        <f>_xll.DBRW($A$1,$F$14,$F$15,$C158,$A$2,$F158,$G158,$H158,J$19)</f>
        <v>6</v>
      </c>
    </row>
    <row r="159" spans="1:10" s="23" customFormat="1" outlineLevel="1" thickBot="1" x14ac:dyDescent="0.3">
      <c r="A159" s="44"/>
      <c r="B159" s="31" t="str">
        <f>IF(_xll.TM1RPTELISCONSOLIDATED($H$20,$H159),IF(_xll.TM1RPTELLEV($H$20,$H159)&lt;=5,_xll.TM1RPTELLEV($H$20,$H159),"Default"),"Leaf")</f>
        <v>Leaf</v>
      </c>
      <c r="C159" s="26" t="s">
        <v>10</v>
      </c>
      <c r="D159" s="24" t="str">
        <f>_xll.DBRW("TM1-S1_DEV:}ElementAttributes_SP_SKU",$F159,D$1)</f>
        <v>Primary</v>
      </c>
      <c r="E159" s="24" t="str">
        <f>_xll.DBRW("TM1-S1_DEV:}ElementAttributes_SP_SKU",$F159,E$1)</f>
        <v>BOWL</v>
      </c>
      <c r="F159" s="26" t="s">
        <v>32</v>
      </c>
      <c r="G159" s="26" t="s">
        <v>768</v>
      </c>
      <c r="H159" s="26" t="s">
        <v>2708</v>
      </c>
      <c r="I159" s="54">
        <f>_xll.DBRW($A$1,$F$14,$F$15,$C159,$A$2,$F159,$G159,$H159,I$1)</f>
        <v>4</v>
      </c>
      <c r="J159" s="25">
        <f>_xll.DBRW($A$1,$F$14,$F$15,$C159,$A$2,$F159,$G159,$H159,J$19)</f>
        <v>4</v>
      </c>
    </row>
    <row r="160" spans="1:10" s="23" customFormat="1" outlineLevel="1" thickBot="1" x14ac:dyDescent="0.3">
      <c r="A160" s="44"/>
      <c r="B160" s="31" t="str">
        <f>IF(_xll.TM1RPTELISCONSOLIDATED($H$20,$H160),IF(_xll.TM1RPTELLEV($H$20,$H160)&lt;=5,_xll.TM1RPTELLEV($H$20,$H160),"Default"),"Leaf")</f>
        <v>Leaf</v>
      </c>
      <c r="C160" s="26" t="s">
        <v>10</v>
      </c>
      <c r="D160" s="24" t="str">
        <f>_xll.DBRW("TM1-S1_DEV:}ElementAttributes_SP_SKU",$F160,D$1)</f>
        <v>Primary</v>
      </c>
      <c r="E160" s="24" t="str">
        <f>_xll.DBRW("TM1-S1_DEV:}ElementAttributes_SP_SKU",$F160,E$1)</f>
        <v>BOWL</v>
      </c>
      <c r="F160" s="26" t="s">
        <v>33</v>
      </c>
      <c r="G160" s="26" t="s">
        <v>769</v>
      </c>
      <c r="H160" s="26" t="s">
        <v>2708</v>
      </c>
      <c r="I160" s="54">
        <f>_xll.DBRW($A$1,$F$14,$F$15,$C160,$A$2,$F160,$G160,$H160,I$1)</f>
        <v>6</v>
      </c>
      <c r="J160" s="25">
        <f>_xll.DBRW($A$1,$F$14,$F$15,$C160,$A$2,$F160,$G160,$H160,J$19)</f>
        <v>6</v>
      </c>
    </row>
    <row r="161" spans="1:10" s="23" customFormat="1" outlineLevel="1" thickBot="1" x14ac:dyDescent="0.3">
      <c r="A161" s="44"/>
      <c r="B161" s="31" t="str">
        <f>IF(_xll.TM1RPTELISCONSOLIDATED($H$20,$H161),IF(_xll.TM1RPTELLEV($H$20,$H161)&lt;=5,_xll.TM1RPTELLEV($H$20,$H161),"Default"),"Leaf")</f>
        <v>Leaf</v>
      </c>
      <c r="C161" s="26" t="s">
        <v>10</v>
      </c>
      <c r="D161" s="24" t="str">
        <f>_xll.DBRW("TM1-S1_DEV:}ElementAttributes_SP_SKU",$F161,D$1)</f>
        <v>Primary</v>
      </c>
      <c r="E161" s="24" t="str">
        <f>_xll.DBRW("TM1-S1_DEV:}ElementAttributes_SP_SKU",$F161,E$1)</f>
        <v>FOIL</v>
      </c>
      <c r="F161" s="26" t="s">
        <v>34</v>
      </c>
      <c r="G161" s="26" t="s">
        <v>770</v>
      </c>
      <c r="H161" s="26" t="s">
        <v>2716</v>
      </c>
      <c r="I161" s="54">
        <f>_xll.DBRW($A$1,$F$14,$F$15,$C161,$A$2,$F161,$G161,$H161,I$1)</f>
        <v>10</v>
      </c>
      <c r="J161" s="25">
        <f>_xll.DBRW($A$1,$F$14,$F$15,$C161,$A$2,$F161,$G161,$H161,J$19)</f>
        <v>10</v>
      </c>
    </row>
    <row r="162" spans="1:10" s="23" customFormat="1" outlineLevel="1" thickBot="1" x14ac:dyDescent="0.3">
      <c r="A162" s="44"/>
      <c r="B162" s="31" t="str">
        <f>IF(_xll.TM1RPTELISCONSOLIDATED($H$20,$H162),IF(_xll.TM1RPTELLEV($H$20,$H162)&lt;=5,_xll.TM1RPTELLEV($H$20,$H162),"Default"),"Leaf")</f>
        <v>Leaf</v>
      </c>
      <c r="C162" s="26" t="s">
        <v>10</v>
      </c>
      <c r="D162" s="24" t="str">
        <f>_xll.DBRW("TM1-S1_DEV:}ElementAttributes_SP_SKU",$F162,D$1)</f>
        <v>Unassigned PSP</v>
      </c>
      <c r="E162" s="24" t="str">
        <f>_xll.DBRW("TM1-S1_DEV:}ElementAttributes_SP_SKU",$F162,E$1)</f>
        <v>FOIL</v>
      </c>
      <c r="F162" s="26" t="s">
        <v>35</v>
      </c>
      <c r="G162" s="26" t="s">
        <v>771</v>
      </c>
      <c r="H162" s="26" t="s">
        <v>2704</v>
      </c>
      <c r="I162" s="54">
        <f>_xll.DBRW($A$1,$F$14,$F$15,$C162,$A$2,$F162,$G162,$H162,I$1)</f>
        <v>18</v>
      </c>
      <c r="J162" s="25">
        <f>_xll.DBRW($A$1,$F$14,$F$15,$C162,$A$2,$F162,$G162,$H162,J$19)</f>
        <v>18</v>
      </c>
    </row>
    <row r="163" spans="1:10" s="23" customFormat="1" outlineLevel="1" thickBot="1" x14ac:dyDescent="0.3">
      <c r="A163" s="44"/>
      <c r="B163" s="31" t="str">
        <f>IF(_xll.TM1RPTELISCONSOLIDATED($H$20,$H163),IF(_xll.TM1RPTELLEV($H$20,$H163)&lt;=5,_xll.TM1RPTELLEV($H$20,$H163),"Default"),"Leaf")</f>
        <v>Leaf</v>
      </c>
      <c r="C163" s="26" t="s">
        <v>10</v>
      </c>
      <c r="D163" s="24" t="str">
        <f>_xll.DBRW("TM1-S1_DEV:}ElementAttributes_SP_SKU",$F163,D$1)</f>
        <v>Primary</v>
      </c>
      <c r="E163" s="24" t="str">
        <f>_xll.DBRW("TM1-S1_DEV:}ElementAttributes_SP_SKU",$F163,E$1)</f>
        <v>CHIPS</v>
      </c>
      <c r="F163" s="26" t="s">
        <v>36</v>
      </c>
      <c r="G163" s="26" t="s">
        <v>772</v>
      </c>
      <c r="H163" s="26" t="s">
        <v>2717</v>
      </c>
      <c r="I163" s="54">
        <f>_xll.DBRW($A$1,$F$14,$F$15,$C163,$A$2,$F163,$G163,$H163,I$1)</f>
        <v>89</v>
      </c>
      <c r="J163" s="25">
        <f>_xll.DBRW($A$1,$F$14,$F$15,$C163,$A$2,$F163,$G163,$H163,J$19)</f>
        <v>124</v>
      </c>
    </row>
    <row r="164" spans="1:10" s="23" customFormat="1" outlineLevel="1" thickBot="1" x14ac:dyDescent="0.3">
      <c r="A164" s="44"/>
      <c r="B164" s="31" t="str">
        <f>IF(_xll.TM1RPTELISCONSOLIDATED($H$20,$H164),IF(_xll.TM1RPTELLEV($H$20,$H164)&lt;=5,_xll.TM1RPTELLEV($H$20,$H164),"Default"),"Leaf")</f>
        <v>Leaf</v>
      </c>
      <c r="C164" s="26" t="s">
        <v>10</v>
      </c>
      <c r="D164" s="24" t="str">
        <f>_xll.DBRW("TM1-S1_DEV:}ElementAttributes_SP_SKU",$F164,D$1)</f>
        <v>Primary</v>
      </c>
      <c r="E164" s="24" t="str">
        <f>_xll.DBRW("TM1-S1_DEV:}ElementAttributes_SP_SKU",$F164,E$1)</f>
        <v>CHIPS</v>
      </c>
      <c r="F164" s="26" t="s">
        <v>37</v>
      </c>
      <c r="G164" s="26" t="s">
        <v>773</v>
      </c>
      <c r="H164" s="26" t="s">
        <v>2717</v>
      </c>
      <c r="I164" s="54">
        <f>_xll.DBRW($A$1,$F$14,$F$15,$C164,$A$2,$F164,$G164,$H164,I$1)</f>
        <v>0</v>
      </c>
      <c r="J164" s="25">
        <f>_xll.DBRW($A$1,$F$14,$F$15,$C164,$A$2,$F164,$G164,$H164,J$19)</f>
        <v>159</v>
      </c>
    </row>
    <row r="165" spans="1:10" s="23" customFormat="1" outlineLevel="1" thickBot="1" x14ac:dyDescent="0.3">
      <c r="A165" s="44"/>
      <c r="B165" s="31" t="str">
        <f>IF(_xll.TM1RPTELISCONSOLIDATED($H$20,$H165),IF(_xll.TM1RPTELLEV($H$20,$H165)&lt;=5,_xll.TM1RPTELLEV($H$20,$H165),"Default"),"Leaf")</f>
        <v>Leaf</v>
      </c>
      <c r="C165" s="26" t="s">
        <v>10</v>
      </c>
      <c r="D165" s="24" t="str">
        <f>_xll.DBRW("TM1-S1_DEV:}ElementAttributes_SP_SKU",$F165,D$1)</f>
        <v>Primary</v>
      </c>
      <c r="E165" s="24" t="str">
        <f>_xll.DBRW("TM1-S1_DEV:}ElementAttributes_SP_SKU",$F165,E$1)</f>
        <v>CHIPS</v>
      </c>
      <c r="F165" s="26" t="s">
        <v>38</v>
      </c>
      <c r="G165" s="26" t="s">
        <v>774</v>
      </c>
      <c r="H165" s="26" t="s">
        <v>2717</v>
      </c>
      <c r="I165" s="54">
        <f>_xll.DBRW($A$1,$F$14,$F$15,$C165,$A$2,$F165,$G165,$H165,I$1)</f>
        <v>115</v>
      </c>
      <c r="J165" s="25">
        <f>_xll.DBRW($A$1,$F$14,$F$15,$C165,$A$2,$F165,$G165,$H165,J$19)</f>
        <v>155</v>
      </c>
    </row>
    <row r="166" spans="1:10" s="23" customFormat="1" outlineLevel="1" thickBot="1" x14ac:dyDescent="0.3">
      <c r="A166" s="44"/>
      <c r="B166" s="31" t="str">
        <f>IF(_xll.TM1RPTELISCONSOLIDATED($H$20,$H166),IF(_xll.TM1RPTELLEV($H$20,$H166)&lt;=5,_xll.TM1RPTELLEV($H$20,$H166),"Default"),"Leaf")</f>
        <v>Leaf</v>
      </c>
      <c r="C166" s="26" t="s">
        <v>10</v>
      </c>
      <c r="D166" s="24" t="str">
        <f>_xll.DBRW("TM1-S1_DEV:}ElementAttributes_SP_SKU",$F166,D$1)</f>
        <v>Primary</v>
      </c>
      <c r="E166" s="24" t="str">
        <f>_xll.DBRW("TM1-S1_DEV:}ElementAttributes_SP_SKU",$F166,E$1)</f>
        <v>CHIPS</v>
      </c>
      <c r="F166" s="26" t="s">
        <v>39</v>
      </c>
      <c r="G166" s="26" t="s">
        <v>775</v>
      </c>
      <c r="H166" s="26" t="s">
        <v>2717</v>
      </c>
      <c r="I166" s="54">
        <f>_xll.DBRW($A$1,$F$14,$F$15,$C166,$A$2,$F166,$G166,$H166,I$1)</f>
        <v>107</v>
      </c>
      <c r="J166" s="25">
        <f>_xll.DBRW($A$1,$F$14,$F$15,$C166,$A$2,$F166,$G166,$H166,J$19)</f>
        <v>146</v>
      </c>
    </row>
    <row r="167" spans="1:10" s="23" customFormat="1" outlineLevel="1" thickBot="1" x14ac:dyDescent="0.3">
      <c r="A167" s="44"/>
      <c r="B167" s="31" t="str">
        <f>IF(_xll.TM1RPTELISCONSOLIDATED($H$20,$H167),IF(_xll.TM1RPTELLEV($H$20,$H167)&lt;=5,_xll.TM1RPTELLEV($H$20,$H167),"Default"),"Leaf")</f>
        <v>Leaf</v>
      </c>
      <c r="C167" s="26" t="s">
        <v>10</v>
      </c>
      <c r="D167" s="24" t="str">
        <f>_xll.DBRW("TM1-S1_DEV:}ElementAttributes_SP_SKU",$F167,D$1)</f>
        <v>Primary</v>
      </c>
      <c r="E167" s="24" t="str">
        <f>_xll.DBRW("TM1-S1_DEV:}ElementAttributes_SP_SKU",$F167,E$1)</f>
        <v>INGREDIENT</v>
      </c>
      <c r="F167" s="26" t="s">
        <v>40</v>
      </c>
      <c r="G167" s="26" t="s">
        <v>776</v>
      </c>
      <c r="H167" s="26" t="s">
        <v>2718</v>
      </c>
      <c r="I167" s="54">
        <f>_xll.DBRW($A$1,$F$14,$F$15,$C167,$A$2,$F167,$G167,$H167,I$1)</f>
        <v>24</v>
      </c>
      <c r="J167" s="25">
        <f>_xll.DBRW($A$1,$F$14,$F$15,$C167,$A$2,$F167,$G167,$H167,J$19)</f>
        <v>24</v>
      </c>
    </row>
    <row r="168" spans="1:10" s="23" customFormat="1" outlineLevel="1" thickBot="1" x14ac:dyDescent="0.3">
      <c r="A168" s="44"/>
      <c r="B168" s="31" t="str">
        <f>IF(_xll.TM1RPTELISCONSOLIDATED($H$20,$H168),IF(_xll.TM1RPTELLEV($H$20,$H168)&lt;=5,_xll.TM1RPTELLEV($H$20,$H168),"Default"),"Leaf")</f>
        <v>Leaf</v>
      </c>
      <c r="C168" s="26" t="s">
        <v>10</v>
      </c>
      <c r="D168" s="24" t="str">
        <f>_xll.DBRW("TM1-S1_DEV:}ElementAttributes_SP_SKU",$F168,D$1)</f>
        <v>Primary</v>
      </c>
      <c r="E168" s="24" t="str">
        <f>_xll.DBRW("TM1-S1_DEV:}ElementAttributes_SP_SKU",$F168,E$1)</f>
        <v>CHEESE</v>
      </c>
      <c r="F168" s="26" t="s">
        <v>41</v>
      </c>
      <c r="G168" s="26" t="s">
        <v>777</v>
      </c>
      <c r="H168" s="26" t="s">
        <v>2719</v>
      </c>
      <c r="I168" s="54">
        <f>_xll.DBRW($A$1,$F$14,$F$15,$C168,$A$2,$F168,$G168,$H168,I$1)</f>
        <v>274</v>
      </c>
      <c r="J168" s="25">
        <f>_xll.DBRW($A$1,$F$14,$F$15,$C168,$A$2,$F168,$G168,$H168,J$19)</f>
        <v>322</v>
      </c>
    </row>
    <row r="169" spans="1:10" s="23" customFormat="1" outlineLevel="1" thickBot="1" x14ac:dyDescent="0.3">
      <c r="A169" s="44"/>
      <c r="B169" s="31" t="str">
        <f>IF(_xll.TM1RPTELISCONSOLIDATED($H$20,$H169),IF(_xll.TM1RPTELLEV($H$20,$H169)&lt;=5,_xll.TM1RPTELLEV($H$20,$H169),"Default"),"Leaf")</f>
        <v>Leaf</v>
      </c>
      <c r="C169" s="26" t="s">
        <v>10</v>
      </c>
      <c r="D169" s="24" t="str">
        <f>_xll.DBRW("TM1-S1_DEV:}ElementAttributes_SP_SKU",$F169,D$1)</f>
        <v>Primary</v>
      </c>
      <c r="E169" s="24" t="str">
        <f>_xll.DBRW("TM1-S1_DEV:}ElementAttributes_SP_SKU",$F169,E$1)</f>
        <v>CONDIMENT</v>
      </c>
      <c r="F169" s="26" t="s">
        <v>42</v>
      </c>
      <c r="G169" s="26" t="s">
        <v>778</v>
      </c>
      <c r="H169" s="26" t="s">
        <v>2720</v>
      </c>
      <c r="I169" s="54">
        <f>_xll.DBRW($A$1,$F$14,$F$15,$C169,$A$2,$F169,$G169,$H169,I$1)</f>
        <v>684</v>
      </c>
      <c r="J169" s="25">
        <f>_xll.DBRW($A$1,$F$14,$F$15,$C169,$A$2,$F169,$G169,$H169,J$19)</f>
        <v>818</v>
      </c>
    </row>
    <row r="170" spans="1:10" s="23" customFormat="1" outlineLevel="1" thickBot="1" x14ac:dyDescent="0.3">
      <c r="A170" s="44"/>
      <c r="B170" s="31" t="str">
        <f>IF(_xll.TM1RPTELISCONSOLIDATED($H$20,$H170),IF(_xll.TM1RPTELLEV($H$20,$H170)&lt;=5,_xll.TM1RPTELLEV($H$20,$H170),"Default"),"Leaf")</f>
        <v>Leaf</v>
      </c>
      <c r="C170" s="26" t="s">
        <v>10</v>
      </c>
      <c r="D170" s="24" t="str">
        <f>_xll.DBRW("TM1-S1_DEV:}ElementAttributes_SP_SKU",$F170,D$1)</f>
        <v>Primary</v>
      </c>
      <c r="E170" s="24" t="str">
        <f>_xll.DBRW("TM1-S1_DEV:}ElementAttributes_SP_SKU",$F170,E$1)</f>
        <v>INGREDIENT</v>
      </c>
      <c r="F170" s="26" t="s">
        <v>43</v>
      </c>
      <c r="G170" s="26" t="s">
        <v>779</v>
      </c>
      <c r="H170" s="26" t="s">
        <v>2720</v>
      </c>
      <c r="I170" s="54">
        <f>_xll.DBRW($A$1,$F$14,$F$15,$C170,$A$2,$F170,$G170,$H170,I$1)</f>
        <v>17</v>
      </c>
      <c r="J170" s="25">
        <f>_xll.DBRW($A$1,$F$14,$F$15,$C170,$A$2,$F170,$G170,$H170,J$19)</f>
        <v>20</v>
      </c>
    </row>
    <row r="171" spans="1:10" s="23" customFormat="1" outlineLevel="1" thickBot="1" x14ac:dyDescent="0.3">
      <c r="A171" s="44"/>
      <c r="B171" s="31" t="str">
        <f>IF(_xll.TM1RPTELISCONSOLIDATED($H$20,$H171),IF(_xll.TM1RPTELLEV($H$20,$H171)&lt;=5,_xll.TM1RPTELLEV($H$20,$H171),"Default"),"Leaf")</f>
        <v>Leaf</v>
      </c>
      <c r="C171" s="26" t="s">
        <v>10</v>
      </c>
      <c r="D171" s="24" t="str">
        <f>_xll.DBRW("TM1-S1_DEV:}ElementAttributes_SP_SKU",$F171,D$1)</f>
        <v>Primary</v>
      </c>
      <c r="E171" s="24" t="str">
        <f>_xll.DBRW("TM1-S1_DEV:}ElementAttributes_SP_SKU",$F171,E$1)</f>
        <v>PLATE</v>
      </c>
      <c r="F171" s="26" t="s">
        <v>2970</v>
      </c>
      <c r="G171" s="26" t="s">
        <v>3022</v>
      </c>
      <c r="H171" s="26" t="s">
        <v>2721</v>
      </c>
      <c r="I171" s="54">
        <f>_xll.DBRW($A$1,$F$14,$F$15,$C171,$A$2,$F171,$G171,$H171,I$1)</f>
        <v>0</v>
      </c>
      <c r="J171" s="25">
        <f>_xll.DBRW($A$1,$F$14,$F$15,$C171,$A$2,$F171,$G171,$H171,J$19)</f>
        <v>-1</v>
      </c>
    </row>
    <row r="172" spans="1:10" s="23" customFormat="1" outlineLevel="1" thickBot="1" x14ac:dyDescent="0.3">
      <c r="A172" s="44"/>
      <c r="B172" s="31" t="str">
        <f>IF(_xll.TM1RPTELISCONSOLIDATED($H$20,$H172),IF(_xll.TM1RPTELLEV($H$20,$H172)&lt;=5,_xll.TM1RPTELLEV($H$20,$H172),"Default"),"Leaf")</f>
        <v>Leaf</v>
      </c>
      <c r="C172" s="26" t="s">
        <v>10</v>
      </c>
      <c r="D172" s="24" t="str">
        <f>_xll.DBRW("TM1-S1_DEV:}ElementAttributes_SP_SKU",$F172,D$1)</f>
        <v>Primary</v>
      </c>
      <c r="E172" s="24" t="str">
        <f>_xll.DBRW("TM1-S1_DEV:}ElementAttributes_SP_SKU",$F172,E$1)</f>
        <v>PAPER</v>
      </c>
      <c r="F172" s="26" t="s">
        <v>44</v>
      </c>
      <c r="G172" s="26" t="s">
        <v>780</v>
      </c>
      <c r="H172" s="26" t="s">
        <v>2722</v>
      </c>
      <c r="I172" s="54">
        <f>_xll.DBRW($A$1,$F$14,$F$15,$C172,$A$2,$F172,$G172,$H172,I$1)</f>
        <v>10</v>
      </c>
      <c r="J172" s="25">
        <f>_xll.DBRW($A$1,$F$14,$F$15,$C172,$A$2,$F172,$G172,$H172,J$19)</f>
        <v>10</v>
      </c>
    </row>
    <row r="173" spans="1:10" s="23" customFormat="1" outlineLevel="1" thickBot="1" x14ac:dyDescent="0.3">
      <c r="A173" s="44"/>
      <c r="B173" s="31" t="str">
        <f>IF(_xll.TM1RPTELISCONSOLIDATED($H$20,$H173),IF(_xll.TM1RPTELLEV($H$20,$H173)&lt;=5,_xll.TM1RPTELLEV($H$20,$H173),"Default"),"Leaf")</f>
        <v>Leaf</v>
      </c>
      <c r="C173" s="26" t="s">
        <v>10</v>
      </c>
      <c r="D173" s="24" t="str">
        <f>_xll.DBRW("TM1-S1_DEV:}ElementAttributes_SP_SKU",$F173,D$1)</f>
        <v>Primary</v>
      </c>
      <c r="E173" s="24" t="str">
        <f>_xll.DBRW("TM1-S1_DEV:}ElementAttributes_SP_SKU",$F173,E$1)</f>
        <v>UTENSIL</v>
      </c>
      <c r="F173" s="26" t="s">
        <v>45</v>
      </c>
      <c r="G173" s="26" t="s">
        <v>781</v>
      </c>
      <c r="H173" s="26" t="s">
        <v>2723</v>
      </c>
      <c r="I173" s="54">
        <f>_xll.DBRW($A$1,$F$14,$F$15,$C173,$A$2,$F173,$G173,$H173,I$1)</f>
        <v>260</v>
      </c>
      <c r="J173" s="25">
        <f>_xll.DBRW($A$1,$F$14,$F$15,$C173,$A$2,$F173,$G173,$H173,J$19)</f>
        <v>260</v>
      </c>
    </row>
    <row r="174" spans="1:10" s="23" customFormat="1" outlineLevel="1" thickBot="1" x14ac:dyDescent="0.3">
      <c r="A174" s="44"/>
      <c r="B174" s="31" t="str">
        <f>IF(_xll.TM1RPTELISCONSOLIDATED($H$20,$H174),IF(_xll.TM1RPTELLEV($H$20,$H174)&lt;=5,_xll.TM1RPTELLEV($H$20,$H174),"Default"),"Leaf")</f>
        <v>Leaf</v>
      </c>
      <c r="C174" s="26" t="s">
        <v>10</v>
      </c>
      <c r="D174" s="24" t="str">
        <f>_xll.DBRW("TM1-S1_DEV:}ElementAttributes_SP_SKU",$F174,D$1)</f>
        <v>Primary</v>
      </c>
      <c r="E174" s="24" t="str">
        <f>_xll.DBRW("TM1-S1_DEV:}ElementAttributes_SP_SKU",$F174,E$1)</f>
        <v>PAPER</v>
      </c>
      <c r="F174" s="26" t="s">
        <v>46</v>
      </c>
      <c r="G174" s="26" t="s">
        <v>782</v>
      </c>
      <c r="H174" s="26" t="s">
        <v>2723</v>
      </c>
      <c r="I174" s="54">
        <f>_xll.DBRW($A$1,$F$14,$F$15,$C174,$A$2,$F174,$G174,$H174,I$1)</f>
        <v>74</v>
      </c>
      <c r="J174" s="25">
        <f>_xll.DBRW($A$1,$F$14,$F$15,$C174,$A$2,$F174,$G174,$H174,J$19)</f>
        <v>74</v>
      </c>
    </row>
    <row r="175" spans="1:10" s="23" customFormat="1" outlineLevel="1" thickBot="1" x14ac:dyDescent="0.3">
      <c r="A175" s="44"/>
      <c r="B175" s="31" t="str">
        <f>IF(_xll.TM1RPTELISCONSOLIDATED($H$20,$H175),IF(_xll.TM1RPTELLEV($H$20,$H175)&lt;=5,_xll.TM1RPTELLEV($H$20,$H175),"Default"),"Leaf")</f>
        <v>Leaf</v>
      </c>
      <c r="C175" s="26" t="s">
        <v>10</v>
      </c>
      <c r="D175" s="24" t="str">
        <f>_xll.DBRW("TM1-S1_DEV:}ElementAttributes_SP_SKU",$F175,D$1)</f>
        <v>Primary</v>
      </c>
      <c r="E175" s="24" t="str">
        <f>_xll.DBRW("TM1-S1_DEV:}ElementAttributes_SP_SKU",$F175,E$1)</f>
        <v>CONTAINER</v>
      </c>
      <c r="F175" s="26" t="s">
        <v>47</v>
      </c>
      <c r="G175" s="26" t="s">
        <v>783</v>
      </c>
      <c r="H175" s="26" t="s">
        <v>2721</v>
      </c>
      <c r="I175" s="54">
        <f>_xll.DBRW($A$1,$F$14,$F$15,$C175,$A$2,$F175,$G175,$H175,I$1)</f>
        <v>46</v>
      </c>
      <c r="J175" s="25">
        <f>_xll.DBRW($A$1,$F$14,$F$15,$C175,$A$2,$F175,$G175,$H175,J$19)</f>
        <v>43</v>
      </c>
    </row>
    <row r="176" spans="1:10" s="23" customFormat="1" outlineLevel="1" thickBot="1" x14ac:dyDescent="0.3">
      <c r="A176" s="44"/>
      <c r="B176" s="31" t="str">
        <f>IF(_xll.TM1RPTELISCONSOLIDATED($H$20,$H176),IF(_xll.TM1RPTELLEV($H$20,$H176)&lt;=5,_xll.TM1RPTELLEV($H$20,$H176),"Default"),"Leaf")</f>
        <v>Leaf</v>
      </c>
      <c r="C176" s="26" t="s">
        <v>10</v>
      </c>
      <c r="D176" s="24" t="str">
        <f>_xll.DBRW("TM1-S1_DEV:}ElementAttributes_SP_SKU",$F176,D$1)</f>
        <v>Primary</v>
      </c>
      <c r="E176" s="24" t="str">
        <f>_xll.DBRW("TM1-S1_DEV:}ElementAttributes_SP_SKU",$F176,E$1)</f>
        <v>UTENSIL</v>
      </c>
      <c r="F176" s="26" t="s">
        <v>48</v>
      </c>
      <c r="G176" s="26" t="s">
        <v>784</v>
      </c>
      <c r="H176" s="26" t="s">
        <v>2724</v>
      </c>
      <c r="I176" s="54">
        <f>_xll.DBRW($A$1,$F$14,$F$15,$C176,$A$2,$F176,$G176,$H176,I$1)</f>
        <v>18</v>
      </c>
      <c r="J176" s="25">
        <f>_xll.DBRW($A$1,$F$14,$F$15,$C176,$A$2,$F176,$G176,$H176,J$19)</f>
        <v>18</v>
      </c>
    </row>
    <row r="177" spans="1:10" s="23" customFormat="1" outlineLevel="1" thickBot="1" x14ac:dyDescent="0.3">
      <c r="A177" s="44"/>
      <c r="B177" s="31" t="str">
        <f>IF(_xll.TM1RPTELISCONSOLIDATED($H$20,$H177),IF(_xll.TM1RPTELLEV($H$20,$H177)&lt;=5,_xll.TM1RPTELLEV($H$20,$H177),"Default"),"Leaf")</f>
        <v>Leaf</v>
      </c>
      <c r="C177" s="26" t="s">
        <v>10</v>
      </c>
      <c r="D177" s="24" t="str">
        <f>_xll.DBRW("TM1-S1_DEV:}ElementAttributes_SP_SKU",$F177,D$1)</f>
        <v>Primary</v>
      </c>
      <c r="E177" s="24" t="str">
        <f>_xll.DBRW("TM1-S1_DEV:}ElementAttributes_SP_SKU",$F177,E$1)</f>
        <v>UTENSIL</v>
      </c>
      <c r="F177" s="26" t="s">
        <v>49</v>
      </c>
      <c r="G177" s="26" t="s">
        <v>785</v>
      </c>
      <c r="H177" s="26" t="s">
        <v>2724</v>
      </c>
      <c r="I177" s="54">
        <f>_xll.DBRW($A$1,$F$14,$F$15,$C177,$A$2,$F177,$G177,$H177,I$1)</f>
        <v>19</v>
      </c>
      <c r="J177" s="25">
        <f>_xll.DBRW($A$1,$F$14,$F$15,$C177,$A$2,$F177,$G177,$H177,J$19)</f>
        <v>19</v>
      </c>
    </row>
    <row r="178" spans="1:10" s="23" customFormat="1" outlineLevel="1" thickBot="1" x14ac:dyDescent="0.3">
      <c r="A178" s="44"/>
      <c r="B178" s="31" t="str">
        <f>IF(_xll.TM1RPTELISCONSOLIDATED($H$20,$H178),IF(_xll.TM1RPTELLEV($H$20,$H178)&lt;=5,_xll.TM1RPTELLEV($H$20,$H178),"Default"),"Leaf")</f>
        <v>Leaf</v>
      </c>
      <c r="C178" s="26" t="s">
        <v>10</v>
      </c>
      <c r="D178" s="24" t="str">
        <f>_xll.DBRW("TM1-S1_DEV:}ElementAttributes_SP_SKU",$F178,D$1)</f>
        <v>Primary</v>
      </c>
      <c r="E178" s="24" t="str">
        <f>_xll.DBRW("TM1-S1_DEV:}ElementAttributes_SP_SKU",$F178,E$1)</f>
        <v>UTENSIL</v>
      </c>
      <c r="F178" s="26" t="s">
        <v>50</v>
      </c>
      <c r="G178" s="26" t="s">
        <v>786</v>
      </c>
      <c r="H178" s="26" t="s">
        <v>2724</v>
      </c>
      <c r="I178" s="54">
        <f>_xll.DBRW($A$1,$F$14,$F$15,$C178,$A$2,$F178,$G178,$H178,I$1)</f>
        <v>48</v>
      </c>
      <c r="J178" s="25">
        <f>_xll.DBRW($A$1,$F$14,$F$15,$C178,$A$2,$F178,$G178,$H178,J$19)</f>
        <v>48</v>
      </c>
    </row>
    <row r="179" spans="1:10" s="23" customFormat="1" outlineLevel="1" thickBot="1" x14ac:dyDescent="0.3">
      <c r="A179" s="44"/>
      <c r="B179" s="31" t="str">
        <f>IF(_xll.TM1RPTELISCONSOLIDATED($H$20,$H179),IF(_xll.TM1RPTELLEV($H$20,$H179)&lt;=5,_xll.TM1RPTELLEV($H$20,$H179),"Default"),"Leaf")</f>
        <v>Leaf</v>
      </c>
      <c r="C179" s="26" t="s">
        <v>10</v>
      </c>
      <c r="D179" s="24" t="str">
        <f>_xll.DBRW("TM1-S1_DEV:}ElementAttributes_SP_SKU",$F179,D$1)</f>
        <v>Primary</v>
      </c>
      <c r="E179" s="24" t="str">
        <f>_xll.DBRW("TM1-S1_DEV:}ElementAttributes_SP_SKU",$F179,E$1)</f>
        <v>DISPENSER</v>
      </c>
      <c r="F179" s="26" t="s">
        <v>51</v>
      </c>
      <c r="G179" s="26" t="s">
        <v>787</v>
      </c>
      <c r="H179" s="26" t="s">
        <v>2724</v>
      </c>
      <c r="I179" s="54">
        <f>_xll.DBRW($A$1,$F$14,$F$15,$C179,$A$2,$F179,$G179,$H179,I$1)</f>
        <v>33</v>
      </c>
      <c r="J179" s="25">
        <f>_xll.DBRW($A$1,$F$14,$F$15,$C179,$A$2,$F179,$G179,$H179,J$19)</f>
        <v>33</v>
      </c>
    </row>
    <row r="180" spans="1:10" s="23" customFormat="1" outlineLevel="1" thickBot="1" x14ac:dyDescent="0.3">
      <c r="A180" s="44"/>
      <c r="B180" s="31" t="str">
        <f>IF(_xll.TM1RPTELISCONSOLIDATED($H$20,$H180),IF(_xll.TM1RPTELLEV($H$20,$H180)&lt;=5,_xll.TM1RPTELLEV($H$20,$H180),"Default"),"Leaf")</f>
        <v>Leaf</v>
      </c>
      <c r="C180" s="26" t="s">
        <v>10</v>
      </c>
      <c r="D180" s="24" t="str">
        <f>_xll.DBRW("TM1-S1_DEV:}ElementAttributes_SP_SKU",$F180,D$1)</f>
        <v>Primary</v>
      </c>
      <c r="E180" s="24" t="str">
        <f>_xll.DBRW("TM1-S1_DEV:}ElementAttributes_SP_SKU",$F180,E$1)</f>
        <v>PAPER</v>
      </c>
      <c r="F180" s="26" t="s">
        <v>52</v>
      </c>
      <c r="G180" s="26" t="s">
        <v>788</v>
      </c>
      <c r="H180" s="26" t="s">
        <v>2724</v>
      </c>
      <c r="I180" s="54">
        <f>_xll.DBRW($A$1,$F$14,$F$15,$C180,$A$2,$F180,$G180,$H180,I$1)</f>
        <v>20</v>
      </c>
      <c r="J180" s="25">
        <f>_xll.DBRW($A$1,$F$14,$F$15,$C180,$A$2,$F180,$G180,$H180,J$19)</f>
        <v>20</v>
      </c>
    </row>
    <row r="181" spans="1:10" s="23" customFormat="1" outlineLevel="1" thickBot="1" x14ac:dyDescent="0.3">
      <c r="A181" s="44"/>
      <c r="B181" s="31" t="str">
        <f>IF(_xll.TM1RPTELISCONSOLIDATED($H$20,$H181),IF(_xll.TM1RPTELLEV($H$20,$H181)&lt;=5,_xll.TM1RPTELLEV($H$20,$H181),"Default"),"Leaf")</f>
        <v>Leaf</v>
      </c>
      <c r="C181" s="26" t="s">
        <v>10</v>
      </c>
      <c r="D181" s="24" t="str">
        <f>_xll.DBRW("TM1-S1_DEV:}ElementAttributes_SP_SKU",$F181,D$1)</f>
        <v>Primary</v>
      </c>
      <c r="E181" s="24" t="str">
        <f>_xll.DBRW("TM1-S1_DEV:}ElementAttributes_SP_SKU",$F181,E$1)</f>
        <v>CONTAINER</v>
      </c>
      <c r="F181" s="26" t="s">
        <v>53</v>
      </c>
      <c r="G181" s="26" t="s">
        <v>789</v>
      </c>
      <c r="H181" s="26" t="s">
        <v>2723</v>
      </c>
      <c r="I181" s="54">
        <f>_xll.DBRW($A$1,$F$14,$F$15,$C181,$A$2,$F181,$G181,$H181,I$1)</f>
        <v>1</v>
      </c>
      <c r="J181" s="25">
        <f>_xll.DBRW($A$1,$F$14,$F$15,$C181,$A$2,$F181,$G181,$H181,J$19)</f>
        <v>1</v>
      </c>
    </row>
    <row r="182" spans="1:10" s="23" customFormat="1" outlineLevel="1" thickBot="1" x14ac:dyDescent="0.3">
      <c r="A182" s="44"/>
      <c r="B182" s="31" t="str">
        <f>IF(_xll.TM1RPTELISCONSOLIDATED($H$20,$H182),IF(_xll.TM1RPTELLEV($H$20,$H182)&lt;=5,_xll.TM1RPTELLEV($H$20,$H182),"Default"),"Leaf")</f>
        <v>Leaf</v>
      </c>
      <c r="C182" s="26" t="s">
        <v>10</v>
      </c>
      <c r="D182" s="24" t="str">
        <f>_xll.DBRW("TM1-S1_DEV:}ElementAttributes_SP_SKU",$F182,D$1)</f>
        <v>Primary</v>
      </c>
      <c r="E182" s="24" t="str">
        <f>_xll.DBRW("TM1-S1_DEV:}ElementAttributes_SP_SKU",$F182,E$1)</f>
        <v>BAG</v>
      </c>
      <c r="F182" s="26" t="s">
        <v>2971</v>
      </c>
      <c r="G182" s="26" t="s">
        <v>3023</v>
      </c>
      <c r="H182" s="26" t="s">
        <v>3078</v>
      </c>
      <c r="I182" s="54">
        <f>_xll.DBRW($A$1,$F$14,$F$15,$C182,$A$2,$F182,$G182,$H182,I$1)</f>
        <v>0</v>
      </c>
      <c r="J182" s="25">
        <f>_xll.DBRW($A$1,$F$14,$F$15,$C182,$A$2,$F182,$G182,$H182,J$19)</f>
        <v>-2</v>
      </c>
    </row>
    <row r="183" spans="1:10" s="23" customFormat="1" outlineLevel="1" thickBot="1" x14ac:dyDescent="0.3">
      <c r="A183" s="44"/>
      <c r="B183" s="31" t="str">
        <f>IF(_xll.TM1RPTELISCONSOLIDATED($H$20,$H183),IF(_xll.TM1RPTELLEV($H$20,$H183)&lt;=5,_xll.TM1RPTELLEV($H$20,$H183),"Default"),"Leaf")</f>
        <v>Leaf</v>
      </c>
      <c r="C183" s="26" t="s">
        <v>10</v>
      </c>
      <c r="D183" s="24" t="str">
        <f>_xll.DBRW("TM1-S1_DEV:}ElementAttributes_SP_SKU",$F183,D$1)</f>
        <v>Primary</v>
      </c>
      <c r="E183" s="24" t="str">
        <f>_xll.DBRW("TM1-S1_DEV:}ElementAttributes_SP_SKU",$F183,E$1)</f>
        <v>PAPER</v>
      </c>
      <c r="F183" s="26" t="s">
        <v>54</v>
      </c>
      <c r="G183" s="26" t="s">
        <v>790</v>
      </c>
      <c r="H183" s="26" t="s">
        <v>2725</v>
      </c>
      <c r="I183" s="54">
        <f>_xll.DBRW($A$1,$F$14,$F$15,$C183,$A$2,$F183,$G183,$H183,I$1)</f>
        <v>48</v>
      </c>
      <c r="J183" s="25">
        <f>_xll.DBRW($A$1,$F$14,$F$15,$C183,$A$2,$F183,$G183,$H183,J$19)</f>
        <v>48</v>
      </c>
    </row>
    <row r="184" spans="1:10" s="23" customFormat="1" outlineLevel="1" thickBot="1" x14ac:dyDescent="0.3">
      <c r="A184" s="44"/>
      <c r="B184" s="31" t="str">
        <f>IF(_xll.TM1RPTELISCONSOLIDATED($H$20,$H184),IF(_xll.TM1RPTELLEV($H$20,$H184)&lt;=5,_xll.TM1RPTELLEV($H$20,$H184),"Default"),"Leaf")</f>
        <v>Leaf</v>
      </c>
      <c r="C184" s="26" t="s">
        <v>10</v>
      </c>
      <c r="D184" s="24" t="str">
        <f>_xll.DBRW("TM1-S1_DEV:}ElementAttributes_SP_SKU",$F184,D$1)</f>
        <v>Primary</v>
      </c>
      <c r="E184" s="24" t="str">
        <f>_xll.DBRW("TM1-S1_DEV:}ElementAttributes_SP_SKU",$F184,E$1)</f>
        <v>GLOVES</v>
      </c>
      <c r="F184" s="26" t="s">
        <v>55</v>
      </c>
      <c r="G184" s="26" t="s">
        <v>791</v>
      </c>
      <c r="H184" s="26" t="s">
        <v>2726</v>
      </c>
      <c r="I184" s="54">
        <f>_xll.DBRW($A$1,$F$14,$F$15,$C184,$A$2,$F184,$G184,$H184,I$1)</f>
        <v>20</v>
      </c>
      <c r="J184" s="25">
        <f>_xll.DBRW($A$1,$F$14,$F$15,$C184,$A$2,$F184,$G184,$H184,J$19)</f>
        <v>27</v>
      </c>
    </row>
    <row r="185" spans="1:10" s="23" customFormat="1" outlineLevel="1" thickBot="1" x14ac:dyDescent="0.3">
      <c r="A185" s="44"/>
      <c r="B185" s="31" t="str">
        <f>IF(_xll.TM1RPTELISCONSOLIDATED($H$20,$H185),IF(_xll.TM1RPTELLEV($H$20,$H185)&lt;=5,_xll.TM1RPTELLEV($H$20,$H185),"Default"),"Leaf")</f>
        <v>Leaf</v>
      </c>
      <c r="C185" s="26" t="s">
        <v>10</v>
      </c>
      <c r="D185" s="24" t="str">
        <f>_xll.DBRW("TM1-S1_DEV:}ElementAttributes_SP_SKU",$F185,D$1)</f>
        <v>Primary</v>
      </c>
      <c r="E185" s="24" t="str">
        <f>_xll.DBRW("TM1-S1_DEV:}ElementAttributes_SP_SKU",$F185,E$1)</f>
        <v>GLOVES</v>
      </c>
      <c r="F185" s="26" t="s">
        <v>56</v>
      </c>
      <c r="G185" s="26" t="s">
        <v>792</v>
      </c>
      <c r="H185" s="26" t="s">
        <v>2726</v>
      </c>
      <c r="I185" s="54">
        <f>_xll.DBRW($A$1,$F$14,$F$15,$C185,$A$2,$F185,$G185,$H185,I$1)</f>
        <v>384</v>
      </c>
      <c r="J185" s="25">
        <f>_xll.DBRW($A$1,$F$14,$F$15,$C185,$A$2,$F185,$G185,$H185,J$19)</f>
        <v>479</v>
      </c>
    </row>
    <row r="186" spans="1:10" s="23" customFormat="1" outlineLevel="1" thickBot="1" x14ac:dyDescent="0.3">
      <c r="A186" s="44"/>
      <c r="B186" s="31" t="str">
        <f>IF(_xll.TM1RPTELISCONSOLIDATED($H$20,$H186),IF(_xll.TM1RPTELLEV($H$20,$H186)&lt;=5,_xll.TM1RPTELLEV($H$20,$H186),"Default"),"Leaf")</f>
        <v>Leaf</v>
      </c>
      <c r="C186" s="26" t="s">
        <v>10</v>
      </c>
      <c r="D186" s="24" t="str">
        <f>_xll.DBRW("TM1-S1_DEV:}ElementAttributes_SP_SKU",$F186,D$1)</f>
        <v>Primary</v>
      </c>
      <c r="E186" s="24" t="str">
        <f>_xll.DBRW("TM1-S1_DEV:}ElementAttributes_SP_SKU",$F186,E$1)</f>
        <v>GLOVES</v>
      </c>
      <c r="F186" s="26" t="s">
        <v>57</v>
      </c>
      <c r="G186" s="26" t="s">
        <v>793</v>
      </c>
      <c r="H186" s="26" t="s">
        <v>2726</v>
      </c>
      <c r="I186" s="54">
        <f>_xll.DBRW($A$1,$F$14,$F$15,$C186,$A$2,$F186,$G186,$H186,I$1)</f>
        <v>758</v>
      </c>
      <c r="J186" s="25">
        <f>_xll.DBRW($A$1,$F$14,$F$15,$C186,$A$2,$F186,$G186,$H186,J$19)</f>
        <v>851</v>
      </c>
    </row>
    <row r="187" spans="1:10" s="23" customFormat="1" outlineLevel="1" thickBot="1" x14ac:dyDescent="0.3">
      <c r="A187" s="44"/>
      <c r="B187" s="31" t="str">
        <f>IF(_xll.TM1RPTELISCONSOLIDATED($H$20,$H187),IF(_xll.TM1RPTELLEV($H$20,$H187)&lt;=5,_xll.TM1RPTELLEV($H$20,$H187),"Default"),"Leaf")</f>
        <v>Leaf</v>
      </c>
      <c r="C187" s="26" t="s">
        <v>10</v>
      </c>
      <c r="D187" s="24" t="str">
        <f>_xll.DBRW("TM1-S1_DEV:}ElementAttributes_SP_SKU",$F187,D$1)</f>
        <v>Primary</v>
      </c>
      <c r="E187" s="24" t="str">
        <f>_xll.DBRW("TM1-S1_DEV:}ElementAttributes_SP_SKU",$F187,E$1)</f>
        <v>GLOVES</v>
      </c>
      <c r="F187" s="26" t="s">
        <v>58</v>
      </c>
      <c r="G187" s="26" t="s">
        <v>794</v>
      </c>
      <c r="H187" s="26" t="s">
        <v>2726</v>
      </c>
      <c r="I187" s="54">
        <f>_xll.DBRW($A$1,$F$14,$F$15,$C187,$A$2,$F187,$G187,$H187,I$1)</f>
        <v>678</v>
      </c>
      <c r="J187" s="25">
        <f>_xll.DBRW($A$1,$F$14,$F$15,$C187,$A$2,$F187,$G187,$H187,J$19)</f>
        <v>949</v>
      </c>
    </row>
    <row r="188" spans="1:10" s="23" customFormat="1" outlineLevel="1" thickBot="1" x14ac:dyDescent="0.3">
      <c r="A188" s="44"/>
      <c r="B188" s="31" t="str">
        <f>IF(_xll.TM1RPTELISCONSOLIDATED($H$20,$H188),IF(_xll.TM1RPTELLEV($H$20,$H188)&lt;=5,_xll.TM1RPTELLEV($H$20,$H188),"Default"),"Leaf")</f>
        <v>Leaf</v>
      </c>
      <c r="C188" s="26" t="s">
        <v>10</v>
      </c>
      <c r="D188" s="24" t="str">
        <f>_xll.DBRW("TM1-S1_DEV:}ElementAttributes_SP_SKU",$F188,D$1)</f>
        <v>Primary</v>
      </c>
      <c r="E188" s="24" t="str">
        <f>_xll.DBRW("TM1-S1_DEV:}ElementAttributes_SP_SKU",$F188,E$1)</f>
        <v>CONTAINER</v>
      </c>
      <c r="F188" s="26" t="s">
        <v>59</v>
      </c>
      <c r="G188" s="26" t="s">
        <v>795</v>
      </c>
      <c r="H188" s="26" t="s">
        <v>2723</v>
      </c>
      <c r="I188" s="54">
        <f>_xll.DBRW($A$1,$F$14,$F$15,$C188,$A$2,$F188,$G188,$H188,I$1)</f>
        <v>3</v>
      </c>
      <c r="J188" s="25">
        <f>_xll.DBRW($A$1,$F$14,$F$15,$C188,$A$2,$F188,$G188,$H188,J$19)</f>
        <v>3</v>
      </c>
    </row>
    <row r="189" spans="1:10" s="23" customFormat="1" outlineLevel="1" thickBot="1" x14ac:dyDescent="0.3">
      <c r="A189" s="44"/>
      <c r="B189" s="31" t="str">
        <f>IF(_xll.TM1RPTELISCONSOLIDATED($H$20,$H189),IF(_xll.TM1RPTELLEV($H$20,$H189)&lt;=5,_xll.TM1RPTELLEV($H$20,$H189),"Default"),"Leaf")</f>
        <v>Leaf</v>
      </c>
      <c r="C189" s="26" t="s">
        <v>10</v>
      </c>
      <c r="D189" s="24" t="str">
        <f>_xll.DBRW("TM1-S1_DEV:}ElementAttributes_SP_SKU",$F189,D$1)</f>
        <v>Primary</v>
      </c>
      <c r="E189" s="24" t="str">
        <f>_xll.DBRW("TM1-S1_DEV:}ElementAttributes_SP_SKU",$F189,E$1)</f>
        <v>PAPER</v>
      </c>
      <c r="F189" s="26" t="s">
        <v>60</v>
      </c>
      <c r="G189" s="26" t="s">
        <v>796</v>
      </c>
      <c r="H189" s="26" t="s">
        <v>2724</v>
      </c>
      <c r="I189" s="54">
        <f>_xll.DBRW($A$1,$F$14,$F$15,$C189,$A$2,$F189,$G189,$H189,I$1)</f>
        <v>15</v>
      </c>
      <c r="J189" s="25">
        <f>_xll.DBRW($A$1,$F$14,$F$15,$C189,$A$2,$F189,$G189,$H189,J$19)</f>
        <v>14</v>
      </c>
    </row>
    <row r="190" spans="1:10" s="23" customFormat="1" outlineLevel="1" thickBot="1" x14ac:dyDescent="0.3">
      <c r="A190" s="44"/>
      <c r="B190" s="31" t="str">
        <f>IF(_xll.TM1RPTELISCONSOLIDATED($H$20,$H190),IF(_xll.TM1RPTELLEV($H$20,$H190)&lt;=5,_xll.TM1RPTELLEV($H$20,$H190),"Default"),"Leaf")</f>
        <v>Leaf</v>
      </c>
      <c r="C190" s="26" t="s">
        <v>10</v>
      </c>
      <c r="D190" s="24" t="str">
        <f>_xll.DBRW("TM1-S1_DEV:}ElementAttributes_SP_SKU",$F190,D$1)</f>
        <v>Primary</v>
      </c>
      <c r="E190" s="24" t="str">
        <f>_xll.DBRW("TM1-S1_DEV:}ElementAttributes_SP_SKU",$F190,E$1)</f>
        <v>FOIL</v>
      </c>
      <c r="F190" s="26" t="s">
        <v>61</v>
      </c>
      <c r="G190" s="26" t="s">
        <v>797</v>
      </c>
      <c r="H190" s="26" t="s">
        <v>2727</v>
      </c>
      <c r="I190" s="54">
        <f>_xll.DBRW($A$1,$F$14,$F$15,$C190,$A$2,$F190,$G190,$H190,I$1)</f>
        <v>1</v>
      </c>
      <c r="J190" s="25">
        <f>_xll.DBRW($A$1,$F$14,$F$15,$C190,$A$2,$F190,$G190,$H190,J$19)</f>
        <v>1</v>
      </c>
    </row>
    <row r="191" spans="1:10" s="23" customFormat="1" outlineLevel="1" thickBot="1" x14ac:dyDescent="0.3">
      <c r="A191" s="44"/>
      <c r="B191" s="31" t="str">
        <f>IF(_xll.TM1RPTELISCONSOLIDATED($H$20,$H191),IF(_xll.TM1RPTELLEV($H$20,$H191)&lt;=5,_xll.TM1RPTELLEV($H$20,$H191),"Default"),"Leaf")</f>
        <v>Leaf</v>
      </c>
      <c r="C191" s="26" t="s">
        <v>10</v>
      </c>
      <c r="D191" s="24" t="str">
        <f>_xll.DBRW("TM1-S1_DEV:}ElementAttributes_SP_SKU",$F191,D$1)</f>
        <v>Primary</v>
      </c>
      <c r="E191" s="24" t="str">
        <f>_xll.DBRW("TM1-S1_DEV:}ElementAttributes_SP_SKU",$F191,E$1)</f>
        <v>INGREDIENT</v>
      </c>
      <c r="F191" s="26" t="s">
        <v>3240</v>
      </c>
      <c r="G191" s="26" t="s">
        <v>798</v>
      </c>
      <c r="H191" s="26" t="s">
        <v>2728</v>
      </c>
      <c r="I191" s="54">
        <f>_xll.DBRW($A$1,$F$14,$F$15,$C191,$A$2,$F191,$G191,$H191,I$1)</f>
        <v>38</v>
      </c>
      <c r="J191" s="25">
        <f>_xll.DBRW($A$1,$F$14,$F$15,$C191,$A$2,$F191,$G191,$H191,J$19)</f>
        <v>4</v>
      </c>
    </row>
    <row r="192" spans="1:10" s="23" customFormat="1" outlineLevel="1" thickBot="1" x14ac:dyDescent="0.3">
      <c r="A192" s="44"/>
      <c r="B192" s="31" t="str">
        <f>IF(_xll.TM1RPTELISCONSOLIDATED($H$20,$H192),IF(_xll.TM1RPTELLEV($H$20,$H192)&lt;=5,_xll.TM1RPTELLEV($H$20,$H192),"Default"),"Leaf")</f>
        <v>Leaf</v>
      </c>
      <c r="C192" s="26" t="s">
        <v>10</v>
      </c>
      <c r="D192" s="24" t="str">
        <f>_xll.DBRW("TM1-S1_DEV:}ElementAttributes_SP_SKU",$F192,D$1)</f>
        <v>Primary</v>
      </c>
      <c r="E192" s="24" t="str">
        <f>_xll.DBRW("TM1-S1_DEV:}ElementAttributes_SP_SKU",$F192,E$1)</f>
        <v>INGREDIENT</v>
      </c>
      <c r="F192" s="26" t="s">
        <v>3241</v>
      </c>
      <c r="G192" s="26" t="s">
        <v>799</v>
      </c>
      <c r="H192" s="26" t="s">
        <v>2729</v>
      </c>
      <c r="I192" s="54">
        <f>_xll.DBRW($A$1,$F$14,$F$15,$C192,$A$2,$F192,$G192,$H192,I$1)</f>
        <v>1407</v>
      </c>
      <c r="J192" s="25">
        <f>_xll.DBRW($A$1,$F$14,$F$15,$C192,$A$2,$F192,$G192,$H192,J$19)</f>
        <v>1407</v>
      </c>
    </row>
    <row r="193" spans="1:10" s="23" customFormat="1" outlineLevel="1" thickBot="1" x14ac:dyDescent="0.3">
      <c r="A193" s="44"/>
      <c r="B193" s="31" t="str">
        <f>IF(_xll.TM1RPTELISCONSOLIDATED($H$20,$H193),IF(_xll.TM1RPTELLEV($H$20,$H193)&lt;=5,_xll.TM1RPTELLEV($H$20,$H193),"Default"),"Leaf")</f>
        <v>Leaf</v>
      </c>
      <c r="C193" s="26" t="s">
        <v>10</v>
      </c>
      <c r="D193" s="24" t="str">
        <f>_xll.DBRW("TM1-S1_DEV:}ElementAttributes_SP_SKU",$F193,D$1)</f>
        <v>Primary</v>
      </c>
      <c r="E193" s="24" t="str">
        <f>_xll.DBRW("TM1-S1_DEV:}ElementAttributes_SP_SKU",$F193,E$1)</f>
        <v>CONTAINER</v>
      </c>
      <c r="F193" s="26" t="s">
        <v>3242</v>
      </c>
      <c r="G193" s="26" t="s">
        <v>800</v>
      </c>
      <c r="H193" s="26" t="s">
        <v>2708</v>
      </c>
      <c r="I193" s="54">
        <f>_xll.DBRW($A$1,$F$14,$F$15,$C193,$A$2,$F193,$G193,$H193,I$1)</f>
        <v>52</v>
      </c>
      <c r="J193" s="25">
        <f>_xll.DBRW($A$1,$F$14,$F$15,$C193,$A$2,$F193,$G193,$H193,J$19)</f>
        <v>19</v>
      </c>
    </row>
    <row r="194" spans="1:10" s="23" customFormat="1" outlineLevel="1" thickBot="1" x14ac:dyDescent="0.3">
      <c r="A194" s="44"/>
      <c r="B194" s="31" t="str">
        <f>IF(_xll.TM1RPTELISCONSOLIDATED($H$20,$H194),IF(_xll.TM1RPTELLEV($H$20,$H194)&lt;=5,_xll.TM1RPTELLEV($H$20,$H194),"Default"),"Leaf")</f>
        <v>Leaf</v>
      </c>
      <c r="C194" s="26" t="s">
        <v>10</v>
      </c>
      <c r="D194" s="24" t="str">
        <f>_xll.DBRW("TM1-S1_DEV:}ElementAttributes_SP_SKU",$F194,D$1)</f>
        <v>Primary</v>
      </c>
      <c r="E194" s="24" t="str">
        <f>_xll.DBRW("TM1-S1_DEV:}ElementAttributes_SP_SKU",$F194,E$1)</f>
        <v>PAPER</v>
      </c>
      <c r="F194" s="26" t="s">
        <v>3243</v>
      </c>
      <c r="G194" s="26" t="s">
        <v>3024</v>
      </c>
      <c r="H194" s="26" t="s">
        <v>2730</v>
      </c>
      <c r="I194" s="54">
        <f>_xll.DBRW($A$1,$F$14,$F$15,$C194,$A$2,$F194,$G194,$H194,I$1)</f>
        <v>0</v>
      </c>
      <c r="J194" s="25">
        <f>_xll.DBRW($A$1,$F$14,$F$15,$C194,$A$2,$F194,$G194,$H194,J$19)</f>
        <v>-1</v>
      </c>
    </row>
    <row r="195" spans="1:10" s="23" customFormat="1" outlineLevel="1" thickBot="1" x14ac:dyDescent="0.3">
      <c r="A195" s="44"/>
      <c r="B195" s="31" t="str">
        <f>IF(_xll.TM1RPTELISCONSOLIDATED($H$20,$H195),IF(_xll.TM1RPTELLEV($H$20,$H195)&lt;=5,_xll.TM1RPTELLEV($H$20,$H195),"Default"),"Leaf")</f>
        <v>Leaf</v>
      </c>
      <c r="C195" s="26" t="s">
        <v>10</v>
      </c>
      <c r="D195" s="24" t="str">
        <f>_xll.DBRW("TM1-S1_DEV:}ElementAttributes_SP_SKU",$F195,D$1)</f>
        <v>Primary</v>
      </c>
      <c r="E195" s="24" t="str">
        <f>_xll.DBRW("TM1-S1_DEV:}ElementAttributes_SP_SKU",$F195,E$1)</f>
        <v>PROTEIN</v>
      </c>
      <c r="F195" s="26" t="s">
        <v>3244</v>
      </c>
      <c r="G195" s="26" t="s">
        <v>801</v>
      </c>
      <c r="H195" s="26" t="s">
        <v>2670</v>
      </c>
      <c r="I195" s="54">
        <f>_xll.DBRW($A$1,$F$14,$F$15,$C195,$A$2,$F195,$G195,$H195,I$1)</f>
        <v>9</v>
      </c>
      <c r="J195" s="25">
        <f>_xll.DBRW($A$1,$F$14,$F$15,$C195,$A$2,$F195,$G195,$H195,J$19)</f>
        <v>37</v>
      </c>
    </row>
    <row r="196" spans="1:10" s="23" customFormat="1" outlineLevel="1" thickBot="1" x14ac:dyDescent="0.3">
      <c r="A196" s="44"/>
      <c r="B196" s="31" t="str">
        <f>IF(_xll.TM1RPTELISCONSOLIDATED($H$20,$H196),IF(_xll.TM1RPTELLEV($H$20,$H196)&lt;=5,_xll.TM1RPTELLEV($H$20,$H196),"Default"),"Leaf")</f>
        <v>Leaf</v>
      </c>
      <c r="C196" s="26" t="s">
        <v>10</v>
      </c>
      <c r="D196" s="24" t="str">
        <f>_xll.DBRW("TM1-S1_DEV:}ElementAttributes_SP_SKU",$F196,D$1)</f>
        <v>Primary</v>
      </c>
      <c r="E196" s="24" t="str">
        <f>_xll.DBRW("TM1-S1_DEV:}ElementAttributes_SP_SKU",$F196,E$1)</f>
        <v>PAD</v>
      </c>
      <c r="F196" s="26" t="s">
        <v>3245</v>
      </c>
      <c r="G196" s="26" t="s">
        <v>802</v>
      </c>
      <c r="H196" s="26" t="s">
        <v>2731</v>
      </c>
      <c r="I196" s="54">
        <f>_xll.DBRW($A$1,$F$14,$F$15,$C196,$A$2,$F196,$G196,$H196,I$1)</f>
        <v>48</v>
      </c>
      <c r="J196" s="25">
        <f>_xll.DBRW($A$1,$F$14,$F$15,$C196,$A$2,$F196,$G196,$H196,J$19)</f>
        <v>24</v>
      </c>
    </row>
    <row r="197" spans="1:10" s="23" customFormat="1" outlineLevel="1" thickBot="1" x14ac:dyDescent="0.3">
      <c r="A197" s="44"/>
      <c r="B197" s="31" t="str">
        <f>IF(_xll.TM1RPTELISCONSOLIDATED($H$20,$H197),IF(_xll.TM1RPTELLEV($H$20,$H197)&lt;=5,_xll.TM1RPTELLEV($H$20,$H197),"Default"),"Leaf")</f>
        <v>Leaf</v>
      </c>
      <c r="C197" s="26" t="s">
        <v>11</v>
      </c>
      <c r="D197" s="24" t="str">
        <f>_xll.DBRW("TM1-S1_DEV:}ElementAttributes_SP_SKU",$F197,D$1)</f>
        <v>Primary</v>
      </c>
      <c r="E197" s="24" t="str">
        <f>_xll.DBRW("TM1-S1_DEV:}ElementAttributes_SP_SKU",$F197,E$1)</f>
        <v>HAM</v>
      </c>
      <c r="F197" s="26" t="s">
        <v>3246</v>
      </c>
      <c r="G197" s="26" t="s">
        <v>803</v>
      </c>
      <c r="H197" s="26" t="s">
        <v>2673</v>
      </c>
      <c r="I197" s="54">
        <f>_xll.DBRW($A$1,$F$14,$F$15,$C197,$A$2,$F197,$G197,$H197,I$1)</f>
        <v>602</v>
      </c>
      <c r="J197" s="25">
        <f>_xll.DBRW($A$1,$F$14,$F$15,$C197,$A$2,$F197,$G197,$H197,J$19)</f>
        <v>7</v>
      </c>
    </row>
    <row r="198" spans="1:10" s="23" customFormat="1" outlineLevel="1" thickBot="1" x14ac:dyDescent="0.3">
      <c r="A198" s="44"/>
      <c r="B198" s="31" t="str">
        <f>IF(_xll.TM1RPTELISCONSOLIDATED($H$20,$H198),IF(_xll.TM1RPTELLEV($H$20,$H198)&lt;=5,_xll.TM1RPTELLEV($H$20,$H198),"Default"),"Leaf")</f>
        <v>Leaf</v>
      </c>
      <c r="C198" s="26" t="s">
        <v>11</v>
      </c>
      <c r="D198" s="24" t="str">
        <f>_xll.DBRW("TM1-S1_DEV:}ElementAttributes_SP_SKU",$F198,D$1)</f>
        <v>Primary</v>
      </c>
      <c r="E198" s="24" t="str">
        <f>_xll.DBRW("TM1-S1_DEV:}ElementAttributes_SP_SKU",$F198,E$1)</f>
        <v>HAM</v>
      </c>
      <c r="F198" s="26" t="s">
        <v>3247</v>
      </c>
      <c r="G198" s="26" t="s">
        <v>804</v>
      </c>
      <c r="H198" s="26" t="s">
        <v>2673</v>
      </c>
      <c r="I198" s="54">
        <f>_xll.DBRW($A$1,$F$14,$F$15,$C198,$A$2,$F198,$G198,$H198,I$1)</f>
        <v>709</v>
      </c>
      <c r="J198" s="25">
        <f>_xll.DBRW($A$1,$F$14,$F$15,$C198,$A$2,$F198,$G198,$H198,J$19)</f>
        <v>8</v>
      </c>
    </row>
    <row r="199" spans="1:10" s="23" customFormat="1" outlineLevel="1" thickBot="1" x14ac:dyDescent="0.3">
      <c r="A199" s="44"/>
      <c r="B199" s="31" t="str">
        <f>IF(_xll.TM1RPTELISCONSOLIDATED($H$20,$H199),IF(_xll.TM1RPTELLEV($H$20,$H199)&lt;=5,_xll.TM1RPTELLEV($H$20,$H199),"Default"),"Leaf")</f>
        <v>Leaf</v>
      </c>
      <c r="C199" s="26" t="s">
        <v>11</v>
      </c>
      <c r="D199" s="24" t="str">
        <f>_xll.DBRW("TM1-S1_DEV:}ElementAttributes_SP_SKU",$F199,D$1)</f>
        <v>Primary</v>
      </c>
      <c r="E199" s="24" t="str">
        <f>_xll.DBRW("TM1-S1_DEV:}ElementAttributes_SP_SKU",$F199,E$1)</f>
        <v>HAM</v>
      </c>
      <c r="F199" s="26" t="s">
        <v>3248</v>
      </c>
      <c r="G199" s="26" t="s">
        <v>805</v>
      </c>
      <c r="H199" s="26" t="s">
        <v>2673</v>
      </c>
      <c r="I199" s="54">
        <f>_xll.DBRW($A$1,$F$14,$F$15,$C199,$A$2,$F199,$G199,$H199,I$1)</f>
        <v>499</v>
      </c>
      <c r="J199" s="25">
        <f>_xll.DBRW($A$1,$F$14,$F$15,$C199,$A$2,$F199,$G199,$H199,J$19)</f>
        <v>7</v>
      </c>
    </row>
    <row r="200" spans="1:10" s="23" customFormat="1" outlineLevel="1" thickBot="1" x14ac:dyDescent="0.3">
      <c r="A200" s="44"/>
      <c r="B200" s="31" t="str">
        <f>IF(_xll.TM1RPTELISCONSOLIDATED($H$20,$H200),IF(_xll.TM1RPTELLEV($H$20,$H200)&lt;=5,_xll.TM1RPTELLEV($H$20,$H200),"Default"),"Leaf")</f>
        <v>Leaf</v>
      </c>
      <c r="C200" s="26" t="s">
        <v>11</v>
      </c>
      <c r="D200" s="24" t="str">
        <f>_xll.DBRW("TM1-S1_DEV:}ElementAttributes_SP_SKU",$F200,D$1)</f>
        <v>Primary</v>
      </c>
      <c r="E200" s="24" t="str">
        <f>_xll.DBRW("TM1-S1_DEV:}ElementAttributes_SP_SKU",$F200,E$1)</f>
        <v>HAM</v>
      </c>
      <c r="F200" s="26" t="s">
        <v>3249</v>
      </c>
      <c r="G200" s="26" t="s">
        <v>806</v>
      </c>
      <c r="H200" s="26" t="s">
        <v>2673</v>
      </c>
      <c r="I200" s="54">
        <f>_xll.DBRW($A$1,$F$14,$F$15,$C200,$A$2,$F200,$G200,$H200,I$1)</f>
        <v>305</v>
      </c>
      <c r="J200" s="25">
        <f>_xll.DBRW($A$1,$F$14,$F$15,$C200,$A$2,$F200,$G200,$H200,J$19)</f>
        <v>5</v>
      </c>
    </row>
    <row r="201" spans="1:10" s="23" customFormat="1" outlineLevel="1" thickBot="1" x14ac:dyDescent="0.3">
      <c r="A201" s="44"/>
      <c r="B201" s="31" t="str">
        <f>IF(_xll.TM1RPTELISCONSOLIDATED($H$20,$H201),IF(_xll.TM1RPTELLEV($H$20,$H201)&lt;=5,_xll.TM1RPTELLEV($H$20,$H201),"Default"),"Leaf")</f>
        <v>Leaf</v>
      </c>
      <c r="C201" s="26" t="s">
        <v>11</v>
      </c>
      <c r="D201" s="24" t="str">
        <f>_xll.DBRW("TM1-S1_DEV:}ElementAttributes_SP_SKU",$F201,D$1)</f>
        <v>Primary</v>
      </c>
      <c r="E201" s="24" t="str">
        <f>_xll.DBRW("TM1-S1_DEV:}ElementAttributes_SP_SKU",$F201,E$1)</f>
        <v>HAM</v>
      </c>
      <c r="F201" s="26" t="s">
        <v>3250</v>
      </c>
      <c r="G201" s="26" t="s">
        <v>807</v>
      </c>
      <c r="H201" s="26" t="s">
        <v>2673</v>
      </c>
      <c r="I201" s="54">
        <f>_xll.DBRW($A$1,$F$14,$F$15,$C201,$A$2,$F201,$G201,$H201,I$1)</f>
        <v>133</v>
      </c>
      <c r="J201" s="25">
        <f>_xll.DBRW($A$1,$F$14,$F$15,$C201,$A$2,$F201,$G201,$H201,J$19)</f>
        <v>0</v>
      </c>
    </row>
    <row r="202" spans="1:10" s="23" customFormat="1" outlineLevel="1" thickBot="1" x14ac:dyDescent="0.3">
      <c r="A202" s="44"/>
      <c r="B202" s="31" t="str">
        <f>IF(_xll.TM1RPTELISCONSOLIDATED($H$20,$H202),IF(_xll.TM1RPTELLEV($H$20,$H202)&lt;=5,_xll.TM1RPTELLEV($H$20,$H202),"Default"),"Leaf")</f>
        <v>Leaf</v>
      </c>
      <c r="C202" s="26" t="s">
        <v>11</v>
      </c>
      <c r="D202" s="24" t="str">
        <f>_xll.DBRW("TM1-S1_DEV:}ElementAttributes_SP_SKU",$F202,D$1)</f>
        <v>Primary</v>
      </c>
      <c r="E202" s="24" t="str">
        <f>_xll.DBRW("TM1-S1_DEV:}ElementAttributes_SP_SKU",$F202,E$1)</f>
        <v>HAM</v>
      </c>
      <c r="F202" s="26" t="s">
        <v>3251</v>
      </c>
      <c r="G202" s="26" t="s">
        <v>808</v>
      </c>
      <c r="H202" s="26" t="s">
        <v>2673</v>
      </c>
      <c r="I202" s="54">
        <f>_xll.DBRW($A$1,$F$14,$F$15,$C202,$A$2,$F202,$G202,$H202,I$1)</f>
        <v>582</v>
      </c>
      <c r="J202" s="25">
        <f>_xll.DBRW($A$1,$F$14,$F$15,$C202,$A$2,$F202,$G202,$H202,J$19)</f>
        <v>7</v>
      </c>
    </row>
    <row r="203" spans="1:10" s="23" customFormat="1" outlineLevel="1" thickBot="1" x14ac:dyDescent="0.3">
      <c r="A203" s="44"/>
      <c r="B203" s="31" t="str">
        <f>IF(_xll.TM1RPTELISCONSOLIDATED($H$20,$H203),IF(_xll.TM1RPTELLEV($H$20,$H203)&lt;=5,_xll.TM1RPTELLEV($H$20,$H203),"Default"),"Leaf")</f>
        <v>Leaf</v>
      </c>
      <c r="C203" s="26" t="s">
        <v>11</v>
      </c>
      <c r="D203" s="24" t="str">
        <f>_xll.DBRW("TM1-S1_DEV:}ElementAttributes_SP_SKU",$F203,D$1)</f>
        <v>Primary</v>
      </c>
      <c r="E203" s="24" t="str">
        <f>_xll.DBRW("TM1-S1_DEV:}ElementAttributes_SP_SKU",$F203,E$1)</f>
        <v>TURKEY</v>
      </c>
      <c r="F203" s="26" t="s">
        <v>3110</v>
      </c>
      <c r="G203" s="26" t="s">
        <v>809</v>
      </c>
      <c r="H203" s="26" t="s">
        <v>2671</v>
      </c>
      <c r="I203" s="54">
        <f>_xll.DBRW($A$1,$F$14,$F$15,$C203,$A$2,$F203,$G203,$H203,I$1)</f>
        <v>244</v>
      </c>
      <c r="J203" s="25">
        <f>_xll.DBRW($A$1,$F$14,$F$15,$C203,$A$2,$F203,$G203,$H203,J$19)</f>
        <v>62</v>
      </c>
    </row>
    <row r="204" spans="1:10" s="23" customFormat="1" outlineLevel="1" thickBot="1" x14ac:dyDescent="0.3">
      <c r="A204" s="44"/>
      <c r="B204" s="31" t="str">
        <f>IF(_xll.TM1RPTELISCONSOLIDATED($H$20,$H204),IF(_xll.TM1RPTELLEV($H$20,$H204)&lt;=5,_xll.TM1RPTELLEV($H$20,$H204),"Default"),"Leaf")</f>
        <v>Leaf</v>
      </c>
      <c r="C204" s="26" t="s">
        <v>11</v>
      </c>
      <c r="D204" s="24" t="str">
        <f>_xll.DBRW("TM1-S1_DEV:}ElementAttributes_SP_SKU",$F204,D$1)</f>
        <v>Primary</v>
      </c>
      <c r="E204" s="24" t="str">
        <f>_xll.DBRW("TM1-S1_DEV:}ElementAttributes_SP_SKU",$F204,E$1)</f>
        <v>TURKEY</v>
      </c>
      <c r="F204" s="26" t="s">
        <v>3111</v>
      </c>
      <c r="G204" s="26" t="s">
        <v>810</v>
      </c>
      <c r="H204" s="26" t="s">
        <v>2671</v>
      </c>
      <c r="I204" s="54">
        <f>_xll.DBRW($A$1,$F$14,$F$15,$C204,$A$2,$F204,$G204,$H204,I$1)</f>
        <v>194</v>
      </c>
      <c r="J204" s="25">
        <f>_xll.DBRW($A$1,$F$14,$F$15,$C204,$A$2,$F204,$G204,$H204,J$19)</f>
        <v>69</v>
      </c>
    </row>
    <row r="205" spans="1:10" s="23" customFormat="1" outlineLevel="1" thickBot="1" x14ac:dyDescent="0.3">
      <c r="A205" s="44"/>
      <c r="B205" s="31" t="str">
        <f>IF(_xll.TM1RPTELISCONSOLIDATED($H$20,$H205),IF(_xll.TM1RPTELLEV($H$20,$H205)&lt;=5,_xll.TM1RPTELLEV($H$20,$H205),"Default"),"Leaf")</f>
        <v>Leaf</v>
      </c>
      <c r="C205" s="26" t="s">
        <v>11</v>
      </c>
      <c r="D205" s="24" t="str">
        <f>_xll.DBRW("TM1-S1_DEV:}ElementAttributes_SP_SKU",$F205,D$1)</f>
        <v>Primary</v>
      </c>
      <c r="E205" s="24" t="str">
        <f>_xll.DBRW("TM1-S1_DEV:}ElementAttributes_SP_SKU",$F205,E$1)</f>
        <v>PROTEIN</v>
      </c>
      <c r="F205" s="26" t="s">
        <v>3112</v>
      </c>
      <c r="G205" s="26" t="s">
        <v>811</v>
      </c>
      <c r="H205" s="26" t="s">
        <v>2672</v>
      </c>
      <c r="I205" s="54">
        <f>_xll.DBRW($A$1,$F$14,$F$15,$C205,$A$2,$F205,$G205,$H205,I$1)</f>
        <v>33</v>
      </c>
      <c r="J205" s="25">
        <f>_xll.DBRW($A$1,$F$14,$F$15,$C205,$A$2,$F205,$G205,$H205,J$19)</f>
        <v>20</v>
      </c>
    </row>
    <row r="206" spans="1:10" s="23" customFormat="1" outlineLevel="1" thickBot="1" x14ac:dyDescent="0.3">
      <c r="A206" s="44"/>
      <c r="B206" s="31" t="str">
        <f>IF(_xll.TM1RPTELISCONSOLIDATED($H$20,$H206),IF(_xll.TM1RPTELLEV($H$20,$H206)&lt;=5,_xll.TM1RPTELLEV($H$20,$H206),"Default"),"Leaf")</f>
        <v>Leaf</v>
      </c>
      <c r="C206" s="26" t="s">
        <v>11</v>
      </c>
      <c r="D206" s="24" t="str">
        <f>_xll.DBRW("TM1-S1_DEV:}ElementAttributes_SP_SKU",$F206,D$1)</f>
        <v>Primary</v>
      </c>
      <c r="E206" s="24" t="str">
        <f>_xll.DBRW("TM1-S1_DEV:}ElementAttributes_SP_SKU",$F206,E$1)</f>
        <v>PROTEIN</v>
      </c>
      <c r="F206" s="26" t="s">
        <v>3114</v>
      </c>
      <c r="G206" s="26" t="s">
        <v>812</v>
      </c>
      <c r="H206" s="26" t="s">
        <v>2672</v>
      </c>
      <c r="I206" s="54">
        <f>_xll.DBRW($A$1,$F$14,$F$15,$C206,$A$2,$F206,$G206,$H206,I$1)</f>
        <v>35</v>
      </c>
      <c r="J206" s="25">
        <f>_xll.DBRW($A$1,$F$14,$F$15,$C206,$A$2,$F206,$G206,$H206,J$19)</f>
        <v>29</v>
      </c>
    </row>
    <row r="207" spans="1:10" s="23" customFormat="1" outlineLevel="1" thickBot="1" x14ac:dyDescent="0.3">
      <c r="A207" s="44"/>
      <c r="B207" s="31" t="str">
        <f>IF(_xll.TM1RPTELISCONSOLIDATED($H$20,$H207),IF(_xll.TM1RPTELLEV($H$20,$H207)&lt;=5,_xll.TM1RPTELLEV($H$20,$H207),"Default"),"Leaf")</f>
        <v>Leaf</v>
      </c>
      <c r="C207" s="26" t="s">
        <v>11</v>
      </c>
      <c r="D207" s="24" t="str">
        <f>_xll.DBRW("TM1-S1_DEV:}ElementAttributes_SP_SKU",$F207,D$1)</f>
        <v>Primary</v>
      </c>
      <c r="E207" s="24" t="str">
        <f>_xll.DBRW("TM1-S1_DEV:}ElementAttributes_SP_SKU",$F207,E$1)</f>
        <v>PROTEIN</v>
      </c>
      <c r="F207" s="26" t="s">
        <v>3115</v>
      </c>
      <c r="G207" s="26" t="s">
        <v>813</v>
      </c>
      <c r="H207" s="26" t="s">
        <v>2672</v>
      </c>
      <c r="I207" s="54">
        <f>_xll.DBRW($A$1,$F$14,$F$15,$C207,$A$2,$F207,$G207,$H207,I$1)</f>
        <v>26</v>
      </c>
      <c r="J207" s="25">
        <f>_xll.DBRW($A$1,$F$14,$F$15,$C207,$A$2,$F207,$G207,$H207,J$19)</f>
        <v>14</v>
      </c>
    </row>
    <row r="208" spans="1:10" s="23" customFormat="1" outlineLevel="1" thickBot="1" x14ac:dyDescent="0.3">
      <c r="A208" s="44"/>
      <c r="B208" s="31" t="str">
        <f>IF(_xll.TM1RPTELISCONSOLIDATED($H$20,$H208),IF(_xll.TM1RPTELLEV($H$20,$H208)&lt;=5,_xll.TM1RPTELLEV($H$20,$H208),"Default"),"Leaf")</f>
        <v>Leaf</v>
      </c>
      <c r="C208" s="26" t="s">
        <v>11</v>
      </c>
      <c r="D208" s="24" t="str">
        <f>_xll.DBRW("TM1-S1_DEV:}ElementAttributes_SP_SKU",$F208,D$1)</f>
        <v>Primary</v>
      </c>
      <c r="E208" s="24" t="str">
        <f>_xll.DBRW("TM1-S1_DEV:}ElementAttributes_SP_SKU",$F208,E$1)</f>
        <v>SOUP</v>
      </c>
      <c r="F208" s="26" t="s">
        <v>3116</v>
      </c>
      <c r="G208" s="26" t="s">
        <v>814</v>
      </c>
      <c r="H208" s="26" t="s">
        <v>2674</v>
      </c>
      <c r="I208" s="54">
        <f>_xll.DBRW($A$1,$F$14,$F$15,$C208,$A$2,$F208,$G208,$H208,I$1)</f>
        <v>38</v>
      </c>
      <c r="J208" s="25">
        <f>_xll.DBRW($A$1,$F$14,$F$15,$C208,$A$2,$F208,$G208,$H208,J$19)</f>
        <v>37</v>
      </c>
    </row>
    <row r="209" spans="1:10" s="23" customFormat="1" outlineLevel="1" thickBot="1" x14ac:dyDescent="0.3">
      <c r="A209" s="44"/>
      <c r="B209" s="31" t="str">
        <f>IF(_xll.TM1RPTELISCONSOLIDATED($H$20,$H209),IF(_xll.TM1RPTELLEV($H$20,$H209)&lt;=5,_xll.TM1RPTELLEV($H$20,$H209),"Default"),"Leaf")</f>
        <v>Leaf</v>
      </c>
      <c r="C209" s="26" t="s">
        <v>11</v>
      </c>
      <c r="D209" s="24" t="str">
        <f>_xll.DBRW("TM1-S1_DEV:}ElementAttributes_SP_SKU",$F209,D$1)</f>
        <v>Primary</v>
      </c>
      <c r="E209" s="24" t="str">
        <f>_xll.DBRW("TM1-S1_DEV:}ElementAttributes_SP_SKU",$F209,E$1)</f>
        <v>SOUP</v>
      </c>
      <c r="F209" s="26" t="s">
        <v>3117</v>
      </c>
      <c r="G209" s="26" t="s">
        <v>815</v>
      </c>
      <c r="H209" s="26" t="s">
        <v>2674</v>
      </c>
      <c r="I209" s="54">
        <f>_xll.DBRW($A$1,$F$14,$F$15,$C209,$A$2,$F209,$G209,$H209,I$1)</f>
        <v>17</v>
      </c>
      <c r="J209" s="25">
        <f>_xll.DBRW($A$1,$F$14,$F$15,$C209,$A$2,$F209,$G209,$H209,J$19)</f>
        <v>17</v>
      </c>
    </row>
    <row r="210" spans="1:10" s="23" customFormat="1" outlineLevel="1" thickBot="1" x14ac:dyDescent="0.3">
      <c r="A210" s="44"/>
      <c r="B210" s="31" t="str">
        <f>IF(_xll.TM1RPTELISCONSOLIDATED($H$20,$H210),IF(_xll.TM1RPTELLEV($H$20,$H210)&lt;=5,_xll.TM1RPTELLEV($H$20,$H210),"Default"),"Leaf")</f>
        <v>Leaf</v>
      </c>
      <c r="C210" s="26" t="s">
        <v>11</v>
      </c>
      <c r="D210" s="24" t="str">
        <f>_xll.DBRW("TM1-S1_DEV:}ElementAttributes_SP_SKU",$F210,D$1)</f>
        <v>Primary</v>
      </c>
      <c r="E210" s="24" t="str">
        <f>_xll.DBRW("TM1-S1_DEV:}ElementAttributes_SP_SKU",$F210,E$1)</f>
        <v>SOUP</v>
      </c>
      <c r="F210" s="26" t="s">
        <v>3118</v>
      </c>
      <c r="G210" s="26" t="s">
        <v>816</v>
      </c>
      <c r="H210" s="26" t="s">
        <v>2674</v>
      </c>
      <c r="I210" s="54">
        <f>_xll.DBRW($A$1,$F$14,$F$15,$C210,$A$2,$F210,$G210,$H210,I$1)</f>
        <v>59</v>
      </c>
      <c r="J210" s="25">
        <f>_xll.DBRW($A$1,$F$14,$F$15,$C210,$A$2,$F210,$G210,$H210,J$19)</f>
        <v>59</v>
      </c>
    </row>
    <row r="211" spans="1:10" s="23" customFormat="1" outlineLevel="1" thickBot="1" x14ac:dyDescent="0.3">
      <c r="A211" s="44"/>
      <c r="B211" s="31" t="str">
        <f>IF(_xll.TM1RPTELISCONSOLIDATED($H$20,$H211),IF(_xll.TM1RPTELLEV($H$20,$H211)&lt;=5,_xll.TM1RPTELLEV($H$20,$H211),"Default"),"Leaf")</f>
        <v>Leaf</v>
      </c>
      <c r="C211" s="26" t="s">
        <v>11</v>
      </c>
      <c r="D211" s="24" t="str">
        <f>_xll.DBRW("TM1-S1_DEV:}ElementAttributes_SP_SKU",$F211,D$1)</f>
        <v>Primary</v>
      </c>
      <c r="E211" s="24" t="str">
        <f>_xll.DBRW("TM1-S1_DEV:}ElementAttributes_SP_SKU",$F211,E$1)</f>
        <v>PROTEIN</v>
      </c>
      <c r="F211" s="26" t="s">
        <v>3119</v>
      </c>
      <c r="G211" s="26" t="s">
        <v>817</v>
      </c>
      <c r="H211" s="26" t="s">
        <v>2670</v>
      </c>
      <c r="I211" s="54">
        <f>_xll.DBRW($A$1,$F$14,$F$15,$C211,$A$2,$F211,$G211,$H211,I$1)</f>
        <v>4</v>
      </c>
      <c r="J211" s="25">
        <f>_xll.DBRW($A$1,$F$14,$F$15,$C211,$A$2,$F211,$G211,$H211,J$19)</f>
        <v>1</v>
      </c>
    </row>
    <row r="212" spans="1:10" s="23" customFormat="1" outlineLevel="1" thickBot="1" x14ac:dyDescent="0.3">
      <c r="A212" s="44"/>
      <c r="B212" s="31" t="str">
        <f>IF(_xll.TM1RPTELISCONSOLIDATED($H$20,$H212),IF(_xll.TM1RPTELLEV($H$20,$H212)&lt;=5,_xll.TM1RPTELLEV($H$20,$H212),"Default"),"Leaf")</f>
        <v>Leaf</v>
      </c>
      <c r="C212" s="26" t="s">
        <v>11</v>
      </c>
      <c r="D212" s="24" t="str">
        <f>_xll.DBRW("TM1-S1_DEV:}ElementAttributes_SP_SKU",$F212,D$1)</f>
        <v>Primary</v>
      </c>
      <c r="E212" s="24" t="str">
        <f>_xll.DBRW("TM1-S1_DEV:}ElementAttributes_SP_SKU",$F212,E$1)</f>
        <v>PROTEIN</v>
      </c>
      <c r="F212" s="26" t="s">
        <v>3120</v>
      </c>
      <c r="G212" s="26" t="s">
        <v>818</v>
      </c>
      <c r="H212" s="26" t="s">
        <v>2670</v>
      </c>
      <c r="I212" s="54">
        <f>_xll.DBRW($A$1,$F$14,$F$15,$C212,$A$2,$F212,$G212,$H212,I$1)</f>
        <v>13</v>
      </c>
      <c r="J212" s="25">
        <f>_xll.DBRW($A$1,$F$14,$F$15,$C212,$A$2,$F212,$G212,$H212,J$19)</f>
        <v>12</v>
      </c>
    </row>
    <row r="213" spans="1:10" s="23" customFormat="1" outlineLevel="1" thickBot="1" x14ac:dyDescent="0.3">
      <c r="A213" s="44"/>
      <c r="B213" s="31" t="str">
        <f>IF(_xll.TM1RPTELISCONSOLIDATED($H$20,$H213),IF(_xll.TM1RPTELLEV($H$20,$H213)&lt;=5,_xll.TM1RPTELLEV($H$20,$H213),"Default"),"Leaf")</f>
        <v>Leaf</v>
      </c>
      <c r="C213" s="26" t="s">
        <v>11</v>
      </c>
      <c r="D213" s="24" t="str">
        <f>_xll.DBRW("TM1-S1_DEV:}ElementAttributes_SP_SKU",$F213,D$1)</f>
        <v>Primary</v>
      </c>
      <c r="E213" s="24" t="str">
        <f>_xll.DBRW("TM1-S1_DEV:}ElementAttributes_SP_SKU",$F213,E$1)</f>
        <v>SOUP</v>
      </c>
      <c r="F213" s="26" t="s">
        <v>3121</v>
      </c>
      <c r="G213" s="26" t="s">
        <v>819</v>
      </c>
      <c r="H213" s="26" t="s">
        <v>2675</v>
      </c>
      <c r="I213" s="54">
        <f>_xll.DBRW($A$1,$F$14,$F$15,$C213,$A$2,$F213,$G213,$H213,I$1)</f>
        <v>14</v>
      </c>
      <c r="J213" s="25">
        <f>_xll.DBRW($A$1,$F$14,$F$15,$C213,$A$2,$F213,$G213,$H213,J$19)</f>
        <v>8</v>
      </c>
    </row>
    <row r="214" spans="1:10" s="23" customFormat="1" outlineLevel="1" thickBot="1" x14ac:dyDescent="0.3">
      <c r="A214" s="44"/>
      <c r="B214" s="31" t="str">
        <f>IF(_xll.TM1RPTELISCONSOLIDATED($H$20,$H214),IF(_xll.TM1RPTELLEV($H$20,$H214)&lt;=5,_xll.TM1RPTELLEV($H$20,$H214),"Default"),"Leaf")</f>
        <v>Leaf</v>
      </c>
      <c r="C214" s="26" t="s">
        <v>11</v>
      </c>
      <c r="D214" s="24" t="str">
        <f>_xll.DBRW("TM1-S1_DEV:}ElementAttributes_SP_SKU",$F214,D$1)</f>
        <v>Primary</v>
      </c>
      <c r="E214" s="24" t="str">
        <f>_xll.DBRW("TM1-S1_DEV:}ElementAttributes_SP_SKU",$F214,E$1)</f>
        <v>SOUP</v>
      </c>
      <c r="F214" s="26" t="s">
        <v>3122</v>
      </c>
      <c r="G214" s="26" t="s">
        <v>820</v>
      </c>
      <c r="H214" s="26" t="s">
        <v>2675</v>
      </c>
      <c r="I214" s="54">
        <f>_xll.DBRW($A$1,$F$14,$F$15,$C214,$A$2,$F214,$G214,$H214,I$1)</f>
        <v>13</v>
      </c>
      <c r="J214" s="25">
        <f>_xll.DBRW($A$1,$F$14,$F$15,$C214,$A$2,$F214,$G214,$H214,J$19)</f>
        <v>9</v>
      </c>
    </row>
    <row r="215" spans="1:10" s="23" customFormat="1" outlineLevel="1" thickBot="1" x14ac:dyDescent="0.3">
      <c r="A215" s="44"/>
      <c r="B215" s="31" t="str">
        <f>IF(_xll.TM1RPTELISCONSOLIDATED($H$20,$H215),IF(_xll.TM1RPTELLEV($H$20,$H215)&lt;=5,_xll.TM1RPTELLEV($H$20,$H215),"Default"),"Leaf")</f>
        <v>Leaf</v>
      </c>
      <c r="C215" s="26" t="s">
        <v>11</v>
      </c>
      <c r="D215" s="24" t="str">
        <f>_xll.DBRW("TM1-S1_DEV:}ElementAttributes_SP_SKU",$F215,D$1)</f>
        <v>Unassigned PSP</v>
      </c>
      <c r="E215" s="24" t="str">
        <f>_xll.DBRW("TM1-S1_DEV:}ElementAttributes_SP_SKU",$F215,E$1)</f>
        <v>SIDES</v>
      </c>
      <c r="F215" s="26" t="s">
        <v>62</v>
      </c>
      <c r="G215" s="26" t="s">
        <v>821</v>
      </c>
      <c r="H215" s="26" t="s">
        <v>2732</v>
      </c>
      <c r="I215" s="54">
        <f>_xll.DBRW($A$1,$F$14,$F$15,$C215,$A$2,$F215,$G215,$H215,I$1)</f>
        <v>22</v>
      </c>
      <c r="J215" s="25">
        <f>_xll.DBRW($A$1,$F$14,$F$15,$C215,$A$2,$F215,$G215,$H215,J$19)</f>
        <v>38</v>
      </c>
    </row>
    <row r="216" spans="1:10" s="23" customFormat="1" outlineLevel="1" thickBot="1" x14ac:dyDescent="0.3">
      <c r="A216" s="44"/>
      <c r="B216" s="31" t="str">
        <f>IF(_xll.TM1RPTELISCONSOLIDATED($H$20,$H216),IF(_xll.TM1RPTELLEV($H$20,$H216)&lt;=5,_xll.TM1RPTELLEV($H$20,$H216),"Default"),"Leaf")</f>
        <v>Leaf</v>
      </c>
      <c r="C216" s="26" t="s">
        <v>11</v>
      </c>
      <c r="D216" s="24" t="str">
        <f>_xll.DBRW("TM1-S1_DEV:}ElementAttributes_SP_SKU",$F216,D$1)</f>
        <v>Primary</v>
      </c>
      <c r="E216" s="24" t="str">
        <f>_xll.DBRW("TM1-S1_DEV:}ElementAttributes_SP_SKU",$F216,E$1)</f>
        <v>SIDES</v>
      </c>
      <c r="F216" s="26" t="s">
        <v>3123</v>
      </c>
      <c r="G216" s="26" t="s">
        <v>822</v>
      </c>
      <c r="H216" s="26" t="s">
        <v>2676</v>
      </c>
      <c r="I216" s="54">
        <f>_xll.DBRW($A$1,$F$14,$F$15,$C216,$A$2,$F216,$G216,$H216,I$1)</f>
        <v>53</v>
      </c>
      <c r="J216" s="25">
        <f>_xll.DBRW($A$1,$F$14,$F$15,$C216,$A$2,$F216,$G216,$H216,J$19)</f>
        <v>34</v>
      </c>
    </row>
    <row r="217" spans="1:10" s="23" customFormat="1" outlineLevel="1" thickBot="1" x14ac:dyDescent="0.3">
      <c r="A217" s="44"/>
      <c r="B217" s="31" t="str">
        <f>IF(_xll.TM1RPTELISCONSOLIDATED($H$20,$H217),IF(_xll.TM1RPTELLEV($H$20,$H217)&lt;=5,_xll.TM1RPTELLEV($H$20,$H217),"Default"),"Leaf")</f>
        <v>Leaf</v>
      </c>
      <c r="C217" s="26" t="s">
        <v>11</v>
      </c>
      <c r="D217" s="24" t="str">
        <f>_xll.DBRW("TM1-S1_DEV:}ElementAttributes_SP_SKU",$F217,D$1)</f>
        <v>Primary</v>
      </c>
      <c r="E217" s="24" t="str">
        <f>_xll.DBRW("TM1-S1_DEV:}ElementAttributes_SP_SKU",$F217,E$1)</f>
        <v>SIDES</v>
      </c>
      <c r="F217" s="26" t="s">
        <v>3124</v>
      </c>
      <c r="G217" s="26" t="s">
        <v>823</v>
      </c>
      <c r="H217" s="26" t="s">
        <v>2676</v>
      </c>
      <c r="I217" s="54">
        <f>_xll.DBRW($A$1,$F$14,$F$15,$C217,$A$2,$F217,$G217,$H217,I$1)</f>
        <v>68</v>
      </c>
      <c r="J217" s="25">
        <f>_xll.DBRW($A$1,$F$14,$F$15,$C217,$A$2,$F217,$G217,$H217,J$19)</f>
        <v>33</v>
      </c>
    </row>
    <row r="218" spans="1:10" s="23" customFormat="1" outlineLevel="1" thickBot="1" x14ac:dyDescent="0.3">
      <c r="A218" s="44"/>
      <c r="B218" s="31" t="str">
        <f>IF(_xll.TM1RPTELISCONSOLIDATED($H$20,$H218),IF(_xll.TM1RPTELLEV($H$20,$H218)&lt;=5,_xll.TM1RPTELLEV($H$20,$H218),"Default"),"Leaf")</f>
        <v>Leaf</v>
      </c>
      <c r="C218" s="26" t="s">
        <v>11</v>
      </c>
      <c r="D218" s="24" t="str">
        <f>_xll.DBRW("TM1-S1_DEV:}ElementAttributes_SP_SKU",$F218,D$1)</f>
        <v>Primary</v>
      </c>
      <c r="E218" s="24" t="str">
        <f>_xll.DBRW("TM1-S1_DEV:}ElementAttributes_SP_SKU",$F218,E$1)</f>
        <v>SIDES</v>
      </c>
      <c r="F218" s="26" t="s">
        <v>3125</v>
      </c>
      <c r="G218" s="26" t="s">
        <v>824</v>
      </c>
      <c r="H218" s="26" t="s">
        <v>2676</v>
      </c>
      <c r="I218" s="54">
        <f>_xll.DBRW($A$1,$F$14,$F$15,$C218,$A$2,$F218,$G218,$H218,I$1)</f>
        <v>32</v>
      </c>
      <c r="J218" s="25">
        <f>_xll.DBRW($A$1,$F$14,$F$15,$C218,$A$2,$F218,$G218,$H218,J$19)</f>
        <v>22</v>
      </c>
    </row>
    <row r="219" spans="1:10" s="23" customFormat="1" outlineLevel="1" thickBot="1" x14ac:dyDescent="0.3">
      <c r="A219" s="44"/>
      <c r="B219" s="31" t="str">
        <f>IF(_xll.TM1RPTELISCONSOLIDATED($H$20,$H219),IF(_xll.TM1RPTELLEV($H$20,$H219)&lt;=5,_xll.TM1RPTELLEV($H$20,$H219),"Default"),"Leaf")</f>
        <v>Leaf</v>
      </c>
      <c r="C219" s="26" t="s">
        <v>11</v>
      </c>
      <c r="D219" s="24" t="str">
        <f>_xll.DBRW("TM1-S1_DEV:}ElementAttributes_SP_SKU",$F219,D$1)</f>
        <v>Primary</v>
      </c>
      <c r="E219" s="24" t="str">
        <f>_xll.DBRW("TM1-S1_DEV:}ElementAttributes_SP_SKU",$F219,E$1)</f>
        <v>SIDES</v>
      </c>
      <c r="F219" s="26" t="s">
        <v>3126</v>
      </c>
      <c r="G219" s="26" t="s">
        <v>825</v>
      </c>
      <c r="H219" s="26" t="s">
        <v>2676</v>
      </c>
      <c r="I219" s="54">
        <f>_xll.DBRW($A$1,$F$14,$F$15,$C219,$A$2,$F219,$G219,$H219,I$1)</f>
        <v>44</v>
      </c>
      <c r="J219" s="25">
        <f>_xll.DBRW($A$1,$F$14,$F$15,$C219,$A$2,$F219,$G219,$H219,J$19)</f>
        <v>15</v>
      </c>
    </row>
    <row r="220" spans="1:10" s="23" customFormat="1" outlineLevel="1" thickBot="1" x14ac:dyDescent="0.3">
      <c r="A220" s="44"/>
      <c r="B220" s="31" t="str">
        <f>IF(_xll.TM1RPTELISCONSOLIDATED($H$20,$H220),IF(_xll.TM1RPTELLEV($H$20,$H220)&lt;=5,_xll.TM1RPTELLEV($H$20,$H220),"Default"),"Leaf")</f>
        <v>Leaf</v>
      </c>
      <c r="C220" s="26" t="s">
        <v>11</v>
      </c>
      <c r="D220" s="24" t="str">
        <f>_xll.DBRW("TM1-S1_DEV:}ElementAttributes_SP_SKU",$F220,D$1)</f>
        <v>Primary</v>
      </c>
      <c r="E220" s="24" t="str">
        <f>_xll.DBRW("TM1-S1_DEV:}ElementAttributes_SP_SKU",$F220,E$1)</f>
        <v>SIDES</v>
      </c>
      <c r="F220" s="26" t="s">
        <v>3127</v>
      </c>
      <c r="G220" s="26" t="s">
        <v>826</v>
      </c>
      <c r="H220" s="26" t="s">
        <v>2676</v>
      </c>
      <c r="I220" s="54">
        <f>_xll.DBRW($A$1,$F$14,$F$15,$C220,$A$2,$F220,$G220,$H220,I$1)</f>
        <v>42</v>
      </c>
      <c r="J220" s="25">
        <f>_xll.DBRW($A$1,$F$14,$F$15,$C220,$A$2,$F220,$G220,$H220,J$19)</f>
        <v>13</v>
      </c>
    </row>
    <row r="221" spans="1:10" s="23" customFormat="1" outlineLevel="1" thickBot="1" x14ac:dyDescent="0.3">
      <c r="A221" s="44"/>
      <c r="B221" s="31" t="str">
        <f>IF(_xll.TM1RPTELISCONSOLIDATED($H$20,$H221),IF(_xll.TM1RPTELLEV($H$20,$H221)&lt;=5,_xll.TM1RPTELLEV($H$20,$H221),"Default"),"Leaf")</f>
        <v>Leaf</v>
      </c>
      <c r="C221" s="26" t="s">
        <v>11</v>
      </c>
      <c r="D221" s="24" t="str">
        <f>_xll.DBRW("TM1-S1_DEV:}ElementAttributes_SP_SKU",$F221,D$1)</f>
        <v>Primary</v>
      </c>
      <c r="E221" s="24" t="str">
        <f>_xll.DBRW("TM1-S1_DEV:}ElementAttributes_SP_SKU",$F221,E$1)</f>
        <v>SIDES</v>
      </c>
      <c r="F221" s="26" t="s">
        <v>3128</v>
      </c>
      <c r="G221" s="26" t="s">
        <v>827</v>
      </c>
      <c r="H221" s="26" t="s">
        <v>2676</v>
      </c>
      <c r="I221" s="54">
        <f>_xll.DBRW($A$1,$F$14,$F$15,$C221,$A$2,$F221,$G221,$H221,I$1)</f>
        <v>106</v>
      </c>
      <c r="J221" s="25">
        <f>_xll.DBRW($A$1,$F$14,$F$15,$C221,$A$2,$F221,$G221,$H221,J$19)</f>
        <v>41</v>
      </c>
    </row>
    <row r="222" spans="1:10" s="23" customFormat="1" outlineLevel="1" thickBot="1" x14ac:dyDescent="0.3">
      <c r="A222" s="44"/>
      <c r="B222" s="31" t="str">
        <f>IF(_xll.TM1RPTELISCONSOLIDATED($H$20,$H222),IF(_xll.TM1RPTELLEV($H$20,$H222)&lt;=5,_xll.TM1RPTELLEV($H$20,$H222),"Default"),"Leaf")</f>
        <v>Leaf</v>
      </c>
      <c r="C222" s="26" t="s">
        <v>11</v>
      </c>
      <c r="D222" s="24" t="str">
        <f>_xll.DBRW("TM1-S1_DEV:}ElementAttributes_SP_SKU",$F222,D$1)</f>
        <v>Primary</v>
      </c>
      <c r="E222" s="24" t="str">
        <f>_xll.DBRW("TM1-S1_DEV:}ElementAttributes_SP_SKU",$F222,E$1)</f>
        <v>SIDES</v>
      </c>
      <c r="F222" s="26" t="s">
        <v>3129</v>
      </c>
      <c r="G222" s="26" t="s">
        <v>828</v>
      </c>
      <c r="H222" s="26" t="s">
        <v>2676</v>
      </c>
      <c r="I222" s="54">
        <f>_xll.DBRW($A$1,$F$14,$F$15,$C222,$A$2,$F222,$G222,$H222,I$1)</f>
        <v>69</v>
      </c>
      <c r="J222" s="25">
        <f>_xll.DBRW($A$1,$F$14,$F$15,$C222,$A$2,$F222,$G222,$H222,J$19)</f>
        <v>48</v>
      </c>
    </row>
    <row r="223" spans="1:10" s="23" customFormat="1" outlineLevel="1" thickBot="1" x14ac:dyDescent="0.3">
      <c r="A223" s="44"/>
      <c r="B223" s="31" t="str">
        <f>IF(_xll.TM1RPTELISCONSOLIDATED($H$20,$H223),IF(_xll.TM1RPTELLEV($H$20,$H223)&lt;=5,_xll.TM1RPTELLEV($H$20,$H223),"Default"),"Leaf")</f>
        <v>Leaf</v>
      </c>
      <c r="C223" s="26" t="s">
        <v>11</v>
      </c>
      <c r="D223" s="24" t="str">
        <f>_xll.DBRW("TM1-S1_DEV:}ElementAttributes_SP_SKU",$F223,D$1)</f>
        <v>Primary</v>
      </c>
      <c r="E223" s="24" t="str">
        <f>_xll.DBRW("TM1-S1_DEV:}ElementAttributes_SP_SKU",$F223,E$1)</f>
        <v>SIDES</v>
      </c>
      <c r="F223" s="26" t="s">
        <v>3130</v>
      </c>
      <c r="G223" s="26" t="s">
        <v>829</v>
      </c>
      <c r="H223" s="26" t="s">
        <v>2676</v>
      </c>
      <c r="I223" s="54">
        <f>_xll.DBRW($A$1,$F$14,$F$15,$C223,$A$2,$F223,$G223,$H223,I$1)</f>
        <v>12</v>
      </c>
      <c r="J223" s="25">
        <f>_xll.DBRW($A$1,$F$14,$F$15,$C223,$A$2,$F223,$G223,$H223,J$19)</f>
        <v>5</v>
      </c>
    </row>
    <row r="224" spans="1:10" s="23" customFormat="1" outlineLevel="1" thickBot="1" x14ac:dyDescent="0.3">
      <c r="A224" s="44"/>
      <c r="B224" s="31" t="str">
        <f>IF(_xll.TM1RPTELISCONSOLIDATED($H$20,$H224),IF(_xll.TM1RPTELLEV($H$20,$H224)&lt;=5,_xll.TM1RPTELLEV($H$20,$H224),"Default"),"Leaf")</f>
        <v>Leaf</v>
      </c>
      <c r="C224" s="26" t="s">
        <v>11</v>
      </c>
      <c r="D224" s="24" t="str">
        <f>_xll.DBRW("TM1-S1_DEV:}ElementAttributes_SP_SKU",$F224,D$1)</f>
        <v>Primary</v>
      </c>
      <c r="E224" s="24" t="str">
        <f>_xll.DBRW("TM1-S1_DEV:}ElementAttributes_SP_SKU",$F224,E$1)</f>
        <v>SIDES</v>
      </c>
      <c r="F224" s="26" t="s">
        <v>3131</v>
      </c>
      <c r="G224" s="26" t="s">
        <v>830</v>
      </c>
      <c r="H224" s="26" t="s">
        <v>2676</v>
      </c>
      <c r="I224" s="54">
        <f>_xll.DBRW($A$1,$F$14,$F$15,$C224,$A$2,$F224,$G224,$H224,I$1)</f>
        <v>37</v>
      </c>
      <c r="J224" s="25">
        <f>_xll.DBRW($A$1,$F$14,$F$15,$C224,$A$2,$F224,$G224,$H224,J$19)</f>
        <v>28</v>
      </c>
    </row>
    <row r="225" spans="1:10" s="23" customFormat="1" outlineLevel="1" thickBot="1" x14ac:dyDescent="0.3">
      <c r="A225" s="44"/>
      <c r="B225" s="31" t="str">
        <f>IF(_xll.TM1RPTELISCONSOLIDATED($H$20,$H225),IF(_xll.TM1RPTELLEV($H$20,$H225)&lt;=5,_xll.TM1RPTELLEV($H$20,$H225),"Default"),"Leaf")</f>
        <v>Leaf</v>
      </c>
      <c r="C225" s="26" t="s">
        <v>11</v>
      </c>
      <c r="D225" s="24" t="str">
        <f>_xll.DBRW("TM1-S1_DEV:}ElementAttributes_SP_SKU",$F225,D$1)</f>
        <v>Primary</v>
      </c>
      <c r="E225" s="24" t="str">
        <f>_xll.DBRW("TM1-S1_DEV:}ElementAttributes_SP_SKU",$F225,E$1)</f>
        <v>SIDES</v>
      </c>
      <c r="F225" s="26" t="s">
        <v>3132</v>
      </c>
      <c r="G225" s="26" t="s">
        <v>831</v>
      </c>
      <c r="H225" s="26" t="s">
        <v>2676</v>
      </c>
      <c r="I225" s="54">
        <f>_xll.DBRW($A$1,$F$14,$F$15,$C225,$A$2,$F225,$G225,$H225,I$1)</f>
        <v>97</v>
      </c>
      <c r="J225" s="25">
        <f>_xll.DBRW($A$1,$F$14,$F$15,$C225,$A$2,$F225,$G225,$H225,J$19)</f>
        <v>40</v>
      </c>
    </row>
    <row r="226" spans="1:10" s="23" customFormat="1" outlineLevel="1" thickBot="1" x14ac:dyDescent="0.3">
      <c r="A226" s="44"/>
      <c r="B226" s="31" t="str">
        <f>IF(_xll.TM1RPTELISCONSOLIDATED($H$20,$H226),IF(_xll.TM1RPTELLEV($H$20,$H226)&lt;=5,_xll.TM1RPTELLEV($H$20,$H226),"Default"),"Leaf")</f>
        <v>Leaf</v>
      </c>
      <c r="C226" s="26" t="s">
        <v>11</v>
      </c>
      <c r="D226" s="24" t="str">
        <f>_xll.DBRW("TM1-S1_DEV:}ElementAttributes_SP_SKU",$F226,D$1)</f>
        <v>Primary</v>
      </c>
      <c r="E226" s="24" t="str">
        <f>_xll.DBRW("TM1-S1_DEV:}ElementAttributes_SP_SKU",$F226,E$1)</f>
        <v>DESSERT</v>
      </c>
      <c r="F226" s="26" t="s">
        <v>29</v>
      </c>
      <c r="G226" s="26" t="s">
        <v>832</v>
      </c>
      <c r="H226" s="26" t="s">
        <v>2677</v>
      </c>
      <c r="I226" s="54">
        <f>_xll.DBRW($A$1,$F$14,$F$15,$C226,$A$2,$F226,$G226,$H226,I$1)</f>
        <v>8</v>
      </c>
      <c r="J226" s="25">
        <f>_xll.DBRW($A$1,$F$14,$F$15,$C226,$A$2,$F226,$G226,$H226,J$19)</f>
        <v>7</v>
      </c>
    </row>
    <row r="227" spans="1:10" s="23" customFormat="1" outlineLevel="1" thickBot="1" x14ac:dyDescent="0.3">
      <c r="A227" s="44"/>
      <c r="B227" s="31" t="str">
        <f>IF(_xll.TM1RPTELISCONSOLIDATED($H$20,$H227),IF(_xll.TM1RPTELLEV($H$20,$H227)&lt;=5,_xll.TM1RPTELLEV($H$20,$H227),"Default"),"Leaf")</f>
        <v>Leaf</v>
      </c>
      <c r="C227" s="26" t="s">
        <v>11</v>
      </c>
      <c r="D227" s="24" t="str">
        <f>_xll.DBRW("TM1-S1_DEV:}ElementAttributes_SP_SKU",$F227,D$1)</f>
        <v>Primary</v>
      </c>
      <c r="E227" s="24" t="str">
        <f>_xll.DBRW("TM1-S1_DEV:}ElementAttributes_SP_SKU",$F227,E$1)</f>
        <v>PIE</v>
      </c>
      <c r="F227" s="26" t="s">
        <v>3133</v>
      </c>
      <c r="G227" s="26" t="s">
        <v>833</v>
      </c>
      <c r="H227" s="26" t="s">
        <v>2678</v>
      </c>
      <c r="I227" s="54">
        <f>_xll.DBRW($A$1,$F$14,$F$15,$C227,$A$2,$F227,$G227,$H227,I$1)</f>
        <v>35</v>
      </c>
      <c r="J227" s="25">
        <f>_xll.DBRW($A$1,$F$14,$F$15,$C227,$A$2,$F227,$G227,$H227,J$19)</f>
        <v>23</v>
      </c>
    </row>
    <row r="228" spans="1:10" s="23" customFormat="1" outlineLevel="1" thickBot="1" x14ac:dyDescent="0.3">
      <c r="A228" s="44"/>
      <c r="B228" s="31" t="str">
        <f>IF(_xll.TM1RPTELISCONSOLIDATED($H$20,$H228),IF(_xll.TM1RPTELLEV($H$20,$H228)&lt;=5,_xll.TM1RPTELLEV($H$20,$H228),"Default"),"Leaf")</f>
        <v>Leaf</v>
      </c>
      <c r="C228" s="26" t="s">
        <v>11</v>
      </c>
      <c r="D228" s="24" t="str">
        <f>_xll.DBRW("TM1-S1_DEV:}ElementAttributes_SP_SKU",$F228,D$1)</f>
        <v>Primary</v>
      </c>
      <c r="E228" s="24" t="str">
        <f>_xll.DBRW("TM1-S1_DEV:}ElementAttributes_SP_SKU",$F228,E$1)</f>
        <v>PIE</v>
      </c>
      <c r="F228" s="26" t="s">
        <v>3134</v>
      </c>
      <c r="G228" s="26" t="s">
        <v>834</v>
      </c>
      <c r="H228" s="26" t="s">
        <v>2678</v>
      </c>
      <c r="I228" s="54">
        <f>_xll.DBRW($A$1,$F$14,$F$15,$C228,$A$2,$F228,$G228,$H228,I$1)</f>
        <v>29</v>
      </c>
      <c r="J228" s="25">
        <f>_xll.DBRW($A$1,$F$14,$F$15,$C228,$A$2,$F228,$G228,$H228,J$19)</f>
        <v>20</v>
      </c>
    </row>
    <row r="229" spans="1:10" s="23" customFormat="1" outlineLevel="1" thickBot="1" x14ac:dyDescent="0.3">
      <c r="A229" s="44"/>
      <c r="B229" s="31" t="str">
        <f>IF(_xll.TM1RPTELISCONSOLIDATED($H$20,$H229),IF(_xll.TM1RPTELLEV($H$20,$H229)&lt;=5,_xll.TM1RPTELLEV($H$20,$H229),"Default"),"Leaf")</f>
        <v>Leaf</v>
      </c>
      <c r="C229" s="26" t="s">
        <v>11</v>
      </c>
      <c r="D229" s="24" t="str">
        <f>_xll.DBRW("TM1-S1_DEV:}ElementAttributes_SP_SKU",$F229,D$1)</f>
        <v>Primary</v>
      </c>
      <c r="E229" s="24" t="str">
        <f>_xll.DBRW("TM1-S1_DEV:}ElementAttributes_SP_SKU",$F229,E$1)</f>
        <v>CAKE</v>
      </c>
      <c r="F229" s="26" t="s">
        <v>3135</v>
      </c>
      <c r="G229" s="26" t="s">
        <v>835</v>
      </c>
      <c r="H229" s="26" t="s">
        <v>2679</v>
      </c>
      <c r="I229" s="54">
        <f>_xll.DBRW($A$1,$F$14,$F$15,$C229,$A$2,$F229,$G229,$H229,I$1)</f>
        <v>33</v>
      </c>
      <c r="J229" s="25">
        <f>_xll.DBRW($A$1,$F$14,$F$15,$C229,$A$2,$F229,$G229,$H229,J$19)</f>
        <v>16</v>
      </c>
    </row>
    <row r="230" spans="1:10" s="23" customFormat="1" outlineLevel="1" thickBot="1" x14ac:dyDescent="0.3">
      <c r="A230" s="44"/>
      <c r="B230" s="31" t="str">
        <f>IF(_xll.TM1RPTELISCONSOLIDATED($H$20,$H230),IF(_xll.TM1RPTELLEV($H$20,$H230)&lt;=5,_xll.TM1RPTELLEV($H$20,$H230),"Default"),"Leaf")</f>
        <v>Leaf</v>
      </c>
      <c r="C230" s="26" t="s">
        <v>11</v>
      </c>
      <c r="D230" s="24" t="str">
        <f>_xll.DBRW("TM1-S1_DEV:}ElementAttributes_SP_SKU",$F230,D$1)</f>
        <v>Primary</v>
      </c>
      <c r="E230" s="24" t="str">
        <f>_xll.DBRW("TM1-S1_DEV:}ElementAttributes_SP_SKU",$F230,E$1)</f>
        <v>CAKE</v>
      </c>
      <c r="F230" s="26" t="s">
        <v>3136</v>
      </c>
      <c r="G230" s="26" t="s">
        <v>836</v>
      </c>
      <c r="H230" s="26" t="s">
        <v>2679</v>
      </c>
      <c r="I230" s="54">
        <f>_xll.DBRW($A$1,$F$14,$F$15,$C230,$A$2,$F230,$G230,$H230,I$1)</f>
        <v>20</v>
      </c>
      <c r="J230" s="25">
        <f>_xll.DBRW($A$1,$F$14,$F$15,$C230,$A$2,$F230,$G230,$H230,J$19)</f>
        <v>15</v>
      </c>
    </row>
    <row r="231" spans="1:10" s="23" customFormat="1" outlineLevel="1" thickBot="1" x14ac:dyDescent="0.3">
      <c r="A231" s="44"/>
      <c r="B231" s="31" t="str">
        <f>IF(_xll.TM1RPTELISCONSOLIDATED($H$20,$H231),IF(_xll.TM1RPTELLEV($H$20,$H231)&lt;=5,_xll.TM1RPTELLEV($H$20,$H231),"Default"),"Leaf")</f>
        <v>Leaf</v>
      </c>
      <c r="C231" s="26" t="s">
        <v>11</v>
      </c>
      <c r="D231" s="24" t="str">
        <f>_xll.DBRW("TM1-S1_DEV:}ElementAttributes_SP_SKU",$F231,D$1)</f>
        <v>Primary</v>
      </c>
      <c r="E231" s="24" t="str">
        <f>_xll.DBRW("TM1-S1_DEV:}ElementAttributes_SP_SKU",$F231,E$1)</f>
        <v>CAKE</v>
      </c>
      <c r="F231" s="26" t="s">
        <v>3137</v>
      </c>
      <c r="G231" s="26" t="s">
        <v>837</v>
      </c>
      <c r="H231" s="26" t="s">
        <v>2679</v>
      </c>
      <c r="I231" s="54">
        <f>_xll.DBRW($A$1,$F$14,$F$15,$C231,$A$2,$F231,$G231,$H231,I$1)</f>
        <v>24</v>
      </c>
      <c r="J231" s="25">
        <f>_xll.DBRW($A$1,$F$14,$F$15,$C231,$A$2,$F231,$G231,$H231,J$19)</f>
        <v>7</v>
      </c>
    </row>
    <row r="232" spans="1:10" s="23" customFormat="1" outlineLevel="1" thickBot="1" x14ac:dyDescent="0.3">
      <c r="A232" s="44"/>
      <c r="B232" s="31" t="str">
        <f>IF(_xll.TM1RPTELISCONSOLIDATED($H$20,$H232),IF(_xll.TM1RPTELLEV($H$20,$H232)&lt;=5,_xll.TM1RPTELLEV($H$20,$H232),"Default"),"Leaf")</f>
        <v>Leaf</v>
      </c>
      <c r="C232" s="26" t="s">
        <v>11</v>
      </c>
      <c r="D232" s="24" t="str">
        <f>_xll.DBRW("TM1-S1_DEV:}ElementAttributes_SP_SKU",$F232,D$1)</f>
        <v>Primary</v>
      </c>
      <c r="E232" s="24" t="str">
        <f>_xll.DBRW("TM1-S1_DEV:}ElementAttributes_SP_SKU",$F232,E$1)</f>
        <v>CAKE</v>
      </c>
      <c r="F232" s="26" t="s">
        <v>3138</v>
      </c>
      <c r="G232" s="26" t="s">
        <v>838</v>
      </c>
      <c r="H232" s="26" t="s">
        <v>2680</v>
      </c>
      <c r="I232" s="54">
        <f>_xll.DBRW($A$1,$F$14,$F$15,$C232,$A$2,$F232,$G232,$H232,I$1)</f>
        <v>26</v>
      </c>
      <c r="J232" s="25">
        <f>_xll.DBRW($A$1,$F$14,$F$15,$C232,$A$2,$F232,$G232,$H232,J$19)</f>
        <v>26</v>
      </c>
    </row>
    <row r="233" spans="1:10" s="23" customFormat="1" outlineLevel="1" thickBot="1" x14ac:dyDescent="0.3">
      <c r="A233" s="44"/>
      <c r="B233" s="31" t="str">
        <f>IF(_xll.TM1RPTELISCONSOLIDATED($H$20,$H233),IF(_xll.TM1RPTELLEV($H$20,$H233)&lt;=5,_xll.TM1RPTELLEV($H$20,$H233),"Default"),"Leaf")</f>
        <v>Leaf</v>
      </c>
      <c r="C233" s="26" t="s">
        <v>11</v>
      </c>
      <c r="D233" s="24" t="str">
        <f>_xll.DBRW("TM1-S1_DEV:}ElementAttributes_SP_SKU",$F233,D$1)</f>
        <v>Primary</v>
      </c>
      <c r="E233" s="24" t="str">
        <f>_xll.DBRW("TM1-S1_DEV:}ElementAttributes_SP_SKU",$F233,E$1)</f>
        <v>DESSERT</v>
      </c>
      <c r="F233" s="26" t="s">
        <v>3139</v>
      </c>
      <c r="G233" s="26" t="s">
        <v>839</v>
      </c>
      <c r="H233" s="26" t="s">
        <v>2681</v>
      </c>
      <c r="I233" s="54">
        <f>_xll.DBRW($A$1,$F$14,$F$15,$C233,$A$2,$F233,$G233,$H233,I$1)</f>
        <v>26</v>
      </c>
      <c r="J233" s="25">
        <f>_xll.DBRW($A$1,$F$14,$F$15,$C233,$A$2,$F233,$G233,$H233,J$19)</f>
        <v>17</v>
      </c>
    </row>
    <row r="234" spans="1:10" s="23" customFormat="1" outlineLevel="1" thickBot="1" x14ac:dyDescent="0.3">
      <c r="A234" s="44"/>
      <c r="B234" s="31" t="str">
        <f>IF(_xll.TM1RPTELISCONSOLIDATED($H$20,$H234),IF(_xll.TM1RPTELLEV($H$20,$H234)&lt;=5,_xll.TM1RPTELLEV($H$20,$H234),"Default"),"Leaf")</f>
        <v>Leaf</v>
      </c>
      <c r="C234" s="26" t="s">
        <v>11</v>
      </c>
      <c r="D234" s="24" t="str">
        <f>_xll.DBRW("TM1-S1_DEV:}ElementAttributes_SP_SKU",$F234,D$1)</f>
        <v>Primary</v>
      </c>
      <c r="E234" s="24" t="str">
        <f>_xll.DBRW("TM1-S1_DEV:}ElementAttributes_SP_SKU",$F234,E$1)</f>
        <v>DESSERT</v>
      </c>
      <c r="F234" s="26" t="s">
        <v>3140</v>
      </c>
      <c r="G234" s="26" t="s">
        <v>840</v>
      </c>
      <c r="H234" s="26" t="s">
        <v>2681</v>
      </c>
      <c r="I234" s="54">
        <f>_xll.DBRW($A$1,$F$14,$F$15,$C234,$A$2,$F234,$G234,$H234,I$1)</f>
        <v>32</v>
      </c>
      <c r="J234" s="25">
        <f>_xll.DBRW($A$1,$F$14,$F$15,$C234,$A$2,$F234,$G234,$H234,J$19)</f>
        <v>19</v>
      </c>
    </row>
    <row r="235" spans="1:10" s="23" customFormat="1" outlineLevel="1" thickBot="1" x14ac:dyDescent="0.3">
      <c r="A235" s="44"/>
      <c r="B235" s="31" t="str">
        <f>IF(_xll.TM1RPTELISCONSOLIDATED($H$20,$H235),IF(_xll.TM1RPTELLEV($H$20,$H235)&lt;=5,_xll.TM1RPTELLEV($H$20,$H235),"Default"),"Leaf")</f>
        <v>Leaf</v>
      </c>
      <c r="C235" s="26" t="s">
        <v>11</v>
      </c>
      <c r="D235" s="24" t="str">
        <f>_xll.DBRW("TM1-S1_DEV:}ElementAttributes_SP_SKU",$F235,D$1)</f>
        <v>Primary</v>
      </c>
      <c r="E235" s="24" t="str">
        <f>_xll.DBRW("TM1-S1_DEV:}ElementAttributes_SP_SKU",$F235,E$1)</f>
        <v>CAKE</v>
      </c>
      <c r="F235" s="26" t="s">
        <v>3142</v>
      </c>
      <c r="G235" s="26" t="s">
        <v>841</v>
      </c>
      <c r="H235" s="26" t="s">
        <v>2682</v>
      </c>
      <c r="I235" s="54">
        <f>_xll.DBRW($A$1,$F$14,$F$15,$C235,$A$2,$F235,$G235,$H235,I$1)</f>
        <v>19</v>
      </c>
      <c r="J235" s="25">
        <f>_xll.DBRW($A$1,$F$14,$F$15,$C235,$A$2,$F235,$G235,$H235,J$19)</f>
        <v>11</v>
      </c>
    </row>
    <row r="236" spans="1:10" s="23" customFormat="1" outlineLevel="1" thickBot="1" x14ac:dyDescent="0.3">
      <c r="A236" s="44"/>
      <c r="B236" s="31" t="str">
        <f>IF(_xll.TM1RPTELISCONSOLIDATED($H$20,$H236),IF(_xll.TM1RPTELLEV($H$20,$H236)&lt;=5,_xll.TM1RPTELLEV($H$20,$H236),"Default"),"Leaf")</f>
        <v>Leaf</v>
      </c>
      <c r="C236" s="26" t="s">
        <v>11</v>
      </c>
      <c r="D236" s="24" t="str">
        <f>_xll.DBRW("TM1-S1_DEV:}ElementAttributes_SP_SKU",$F236,D$1)</f>
        <v>Primary</v>
      </c>
      <c r="E236" s="24" t="str">
        <f>_xll.DBRW("TM1-S1_DEV:}ElementAttributes_SP_SKU",$F236,E$1)</f>
        <v>CAKE</v>
      </c>
      <c r="F236" s="26" t="s">
        <v>3143</v>
      </c>
      <c r="G236" s="26" t="s">
        <v>3025</v>
      </c>
      <c r="H236" s="26" t="s">
        <v>2682</v>
      </c>
      <c r="I236" s="54">
        <f>_xll.DBRW($A$1,$F$14,$F$15,$C236,$A$2,$F236,$G236,$H236,I$1)</f>
        <v>0</v>
      </c>
      <c r="J236" s="25">
        <f>_xll.DBRW($A$1,$F$14,$F$15,$C236,$A$2,$F236,$G236,$H236,J$19)</f>
        <v>-2</v>
      </c>
    </row>
    <row r="237" spans="1:10" s="23" customFormat="1" outlineLevel="1" thickBot="1" x14ac:dyDescent="0.3">
      <c r="A237" s="44"/>
      <c r="B237" s="31" t="str">
        <f>IF(_xll.TM1RPTELISCONSOLIDATED($H$20,$H237),IF(_xll.TM1RPTELLEV($H$20,$H237)&lt;=5,_xll.TM1RPTELLEV($H$20,$H237),"Default"),"Leaf")</f>
        <v>Leaf</v>
      </c>
      <c r="C237" s="26" t="s">
        <v>11</v>
      </c>
      <c r="D237" s="24" t="str">
        <f>_xll.DBRW("TM1-S1_DEV:}ElementAttributes_SP_SKU",$F237,D$1)</f>
        <v>Primary</v>
      </c>
      <c r="E237" s="24" t="str">
        <f>_xll.DBRW("TM1-S1_DEV:}ElementAttributes_SP_SKU",$F237,E$1)</f>
        <v>CAKE</v>
      </c>
      <c r="F237" s="26" t="s">
        <v>3146</v>
      </c>
      <c r="G237" s="26" t="s">
        <v>842</v>
      </c>
      <c r="H237" s="26" t="s">
        <v>2680</v>
      </c>
      <c r="I237" s="54">
        <f>_xll.DBRW($A$1,$F$14,$F$15,$C237,$A$2,$F237,$G237,$H237,I$1)</f>
        <v>29</v>
      </c>
      <c r="J237" s="25">
        <f>_xll.DBRW($A$1,$F$14,$F$15,$C237,$A$2,$F237,$G237,$H237,J$19)</f>
        <v>23</v>
      </c>
    </row>
    <row r="238" spans="1:10" s="23" customFormat="1" outlineLevel="1" thickBot="1" x14ac:dyDescent="0.3">
      <c r="A238" s="44"/>
      <c r="B238" s="31" t="str">
        <f>IF(_xll.TM1RPTELISCONSOLIDATED($H$20,$H238),IF(_xll.TM1RPTELLEV($H$20,$H238)&lt;=5,_xll.TM1RPTELLEV($H$20,$H238),"Default"),"Leaf")</f>
        <v>Leaf</v>
      </c>
      <c r="C238" s="26" t="s">
        <v>11</v>
      </c>
      <c r="D238" s="24" t="str">
        <f>_xll.DBRW("TM1-S1_DEV:}ElementAttributes_SP_SKU",$F238,D$1)</f>
        <v>Primary</v>
      </c>
      <c r="E238" s="24" t="str">
        <f>_xll.DBRW("TM1-S1_DEV:}ElementAttributes_SP_SKU",$F238,E$1)</f>
        <v>CONDIMENT</v>
      </c>
      <c r="F238" s="26" t="s">
        <v>3147</v>
      </c>
      <c r="G238" s="26" t="s">
        <v>843</v>
      </c>
      <c r="H238" s="26" t="s">
        <v>2683</v>
      </c>
      <c r="I238" s="54">
        <f>_xll.DBRW($A$1,$F$14,$F$15,$C238,$A$2,$F238,$G238,$H238,I$1)</f>
        <v>11</v>
      </c>
      <c r="J238" s="25">
        <f>_xll.DBRW($A$1,$F$14,$F$15,$C238,$A$2,$F238,$G238,$H238,J$19)</f>
        <v>10</v>
      </c>
    </row>
    <row r="239" spans="1:10" s="23" customFormat="1" outlineLevel="1" thickBot="1" x14ac:dyDescent="0.3">
      <c r="A239" s="44"/>
      <c r="B239" s="31" t="str">
        <f>IF(_xll.TM1RPTELISCONSOLIDATED($H$20,$H239),IF(_xll.TM1RPTELLEV($H$20,$H239)&lt;=5,_xll.TM1RPTELLEV($H$20,$H239),"Default"),"Leaf")</f>
        <v>Leaf</v>
      </c>
      <c r="C239" s="26" t="s">
        <v>11</v>
      </c>
      <c r="D239" s="24" t="str">
        <f>_xll.DBRW("TM1-S1_DEV:}ElementAttributes_SP_SKU",$F239,D$1)</f>
        <v>Primary</v>
      </c>
      <c r="E239" s="24" t="str">
        <f>_xll.DBRW("TM1-S1_DEV:}ElementAttributes_SP_SKU",$F239,E$1)</f>
        <v>CONDIMENT</v>
      </c>
      <c r="F239" s="26" t="s">
        <v>3148</v>
      </c>
      <c r="G239" s="26" t="s">
        <v>844</v>
      </c>
      <c r="H239" s="26" t="s">
        <v>2684</v>
      </c>
      <c r="I239" s="54">
        <f>_xll.DBRW($A$1,$F$14,$F$15,$C239,$A$2,$F239,$G239,$H239,I$1)</f>
        <v>19</v>
      </c>
      <c r="J239" s="25">
        <f>_xll.DBRW($A$1,$F$14,$F$15,$C239,$A$2,$F239,$G239,$H239,J$19)</f>
        <v>33</v>
      </c>
    </row>
    <row r="240" spans="1:10" s="23" customFormat="1" outlineLevel="1" thickBot="1" x14ac:dyDescent="0.3">
      <c r="A240" s="44"/>
      <c r="B240" s="31" t="str">
        <f>IF(_xll.TM1RPTELISCONSOLIDATED($H$20,$H240),IF(_xll.TM1RPTELLEV($H$20,$H240)&lt;=5,_xll.TM1RPTELLEV($H$20,$H240),"Default"),"Leaf")</f>
        <v>Leaf</v>
      </c>
      <c r="C240" s="26" t="s">
        <v>11</v>
      </c>
      <c r="D240" s="24" t="str">
        <f>_xll.DBRW("TM1-S1_DEV:}ElementAttributes_SP_SKU",$F240,D$1)</f>
        <v>Primary</v>
      </c>
      <c r="E240" s="24" t="str">
        <f>_xll.DBRW("TM1-S1_DEV:}ElementAttributes_SP_SKU",$F240,E$1)</f>
        <v>CONDIMENT</v>
      </c>
      <c r="F240" s="26" t="s">
        <v>3149</v>
      </c>
      <c r="G240" s="26" t="s">
        <v>845</v>
      </c>
      <c r="H240" s="26" t="s">
        <v>2684</v>
      </c>
      <c r="I240" s="54">
        <f>_xll.DBRW($A$1,$F$14,$F$15,$C240,$A$2,$F240,$G240,$H240,I$1)</f>
        <v>33</v>
      </c>
      <c r="J240" s="25">
        <f>_xll.DBRW($A$1,$F$14,$F$15,$C240,$A$2,$F240,$G240,$H240,J$19)</f>
        <v>33</v>
      </c>
    </row>
    <row r="241" spans="1:10" s="23" customFormat="1" outlineLevel="1" thickBot="1" x14ac:dyDescent="0.3">
      <c r="A241" s="44"/>
      <c r="B241" s="31" t="str">
        <f>IF(_xll.TM1RPTELISCONSOLIDATED($H$20,$H241),IF(_xll.TM1RPTELLEV($H$20,$H241)&lt;=5,_xll.TM1RPTELLEV($H$20,$H241),"Default"),"Leaf")</f>
        <v>Leaf</v>
      </c>
      <c r="C241" s="26" t="s">
        <v>11</v>
      </c>
      <c r="D241" s="24" t="str">
        <f>_xll.DBRW("TM1-S1_DEV:}ElementAttributes_SP_SKU",$F241,D$1)</f>
        <v>Primary</v>
      </c>
      <c r="E241" s="24" t="str">
        <f>_xll.DBRW("TM1-S1_DEV:}ElementAttributes_SP_SKU",$F241,E$1)</f>
        <v>CONDIMENT</v>
      </c>
      <c r="F241" s="26" t="s">
        <v>3150</v>
      </c>
      <c r="G241" s="26" t="s">
        <v>846</v>
      </c>
      <c r="H241" s="26" t="s">
        <v>2684</v>
      </c>
      <c r="I241" s="54">
        <f>_xll.DBRW($A$1,$F$14,$F$15,$C241,$A$2,$F241,$G241,$H241,I$1)</f>
        <v>44</v>
      </c>
      <c r="J241" s="25">
        <f>_xll.DBRW($A$1,$F$14,$F$15,$C241,$A$2,$F241,$G241,$H241,J$19)</f>
        <v>42</v>
      </c>
    </row>
    <row r="242" spans="1:10" s="23" customFormat="1" outlineLevel="1" thickBot="1" x14ac:dyDescent="0.3">
      <c r="A242" s="44"/>
      <c r="B242" s="31" t="str">
        <f>IF(_xll.TM1RPTELISCONSOLIDATED($H$20,$H242),IF(_xll.TM1RPTELLEV($H$20,$H242)&lt;=5,_xll.TM1RPTELLEV($H$20,$H242),"Default"),"Leaf")</f>
        <v>Leaf</v>
      </c>
      <c r="C242" s="26" t="s">
        <v>11</v>
      </c>
      <c r="D242" s="24" t="str">
        <f>_xll.DBRW("TM1-S1_DEV:}ElementAttributes_SP_SKU",$F242,D$1)</f>
        <v>Primary</v>
      </c>
      <c r="E242" s="24" t="str">
        <f>_xll.DBRW("TM1-S1_DEV:}ElementAttributes_SP_SKU",$F242,E$1)</f>
        <v>CONDIMENT</v>
      </c>
      <c r="F242" s="26" t="s">
        <v>3151</v>
      </c>
      <c r="G242" s="26" t="s">
        <v>847</v>
      </c>
      <c r="H242" s="26" t="s">
        <v>2684</v>
      </c>
      <c r="I242" s="54">
        <f>_xll.DBRW($A$1,$F$14,$F$15,$C242,$A$2,$F242,$G242,$H242,I$1)</f>
        <v>9</v>
      </c>
      <c r="J242" s="25">
        <f>_xll.DBRW($A$1,$F$14,$F$15,$C242,$A$2,$F242,$G242,$H242,J$19)</f>
        <v>8</v>
      </c>
    </row>
    <row r="243" spans="1:10" s="23" customFormat="1" outlineLevel="1" thickBot="1" x14ac:dyDescent="0.3">
      <c r="A243" s="44"/>
      <c r="B243" s="31" t="str">
        <f>IF(_xll.TM1RPTELISCONSOLIDATED($H$20,$H243),IF(_xll.TM1RPTELLEV($H$20,$H243)&lt;=5,_xll.TM1RPTELLEV($H$20,$H243),"Default"),"Leaf")</f>
        <v>Leaf</v>
      </c>
      <c r="C243" s="26" t="s">
        <v>11</v>
      </c>
      <c r="D243" s="24" t="str">
        <f>_xll.DBRW("TM1-S1_DEV:}ElementAttributes_SP_SKU",$F243,D$1)</f>
        <v>Primary</v>
      </c>
      <c r="E243" s="24" t="str">
        <f>_xll.DBRW("TM1-S1_DEV:}ElementAttributes_SP_SKU",$F243,E$1)</f>
        <v>CONDIMENT</v>
      </c>
      <c r="F243" s="26" t="s">
        <v>3152</v>
      </c>
      <c r="G243" s="26" t="s">
        <v>848</v>
      </c>
      <c r="H243" s="26" t="s">
        <v>2684</v>
      </c>
      <c r="I243" s="54">
        <f>_xll.DBRW($A$1,$F$14,$F$15,$C243,$A$2,$F243,$G243,$H243,I$1)</f>
        <v>7</v>
      </c>
      <c r="J243" s="25">
        <f>_xll.DBRW($A$1,$F$14,$F$15,$C243,$A$2,$F243,$G243,$H243,J$19)</f>
        <v>7</v>
      </c>
    </row>
    <row r="244" spans="1:10" s="23" customFormat="1" outlineLevel="1" thickBot="1" x14ac:dyDescent="0.3">
      <c r="A244" s="44"/>
      <c r="B244" s="31" t="str">
        <f>IF(_xll.TM1RPTELISCONSOLIDATED($H$20,$H244),IF(_xll.TM1RPTELLEV($H$20,$H244)&lt;=5,_xll.TM1RPTELLEV($H$20,$H244),"Default"),"Leaf")</f>
        <v>Leaf</v>
      </c>
      <c r="C244" s="26" t="s">
        <v>11</v>
      </c>
      <c r="D244" s="24" t="str">
        <f>_xll.DBRW("TM1-S1_DEV:}ElementAttributes_SP_SKU",$F244,D$1)</f>
        <v>Primary</v>
      </c>
      <c r="E244" s="24" t="str">
        <f>_xll.DBRW("TM1-S1_DEV:}ElementAttributes_SP_SKU",$F244,E$1)</f>
        <v>CONDIMENT</v>
      </c>
      <c r="F244" s="26" t="s">
        <v>3153</v>
      </c>
      <c r="G244" s="26" t="s">
        <v>849</v>
      </c>
      <c r="H244" s="26" t="s">
        <v>2684</v>
      </c>
      <c r="I244" s="54">
        <f>_xll.DBRW($A$1,$F$14,$F$15,$C244,$A$2,$F244,$G244,$H244,I$1)</f>
        <v>35</v>
      </c>
      <c r="J244" s="25">
        <f>_xll.DBRW($A$1,$F$14,$F$15,$C244,$A$2,$F244,$G244,$H244,J$19)</f>
        <v>35</v>
      </c>
    </row>
    <row r="245" spans="1:10" s="23" customFormat="1" outlineLevel="1" thickBot="1" x14ac:dyDescent="0.3">
      <c r="A245" s="44"/>
      <c r="B245" s="31" t="str">
        <f>IF(_xll.TM1RPTELISCONSOLIDATED($H$20,$H245),IF(_xll.TM1RPTELLEV($H$20,$H245)&lt;=5,_xll.TM1RPTELLEV($H$20,$H245),"Default"),"Leaf")</f>
        <v>Leaf</v>
      </c>
      <c r="C245" s="26" t="s">
        <v>11</v>
      </c>
      <c r="D245" s="24" t="str">
        <f>_xll.DBRW("TM1-S1_DEV:}ElementAttributes_SP_SKU",$F245,D$1)</f>
        <v>Primary</v>
      </c>
      <c r="E245" s="24" t="str">
        <f>_xll.DBRW("TM1-S1_DEV:}ElementAttributes_SP_SKU",$F245,E$1)</f>
        <v>CONDIMENT</v>
      </c>
      <c r="F245" s="26" t="s">
        <v>3154</v>
      </c>
      <c r="G245" s="26" t="s">
        <v>850</v>
      </c>
      <c r="H245" s="26" t="s">
        <v>2684</v>
      </c>
      <c r="I245" s="54">
        <f>_xll.DBRW($A$1,$F$14,$F$15,$C245,$A$2,$F245,$G245,$H245,I$1)</f>
        <v>26</v>
      </c>
      <c r="J245" s="25">
        <f>_xll.DBRW($A$1,$F$14,$F$15,$C245,$A$2,$F245,$G245,$H245,J$19)</f>
        <v>24</v>
      </c>
    </row>
    <row r="246" spans="1:10" s="23" customFormat="1" outlineLevel="1" thickBot="1" x14ac:dyDescent="0.3">
      <c r="A246" s="44"/>
      <c r="B246" s="31" t="str">
        <f>IF(_xll.TM1RPTELISCONSOLIDATED($H$20,$H246),IF(_xll.TM1RPTELLEV($H$20,$H246)&lt;=5,_xll.TM1RPTELLEV($H$20,$H246),"Default"),"Leaf")</f>
        <v>Leaf</v>
      </c>
      <c r="C246" s="26" t="s">
        <v>11</v>
      </c>
      <c r="D246" s="24" t="str">
        <f>_xll.DBRW("TM1-S1_DEV:}ElementAttributes_SP_SKU",$F246,D$1)</f>
        <v>Primary</v>
      </c>
      <c r="E246" s="24" t="str">
        <f>_xll.DBRW("TM1-S1_DEV:}ElementAttributes_SP_SKU",$F246,E$1)</f>
        <v>DRESSING</v>
      </c>
      <c r="F246" s="26" t="s">
        <v>3156</v>
      </c>
      <c r="G246" s="26" t="s">
        <v>851</v>
      </c>
      <c r="H246" s="26" t="s">
        <v>2733</v>
      </c>
      <c r="I246" s="54">
        <f>_xll.DBRW($A$1,$F$14,$F$15,$C246,$A$2,$F246,$G246,$H246,I$1)</f>
        <v>31</v>
      </c>
      <c r="J246" s="25">
        <f>_xll.DBRW($A$1,$F$14,$F$15,$C246,$A$2,$F246,$G246,$H246,J$19)</f>
        <v>29</v>
      </c>
    </row>
    <row r="247" spans="1:10" s="23" customFormat="1" outlineLevel="1" thickBot="1" x14ac:dyDescent="0.3">
      <c r="A247" s="44"/>
      <c r="B247" s="31" t="str">
        <f>IF(_xll.TM1RPTELISCONSOLIDATED($H$20,$H247),IF(_xll.TM1RPTELLEV($H$20,$H247)&lt;=5,_xll.TM1RPTELLEV($H$20,$H247),"Default"),"Leaf")</f>
        <v>Leaf</v>
      </c>
      <c r="C247" s="26" t="s">
        <v>11</v>
      </c>
      <c r="D247" s="24" t="str">
        <f>_xll.DBRW("TM1-S1_DEV:}ElementAttributes_SP_SKU",$F247,D$1)</f>
        <v>Primary</v>
      </c>
      <c r="E247" s="24" t="str">
        <f>_xll.DBRW("TM1-S1_DEV:}ElementAttributes_SP_SKU",$F247,E$1)</f>
        <v>BREAD</v>
      </c>
      <c r="F247" s="26" t="s">
        <v>3163</v>
      </c>
      <c r="G247" s="26" t="s">
        <v>852</v>
      </c>
      <c r="H247" s="26" t="s">
        <v>2687</v>
      </c>
      <c r="I247" s="54">
        <f>_xll.DBRW($A$1,$F$14,$F$15,$C247,$A$2,$F247,$G247,$H247,I$1)</f>
        <v>101</v>
      </c>
      <c r="J247" s="25">
        <f>_xll.DBRW($A$1,$F$14,$F$15,$C247,$A$2,$F247,$G247,$H247,J$19)</f>
        <v>83</v>
      </c>
    </row>
    <row r="248" spans="1:10" s="23" customFormat="1" outlineLevel="1" thickBot="1" x14ac:dyDescent="0.3">
      <c r="A248" s="44"/>
      <c r="B248" s="31" t="str">
        <f>IF(_xll.TM1RPTELISCONSOLIDATED($H$20,$H248),IF(_xll.TM1RPTELLEV($H$20,$H248)&lt;=5,_xll.TM1RPTELLEV($H$20,$H248),"Default"),"Leaf")</f>
        <v>Leaf</v>
      </c>
      <c r="C248" s="26" t="s">
        <v>11</v>
      </c>
      <c r="D248" s="24" t="str">
        <f>_xll.DBRW("TM1-S1_DEV:}ElementAttributes_SP_SKU",$F248,D$1)</f>
        <v>Primary</v>
      </c>
      <c r="E248" s="24" t="str">
        <f>_xll.DBRW("TM1-S1_DEV:}ElementAttributes_SP_SKU",$F248,E$1)</f>
        <v>BREAD</v>
      </c>
      <c r="F248" s="26" t="s">
        <v>3164</v>
      </c>
      <c r="G248" s="26" t="s">
        <v>853</v>
      </c>
      <c r="H248" s="26" t="s">
        <v>2687</v>
      </c>
      <c r="I248" s="54">
        <f>_xll.DBRW($A$1,$F$14,$F$15,$C248,$A$2,$F248,$G248,$H248,I$1)</f>
        <v>90</v>
      </c>
      <c r="J248" s="25">
        <f>_xll.DBRW($A$1,$F$14,$F$15,$C248,$A$2,$F248,$G248,$H248,J$19)</f>
        <v>72</v>
      </c>
    </row>
    <row r="249" spans="1:10" s="23" customFormat="1" outlineLevel="1" thickBot="1" x14ac:dyDescent="0.3">
      <c r="A249" s="44"/>
      <c r="B249" s="31" t="str">
        <f>IF(_xll.TM1RPTELISCONSOLIDATED($H$20,$H249),IF(_xll.TM1RPTELLEV($H$20,$H249)&lt;=5,_xll.TM1RPTELLEV($H$20,$H249),"Default"),"Leaf")</f>
        <v>Leaf</v>
      </c>
      <c r="C249" s="26" t="s">
        <v>11</v>
      </c>
      <c r="D249" s="24" t="str">
        <f>_xll.DBRW("TM1-S1_DEV:}ElementAttributes_SP_SKU",$F249,D$1)</f>
        <v>Primary</v>
      </c>
      <c r="E249" s="24" t="str">
        <f>_xll.DBRW("TM1-S1_DEV:}ElementAttributes_SP_SKU",$F249,E$1)</f>
        <v>BREAD</v>
      </c>
      <c r="F249" s="26" t="s">
        <v>3165</v>
      </c>
      <c r="G249" s="26" t="s">
        <v>854</v>
      </c>
      <c r="H249" s="26" t="s">
        <v>2688</v>
      </c>
      <c r="I249" s="54">
        <f>_xll.DBRW($A$1,$F$14,$F$15,$C249,$A$2,$F249,$G249,$H249,I$1)</f>
        <v>159</v>
      </c>
      <c r="J249" s="25">
        <f>_xll.DBRW($A$1,$F$14,$F$15,$C249,$A$2,$F249,$G249,$H249,J$19)</f>
        <v>69</v>
      </c>
    </row>
    <row r="250" spans="1:10" s="23" customFormat="1" outlineLevel="1" thickBot="1" x14ac:dyDescent="0.3">
      <c r="A250" s="44"/>
      <c r="B250" s="31" t="str">
        <f>IF(_xll.TM1RPTELISCONSOLIDATED($H$20,$H250),IF(_xll.TM1RPTELLEV($H$20,$H250)&lt;=5,_xll.TM1RPTELLEV($H$20,$H250),"Default"),"Leaf")</f>
        <v>Leaf</v>
      </c>
      <c r="C250" s="26" t="s">
        <v>11</v>
      </c>
      <c r="D250" s="24" t="str">
        <f>_xll.DBRW("TM1-S1_DEV:}ElementAttributes_SP_SKU",$F250,D$1)</f>
        <v>Primary</v>
      </c>
      <c r="E250" s="24" t="str">
        <f>_xll.DBRW("TM1-S1_DEV:}ElementAttributes_SP_SKU",$F250,E$1)</f>
        <v>BREAD</v>
      </c>
      <c r="F250" s="26" t="s">
        <v>3166</v>
      </c>
      <c r="G250" s="26" t="s">
        <v>855</v>
      </c>
      <c r="H250" s="26" t="s">
        <v>2689</v>
      </c>
      <c r="I250" s="54">
        <f>_xll.DBRW($A$1,$F$14,$F$15,$C250,$A$2,$F250,$G250,$H250,I$1)</f>
        <v>81</v>
      </c>
      <c r="J250" s="25">
        <f>_xll.DBRW($A$1,$F$14,$F$15,$C250,$A$2,$F250,$G250,$H250,J$19)</f>
        <v>57</v>
      </c>
    </row>
    <row r="251" spans="1:10" s="23" customFormat="1" outlineLevel="1" thickBot="1" x14ac:dyDescent="0.3">
      <c r="A251" s="44"/>
      <c r="B251" s="31" t="str">
        <f>IF(_xll.TM1RPTELISCONSOLIDATED($H$20,$H251),IF(_xll.TM1RPTELLEV($H$20,$H251)&lt;=5,_xll.TM1RPTELLEV($H$20,$H251),"Default"),"Leaf")</f>
        <v>Leaf</v>
      </c>
      <c r="C251" s="26" t="s">
        <v>11</v>
      </c>
      <c r="D251" s="24" t="str">
        <f>_xll.DBRW("TM1-S1_DEV:}ElementAttributes_SP_SKU",$F251,D$1)</f>
        <v>Primary</v>
      </c>
      <c r="E251" s="24" t="str">
        <f>_xll.DBRW("TM1-S1_DEV:}ElementAttributes_SP_SKU",$F251,E$1)</f>
        <v>BREAD</v>
      </c>
      <c r="F251" s="26" t="s">
        <v>3167</v>
      </c>
      <c r="G251" s="26" t="s">
        <v>856</v>
      </c>
      <c r="H251" s="26" t="s">
        <v>2688</v>
      </c>
      <c r="I251" s="54">
        <f>_xll.DBRW($A$1,$F$14,$F$15,$C251,$A$2,$F251,$G251,$H251,I$1)</f>
        <v>21</v>
      </c>
      <c r="J251" s="25">
        <f>_xll.DBRW($A$1,$F$14,$F$15,$C251,$A$2,$F251,$G251,$H251,J$19)</f>
        <v>13</v>
      </c>
    </row>
    <row r="252" spans="1:10" s="23" customFormat="1" outlineLevel="1" thickBot="1" x14ac:dyDescent="0.3">
      <c r="A252" s="44"/>
      <c r="B252" s="31" t="str">
        <f>IF(_xll.TM1RPTELISCONSOLIDATED($H$20,$H252),IF(_xll.TM1RPTELLEV($H$20,$H252)&lt;=5,_xll.TM1RPTELLEV($H$20,$H252),"Default"),"Leaf")</f>
        <v>Leaf</v>
      </c>
      <c r="C252" s="26" t="s">
        <v>11</v>
      </c>
      <c r="D252" s="24" t="str">
        <f>_xll.DBRW("TM1-S1_DEV:}ElementAttributes_SP_SKU",$F252,D$1)</f>
        <v>Primary</v>
      </c>
      <c r="E252" s="24" t="str">
        <f>_xll.DBRW("TM1-S1_DEV:}ElementAttributes_SP_SKU",$F252,E$1)</f>
        <v>BREAD</v>
      </c>
      <c r="F252" s="26" t="s">
        <v>3168</v>
      </c>
      <c r="G252" s="26" t="s">
        <v>857</v>
      </c>
      <c r="H252" s="26" t="s">
        <v>2688</v>
      </c>
      <c r="I252" s="54">
        <f>_xll.DBRW($A$1,$F$14,$F$15,$C252,$A$2,$F252,$G252,$H252,I$1)</f>
        <v>14</v>
      </c>
      <c r="J252" s="25">
        <f>_xll.DBRW($A$1,$F$14,$F$15,$C252,$A$2,$F252,$G252,$H252,J$19)</f>
        <v>8</v>
      </c>
    </row>
    <row r="253" spans="1:10" s="23" customFormat="1" outlineLevel="1" thickBot="1" x14ac:dyDescent="0.3">
      <c r="A253" s="44"/>
      <c r="B253" s="31" t="str">
        <f>IF(_xll.TM1RPTELISCONSOLIDATED($H$20,$H253),IF(_xll.TM1RPTELLEV($H$20,$H253)&lt;=5,_xll.TM1RPTELLEV($H$20,$H253),"Default"),"Leaf")</f>
        <v>Leaf</v>
      </c>
      <c r="C253" s="26" t="s">
        <v>11</v>
      </c>
      <c r="D253" s="24" t="str">
        <f>_xll.DBRW("TM1-S1_DEV:}ElementAttributes_SP_SKU",$F253,D$1)</f>
        <v>Primary</v>
      </c>
      <c r="E253" s="24" t="str">
        <f>_xll.DBRW("TM1-S1_DEV:}ElementAttributes_SP_SKU",$F253,E$1)</f>
        <v>BREAD</v>
      </c>
      <c r="F253" s="26" t="s">
        <v>3169</v>
      </c>
      <c r="G253" s="26" t="s">
        <v>858</v>
      </c>
      <c r="H253" s="26" t="s">
        <v>2690</v>
      </c>
      <c r="I253" s="54">
        <f>_xll.DBRW($A$1,$F$14,$F$15,$C253,$A$2,$F253,$G253,$H253,I$1)</f>
        <v>91</v>
      </c>
      <c r="J253" s="25">
        <f>_xll.DBRW($A$1,$F$14,$F$15,$C253,$A$2,$F253,$G253,$H253,J$19)</f>
        <v>80</v>
      </c>
    </row>
    <row r="254" spans="1:10" s="23" customFormat="1" outlineLevel="1" thickBot="1" x14ac:dyDescent="0.3">
      <c r="A254" s="44"/>
      <c r="B254" s="31" t="str">
        <f>IF(_xll.TM1RPTELISCONSOLIDATED($H$20,$H254),IF(_xll.TM1RPTELLEV($H$20,$H254)&lt;=5,_xll.TM1RPTELLEV($H$20,$H254),"Default"),"Leaf")</f>
        <v>Leaf</v>
      </c>
      <c r="C254" s="26" t="s">
        <v>11</v>
      </c>
      <c r="D254" s="24" t="str">
        <f>_xll.DBRW("TM1-S1_DEV:}ElementAttributes_SP_SKU",$F254,D$1)</f>
        <v>Primary</v>
      </c>
      <c r="E254" s="24" t="str">
        <f>_xll.DBRW("TM1-S1_DEV:}ElementAttributes_SP_SKU",$F254,E$1)</f>
        <v>BREAD</v>
      </c>
      <c r="F254" s="26" t="s">
        <v>3170</v>
      </c>
      <c r="G254" s="26" t="s">
        <v>859</v>
      </c>
      <c r="H254" s="26" t="s">
        <v>2690</v>
      </c>
      <c r="I254" s="54">
        <f>_xll.DBRW($A$1,$F$14,$F$15,$C254,$A$2,$F254,$G254,$H254,I$1)</f>
        <v>2</v>
      </c>
      <c r="J254" s="25">
        <f>_xll.DBRW($A$1,$F$14,$F$15,$C254,$A$2,$F254,$G254,$H254,J$19)</f>
        <v>1</v>
      </c>
    </row>
    <row r="255" spans="1:10" s="23" customFormat="1" outlineLevel="1" thickBot="1" x14ac:dyDescent="0.3">
      <c r="A255" s="44"/>
      <c r="B255" s="31" t="str">
        <f>IF(_xll.TM1RPTELISCONSOLIDATED($H$20,$H255),IF(_xll.TM1RPTELLEV($H$20,$H255)&lt;=5,_xll.TM1RPTELLEV($H$20,$H255),"Default"),"Leaf")</f>
        <v>Leaf</v>
      </c>
      <c r="C255" s="26" t="s">
        <v>11</v>
      </c>
      <c r="D255" s="24" t="str">
        <f>_xll.DBRW("TM1-S1_DEV:}ElementAttributes_SP_SKU",$F255,D$1)</f>
        <v>Primary</v>
      </c>
      <c r="E255" s="24" t="str">
        <f>_xll.DBRW("TM1-S1_DEV:}ElementAttributes_SP_SKU",$F255,E$1)</f>
        <v>BREAD</v>
      </c>
      <c r="F255" s="26" t="s">
        <v>3171</v>
      </c>
      <c r="G255" s="26" t="s">
        <v>860</v>
      </c>
      <c r="H255" s="26" t="s">
        <v>2690</v>
      </c>
      <c r="I255" s="54">
        <f>_xll.DBRW($A$1,$F$14,$F$15,$C255,$A$2,$F255,$G255,$H255,I$1)</f>
        <v>7</v>
      </c>
      <c r="J255" s="25">
        <f>_xll.DBRW($A$1,$F$14,$F$15,$C255,$A$2,$F255,$G255,$H255,J$19)</f>
        <v>1</v>
      </c>
    </row>
    <row r="256" spans="1:10" s="23" customFormat="1" outlineLevel="1" thickBot="1" x14ac:dyDescent="0.3">
      <c r="A256" s="44"/>
      <c r="B256" s="31" t="str">
        <f>IF(_xll.TM1RPTELISCONSOLIDATED($H$20,$H256),IF(_xll.TM1RPTELLEV($H$20,$H256)&lt;=5,_xll.TM1RPTELLEV($H$20,$H256),"Default"),"Leaf")</f>
        <v>Leaf</v>
      </c>
      <c r="C256" s="26" t="s">
        <v>11</v>
      </c>
      <c r="D256" s="24" t="str">
        <f>_xll.DBRW("TM1-S1_DEV:}ElementAttributes_SP_SKU",$F256,D$1)</f>
        <v>Primary</v>
      </c>
      <c r="E256" s="24" t="str">
        <f>_xll.DBRW("TM1-S1_DEV:}ElementAttributes_SP_SKU",$F256,E$1)</f>
        <v>BREAD</v>
      </c>
      <c r="F256" s="26" t="s">
        <v>3172</v>
      </c>
      <c r="G256" s="26" t="s">
        <v>861</v>
      </c>
      <c r="H256" s="26" t="s">
        <v>2690</v>
      </c>
      <c r="I256" s="54">
        <f>_xll.DBRW($A$1,$F$14,$F$15,$C256,$A$2,$F256,$G256,$H256,I$1)</f>
        <v>5</v>
      </c>
      <c r="J256" s="25">
        <f>_xll.DBRW($A$1,$F$14,$F$15,$C256,$A$2,$F256,$G256,$H256,J$19)</f>
        <v>0</v>
      </c>
    </row>
    <row r="257" spans="1:10" s="23" customFormat="1" outlineLevel="1" thickBot="1" x14ac:dyDescent="0.3">
      <c r="A257" s="44"/>
      <c r="B257" s="31" t="str">
        <f>IF(_xll.TM1RPTELISCONSOLIDATED($H$20,$H257),IF(_xll.TM1RPTELLEV($H$20,$H257)&lt;=5,_xll.TM1RPTELLEV($H$20,$H257),"Default"),"Leaf")</f>
        <v>Leaf</v>
      </c>
      <c r="C257" s="26" t="s">
        <v>11</v>
      </c>
      <c r="D257" s="24" t="str">
        <f>_xll.DBRW("TM1-S1_DEV:}ElementAttributes_SP_SKU",$F257,D$1)</f>
        <v>Primary</v>
      </c>
      <c r="E257" s="24" t="str">
        <f>_xll.DBRW("TM1-S1_DEV:}ElementAttributes_SP_SKU",$F257,E$1)</f>
        <v>BREAD</v>
      </c>
      <c r="F257" s="26" t="s">
        <v>3252</v>
      </c>
      <c r="G257" s="26" t="s">
        <v>862</v>
      </c>
      <c r="H257" s="26" t="s">
        <v>2691</v>
      </c>
      <c r="I257" s="54">
        <f>_xll.DBRW($A$1,$F$14,$F$15,$C257,$A$2,$F257,$G257,$H257,I$1)</f>
        <v>3</v>
      </c>
      <c r="J257" s="25">
        <f>_xll.DBRW($A$1,$F$14,$F$15,$C257,$A$2,$F257,$G257,$H257,J$19)</f>
        <v>2</v>
      </c>
    </row>
    <row r="258" spans="1:10" s="23" customFormat="1" outlineLevel="1" thickBot="1" x14ac:dyDescent="0.3">
      <c r="A258" s="44"/>
      <c r="B258" s="31" t="str">
        <f>IF(_xll.TM1RPTELISCONSOLIDATED($H$20,$H258),IF(_xll.TM1RPTELLEV($H$20,$H258)&lt;=5,_xll.TM1RPTELLEV($H$20,$H258),"Default"),"Leaf")</f>
        <v>Leaf</v>
      </c>
      <c r="C258" s="26" t="s">
        <v>11</v>
      </c>
      <c r="D258" s="24" t="str">
        <f>_xll.DBRW("TM1-S1_DEV:}ElementAttributes_SP_SKU",$F258,D$1)</f>
        <v>Primary</v>
      </c>
      <c r="E258" s="24" t="str">
        <f>_xll.DBRW("TM1-S1_DEV:}ElementAttributes_SP_SKU",$F258,E$1)</f>
        <v>CHEESE</v>
      </c>
      <c r="F258" s="26" t="s">
        <v>3173</v>
      </c>
      <c r="G258" s="26" t="s">
        <v>863</v>
      </c>
      <c r="H258" s="26" t="s">
        <v>2734</v>
      </c>
      <c r="I258" s="54">
        <f>_xll.DBRW($A$1,$F$14,$F$15,$C258,$A$2,$F258,$G258,$H258,I$1)</f>
        <v>75</v>
      </c>
      <c r="J258" s="25">
        <f>_xll.DBRW($A$1,$F$14,$F$15,$C258,$A$2,$F258,$G258,$H258,J$19)</f>
        <v>118</v>
      </c>
    </row>
    <row r="259" spans="1:10" s="23" customFormat="1" outlineLevel="1" thickBot="1" x14ac:dyDescent="0.3">
      <c r="A259" s="44"/>
      <c r="B259" s="31" t="str">
        <f>IF(_xll.TM1RPTELISCONSOLIDATED($H$20,$H259),IF(_xll.TM1RPTELLEV($H$20,$H259)&lt;=5,_xll.TM1RPTELLEV($H$20,$H259),"Default"),"Leaf")</f>
        <v>Leaf</v>
      </c>
      <c r="C259" s="26" t="s">
        <v>11</v>
      </c>
      <c r="D259" s="24" t="str">
        <f>_xll.DBRW("TM1-S1_DEV:}ElementAttributes_SP_SKU",$F259,D$1)</f>
        <v>Primary</v>
      </c>
      <c r="E259" s="24" t="str">
        <f>_xll.DBRW("TM1-S1_DEV:}ElementAttributes_SP_SKU",$F259,E$1)</f>
        <v>CONDIMENT</v>
      </c>
      <c r="F259" s="26" t="s">
        <v>3174</v>
      </c>
      <c r="G259" s="26" t="s">
        <v>864</v>
      </c>
      <c r="H259" s="26" t="s">
        <v>2684</v>
      </c>
      <c r="I259" s="54">
        <f>_xll.DBRW($A$1,$F$14,$F$15,$C259,$A$2,$F259,$G259,$H259,I$1)</f>
        <v>29</v>
      </c>
      <c r="J259" s="25">
        <f>_xll.DBRW($A$1,$F$14,$F$15,$C259,$A$2,$F259,$G259,$H259,J$19)</f>
        <v>26</v>
      </c>
    </row>
    <row r="260" spans="1:10" s="23" customFormat="1" outlineLevel="1" thickBot="1" x14ac:dyDescent="0.3">
      <c r="A260" s="44"/>
      <c r="B260" s="31" t="str">
        <f>IF(_xll.TM1RPTELISCONSOLIDATED($H$20,$H260),IF(_xll.TM1RPTELLEV($H$20,$H260)&lt;=5,_xll.TM1RPTELLEV($H$20,$H260),"Default"),"Leaf")</f>
        <v>Leaf</v>
      </c>
      <c r="C260" s="26" t="s">
        <v>11</v>
      </c>
      <c r="D260" s="24" t="str">
        <f>_xll.DBRW("TM1-S1_DEV:}ElementAttributes_SP_SKU",$F260,D$1)</f>
        <v>Primary</v>
      </c>
      <c r="E260" s="24" t="str">
        <f>_xll.DBRW("TM1-S1_DEV:}ElementAttributes_SP_SKU",$F260,E$1)</f>
        <v>CONDIMENT</v>
      </c>
      <c r="F260" s="26" t="s">
        <v>3176</v>
      </c>
      <c r="G260" s="26" t="s">
        <v>865</v>
      </c>
      <c r="H260" s="26" t="s">
        <v>2684</v>
      </c>
      <c r="I260" s="54">
        <f>_xll.DBRW($A$1,$F$14,$F$15,$C260,$A$2,$F260,$G260,$H260,I$1)</f>
        <v>8</v>
      </c>
      <c r="J260" s="25">
        <f>_xll.DBRW($A$1,$F$14,$F$15,$C260,$A$2,$F260,$G260,$H260,J$19)</f>
        <v>7</v>
      </c>
    </row>
    <row r="261" spans="1:10" s="23" customFormat="1" outlineLevel="1" thickBot="1" x14ac:dyDescent="0.3">
      <c r="A261" s="44"/>
      <c r="B261" s="31" t="str">
        <f>IF(_xll.TM1RPTELISCONSOLIDATED($H$20,$H261),IF(_xll.TM1RPTELLEV($H$20,$H261)&lt;=5,_xll.TM1RPTELLEV($H$20,$H261),"Default"),"Leaf")</f>
        <v>Leaf</v>
      </c>
      <c r="C261" s="26" t="s">
        <v>11</v>
      </c>
      <c r="D261" s="24" t="str">
        <f>_xll.DBRW("TM1-S1_DEV:}ElementAttributes_SP_SKU",$F261,D$1)</f>
        <v>Primary</v>
      </c>
      <c r="E261" s="24" t="str">
        <f>_xll.DBRW("TM1-S1_DEV:}ElementAttributes_SP_SKU",$F261,E$1)</f>
        <v>CONDIMENT</v>
      </c>
      <c r="F261" s="26" t="s">
        <v>3253</v>
      </c>
      <c r="G261" s="26" t="s">
        <v>866</v>
      </c>
      <c r="H261" s="26" t="s">
        <v>2686</v>
      </c>
      <c r="I261" s="54">
        <f>_xll.DBRW($A$1,$F$14,$F$15,$C261,$A$2,$F261,$G261,$H261,I$1)</f>
        <v>6</v>
      </c>
      <c r="J261" s="25">
        <f>_xll.DBRW($A$1,$F$14,$F$15,$C261,$A$2,$F261,$G261,$H261,J$19)</f>
        <v>15</v>
      </c>
    </row>
    <row r="262" spans="1:10" s="23" customFormat="1" outlineLevel="1" thickBot="1" x14ac:dyDescent="0.3">
      <c r="A262" s="44"/>
      <c r="B262" s="31" t="str">
        <f>IF(_xll.TM1RPTELISCONSOLIDATED($H$20,$H262),IF(_xll.TM1RPTELLEV($H$20,$H262)&lt;=5,_xll.TM1RPTELLEV($H$20,$H262),"Default"),"Leaf")</f>
        <v>Leaf</v>
      </c>
      <c r="C262" s="26" t="s">
        <v>11</v>
      </c>
      <c r="D262" s="24" t="str">
        <f>_xll.DBRW("TM1-S1_DEV:}ElementAttributes_SP_SKU",$F262,D$1)</f>
        <v>Primary</v>
      </c>
      <c r="E262" s="24" t="str">
        <f>_xll.DBRW("TM1-S1_DEV:}ElementAttributes_SP_SKU",$F262,E$1)</f>
        <v>INGREDIENT</v>
      </c>
      <c r="F262" s="26" t="s">
        <v>3177</v>
      </c>
      <c r="G262" s="26" t="s">
        <v>867</v>
      </c>
      <c r="H262" s="26" t="s">
        <v>2686</v>
      </c>
      <c r="I262" s="54">
        <f>_xll.DBRW($A$1,$F$14,$F$15,$C262,$A$2,$F262,$G262,$H262,I$1)</f>
        <v>3</v>
      </c>
      <c r="J262" s="25">
        <f>_xll.DBRW($A$1,$F$14,$F$15,$C262,$A$2,$F262,$G262,$H262,J$19)</f>
        <v>3</v>
      </c>
    </row>
    <row r="263" spans="1:10" s="23" customFormat="1" outlineLevel="1" thickBot="1" x14ac:dyDescent="0.3">
      <c r="A263" s="44"/>
      <c r="B263" s="31" t="str">
        <f>IF(_xll.TM1RPTELISCONSOLIDATED($H$20,$H263),IF(_xll.TM1RPTELLEV($H$20,$H263)&lt;=5,_xll.TM1RPTELLEV($H$20,$H263),"Default"),"Leaf")</f>
        <v>Leaf</v>
      </c>
      <c r="C263" s="26" t="s">
        <v>11</v>
      </c>
      <c r="D263" s="24" t="str">
        <f>_xll.DBRW("TM1-S1_DEV:}ElementAttributes_SP_SKU",$F263,D$1)</f>
        <v>Primary</v>
      </c>
      <c r="E263" s="24" t="str">
        <f>_xll.DBRW("TM1-S1_DEV:}ElementAttributes_SP_SKU",$F263,E$1)</f>
        <v>CONDIMENT</v>
      </c>
      <c r="F263" s="26" t="s">
        <v>3178</v>
      </c>
      <c r="G263" s="26" t="s">
        <v>868</v>
      </c>
      <c r="H263" s="26" t="s">
        <v>2684</v>
      </c>
      <c r="I263" s="54">
        <f>_xll.DBRW($A$1,$F$14,$F$15,$C263,$A$2,$F263,$G263,$H263,I$1)</f>
        <v>6</v>
      </c>
      <c r="J263" s="25">
        <f>_xll.DBRW($A$1,$F$14,$F$15,$C263,$A$2,$F263,$G263,$H263,J$19)</f>
        <v>6</v>
      </c>
    </row>
    <row r="264" spans="1:10" s="23" customFormat="1" outlineLevel="1" thickBot="1" x14ac:dyDescent="0.3">
      <c r="A264" s="44"/>
      <c r="B264" s="31" t="str">
        <f>IF(_xll.TM1RPTELISCONSOLIDATED($H$20,$H264),IF(_xll.TM1RPTELLEV($H$20,$H264)&lt;=5,_xll.TM1RPTELLEV($H$20,$H264),"Default"),"Leaf")</f>
        <v>Leaf</v>
      </c>
      <c r="C264" s="26" t="s">
        <v>11</v>
      </c>
      <c r="D264" s="24" t="str">
        <f>_xll.DBRW("TM1-S1_DEV:}ElementAttributes_SP_SKU",$F264,D$1)</f>
        <v>Primary</v>
      </c>
      <c r="E264" s="24" t="str">
        <f>_xll.DBRW("TM1-S1_DEV:}ElementAttributes_SP_SKU",$F264,E$1)</f>
        <v>CONDIMENT</v>
      </c>
      <c r="F264" s="26" t="s">
        <v>3179</v>
      </c>
      <c r="G264" s="26" t="s">
        <v>869</v>
      </c>
      <c r="H264" s="26" t="s">
        <v>2684</v>
      </c>
      <c r="I264" s="54">
        <f>_xll.DBRW($A$1,$F$14,$F$15,$C264,$A$2,$F264,$G264,$H264,I$1)</f>
        <v>13</v>
      </c>
      <c r="J264" s="25">
        <f>_xll.DBRW($A$1,$F$14,$F$15,$C264,$A$2,$F264,$G264,$H264,J$19)</f>
        <v>13</v>
      </c>
    </row>
    <row r="265" spans="1:10" s="23" customFormat="1" outlineLevel="1" thickBot="1" x14ac:dyDescent="0.3">
      <c r="A265" s="44"/>
      <c r="B265" s="31" t="str">
        <f>IF(_xll.TM1RPTELISCONSOLIDATED($H$20,$H265),IF(_xll.TM1RPTELLEV($H$20,$H265)&lt;=5,_xll.TM1RPTELLEV($H$20,$H265),"Default"),"Leaf")</f>
        <v>Leaf</v>
      </c>
      <c r="C265" s="26" t="s">
        <v>11</v>
      </c>
      <c r="D265" s="24" t="str">
        <f>_xll.DBRW("TM1-S1_DEV:}ElementAttributes_SP_SKU",$F265,D$1)</f>
        <v>Primary</v>
      </c>
      <c r="E265" s="24" t="str">
        <f>_xll.DBRW("TM1-S1_DEV:}ElementAttributes_SP_SKU",$F265,E$1)</f>
        <v>COOKIE</v>
      </c>
      <c r="F265" s="26" t="s">
        <v>3180</v>
      </c>
      <c r="G265" s="26" t="s">
        <v>870</v>
      </c>
      <c r="H265" s="26" t="s">
        <v>2691</v>
      </c>
      <c r="I265" s="54">
        <f>_xll.DBRW($A$1,$F$14,$F$15,$C265,$A$2,$F265,$G265,$H265,I$1)</f>
        <v>96</v>
      </c>
      <c r="J265" s="25">
        <f>_xll.DBRW($A$1,$F$14,$F$15,$C265,$A$2,$F265,$G265,$H265,J$19)</f>
        <v>92</v>
      </c>
    </row>
    <row r="266" spans="1:10" s="23" customFormat="1" outlineLevel="1" thickBot="1" x14ac:dyDescent="0.3">
      <c r="A266" s="44"/>
      <c r="B266" s="31" t="str">
        <f>IF(_xll.TM1RPTELISCONSOLIDATED($H$20,$H266),IF(_xll.TM1RPTELLEV($H$20,$H266)&lt;=5,_xll.TM1RPTELLEV($H$20,$H266),"Default"),"Leaf")</f>
        <v>Leaf</v>
      </c>
      <c r="C266" s="26" t="s">
        <v>11</v>
      </c>
      <c r="D266" s="24" t="str">
        <f>_xll.DBRW("TM1-S1_DEV:}ElementAttributes_SP_SKU",$F266,D$1)</f>
        <v>Primary</v>
      </c>
      <c r="E266" s="24" t="str">
        <f>_xll.DBRW("TM1-S1_DEV:}ElementAttributes_SP_SKU",$F266,E$1)</f>
        <v>COOKIE</v>
      </c>
      <c r="F266" s="26" t="s">
        <v>3181</v>
      </c>
      <c r="G266" s="26" t="s">
        <v>871</v>
      </c>
      <c r="H266" s="26" t="s">
        <v>2691</v>
      </c>
      <c r="I266" s="54">
        <f>_xll.DBRW($A$1,$F$14,$F$15,$C266,$A$2,$F266,$G266,$H266,I$1)</f>
        <v>75</v>
      </c>
      <c r="J266" s="25">
        <f>_xll.DBRW($A$1,$F$14,$F$15,$C266,$A$2,$F266,$G266,$H266,J$19)</f>
        <v>69</v>
      </c>
    </row>
    <row r="267" spans="1:10" s="23" customFormat="1" outlineLevel="1" thickBot="1" x14ac:dyDescent="0.3">
      <c r="A267" s="44"/>
      <c r="B267" s="31" t="str">
        <f>IF(_xll.TM1RPTELISCONSOLIDATED($H$20,$H267),IF(_xll.TM1RPTELLEV($H$20,$H267)&lt;=5,_xll.TM1RPTELLEV($H$20,$H267),"Default"),"Leaf")</f>
        <v>Leaf</v>
      </c>
      <c r="C267" s="26" t="s">
        <v>11</v>
      </c>
      <c r="D267" s="24" t="str">
        <f>_xll.DBRW("TM1-S1_DEV:}ElementAttributes_SP_SKU",$F267,D$1)</f>
        <v>Primary</v>
      </c>
      <c r="E267" s="24" t="str">
        <f>_xll.DBRW("TM1-S1_DEV:}ElementAttributes_SP_SKU",$F267,E$1)</f>
        <v>COOKIE</v>
      </c>
      <c r="F267" s="26" t="s">
        <v>3182</v>
      </c>
      <c r="G267" s="26" t="s">
        <v>872</v>
      </c>
      <c r="H267" s="26" t="s">
        <v>2691</v>
      </c>
      <c r="I267" s="54">
        <f>_xll.DBRW($A$1,$F$14,$F$15,$C267,$A$2,$F267,$G267,$H267,I$1)</f>
        <v>110</v>
      </c>
      <c r="J267" s="25">
        <f>_xll.DBRW($A$1,$F$14,$F$15,$C267,$A$2,$F267,$G267,$H267,J$19)</f>
        <v>104</v>
      </c>
    </row>
    <row r="268" spans="1:10" s="23" customFormat="1" outlineLevel="1" thickBot="1" x14ac:dyDescent="0.3">
      <c r="A268" s="44"/>
      <c r="B268" s="31" t="str">
        <f>IF(_xll.TM1RPTELISCONSOLIDATED($H$20,$H268),IF(_xll.TM1RPTELLEV($H$20,$H268)&lt;=5,_xll.TM1RPTELLEV($H$20,$H268),"Default"),"Leaf")</f>
        <v>Leaf</v>
      </c>
      <c r="C268" s="26" t="s">
        <v>11</v>
      </c>
      <c r="D268" s="24" t="str">
        <f>_xll.DBRW("TM1-S1_DEV:}ElementAttributes_SP_SKU",$F268,D$1)</f>
        <v>Primary</v>
      </c>
      <c r="E268" s="24" t="str">
        <f>_xll.DBRW("TM1-S1_DEV:}ElementAttributes_SP_SKU",$F268,E$1)</f>
        <v>COOKIE</v>
      </c>
      <c r="F268" s="26" t="s">
        <v>3183</v>
      </c>
      <c r="G268" s="26" t="s">
        <v>3026</v>
      </c>
      <c r="H268" s="26" t="s">
        <v>2691</v>
      </c>
      <c r="I268" s="54">
        <f>_xll.DBRW($A$1,$F$14,$F$15,$C268,$A$2,$F268,$G268,$H268,I$1)</f>
        <v>140</v>
      </c>
      <c r="J268" s="25">
        <f>_xll.DBRW($A$1,$F$14,$F$15,$C268,$A$2,$F268,$G268,$H268,J$19)</f>
        <v>136</v>
      </c>
    </row>
    <row r="269" spans="1:10" s="23" customFormat="1" outlineLevel="1" thickBot="1" x14ac:dyDescent="0.3">
      <c r="A269" s="44"/>
      <c r="B269" s="31" t="str">
        <f>IF(_xll.TM1RPTELISCONSOLIDATED($H$20,$H269),IF(_xll.TM1RPTELLEV($H$20,$H269)&lt;=5,_xll.TM1RPTELLEV($H$20,$H269),"Default"),"Leaf")</f>
        <v>Leaf</v>
      </c>
      <c r="C269" s="26" t="s">
        <v>11</v>
      </c>
      <c r="D269" s="24" t="str">
        <f>_xll.DBRW("TM1-S1_DEV:}ElementAttributes_SP_SKU",$F269,D$1)</f>
        <v>Primary</v>
      </c>
      <c r="E269" s="24" t="str">
        <f>_xll.DBRW("TM1-S1_DEV:}ElementAttributes_SP_SKU",$F269,E$1)</f>
        <v>INGREDIENT</v>
      </c>
      <c r="F269" s="26" t="s">
        <v>63</v>
      </c>
      <c r="G269" s="26" t="s">
        <v>873</v>
      </c>
      <c r="H269" s="26" t="s">
        <v>2695</v>
      </c>
      <c r="I269" s="54">
        <f>_xll.DBRW($A$1,$F$14,$F$15,$C269,$A$2,$F269,$G269,$H269,I$1)</f>
        <v>92</v>
      </c>
      <c r="J269" s="25">
        <f>_xll.DBRW($A$1,$F$14,$F$15,$C269,$A$2,$F269,$G269,$H269,J$19)</f>
        <v>90</v>
      </c>
    </row>
    <row r="270" spans="1:10" s="23" customFormat="1" outlineLevel="1" thickBot="1" x14ac:dyDescent="0.3">
      <c r="A270" s="44"/>
      <c r="B270" s="31" t="str">
        <f>IF(_xll.TM1RPTELISCONSOLIDATED($H$20,$H270),IF(_xll.TM1RPTELLEV($H$20,$H270)&lt;=5,_xll.TM1RPTELLEV($H$20,$H270),"Default"),"Leaf")</f>
        <v>Leaf</v>
      </c>
      <c r="C270" s="26" t="s">
        <v>11</v>
      </c>
      <c r="D270" s="24" t="str">
        <f>_xll.DBRW("TM1-S1_DEV:}ElementAttributes_SP_SKU",$F270,D$1)</f>
        <v>Primary</v>
      </c>
      <c r="E270" s="24" t="str">
        <f>_xll.DBRW("TM1-S1_DEV:}ElementAttributes_SP_SKU",$F270,E$1)</f>
        <v>INGREDIENT</v>
      </c>
      <c r="F270" s="26" t="s">
        <v>3185</v>
      </c>
      <c r="G270" s="26" t="s">
        <v>874</v>
      </c>
      <c r="H270" s="26" t="s">
        <v>2693</v>
      </c>
      <c r="I270" s="54">
        <f>_xll.DBRW($A$1,$F$14,$F$15,$C270,$A$2,$F270,$G270,$H270,I$1)</f>
        <v>22</v>
      </c>
      <c r="J270" s="25">
        <f>_xll.DBRW($A$1,$F$14,$F$15,$C270,$A$2,$F270,$G270,$H270,J$19)</f>
        <v>35</v>
      </c>
    </row>
    <row r="271" spans="1:10" s="23" customFormat="1" outlineLevel="1" thickBot="1" x14ac:dyDescent="0.3">
      <c r="A271" s="44"/>
      <c r="B271" s="31" t="str">
        <f>IF(_xll.TM1RPTELISCONSOLIDATED($H$20,$H271),IF(_xll.TM1RPTELLEV($H$20,$H271)&lt;=5,_xll.TM1RPTELLEV($H$20,$H271),"Default"),"Leaf")</f>
        <v>Leaf</v>
      </c>
      <c r="C271" s="26" t="s">
        <v>11</v>
      </c>
      <c r="D271" s="24" t="str">
        <f>_xll.DBRW("TM1-S1_DEV:}ElementAttributes_SP_SKU",$F271,D$1)</f>
        <v>Primary</v>
      </c>
      <c r="E271" s="24" t="str">
        <f>_xll.DBRW("TM1-S1_DEV:}ElementAttributes_SP_SKU",$F271,E$1)</f>
        <v>INGREDIENT</v>
      </c>
      <c r="F271" s="26" t="s">
        <v>3186</v>
      </c>
      <c r="G271" s="26" t="s">
        <v>875</v>
      </c>
      <c r="H271" s="26" t="s">
        <v>2694</v>
      </c>
      <c r="I271" s="54">
        <f>_xll.DBRW($A$1,$F$14,$F$15,$C271,$A$2,$F271,$G271,$H271,I$1)</f>
        <v>15</v>
      </c>
      <c r="J271" s="25">
        <f>_xll.DBRW($A$1,$F$14,$F$15,$C271,$A$2,$F271,$G271,$H271,J$19)</f>
        <v>15</v>
      </c>
    </row>
    <row r="272" spans="1:10" s="23" customFormat="1" outlineLevel="1" thickBot="1" x14ac:dyDescent="0.3">
      <c r="A272" s="44"/>
      <c r="B272" s="31" t="str">
        <f>IF(_xll.TM1RPTELISCONSOLIDATED($H$20,$H272),IF(_xll.TM1RPTELLEV($H$20,$H272)&lt;=5,_xll.TM1RPTELLEV($H$20,$H272),"Default"),"Leaf")</f>
        <v>Leaf</v>
      </c>
      <c r="C272" s="26" t="s">
        <v>11</v>
      </c>
      <c r="D272" s="24" t="str">
        <f>_xll.DBRW("TM1-S1_DEV:}ElementAttributes_SP_SKU",$F272,D$1)</f>
        <v>Primary</v>
      </c>
      <c r="E272" s="24" t="str">
        <f>_xll.DBRW("TM1-S1_DEV:}ElementAttributes_SP_SKU",$F272,E$1)</f>
        <v>INGREDIENT</v>
      </c>
      <c r="F272" s="26" t="s">
        <v>3254</v>
      </c>
      <c r="G272" s="26" t="s">
        <v>876</v>
      </c>
      <c r="H272" s="26" t="s">
        <v>2735</v>
      </c>
      <c r="I272" s="54">
        <f>_xll.DBRW($A$1,$F$14,$F$15,$C272,$A$2,$F272,$G272,$H272,I$1)</f>
        <v>30</v>
      </c>
      <c r="J272" s="25">
        <f>_xll.DBRW($A$1,$F$14,$F$15,$C272,$A$2,$F272,$G272,$H272,J$19)</f>
        <v>59</v>
      </c>
    </row>
    <row r="273" spans="1:10" s="23" customFormat="1" outlineLevel="1" thickBot="1" x14ac:dyDescent="0.3">
      <c r="A273" s="44"/>
      <c r="B273" s="31" t="str">
        <f>IF(_xll.TM1RPTELISCONSOLIDATED($H$20,$H273),IF(_xll.TM1RPTELLEV($H$20,$H273)&lt;=5,_xll.TM1RPTELLEV($H$20,$H273),"Default"),"Leaf")</f>
        <v>Leaf</v>
      </c>
      <c r="C273" s="26" t="s">
        <v>11</v>
      </c>
      <c r="D273" s="24" t="str">
        <f>_xll.DBRW("TM1-S1_DEV:}ElementAttributes_SP_SKU",$F273,D$1)</f>
        <v>Primary</v>
      </c>
      <c r="E273" s="24" t="str">
        <f>_xll.DBRW("TM1-S1_DEV:}ElementAttributes_SP_SKU",$F273,E$1)</f>
        <v>CHIPS</v>
      </c>
      <c r="F273" s="26" t="s">
        <v>64</v>
      </c>
      <c r="G273" s="26" t="s">
        <v>877</v>
      </c>
      <c r="H273" s="26" t="s">
        <v>2736</v>
      </c>
      <c r="I273" s="54">
        <f>_xll.DBRW($A$1,$F$14,$F$15,$C273,$A$2,$F273,$G273,$H273,I$1)</f>
        <v>1</v>
      </c>
      <c r="J273" s="25">
        <f>_xll.DBRW($A$1,$F$14,$F$15,$C273,$A$2,$F273,$G273,$H273,J$19)</f>
        <v>1</v>
      </c>
    </row>
    <row r="274" spans="1:10" s="23" customFormat="1" outlineLevel="1" thickBot="1" x14ac:dyDescent="0.3">
      <c r="A274" s="44"/>
      <c r="B274" s="31" t="str">
        <f>IF(_xll.TM1RPTELISCONSOLIDATED($H$20,$H274),IF(_xll.TM1RPTELLEV($H$20,$H274)&lt;=5,_xll.TM1RPTELLEV($H$20,$H274),"Default"),"Leaf")</f>
        <v>Leaf</v>
      </c>
      <c r="C274" s="26" t="s">
        <v>11</v>
      </c>
      <c r="D274" s="24" t="str">
        <f>_xll.DBRW("TM1-S1_DEV:}ElementAttributes_SP_SKU",$F274,D$1)</f>
        <v>Primary</v>
      </c>
      <c r="E274" s="24" t="str">
        <f>_xll.DBRW("TM1-S1_DEV:}ElementAttributes_SP_SKU",$F274,E$1)</f>
        <v>CHIPS</v>
      </c>
      <c r="F274" s="26" t="s">
        <v>3255</v>
      </c>
      <c r="G274" s="26" t="s">
        <v>878</v>
      </c>
      <c r="H274" s="26" t="s">
        <v>2736</v>
      </c>
      <c r="I274" s="54">
        <f>_xll.DBRW($A$1,$F$14,$F$15,$C274,$A$2,$F274,$G274,$H274,I$1)</f>
        <v>59</v>
      </c>
      <c r="J274" s="25">
        <f>_xll.DBRW($A$1,$F$14,$F$15,$C274,$A$2,$F274,$G274,$H274,J$19)</f>
        <v>68</v>
      </c>
    </row>
    <row r="275" spans="1:10" s="23" customFormat="1" outlineLevel="1" thickBot="1" x14ac:dyDescent="0.3">
      <c r="A275" s="44"/>
      <c r="B275" s="31" t="str">
        <f>IF(_xll.TM1RPTELISCONSOLIDATED($H$20,$H275),IF(_xll.TM1RPTELLEV($H$20,$H275)&lt;=5,_xll.TM1RPTELLEV($H$20,$H275),"Default"),"Leaf")</f>
        <v>Leaf</v>
      </c>
      <c r="C275" s="26" t="s">
        <v>11</v>
      </c>
      <c r="D275" s="24" t="str">
        <f>_xll.DBRW("TM1-S1_DEV:}ElementAttributes_SP_SKU",$F275,D$1)</f>
        <v>Primary</v>
      </c>
      <c r="E275" s="24" t="str">
        <f>_xll.DBRW("TM1-S1_DEV:}ElementAttributes_SP_SKU",$F275,E$1)</f>
        <v>CHIPS</v>
      </c>
      <c r="F275" s="26" t="s">
        <v>3256</v>
      </c>
      <c r="G275" s="26" t="s">
        <v>879</v>
      </c>
      <c r="H275" s="26" t="s">
        <v>2736</v>
      </c>
      <c r="I275" s="54">
        <f>_xll.DBRW($A$1,$F$14,$F$15,$C275,$A$2,$F275,$G275,$H275,I$1)</f>
        <v>52</v>
      </c>
      <c r="J275" s="25">
        <f>_xll.DBRW($A$1,$F$14,$F$15,$C275,$A$2,$F275,$G275,$H275,J$19)</f>
        <v>41</v>
      </c>
    </row>
    <row r="276" spans="1:10" s="23" customFormat="1" outlineLevel="1" thickBot="1" x14ac:dyDescent="0.3">
      <c r="A276" s="44"/>
      <c r="B276" s="31" t="str">
        <f>IF(_xll.TM1RPTELISCONSOLIDATED($H$20,$H276),IF(_xll.TM1RPTELLEV($H$20,$H276)&lt;=5,_xll.TM1RPTELLEV($H$20,$H276),"Default"),"Leaf")</f>
        <v>Leaf</v>
      </c>
      <c r="C276" s="26" t="s">
        <v>11</v>
      </c>
      <c r="D276" s="24" t="str">
        <f>_xll.DBRW("TM1-S1_DEV:}ElementAttributes_SP_SKU",$F276,D$1)</f>
        <v>Primary</v>
      </c>
      <c r="E276" s="24" t="str">
        <f>_xll.DBRW("TM1-S1_DEV:}ElementAttributes_SP_SKU",$F276,E$1)</f>
        <v>CHIPS</v>
      </c>
      <c r="F276" s="26" t="s">
        <v>3257</v>
      </c>
      <c r="G276" s="26" t="s">
        <v>880</v>
      </c>
      <c r="H276" s="26" t="s">
        <v>2736</v>
      </c>
      <c r="I276" s="54">
        <f>_xll.DBRW($A$1,$F$14,$F$15,$C276,$A$2,$F276,$G276,$H276,I$1)</f>
        <v>80</v>
      </c>
      <c r="J276" s="25">
        <f>_xll.DBRW($A$1,$F$14,$F$15,$C276,$A$2,$F276,$G276,$H276,J$19)</f>
        <v>113</v>
      </c>
    </row>
    <row r="277" spans="1:10" s="23" customFormat="1" outlineLevel="1" thickBot="1" x14ac:dyDescent="0.3">
      <c r="A277" s="44"/>
      <c r="B277" s="31" t="str">
        <f>IF(_xll.TM1RPTELISCONSOLIDATED($H$20,$H277),IF(_xll.TM1RPTELLEV($H$20,$H277)&lt;=5,_xll.TM1RPTELLEV($H$20,$H277),"Default"),"Leaf")</f>
        <v>Leaf</v>
      </c>
      <c r="C277" s="26" t="s">
        <v>11</v>
      </c>
      <c r="D277" s="24" t="str">
        <f>_xll.DBRW("TM1-S1_DEV:}ElementAttributes_SP_SKU",$F277,D$1)</f>
        <v>Primary</v>
      </c>
      <c r="E277" s="24" t="str">
        <f>_xll.DBRW("TM1-S1_DEV:}ElementAttributes_SP_SKU",$F277,E$1)</f>
        <v>CHIPS</v>
      </c>
      <c r="F277" s="26" t="s">
        <v>3258</v>
      </c>
      <c r="G277" s="26" t="s">
        <v>881</v>
      </c>
      <c r="H277" s="26" t="s">
        <v>2736</v>
      </c>
      <c r="I277" s="54">
        <f>_xll.DBRW($A$1,$F$14,$F$15,$C277,$A$2,$F277,$G277,$H277,I$1)</f>
        <v>39</v>
      </c>
      <c r="J277" s="25">
        <f>_xll.DBRW($A$1,$F$14,$F$15,$C277,$A$2,$F277,$G277,$H277,J$19)</f>
        <v>55</v>
      </c>
    </row>
    <row r="278" spans="1:10" s="23" customFormat="1" outlineLevel="1" thickBot="1" x14ac:dyDescent="0.3">
      <c r="A278" s="44"/>
      <c r="B278" s="31" t="str">
        <f>IF(_xll.TM1RPTELISCONSOLIDATED($H$20,$H278),IF(_xll.TM1RPTELLEV($H$20,$H278)&lt;=5,_xll.TM1RPTELLEV($H$20,$H278),"Default"),"Leaf")</f>
        <v>Leaf</v>
      </c>
      <c r="C278" s="26" t="s">
        <v>11</v>
      </c>
      <c r="D278" s="24" t="str">
        <f>_xll.DBRW("TM1-S1_DEV:}ElementAttributes_SP_SKU",$F278,D$1)</f>
        <v>Primary</v>
      </c>
      <c r="E278" s="24" t="str">
        <f>_xll.DBRW("TM1-S1_DEV:}ElementAttributes_SP_SKU",$F278,E$1)</f>
        <v>SIDES</v>
      </c>
      <c r="F278" s="26" t="s">
        <v>3188</v>
      </c>
      <c r="G278" s="26" t="s">
        <v>882</v>
      </c>
      <c r="H278" s="26" t="s">
        <v>2686</v>
      </c>
      <c r="I278" s="54">
        <f>_xll.DBRW($A$1,$F$14,$F$15,$C278,$A$2,$F278,$G278,$H278,I$1)</f>
        <v>9</v>
      </c>
      <c r="J278" s="25">
        <f>_xll.DBRW($A$1,$F$14,$F$15,$C278,$A$2,$F278,$G278,$H278,J$19)</f>
        <v>20</v>
      </c>
    </row>
    <row r="279" spans="1:10" s="23" customFormat="1" outlineLevel="1" thickBot="1" x14ac:dyDescent="0.3">
      <c r="A279" s="44"/>
      <c r="B279" s="31" t="str">
        <f>IF(_xll.TM1RPTELISCONSOLIDATED($H$20,$H279),IF(_xll.TM1RPTELLEV($H$20,$H279)&lt;=5,_xll.TM1RPTELLEV($H$20,$H279),"Default"),"Leaf")</f>
        <v>Leaf</v>
      </c>
      <c r="C279" s="26" t="s">
        <v>11</v>
      </c>
      <c r="D279" s="24" t="str">
        <f>_xll.DBRW("TM1-S1_DEV:}ElementAttributes_SP_SKU",$F279,D$1)</f>
        <v>Primary</v>
      </c>
      <c r="E279" s="24" t="str">
        <f>_xll.DBRW("TM1-S1_DEV:}ElementAttributes_SP_SKU",$F279,E$1)</f>
        <v>CONDIMENT</v>
      </c>
      <c r="F279" s="26" t="s">
        <v>3189</v>
      </c>
      <c r="G279" s="26" t="s">
        <v>883</v>
      </c>
      <c r="H279" s="26" t="s">
        <v>2686</v>
      </c>
      <c r="I279" s="54">
        <f>_xll.DBRW($A$1,$F$14,$F$15,$C279,$A$2,$F279,$G279,$H279,I$1)</f>
        <v>85</v>
      </c>
      <c r="J279" s="25">
        <f>_xll.DBRW($A$1,$F$14,$F$15,$C279,$A$2,$F279,$G279,$H279,J$19)</f>
        <v>153</v>
      </c>
    </row>
    <row r="280" spans="1:10" s="23" customFormat="1" outlineLevel="1" thickBot="1" x14ac:dyDescent="0.3">
      <c r="A280" s="44"/>
      <c r="B280" s="31" t="str">
        <f>IF(_xll.TM1RPTELISCONSOLIDATED($H$20,$H280),IF(_xll.TM1RPTELLEV($H$20,$H280)&lt;=5,_xll.TM1RPTELLEV($H$20,$H280),"Default"),"Leaf")</f>
        <v>Leaf</v>
      </c>
      <c r="C280" s="26" t="s">
        <v>11</v>
      </c>
      <c r="D280" s="24" t="str">
        <f>_xll.DBRW("TM1-S1_DEV:}ElementAttributes_SP_SKU",$F280,D$1)</f>
        <v>Primary</v>
      </c>
      <c r="E280" s="24" t="str">
        <f>_xll.DBRW("TM1-S1_DEV:}ElementAttributes_SP_SKU",$F280,E$1)</f>
        <v>INGREDIENT</v>
      </c>
      <c r="F280" s="26" t="s">
        <v>3190</v>
      </c>
      <c r="G280" s="26" t="s">
        <v>884</v>
      </c>
      <c r="H280" s="26" t="s">
        <v>2696</v>
      </c>
      <c r="I280" s="54">
        <f>_xll.DBRW($A$1,$F$14,$F$15,$C280,$A$2,$F280,$G280,$H280,I$1)</f>
        <v>14</v>
      </c>
      <c r="J280" s="25">
        <f>_xll.DBRW($A$1,$F$14,$F$15,$C280,$A$2,$F280,$G280,$H280,J$19)</f>
        <v>22</v>
      </c>
    </row>
    <row r="281" spans="1:10" s="23" customFormat="1" outlineLevel="1" thickBot="1" x14ac:dyDescent="0.3">
      <c r="A281" s="44"/>
      <c r="B281" s="31" t="str">
        <f>IF(_xll.TM1RPTELISCONSOLIDATED($H$20,$H281),IF(_xll.TM1RPTELLEV($H$20,$H281)&lt;=5,_xll.TM1RPTELLEV($H$20,$H281),"Default"),"Leaf")</f>
        <v>Leaf</v>
      </c>
      <c r="C281" s="26" t="s">
        <v>11</v>
      </c>
      <c r="D281" s="24" t="str">
        <f>_xll.DBRW("TM1-S1_DEV:}ElementAttributes_SP_SKU",$F281,D$1)</f>
        <v>Primary</v>
      </c>
      <c r="E281" s="24" t="str">
        <f>_xll.DBRW("TM1-S1_DEV:}ElementAttributes_SP_SKU",$F281,E$1)</f>
        <v>INGREDIENT</v>
      </c>
      <c r="F281" s="26" t="s">
        <v>3191</v>
      </c>
      <c r="G281" s="26" t="s">
        <v>885</v>
      </c>
      <c r="H281" s="26" t="s">
        <v>2697</v>
      </c>
      <c r="I281" s="54">
        <f>_xll.DBRW($A$1,$F$14,$F$15,$C281,$A$2,$F281,$G281,$H281,I$1)</f>
        <v>22</v>
      </c>
      <c r="J281" s="25">
        <f>_xll.DBRW($A$1,$F$14,$F$15,$C281,$A$2,$F281,$G281,$H281,J$19)</f>
        <v>36</v>
      </c>
    </row>
    <row r="282" spans="1:10" s="23" customFormat="1" outlineLevel="1" thickBot="1" x14ac:dyDescent="0.3">
      <c r="A282" s="44"/>
      <c r="B282" s="31" t="str">
        <f>IF(_xll.TM1RPTELISCONSOLIDATED($H$20,$H282),IF(_xll.TM1RPTELLEV($H$20,$H282)&lt;=5,_xll.TM1RPTELLEV($H$20,$H282),"Default"),"Leaf")</f>
        <v>Leaf</v>
      </c>
      <c r="C282" s="26" t="s">
        <v>11</v>
      </c>
      <c r="D282" s="24" t="str">
        <f>_xll.DBRW("TM1-S1_DEV:}ElementAttributes_SP_SKU",$F282,D$1)</f>
        <v>Primary</v>
      </c>
      <c r="E282" s="24" t="str">
        <f>_xll.DBRW("TM1-S1_DEV:}ElementAttributes_SP_SKU",$F282,E$1)</f>
        <v>INGREDIENT</v>
      </c>
      <c r="F282" s="26" t="s">
        <v>3192</v>
      </c>
      <c r="G282" s="26" t="s">
        <v>886</v>
      </c>
      <c r="H282" s="26" t="s">
        <v>2698</v>
      </c>
      <c r="I282" s="54">
        <f>_xll.DBRW($A$1,$F$14,$F$15,$C282,$A$2,$F282,$G282,$H282,I$1)</f>
        <v>7</v>
      </c>
      <c r="J282" s="25">
        <f>_xll.DBRW($A$1,$F$14,$F$15,$C282,$A$2,$F282,$G282,$H282,J$19)</f>
        <v>6</v>
      </c>
    </row>
    <row r="283" spans="1:10" s="23" customFormat="1" outlineLevel="1" thickBot="1" x14ac:dyDescent="0.3">
      <c r="A283" s="44"/>
      <c r="B283" s="31" t="str">
        <f>IF(_xll.TM1RPTELISCONSOLIDATED($H$20,$H283),IF(_xll.TM1RPTELLEV($H$20,$H283)&lt;=5,_xll.TM1RPTELLEV($H$20,$H283),"Default"),"Leaf")</f>
        <v>Leaf</v>
      </c>
      <c r="C283" s="26" t="s">
        <v>11</v>
      </c>
      <c r="D283" s="24" t="str">
        <f>_xll.DBRW("TM1-S1_DEV:}ElementAttributes_SP_SKU",$F283,D$1)</f>
        <v>Primary</v>
      </c>
      <c r="E283" s="24" t="str">
        <f>_xll.DBRW("TM1-S1_DEV:}ElementAttributes_SP_SKU",$F283,E$1)</f>
        <v>INGREDIENT</v>
      </c>
      <c r="F283" s="26" t="s">
        <v>3193</v>
      </c>
      <c r="G283" s="26" t="s">
        <v>887</v>
      </c>
      <c r="H283" s="26" t="s">
        <v>2699</v>
      </c>
      <c r="I283" s="54">
        <f>_xll.DBRW($A$1,$F$14,$F$15,$C283,$A$2,$F283,$G283,$H283,I$1)</f>
        <v>32</v>
      </c>
      <c r="J283" s="25">
        <f>_xll.DBRW($A$1,$F$14,$F$15,$C283,$A$2,$F283,$G283,$H283,J$19)</f>
        <v>47</v>
      </c>
    </row>
    <row r="284" spans="1:10" s="23" customFormat="1" outlineLevel="1" thickBot="1" x14ac:dyDescent="0.3">
      <c r="A284" s="44"/>
      <c r="B284" s="31" t="str">
        <f>IF(_xll.TM1RPTELISCONSOLIDATED($H$20,$H284),IF(_xll.TM1RPTELLEV($H$20,$H284)&lt;=5,_xll.TM1RPTELLEV($H$20,$H284),"Default"),"Leaf")</f>
        <v>Leaf</v>
      </c>
      <c r="C284" s="26" t="s">
        <v>11</v>
      </c>
      <c r="D284" s="24" t="str">
        <f>_xll.DBRW("TM1-S1_DEV:}ElementAttributes_SP_SKU",$F284,D$1)</f>
        <v>Primary</v>
      </c>
      <c r="E284" s="24" t="str">
        <f>_xll.DBRW("TM1-S1_DEV:}ElementAttributes_SP_SKU",$F284,E$1)</f>
        <v>DESSERT</v>
      </c>
      <c r="F284" s="26" t="s">
        <v>390</v>
      </c>
      <c r="G284" s="26" t="s">
        <v>3314</v>
      </c>
      <c r="H284" s="26" t="s">
        <v>2691</v>
      </c>
      <c r="I284" s="54">
        <f>_xll.DBRW($A$1,$F$14,$F$15,$C284,$A$2,$F284,$G284,$H284,I$1)</f>
        <v>0</v>
      </c>
      <c r="J284" s="25">
        <f>_xll.DBRW($A$1,$F$14,$F$15,$C284,$A$2,$F284,$G284,$H284,J$19)</f>
        <v>1</v>
      </c>
    </row>
    <row r="285" spans="1:10" s="23" customFormat="1" outlineLevel="1" thickBot="1" x14ac:dyDescent="0.3">
      <c r="A285" s="44"/>
      <c r="B285" s="31" t="str">
        <f>IF(_xll.TM1RPTELISCONSOLIDATED($H$20,$H285),IF(_xll.TM1RPTELLEV($H$20,$H285)&lt;=5,_xll.TM1RPTELLEV($H$20,$H285),"Default"),"Leaf")</f>
        <v>Leaf</v>
      </c>
      <c r="C285" s="26" t="s">
        <v>11</v>
      </c>
      <c r="D285" s="24" t="str">
        <f>_xll.DBRW("TM1-S1_DEV:}ElementAttributes_SP_SKU",$F285,D$1)</f>
        <v>Primary</v>
      </c>
      <c r="E285" s="24" t="str">
        <f>_xll.DBRW("TM1-S1_DEV:}ElementAttributes_SP_SKU",$F285,E$1)</f>
        <v>INGREDIENT</v>
      </c>
      <c r="F285" s="26" t="s">
        <v>3197</v>
      </c>
      <c r="G285" s="26" t="s">
        <v>888</v>
      </c>
      <c r="H285" s="26" t="s">
        <v>2686</v>
      </c>
      <c r="I285" s="54">
        <f>_xll.DBRW($A$1,$F$14,$F$15,$C285,$A$2,$F285,$G285,$H285,I$1)</f>
        <v>9</v>
      </c>
      <c r="J285" s="25">
        <f>_xll.DBRW($A$1,$F$14,$F$15,$C285,$A$2,$F285,$G285,$H285,J$19)</f>
        <v>7</v>
      </c>
    </row>
    <row r="286" spans="1:10" s="23" customFormat="1" outlineLevel="1" thickBot="1" x14ac:dyDescent="0.3">
      <c r="A286" s="44"/>
      <c r="B286" s="31" t="str">
        <f>IF(_xll.TM1RPTELISCONSOLIDATED($H$20,$H286),IF(_xll.TM1RPTELLEV($H$20,$H286)&lt;=5,_xll.TM1RPTELLEV($H$20,$H286),"Default"),"Leaf")</f>
        <v>Leaf</v>
      </c>
      <c r="C286" s="26" t="s">
        <v>11</v>
      </c>
      <c r="D286" s="24" t="str">
        <f>_xll.DBRW("TM1-S1_DEV:}ElementAttributes_SP_SKU",$F286,D$1)</f>
        <v>Primary</v>
      </c>
      <c r="E286" s="24" t="str">
        <f>_xll.DBRW("TM1-S1_DEV:}ElementAttributes_SP_SKU",$F286,E$1)</f>
        <v>INGREDIENT</v>
      </c>
      <c r="F286" s="26" t="s">
        <v>30</v>
      </c>
      <c r="G286" s="26" t="s">
        <v>889</v>
      </c>
      <c r="H286" s="26" t="s">
        <v>2700</v>
      </c>
      <c r="I286" s="54">
        <f>_xll.DBRW($A$1,$F$14,$F$15,$C286,$A$2,$F286,$G286,$H286,I$1)</f>
        <v>0</v>
      </c>
      <c r="J286" s="25">
        <f>_xll.DBRW($A$1,$F$14,$F$15,$C286,$A$2,$F286,$G286,$H286,J$19)</f>
        <v>11</v>
      </c>
    </row>
    <row r="287" spans="1:10" s="23" customFormat="1" outlineLevel="1" thickBot="1" x14ac:dyDescent="0.3">
      <c r="A287" s="44"/>
      <c r="B287" s="31" t="str">
        <f>IF(_xll.TM1RPTELISCONSOLIDATED($H$20,$H287),IF(_xll.TM1RPTELLEV($H$20,$H287)&lt;=5,_xll.TM1RPTELLEV($H$20,$H287),"Default"),"Leaf")</f>
        <v>Leaf</v>
      </c>
      <c r="C287" s="26" t="s">
        <v>11</v>
      </c>
      <c r="D287" s="24" t="str">
        <f>_xll.DBRW("TM1-S1_DEV:}ElementAttributes_SP_SKU",$F287,D$1)</f>
        <v>Project</v>
      </c>
      <c r="E287" s="24" t="str">
        <f>_xll.DBRW("TM1-S1_DEV:}ElementAttributes_SP_SKU",$F287,E$1)</f>
        <v>CHEESE</v>
      </c>
      <c r="F287" s="26" t="s">
        <v>65</v>
      </c>
      <c r="G287" s="26" t="s">
        <v>890</v>
      </c>
      <c r="H287" s="26" t="s">
        <v>2692</v>
      </c>
      <c r="I287" s="54">
        <f>_xll.DBRW($A$1,$F$14,$F$15,$C287,$A$2,$F287,$G287,$H287,I$1)</f>
        <v>54</v>
      </c>
      <c r="J287" s="25">
        <f>_xll.DBRW($A$1,$F$14,$F$15,$C287,$A$2,$F287,$G287,$H287,J$19)</f>
        <v>54</v>
      </c>
    </row>
    <row r="288" spans="1:10" s="23" customFormat="1" outlineLevel="1" thickBot="1" x14ac:dyDescent="0.3">
      <c r="A288" s="44"/>
      <c r="B288" s="31" t="str">
        <f>IF(_xll.TM1RPTELISCONSOLIDATED($H$20,$H288),IF(_xll.TM1RPTELLEV($H$20,$H288)&lt;=5,_xll.TM1RPTELLEV($H$20,$H288),"Default"),"Leaf")</f>
        <v>Leaf</v>
      </c>
      <c r="C288" s="26" t="s">
        <v>11</v>
      </c>
      <c r="D288" s="24" t="str">
        <f>_xll.DBRW("TM1-S1_DEV:}ElementAttributes_SP_SKU",$F288,D$1)</f>
        <v>Project</v>
      </c>
      <c r="E288" s="24" t="str">
        <f>_xll.DBRW("TM1-S1_DEV:}ElementAttributes_SP_SKU",$F288,E$1)</f>
        <v>INGREDIENT</v>
      </c>
      <c r="F288" s="26" t="s">
        <v>66</v>
      </c>
      <c r="G288" s="26" t="s">
        <v>891</v>
      </c>
      <c r="H288" s="26" t="s">
        <v>2737</v>
      </c>
      <c r="I288" s="54">
        <f>_xll.DBRW($A$1,$F$14,$F$15,$C288,$A$2,$F288,$G288,$H288,I$1)</f>
        <v>64</v>
      </c>
      <c r="J288" s="25">
        <f>_xll.DBRW($A$1,$F$14,$F$15,$C288,$A$2,$F288,$G288,$H288,J$19)</f>
        <v>64</v>
      </c>
    </row>
    <row r="289" spans="1:10" s="23" customFormat="1" outlineLevel="1" thickBot="1" x14ac:dyDescent="0.3">
      <c r="A289" s="44"/>
      <c r="B289" s="31" t="str">
        <f>IF(_xll.TM1RPTELISCONSOLIDATED($H$20,$H289),IF(_xll.TM1RPTELLEV($H$20,$H289)&lt;=5,_xll.TM1RPTELLEV($H$20,$H289),"Default"),"Leaf")</f>
        <v>Leaf</v>
      </c>
      <c r="C289" s="26" t="s">
        <v>11</v>
      </c>
      <c r="D289" s="24" t="str">
        <f>_xll.DBRW("TM1-S1_DEV:}ElementAttributes_SP_SKU",$F289,D$1)</f>
        <v>Project</v>
      </c>
      <c r="E289" s="24" t="str">
        <f>_xll.DBRW("TM1-S1_DEV:}ElementAttributes_SP_SKU",$F289,E$1)</f>
        <v>INGREDIENT</v>
      </c>
      <c r="F289" s="26" t="s">
        <v>67</v>
      </c>
      <c r="G289" s="26" t="s">
        <v>892</v>
      </c>
      <c r="H289" s="26" t="s">
        <v>2738</v>
      </c>
      <c r="I289" s="54">
        <f>_xll.DBRW($A$1,$F$14,$F$15,$C289,$A$2,$F289,$G289,$H289,I$1)</f>
        <v>118</v>
      </c>
      <c r="J289" s="25">
        <f>_xll.DBRW($A$1,$F$14,$F$15,$C289,$A$2,$F289,$G289,$H289,J$19)</f>
        <v>214</v>
      </c>
    </row>
    <row r="290" spans="1:10" s="23" customFormat="1" outlineLevel="1" thickBot="1" x14ac:dyDescent="0.3">
      <c r="A290" s="44"/>
      <c r="B290" s="31" t="str">
        <f>IF(_xll.TM1RPTELISCONSOLIDATED($H$20,$H290),IF(_xll.TM1RPTELLEV($H$20,$H290)&lt;=5,_xll.TM1RPTELLEV($H$20,$H290),"Default"),"Leaf")</f>
        <v>Leaf</v>
      </c>
      <c r="C290" s="26" t="s">
        <v>11</v>
      </c>
      <c r="D290" s="24" t="str">
        <f>_xll.DBRW("TM1-S1_DEV:}ElementAttributes_SP_SKU",$F290,D$1)</f>
        <v>Project</v>
      </c>
      <c r="E290" s="24" t="str">
        <f>_xll.DBRW("TM1-S1_DEV:}ElementAttributes_SP_SKU",$F290,E$1)</f>
        <v>INGREDIENT</v>
      </c>
      <c r="F290" s="26" t="s">
        <v>68</v>
      </c>
      <c r="G290" s="26" t="s">
        <v>893</v>
      </c>
      <c r="H290" s="26" t="s">
        <v>2739</v>
      </c>
      <c r="I290" s="54">
        <f>_xll.DBRW($A$1,$F$14,$F$15,$C290,$A$2,$F290,$G290,$H290,I$1)</f>
        <v>38</v>
      </c>
      <c r="J290" s="25">
        <f>_xll.DBRW($A$1,$F$14,$F$15,$C290,$A$2,$F290,$G290,$H290,J$19)</f>
        <v>68</v>
      </c>
    </row>
    <row r="291" spans="1:10" s="23" customFormat="1" outlineLevel="1" thickBot="1" x14ac:dyDescent="0.3">
      <c r="A291" s="44"/>
      <c r="B291" s="31" t="str">
        <f>IF(_xll.TM1RPTELISCONSOLIDATED($H$20,$H291),IF(_xll.TM1RPTELLEV($H$20,$H291)&lt;=5,_xll.TM1RPTELLEV($H$20,$H291),"Default"),"Leaf")</f>
        <v>Leaf</v>
      </c>
      <c r="C291" s="26" t="s">
        <v>11</v>
      </c>
      <c r="D291" s="24" t="str">
        <f>_xll.DBRW("TM1-S1_DEV:}ElementAttributes_SP_SKU",$F291,D$1)</f>
        <v>Project</v>
      </c>
      <c r="E291" s="24" t="str">
        <f>_xll.DBRW("TM1-S1_DEV:}ElementAttributes_SP_SKU",$F291,E$1)</f>
        <v>CONDIMENT</v>
      </c>
      <c r="F291" s="26" t="s">
        <v>69</v>
      </c>
      <c r="G291" s="26" t="s">
        <v>894</v>
      </c>
      <c r="H291" s="26" t="s">
        <v>2739</v>
      </c>
      <c r="I291" s="54">
        <f>_xll.DBRW($A$1,$F$14,$F$15,$C291,$A$2,$F291,$G291,$H291,I$1)</f>
        <v>130</v>
      </c>
      <c r="J291" s="25">
        <f>_xll.DBRW($A$1,$F$14,$F$15,$C291,$A$2,$F291,$G291,$H291,J$19)</f>
        <v>514</v>
      </c>
    </row>
    <row r="292" spans="1:10" s="23" customFormat="1" outlineLevel="1" thickBot="1" x14ac:dyDescent="0.3">
      <c r="A292" s="44"/>
      <c r="B292" s="31" t="str">
        <f>IF(_xll.TM1RPTELISCONSOLIDATED($H$20,$H292),IF(_xll.TM1RPTELLEV($H$20,$H292)&lt;=5,_xll.TM1RPTELLEV($H$20,$H292),"Default"),"Leaf")</f>
        <v>Leaf</v>
      </c>
      <c r="C292" s="26" t="s">
        <v>11</v>
      </c>
      <c r="D292" s="24" t="str">
        <f>_xll.DBRW("TM1-S1_DEV:}ElementAttributes_SP_SKU",$F292,D$1)</f>
        <v>Project</v>
      </c>
      <c r="E292" s="24" t="str">
        <f>_xll.DBRW("TM1-S1_DEV:}ElementAttributes_SP_SKU",$F292,E$1)</f>
        <v>SIDES</v>
      </c>
      <c r="F292" s="26" t="s">
        <v>70</v>
      </c>
      <c r="G292" s="26" t="s">
        <v>895</v>
      </c>
      <c r="H292" s="26" t="s">
        <v>2740</v>
      </c>
      <c r="I292" s="54">
        <f>_xll.DBRW($A$1,$F$14,$F$15,$C292,$A$2,$F292,$G292,$H292,I$1)</f>
        <v>5</v>
      </c>
      <c r="J292" s="25">
        <f>_xll.DBRW($A$1,$F$14,$F$15,$C292,$A$2,$F292,$G292,$H292,J$19)</f>
        <v>25</v>
      </c>
    </row>
    <row r="293" spans="1:10" s="23" customFormat="1" outlineLevel="1" thickBot="1" x14ac:dyDescent="0.3">
      <c r="A293" s="44"/>
      <c r="B293" s="31" t="str">
        <f>IF(_xll.TM1RPTELISCONSOLIDATED($H$20,$H293),IF(_xll.TM1RPTELLEV($H$20,$H293)&lt;=5,_xll.TM1RPTELLEV($H$20,$H293),"Default"),"Leaf")</f>
        <v>Leaf</v>
      </c>
      <c r="C293" s="26" t="s">
        <v>11</v>
      </c>
      <c r="D293" s="24" t="str">
        <f>_xll.DBRW("TM1-S1_DEV:}ElementAttributes_SP_SKU",$F293,D$1)</f>
        <v>Project</v>
      </c>
      <c r="E293" s="24" t="str">
        <f>_xll.DBRW("TM1-S1_DEV:}ElementAttributes_SP_SKU",$F293,E$1)</f>
        <v>INGREDIENT</v>
      </c>
      <c r="F293" s="26" t="s">
        <v>71</v>
      </c>
      <c r="G293" s="26" t="s">
        <v>896</v>
      </c>
      <c r="H293" s="26" t="s">
        <v>2741</v>
      </c>
      <c r="I293" s="54">
        <f>_xll.DBRW($A$1,$F$14,$F$15,$C293,$A$2,$F293,$G293,$H293,I$1)</f>
        <v>54</v>
      </c>
      <c r="J293" s="25">
        <f>_xll.DBRW($A$1,$F$14,$F$15,$C293,$A$2,$F293,$G293,$H293,J$19)</f>
        <v>54</v>
      </c>
    </row>
    <row r="294" spans="1:10" s="23" customFormat="1" outlineLevel="1" thickBot="1" x14ac:dyDescent="0.3">
      <c r="A294" s="44"/>
      <c r="B294" s="31" t="str">
        <f>IF(_xll.TM1RPTELISCONSOLIDATED($H$20,$H294),IF(_xll.TM1RPTELLEV($H$20,$H294)&lt;=5,_xll.TM1RPTELLEV($H$20,$H294),"Default"),"Leaf")</f>
        <v>Leaf</v>
      </c>
      <c r="C294" s="26" t="s">
        <v>11</v>
      </c>
      <c r="D294" s="24" t="str">
        <f>_xll.DBRW("TM1-S1_DEV:}ElementAttributes_SP_SKU",$F294,D$1)</f>
        <v>Project</v>
      </c>
      <c r="E294" s="24" t="str">
        <f>_xll.DBRW("TM1-S1_DEV:}ElementAttributes_SP_SKU",$F294,E$1)</f>
        <v>INGREDIENT</v>
      </c>
      <c r="F294" s="26" t="s">
        <v>72</v>
      </c>
      <c r="G294" s="26" t="s">
        <v>897</v>
      </c>
      <c r="H294" s="26" t="s">
        <v>2742</v>
      </c>
      <c r="I294" s="54">
        <f>_xll.DBRW($A$1,$F$14,$F$15,$C294,$A$2,$F294,$G294,$H294,I$1)</f>
        <v>2</v>
      </c>
      <c r="J294" s="25">
        <f>_xll.DBRW($A$1,$F$14,$F$15,$C294,$A$2,$F294,$G294,$H294,J$19)</f>
        <v>2</v>
      </c>
    </row>
    <row r="295" spans="1:10" s="23" customFormat="1" outlineLevel="1" thickBot="1" x14ac:dyDescent="0.3">
      <c r="A295" s="44"/>
      <c r="B295" s="31" t="str">
        <f>IF(_xll.TM1RPTELISCONSOLIDATED($H$20,$H295),IF(_xll.TM1RPTELLEV($H$20,$H295)&lt;=5,_xll.TM1RPTELLEV($H$20,$H295),"Default"),"Leaf")</f>
        <v>Leaf</v>
      </c>
      <c r="C295" s="26" t="s">
        <v>11</v>
      </c>
      <c r="D295" s="24" t="str">
        <f>_xll.DBRW("TM1-S1_DEV:}ElementAttributes_SP_SKU",$F295,D$1)</f>
        <v>Project</v>
      </c>
      <c r="E295" s="24" t="str">
        <f>_xll.DBRW("TM1-S1_DEV:}ElementAttributes_SP_SKU",$F295,E$1)</f>
        <v>CONDIMENT</v>
      </c>
      <c r="F295" s="26" t="s">
        <v>73</v>
      </c>
      <c r="G295" s="26" t="s">
        <v>898</v>
      </c>
      <c r="H295" s="26" t="s">
        <v>2743</v>
      </c>
      <c r="I295" s="54">
        <f>_xll.DBRW($A$1,$F$14,$F$15,$C295,$A$2,$F295,$G295,$H295,I$1)</f>
        <v>161</v>
      </c>
      <c r="J295" s="25">
        <f>_xll.DBRW($A$1,$F$14,$F$15,$C295,$A$2,$F295,$G295,$H295,J$19)</f>
        <v>161</v>
      </c>
    </row>
    <row r="296" spans="1:10" s="23" customFormat="1" outlineLevel="1" thickBot="1" x14ac:dyDescent="0.3">
      <c r="A296" s="44"/>
      <c r="B296" s="31" t="str">
        <f>IF(_xll.TM1RPTELISCONSOLIDATED($H$20,$H296),IF(_xll.TM1RPTELLEV($H$20,$H296)&lt;=5,_xll.TM1RPTELLEV($H$20,$H296),"Default"),"Leaf")</f>
        <v>Leaf</v>
      </c>
      <c r="C296" s="26" t="s">
        <v>11</v>
      </c>
      <c r="D296" s="24" t="str">
        <f>_xll.DBRW("TM1-S1_DEV:}ElementAttributes_SP_SKU",$F296,D$1)</f>
        <v>Project</v>
      </c>
      <c r="E296" s="24" t="str">
        <f>_xll.DBRW("TM1-S1_DEV:}ElementAttributes_SP_SKU",$F296,E$1)</f>
        <v>CONDIMENT</v>
      </c>
      <c r="F296" s="26" t="s">
        <v>74</v>
      </c>
      <c r="G296" s="26" t="s">
        <v>899</v>
      </c>
      <c r="H296" s="26" t="s">
        <v>2744</v>
      </c>
      <c r="I296" s="54">
        <f>_xll.DBRW($A$1,$F$14,$F$15,$C296,$A$2,$F296,$G296,$H296,I$1)</f>
        <v>9</v>
      </c>
      <c r="J296" s="25">
        <f>_xll.DBRW($A$1,$F$14,$F$15,$C296,$A$2,$F296,$G296,$H296,J$19)</f>
        <v>9</v>
      </c>
    </row>
    <row r="297" spans="1:10" s="23" customFormat="1" outlineLevel="1" thickBot="1" x14ac:dyDescent="0.3">
      <c r="A297" s="44"/>
      <c r="B297" s="31" t="str">
        <f>IF(_xll.TM1RPTELISCONSOLIDATED($H$20,$H297),IF(_xll.TM1RPTELLEV($H$20,$H297)&lt;=5,_xll.TM1RPTELLEV($H$20,$H297),"Default"),"Leaf")</f>
        <v>Leaf</v>
      </c>
      <c r="C297" s="26" t="s">
        <v>11</v>
      </c>
      <c r="D297" s="24" t="str">
        <f>_xll.DBRW("TM1-S1_DEV:}ElementAttributes_SP_SKU",$F297,D$1)</f>
        <v>Primary</v>
      </c>
      <c r="E297" s="24" t="str">
        <f>_xll.DBRW("TM1-S1_DEV:}ElementAttributes_SP_SKU",$F297,E$1)</f>
        <v>INGREDIENT</v>
      </c>
      <c r="F297" s="26" t="s">
        <v>3198</v>
      </c>
      <c r="G297" s="26" t="s">
        <v>900</v>
      </c>
      <c r="H297" s="26" t="s">
        <v>2701</v>
      </c>
      <c r="I297" s="54">
        <f>_xll.DBRW($A$1,$F$14,$F$15,$C297,$A$2,$F297,$G297,$H297,I$1)</f>
        <v>11</v>
      </c>
      <c r="J297" s="25">
        <f>_xll.DBRW($A$1,$F$14,$F$15,$C297,$A$2,$F297,$G297,$H297,J$19)</f>
        <v>10</v>
      </c>
    </row>
    <row r="298" spans="1:10" s="23" customFormat="1" outlineLevel="1" thickBot="1" x14ac:dyDescent="0.3">
      <c r="A298" s="44"/>
      <c r="B298" s="31" t="str">
        <f>IF(_xll.TM1RPTELISCONSOLIDATED($H$20,$H298),IF(_xll.TM1RPTELLEV($H$20,$H298)&lt;=5,_xll.TM1RPTELLEV($H$20,$H298),"Default"),"Leaf")</f>
        <v>Leaf</v>
      </c>
      <c r="C298" s="26" t="s">
        <v>11</v>
      </c>
      <c r="D298" s="24" t="str">
        <f>_xll.DBRW("TM1-S1_DEV:}ElementAttributes_SP_SKU",$F298,D$1)</f>
        <v>Primary</v>
      </c>
      <c r="E298" s="24" t="str">
        <f>_xll.DBRW("TM1-S1_DEV:}ElementAttributes_SP_SKU",$F298,E$1)</f>
        <v>TRAY</v>
      </c>
      <c r="F298" s="26" t="s">
        <v>3200</v>
      </c>
      <c r="G298" s="26" t="s">
        <v>901</v>
      </c>
      <c r="H298" s="26" t="s">
        <v>2703</v>
      </c>
      <c r="I298" s="54">
        <f>_xll.DBRW($A$1,$F$14,$F$15,$C298,$A$2,$F298,$G298,$H298,I$1)</f>
        <v>8</v>
      </c>
      <c r="J298" s="25">
        <f>_xll.DBRW($A$1,$F$14,$F$15,$C298,$A$2,$F298,$G298,$H298,J$19)</f>
        <v>8</v>
      </c>
    </row>
    <row r="299" spans="1:10" s="23" customFormat="1" outlineLevel="1" thickBot="1" x14ac:dyDescent="0.3">
      <c r="A299" s="44"/>
      <c r="B299" s="31" t="str">
        <f>IF(_xll.TM1RPTELISCONSOLIDATED($H$20,$H299),IF(_xll.TM1RPTELLEV($H$20,$H299)&lt;=5,_xll.TM1RPTELLEV($H$20,$H299),"Default"),"Leaf")</f>
        <v>Leaf</v>
      </c>
      <c r="C299" s="26" t="s">
        <v>11</v>
      </c>
      <c r="D299" s="24" t="str">
        <f>_xll.DBRW("TM1-S1_DEV:}ElementAttributes_SP_SKU",$F299,D$1)</f>
        <v>Primary</v>
      </c>
      <c r="E299" s="24" t="str">
        <f>_xll.DBRW("TM1-S1_DEV:}ElementAttributes_SP_SKU",$F299,E$1)</f>
        <v>TRAY</v>
      </c>
      <c r="F299" s="26" t="s">
        <v>3202</v>
      </c>
      <c r="G299" s="26" t="s">
        <v>902</v>
      </c>
      <c r="H299" s="26" t="s">
        <v>2703</v>
      </c>
      <c r="I299" s="54">
        <f>_xll.DBRW($A$1,$F$14,$F$15,$C299,$A$2,$F299,$G299,$H299,I$1)</f>
        <v>6</v>
      </c>
      <c r="J299" s="25">
        <f>_xll.DBRW($A$1,$F$14,$F$15,$C299,$A$2,$F299,$G299,$H299,J$19)</f>
        <v>6</v>
      </c>
    </row>
    <row r="300" spans="1:10" s="23" customFormat="1" outlineLevel="1" thickBot="1" x14ac:dyDescent="0.3">
      <c r="A300" s="44"/>
      <c r="B300" s="31" t="str">
        <f>IF(_xll.TM1RPTELISCONSOLIDATED($H$20,$H300),IF(_xll.TM1RPTELLEV($H$20,$H300)&lt;=5,_xll.TM1RPTELLEV($H$20,$H300),"Default"),"Leaf")</f>
        <v>Leaf</v>
      </c>
      <c r="C300" s="26" t="s">
        <v>11</v>
      </c>
      <c r="D300" s="24" t="str">
        <f>_xll.DBRW("TM1-S1_DEV:}ElementAttributes_SP_SKU",$F300,D$1)</f>
        <v>Primary</v>
      </c>
      <c r="E300" s="24" t="str">
        <f>_xll.DBRW("TM1-S1_DEV:}ElementAttributes_SP_SKU",$F300,E$1)</f>
        <v>TRAY</v>
      </c>
      <c r="F300" s="26" t="s">
        <v>3203</v>
      </c>
      <c r="G300" s="26" t="s">
        <v>903</v>
      </c>
      <c r="H300" s="26" t="s">
        <v>2703</v>
      </c>
      <c r="I300" s="54">
        <f>_xll.DBRW($A$1,$F$14,$F$15,$C300,$A$2,$F300,$G300,$H300,I$1)</f>
        <v>2</v>
      </c>
      <c r="J300" s="25">
        <f>_xll.DBRW($A$1,$F$14,$F$15,$C300,$A$2,$F300,$G300,$H300,J$19)</f>
        <v>2</v>
      </c>
    </row>
    <row r="301" spans="1:10" s="23" customFormat="1" outlineLevel="1" thickBot="1" x14ac:dyDescent="0.3">
      <c r="A301" s="44"/>
      <c r="B301" s="31" t="str">
        <f>IF(_xll.TM1RPTELISCONSOLIDATED($H$20,$H301),IF(_xll.TM1RPTELLEV($H$20,$H301)&lt;=5,_xll.TM1RPTELLEV($H$20,$H301),"Default"),"Leaf")</f>
        <v>Leaf</v>
      </c>
      <c r="C301" s="26" t="s">
        <v>11</v>
      </c>
      <c r="D301" s="24" t="str">
        <f>_xll.DBRW("TM1-S1_DEV:}ElementAttributes_SP_SKU",$F301,D$1)</f>
        <v>Primary</v>
      </c>
      <c r="E301" s="24" t="str">
        <f>_xll.DBRW("TM1-S1_DEV:}ElementAttributes_SP_SKU",$F301,E$1)</f>
        <v>FOIL</v>
      </c>
      <c r="F301" s="26" t="s">
        <v>3204</v>
      </c>
      <c r="G301" s="26" t="s">
        <v>904</v>
      </c>
      <c r="H301" s="26" t="s">
        <v>2704</v>
      </c>
      <c r="I301" s="54">
        <f>_xll.DBRW($A$1,$F$14,$F$15,$C301,$A$2,$F301,$G301,$H301,I$1)</f>
        <v>82</v>
      </c>
      <c r="J301" s="25">
        <f>_xll.DBRW($A$1,$F$14,$F$15,$C301,$A$2,$F301,$G301,$H301,J$19)</f>
        <v>79</v>
      </c>
    </row>
    <row r="302" spans="1:10" s="23" customFormat="1" outlineLevel="1" thickBot="1" x14ac:dyDescent="0.3">
      <c r="A302" s="44"/>
      <c r="B302" s="31" t="str">
        <f>IF(_xll.TM1RPTELISCONSOLIDATED($H$20,$H302),IF(_xll.TM1RPTELLEV($H$20,$H302)&lt;=5,_xll.TM1RPTELLEV($H$20,$H302),"Default"),"Leaf")</f>
        <v>Leaf</v>
      </c>
      <c r="C302" s="26" t="s">
        <v>11</v>
      </c>
      <c r="D302" s="24" t="str">
        <f>_xll.DBRW("TM1-S1_DEV:}ElementAttributes_SP_SKU",$F302,D$1)</f>
        <v>Primary</v>
      </c>
      <c r="E302" s="24" t="str">
        <f>_xll.DBRW("TM1-S1_DEV:}ElementAttributes_SP_SKU",$F302,E$1)</f>
        <v>BAG</v>
      </c>
      <c r="F302" s="26" t="s">
        <v>3205</v>
      </c>
      <c r="G302" s="26" t="s">
        <v>905</v>
      </c>
      <c r="H302" s="26" t="s">
        <v>2705</v>
      </c>
      <c r="I302" s="54">
        <f>_xll.DBRW($A$1,$F$14,$F$15,$C302,$A$2,$F302,$G302,$H302,I$1)</f>
        <v>7</v>
      </c>
      <c r="J302" s="25">
        <f>_xll.DBRW($A$1,$F$14,$F$15,$C302,$A$2,$F302,$G302,$H302,J$19)</f>
        <v>6</v>
      </c>
    </row>
    <row r="303" spans="1:10" s="23" customFormat="1" outlineLevel="1" thickBot="1" x14ac:dyDescent="0.3">
      <c r="A303" s="44"/>
      <c r="B303" s="31" t="str">
        <f>IF(_xll.TM1RPTELISCONSOLIDATED($H$20,$H303),IF(_xll.TM1RPTELLEV($H$20,$H303)&lt;=5,_xll.TM1RPTELLEV($H$20,$H303),"Default"),"Leaf")</f>
        <v>Leaf</v>
      </c>
      <c r="C303" s="26" t="s">
        <v>11</v>
      </c>
      <c r="D303" s="24" t="str">
        <f>_xll.DBRW("TM1-S1_DEV:}ElementAttributes_SP_SKU",$F303,D$1)</f>
        <v>Primary</v>
      </c>
      <c r="E303" s="24" t="str">
        <f>_xll.DBRW("TM1-S1_DEV:}ElementAttributes_SP_SKU",$F303,E$1)</f>
        <v>FOIL</v>
      </c>
      <c r="F303" s="26" t="s">
        <v>3206</v>
      </c>
      <c r="G303" s="26" t="s">
        <v>906</v>
      </c>
      <c r="H303" s="26" t="s">
        <v>2704</v>
      </c>
      <c r="I303" s="54">
        <f>_xll.DBRW($A$1,$F$14,$F$15,$C303,$A$2,$F303,$G303,$H303,I$1)</f>
        <v>40</v>
      </c>
      <c r="J303" s="25">
        <f>_xll.DBRW($A$1,$F$14,$F$15,$C303,$A$2,$F303,$G303,$H303,J$19)</f>
        <v>38</v>
      </c>
    </row>
    <row r="304" spans="1:10" s="23" customFormat="1" outlineLevel="1" thickBot="1" x14ac:dyDescent="0.3">
      <c r="A304" s="44"/>
      <c r="B304" s="31" t="str">
        <f>IF(_xll.TM1RPTELISCONSOLIDATED($H$20,$H304),IF(_xll.TM1RPTELLEV($H$20,$H304)&lt;=5,_xll.TM1RPTELLEV($H$20,$H304),"Default"),"Leaf")</f>
        <v>Leaf</v>
      </c>
      <c r="C304" s="26" t="s">
        <v>11</v>
      </c>
      <c r="D304" s="24" t="str">
        <f>_xll.DBRW("TM1-S1_DEV:}ElementAttributes_SP_SKU",$F304,D$1)</f>
        <v>Primary</v>
      </c>
      <c r="E304" s="24" t="str">
        <f>_xll.DBRW("TM1-S1_DEV:}ElementAttributes_SP_SKU",$F304,E$1)</f>
        <v>FOIL</v>
      </c>
      <c r="F304" s="26" t="s">
        <v>3207</v>
      </c>
      <c r="G304" s="26" t="s">
        <v>907</v>
      </c>
      <c r="H304" s="26" t="s">
        <v>2704</v>
      </c>
      <c r="I304" s="54">
        <f>_xll.DBRW($A$1,$F$14,$F$15,$C304,$A$2,$F304,$G304,$H304,I$1)</f>
        <v>8</v>
      </c>
      <c r="J304" s="25">
        <f>_xll.DBRW($A$1,$F$14,$F$15,$C304,$A$2,$F304,$G304,$H304,J$19)</f>
        <v>6</v>
      </c>
    </row>
    <row r="305" spans="1:10" s="23" customFormat="1" outlineLevel="1" thickBot="1" x14ac:dyDescent="0.3">
      <c r="A305" s="44"/>
      <c r="B305" s="31" t="str">
        <f>IF(_xll.TM1RPTELISCONSOLIDATED($H$20,$H305),IF(_xll.TM1RPTELLEV($H$20,$H305)&lt;=5,_xll.TM1RPTELLEV($H$20,$H305),"Default"),"Leaf")</f>
        <v>Leaf</v>
      </c>
      <c r="C305" s="26" t="s">
        <v>11</v>
      </c>
      <c r="D305" s="24" t="str">
        <f>_xll.DBRW("TM1-S1_DEV:}ElementAttributes_SP_SKU",$F305,D$1)</f>
        <v>Primary</v>
      </c>
      <c r="E305" s="24" t="str">
        <f>_xll.DBRW("TM1-S1_DEV:}ElementAttributes_SP_SKU",$F305,E$1)</f>
        <v>BAG</v>
      </c>
      <c r="F305" s="26" t="s">
        <v>3208</v>
      </c>
      <c r="G305" s="26" t="s">
        <v>908</v>
      </c>
      <c r="H305" s="26" t="s">
        <v>2705</v>
      </c>
      <c r="I305" s="54">
        <f>_xll.DBRW($A$1,$F$14,$F$15,$C305,$A$2,$F305,$G305,$H305,I$1)</f>
        <v>18</v>
      </c>
      <c r="J305" s="25">
        <f>_xll.DBRW($A$1,$F$14,$F$15,$C305,$A$2,$F305,$G305,$H305,J$19)</f>
        <v>16</v>
      </c>
    </row>
    <row r="306" spans="1:10" s="23" customFormat="1" outlineLevel="1" thickBot="1" x14ac:dyDescent="0.3">
      <c r="A306" s="44"/>
      <c r="B306" s="31" t="str">
        <f>IF(_xll.TM1RPTELISCONSOLIDATED($H$20,$H306),IF(_xll.TM1RPTELLEV($H$20,$H306)&lt;=5,_xll.TM1RPTELLEV($H$20,$H306),"Default"),"Leaf")</f>
        <v>Leaf</v>
      </c>
      <c r="C306" s="26" t="s">
        <v>11</v>
      </c>
      <c r="D306" s="24" t="str">
        <f>_xll.DBRW("TM1-S1_DEV:}ElementAttributes_SP_SKU",$F306,D$1)</f>
        <v>Primary</v>
      </c>
      <c r="E306" s="24" t="str">
        <f>_xll.DBRW("TM1-S1_DEV:}ElementAttributes_SP_SKU",$F306,E$1)</f>
        <v>BAG</v>
      </c>
      <c r="F306" s="26" t="s">
        <v>3209</v>
      </c>
      <c r="G306" s="26" t="s">
        <v>909</v>
      </c>
      <c r="H306" s="26" t="s">
        <v>2705</v>
      </c>
      <c r="I306" s="54">
        <f>_xll.DBRW($A$1,$F$14,$F$15,$C306,$A$2,$F306,$G306,$H306,I$1)</f>
        <v>55</v>
      </c>
      <c r="J306" s="25">
        <f>_xll.DBRW($A$1,$F$14,$F$15,$C306,$A$2,$F306,$G306,$H306,J$19)</f>
        <v>50</v>
      </c>
    </row>
    <row r="307" spans="1:10" s="23" customFormat="1" outlineLevel="1" thickBot="1" x14ac:dyDescent="0.3">
      <c r="A307" s="44"/>
      <c r="B307" s="31" t="str">
        <f>IF(_xll.TM1RPTELISCONSOLIDATED($H$20,$H307),IF(_xll.TM1RPTELLEV($H$20,$H307)&lt;=5,_xll.TM1RPTELLEV($H$20,$H307),"Default"),"Leaf")</f>
        <v>Leaf</v>
      </c>
      <c r="C307" s="26" t="s">
        <v>11</v>
      </c>
      <c r="D307" s="24" t="str">
        <f>_xll.DBRW("TM1-S1_DEV:}ElementAttributes_SP_SKU",$F307,D$1)</f>
        <v>Primary</v>
      </c>
      <c r="E307" s="24" t="str">
        <f>_xll.DBRW("TM1-S1_DEV:}ElementAttributes_SP_SKU",$F307,E$1)</f>
        <v>BAG</v>
      </c>
      <c r="F307" s="26" t="s">
        <v>3210</v>
      </c>
      <c r="G307" s="26" t="s">
        <v>910</v>
      </c>
      <c r="H307" s="26" t="s">
        <v>2705</v>
      </c>
      <c r="I307" s="54">
        <f>_xll.DBRW($A$1,$F$14,$F$15,$C307,$A$2,$F307,$G307,$H307,I$1)</f>
        <v>19</v>
      </c>
      <c r="J307" s="25">
        <f>_xll.DBRW($A$1,$F$14,$F$15,$C307,$A$2,$F307,$G307,$H307,J$19)</f>
        <v>18</v>
      </c>
    </row>
    <row r="308" spans="1:10" s="23" customFormat="1" outlineLevel="1" thickBot="1" x14ac:dyDescent="0.3">
      <c r="A308" s="44"/>
      <c r="B308" s="31" t="str">
        <f>IF(_xll.TM1RPTELISCONSOLIDATED($H$20,$H308),IF(_xll.TM1RPTELLEV($H$20,$H308)&lt;=5,_xll.TM1RPTELLEV($H$20,$H308),"Default"),"Leaf")</f>
        <v>Leaf</v>
      </c>
      <c r="C308" s="26" t="s">
        <v>11</v>
      </c>
      <c r="D308" s="24" t="str">
        <f>_xll.DBRW("TM1-S1_DEV:}ElementAttributes_SP_SKU",$F308,D$1)</f>
        <v>Primary</v>
      </c>
      <c r="E308" s="24" t="str">
        <f>_xll.DBRW("TM1-S1_DEV:}ElementAttributes_SP_SKU",$F308,E$1)</f>
        <v>BOX</v>
      </c>
      <c r="F308" s="26" t="s">
        <v>3211</v>
      </c>
      <c r="G308" s="26" t="s">
        <v>911</v>
      </c>
      <c r="H308" s="26" t="s">
        <v>2706</v>
      </c>
      <c r="I308" s="54">
        <f>_xll.DBRW($A$1,$F$14,$F$15,$C308,$A$2,$F308,$G308,$H308,I$1)</f>
        <v>28</v>
      </c>
      <c r="J308" s="25">
        <f>_xll.DBRW($A$1,$F$14,$F$15,$C308,$A$2,$F308,$G308,$H308,J$19)</f>
        <v>31</v>
      </c>
    </row>
    <row r="309" spans="1:10" s="23" customFormat="1" outlineLevel="1" thickBot="1" x14ac:dyDescent="0.3">
      <c r="A309" s="44"/>
      <c r="B309" s="31" t="str">
        <f>IF(_xll.TM1RPTELISCONSOLIDATED($H$20,$H309),IF(_xll.TM1RPTELLEV($H$20,$H309)&lt;=5,_xll.TM1RPTELLEV($H$20,$H309),"Default"),"Leaf")</f>
        <v>Leaf</v>
      </c>
      <c r="C309" s="26" t="s">
        <v>11</v>
      </c>
      <c r="D309" s="24" t="str">
        <f>_xll.DBRW("TM1-S1_DEV:}ElementAttributes_SP_SKU",$F309,D$1)</f>
        <v>Primary</v>
      </c>
      <c r="E309" s="24" t="str">
        <f>_xll.DBRW("TM1-S1_DEV:}ElementAttributes_SP_SKU",$F309,E$1)</f>
        <v>FOIL</v>
      </c>
      <c r="F309" s="26" t="s">
        <v>3212</v>
      </c>
      <c r="G309" s="26" t="s">
        <v>912</v>
      </c>
      <c r="H309" s="26" t="s">
        <v>2704</v>
      </c>
      <c r="I309" s="54">
        <f>_xll.DBRW($A$1,$F$14,$F$15,$C309,$A$2,$F309,$G309,$H309,I$1)</f>
        <v>31</v>
      </c>
      <c r="J309" s="25">
        <f>_xll.DBRW($A$1,$F$14,$F$15,$C309,$A$2,$F309,$G309,$H309,J$19)</f>
        <v>29</v>
      </c>
    </row>
    <row r="310" spans="1:10" s="23" customFormat="1" outlineLevel="1" thickBot="1" x14ac:dyDescent="0.3">
      <c r="A310" s="44"/>
      <c r="B310" s="31" t="str">
        <f>IF(_xll.TM1RPTELISCONSOLIDATED($H$20,$H310),IF(_xll.TM1RPTELLEV($H$20,$H310)&lt;=5,_xll.TM1RPTELLEV($H$20,$H310),"Default"),"Leaf")</f>
        <v>Leaf</v>
      </c>
      <c r="C310" s="26" t="s">
        <v>11</v>
      </c>
      <c r="D310" s="24" t="str">
        <f>_xll.DBRW("TM1-S1_DEV:}ElementAttributes_SP_SKU",$F310,D$1)</f>
        <v>Primary</v>
      </c>
      <c r="E310" s="24" t="str">
        <f>_xll.DBRW("TM1-S1_DEV:}ElementAttributes_SP_SKU",$F310,E$1)</f>
        <v>TRAY</v>
      </c>
      <c r="F310" s="26" t="s">
        <v>3213</v>
      </c>
      <c r="G310" s="26" t="s">
        <v>913</v>
      </c>
      <c r="H310" s="26" t="s">
        <v>2703</v>
      </c>
      <c r="I310" s="54">
        <f>_xll.DBRW($A$1,$F$14,$F$15,$C310,$A$2,$F310,$G310,$H310,I$1)</f>
        <v>6</v>
      </c>
      <c r="J310" s="25">
        <f>_xll.DBRW($A$1,$F$14,$F$15,$C310,$A$2,$F310,$G310,$H310,J$19)</f>
        <v>6</v>
      </c>
    </row>
    <row r="311" spans="1:10" s="23" customFormat="1" outlineLevel="1" thickBot="1" x14ac:dyDescent="0.3">
      <c r="A311" s="44"/>
      <c r="B311" s="31" t="str">
        <f>IF(_xll.TM1RPTELISCONSOLIDATED($H$20,$H311),IF(_xll.TM1RPTELLEV($H$20,$H311)&lt;=5,_xll.TM1RPTELLEV($H$20,$H311),"Default"),"Leaf")</f>
        <v>Leaf</v>
      </c>
      <c r="C311" s="26" t="s">
        <v>11</v>
      </c>
      <c r="D311" s="24" t="str">
        <f>_xll.DBRW("TM1-S1_DEV:}ElementAttributes_SP_SKU",$F311,D$1)</f>
        <v>Primary</v>
      </c>
      <c r="E311" s="24" t="str">
        <f>_xll.DBRW("TM1-S1_DEV:}ElementAttributes_SP_SKU",$F311,E$1)</f>
        <v>TRAY</v>
      </c>
      <c r="F311" s="26" t="s">
        <v>3214</v>
      </c>
      <c r="G311" s="26" t="s">
        <v>914</v>
      </c>
      <c r="H311" s="26" t="s">
        <v>2703</v>
      </c>
      <c r="I311" s="54">
        <f>_xll.DBRW($A$1,$F$14,$F$15,$C311,$A$2,$F311,$G311,$H311,I$1)</f>
        <v>8</v>
      </c>
      <c r="J311" s="25">
        <f>_xll.DBRW($A$1,$F$14,$F$15,$C311,$A$2,$F311,$G311,$H311,J$19)</f>
        <v>8</v>
      </c>
    </row>
    <row r="312" spans="1:10" s="23" customFormat="1" outlineLevel="1" thickBot="1" x14ac:dyDescent="0.3">
      <c r="A312" s="44"/>
      <c r="B312" s="31" t="str">
        <f>IF(_xll.TM1RPTELISCONSOLIDATED($H$20,$H312),IF(_xll.TM1RPTELLEV($H$20,$H312)&lt;=5,_xll.TM1RPTELLEV($H$20,$H312),"Default"),"Leaf")</f>
        <v>Leaf</v>
      </c>
      <c r="C312" s="26" t="s">
        <v>11</v>
      </c>
      <c r="D312" s="24" t="str">
        <f>_xll.DBRW("TM1-S1_DEV:}ElementAttributes_SP_SKU",$F312,D$1)</f>
        <v>Primary</v>
      </c>
      <c r="E312" s="24" t="str">
        <f>_xll.DBRW("TM1-S1_DEV:}ElementAttributes_SP_SKU",$F312,E$1)</f>
        <v>BOWL</v>
      </c>
      <c r="F312" s="26" t="s">
        <v>3215</v>
      </c>
      <c r="G312" s="26" t="s">
        <v>915</v>
      </c>
      <c r="H312" s="26" t="s">
        <v>2703</v>
      </c>
      <c r="I312" s="54">
        <f>_xll.DBRW($A$1,$F$14,$F$15,$C312,$A$2,$F312,$G312,$H312,I$1)</f>
        <v>19</v>
      </c>
      <c r="J312" s="25">
        <f>_xll.DBRW($A$1,$F$14,$F$15,$C312,$A$2,$F312,$G312,$H312,J$19)</f>
        <v>19</v>
      </c>
    </row>
    <row r="313" spans="1:10" s="23" customFormat="1" outlineLevel="1" thickBot="1" x14ac:dyDescent="0.3">
      <c r="A313" s="44"/>
      <c r="B313" s="31" t="str">
        <f>IF(_xll.TM1RPTELISCONSOLIDATED($H$20,$H313),IF(_xll.TM1RPTELLEV($H$20,$H313)&lt;=5,_xll.TM1RPTELLEV($H$20,$H313),"Default"),"Leaf")</f>
        <v>Leaf</v>
      </c>
      <c r="C313" s="26" t="s">
        <v>11</v>
      </c>
      <c r="D313" s="24" t="str">
        <f>_xll.DBRW("TM1-S1_DEV:}ElementAttributes_SP_SKU",$F313,D$1)</f>
        <v>Primary</v>
      </c>
      <c r="E313" s="24" t="str">
        <f>_xll.DBRW("TM1-S1_DEV:}ElementAttributes_SP_SKU",$F313,E$1)</f>
        <v>BOWL</v>
      </c>
      <c r="F313" s="26" t="s">
        <v>3216</v>
      </c>
      <c r="G313" s="26" t="s">
        <v>916</v>
      </c>
      <c r="H313" s="26" t="s">
        <v>2703</v>
      </c>
      <c r="I313" s="54">
        <f>_xll.DBRW($A$1,$F$14,$F$15,$C313,$A$2,$F313,$G313,$H313,I$1)</f>
        <v>12</v>
      </c>
      <c r="J313" s="25">
        <f>_xll.DBRW($A$1,$F$14,$F$15,$C313,$A$2,$F313,$G313,$H313,J$19)</f>
        <v>12</v>
      </c>
    </row>
    <row r="314" spans="1:10" s="23" customFormat="1" outlineLevel="1" thickBot="1" x14ac:dyDescent="0.3">
      <c r="A314" s="44"/>
      <c r="B314" s="31" t="str">
        <f>IF(_xll.TM1RPTELISCONSOLIDATED($H$20,$H314),IF(_xll.TM1RPTELLEV($H$20,$H314)&lt;=5,_xll.TM1RPTELLEV($H$20,$H314),"Default"),"Leaf")</f>
        <v>Leaf</v>
      </c>
      <c r="C314" s="26" t="s">
        <v>11</v>
      </c>
      <c r="D314" s="24" t="str">
        <f>_xll.DBRW("TM1-S1_DEV:}ElementAttributes_SP_SKU",$F314,D$1)</f>
        <v>Primary</v>
      </c>
      <c r="E314" s="24" t="str">
        <f>_xll.DBRW("TM1-S1_DEV:}ElementAttributes_SP_SKU",$F314,E$1)</f>
        <v>UTENSIL</v>
      </c>
      <c r="F314" s="26" t="s">
        <v>3217</v>
      </c>
      <c r="G314" s="26" t="s">
        <v>917</v>
      </c>
      <c r="H314" s="26" t="s">
        <v>2703</v>
      </c>
      <c r="I314" s="54">
        <f>_xll.DBRW($A$1,$F$14,$F$15,$C314,$A$2,$F314,$G314,$H314,I$1)</f>
        <v>21</v>
      </c>
      <c r="J314" s="25">
        <f>_xll.DBRW($A$1,$F$14,$F$15,$C314,$A$2,$F314,$G314,$H314,J$19)</f>
        <v>20</v>
      </c>
    </row>
    <row r="315" spans="1:10" s="23" customFormat="1" outlineLevel="1" thickBot="1" x14ac:dyDescent="0.3">
      <c r="A315" s="44"/>
      <c r="B315" s="31" t="str">
        <f>IF(_xll.TM1RPTELISCONSOLIDATED($H$20,$H315),IF(_xll.TM1RPTELLEV($H$20,$H315)&lt;=5,_xll.TM1RPTELLEV($H$20,$H315),"Default"),"Leaf")</f>
        <v>Leaf</v>
      </c>
      <c r="C315" s="26" t="s">
        <v>11</v>
      </c>
      <c r="D315" s="24" t="str">
        <f>_xll.DBRW("TM1-S1_DEV:}ElementAttributes_SP_SKU",$F315,D$1)</f>
        <v>Primary</v>
      </c>
      <c r="E315" s="24" t="str">
        <f>_xll.DBRW("TM1-S1_DEV:}ElementAttributes_SP_SKU",$F315,E$1)</f>
        <v>UTENSIL</v>
      </c>
      <c r="F315" s="26" t="s">
        <v>3218</v>
      </c>
      <c r="G315" s="26" t="s">
        <v>918</v>
      </c>
      <c r="H315" s="26" t="s">
        <v>2703</v>
      </c>
      <c r="I315" s="54">
        <f>_xll.DBRW($A$1,$F$14,$F$15,$C315,$A$2,$F315,$G315,$H315,I$1)</f>
        <v>12</v>
      </c>
      <c r="J315" s="25">
        <f>_xll.DBRW($A$1,$F$14,$F$15,$C315,$A$2,$F315,$G315,$H315,J$19)</f>
        <v>19</v>
      </c>
    </row>
    <row r="316" spans="1:10" s="23" customFormat="1" outlineLevel="1" thickBot="1" x14ac:dyDescent="0.3">
      <c r="A316" s="44"/>
      <c r="B316" s="31" t="str">
        <f>IF(_xll.TM1RPTELISCONSOLIDATED($H$20,$H316),IF(_xll.TM1RPTELLEV($H$20,$H316)&lt;=5,_xll.TM1RPTELLEV($H$20,$H316),"Default"),"Leaf")</f>
        <v>Leaf</v>
      </c>
      <c r="C316" s="26" t="s">
        <v>11</v>
      </c>
      <c r="D316" s="24" t="str">
        <f>_xll.DBRW("TM1-S1_DEV:}ElementAttributes_SP_SKU",$F316,D$1)</f>
        <v>Primary</v>
      </c>
      <c r="E316" s="24" t="str">
        <f>_xll.DBRW("TM1-S1_DEV:}ElementAttributes_SP_SKU",$F316,E$1)</f>
        <v>BAG</v>
      </c>
      <c r="F316" s="26" t="s">
        <v>3219</v>
      </c>
      <c r="G316" s="26" t="s">
        <v>919</v>
      </c>
      <c r="H316" s="26" t="s">
        <v>2705</v>
      </c>
      <c r="I316" s="54">
        <f>_xll.DBRW($A$1,$F$14,$F$15,$C316,$A$2,$F316,$G316,$H316,I$1)</f>
        <v>18</v>
      </c>
      <c r="J316" s="25">
        <f>_xll.DBRW($A$1,$F$14,$F$15,$C316,$A$2,$F316,$G316,$H316,J$19)</f>
        <v>18</v>
      </c>
    </row>
    <row r="317" spans="1:10" s="23" customFormat="1" outlineLevel="1" thickBot="1" x14ac:dyDescent="0.3">
      <c r="A317" s="44"/>
      <c r="B317" s="31" t="str">
        <f>IF(_xll.TM1RPTELISCONSOLIDATED($H$20,$H317),IF(_xll.TM1RPTELLEV($H$20,$H317)&lt;=5,_xll.TM1RPTELLEV($H$20,$H317),"Default"),"Leaf")</f>
        <v>Leaf</v>
      </c>
      <c r="C317" s="26" t="s">
        <v>11</v>
      </c>
      <c r="D317" s="24" t="str">
        <f>_xll.DBRW("TM1-S1_DEV:}ElementAttributes_SP_SKU",$F317,D$1)</f>
        <v>Primary</v>
      </c>
      <c r="E317" s="24" t="str">
        <f>_xll.DBRW("TM1-S1_DEV:}ElementAttributes_SP_SKU",$F317,E$1)</f>
        <v>BOX</v>
      </c>
      <c r="F317" s="26" t="s">
        <v>3220</v>
      </c>
      <c r="G317" s="26" t="s">
        <v>920</v>
      </c>
      <c r="H317" s="26" t="s">
        <v>2702</v>
      </c>
      <c r="I317" s="54">
        <f>_xll.DBRW($A$1,$F$14,$F$15,$C317,$A$2,$F317,$G317,$H317,I$1)</f>
        <v>11</v>
      </c>
      <c r="J317" s="25">
        <f>_xll.DBRW($A$1,$F$14,$F$15,$C317,$A$2,$F317,$G317,$H317,J$19)</f>
        <v>10</v>
      </c>
    </row>
    <row r="318" spans="1:10" s="23" customFormat="1" outlineLevel="1" thickBot="1" x14ac:dyDescent="0.3">
      <c r="A318" s="44"/>
      <c r="B318" s="31" t="str">
        <f>IF(_xll.TM1RPTELISCONSOLIDATED($H$20,$H318),IF(_xll.TM1RPTELLEV($H$20,$H318)&lt;=5,_xll.TM1RPTELLEV($H$20,$H318),"Default"),"Leaf")</f>
        <v>Leaf</v>
      </c>
      <c r="C318" s="26" t="s">
        <v>11</v>
      </c>
      <c r="D318" s="24" t="str">
        <f>_xll.DBRW("TM1-S1_DEV:}ElementAttributes_SP_SKU",$F318,D$1)</f>
        <v>Primary</v>
      </c>
      <c r="E318" s="24" t="str">
        <f>_xll.DBRW("TM1-S1_DEV:}ElementAttributes_SP_SKU",$F318,E$1)</f>
        <v>BOX</v>
      </c>
      <c r="F318" s="26" t="s">
        <v>3221</v>
      </c>
      <c r="G318" s="26" t="s">
        <v>921</v>
      </c>
      <c r="H318" s="26" t="s">
        <v>2702</v>
      </c>
      <c r="I318" s="54">
        <f>_xll.DBRW($A$1,$F$14,$F$15,$C318,$A$2,$F318,$G318,$H318,I$1)</f>
        <v>4</v>
      </c>
      <c r="J318" s="25">
        <f>_xll.DBRW($A$1,$F$14,$F$15,$C318,$A$2,$F318,$G318,$H318,J$19)</f>
        <v>4</v>
      </c>
    </row>
    <row r="319" spans="1:10" s="23" customFormat="1" outlineLevel="1" thickBot="1" x14ac:dyDescent="0.3">
      <c r="A319" s="44"/>
      <c r="B319" s="31" t="str">
        <f>IF(_xll.TM1RPTELISCONSOLIDATED($H$20,$H319),IF(_xll.TM1RPTELLEV($H$20,$H319)&lt;=5,_xll.TM1RPTELLEV($H$20,$H319),"Default"),"Leaf")</f>
        <v>Leaf</v>
      </c>
      <c r="C319" s="26" t="s">
        <v>11</v>
      </c>
      <c r="D319" s="24" t="str">
        <f>_xll.DBRW("TM1-S1_DEV:}ElementAttributes_SP_SKU",$F319,D$1)</f>
        <v>Primary</v>
      </c>
      <c r="E319" s="24" t="str">
        <f>_xll.DBRW("TM1-S1_DEV:}ElementAttributes_SP_SKU",$F319,E$1)</f>
        <v>BOX</v>
      </c>
      <c r="F319" s="26" t="s">
        <v>3222</v>
      </c>
      <c r="G319" s="26" t="s">
        <v>922</v>
      </c>
      <c r="H319" s="26" t="s">
        <v>2702</v>
      </c>
      <c r="I319" s="54">
        <f>_xll.DBRW($A$1,$F$14,$F$15,$C319,$A$2,$F319,$G319,$H319,I$1)</f>
        <v>6</v>
      </c>
      <c r="J319" s="25">
        <f>_xll.DBRW($A$1,$F$14,$F$15,$C319,$A$2,$F319,$G319,$H319,J$19)</f>
        <v>5</v>
      </c>
    </row>
    <row r="320" spans="1:10" s="23" customFormat="1" outlineLevel="1" thickBot="1" x14ac:dyDescent="0.3">
      <c r="A320" s="44"/>
      <c r="B320" s="31" t="str">
        <f>IF(_xll.TM1RPTELISCONSOLIDATED($H$20,$H320),IF(_xll.TM1RPTELLEV($H$20,$H320)&lt;=5,_xll.TM1RPTELLEV($H$20,$H320),"Default"),"Leaf")</f>
        <v>Leaf</v>
      </c>
      <c r="C320" s="26" t="s">
        <v>11</v>
      </c>
      <c r="D320" s="24" t="str">
        <f>_xll.DBRW("TM1-S1_DEV:}ElementAttributes_SP_SKU",$F320,D$1)</f>
        <v>Primary</v>
      </c>
      <c r="E320" s="24" t="str">
        <f>_xll.DBRW("TM1-S1_DEV:}ElementAttributes_SP_SKU",$F320,E$1)</f>
        <v>BOWL</v>
      </c>
      <c r="F320" s="26" t="s">
        <v>3223</v>
      </c>
      <c r="G320" s="26" t="s">
        <v>923</v>
      </c>
      <c r="H320" s="26" t="s">
        <v>2703</v>
      </c>
      <c r="I320" s="54">
        <f>_xll.DBRW($A$1,$F$14,$F$15,$C320,$A$2,$F320,$G320,$H320,I$1)</f>
        <v>9</v>
      </c>
      <c r="J320" s="25">
        <f>_xll.DBRW($A$1,$F$14,$F$15,$C320,$A$2,$F320,$G320,$H320,J$19)</f>
        <v>9</v>
      </c>
    </row>
    <row r="321" spans="1:10" s="23" customFormat="1" outlineLevel="1" thickBot="1" x14ac:dyDescent="0.3">
      <c r="A321" s="44"/>
      <c r="B321" s="31" t="str">
        <f>IF(_xll.TM1RPTELISCONSOLIDATED($H$20,$H321),IF(_xll.TM1RPTELLEV($H$20,$H321)&lt;=5,_xll.TM1RPTELLEV($H$20,$H321),"Default"),"Leaf")</f>
        <v>Leaf</v>
      </c>
      <c r="C321" s="26" t="s">
        <v>11</v>
      </c>
      <c r="D321" s="24" t="str">
        <f>_xll.DBRW("TM1-S1_DEV:}ElementAttributes_SP_SKU",$F321,D$1)</f>
        <v>Unassigned PSP</v>
      </c>
      <c r="E321" s="24" t="str">
        <f>_xll.DBRW("TM1-S1_DEV:}ElementAttributes_SP_SKU",$F321,E$1)</f>
        <v>BOWL</v>
      </c>
      <c r="F321" s="26" t="s">
        <v>75</v>
      </c>
      <c r="G321" s="26" t="s">
        <v>924</v>
      </c>
      <c r="H321" s="26" t="s">
        <v>2745</v>
      </c>
      <c r="I321" s="54">
        <f>_xll.DBRW($A$1,$F$14,$F$15,$C321,$A$2,$F321,$G321,$H321,I$1)</f>
        <v>3</v>
      </c>
      <c r="J321" s="25">
        <f>_xll.DBRW($A$1,$F$14,$F$15,$C321,$A$2,$F321,$G321,$H321,J$19)</f>
        <v>3</v>
      </c>
    </row>
    <row r="322" spans="1:10" s="23" customFormat="1" outlineLevel="1" thickBot="1" x14ac:dyDescent="0.3">
      <c r="A322" s="44"/>
      <c r="B322" s="31" t="str">
        <f>IF(_xll.TM1RPTELISCONSOLIDATED($H$20,$H322),IF(_xll.TM1RPTELLEV($H$20,$H322)&lt;=5,_xll.TM1RPTELLEV($H$20,$H322),"Default"),"Leaf")</f>
        <v>Leaf</v>
      </c>
      <c r="C322" s="26" t="s">
        <v>11</v>
      </c>
      <c r="D322" s="24" t="str">
        <f>_xll.DBRW("TM1-S1_DEV:}ElementAttributes_SP_SKU",$F322,D$1)</f>
        <v>Unassigned PSP</v>
      </c>
      <c r="E322" s="24" t="str">
        <f>_xll.DBRW("TM1-S1_DEV:}ElementAttributes_SP_SKU",$F322,E$1)</f>
        <v>LID</v>
      </c>
      <c r="F322" s="26" t="s">
        <v>76</v>
      </c>
      <c r="G322" s="26" t="s">
        <v>925</v>
      </c>
      <c r="H322" s="26" t="s">
        <v>2745</v>
      </c>
      <c r="I322" s="54">
        <f>_xll.DBRW($A$1,$F$14,$F$15,$C322,$A$2,$F322,$G322,$H322,I$1)</f>
        <v>3</v>
      </c>
      <c r="J322" s="25">
        <f>_xll.DBRW($A$1,$F$14,$F$15,$C322,$A$2,$F322,$G322,$H322,J$19)</f>
        <v>3</v>
      </c>
    </row>
    <row r="323" spans="1:10" s="23" customFormat="1" outlineLevel="1" thickBot="1" x14ac:dyDescent="0.3">
      <c r="A323" s="44"/>
      <c r="B323" s="31" t="str">
        <f>IF(_xll.TM1RPTELISCONSOLIDATED($H$20,$H323),IF(_xll.TM1RPTELLEV($H$20,$H323)&lt;=5,_xll.TM1RPTELLEV($H$20,$H323),"Default"),"Leaf")</f>
        <v>Leaf</v>
      </c>
      <c r="C323" s="26" t="s">
        <v>11</v>
      </c>
      <c r="D323" s="24" t="str">
        <f>_xll.DBRW("TM1-S1_DEV:}ElementAttributes_SP_SKU",$F323,D$1)</f>
        <v>Primary</v>
      </c>
      <c r="E323" s="24" t="str">
        <f>_xll.DBRW("TM1-S1_DEV:}ElementAttributes_SP_SKU",$F323,E$1)</f>
        <v>BAG</v>
      </c>
      <c r="F323" s="26" t="s">
        <v>3224</v>
      </c>
      <c r="G323" s="26" t="s">
        <v>926</v>
      </c>
      <c r="H323" s="26" t="s">
        <v>2705</v>
      </c>
      <c r="I323" s="54">
        <f>_xll.DBRW($A$1,$F$14,$F$15,$C323,$A$2,$F323,$G323,$H323,I$1)</f>
        <v>17</v>
      </c>
      <c r="J323" s="25">
        <f>_xll.DBRW($A$1,$F$14,$F$15,$C323,$A$2,$F323,$G323,$H323,J$19)</f>
        <v>15</v>
      </c>
    </row>
    <row r="324" spans="1:10" s="23" customFormat="1" outlineLevel="1" thickBot="1" x14ac:dyDescent="0.3">
      <c r="A324" s="44"/>
      <c r="B324" s="31" t="str">
        <f>IF(_xll.TM1RPTELISCONSOLIDATED($H$20,$H324),IF(_xll.TM1RPTELLEV($H$20,$H324)&lt;=5,_xll.TM1RPTELLEV($H$20,$H324),"Default"),"Leaf")</f>
        <v>Leaf</v>
      </c>
      <c r="C324" s="26" t="s">
        <v>11</v>
      </c>
      <c r="D324" s="24" t="str">
        <f>_xll.DBRW("TM1-S1_DEV:}ElementAttributes_SP_SKU",$F324,D$1)</f>
        <v>Primary</v>
      </c>
      <c r="E324" s="24" t="str">
        <f>_xll.DBRW("TM1-S1_DEV:}ElementAttributes_SP_SKU",$F324,E$1)</f>
        <v>CUP</v>
      </c>
      <c r="F324" s="26" t="s">
        <v>3225</v>
      </c>
      <c r="G324" s="26" t="s">
        <v>927</v>
      </c>
      <c r="H324" s="26" t="s">
        <v>2707</v>
      </c>
      <c r="I324" s="54">
        <f>_xll.DBRW($A$1,$F$14,$F$15,$C324,$A$2,$F324,$G324,$H324,I$1)</f>
        <v>7</v>
      </c>
      <c r="J324" s="25">
        <f>_xll.DBRW($A$1,$F$14,$F$15,$C324,$A$2,$F324,$G324,$H324,J$19)</f>
        <v>6</v>
      </c>
    </row>
    <row r="325" spans="1:10" s="23" customFormat="1" outlineLevel="1" thickBot="1" x14ac:dyDescent="0.3">
      <c r="A325" s="44"/>
      <c r="B325" s="31" t="str">
        <f>IF(_xll.TM1RPTELISCONSOLIDATED($H$20,$H325),IF(_xll.TM1RPTELLEV($H$20,$H325)&lt;=5,_xll.TM1RPTELLEV($H$20,$H325),"Default"),"Leaf")</f>
        <v>Leaf</v>
      </c>
      <c r="C325" s="26" t="s">
        <v>11</v>
      </c>
      <c r="D325" s="24" t="str">
        <f>_xll.DBRW("TM1-S1_DEV:}ElementAttributes_SP_SKU",$F325,D$1)</f>
        <v>Primary</v>
      </c>
      <c r="E325" s="24" t="str">
        <f>_xll.DBRW("TM1-S1_DEV:}ElementAttributes_SP_SKU",$F325,E$1)</f>
        <v>CUP</v>
      </c>
      <c r="F325" s="26" t="s">
        <v>3226</v>
      </c>
      <c r="G325" s="26" t="s">
        <v>928</v>
      </c>
      <c r="H325" s="26" t="s">
        <v>2707</v>
      </c>
      <c r="I325" s="54">
        <f>_xll.DBRW($A$1,$F$14,$F$15,$C325,$A$2,$F325,$G325,$H325,I$1)</f>
        <v>11</v>
      </c>
      <c r="J325" s="25">
        <f>_xll.DBRW($A$1,$F$14,$F$15,$C325,$A$2,$F325,$G325,$H325,J$19)</f>
        <v>10</v>
      </c>
    </row>
    <row r="326" spans="1:10" s="23" customFormat="1" outlineLevel="1" thickBot="1" x14ac:dyDescent="0.3">
      <c r="A326" s="44"/>
      <c r="B326" s="31" t="str">
        <f>IF(_xll.TM1RPTELISCONSOLIDATED($H$20,$H326),IF(_xll.TM1RPTELLEV($H$20,$H326)&lt;=5,_xll.TM1RPTELLEV($H$20,$H326),"Default"),"Leaf")</f>
        <v>Leaf</v>
      </c>
      <c r="C326" s="26" t="s">
        <v>11</v>
      </c>
      <c r="D326" s="24" t="str">
        <f>_xll.DBRW("TM1-S1_DEV:}ElementAttributes_SP_SKU",$F326,D$1)</f>
        <v>Primary</v>
      </c>
      <c r="E326" s="24" t="str">
        <f>_xll.DBRW("TM1-S1_DEV:}ElementAttributes_SP_SKU",$F326,E$1)</f>
        <v>PROTEIN</v>
      </c>
      <c r="F326" s="26" t="s">
        <v>3227</v>
      </c>
      <c r="G326" s="26" t="s">
        <v>929</v>
      </c>
      <c r="H326" s="26" t="s">
        <v>2673</v>
      </c>
      <c r="I326" s="54">
        <f>_xll.DBRW($A$1,$F$14,$F$15,$C326,$A$2,$F326,$G326,$H326,I$1)</f>
        <v>35</v>
      </c>
      <c r="J326" s="25">
        <f>_xll.DBRW($A$1,$F$14,$F$15,$C326,$A$2,$F326,$G326,$H326,J$19)</f>
        <v>15</v>
      </c>
    </row>
    <row r="327" spans="1:10" s="23" customFormat="1" outlineLevel="1" thickBot="1" x14ac:dyDescent="0.3">
      <c r="A327" s="44"/>
      <c r="B327" s="31" t="str">
        <f>IF(_xll.TM1RPTELISCONSOLIDATED($H$20,$H327),IF(_xll.TM1RPTELLEV($H$20,$H327)&lt;=5,_xll.TM1RPTELLEV($H$20,$H327),"Default"),"Leaf")</f>
        <v>Leaf</v>
      </c>
      <c r="C327" s="26" t="s">
        <v>11</v>
      </c>
      <c r="D327" s="24" t="str">
        <f>_xll.DBRW("TM1-S1_DEV:}ElementAttributes_SP_SKU",$F327,D$1)</f>
        <v>Primary</v>
      </c>
      <c r="E327" s="24" t="str">
        <f>_xll.DBRW("TM1-S1_DEV:}ElementAttributes_SP_SKU",$F327,E$1)</f>
        <v>TRAY</v>
      </c>
      <c r="F327" s="26" t="s">
        <v>3228</v>
      </c>
      <c r="G327" s="26" t="s">
        <v>930</v>
      </c>
      <c r="H327" s="26" t="s">
        <v>2708</v>
      </c>
      <c r="I327" s="54">
        <f>_xll.DBRW($A$1,$F$14,$F$15,$C327,$A$2,$F327,$G327,$H327,I$1)</f>
        <v>9</v>
      </c>
      <c r="J327" s="25">
        <f>_xll.DBRW($A$1,$F$14,$F$15,$C327,$A$2,$F327,$G327,$H327,J$19)</f>
        <v>9</v>
      </c>
    </row>
    <row r="328" spans="1:10" s="23" customFormat="1" outlineLevel="1" thickBot="1" x14ac:dyDescent="0.3">
      <c r="A328" s="44"/>
      <c r="B328" s="31" t="str">
        <f>IF(_xll.TM1RPTELISCONSOLIDATED($H$20,$H328),IF(_xll.TM1RPTELLEV($H$20,$H328)&lt;=5,_xll.TM1RPTELLEV($H$20,$H328),"Default"),"Leaf")</f>
        <v>Leaf</v>
      </c>
      <c r="C328" s="26" t="s">
        <v>11</v>
      </c>
      <c r="D328" s="24" t="str">
        <f>_xll.DBRW("TM1-S1_DEV:}ElementAttributes_SP_SKU",$F328,D$1)</f>
        <v>Primary</v>
      </c>
      <c r="E328" s="24" t="str">
        <f>_xll.DBRW("TM1-S1_DEV:}ElementAttributes_SP_SKU",$F328,E$1)</f>
        <v>TRAY</v>
      </c>
      <c r="F328" s="26" t="s">
        <v>3229</v>
      </c>
      <c r="G328" s="26" t="s">
        <v>931</v>
      </c>
      <c r="H328" s="26" t="s">
        <v>2708</v>
      </c>
      <c r="I328" s="54">
        <f>_xll.DBRW($A$1,$F$14,$F$15,$C328,$A$2,$F328,$G328,$H328,I$1)</f>
        <v>7</v>
      </c>
      <c r="J328" s="25">
        <f>_xll.DBRW($A$1,$F$14,$F$15,$C328,$A$2,$F328,$G328,$H328,J$19)</f>
        <v>9</v>
      </c>
    </row>
    <row r="329" spans="1:10" s="23" customFormat="1" outlineLevel="1" thickBot="1" x14ac:dyDescent="0.3">
      <c r="A329" s="44"/>
      <c r="B329" s="31" t="str">
        <f>IF(_xll.TM1RPTELISCONSOLIDATED($H$20,$H329),IF(_xll.TM1RPTELLEV($H$20,$H329)&lt;=5,_xll.TM1RPTELLEV($H$20,$H329),"Default"),"Leaf")</f>
        <v>Leaf</v>
      </c>
      <c r="C329" s="26" t="s">
        <v>11</v>
      </c>
      <c r="D329" s="24" t="str">
        <f>_xll.DBRW("TM1-S1_DEV:}ElementAttributes_SP_SKU",$F329,D$1)</f>
        <v>Primary</v>
      </c>
      <c r="E329" s="24" t="str">
        <f>_xll.DBRW("TM1-S1_DEV:}ElementAttributes_SP_SKU",$F329,E$1)</f>
        <v>BOWL</v>
      </c>
      <c r="F329" s="26" t="s">
        <v>3230</v>
      </c>
      <c r="G329" s="26" t="s">
        <v>932</v>
      </c>
      <c r="H329" s="26" t="s">
        <v>2703</v>
      </c>
      <c r="I329" s="54">
        <f>_xll.DBRW($A$1,$F$14,$F$15,$C329,$A$2,$F329,$G329,$H329,I$1)</f>
        <v>9</v>
      </c>
      <c r="J329" s="25">
        <f>_xll.DBRW($A$1,$F$14,$F$15,$C329,$A$2,$F329,$G329,$H329,J$19)</f>
        <v>9</v>
      </c>
    </row>
    <row r="330" spans="1:10" s="23" customFormat="1" outlineLevel="1" thickBot="1" x14ac:dyDescent="0.3">
      <c r="A330" s="44"/>
      <c r="B330" s="31" t="str">
        <f>IF(_xll.TM1RPTELISCONSOLIDATED($H$20,$H330),IF(_xll.TM1RPTELLEV($H$20,$H330)&lt;=5,_xll.TM1RPTELLEV($H$20,$H330),"Default"),"Leaf")</f>
        <v>Leaf</v>
      </c>
      <c r="C330" s="26" t="s">
        <v>11</v>
      </c>
      <c r="D330" s="24" t="str">
        <f>_xll.DBRW("TM1-S1_DEV:}ElementAttributes_SP_SKU",$F330,D$1)</f>
        <v>Primary</v>
      </c>
      <c r="E330" s="24" t="str">
        <f>_xll.DBRW("TM1-S1_DEV:}ElementAttributes_SP_SKU",$F330,E$1)</f>
        <v>GEL</v>
      </c>
      <c r="F330" s="26" t="s">
        <v>3259</v>
      </c>
      <c r="G330" s="26" t="s">
        <v>933</v>
      </c>
      <c r="H330" s="26" t="s">
        <v>2709</v>
      </c>
      <c r="I330" s="54">
        <f>_xll.DBRW($A$1,$F$14,$F$15,$C330,$A$2,$F330,$G330,$H330,I$1)</f>
        <v>1</v>
      </c>
      <c r="J330" s="25">
        <f>_xll.DBRW($A$1,$F$14,$F$15,$C330,$A$2,$F330,$G330,$H330,J$19)</f>
        <v>1</v>
      </c>
    </row>
    <row r="331" spans="1:10" s="23" customFormat="1" outlineLevel="1" thickBot="1" x14ac:dyDescent="0.3">
      <c r="A331" s="44"/>
      <c r="B331" s="31" t="str">
        <f>IF(_xll.TM1RPTELISCONSOLIDATED($H$20,$H331),IF(_xll.TM1RPTELLEV($H$20,$H331)&lt;=5,_xll.TM1RPTELLEV($H$20,$H331),"Default"),"Leaf")</f>
        <v>Leaf</v>
      </c>
      <c r="C331" s="26" t="s">
        <v>11</v>
      </c>
      <c r="D331" s="24" t="str">
        <f>_xll.DBRW("TM1-S1_DEV:}ElementAttributes_SP_SKU",$F331,D$1)</f>
        <v>Primary</v>
      </c>
      <c r="E331" s="24" t="str">
        <f>_xll.DBRW("TM1-S1_DEV:}ElementAttributes_SP_SKU",$F331,E$1)</f>
        <v>BREAD</v>
      </c>
      <c r="F331" s="26" t="s">
        <v>3260</v>
      </c>
      <c r="G331" s="26" t="s">
        <v>934</v>
      </c>
      <c r="H331" s="26" t="s">
        <v>2710</v>
      </c>
      <c r="I331" s="54">
        <f>_xll.DBRW($A$1,$F$14,$F$15,$C331,$A$2,$F331,$G331,$H331,I$1)</f>
        <v>11</v>
      </c>
      <c r="J331" s="25">
        <f>_xll.DBRW($A$1,$F$14,$F$15,$C331,$A$2,$F331,$G331,$H331,J$19)</f>
        <v>10</v>
      </c>
    </row>
    <row r="332" spans="1:10" s="23" customFormat="1" outlineLevel="1" thickBot="1" x14ac:dyDescent="0.3">
      <c r="A332" s="44"/>
      <c r="B332" s="31" t="str">
        <f>IF(_xll.TM1RPTELISCONSOLIDATED($H$20,$H332),IF(_xll.TM1RPTELLEV($H$20,$H332)&lt;=5,_xll.TM1RPTELLEV($H$20,$H332),"Default"),"Leaf")</f>
        <v>Leaf</v>
      </c>
      <c r="C332" s="26" t="s">
        <v>11</v>
      </c>
      <c r="D332" s="24" t="str">
        <f>_xll.DBRW("TM1-S1_DEV:}ElementAttributes_SP_SKU",$F332,D$1)</f>
        <v>Primary</v>
      </c>
      <c r="E332" s="24" t="str">
        <f>_xll.DBRW("TM1-S1_DEV:}ElementAttributes_SP_SKU",$F332,E$1)</f>
        <v>TRAY</v>
      </c>
      <c r="F332" s="26" t="s">
        <v>3231</v>
      </c>
      <c r="G332" s="26" t="s">
        <v>935</v>
      </c>
      <c r="H332" s="26" t="s">
        <v>2711</v>
      </c>
      <c r="I332" s="54">
        <f>_xll.DBRW($A$1,$F$14,$F$15,$C332,$A$2,$F332,$G332,$H332,I$1)</f>
        <v>18</v>
      </c>
      <c r="J332" s="25">
        <f>_xll.DBRW($A$1,$F$14,$F$15,$C332,$A$2,$F332,$G332,$H332,J$19)</f>
        <v>15</v>
      </c>
    </row>
    <row r="333" spans="1:10" s="23" customFormat="1" outlineLevel="1" thickBot="1" x14ac:dyDescent="0.3">
      <c r="A333" s="44"/>
      <c r="B333" s="31" t="str">
        <f>IF(_xll.TM1RPTELISCONSOLIDATED($H$20,$H333),IF(_xll.TM1RPTELLEV($H$20,$H333)&lt;=5,_xll.TM1RPTELLEV($H$20,$H333),"Default"),"Leaf")</f>
        <v>Leaf</v>
      </c>
      <c r="C333" s="26" t="s">
        <v>11</v>
      </c>
      <c r="D333" s="24" t="str">
        <f>_xll.DBRW("TM1-S1_DEV:}ElementAttributes_SP_SKU",$F333,D$1)</f>
        <v>Primary</v>
      </c>
      <c r="E333" s="24" t="str">
        <f>_xll.DBRW("TM1-S1_DEV:}ElementAttributes_SP_SKU",$F333,E$1)</f>
        <v>PAPER</v>
      </c>
      <c r="F333" s="26" t="s">
        <v>3261</v>
      </c>
      <c r="G333" s="26" t="s">
        <v>3315</v>
      </c>
      <c r="H333" s="26" t="s">
        <v>2716</v>
      </c>
      <c r="I333" s="54">
        <f>_xll.DBRW($A$1,$F$14,$F$15,$C333,$A$2,$F333,$G333,$H333,I$1)</f>
        <v>0</v>
      </c>
      <c r="J333" s="25">
        <f>_xll.DBRW($A$1,$F$14,$F$15,$C333,$A$2,$F333,$G333,$H333,J$19)</f>
        <v>-1</v>
      </c>
    </row>
    <row r="334" spans="1:10" s="23" customFormat="1" outlineLevel="1" thickBot="1" x14ac:dyDescent="0.3">
      <c r="A334" s="44"/>
      <c r="B334" s="31" t="str">
        <f>IF(_xll.TM1RPTELISCONSOLIDATED($H$20,$H334),IF(_xll.TM1RPTELLEV($H$20,$H334)&lt;=5,_xll.TM1RPTELLEV($H$20,$H334),"Default"),"Leaf")</f>
        <v>Leaf</v>
      </c>
      <c r="C334" s="26" t="s">
        <v>11</v>
      </c>
      <c r="D334" s="24" t="str">
        <f>_xll.DBRW("TM1-S1_DEV:}ElementAttributes_SP_SKU",$F334,D$1)</f>
        <v>Primary</v>
      </c>
      <c r="E334" s="24" t="str">
        <f>_xll.DBRW("TM1-S1_DEV:}ElementAttributes_SP_SKU",$F334,E$1)</f>
        <v>PAPER</v>
      </c>
      <c r="F334" s="26" t="s">
        <v>3239</v>
      </c>
      <c r="G334" s="26" t="s">
        <v>936</v>
      </c>
      <c r="H334" s="26" t="s">
        <v>2715</v>
      </c>
      <c r="I334" s="54">
        <f>_xll.DBRW($A$1,$F$14,$F$15,$C334,$A$2,$F334,$G334,$H334,I$1)</f>
        <v>23</v>
      </c>
      <c r="J334" s="25">
        <f>_xll.DBRW($A$1,$F$14,$F$15,$C334,$A$2,$F334,$G334,$H334,J$19)</f>
        <v>22</v>
      </c>
    </row>
    <row r="335" spans="1:10" s="23" customFormat="1" outlineLevel="1" thickBot="1" x14ac:dyDescent="0.3">
      <c r="A335" s="44"/>
      <c r="B335" s="31" t="str">
        <f>IF(_xll.TM1RPTELISCONSOLIDATED($H$20,$H335),IF(_xll.TM1RPTELLEV($H$20,$H335)&lt;=5,_xll.TM1RPTELLEV($H$20,$H335),"Default"),"Leaf")</f>
        <v>Leaf</v>
      </c>
      <c r="C335" s="26" t="s">
        <v>11</v>
      </c>
      <c r="D335" s="24" t="str">
        <f>_xll.DBRW("TM1-S1_DEV:}ElementAttributes_SP_SKU",$F335,D$1)</f>
        <v>Primary</v>
      </c>
      <c r="E335" s="24" t="str">
        <f>_xll.DBRW("TM1-S1_DEV:}ElementAttributes_SP_SKU",$F335,E$1)</f>
        <v>BOWL</v>
      </c>
      <c r="F335" s="26" t="s">
        <v>32</v>
      </c>
      <c r="G335" s="26" t="s">
        <v>937</v>
      </c>
      <c r="H335" s="26" t="s">
        <v>2708</v>
      </c>
      <c r="I335" s="54">
        <f>_xll.DBRW($A$1,$F$14,$F$15,$C335,$A$2,$F335,$G335,$H335,I$1)</f>
        <v>4</v>
      </c>
      <c r="J335" s="25">
        <f>_xll.DBRW($A$1,$F$14,$F$15,$C335,$A$2,$F335,$G335,$H335,J$19)</f>
        <v>4</v>
      </c>
    </row>
    <row r="336" spans="1:10" s="23" customFormat="1" outlineLevel="1" thickBot="1" x14ac:dyDescent="0.3">
      <c r="A336" s="44"/>
      <c r="B336" s="31" t="str">
        <f>IF(_xll.TM1RPTELISCONSOLIDATED($H$20,$H336),IF(_xll.TM1RPTELLEV($H$20,$H336)&lt;=5,_xll.TM1RPTELLEV($H$20,$H336),"Default"),"Leaf")</f>
        <v>Leaf</v>
      </c>
      <c r="C336" s="26" t="s">
        <v>11</v>
      </c>
      <c r="D336" s="24" t="str">
        <f>_xll.DBRW("TM1-S1_DEV:}ElementAttributes_SP_SKU",$F336,D$1)</f>
        <v>Primary</v>
      </c>
      <c r="E336" s="24" t="str">
        <f>_xll.DBRW("TM1-S1_DEV:}ElementAttributes_SP_SKU",$F336,E$1)</f>
        <v>BOWL</v>
      </c>
      <c r="F336" s="26" t="s">
        <v>33</v>
      </c>
      <c r="G336" s="26" t="s">
        <v>938</v>
      </c>
      <c r="H336" s="26" t="s">
        <v>2708</v>
      </c>
      <c r="I336" s="54">
        <f>_xll.DBRW($A$1,$F$14,$F$15,$C336,$A$2,$F336,$G336,$H336,I$1)</f>
        <v>6</v>
      </c>
      <c r="J336" s="25">
        <f>_xll.DBRW($A$1,$F$14,$F$15,$C336,$A$2,$F336,$G336,$H336,J$19)</f>
        <v>6</v>
      </c>
    </row>
    <row r="337" spans="1:10" s="23" customFormat="1" outlineLevel="1" thickBot="1" x14ac:dyDescent="0.3">
      <c r="A337" s="44"/>
      <c r="B337" s="31" t="str">
        <f>IF(_xll.TM1RPTELISCONSOLIDATED($H$20,$H337),IF(_xll.TM1RPTELLEV($H$20,$H337)&lt;=5,_xll.TM1RPTELLEV($H$20,$H337),"Default"),"Leaf")</f>
        <v>Leaf</v>
      </c>
      <c r="C337" s="26" t="s">
        <v>11</v>
      </c>
      <c r="D337" s="24" t="str">
        <f>_xll.DBRW("TM1-S1_DEV:}ElementAttributes_SP_SKU",$F337,D$1)</f>
        <v>Primary</v>
      </c>
      <c r="E337" s="24" t="str">
        <f>_xll.DBRW("TM1-S1_DEV:}ElementAttributes_SP_SKU",$F337,E$1)</f>
        <v>CONDIMENT</v>
      </c>
      <c r="F337" s="26" t="s">
        <v>3262</v>
      </c>
      <c r="G337" s="26" t="s">
        <v>3316</v>
      </c>
      <c r="H337" s="26" t="s">
        <v>2718</v>
      </c>
      <c r="I337" s="54">
        <f>_xll.DBRW($A$1,$F$14,$F$15,$C337,$A$2,$F337,$G337,$H337,I$1)</f>
        <v>0</v>
      </c>
      <c r="J337" s="25">
        <f>_xll.DBRW($A$1,$F$14,$F$15,$C337,$A$2,$F337,$G337,$H337,J$19)</f>
        <v>-1</v>
      </c>
    </row>
    <row r="338" spans="1:10" s="23" customFormat="1" outlineLevel="1" thickBot="1" x14ac:dyDescent="0.3">
      <c r="A338" s="44"/>
      <c r="B338" s="31" t="str">
        <f>IF(_xll.TM1RPTELISCONSOLIDATED($H$20,$H338),IF(_xll.TM1RPTELLEV($H$20,$H338)&lt;=5,_xll.TM1RPTELLEV($H$20,$H338),"Default"),"Leaf")</f>
        <v>Leaf</v>
      </c>
      <c r="C338" s="26" t="s">
        <v>11</v>
      </c>
      <c r="D338" s="24" t="str">
        <f>_xll.DBRW("TM1-S1_DEV:}ElementAttributes_SP_SKU",$F338,D$1)</f>
        <v>Primary</v>
      </c>
      <c r="E338" s="24" t="str">
        <f>_xll.DBRW("TM1-S1_DEV:}ElementAttributes_SP_SKU",$F338,E$1)</f>
        <v>DRESSING</v>
      </c>
      <c r="F338" s="26" t="s">
        <v>77</v>
      </c>
      <c r="G338" s="26" t="s">
        <v>939</v>
      </c>
      <c r="H338" s="26" t="s">
        <v>2747</v>
      </c>
      <c r="I338" s="54">
        <f>_xll.DBRW($A$1,$F$14,$F$15,$C338,$A$2,$F338,$G338,$H338,I$1)</f>
        <v>36</v>
      </c>
      <c r="J338" s="25">
        <f>_xll.DBRW($A$1,$F$14,$F$15,$C338,$A$2,$F338,$G338,$H338,J$19)</f>
        <v>36</v>
      </c>
    </row>
    <row r="339" spans="1:10" s="23" customFormat="1" outlineLevel="1" thickBot="1" x14ac:dyDescent="0.3">
      <c r="A339" s="44"/>
      <c r="B339" s="31" t="str">
        <f>IF(_xll.TM1RPTELISCONSOLIDATED($H$20,$H339),IF(_xll.TM1RPTELLEV($H$20,$H339)&lt;=5,_xll.TM1RPTELLEV($H$20,$H339),"Default"),"Leaf")</f>
        <v>Leaf</v>
      </c>
      <c r="C339" s="26" t="s">
        <v>11</v>
      </c>
      <c r="D339" s="24" t="str">
        <f>_xll.DBRW("TM1-S1_DEV:}ElementAttributes_SP_SKU",$F339,D$1)</f>
        <v>Primary</v>
      </c>
      <c r="E339" s="24" t="str">
        <f>_xll.DBRW("TM1-S1_DEV:}ElementAttributes_SP_SKU",$F339,E$1)</f>
        <v>DRESSING</v>
      </c>
      <c r="F339" s="26" t="s">
        <v>2972</v>
      </c>
      <c r="G339" s="26" t="s">
        <v>3027</v>
      </c>
      <c r="H339" s="26" t="s">
        <v>2743</v>
      </c>
      <c r="I339" s="54">
        <f>_xll.DBRW($A$1,$F$14,$F$15,$C339,$A$2,$F339,$G339,$H339,I$1)</f>
        <v>0</v>
      </c>
      <c r="J339" s="25">
        <f>_xll.DBRW($A$1,$F$14,$F$15,$C339,$A$2,$F339,$G339,$H339,J$19)</f>
        <v>-1</v>
      </c>
    </row>
    <row r="340" spans="1:10" s="23" customFormat="1" outlineLevel="1" thickBot="1" x14ac:dyDescent="0.3">
      <c r="A340" s="44"/>
      <c r="B340" s="31" t="str">
        <f>IF(_xll.TM1RPTELISCONSOLIDATED($H$20,$H340),IF(_xll.TM1RPTELLEV($H$20,$H340)&lt;=5,_xll.TM1RPTELLEV($H$20,$H340),"Default"),"Leaf")</f>
        <v>Leaf</v>
      </c>
      <c r="C340" s="26" t="s">
        <v>11</v>
      </c>
      <c r="D340" s="24" t="str">
        <f>_xll.DBRW("TM1-S1_DEV:}ElementAttributes_SP_SKU",$F340,D$1)</f>
        <v>Primary</v>
      </c>
      <c r="E340" s="24" t="str">
        <f>_xll.DBRW("TM1-S1_DEV:}ElementAttributes_SP_SKU",$F340,E$1)</f>
        <v>INGREDIENT</v>
      </c>
      <c r="F340" s="26" t="s">
        <v>78</v>
      </c>
      <c r="G340" s="26" t="s">
        <v>940</v>
      </c>
      <c r="H340" s="26" t="s">
        <v>2748</v>
      </c>
      <c r="I340" s="54">
        <f>_xll.DBRW($A$1,$F$14,$F$15,$C340,$A$2,$F340,$G340,$H340,I$1)</f>
        <v>2</v>
      </c>
      <c r="J340" s="25">
        <f>_xll.DBRW($A$1,$F$14,$F$15,$C340,$A$2,$F340,$G340,$H340,J$19)</f>
        <v>13</v>
      </c>
    </row>
    <row r="341" spans="1:10" s="23" customFormat="1" outlineLevel="1" thickBot="1" x14ac:dyDescent="0.3">
      <c r="A341" s="44"/>
      <c r="B341" s="31" t="str">
        <f>IF(_xll.TM1RPTELISCONSOLIDATED($H$20,$H341),IF(_xll.TM1RPTELLEV($H$20,$H341)&lt;=5,_xll.TM1RPTELLEV($H$20,$H341),"Default"),"Leaf")</f>
        <v>Leaf</v>
      </c>
      <c r="C341" s="26" t="s">
        <v>11</v>
      </c>
      <c r="D341" s="24" t="str">
        <f>_xll.DBRW("TM1-S1_DEV:}ElementAttributes_SP_SKU",$F341,D$1)</f>
        <v>Primary</v>
      </c>
      <c r="E341" s="24" t="str">
        <f>_xll.DBRW("TM1-S1_DEV:}ElementAttributes_SP_SKU",$F341,E$1)</f>
        <v>PAPER</v>
      </c>
      <c r="F341" s="26" t="s">
        <v>79</v>
      </c>
      <c r="G341" s="26" t="s">
        <v>941</v>
      </c>
      <c r="H341" s="26" t="s">
        <v>2749</v>
      </c>
      <c r="I341" s="54">
        <f>_xll.DBRW($A$1,$F$14,$F$15,$C341,$A$2,$F341,$G341,$H341,I$1)</f>
        <v>2</v>
      </c>
      <c r="J341" s="25">
        <f>_xll.DBRW($A$1,$F$14,$F$15,$C341,$A$2,$F341,$G341,$H341,J$19)</f>
        <v>14</v>
      </c>
    </row>
    <row r="342" spans="1:10" s="23" customFormat="1" outlineLevel="1" thickBot="1" x14ac:dyDescent="0.3">
      <c r="A342" s="44"/>
      <c r="B342" s="31" t="str">
        <f>IF(_xll.TM1RPTELISCONSOLIDATED($H$20,$H342),IF(_xll.TM1RPTELLEV($H$20,$H342)&lt;=5,_xll.TM1RPTELLEV($H$20,$H342),"Default"),"Leaf")</f>
        <v>Leaf</v>
      </c>
      <c r="C342" s="26" t="s">
        <v>11</v>
      </c>
      <c r="D342" s="24" t="str">
        <f>_xll.DBRW("TM1-S1_DEV:}ElementAttributes_SP_SKU",$F342,D$1)</f>
        <v>Primary</v>
      </c>
      <c r="E342" s="24" t="str">
        <f>_xll.DBRW("TM1-S1_DEV:}ElementAttributes_SP_SKU",$F342,E$1)</f>
        <v>CHEESE</v>
      </c>
      <c r="F342" s="26" t="s">
        <v>80</v>
      </c>
      <c r="G342" s="26" t="s">
        <v>942</v>
      </c>
      <c r="H342" s="26" t="s">
        <v>2750</v>
      </c>
      <c r="I342" s="54">
        <f>_xll.DBRW($A$1,$F$14,$F$15,$C342,$A$2,$F342,$G342,$H342,I$1)</f>
        <v>159</v>
      </c>
      <c r="J342" s="25">
        <f>_xll.DBRW($A$1,$F$14,$F$15,$C342,$A$2,$F342,$G342,$H342,J$19)</f>
        <v>239</v>
      </c>
    </row>
    <row r="343" spans="1:10" s="23" customFormat="1" outlineLevel="1" thickBot="1" x14ac:dyDescent="0.3">
      <c r="A343" s="44"/>
      <c r="B343" s="31" t="str">
        <f>IF(_xll.TM1RPTELISCONSOLIDATED($H$20,$H343),IF(_xll.TM1RPTELLEV($H$20,$H343)&lt;=5,_xll.TM1RPTELLEV($H$20,$H343),"Default"),"Leaf")</f>
        <v>Leaf</v>
      </c>
      <c r="C343" s="26" t="s">
        <v>11</v>
      </c>
      <c r="D343" s="24" t="str">
        <f>_xll.DBRW("TM1-S1_DEV:}ElementAttributes_SP_SKU",$F343,D$1)</f>
        <v>Primary</v>
      </c>
      <c r="E343" s="24" t="str">
        <f>_xll.DBRW("TM1-S1_DEV:}ElementAttributes_SP_SKU",$F343,E$1)</f>
        <v>PRODUCE</v>
      </c>
      <c r="F343" s="26" t="s">
        <v>2973</v>
      </c>
      <c r="G343" s="26" t="s">
        <v>3028</v>
      </c>
      <c r="H343" s="26" t="s">
        <v>3079</v>
      </c>
      <c r="I343" s="54">
        <f>_xll.DBRW($A$1,$F$14,$F$15,$C343,$A$2,$F343,$G343,$H343,I$1)</f>
        <v>0</v>
      </c>
      <c r="J343" s="25">
        <f>_xll.DBRW($A$1,$F$14,$F$15,$C343,$A$2,$F343,$G343,$H343,J$19)</f>
        <v>-1</v>
      </c>
    </row>
    <row r="344" spans="1:10" s="23" customFormat="1" outlineLevel="1" thickBot="1" x14ac:dyDescent="0.3">
      <c r="A344" s="44"/>
      <c r="B344" s="31" t="str">
        <f>IF(_xll.TM1RPTELISCONSOLIDATED($H$20,$H344),IF(_xll.TM1RPTELLEV($H$20,$H344)&lt;=5,_xll.TM1RPTELLEV($H$20,$H344),"Default"),"Leaf")</f>
        <v>Leaf</v>
      </c>
      <c r="C344" s="26" t="s">
        <v>11</v>
      </c>
      <c r="D344" s="24" t="str">
        <f>_xll.DBRW("TM1-S1_DEV:}ElementAttributes_SP_SKU",$F344,D$1)</f>
        <v>Primary</v>
      </c>
      <c r="E344" s="24" t="str">
        <f>_xll.DBRW("TM1-S1_DEV:}ElementAttributes_SP_SKU",$F344,E$1)</f>
        <v>PRODUCE</v>
      </c>
      <c r="F344" s="26" t="s">
        <v>2974</v>
      </c>
      <c r="G344" s="26" t="s">
        <v>3029</v>
      </c>
      <c r="H344" s="26" t="s">
        <v>3080</v>
      </c>
      <c r="I344" s="54">
        <f>_xll.DBRW($A$1,$F$14,$F$15,$C344,$A$2,$F344,$G344,$H344,I$1)</f>
        <v>0</v>
      </c>
      <c r="J344" s="25">
        <f>_xll.DBRW($A$1,$F$14,$F$15,$C344,$A$2,$F344,$G344,$H344,J$19)</f>
        <v>-12</v>
      </c>
    </row>
    <row r="345" spans="1:10" s="23" customFormat="1" outlineLevel="1" thickBot="1" x14ac:dyDescent="0.3">
      <c r="A345" s="44"/>
      <c r="B345" s="31" t="str">
        <f>IF(_xll.TM1RPTELISCONSOLIDATED($H$20,$H345),IF(_xll.TM1RPTELLEV($H$20,$H345)&lt;=5,_xll.TM1RPTELLEV($H$20,$H345),"Default"),"Leaf")</f>
        <v>Leaf</v>
      </c>
      <c r="C345" s="26" t="s">
        <v>11</v>
      </c>
      <c r="D345" s="24" t="str">
        <f>_xll.DBRW("TM1-S1_DEV:}ElementAttributes_SP_SKU",$F345,D$1)</f>
        <v>Primary</v>
      </c>
      <c r="E345" s="24" t="str">
        <f>_xll.DBRW("TM1-S1_DEV:}ElementAttributes_SP_SKU",$F345,E$1)</f>
        <v>GLOVES</v>
      </c>
      <c r="F345" s="26" t="s">
        <v>81</v>
      </c>
      <c r="G345" s="26" t="s">
        <v>943</v>
      </c>
      <c r="H345" s="26" t="s">
        <v>2751</v>
      </c>
      <c r="I345" s="54">
        <f>_xll.DBRW($A$1,$F$14,$F$15,$C345,$A$2,$F345,$G345,$H345,I$1)</f>
        <v>85</v>
      </c>
      <c r="J345" s="25">
        <f>_xll.DBRW($A$1,$F$14,$F$15,$C345,$A$2,$F345,$G345,$H345,J$19)</f>
        <v>85</v>
      </c>
    </row>
    <row r="346" spans="1:10" s="23" customFormat="1" outlineLevel="1" thickBot="1" x14ac:dyDescent="0.3">
      <c r="A346" s="44"/>
      <c r="B346" s="31" t="str">
        <f>IF(_xll.TM1RPTELISCONSOLIDATED($H$20,$H346),IF(_xll.TM1RPTELLEV($H$20,$H346)&lt;=5,_xll.TM1RPTELLEV($H$20,$H346),"Default"),"Leaf")</f>
        <v>Leaf</v>
      </c>
      <c r="C346" s="26" t="s">
        <v>11</v>
      </c>
      <c r="D346" s="24" t="str">
        <f>_xll.DBRW("TM1-S1_DEV:}ElementAttributes_SP_SKU",$F346,D$1)</f>
        <v>Primary</v>
      </c>
      <c r="E346" s="24" t="str">
        <f>_xll.DBRW("TM1-S1_DEV:}ElementAttributes_SP_SKU",$F346,E$1)</f>
        <v>GLOVES</v>
      </c>
      <c r="F346" s="26" t="s">
        <v>82</v>
      </c>
      <c r="G346" s="26" t="s">
        <v>944</v>
      </c>
      <c r="H346" s="26" t="s">
        <v>2751</v>
      </c>
      <c r="I346" s="54">
        <f>_xll.DBRW($A$1,$F$14,$F$15,$C346,$A$2,$F346,$G346,$H346,I$1)</f>
        <v>32</v>
      </c>
      <c r="J346" s="25">
        <f>_xll.DBRW($A$1,$F$14,$F$15,$C346,$A$2,$F346,$G346,$H346,J$19)</f>
        <v>56</v>
      </c>
    </row>
    <row r="347" spans="1:10" s="23" customFormat="1" outlineLevel="1" thickBot="1" x14ac:dyDescent="0.3">
      <c r="A347" s="44"/>
      <c r="B347" s="31" t="str">
        <f>IF(_xll.TM1RPTELISCONSOLIDATED($H$20,$H347),IF(_xll.TM1RPTELLEV($H$20,$H347)&lt;=5,_xll.TM1RPTELLEV($H$20,$H347),"Default"),"Leaf")</f>
        <v>Leaf</v>
      </c>
      <c r="C347" s="26" t="s">
        <v>11</v>
      </c>
      <c r="D347" s="24" t="str">
        <f>_xll.DBRW("TM1-S1_DEV:}ElementAttributes_SP_SKU",$F347,D$1)</f>
        <v>Primary</v>
      </c>
      <c r="E347" s="24" t="str">
        <f>_xll.DBRW("TM1-S1_DEV:}ElementAttributes_SP_SKU",$F347,E$1)</f>
        <v>GLOVES</v>
      </c>
      <c r="F347" s="26" t="s">
        <v>83</v>
      </c>
      <c r="G347" s="26" t="s">
        <v>945</v>
      </c>
      <c r="H347" s="26" t="s">
        <v>2751</v>
      </c>
      <c r="I347" s="54">
        <f>_xll.DBRW($A$1,$F$14,$F$15,$C347,$A$2,$F347,$G347,$H347,I$1)</f>
        <v>13</v>
      </c>
      <c r="J347" s="25">
        <f>_xll.DBRW($A$1,$F$14,$F$15,$C347,$A$2,$F347,$G347,$H347,J$19)</f>
        <v>9</v>
      </c>
    </row>
    <row r="348" spans="1:10" s="23" customFormat="1" outlineLevel="1" thickBot="1" x14ac:dyDescent="0.3">
      <c r="A348" s="44"/>
      <c r="B348" s="31" t="str">
        <f>IF(_xll.TM1RPTELISCONSOLIDATED($H$20,$H348),IF(_xll.TM1RPTELLEV($H$20,$H348)&lt;=5,_xll.TM1RPTELLEV($H$20,$H348),"Default"),"Leaf")</f>
        <v>Leaf</v>
      </c>
      <c r="C348" s="26" t="s">
        <v>11</v>
      </c>
      <c r="D348" s="24" t="str">
        <f>_xll.DBRW("TM1-S1_DEV:}ElementAttributes_SP_SKU",$F348,D$1)</f>
        <v>Primary</v>
      </c>
      <c r="E348" s="24" t="str">
        <f>_xll.DBRW("TM1-S1_DEV:}ElementAttributes_SP_SKU",$F348,E$1)</f>
        <v>GLOVES</v>
      </c>
      <c r="F348" s="26" t="s">
        <v>84</v>
      </c>
      <c r="G348" s="26" t="s">
        <v>946</v>
      </c>
      <c r="H348" s="26" t="s">
        <v>2751</v>
      </c>
      <c r="I348" s="54">
        <f>_xll.DBRW($A$1,$F$14,$F$15,$C348,$A$2,$F348,$G348,$H348,I$1)</f>
        <v>54</v>
      </c>
      <c r="J348" s="25">
        <f>_xll.DBRW($A$1,$F$14,$F$15,$C348,$A$2,$F348,$G348,$H348,J$19)</f>
        <v>102</v>
      </c>
    </row>
    <row r="349" spans="1:10" s="23" customFormat="1" outlineLevel="1" thickBot="1" x14ac:dyDescent="0.3">
      <c r="A349" s="44"/>
      <c r="B349" s="31" t="str">
        <f>IF(_xll.TM1RPTELISCONSOLIDATED($H$20,$H349),IF(_xll.TM1RPTELLEV($H$20,$H349)&lt;=5,_xll.TM1RPTELLEV($H$20,$H349),"Default"),"Leaf")</f>
        <v>Leaf</v>
      </c>
      <c r="C349" s="26" t="s">
        <v>11</v>
      </c>
      <c r="D349" s="24" t="str">
        <f>_xll.DBRW("TM1-S1_DEV:}ElementAttributes_SP_SKU",$F349,D$1)</f>
        <v>Primary</v>
      </c>
      <c r="E349" s="24" t="str">
        <f>_xll.DBRW("TM1-S1_DEV:}ElementAttributes_SP_SKU",$F349,E$1)</f>
        <v>BOWL</v>
      </c>
      <c r="F349" s="26" t="s">
        <v>3263</v>
      </c>
      <c r="G349" s="26" t="s">
        <v>924</v>
      </c>
      <c r="H349" s="26" t="s">
        <v>3339</v>
      </c>
      <c r="I349" s="54">
        <f>_xll.DBRW($A$1,$F$14,$F$15,$C349,$A$2,$F349,$G349,$H349,I$1)</f>
        <v>0</v>
      </c>
      <c r="J349" s="25">
        <f>_xll.DBRW($A$1,$F$14,$F$15,$C349,$A$2,$F349,$G349,$H349,J$19)</f>
        <v>-1</v>
      </c>
    </row>
    <row r="350" spans="1:10" s="23" customFormat="1" outlineLevel="1" thickBot="1" x14ac:dyDescent="0.3">
      <c r="A350" s="44"/>
      <c r="B350" s="31" t="str">
        <f>IF(_xll.TM1RPTELISCONSOLIDATED($H$20,$H350),IF(_xll.TM1RPTELLEV($H$20,$H350)&lt;=5,_xll.TM1RPTELLEV($H$20,$H350),"Default"),"Leaf")</f>
        <v>Leaf</v>
      </c>
      <c r="C350" s="26" t="s">
        <v>11</v>
      </c>
      <c r="D350" s="24" t="str">
        <f>_xll.DBRW("TM1-S1_DEV:}ElementAttributes_SP_SKU",$F350,D$1)</f>
        <v>Primary</v>
      </c>
      <c r="E350" s="24" t="str">
        <f>_xll.DBRW("TM1-S1_DEV:}ElementAttributes_SP_SKU",$F350,E$1)</f>
        <v>BOWL</v>
      </c>
      <c r="F350" s="26" t="s">
        <v>3264</v>
      </c>
      <c r="G350" s="26" t="s">
        <v>3317</v>
      </c>
      <c r="H350" s="26" t="s">
        <v>3339</v>
      </c>
      <c r="I350" s="54">
        <f>_xll.DBRW($A$1,$F$14,$F$15,$C350,$A$2,$F350,$G350,$H350,I$1)</f>
        <v>0</v>
      </c>
      <c r="J350" s="25">
        <f>_xll.DBRW($A$1,$F$14,$F$15,$C350,$A$2,$F350,$G350,$H350,J$19)</f>
        <v>-1</v>
      </c>
    </row>
    <row r="351" spans="1:10" s="23" customFormat="1" outlineLevel="1" thickBot="1" x14ac:dyDescent="0.3">
      <c r="A351" s="44"/>
      <c r="B351" s="31" t="str">
        <f>IF(_xll.TM1RPTELISCONSOLIDATED($H$20,$H351),IF(_xll.TM1RPTELLEV($H$20,$H351)&lt;=5,_xll.TM1RPTELLEV($H$20,$H351),"Default"),"Leaf")</f>
        <v>Leaf</v>
      </c>
      <c r="C351" s="26" t="s">
        <v>11</v>
      </c>
      <c r="D351" s="24" t="str">
        <f>_xll.DBRW("TM1-S1_DEV:}ElementAttributes_SP_SKU",$F351,D$1)</f>
        <v>Primary</v>
      </c>
      <c r="E351" s="24" t="str">
        <f>_xll.DBRW("TM1-S1_DEV:}ElementAttributes_SP_SKU",$F351,E$1)</f>
        <v>PRODUCE</v>
      </c>
      <c r="F351" s="26" t="s">
        <v>2975</v>
      </c>
      <c r="G351" s="26" t="s">
        <v>3030</v>
      </c>
      <c r="H351" s="26" t="s">
        <v>3081</v>
      </c>
      <c r="I351" s="54">
        <f>_xll.DBRW($A$1,$F$14,$F$15,$C351,$A$2,$F351,$G351,$H351,I$1)</f>
        <v>0</v>
      </c>
      <c r="J351" s="25">
        <f>_xll.DBRW($A$1,$F$14,$F$15,$C351,$A$2,$F351,$G351,$H351,J$19)</f>
        <v>-2</v>
      </c>
    </row>
    <row r="352" spans="1:10" s="23" customFormat="1" outlineLevel="1" thickBot="1" x14ac:dyDescent="0.3">
      <c r="A352" s="44"/>
      <c r="B352" s="31" t="str">
        <f>IF(_xll.TM1RPTELISCONSOLIDATED($H$20,$H352),IF(_xll.TM1RPTELLEV($H$20,$H352)&lt;=5,_xll.TM1RPTELLEV($H$20,$H352),"Default"),"Leaf")</f>
        <v>Leaf</v>
      </c>
      <c r="C352" s="26" t="s">
        <v>11</v>
      </c>
      <c r="D352" s="24" t="str">
        <f>_xll.DBRW("TM1-S1_DEV:}ElementAttributes_SP_SKU",$F352,D$1)</f>
        <v>Primary</v>
      </c>
      <c r="E352" s="24" t="str">
        <f>_xll.DBRW("TM1-S1_DEV:}ElementAttributes_SP_SKU",$F352,E$1)</f>
        <v>PLATE</v>
      </c>
      <c r="F352" s="26" t="s">
        <v>3265</v>
      </c>
      <c r="G352" s="26" t="s">
        <v>3318</v>
      </c>
      <c r="H352" s="26" t="s">
        <v>2752</v>
      </c>
      <c r="I352" s="54">
        <f>_xll.DBRW($A$1,$F$14,$F$15,$C352,$A$2,$F352,$G352,$H352,I$1)</f>
        <v>0</v>
      </c>
      <c r="J352" s="25">
        <f>_xll.DBRW($A$1,$F$14,$F$15,$C352,$A$2,$F352,$G352,$H352,J$19)</f>
        <v>-1</v>
      </c>
    </row>
    <row r="353" spans="1:10" s="23" customFormat="1" outlineLevel="1" thickBot="1" x14ac:dyDescent="0.3">
      <c r="A353" s="44"/>
      <c r="B353" s="31" t="str">
        <f>IF(_xll.TM1RPTELISCONSOLIDATED($H$20,$H353),IF(_xll.TM1RPTELLEV($H$20,$H353)&lt;=5,_xll.TM1RPTELLEV($H$20,$H353),"Default"),"Leaf")</f>
        <v>Leaf</v>
      </c>
      <c r="C353" s="26" t="s">
        <v>11</v>
      </c>
      <c r="D353" s="24" t="str">
        <f>_xll.DBRW("TM1-S1_DEV:}ElementAttributes_SP_SKU",$F353,D$1)</f>
        <v>Primary</v>
      </c>
      <c r="E353" s="24" t="str">
        <f>_xll.DBRW("TM1-S1_DEV:}ElementAttributes_SP_SKU",$F353,E$1)</f>
        <v>TRAY</v>
      </c>
      <c r="F353" s="26" t="s">
        <v>2976</v>
      </c>
      <c r="G353" s="26" t="s">
        <v>3031</v>
      </c>
      <c r="H353" s="26" t="s">
        <v>2753</v>
      </c>
      <c r="I353" s="54">
        <f>_xll.DBRW($A$1,$F$14,$F$15,$C353,$A$2,$F353,$G353,$H353,I$1)</f>
        <v>0</v>
      </c>
      <c r="J353" s="25">
        <f>_xll.DBRW($A$1,$F$14,$F$15,$C353,$A$2,$F353,$G353,$H353,J$19)</f>
        <v>-1</v>
      </c>
    </row>
    <row r="354" spans="1:10" s="23" customFormat="1" outlineLevel="1" thickBot="1" x14ac:dyDescent="0.3">
      <c r="A354" s="44"/>
      <c r="B354" s="31" t="str">
        <f>IF(_xll.TM1RPTELISCONSOLIDATED($H$20,$H354),IF(_xll.TM1RPTELLEV($H$20,$H354)&lt;=5,_xll.TM1RPTELLEV($H$20,$H354),"Default"),"Leaf")</f>
        <v>Leaf</v>
      </c>
      <c r="C354" s="26" t="s">
        <v>11</v>
      </c>
      <c r="D354" s="24" t="str">
        <f>_xll.DBRW("TM1-S1_DEV:}ElementAttributes_SP_SKU",$F354,D$1)</f>
        <v>Primary</v>
      </c>
      <c r="E354" s="24" t="str">
        <f>_xll.DBRW("TM1-S1_DEV:}ElementAttributes_SP_SKU",$F354,E$1)</f>
        <v>TRAY</v>
      </c>
      <c r="F354" s="26" t="s">
        <v>2977</v>
      </c>
      <c r="G354" s="26" t="s">
        <v>3032</v>
      </c>
      <c r="H354" s="26" t="s">
        <v>2753</v>
      </c>
      <c r="I354" s="54">
        <f>_xll.DBRW($A$1,$F$14,$F$15,$C354,$A$2,$F354,$G354,$H354,I$1)</f>
        <v>0</v>
      </c>
      <c r="J354" s="25">
        <f>_xll.DBRW($A$1,$F$14,$F$15,$C354,$A$2,$F354,$G354,$H354,J$19)</f>
        <v>-1</v>
      </c>
    </row>
    <row r="355" spans="1:10" s="23" customFormat="1" outlineLevel="1" thickBot="1" x14ac:dyDescent="0.3">
      <c r="A355" s="44"/>
      <c r="B355" s="31" t="str">
        <f>IF(_xll.TM1RPTELISCONSOLIDATED($H$20,$H355),IF(_xll.TM1RPTELLEV($H$20,$H355)&lt;=5,_xll.TM1RPTELLEV($H$20,$H355),"Default"),"Leaf")</f>
        <v>Leaf</v>
      </c>
      <c r="C355" s="26" t="s">
        <v>11</v>
      </c>
      <c r="D355" s="24" t="str">
        <f>_xll.DBRW("TM1-S1_DEV:}ElementAttributes_SP_SKU",$F355,D$1)</f>
        <v>Primary</v>
      </c>
      <c r="E355" s="24" t="str">
        <f>_xll.DBRW("TM1-S1_DEV:}ElementAttributes_SP_SKU",$F355,E$1)</f>
        <v>TRAY</v>
      </c>
      <c r="F355" s="26" t="s">
        <v>2978</v>
      </c>
      <c r="G355" s="26" t="s">
        <v>3033</v>
      </c>
      <c r="H355" s="26" t="s">
        <v>2753</v>
      </c>
      <c r="I355" s="54">
        <f>_xll.DBRW($A$1,$F$14,$F$15,$C355,$A$2,$F355,$G355,$H355,I$1)</f>
        <v>0</v>
      </c>
      <c r="J355" s="25">
        <f>_xll.DBRW($A$1,$F$14,$F$15,$C355,$A$2,$F355,$G355,$H355,J$19)</f>
        <v>-1</v>
      </c>
    </row>
    <row r="356" spans="1:10" s="23" customFormat="1" outlineLevel="1" thickBot="1" x14ac:dyDescent="0.3">
      <c r="A356" s="44"/>
      <c r="B356" s="31" t="str">
        <f>IF(_xll.TM1RPTELISCONSOLIDATED($H$20,$H356),IF(_xll.TM1RPTELLEV($H$20,$H356)&lt;=5,_xll.TM1RPTELLEV($H$20,$H356),"Default"),"Leaf")</f>
        <v>Leaf</v>
      </c>
      <c r="C356" s="26" t="s">
        <v>11</v>
      </c>
      <c r="D356" s="24" t="str">
        <f>_xll.DBRW("TM1-S1_DEV:}ElementAttributes_SP_SKU",$F356,D$1)</f>
        <v>Primary</v>
      </c>
      <c r="E356" s="24" t="str">
        <f>_xll.DBRW("TM1-S1_DEV:}ElementAttributes_SP_SKU",$F356,E$1)</f>
        <v>CONTAINER</v>
      </c>
      <c r="F356" s="26" t="s">
        <v>2979</v>
      </c>
      <c r="G356" s="26" t="s">
        <v>3034</v>
      </c>
      <c r="H356" s="26" t="s">
        <v>2754</v>
      </c>
      <c r="I356" s="54">
        <f>_xll.DBRW($A$1,$F$14,$F$15,$C356,$A$2,$F356,$G356,$H356,I$1)</f>
        <v>0</v>
      </c>
      <c r="J356" s="25">
        <f>_xll.DBRW($A$1,$F$14,$F$15,$C356,$A$2,$F356,$G356,$H356,J$19)</f>
        <v>-1</v>
      </c>
    </row>
    <row r="357" spans="1:10" s="23" customFormat="1" outlineLevel="1" thickBot="1" x14ac:dyDescent="0.3">
      <c r="A357" s="44"/>
      <c r="B357" s="31" t="str">
        <f>IF(_xll.TM1RPTELISCONSOLIDATED($H$20,$H357),IF(_xll.TM1RPTELLEV($H$20,$H357)&lt;=5,_xll.TM1RPTELLEV($H$20,$H357),"Default"),"Leaf")</f>
        <v>Leaf</v>
      </c>
      <c r="C357" s="26" t="s">
        <v>11</v>
      </c>
      <c r="D357" s="24" t="str">
        <f>_xll.DBRW("TM1-S1_DEV:}ElementAttributes_SP_SKU",$F357,D$1)</f>
        <v>Primary</v>
      </c>
      <c r="E357" s="24" t="str">
        <f>_xll.DBRW("TM1-S1_DEV:}ElementAttributes_SP_SKU",$F357,E$1)</f>
        <v>CRACKERS</v>
      </c>
      <c r="F357" s="26" t="s">
        <v>3266</v>
      </c>
      <c r="G357" s="26" t="s">
        <v>3319</v>
      </c>
      <c r="H357" s="26" t="s">
        <v>3340</v>
      </c>
      <c r="I357" s="54">
        <f>_xll.DBRW($A$1,$F$14,$F$15,$C357,$A$2,$F357,$G357,$H357,I$1)</f>
        <v>0</v>
      </c>
      <c r="J357" s="25">
        <f>_xll.DBRW($A$1,$F$14,$F$15,$C357,$A$2,$F357,$G357,$H357,J$19)</f>
        <v>-1</v>
      </c>
    </row>
    <row r="358" spans="1:10" s="23" customFormat="1" outlineLevel="1" thickBot="1" x14ac:dyDescent="0.3">
      <c r="A358" s="44"/>
      <c r="B358" s="31" t="str">
        <f>IF(_xll.TM1RPTELISCONSOLIDATED($H$20,$H358),IF(_xll.TM1RPTELLEV($H$20,$H358)&lt;=5,_xll.TM1RPTELLEV($H$20,$H358),"Default"),"Leaf")</f>
        <v>Leaf</v>
      </c>
      <c r="C358" s="26" t="s">
        <v>11</v>
      </c>
      <c r="D358" s="24" t="str">
        <f>_xll.DBRW("TM1-S1_DEV:}ElementAttributes_SP_SKU",$F358,D$1)</f>
        <v>Primary</v>
      </c>
      <c r="E358" s="24" t="str">
        <f>_xll.DBRW("TM1-S1_DEV:}ElementAttributes_SP_SKU",$F358,E$1)</f>
        <v>BAG</v>
      </c>
      <c r="F358" s="26" t="s">
        <v>85</v>
      </c>
      <c r="G358" s="26" t="s">
        <v>3035</v>
      </c>
      <c r="H358" s="26" t="s">
        <v>3082</v>
      </c>
      <c r="I358" s="54">
        <f>_xll.DBRW($A$1,$F$14,$F$15,$C358,$A$2,$F358,$G358,$H358,I$1)</f>
        <v>0</v>
      </c>
      <c r="J358" s="25">
        <f>_xll.DBRW($A$1,$F$14,$F$15,$C358,$A$2,$F358,$G358,$H358,J$19)</f>
        <v>-1</v>
      </c>
    </row>
    <row r="359" spans="1:10" s="23" customFormat="1" outlineLevel="1" thickBot="1" x14ac:dyDescent="0.3">
      <c r="A359" s="44"/>
      <c r="B359" s="31" t="str">
        <f>IF(_xll.TM1RPTELISCONSOLIDATED($H$20,$H359),IF(_xll.TM1RPTELLEV($H$20,$H359)&lt;=5,_xll.TM1RPTELLEV($H$20,$H359),"Default"),"Leaf")</f>
        <v>Leaf</v>
      </c>
      <c r="C359" s="26" t="s">
        <v>11</v>
      </c>
      <c r="D359" s="24" t="str">
        <f>_xll.DBRW("TM1-S1_DEV:}ElementAttributes_SP_SKU",$F359,D$1)</f>
        <v>Primary</v>
      </c>
      <c r="E359" s="24" t="str">
        <f>_xll.DBRW("TM1-S1_DEV:}ElementAttributes_SP_SKU",$F359,E$1)</f>
        <v>DRESSING</v>
      </c>
      <c r="F359" s="26" t="s">
        <v>2980</v>
      </c>
      <c r="G359" s="26" t="s">
        <v>3036</v>
      </c>
      <c r="H359" s="26" t="s">
        <v>3083</v>
      </c>
      <c r="I359" s="54">
        <f>_xll.DBRW($A$1,$F$14,$F$15,$C359,$A$2,$F359,$G359,$H359,I$1)</f>
        <v>0</v>
      </c>
      <c r="J359" s="25">
        <f>_xll.DBRW($A$1,$F$14,$F$15,$C359,$A$2,$F359,$G359,$H359,J$19)</f>
        <v>-2</v>
      </c>
    </row>
    <row r="360" spans="1:10" s="23" customFormat="1" outlineLevel="1" thickBot="1" x14ac:dyDescent="0.3">
      <c r="A360" s="44"/>
      <c r="B360" s="31" t="str">
        <f>IF(_xll.TM1RPTELISCONSOLIDATED($H$20,$H360),IF(_xll.TM1RPTELLEV($H$20,$H360)&lt;=5,_xll.TM1RPTELLEV($H$20,$H360),"Default"),"Leaf")</f>
        <v>Leaf</v>
      </c>
      <c r="C360" s="26" t="s">
        <v>11</v>
      </c>
      <c r="D360" s="24" t="str">
        <f>_xll.DBRW("TM1-S1_DEV:}ElementAttributes_SP_SKU",$F360,D$1)</f>
        <v>Primary</v>
      </c>
      <c r="E360" s="24" t="str">
        <f>_xll.DBRW("TM1-S1_DEV:}ElementAttributes_SP_SKU",$F360,E$1)</f>
        <v>DRESSING</v>
      </c>
      <c r="F360" s="26" t="s">
        <v>2981</v>
      </c>
      <c r="G360" s="26" t="s">
        <v>3037</v>
      </c>
      <c r="H360" s="26" t="s">
        <v>3083</v>
      </c>
      <c r="I360" s="54">
        <f>_xll.DBRW($A$1,$F$14,$F$15,$C360,$A$2,$F360,$G360,$H360,I$1)</f>
        <v>0</v>
      </c>
      <c r="J360" s="25">
        <f>_xll.DBRW($A$1,$F$14,$F$15,$C360,$A$2,$F360,$G360,$H360,J$19)</f>
        <v>-2</v>
      </c>
    </row>
    <row r="361" spans="1:10" s="23" customFormat="1" outlineLevel="1" thickBot="1" x14ac:dyDescent="0.3">
      <c r="A361" s="44"/>
      <c r="B361" s="31" t="str">
        <f>IF(_xll.TM1RPTELISCONSOLIDATED($H$20,$H361),IF(_xll.TM1RPTELLEV($H$20,$H361)&lt;=5,_xll.TM1RPTELLEV($H$20,$H361),"Default"),"Leaf")</f>
        <v>Leaf</v>
      </c>
      <c r="C361" s="26" t="s">
        <v>11</v>
      </c>
      <c r="D361" s="24" t="str">
        <f>_xll.DBRW("TM1-S1_DEV:}ElementAttributes_SP_SKU",$F361,D$1)</f>
        <v>Primary</v>
      </c>
      <c r="E361" s="24" t="str">
        <f>_xll.DBRW("TM1-S1_DEV:}ElementAttributes_SP_SKU",$F361,E$1)</f>
        <v>BAG</v>
      </c>
      <c r="F361" s="26" t="s">
        <v>86</v>
      </c>
      <c r="G361" s="26" t="s">
        <v>947</v>
      </c>
      <c r="H361" s="26" t="s">
        <v>2755</v>
      </c>
      <c r="I361" s="54">
        <f>_xll.DBRW($A$1,$F$14,$F$15,$C361,$A$2,$F361,$G361,$H361,I$1)</f>
        <v>104</v>
      </c>
      <c r="J361" s="25">
        <f>_xll.DBRW($A$1,$F$14,$F$15,$C361,$A$2,$F361,$G361,$H361,J$19)</f>
        <v>103</v>
      </c>
    </row>
    <row r="362" spans="1:10" s="23" customFormat="1" outlineLevel="1" thickBot="1" x14ac:dyDescent="0.3">
      <c r="A362" s="44"/>
      <c r="B362" s="31" t="str">
        <f>IF(_xll.TM1RPTELISCONSOLIDATED($H$20,$H362),IF(_xll.TM1RPTELLEV($H$20,$H362)&lt;=5,_xll.TM1RPTELLEV($H$20,$H362),"Default"),"Leaf")</f>
        <v>Leaf</v>
      </c>
      <c r="C362" s="26" t="s">
        <v>11</v>
      </c>
      <c r="D362" s="24" t="str">
        <f>_xll.DBRW("TM1-S1_DEV:}ElementAttributes_SP_SKU",$F362,D$1)</f>
        <v>Primary</v>
      </c>
      <c r="E362" s="24" t="str">
        <f>_xll.DBRW("TM1-S1_DEV:}ElementAttributes_SP_SKU",$F362,E$1)</f>
        <v>PRODUCE</v>
      </c>
      <c r="F362" s="26" t="s">
        <v>2982</v>
      </c>
      <c r="G362" s="26" t="s">
        <v>3038</v>
      </c>
      <c r="H362" s="26" t="s">
        <v>3084</v>
      </c>
      <c r="I362" s="54">
        <f>_xll.DBRW($A$1,$F$14,$F$15,$C362,$A$2,$F362,$G362,$H362,I$1)</f>
        <v>0</v>
      </c>
      <c r="J362" s="25">
        <f>_xll.DBRW($A$1,$F$14,$F$15,$C362,$A$2,$F362,$G362,$H362,J$19)</f>
        <v>-9</v>
      </c>
    </row>
    <row r="363" spans="1:10" s="23" customFormat="1" outlineLevel="1" thickBot="1" x14ac:dyDescent="0.3">
      <c r="A363" s="44"/>
      <c r="B363" s="31" t="str">
        <f>IF(_xll.TM1RPTELISCONSOLIDATED($H$20,$H363),IF(_xll.TM1RPTELLEV($H$20,$H363)&lt;=5,_xll.TM1RPTELLEV($H$20,$H363),"Default"),"Leaf")</f>
        <v>Leaf</v>
      </c>
      <c r="C363" s="26" t="s">
        <v>11</v>
      </c>
      <c r="D363" s="24" t="str">
        <f>_xll.DBRW("TM1-S1_DEV:}ElementAttributes_SP_SKU",$F363,D$1)</f>
        <v>Primary</v>
      </c>
      <c r="E363" s="24" t="str">
        <f>_xll.DBRW("TM1-S1_DEV:}ElementAttributes_SP_SKU",$F363,E$1)</f>
        <v>PRODUCE</v>
      </c>
      <c r="F363" s="26" t="s">
        <v>2983</v>
      </c>
      <c r="G363" s="26" t="s">
        <v>3039</v>
      </c>
      <c r="H363" s="26" t="s">
        <v>3084</v>
      </c>
      <c r="I363" s="54">
        <f>_xll.DBRW($A$1,$F$14,$F$15,$C363,$A$2,$F363,$G363,$H363,I$1)</f>
        <v>0</v>
      </c>
      <c r="J363" s="25">
        <f>_xll.DBRW($A$1,$F$14,$F$15,$C363,$A$2,$F363,$G363,$H363,J$19)</f>
        <v>-1</v>
      </c>
    </row>
    <row r="364" spans="1:10" s="23" customFormat="1" outlineLevel="1" thickBot="1" x14ac:dyDescent="0.3">
      <c r="A364" s="44"/>
      <c r="B364" s="31" t="str">
        <f>IF(_xll.TM1RPTELISCONSOLIDATED($H$20,$H364),IF(_xll.TM1RPTELLEV($H$20,$H364)&lt;=5,_xll.TM1RPTELLEV($H$20,$H364),"Default"),"Leaf")</f>
        <v>Leaf</v>
      </c>
      <c r="C364" s="26" t="s">
        <v>11</v>
      </c>
      <c r="D364" s="24" t="str">
        <f>_xll.DBRW("TM1-S1_DEV:}ElementAttributes_SP_SKU",$F364,D$1)</f>
        <v>Primary</v>
      </c>
      <c r="E364" s="24" t="str">
        <f>_xll.DBRW("TM1-S1_DEV:}ElementAttributes_SP_SKU",$F364,E$1)</f>
        <v>CHEESE</v>
      </c>
      <c r="F364" s="26" t="s">
        <v>87</v>
      </c>
      <c r="G364" s="26" t="s">
        <v>948</v>
      </c>
      <c r="H364" s="26" t="s">
        <v>2756</v>
      </c>
      <c r="I364" s="54">
        <f>_xll.DBRW($A$1,$F$14,$F$15,$C364,$A$2,$F364,$G364,$H364,I$1)</f>
        <v>67</v>
      </c>
      <c r="J364" s="25">
        <f>_xll.DBRW($A$1,$F$14,$F$15,$C364,$A$2,$F364,$G364,$H364,J$19)</f>
        <v>104</v>
      </c>
    </row>
    <row r="365" spans="1:10" s="23" customFormat="1" outlineLevel="1" thickBot="1" x14ac:dyDescent="0.3">
      <c r="A365" s="44"/>
      <c r="B365" s="31" t="str">
        <f>IF(_xll.TM1RPTELISCONSOLIDATED($H$20,$H365),IF(_xll.TM1RPTELLEV($H$20,$H365)&lt;=5,_xll.TM1RPTELLEV($H$20,$H365),"Default"),"Leaf")</f>
        <v>Leaf</v>
      </c>
      <c r="C365" s="26" t="s">
        <v>11</v>
      </c>
      <c r="D365" s="24" t="str">
        <f>_xll.DBRW("TM1-S1_DEV:}ElementAttributes_SP_SKU",$F365,D$1)</f>
        <v>Primary</v>
      </c>
      <c r="E365" s="24" t="str">
        <f>_xll.DBRW("TM1-S1_DEV:}ElementAttributes_SP_SKU",$F365,E$1)</f>
        <v>PRODUCE</v>
      </c>
      <c r="F365" s="26" t="s">
        <v>2984</v>
      </c>
      <c r="G365" s="26" t="s">
        <v>3040</v>
      </c>
      <c r="H365" s="26" t="s">
        <v>3085</v>
      </c>
      <c r="I365" s="54">
        <f>_xll.DBRW($A$1,$F$14,$F$15,$C365,$A$2,$F365,$G365,$H365,I$1)</f>
        <v>0</v>
      </c>
      <c r="J365" s="25">
        <f>_xll.DBRW($A$1,$F$14,$F$15,$C365,$A$2,$F365,$G365,$H365,J$19)</f>
        <v>-1</v>
      </c>
    </row>
    <row r="366" spans="1:10" s="23" customFormat="1" outlineLevel="1" thickBot="1" x14ac:dyDescent="0.3">
      <c r="A366" s="44"/>
      <c r="B366" s="31" t="str">
        <f>IF(_xll.TM1RPTELISCONSOLIDATED($H$20,$H366),IF(_xll.TM1RPTELLEV($H$20,$H366)&lt;=5,_xll.TM1RPTELLEV($H$20,$H366),"Default"),"Leaf")</f>
        <v>Leaf</v>
      </c>
      <c r="C366" s="26" t="s">
        <v>11</v>
      </c>
      <c r="D366" s="24" t="str">
        <f>_xll.DBRW("TM1-S1_DEV:}ElementAttributes_SP_SKU",$F366,D$1)</f>
        <v>Primary</v>
      </c>
      <c r="E366" s="24" t="str">
        <f>_xll.DBRW("TM1-S1_DEV:}ElementAttributes_SP_SKU",$F366,E$1)</f>
        <v>FOIL</v>
      </c>
      <c r="F366" s="26" t="s">
        <v>34</v>
      </c>
      <c r="G366" s="26" t="s">
        <v>949</v>
      </c>
      <c r="H366" s="26" t="s">
        <v>2716</v>
      </c>
      <c r="I366" s="54">
        <f>_xll.DBRW($A$1,$F$14,$F$15,$C366,$A$2,$F366,$G366,$H366,I$1)</f>
        <v>7</v>
      </c>
      <c r="J366" s="25">
        <f>_xll.DBRW($A$1,$F$14,$F$15,$C366,$A$2,$F366,$G366,$H366,J$19)</f>
        <v>7</v>
      </c>
    </row>
    <row r="367" spans="1:10" s="23" customFormat="1" outlineLevel="1" thickBot="1" x14ac:dyDescent="0.3">
      <c r="A367" s="44"/>
      <c r="B367" s="31" t="str">
        <f>IF(_xll.TM1RPTELISCONSOLIDATED($H$20,$H367),IF(_xll.TM1RPTELLEV($H$20,$H367)&lt;=5,_xll.TM1RPTELLEV($H$20,$H367),"Default"),"Leaf")</f>
        <v>Leaf</v>
      </c>
      <c r="C367" s="26" t="s">
        <v>11</v>
      </c>
      <c r="D367" s="24" t="str">
        <f>_xll.DBRW("TM1-S1_DEV:}ElementAttributes_SP_SKU",$F367,D$1)</f>
        <v>Project</v>
      </c>
      <c r="E367" s="24" t="str">
        <f>_xll.DBRW("TM1-S1_DEV:}ElementAttributes_SP_SKU",$F367,E$1)</f>
        <v>INGREDIENT</v>
      </c>
      <c r="F367" s="26" t="s">
        <v>88</v>
      </c>
      <c r="G367" s="26" t="s">
        <v>950</v>
      </c>
      <c r="H367" s="26" t="s">
        <v>2735</v>
      </c>
      <c r="I367" s="54">
        <f>_xll.DBRW($A$1,$F$14,$F$15,$C367,$A$2,$F367,$G367,$H367,I$1)</f>
        <v>2</v>
      </c>
      <c r="J367" s="25">
        <f>_xll.DBRW($A$1,$F$14,$F$15,$C367,$A$2,$F367,$G367,$H367,J$19)</f>
        <v>2</v>
      </c>
    </row>
    <row r="368" spans="1:10" s="23" customFormat="1" outlineLevel="1" thickBot="1" x14ac:dyDescent="0.3">
      <c r="A368" s="44"/>
      <c r="B368" s="31" t="str">
        <f>IF(_xll.TM1RPTELISCONSOLIDATED($H$20,$H368),IF(_xll.TM1RPTELLEV($H$20,$H368)&lt;=5,_xll.TM1RPTELLEV($H$20,$H368),"Default"),"Leaf")</f>
        <v>Leaf</v>
      </c>
      <c r="C368" s="26" t="s">
        <v>11</v>
      </c>
      <c r="D368" s="24" t="str">
        <f>_xll.DBRW("TM1-S1_DEV:}ElementAttributes_SP_SKU",$F368,D$1)</f>
        <v>Unassigned PSP</v>
      </c>
      <c r="E368" s="24" t="str">
        <f>_xll.DBRW("TM1-S1_DEV:}ElementAttributes_SP_SKU",$F368,E$1)</f>
        <v>CONTAINER</v>
      </c>
      <c r="F368" s="26" t="s">
        <v>89</v>
      </c>
      <c r="G368" s="26" t="s">
        <v>951</v>
      </c>
      <c r="H368" s="26" t="s">
        <v>2745</v>
      </c>
      <c r="I368" s="54">
        <f>_xll.DBRW($A$1,$F$14,$F$15,$C368,$A$2,$F368,$G368,$H368,I$1)</f>
        <v>51</v>
      </c>
      <c r="J368" s="25">
        <f>_xll.DBRW($A$1,$F$14,$F$15,$C368,$A$2,$F368,$G368,$H368,J$19)</f>
        <v>51</v>
      </c>
    </row>
    <row r="369" spans="1:10" s="23" customFormat="1" outlineLevel="1" thickBot="1" x14ac:dyDescent="0.3">
      <c r="A369" s="44"/>
      <c r="B369" s="31" t="str">
        <f>IF(_xll.TM1RPTELISCONSOLIDATED($H$20,$H369),IF(_xll.TM1RPTELLEV($H$20,$H369)&lt;=5,_xll.TM1RPTELLEV($H$20,$H369),"Default"),"Leaf")</f>
        <v>Leaf</v>
      </c>
      <c r="C369" s="26" t="s">
        <v>11</v>
      </c>
      <c r="D369" s="24" t="str">
        <f>_xll.DBRW("TM1-S1_DEV:}ElementAttributes_SP_SKU",$F369,D$1)</f>
        <v>Unassigned PSP</v>
      </c>
      <c r="E369" s="24" t="str">
        <f>_xll.DBRW("TM1-S1_DEV:}ElementAttributes_SP_SKU",$F369,E$1)</f>
        <v>CONTAINER</v>
      </c>
      <c r="F369" s="26" t="s">
        <v>90</v>
      </c>
      <c r="G369" s="26" t="s">
        <v>952</v>
      </c>
      <c r="H369" s="26" t="s">
        <v>2757</v>
      </c>
      <c r="I369" s="54">
        <f>_xll.DBRW($A$1,$F$14,$F$15,$C369,$A$2,$F369,$G369,$H369,I$1)</f>
        <v>0</v>
      </c>
      <c r="J369" s="25">
        <f>_xll.DBRW($A$1,$F$14,$F$15,$C369,$A$2,$F369,$G369,$H369,J$19)</f>
        <v>7</v>
      </c>
    </row>
    <row r="370" spans="1:10" s="23" customFormat="1" outlineLevel="1" thickBot="1" x14ac:dyDescent="0.3">
      <c r="A370" s="44"/>
      <c r="B370" s="31" t="str">
        <f>IF(_xll.TM1RPTELISCONSOLIDATED($H$20,$H370),IF(_xll.TM1RPTELLEV($H$20,$H370)&lt;=5,_xll.TM1RPTELLEV($H$20,$H370),"Default"),"Leaf")</f>
        <v>Leaf</v>
      </c>
      <c r="C370" s="26" t="s">
        <v>11</v>
      </c>
      <c r="D370" s="24" t="str">
        <f>_xll.DBRW("TM1-S1_DEV:}ElementAttributes_SP_SKU",$F370,D$1)</f>
        <v>Secondary</v>
      </c>
      <c r="E370" s="24" t="str">
        <f>_xll.DBRW("TM1-S1_DEV:}ElementAttributes_SP_SKU",$F370,E$1)</f>
        <v>CONTAINER</v>
      </c>
      <c r="F370" s="26" t="s">
        <v>91</v>
      </c>
      <c r="G370" s="26" t="s">
        <v>925</v>
      </c>
      <c r="H370" s="26" t="s">
        <v>2758</v>
      </c>
      <c r="I370" s="54">
        <f>_xll.DBRW($A$1,$F$14,$F$15,$C370,$A$2,$F370,$G370,$H370,I$1)</f>
        <v>3</v>
      </c>
      <c r="J370" s="25">
        <f>_xll.DBRW($A$1,$F$14,$F$15,$C370,$A$2,$F370,$G370,$H370,J$19)</f>
        <v>3</v>
      </c>
    </row>
    <row r="371" spans="1:10" s="23" customFormat="1" outlineLevel="1" thickBot="1" x14ac:dyDescent="0.3">
      <c r="A371" s="44"/>
      <c r="B371" s="31" t="str">
        <f>IF(_xll.TM1RPTELISCONSOLIDATED($H$20,$H371),IF(_xll.TM1RPTELLEV($H$20,$H371)&lt;=5,_xll.TM1RPTELLEV($H$20,$H371),"Default"),"Leaf")</f>
        <v>Leaf</v>
      </c>
      <c r="C371" s="26" t="s">
        <v>11</v>
      </c>
      <c r="D371" s="24" t="str">
        <f>_xll.DBRW("TM1-S1_DEV:}ElementAttributes_SP_SKU",$F371,D$1)</f>
        <v>Secondary</v>
      </c>
      <c r="E371" s="24" t="str">
        <f>_xll.DBRW("TM1-S1_DEV:}ElementAttributes_SP_SKU",$F371,E$1)</f>
        <v>PAPER</v>
      </c>
      <c r="F371" s="26" t="s">
        <v>92</v>
      </c>
      <c r="G371" s="26" t="s">
        <v>936</v>
      </c>
      <c r="H371" s="26" t="s">
        <v>2759</v>
      </c>
      <c r="I371" s="54">
        <f>_xll.DBRW($A$1,$F$14,$F$15,$C371,$A$2,$F371,$G371,$H371,I$1)</f>
        <v>23</v>
      </c>
      <c r="J371" s="25">
        <f>_xll.DBRW($A$1,$F$14,$F$15,$C371,$A$2,$F371,$G371,$H371,J$19)</f>
        <v>23</v>
      </c>
    </row>
    <row r="372" spans="1:10" s="23" customFormat="1" outlineLevel="1" thickBot="1" x14ac:dyDescent="0.3">
      <c r="A372" s="44"/>
      <c r="B372" s="31" t="str">
        <f>IF(_xll.TM1RPTELISCONSOLIDATED($H$20,$H372),IF(_xll.TM1RPTELLEV($H$20,$H372)&lt;=5,_xll.TM1RPTELLEV($H$20,$H372),"Default"),"Leaf")</f>
        <v>Leaf</v>
      </c>
      <c r="C372" s="26" t="s">
        <v>11</v>
      </c>
      <c r="D372" s="24" t="str">
        <f>_xll.DBRW("TM1-S1_DEV:}ElementAttributes_SP_SKU",$F372,D$1)</f>
        <v>Secondary</v>
      </c>
      <c r="E372" s="24" t="str">
        <f>_xll.DBRW("TM1-S1_DEV:}ElementAttributes_SP_SKU",$F372,E$1)</f>
        <v>DRINKS</v>
      </c>
      <c r="F372" s="26" t="s">
        <v>93</v>
      </c>
      <c r="G372" s="26" t="s">
        <v>953</v>
      </c>
      <c r="H372" s="26" t="s">
        <v>2746</v>
      </c>
      <c r="I372" s="54">
        <f>_xll.DBRW($A$1,$F$14,$F$15,$C372,$A$2,$F372,$G372,$H372,I$1)</f>
        <v>360</v>
      </c>
      <c r="J372" s="25">
        <f>_xll.DBRW($A$1,$F$14,$F$15,$C372,$A$2,$F372,$G372,$H372,J$19)</f>
        <v>590</v>
      </c>
    </row>
    <row r="373" spans="1:10" s="23" customFormat="1" outlineLevel="1" thickBot="1" x14ac:dyDescent="0.3">
      <c r="A373" s="44"/>
      <c r="B373" s="31" t="str">
        <f>IF(_xll.TM1RPTELISCONSOLIDATED($H$20,$H373),IF(_xll.TM1RPTELLEV($H$20,$H373)&lt;=5,_xll.TM1RPTELLEV($H$20,$H373),"Default"),"Leaf")</f>
        <v>Leaf</v>
      </c>
      <c r="C373" s="26" t="s">
        <v>11</v>
      </c>
      <c r="D373" s="24" t="str">
        <f>_xll.DBRW("TM1-S1_DEV:}ElementAttributes_SP_SKU",$F373,D$1)</f>
        <v>Secondary</v>
      </c>
      <c r="E373" s="24" t="str">
        <f>_xll.DBRW("TM1-S1_DEV:}ElementAttributes_SP_SKU",$F373,E$1)</f>
        <v>SIDES</v>
      </c>
      <c r="F373" s="26" t="s">
        <v>94</v>
      </c>
      <c r="G373" s="26" t="s">
        <v>954</v>
      </c>
      <c r="H373" s="26" t="s">
        <v>2760</v>
      </c>
      <c r="I373" s="54">
        <f>_xll.DBRW($A$1,$F$14,$F$15,$C373,$A$2,$F373,$G373,$H373,I$1)</f>
        <v>46</v>
      </c>
      <c r="J373" s="25">
        <f>_xll.DBRW($A$1,$F$14,$F$15,$C373,$A$2,$F373,$G373,$H373,J$19)</f>
        <v>91</v>
      </c>
    </row>
    <row r="374" spans="1:10" s="23" customFormat="1" outlineLevel="1" thickBot="1" x14ac:dyDescent="0.3">
      <c r="A374" s="44"/>
      <c r="B374" s="31" t="str">
        <f>IF(_xll.TM1RPTELISCONSOLIDATED($H$20,$H374),IF(_xll.TM1RPTELLEV($H$20,$H374)&lt;=5,_xll.TM1RPTELLEV($H$20,$H374),"Default"),"Leaf")</f>
        <v>Leaf</v>
      </c>
      <c r="C374" s="26" t="s">
        <v>11</v>
      </c>
      <c r="D374" s="24" t="str">
        <f>_xll.DBRW("TM1-S1_DEV:}ElementAttributes_SP_SKU",$F374,D$1)</f>
        <v>Secondary</v>
      </c>
      <c r="E374" s="24" t="str">
        <f>_xll.DBRW("TM1-S1_DEV:}ElementAttributes_SP_SKU",$F374,E$1)</f>
        <v>DRINKS</v>
      </c>
      <c r="F374" s="26" t="s">
        <v>95</v>
      </c>
      <c r="G374" s="26" t="s">
        <v>955</v>
      </c>
      <c r="H374" s="26" t="s">
        <v>2746</v>
      </c>
      <c r="I374" s="54">
        <f>_xll.DBRW($A$1,$F$14,$F$15,$C374,$A$2,$F374,$G374,$H374,I$1)</f>
        <v>207</v>
      </c>
      <c r="J374" s="25">
        <f>_xll.DBRW($A$1,$F$14,$F$15,$C374,$A$2,$F374,$G374,$H374,J$19)</f>
        <v>207</v>
      </c>
    </row>
    <row r="375" spans="1:10" s="23" customFormat="1" outlineLevel="1" thickBot="1" x14ac:dyDescent="0.3">
      <c r="A375" s="44"/>
      <c r="B375" s="31" t="str">
        <f>IF(_xll.TM1RPTELISCONSOLIDATED($H$20,$H375),IF(_xll.TM1RPTELLEV($H$20,$H375)&lt;=5,_xll.TM1RPTELLEV($H$20,$H375),"Default"),"Leaf")</f>
        <v>Leaf</v>
      </c>
      <c r="C375" s="26" t="s">
        <v>11</v>
      </c>
      <c r="D375" s="24" t="str">
        <f>_xll.DBRW("TM1-S1_DEV:}ElementAttributes_SP_SKU",$F375,D$1)</f>
        <v>Secondary</v>
      </c>
      <c r="E375" s="24" t="str">
        <f>_xll.DBRW("TM1-S1_DEV:}ElementAttributes_SP_SKU",$F375,E$1)</f>
        <v>UTENSIL</v>
      </c>
      <c r="F375" s="26" t="s">
        <v>96</v>
      </c>
      <c r="G375" s="26" t="s">
        <v>956</v>
      </c>
      <c r="H375" s="26" t="s">
        <v>2761</v>
      </c>
      <c r="I375" s="54">
        <f>_xll.DBRW($A$1,$F$14,$F$15,$C375,$A$2,$F375,$G375,$H375,I$1)</f>
        <v>12</v>
      </c>
      <c r="J375" s="25">
        <f>_xll.DBRW($A$1,$F$14,$F$15,$C375,$A$2,$F375,$G375,$H375,J$19)</f>
        <v>24</v>
      </c>
    </row>
    <row r="376" spans="1:10" s="23" customFormat="1" outlineLevel="1" thickBot="1" x14ac:dyDescent="0.3">
      <c r="A376" s="44"/>
      <c r="B376" s="31" t="str">
        <f>IF(_xll.TM1RPTELISCONSOLIDATED($H$20,$H376),IF(_xll.TM1RPTELLEV($H$20,$H376)&lt;=5,_xll.TM1RPTELLEV($H$20,$H376),"Default"),"Leaf")</f>
        <v>Leaf</v>
      </c>
      <c r="C376" s="26" t="s">
        <v>11</v>
      </c>
      <c r="D376" s="24" t="str">
        <f>_xll.DBRW("TM1-S1_DEV:}ElementAttributes_SP_SKU",$F376,D$1)</f>
        <v>Secondary</v>
      </c>
      <c r="E376" s="24" t="str">
        <f>_xll.DBRW("TM1-S1_DEV:}ElementAttributes_SP_SKU",$F376,E$1)</f>
        <v>DRINKS</v>
      </c>
      <c r="F376" s="26" t="s">
        <v>97</v>
      </c>
      <c r="G376" s="26" t="s">
        <v>957</v>
      </c>
      <c r="H376" s="26" t="s">
        <v>2746</v>
      </c>
      <c r="I376" s="54">
        <f>_xll.DBRW($A$1,$F$14,$F$15,$C376,$A$2,$F376,$G376,$H376,I$1)</f>
        <v>8</v>
      </c>
      <c r="J376" s="25">
        <f>_xll.DBRW($A$1,$F$14,$F$15,$C376,$A$2,$F376,$G376,$H376,J$19)</f>
        <v>8</v>
      </c>
    </row>
    <row r="377" spans="1:10" s="23" customFormat="1" outlineLevel="1" thickBot="1" x14ac:dyDescent="0.3">
      <c r="A377" s="44"/>
      <c r="B377" s="31" t="str">
        <f>IF(_xll.TM1RPTELISCONSOLIDATED($H$20,$H377),IF(_xll.TM1RPTELLEV($H$20,$H377)&lt;=5,_xll.TM1RPTELLEV($H$20,$H377),"Default"),"Leaf")</f>
        <v>Leaf</v>
      </c>
      <c r="C377" s="26" t="s">
        <v>11</v>
      </c>
      <c r="D377" s="24" t="str">
        <f>_xll.DBRW("TM1-S1_DEV:}ElementAttributes_SP_SKU",$F377,D$1)</f>
        <v>Primary</v>
      </c>
      <c r="E377" s="24" t="str">
        <f>_xll.DBRW("TM1-S1_DEV:}ElementAttributes_SP_SKU",$F377,E$1)</f>
        <v>INGREDIENT</v>
      </c>
      <c r="F377" s="26" t="s">
        <v>3240</v>
      </c>
      <c r="G377" s="26" t="s">
        <v>958</v>
      </c>
      <c r="H377" s="26" t="s">
        <v>2728</v>
      </c>
      <c r="I377" s="54">
        <f>_xll.DBRW($A$1,$F$14,$F$15,$C377,$A$2,$F377,$G377,$H377,I$1)</f>
        <v>34</v>
      </c>
      <c r="J377" s="25">
        <f>_xll.DBRW($A$1,$F$14,$F$15,$C377,$A$2,$F377,$G377,$H377,J$19)</f>
        <v>34</v>
      </c>
    </row>
    <row r="378" spans="1:10" s="23" customFormat="1" outlineLevel="1" thickBot="1" x14ac:dyDescent="0.3">
      <c r="A378" s="44"/>
      <c r="B378" s="31" t="str">
        <f>IF(_xll.TM1RPTELISCONSOLIDATED($H$20,$H378),IF(_xll.TM1RPTELLEV($H$20,$H378)&lt;=5,_xll.TM1RPTELLEV($H$20,$H378),"Default"),"Leaf")</f>
        <v>Leaf</v>
      </c>
      <c r="C378" s="26" t="s">
        <v>11</v>
      </c>
      <c r="D378" s="24" t="str">
        <f>_xll.DBRW("TM1-S1_DEV:}ElementAttributes_SP_SKU",$F378,D$1)</f>
        <v>Primary</v>
      </c>
      <c r="E378" s="24" t="str">
        <f>_xll.DBRW("TM1-S1_DEV:}ElementAttributes_SP_SKU",$F378,E$1)</f>
        <v>INGREDIENT</v>
      </c>
      <c r="F378" s="26" t="s">
        <v>3241</v>
      </c>
      <c r="G378" s="26" t="s">
        <v>959</v>
      </c>
      <c r="H378" s="26" t="s">
        <v>2729</v>
      </c>
      <c r="I378" s="54">
        <f>_xll.DBRW($A$1,$F$14,$F$15,$C378,$A$2,$F378,$G378,$H378,I$1)</f>
        <v>275</v>
      </c>
      <c r="J378" s="25">
        <f>_xll.DBRW($A$1,$F$14,$F$15,$C378,$A$2,$F378,$G378,$H378,J$19)</f>
        <v>167</v>
      </c>
    </row>
    <row r="379" spans="1:10" s="23" customFormat="1" outlineLevel="1" thickBot="1" x14ac:dyDescent="0.3">
      <c r="A379" s="44"/>
      <c r="B379" s="31" t="str">
        <f>IF(_xll.TM1RPTELISCONSOLIDATED($H$20,$H379),IF(_xll.TM1RPTELLEV($H$20,$H379)&lt;=5,_xll.TM1RPTELLEV($H$20,$H379),"Default"),"Leaf")</f>
        <v>Leaf</v>
      </c>
      <c r="C379" s="26" t="s">
        <v>11</v>
      </c>
      <c r="D379" s="24" t="str">
        <f>_xll.DBRW("TM1-S1_DEV:}ElementAttributes_SP_SKU",$F379,D$1)</f>
        <v>Primary</v>
      </c>
      <c r="E379" s="24" t="str">
        <f>_xll.DBRW("TM1-S1_DEV:}ElementAttributes_SP_SKU",$F379,E$1)</f>
        <v>INGREDIENT</v>
      </c>
      <c r="F379" s="26" t="s">
        <v>3241</v>
      </c>
      <c r="G379" s="26" t="s">
        <v>959</v>
      </c>
      <c r="H379" s="26" t="s">
        <v>2734</v>
      </c>
      <c r="I379" s="54">
        <f>_xll.DBRW($A$1,$F$14,$F$15,$C379,$A$2,$F379,$G379,$H379,I$1)</f>
        <v>275</v>
      </c>
      <c r="J379" s="25">
        <f>_xll.DBRW($A$1,$F$14,$F$15,$C379,$A$2,$F379,$G379,$H379,J$19)</f>
        <v>167</v>
      </c>
    </row>
    <row r="380" spans="1:10" s="23" customFormat="1" outlineLevel="1" thickBot="1" x14ac:dyDescent="0.3">
      <c r="A380" s="44"/>
      <c r="B380" s="31" t="str">
        <f>IF(_xll.TM1RPTELISCONSOLIDATED($H$20,$H380),IF(_xll.TM1RPTELLEV($H$20,$H380)&lt;=5,_xll.TM1RPTELLEV($H$20,$H380),"Default"),"Leaf")</f>
        <v>Leaf</v>
      </c>
      <c r="C380" s="26" t="s">
        <v>11</v>
      </c>
      <c r="D380" s="24" t="str">
        <f>_xll.DBRW("TM1-S1_DEV:}ElementAttributes_SP_SKU",$F380,D$1)</f>
        <v>Primary</v>
      </c>
      <c r="E380" s="24" t="str">
        <f>_xll.DBRW("TM1-S1_DEV:}ElementAttributes_SP_SKU",$F380,E$1)</f>
        <v>GEL</v>
      </c>
      <c r="F380" s="26" t="s">
        <v>98</v>
      </c>
      <c r="G380" s="26" t="s">
        <v>960</v>
      </c>
      <c r="H380" s="26" t="s">
        <v>2762</v>
      </c>
      <c r="I380" s="54">
        <f>_xll.DBRW($A$1,$F$14,$F$15,$C380,$A$2,$F380,$G380,$H380,I$1)</f>
        <v>40</v>
      </c>
      <c r="J380" s="25">
        <f>_xll.DBRW($A$1,$F$14,$F$15,$C380,$A$2,$F380,$G380,$H380,J$19)</f>
        <v>40</v>
      </c>
    </row>
    <row r="381" spans="1:10" s="23" customFormat="1" outlineLevel="1" thickBot="1" x14ac:dyDescent="0.3">
      <c r="A381" s="44"/>
      <c r="B381" s="31" t="str">
        <f>IF(_xll.TM1RPTELISCONSOLIDATED($H$20,$H381),IF(_xll.TM1RPTELLEV($H$20,$H381)&lt;=5,_xll.TM1RPTELLEV($H$20,$H381),"Default"),"Leaf")</f>
        <v>Leaf</v>
      </c>
      <c r="C381" s="26" t="s">
        <v>11</v>
      </c>
      <c r="D381" s="24" t="str">
        <f>_xll.DBRW("TM1-S1_DEV:}ElementAttributes_SP_SKU",$F381,D$1)</f>
        <v>Unassigned PSP</v>
      </c>
      <c r="E381" s="24" t="str">
        <f>_xll.DBRW("TM1-S1_DEV:}ElementAttributes_SP_SKU",$F381,E$1)</f>
        <v>PAPER</v>
      </c>
      <c r="F381" s="26" t="s">
        <v>99</v>
      </c>
      <c r="G381" s="26" t="s">
        <v>961</v>
      </c>
      <c r="H381" s="26" t="s">
        <v>2763</v>
      </c>
      <c r="I381" s="54">
        <f>_xll.DBRW($A$1,$F$14,$F$15,$C381,$A$2,$F381,$G381,$H381,I$1)</f>
        <v>10</v>
      </c>
      <c r="J381" s="25">
        <f>_xll.DBRW($A$1,$F$14,$F$15,$C381,$A$2,$F381,$G381,$H381,J$19)</f>
        <v>10</v>
      </c>
    </row>
    <row r="382" spans="1:10" s="23" customFormat="1" outlineLevel="1" thickBot="1" x14ac:dyDescent="0.3">
      <c r="A382" s="44"/>
      <c r="B382" s="31" t="str">
        <f>IF(_xll.TM1RPTELISCONSOLIDATED($H$20,$H382),IF(_xll.TM1RPTELLEV($H$20,$H382)&lt;=5,_xll.TM1RPTELLEV($H$20,$H382),"Default"),"Leaf")</f>
        <v>Leaf</v>
      </c>
      <c r="C382" s="26" t="s">
        <v>11</v>
      </c>
      <c r="D382" s="24" t="str">
        <f>_xll.DBRW("TM1-S1_DEV:}ElementAttributes_SP_SKU",$F382,D$1)</f>
        <v>Primary</v>
      </c>
      <c r="E382" s="24" t="str">
        <f>_xll.DBRW("TM1-S1_DEV:}ElementAttributes_SP_SKU",$F382,E$1)</f>
        <v>DRINKS</v>
      </c>
      <c r="F382" s="26" t="s">
        <v>3267</v>
      </c>
      <c r="G382" s="26" t="s">
        <v>957</v>
      </c>
      <c r="H382" s="26" t="s">
        <v>2764</v>
      </c>
      <c r="I382" s="54">
        <f>_xll.DBRW($A$1,$F$14,$F$15,$C382,$A$2,$F382,$G382,$H382,I$1)</f>
        <v>8</v>
      </c>
      <c r="J382" s="25">
        <f>_xll.DBRW($A$1,$F$14,$F$15,$C382,$A$2,$F382,$G382,$H382,J$19)</f>
        <v>8</v>
      </c>
    </row>
    <row r="383" spans="1:10" s="23" customFormat="1" outlineLevel="1" thickBot="1" x14ac:dyDescent="0.3">
      <c r="A383" s="44"/>
      <c r="B383" s="31" t="str">
        <f>IF(_xll.TM1RPTELISCONSOLIDATED($H$20,$H383),IF(_xll.TM1RPTELLEV($H$20,$H383)&lt;=5,_xll.TM1RPTELLEV($H$20,$H383),"Default"),"Leaf")</f>
        <v>Leaf</v>
      </c>
      <c r="C383" s="26" t="s">
        <v>11</v>
      </c>
      <c r="D383" s="24" t="str">
        <f>_xll.DBRW("TM1-S1_DEV:}ElementAttributes_SP_SKU",$F383,D$1)</f>
        <v>Unassigned PSP</v>
      </c>
      <c r="E383" s="24" t="str">
        <f>_xll.DBRW("TM1-S1_DEV:}ElementAttributes_SP_SKU",$F383,E$1)</f>
        <v>CONTAINER</v>
      </c>
      <c r="F383" s="26" t="s">
        <v>3268</v>
      </c>
      <c r="G383" s="26" t="s">
        <v>3320</v>
      </c>
      <c r="H383" s="26" t="s">
        <v>3341</v>
      </c>
      <c r="I383" s="54">
        <f>_xll.DBRW($A$1,$F$14,$F$15,$C383,$A$2,$F383,$G383,$H383,I$1)</f>
        <v>2</v>
      </c>
      <c r="J383" s="25">
        <f>_xll.DBRW($A$1,$F$14,$F$15,$C383,$A$2,$F383,$G383,$H383,J$19)</f>
        <v>2</v>
      </c>
    </row>
    <row r="384" spans="1:10" s="23" customFormat="1" outlineLevel="1" thickBot="1" x14ac:dyDescent="0.3">
      <c r="A384" s="44"/>
      <c r="B384" s="31" t="str">
        <f>IF(_xll.TM1RPTELISCONSOLIDATED($H$20,$H384),IF(_xll.TM1RPTELLEV($H$20,$H384)&lt;=5,_xll.TM1RPTELLEV($H$20,$H384),"Default"),"Leaf")</f>
        <v>Leaf</v>
      </c>
      <c r="C384" s="26" t="s">
        <v>11</v>
      </c>
      <c r="D384" s="24" t="str">
        <f>_xll.DBRW("TM1-S1_DEV:}ElementAttributes_SP_SKU",$F384,D$1)</f>
        <v>Primary</v>
      </c>
      <c r="E384" s="24" t="str">
        <f>_xll.DBRW("TM1-S1_DEV:}ElementAttributes_SP_SKU",$F384,E$1)</f>
        <v>CONTAINER</v>
      </c>
      <c r="F384" s="26" t="s">
        <v>3242</v>
      </c>
      <c r="G384" s="26" t="s">
        <v>962</v>
      </c>
      <c r="H384" s="26" t="s">
        <v>2708</v>
      </c>
      <c r="I384" s="54">
        <f>_xll.DBRW($A$1,$F$14,$F$15,$C384,$A$2,$F384,$G384,$H384,I$1)</f>
        <v>55</v>
      </c>
      <c r="J384" s="25">
        <f>_xll.DBRW($A$1,$F$14,$F$15,$C384,$A$2,$F384,$G384,$H384,J$19)</f>
        <v>52</v>
      </c>
    </row>
    <row r="385" spans="1:10" s="23" customFormat="1" outlineLevel="1" thickBot="1" x14ac:dyDescent="0.3">
      <c r="A385" s="44"/>
      <c r="B385" s="31" t="str">
        <f>IF(_xll.TM1RPTELISCONSOLIDATED($H$20,$H385),IF(_xll.TM1RPTELLEV($H$20,$H385)&lt;=5,_xll.TM1RPTELLEV($H$20,$H385),"Default"),"Leaf")</f>
        <v>Leaf</v>
      </c>
      <c r="C385" s="26" t="s">
        <v>11</v>
      </c>
      <c r="D385" s="24" t="str">
        <f>_xll.DBRW("TM1-S1_DEV:}ElementAttributes_SP_SKU",$F385,D$1)</f>
        <v>Primary</v>
      </c>
      <c r="E385" s="24" t="str">
        <f>_xll.DBRW("TM1-S1_DEV:}ElementAttributes_SP_SKU",$F385,E$1)</f>
        <v>PAPER</v>
      </c>
      <c r="F385" s="26" t="s">
        <v>3243</v>
      </c>
      <c r="G385" s="26" t="s">
        <v>963</v>
      </c>
      <c r="H385" s="26" t="s">
        <v>2730</v>
      </c>
      <c r="I385" s="54">
        <f>_xll.DBRW($A$1,$F$14,$F$15,$C385,$A$2,$F385,$G385,$H385,I$1)</f>
        <v>5</v>
      </c>
      <c r="J385" s="25">
        <f>_xll.DBRW($A$1,$F$14,$F$15,$C385,$A$2,$F385,$G385,$H385,J$19)</f>
        <v>4</v>
      </c>
    </row>
    <row r="386" spans="1:10" s="23" customFormat="1" outlineLevel="1" thickBot="1" x14ac:dyDescent="0.3">
      <c r="A386" s="44"/>
      <c r="B386" s="31" t="str">
        <f>IF(_xll.TM1RPTELISCONSOLIDATED($H$20,$H386),IF(_xll.TM1RPTELLEV($H$20,$H386)&lt;=5,_xll.TM1RPTELLEV($H$20,$H386),"Default"),"Leaf")</f>
        <v>Leaf</v>
      </c>
      <c r="C386" s="26" t="s">
        <v>11</v>
      </c>
      <c r="D386" s="24" t="str">
        <f>_xll.DBRW("TM1-S1_DEV:}ElementAttributes_SP_SKU",$F386,D$1)</f>
        <v>Primary</v>
      </c>
      <c r="E386" s="24" t="str">
        <f>_xll.DBRW("TM1-S1_DEV:}ElementAttributes_SP_SKU",$F386,E$1)</f>
        <v>PROTEIN</v>
      </c>
      <c r="F386" s="26" t="s">
        <v>3244</v>
      </c>
      <c r="G386" s="26" t="s">
        <v>964</v>
      </c>
      <c r="H386" s="26" t="s">
        <v>2670</v>
      </c>
      <c r="I386" s="54">
        <f>_xll.DBRW($A$1,$F$14,$F$15,$C386,$A$2,$F386,$G386,$H386,I$1)</f>
        <v>57</v>
      </c>
      <c r="J386" s="25">
        <f>_xll.DBRW($A$1,$F$14,$F$15,$C386,$A$2,$F386,$G386,$H386,J$19)</f>
        <v>50</v>
      </c>
    </row>
    <row r="387" spans="1:10" s="23" customFormat="1" outlineLevel="1" thickBot="1" x14ac:dyDescent="0.3">
      <c r="A387" s="44"/>
      <c r="B387" s="31" t="str">
        <f>IF(_xll.TM1RPTELISCONSOLIDATED($H$20,$H387),IF(_xll.TM1RPTELLEV($H$20,$H387)&lt;=5,_xll.TM1RPTELLEV($H$20,$H387),"Default"),"Leaf")</f>
        <v>Leaf</v>
      </c>
      <c r="C387" s="26" t="s">
        <v>11</v>
      </c>
      <c r="D387" s="24" t="str">
        <f>_xll.DBRW("TM1-S1_DEV:}ElementAttributes_SP_SKU",$F387,D$1)</f>
        <v>Primary</v>
      </c>
      <c r="E387" s="24" t="str">
        <f>_xll.DBRW("TM1-S1_DEV:}ElementAttributes_SP_SKU",$F387,E$1)</f>
        <v>PAD</v>
      </c>
      <c r="F387" s="26" t="s">
        <v>3245</v>
      </c>
      <c r="G387" s="26" t="s">
        <v>965</v>
      </c>
      <c r="H387" s="26" t="s">
        <v>2731</v>
      </c>
      <c r="I387" s="54">
        <f>_xll.DBRW($A$1,$F$14,$F$15,$C387,$A$2,$F387,$G387,$H387,I$1)</f>
        <v>54</v>
      </c>
      <c r="J387" s="25">
        <f>_xll.DBRW($A$1,$F$14,$F$15,$C387,$A$2,$F387,$G387,$H387,J$19)</f>
        <v>52</v>
      </c>
    </row>
    <row r="388" spans="1:10" s="23" customFormat="1" outlineLevel="1" thickBot="1" x14ac:dyDescent="0.3">
      <c r="A388" s="44"/>
      <c r="B388" s="31" t="str">
        <f>IF(_xll.TM1RPTELISCONSOLIDATED($H$20,$H388),IF(_xll.TM1RPTELLEV($H$20,$H388)&lt;=5,_xll.TM1RPTELLEV($H$20,$H388),"Default"),"Leaf")</f>
        <v>Leaf</v>
      </c>
      <c r="C388" s="26" t="s">
        <v>12</v>
      </c>
      <c r="D388" s="24" t="str">
        <f>_xll.DBRW("TM1-S1_DEV:}ElementAttributes_SP_SKU",$F388,D$1)</f>
        <v>Primary</v>
      </c>
      <c r="E388" s="24" t="str">
        <f>_xll.DBRW("TM1-S1_DEV:}ElementAttributes_SP_SKU",$F388,E$1)</f>
        <v>TURKEY</v>
      </c>
      <c r="F388" s="26" t="s">
        <v>3110</v>
      </c>
      <c r="G388" s="26" t="s">
        <v>966</v>
      </c>
      <c r="H388" s="26" t="s">
        <v>2671</v>
      </c>
      <c r="I388" s="54">
        <f>_xll.DBRW($A$1,$F$14,$F$15,$C388,$A$2,$F388,$G388,$H388,I$1)</f>
        <v>15</v>
      </c>
      <c r="J388" s="25">
        <f>_xll.DBRW($A$1,$F$14,$F$15,$C388,$A$2,$F388,$G388,$H388,J$19)</f>
        <v>99</v>
      </c>
    </row>
    <row r="389" spans="1:10" s="23" customFormat="1" outlineLevel="1" thickBot="1" x14ac:dyDescent="0.3">
      <c r="A389" s="44"/>
      <c r="B389" s="31" t="str">
        <f>IF(_xll.TM1RPTELISCONSOLIDATED($H$20,$H389),IF(_xll.TM1RPTELLEV($H$20,$H389)&lt;=5,_xll.TM1RPTELLEV($H$20,$H389),"Default"),"Leaf")</f>
        <v>Leaf</v>
      </c>
      <c r="C389" s="26" t="s">
        <v>12</v>
      </c>
      <c r="D389" s="24" t="str">
        <f>_xll.DBRW("TM1-S1_DEV:}ElementAttributes_SP_SKU",$F389,D$1)</f>
        <v>Primary</v>
      </c>
      <c r="E389" s="24" t="str">
        <f>_xll.DBRW("TM1-S1_DEV:}ElementAttributes_SP_SKU",$F389,E$1)</f>
        <v>TURKEY</v>
      </c>
      <c r="F389" s="26" t="s">
        <v>3111</v>
      </c>
      <c r="G389" s="26" t="s">
        <v>967</v>
      </c>
      <c r="H389" s="26" t="s">
        <v>2671</v>
      </c>
      <c r="I389" s="54">
        <f>_xll.DBRW($A$1,$F$14,$F$15,$C389,$A$2,$F389,$G389,$H389,I$1)</f>
        <v>28</v>
      </c>
      <c r="J389" s="25">
        <f>_xll.DBRW($A$1,$F$14,$F$15,$C389,$A$2,$F389,$G389,$H389,J$19)</f>
        <v>70</v>
      </c>
    </row>
    <row r="390" spans="1:10" s="23" customFormat="1" outlineLevel="1" thickBot="1" x14ac:dyDescent="0.3">
      <c r="A390" s="44"/>
      <c r="B390" s="31" t="str">
        <f>IF(_xll.TM1RPTELISCONSOLIDATED($H$20,$H390),IF(_xll.TM1RPTELLEV($H$20,$H390)&lt;=5,_xll.TM1RPTELLEV($H$20,$H390),"Default"),"Leaf")</f>
        <v>Leaf</v>
      </c>
      <c r="C390" s="26" t="s">
        <v>12</v>
      </c>
      <c r="D390" s="24" t="str">
        <f>_xll.DBRW("TM1-S1_DEV:}ElementAttributes_SP_SKU",$F390,D$1)</f>
        <v>Primary</v>
      </c>
      <c r="E390" s="24" t="str">
        <f>_xll.DBRW("TM1-S1_DEV:}ElementAttributes_SP_SKU",$F390,E$1)</f>
        <v>PROTEIN</v>
      </c>
      <c r="F390" s="26" t="s">
        <v>3112</v>
      </c>
      <c r="G390" s="26" t="s">
        <v>968</v>
      </c>
      <c r="H390" s="26" t="s">
        <v>2672</v>
      </c>
      <c r="I390" s="54">
        <f>_xll.DBRW($A$1,$F$14,$F$15,$C390,$A$2,$F390,$G390,$H390,I$1)</f>
        <v>4</v>
      </c>
      <c r="J390" s="25">
        <f>_xll.DBRW($A$1,$F$14,$F$15,$C390,$A$2,$F390,$G390,$H390,J$19)</f>
        <v>4</v>
      </c>
    </row>
    <row r="391" spans="1:10" s="23" customFormat="1" outlineLevel="1" thickBot="1" x14ac:dyDescent="0.3">
      <c r="A391" s="44"/>
      <c r="B391" s="31" t="str">
        <f>IF(_xll.TM1RPTELISCONSOLIDATED($H$20,$H391),IF(_xll.TM1RPTELLEV($H$20,$H391)&lt;=5,_xll.TM1RPTELLEV($H$20,$H391),"Default"),"Leaf")</f>
        <v>Leaf</v>
      </c>
      <c r="C391" s="26" t="s">
        <v>12</v>
      </c>
      <c r="D391" s="24" t="str">
        <f>_xll.DBRW("TM1-S1_DEV:}ElementAttributes_SP_SKU",$F391,D$1)</f>
        <v>Primary</v>
      </c>
      <c r="E391" s="24" t="str">
        <f>_xll.DBRW("TM1-S1_DEV:}ElementAttributes_SP_SKU",$F391,E$1)</f>
        <v>PROTEIN</v>
      </c>
      <c r="F391" s="26" t="s">
        <v>3114</v>
      </c>
      <c r="G391" s="26" t="s">
        <v>969</v>
      </c>
      <c r="H391" s="26" t="s">
        <v>2672</v>
      </c>
      <c r="I391" s="54">
        <f>_xll.DBRW($A$1,$F$14,$F$15,$C391,$A$2,$F391,$G391,$H391,I$1)</f>
        <v>5</v>
      </c>
      <c r="J391" s="25">
        <f>_xll.DBRW($A$1,$F$14,$F$15,$C391,$A$2,$F391,$G391,$H391,J$19)</f>
        <v>5</v>
      </c>
    </row>
    <row r="392" spans="1:10" s="23" customFormat="1" outlineLevel="1" thickBot="1" x14ac:dyDescent="0.3">
      <c r="A392" s="44"/>
      <c r="B392" s="31" t="str">
        <f>IF(_xll.TM1RPTELISCONSOLIDATED($H$20,$H392),IF(_xll.TM1RPTELLEV($H$20,$H392)&lt;=5,_xll.TM1RPTELLEV($H$20,$H392),"Default"),"Leaf")</f>
        <v>Leaf</v>
      </c>
      <c r="C392" s="26" t="s">
        <v>12</v>
      </c>
      <c r="D392" s="24" t="str">
        <f>_xll.DBRW("TM1-S1_DEV:}ElementAttributes_SP_SKU",$F392,D$1)</f>
        <v>Primary</v>
      </c>
      <c r="E392" s="24" t="str">
        <f>_xll.DBRW("TM1-S1_DEV:}ElementAttributes_SP_SKU",$F392,E$1)</f>
        <v>PROTEIN</v>
      </c>
      <c r="F392" s="26" t="s">
        <v>3115</v>
      </c>
      <c r="G392" s="26" t="s">
        <v>970</v>
      </c>
      <c r="H392" s="26" t="s">
        <v>2672</v>
      </c>
      <c r="I392" s="54">
        <f>_xll.DBRW($A$1,$F$14,$F$15,$C392,$A$2,$F392,$G392,$H392,I$1)</f>
        <v>9</v>
      </c>
      <c r="J392" s="25">
        <f>_xll.DBRW($A$1,$F$14,$F$15,$C392,$A$2,$F392,$G392,$H392,J$19)</f>
        <v>9</v>
      </c>
    </row>
    <row r="393" spans="1:10" s="23" customFormat="1" outlineLevel="1" thickBot="1" x14ac:dyDescent="0.3">
      <c r="A393" s="44"/>
      <c r="B393" s="31" t="str">
        <f>IF(_xll.TM1RPTELISCONSOLIDATED($H$20,$H393),IF(_xll.TM1RPTELLEV($H$20,$H393)&lt;=5,_xll.TM1RPTELLEV($H$20,$H393),"Default"),"Leaf")</f>
        <v>Leaf</v>
      </c>
      <c r="C393" s="26" t="s">
        <v>12</v>
      </c>
      <c r="D393" s="24" t="str">
        <f>_xll.DBRW("TM1-S1_DEV:}ElementAttributes_SP_SKU",$F393,D$1)</f>
        <v>Primary</v>
      </c>
      <c r="E393" s="24" t="str">
        <f>_xll.DBRW("TM1-S1_DEV:}ElementAttributes_SP_SKU",$F393,E$1)</f>
        <v>SOUP</v>
      </c>
      <c r="F393" s="26" t="s">
        <v>3117</v>
      </c>
      <c r="G393" s="26" t="s">
        <v>971</v>
      </c>
      <c r="H393" s="26" t="s">
        <v>2674</v>
      </c>
      <c r="I393" s="54">
        <f>_xll.DBRW($A$1,$F$14,$F$15,$C393,$A$2,$F393,$G393,$H393,I$1)</f>
        <v>10</v>
      </c>
      <c r="J393" s="25">
        <f>_xll.DBRW($A$1,$F$14,$F$15,$C393,$A$2,$F393,$G393,$H393,J$19)</f>
        <v>10</v>
      </c>
    </row>
    <row r="394" spans="1:10" s="23" customFormat="1" outlineLevel="1" thickBot="1" x14ac:dyDescent="0.3">
      <c r="A394" s="44"/>
      <c r="B394" s="31" t="str">
        <f>IF(_xll.TM1RPTELISCONSOLIDATED($H$20,$H394),IF(_xll.TM1RPTELLEV($H$20,$H394)&lt;=5,_xll.TM1RPTELLEV($H$20,$H394),"Default"),"Leaf")</f>
        <v>Leaf</v>
      </c>
      <c r="C394" s="26" t="s">
        <v>12</v>
      </c>
      <c r="D394" s="24" t="str">
        <f>_xll.DBRW("TM1-S1_DEV:}ElementAttributes_SP_SKU",$F394,D$1)</f>
        <v>Primary</v>
      </c>
      <c r="E394" s="24" t="str">
        <f>_xll.DBRW("TM1-S1_DEV:}ElementAttributes_SP_SKU",$F394,E$1)</f>
        <v>PROTEIN</v>
      </c>
      <c r="F394" s="26" t="s">
        <v>3119</v>
      </c>
      <c r="G394" s="26" t="s">
        <v>972</v>
      </c>
      <c r="H394" s="26" t="s">
        <v>2670</v>
      </c>
      <c r="I394" s="54">
        <f>_xll.DBRW($A$1,$F$14,$F$15,$C394,$A$2,$F394,$G394,$H394,I$1)</f>
        <v>0</v>
      </c>
      <c r="J394" s="25">
        <f>_xll.DBRW($A$1,$F$14,$F$15,$C394,$A$2,$F394,$G394,$H394,J$19)</f>
        <v>4</v>
      </c>
    </row>
    <row r="395" spans="1:10" s="23" customFormat="1" outlineLevel="1" thickBot="1" x14ac:dyDescent="0.3">
      <c r="A395" s="44"/>
      <c r="B395" s="31" t="str">
        <f>IF(_xll.TM1RPTELISCONSOLIDATED($H$20,$H395),IF(_xll.TM1RPTELLEV($H$20,$H395)&lt;=5,_xll.TM1RPTELLEV($H$20,$H395),"Default"),"Leaf")</f>
        <v>Leaf</v>
      </c>
      <c r="C395" s="26" t="s">
        <v>12</v>
      </c>
      <c r="D395" s="24" t="str">
        <f>_xll.DBRW("TM1-S1_DEV:}ElementAttributes_SP_SKU",$F395,D$1)</f>
        <v>Unassigned PSP</v>
      </c>
      <c r="E395" s="24" t="str">
        <f>_xll.DBRW("TM1-S1_DEV:}ElementAttributes_SP_SKU",$F395,E$1)</f>
        <v>SIDES</v>
      </c>
      <c r="F395" s="26" t="s">
        <v>62</v>
      </c>
      <c r="G395" s="26" t="s">
        <v>973</v>
      </c>
      <c r="H395" s="26" t="s">
        <v>2732</v>
      </c>
      <c r="I395" s="54">
        <f>_xll.DBRW($A$1,$F$14,$F$15,$C395,$A$2,$F395,$G395,$H395,I$1)</f>
        <v>16</v>
      </c>
      <c r="J395" s="25">
        <f>_xll.DBRW($A$1,$F$14,$F$15,$C395,$A$2,$F395,$G395,$H395,J$19)</f>
        <v>24</v>
      </c>
    </row>
    <row r="396" spans="1:10" s="23" customFormat="1" outlineLevel="1" thickBot="1" x14ac:dyDescent="0.3">
      <c r="A396" s="44"/>
      <c r="B396" s="31" t="str">
        <f>IF(_xll.TM1RPTELISCONSOLIDATED($H$20,$H396),IF(_xll.TM1RPTELLEV($H$20,$H396)&lt;=5,_xll.TM1RPTELLEV($H$20,$H396),"Default"),"Leaf")</f>
        <v>Leaf</v>
      </c>
      <c r="C396" s="26" t="s">
        <v>12</v>
      </c>
      <c r="D396" s="24" t="str">
        <f>_xll.DBRW("TM1-S1_DEV:}ElementAttributes_SP_SKU",$F396,D$1)</f>
        <v>Primary</v>
      </c>
      <c r="E396" s="24" t="str">
        <f>_xll.DBRW("TM1-S1_DEV:}ElementAttributes_SP_SKU",$F396,E$1)</f>
        <v>DESSERT</v>
      </c>
      <c r="F396" s="26" t="s">
        <v>29</v>
      </c>
      <c r="G396" s="26" t="s">
        <v>974</v>
      </c>
      <c r="H396" s="26" t="s">
        <v>2677</v>
      </c>
      <c r="I396" s="54">
        <f>_xll.DBRW($A$1,$F$14,$F$15,$C396,$A$2,$F396,$G396,$H396,I$1)</f>
        <v>7</v>
      </c>
      <c r="J396" s="25">
        <f>_xll.DBRW($A$1,$F$14,$F$15,$C396,$A$2,$F396,$G396,$H396,J$19)</f>
        <v>16</v>
      </c>
    </row>
    <row r="397" spans="1:10" s="23" customFormat="1" outlineLevel="1" thickBot="1" x14ac:dyDescent="0.3">
      <c r="A397" s="44"/>
      <c r="B397" s="31" t="str">
        <f>IF(_xll.TM1RPTELISCONSOLIDATED($H$20,$H397),IF(_xll.TM1RPTELLEV($H$20,$H397)&lt;=5,_xll.TM1RPTELLEV($H$20,$H397),"Default"),"Leaf")</f>
        <v>Leaf</v>
      </c>
      <c r="C397" s="26" t="s">
        <v>12</v>
      </c>
      <c r="D397" s="24" t="str">
        <f>_xll.DBRW("TM1-S1_DEV:}ElementAttributes_SP_SKU",$F397,D$1)</f>
        <v>Primary</v>
      </c>
      <c r="E397" s="24" t="str">
        <f>_xll.DBRW("TM1-S1_DEV:}ElementAttributes_SP_SKU",$F397,E$1)</f>
        <v>PIE</v>
      </c>
      <c r="F397" s="26" t="s">
        <v>3133</v>
      </c>
      <c r="G397" s="26" t="s">
        <v>975</v>
      </c>
      <c r="H397" s="26" t="s">
        <v>2678</v>
      </c>
      <c r="I397" s="54">
        <f>_xll.DBRW($A$1,$F$14,$F$15,$C397,$A$2,$F397,$G397,$H397,I$1)</f>
        <v>5</v>
      </c>
      <c r="J397" s="25">
        <f>_xll.DBRW($A$1,$F$14,$F$15,$C397,$A$2,$F397,$G397,$H397,J$19)</f>
        <v>5</v>
      </c>
    </row>
    <row r="398" spans="1:10" s="23" customFormat="1" outlineLevel="1" thickBot="1" x14ac:dyDescent="0.3">
      <c r="A398" s="44"/>
      <c r="B398" s="31" t="str">
        <f>IF(_xll.TM1RPTELISCONSOLIDATED($H$20,$H398),IF(_xll.TM1RPTELLEV($H$20,$H398)&lt;=5,_xll.TM1RPTELLEV($H$20,$H398),"Default"),"Leaf")</f>
        <v>Leaf</v>
      </c>
      <c r="C398" s="26" t="s">
        <v>12</v>
      </c>
      <c r="D398" s="24" t="str">
        <f>_xll.DBRW("TM1-S1_DEV:}ElementAttributes_SP_SKU",$F398,D$1)</f>
        <v>Primary</v>
      </c>
      <c r="E398" s="24" t="str">
        <f>_xll.DBRW("TM1-S1_DEV:}ElementAttributes_SP_SKU",$F398,E$1)</f>
        <v>PIE</v>
      </c>
      <c r="F398" s="26" t="s">
        <v>3134</v>
      </c>
      <c r="G398" s="26" t="s">
        <v>976</v>
      </c>
      <c r="H398" s="26" t="s">
        <v>2678</v>
      </c>
      <c r="I398" s="54">
        <f>_xll.DBRW($A$1,$F$14,$F$15,$C398,$A$2,$F398,$G398,$H398,I$1)</f>
        <v>5</v>
      </c>
      <c r="J398" s="25">
        <f>_xll.DBRW($A$1,$F$14,$F$15,$C398,$A$2,$F398,$G398,$H398,J$19)</f>
        <v>5</v>
      </c>
    </row>
    <row r="399" spans="1:10" s="23" customFormat="1" outlineLevel="1" thickBot="1" x14ac:dyDescent="0.3">
      <c r="A399" s="44"/>
      <c r="B399" s="31" t="str">
        <f>IF(_xll.TM1RPTELISCONSOLIDATED($H$20,$H399),IF(_xll.TM1RPTELLEV($H$20,$H399)&lt;=5,_xll.TM1RPTELLEV($H$20,$H399),"Default"),"Leaf")</f>
        <v>Leaf</v>
      </c>
      <c r="C399" s="26" t="s">
        <v>12</v>
      </c>
      <c r="D399" s="24" t="str">
        <f>_xll.DBRW("TM1-S1_DEV:}ElementAttributes_SP_SKU",$F399,D$1)</f>
        <v>Primary</v>
      </c>
      <c r="E399" s="24" t="str">
        <f>_xll.DBRW("TM1-S1_DEV:}ElementAttributes_SP_SKU",$F399,E$1)</f>
        <v>CAKE</v>
      </c>
      <c r="F399" s="26" t="s">
        <v>3135</v>
      </c>
      <c r="G399" s="26" t="s">
        <v>977</v>
      </c>
      <c r="H399" s="26" t="s">
        <v>2679</v>
      </c>
      <c r="I399" s="54">
        <f>_xll.DBRW($A$1,$F$14,$F$15,$C399,$A$2,$F399,$G399,$H399,I$1)</f>
        <v>5</v>
      </c>
      <c r="J399" s="25">
        <f>_xll.DBRW($A$1,$F$14,$F$15,$C399,$A$2,$F399,$G399,$H399,J$19)</f>
        <v>5</v>
      </c>
    </row>
    <row r="400" spans="1:10" s="23" customFormat="1" outlineLevel="1" thickBot="1" x14ac:dyDescent="0.3">
      <c r="A400" s="44"/>
      <c r="B400" s="31" t="str">
        <f>IF(_xll.TM1RPTELISCONSOLIDATED($H$20,$H400),IF(_xll.TM1RPTELLEV($H$20,$H400)&lt;=5,_xll.TM1RPTELLEV($H$20,$H400),"Default"),"Leaf")</f>
        <v>Leaf</v>
      </c>
      <c r="C400" s="26" t="s">
        <v>12</v>
      </c>
      <c r="D400" s="24" t="str">
        <f>_xll.DBRW("TM1-S1_DEV:}ElementAttributes_SP_SKU",$F400,D$1)</f>
        <v>Primary</v>
      </c>
      <c r="E400" s="24" t="str">
        <f>_xll.DBRW("TM1-S1_DEV:}ElementAttributes_SP_SKU",$F400,E$1)</f>
        <v>CAKE</v>
      </c>
      <c r="F400" s="26" t="s">
        <v>3136</v>
      </c>
      <c r="G400" s="26" t="s">
        <v>978</v>
      </c>
      <c r="H400" s="26" t="s">
        <v>2679</v>
      </c>
      <c r="I400" s="54">
        <f>_xll.DBRW($A$1,$F$14,$F$15,$C400,$A$2,$F400,$G400,$H400,I$1)</f>
        <v>4</v>
      </c>
      <c r="J400" s="25">
        <f>_xll.DBRW($A$1,$F$14,$F$15,$C400,$A$2,$F400,$G400,$H400,J$19)</f>
        <v>4</v>
      </c>
    </row>
    <row r="401" spans="1:10" s="23" customFormat="1" outlineLevel="1" thickBot="1" x14ac:dyDescent="0.3">
      <c r="A401" s="44"/>
      <c r="B401" s="31" t="str">
        <f>IF(_xll.TM1RPTELISCONSOLIDATED($H$20,$H401),IF(_xll.TM1RPTELLEV($H$20,$H401)&lt;=5,_xll.TM1RPTELLEV($H$20,$H401),"Default"),"Leaf")</f>
        <v>Leaf</v>
      </c>
      <c r="C401" s="26" t="s">
        <v>12</v>
      </c>
      <c r="D401" s="24" t="str">
        <f>_xll.DBRW("TM1-S1_DEV:}ElementAttributes_SP_SKU",$F401,D$1)</f>
        <v>Primary</v>
      </c>
      <c r="E401" s="24" t="str">
        <f>_xll.DBRW("TM1-S1_DEV:}ElementAttributes_SP_SKU",$F401,E$1)</f>
        <v>CAKE</v>
      </c>
      <c r="F401" s="26" t="s">
        <v>3137</v>
      </c>
      <c r="G401" s="26" t="s">
        <v>1216</v>
      </c>
      <c r="H401" s="26" t="s">
        <v>2679</v>
      </c>
      <c r="I401" s="54">
        <f>_xll.DBRW($A$1,$F$14,$F$15,$C401,$A$2,$F401,$G401,$H401,I$1)</f>
        <v>0</v>
      </c>
      <c r="J401" s="25">
        <f>_xll.DBRW($A$1,$F$14,$F$15,$C401,$A$2,$F401,$G401,$H401,J$19)</f>
        <v>10</v>
      </c>
    </row>
    <row r="402" spans="1:10" s="23" customFormat="1" outlineLevel="1" thickBot="1" x14ac:dyDescent="0.3">
      <c r="A402" s="44"/>
      <c r="B402" s="31" t="str">
        <f>IF(_xll.TM1RPTELISCONSOLIDATED($H$20,$H402),IF(_xll.TM1RPTELLEV($H$20,$H402)&lt;=5,_xll.TM1RPTELLEV($H$20,$H402),"Default"),"Leaf")</f>
        <v>Leaf</v>
      </c>
      <c r="C402" s="26" t="s">
        <v>12</v>
      </c>
      <c r="D402" s="24" t="str">
        <f>_xll.DBRW("TM1-S1_DEV:}ElementAttributes_SP_SKU",$F402,D$1)</f>
        <v>Primary</v>
      </c>
      <c r="E402" s="24" t="str">
        <f>_xll.DBRW("TM1-S1_DEV:}ElementAttributes_SP_SKU",$F402,E$1)</f>
        <v>DESSERT</v>
      </c>
      <c r="F402" s="26" t="s">
        <v>3139</v>
      </c>
      <c r="G402" s="26" t="s">
        <v>979</v>
      </c>
      <c r="H402" s="26" t="s">
        <v>2681</v>
      </c>
      <c r="I402" s="54">
        <f>_xll.DBRW($A$1,$F$14,$F$15,$C402,$A$2,$F402,$G402,$H402,I$1)</f>
        <v>10</v>
      </c>
      <c r="J402" s="25">
        <f>_xll.DBRW($A$1,$F$14,$F$15,$C402,$A$2,$F402,$G402,$H402,J$19)</f>
        <v>10</v>
      </c>
    </row>
    <row r="403" spans="1:10" s="23" customFormat="1" outlineLevel="1" thickBot="1" x14ac:dyDescent="0.3">
      <c r="A403" s="44"/>
      <c r="B403" s="31" t="str">
        <f>IF(_xll.TM1RPTELISCONSOLIDATED($H$20,$H403),IF(_xll.TM1RPTELLEV($H$20,$H403)&lt;=5,_xll.TM1RPTELLEV($H$20,$H403),"Default"),"Leaf")</f>
        <v>Leaf</v>
      </c>
      <c r="C403" s="26" t="s">
        <v>12</v>
      </c>
      <c r="D403" s="24" t="str">
        <f>_xll.DBRW("TM1-S1_DEV:}ElementAttributes_SP_SKU",$F403,D$1)</f>
        <v>Primary</v>
      </c>
      <c r="E403" s="24" t="str">
        <f>_xll.DBRW("TM1-S1_DEV:}ElementAttributes_SP_SKU",$F403,E$1)</f>
        <v>DESSERT</v>
      </c>
      <c r="F403" s="26" t="s">
        <v>3140</v>
      </c>
      <c r="G403" s="26" t="s">
        <v>980</v>
      </c>
      <c r="H403" s="26" t="s">
        <v>2681</v>
      </c>
      <c r="I403" s="54">
        <f>_xll.DBRW($A$1,$F$14,$F$15,$C403,$A$2,$F403,$G403,$H403,I$1)</f>
        <v>5</v>
      </c>
      <c r="J403" s="25">
        <f>_xll.DBRW($A$1,$F$14,$F$15,$C403,$A$2,$F403,$G403,$H403,J$19)</f>
        <v>5</v>
      </c>
    </row>
    <row r="404" spans="1:10" s="23" customFormat="1" outlineLevel="1" thickBot="1" x14ac:dyDescent="0.3">
      <c r="A404" s="44"/>
      <c r="B404" s="31" t="str">
        <f>IF(_xll.TM1RPTELISCONSOLIDATED($H$20,$H404),IF(_xll.TM1RPTELLEV($H$20,$H404)&lt;=5,_xll.TM1RPTELLEV($H$20,$H404),"Default"),"Leaf")</f>
        <v>Leaf</v>
      </c>
      <c r="C404" s="26" t="s">
        <v>12</v>
      </c>
      <c r="D404" s="24" t="str">
        <f>_xll.DBRW("TM1-S1_DEV:}ElementAttributes_SP_SKU",$F404,D$1)</f>
        <v>Primary</v>
      </c>
      <c r="E404" s="24" t="str">
        <f>_xll.DBRW("TM1-S1_DEV:}ElementAttributes_SP_SKU",$F404,E$1)</f>
        <v>CAKE</v>
      </c>
      <c r="F404" s="26" t="s">
        <v>3142</v>
      </c>
      <c r="G404" s="26" t="s">
        <v>981</v>
      </c>
      <c r="H404" s="26" t="s">
        <v>2682</v>
      </c>
      <c r="I404" s="54">
        <f>_xll.DBRW($A$1,$F$14,$F$15,$C404,$A$2,$F404,$G404,$H404,I$1)</f>
        <v>4</v>
      </c>
      <c r="J404" s="25">
        <f>_xll.DBRW($A$1,$F$14,$F$15,$C404,$A$2,$F404,$G404,$H404,J$19)</f>
        <v>4</v>
      </c>
    </row>
    <row r="405" spans="1:10" s="23" customFormat="1" outlineLevel="1" thickBot="1" x14ac:dyDescent="0.3">
      <c r="A405" s="44"/>
      <c r="B405" s="31" t="str">
        <f>IF(_xll.TM1RPTELISCONSOLIDATED($H$20,$H405),IF(_xll.TM1RPTELLEV($H$20,$H405)&lt;=5,_xll.TM1RPTELLEV($H$20,$H405),"Default"),"Leaf")</f>
        <v>Leaf</v>
      </c>
      <c r="C405" s="26" t="s">
        <v>12</v>
      </c>
      <c r="D405" s="24" t="str">
        <f>_xll.DBRW("TM1-S1_DEV:}ElementAttributes_SP_SKU",$F405,D$1)</f>
        <v>Primary</v>
      </c>
      <c r="E405" s="24" t="str">
        <f>_xll.DBRW("TM1-S1_DEV:}ElementAttributes_SP_SKU",$F405,E$1)</f>
        <v>CONDIMENT</v>
      </c>
      <c r="F405" s="26" t="s">
        <v>3148</v>
      </c>
      <c r="G405" s="26" t="s">
        <v>982</v>
      </c>
      <c r="H405" s="26" t="s">
        <v>2684</v>
      </c>
      <c r="I405" s="54">
        <f>_xll.DBRW($A$1,$F$14,$F$15,$C405,$A$2,$F405,$G405,$H405,I$1)</f>
        <v>10</v>
      </c>
      <c r="J405" s="25">
        <f>_xll.DBRW($A$1,$F$14,$F$15,$C405,$A$2,$F405,$G405,$H405,J$19)</f>
        <v>10</v>
      </c>
    </row>
    <row r="406" spans="1:10" s="23" customFormat="1" outlineLevel="1" thickBot="1" x14ac:dyDescent="0.3">
      <c r="A406" s="44"/>
      <c r="B406" s="31" t="str">
        <f>IF(_xll.TM1RPTELISCONSOLIDATED($H$20,$H406),IF(_xll.TM1RPTELLEV($H$20,$H406)&lt;=5,_xll.TM1RPTELLEV($H$20,$H406),"Default"),"Leaf")</f>
        <v>Leaf</v>
      </c>
      <c r="C406" s="26" t="s">
        <v>12</v>
      </c>
      <c r="D406" s="24" t="str">
        <f>_xll.DBRW("TM1-S1_DEV:}ElementAttributes_SP_SKU",$F406,D$1)</f>
        <v>Primary</v>
      </c>
      <c r="E406" s="24" t="str">
        <f>_xll.DBRW("TM1-S1_DEV:}ElementAttributes_SP_SKU",$F406,E$1)</f>
        <v>CONDIMENT</v>
      </c>
      <c r="F406" s="26" t="s">
        <v>3150</v>
      </c>
      <c r="G406" s="26" t="s">
        <v>983</v>
      </c>
      <c r="H406" s="26" t="s">
        <v>2684</v>
      </c>
      <c r="I406" s="54">
        <f>_xll.DBRW($A$1,$F$14,$F$15,$C406,$A$2,$F406,$G406,$H406,I$1)</f>
        <v>9</v>
      </c>
      <c r="J406" s="25">
        <f>_xll.DBRW($A$1,$F$14,$F$15,$C406,$A$2,$F406,$G406,$H406,J$19)</f>
        <v>9</v>
      </c>
    </row>
    <row r="407" spans="1:10" s="23" customFormat="1" outlineLevel="1" thickBot="1" x14ac:dyDescent="0.3">
      <c r="A407" s="44"/>
      <c r="B407" s="31" t="str">
        <f>IF(_xll.TM1RPTELISCONSOLIDATED($H$20,$H407),IF(_xll.TM1RPTELLEV($H$20,$H407)&lt;=5,_xll.TM1RPTELLEV($H$20,$H407),"Default"),"Leaf")</f>
        <v>Leaf</v>
      </c>
      <c r="C407" s="26" t="s">
        <v>12</v>
      </c>
      <c r="D407" s="24" t="str">
        <f>_xll.DBRW("TM1-S1_DEV:}ElementAttributes_SP_SKU",$F407,D$1)</f>
        <v>Primary</v>
      </c>
      <c r="E407" s="24" t="str">
        <f>_xll.DBRW("TM1-S1_DEV:}ElementAttributes_SP_SKU",$F407,E$1)</f>
        <v>CONDIMENT</v>
      </c>
      <c r="F407" s="26" t="s">
        <v>3152</v>
      </c>
      <c r="G407" s="26" t="s">
        <v>984</v>
      </c>
      <c r="H407" s="26" t="s">
        <v>2684</v>
      </c>
      <c r="I407" s="54">
        <f>_xll.DBRW($A$1,$F$14,$F$15,$C407,$A$2,$F407,$G407,$H407,I$1)</f>
        <v>10</v>
      </c>
      <c r="J407" s="25">
        <f>_xll.DBRW($A$1,$F$14,$F$15,$C407,$A$2,$F407,$G407,$H407,J$19)</f>
        <v>10</v>
      </c>
    </row>
    <row r="408" spans="1:10" s="23" customFormat="1" outlineLevel="1" thickBot="1" x14ac:dyDescent="0.3">
      <c r="A408" s="44"/>
      <c r="B408" s="31" t="str">
        <f>IF(_xll.TM1RPTELISCONSOLIDATED($H$20,$H408),IF(_xll.TM1RPTELLEV($H$20,$H408)&lt;=5,_xll.TM1RPTELLEV($H$20,$H408),"Default"),"Leaf")</f>
        <v>Leaf</v>
      </c>
      <c r="C408" s="26" t="s">
        <v>12</v>
      </c>
      <c r="D408" s="24" t="str">
        <f>_xll.DBRW("TM1-S1_DEV:}ElementAttributes_SP_SKU",$F408,D$1)</f>
        <v>Primary</v>
      </c>
      <c r="E408" s="24" t="str">
        <f>_xll.DBRW("TM1-S1_DEV:}ElementAttributes_SP_SKU",$F408,E$1)</f>
        <v>CONDIMENT</v>
      </c>
      <c r="F408" s="26" t="s">
        <v>3154</v>
      </c>
      <c r="G408" s="26" t="s">
        <v>985</v>
      </c>
      <c r="H408" s="26" t="s">
        <v>2684</v>
      </c>
      <c r="I408" s="54">
        <f>_xll.DBRW($A$1,$F$14,$F$15,$C408,$A$2,$F408,$G408,$H408,I$1)</f>
        <v>10</v>
      </c>
      <c r="J408" s="25">
        <f>_xll.DBRW($A$1,$F$14,$F$15,$C408,$A$2,$F408,$G408,$H408,J$19)</f>
        <v>10</v>
      </c>
    </row>
    <row r="409" spans="1:10" s="23" customFormat="1" outlineLevel="1" thickBot="1" x14ac:dyDescent="0.3">
      <c r="A409" s="44"/>
      <c r="B409" s="31" t="str">
        <f>IF(_xll.TM1RPTELISCONSOLIDATED($H$20,$H409),IF(_xll.TM1RPTELLEV($H$20,$H409)&lt;=5,_xll.TM1RPTELLEV($H$20,$H409),"Default"),"Leaf")</f>
        <v>Leaf</v>
      </c>
      <c r="C409" s="26" t="s">
        <v>12</v>
      </c>
      <c r="D409" s="24" t="str">
        <f>_xll.DBRW("TM1-S1_DEV:}ElementAttributes_SP_SKU",$F409,D$1)</f>
        <v>Primary</v>
      </c>
      <c r="E409" s="24" t="str">
        <f>_xll.DBRW("TM1-S1_DEV:}ElementAttributes_SP_SKU",$F409,E$1)</f>
        <v>BREAD</v>
      </c>
      <c r="F409" s="26" t="s">
        <v>3163</v>
      </c>
      <c r="G409" s="26" t="s">
        <v>986</v>
      </c>
      <c r="H409" s="26" t="s">
        <v>2687</v>
      </c>
      <c r="I409" s="54">
        <f>_xll.DBRW($A$1,$F$14,$F$15,$C409,$A$2,$F409,$G409,$H409,I$1)</f>
        <v>32</v>
      </c>
      <c r="J409" s="25">
        <f>_xll.DBRW($A$1,$F$14,$F$15,$C409,$A$2,$F409,$G409,$H409,J$19)</f>
        <v>32</v>
      </c>
    </row>
    <row r="410" spans="1:10" s="23" customFormat="1" outlineLevel="1" thickBot="1" x14ac:dyDescent="0.3">
      <c r="A410" s="44"/>
      <c r="B410" s="31" t="str">
        <f>IF(_xll.TM1RPTELISCONSOLIDATED($H$20,$H410),IF(_xll.TM1RPTELLEV($H$20,$H410)&lt;=5,_xll.TM1RPTELLEV($H$20,$H410),"Default"),"Leaf")</f>
        <v>Leaf</v>
      </c>
      <c r="C410" s="26" t="s">
        <v>12</v>
      </c>
      <c r="D410" s="24" t="str">
        <f>_xll.DBRW("TM1-S1_DEV:}ElementAttributes_SP_SKU",$F410,D$1)</f>
        <v>Primary</v>
      </c>
      <c r="E410" s="24" t="str">
        <f>_xll.DBRW("TM1-S1_DEV:}ElementAttributes_SP_SKU",$F410,E$1)</f>
        <v>BREAD</v>
      </c>
      <c r="F410" s="26" t="s">
        <v>3164</v>
      </c>
      <c r="G410" s="26" t="s">
        <v>987</v>
      </c>
      <c r="H410" s="26" t="s">
        <v>2687</v>
      </c>
      <c r="I410" s="54">
        <f>_xll.DBRW($A$1,$F$14,$F$15,$C410,$A$2,$F410,$G410,$H410,I$1)</f>
        <v>36</v>
      </c>
      <c r="J410" s="25">
        <f>_xll.DBRW($A$1,$F$14,$F$15,$C410,$A$2,$F410,$G410,$H410,J$19)</f>
        <v>36</v>
      </c>
    </row>
    <row r="411" spans="1:10" s="23" customFormat="1" outlineLevel="1" thickBot="1" x14ac:dyDescent="0.3">
      <c r="A411" s="44"/>
      <c r="B411" s="31" t="str">
        <f>IF(_xll.TM1RPTELISCONSOLIDATED($H$20,$H411),IF(_xll.TM1RPTELLEV($H$20,$H411)&lt;=5,_xll.TM1RPTELLEV($H$20,$H411),"Default"),"Leaf")</f>
        <v>Leaf</v>
      </c>
      <c r="C411" s="26" t="s">
        <v>12</v>
      </c>
      <c r="D411" s="24" t="str">
        <f>_xll.DBRW("TM1-S1_DEV:}ElementAttributes_SP_SKU",$F411,D$1)</f>
        <v>Primary</v>
      </c>
      <c r="E411" s="24" t="str">
        <f>_xll.DBRW("TM1-S1_DEV:}ElementAttributes_SP_SKU",$F411,E$1)</f>
        <v>BREAD</v>
      </c>
      <c r="F411" s="26" t="s">
        <v>3165</v>
      </c>
      <c r="G411" s="26" t="s">
        <v>988</v>
      </c>
      <c r="H411" s="26" t="s">
        <v>2688</v>
      </c>
      <c r="I411" s="54">
        <f>_xll.DBRW($A$1,$F$14,$F$15,$C411,$A$2,$F411,$G411,$H411,I$1)</f>
        <v>2</v>
      </c>
      <c r="J411" s="25">
        <f>_xll.DBRW($A$1,$F$14,$F$15,$C411,$A$2,$F411,$G411,$H411,J$19)</f>
        <v>12</v>
      </c>
    </row>
    <row r="412" spans="1:10" s="23" customFormat="1" outlineLevel="1" thickBot="1" x14ac:dyDescent="0.3">
      <c r="A412" s="44"/>
      <c r="B412" s="31" t="str">
        <f>IF(_xll.TM1RPTELISCONSOLIDATED($H$20,$H412),IF(_xll.TM1RPTELLEV($H$20,$H412)&lt;=5,_xll.TM1RPTELLEV($H$20,$H412),"Default"),"Leaf")</f>
        <v>Leaf</v>
      </c>
      <c r="C412" s="26" t="s">
        <v>12</v>
      </c>
      <c r="D412" s="24" t="str">
        <f>_xll.DBRW("TM1-S1_DEV:}ElementAttributes_SP_SKU",$F412,D$1)</f>
        <v>Primary</v>
      </c>
      <c r="E412" s="24" t="str">
        <f>_xll.DBRW("TM1-S1_DEV:}ElementAttributes_SP_SKU",$F412,E$1)</f>
        <v>BREAD</v>
      </c>
      <c r="F412" s="26" t="s">
        <v>3166</v>
      </c>
      <c r="G412" s="26" t="s">
        <v>989</v>
      </c>
      <c r="H412" s="26" t="s">
        <v>2689</v>
      </c>
      <c r="I412" s="54">
        <f>_xll.DBRW($A$1,$F$14,$F$15,$C412,$A$2,$F412,$G412,$H412,I$1)</f>
        <v>57</v>
      </c>
      <c r="J412" s="25">
        <f>_xll.DBRW($A$1,$F$14,$F$15,$C412,$A$2,$F412,$G412,$H412,J$19)</f>
        <v>87</v>
      </c>
    </row>
    <row r="413" spans="1:10" s="23" customFormat="1" outlineLevel="1" thickBot="1" x14ac:dyDescent="0.3">
      <c r="A413" s="44"/>
      <c r="B413" s="31" t="str">
        <f>IF(_xll.TM1RPTELISCONSOLIDATED($H$20,$H413),IF(_xll.TM1RPTELLEV($H$20,$H413)&lt;=5,_xll.TM1RPTELLEV($H$20,$H413),"Default"),"Leaf")</f>
        <v>Leaf</v>
      </c>
      <c r="C413" s="26" t="s">
        <v>12</v>
      </c>
      <c r="D413" s="24" t="str">
        <f>_xll.DBRW("TM1-S1_DEV:}ElementAttributes_SP_SKU",$F413,D$1)</f>
        <v>Primary</v>
      </c>
      <c r="E413" s="24" t="str">
        <f>_xll.DBRW("TM1-S1_DEV:}ElementAttributes_SP_SKU",$F413,E$1)</f>
        <v>BREAD</v>
      </c>
      <c r="F413" s="26" t="s">
        <v>3167</v>
      </c>
      <c r="G413" s="26" t="s">
        <v>990</v>
      </c>
      <c r="H413" s="26" t="s">
        <v>2688</v>
      </c>
      <c r="I413" s="54">
        <f>_xll.DBRW($A$1,$F$14,$F$15,$C413,$A$2,$F413,$G413,$H413,I$1)</f>
        <v>16</v>
      </c>
      <c r="J413" s="25">
        <f>_xll.DBRW($A$1,$F$14,$F$15,$C413,$A$2,$F413,$G413,$H413,J$19)</f>
        <v>30</v>
      </c>
    </row>
    <row r="414" spans="1:10" s="23" customFormat="1" outlineLevel="1" thickBot="1" x14ac:dyDescent="0.3">
      <c r="A414" s="44"/>
      <c r="B414" s="31" t="str">
        <f>IF(_xll.TM1RPTELISCONSOLIDATED($H$20,$H414),IF(_xll.TM1RPTELLEV($H$20,$H414)&lt;=5,_xll.TM1RPTELLEV($H$20,$H414),"Default"),"Leaf")</f>
        <v>Leaf</v>
      </c>
      <c r="C414" s="26" t="s">
        <v>12</v>
      </c>
      <c r="D414" s="24" t="str">
        <f>_xll.DBRW("TM1-S1_DEV:}ElementAttributes_SP_SKU",$F414,D$1)</f>
        <v>Primary</v>
      </c>
      <c r="E414" s="24" t="str">
        <f>_xll.DBRW("TM1-S1_DEV:}ElementAttributes_SP_SKU",$F414,E$1)</f>
        <v>BREAD</v>
      </c>
      <c r="F414" s="26" t="s">
        <v>3168</v>
      </c>
      <c r="G414" s="26" t="s">
        <v>991</v>
      </c>
      <c r="H414" s="26" t="s">
        <v>2688</v>
      </c>
      <c r="I414" s="54">
        <f>_xll.DBRW($A$1,$F$14,$F$15,$C414,$A$2,$F414,$G414,$H414,I$1)</f>
        <v>3</v>
      </c>
      <c r="J414" s="25">
        <f>_xll.DBRW($A$1,$F$14,$F$15,$C414,$A$2,$F414,$G414,$H414,J$19)</f>
        <v>3</v>
      </c>
    </row>
    <row r="415" spans="1:10" s="23" customFormat="1" outlineLevel="1" thickBot="1" x14ac:dyDescent="0.3">
      <c r="A415" s="44"/>
      <c r="B415" s="31" t="str">
        <f>IF(_xll.TM1RPTELISCONSOLIDATED($H$20,$H415),IF(_xll.TM1RPTELLEV($H$20,$H415)&lt;=5,_xll.TM1RPTELLEV($H$20,$H415),"Default"),"Leaf")</f>
        <v>Leaf</v>
      </c>
      <c r="C415" s="26" t="s">
        <v>12</v>
      </c>
      <c r="D415" s="24" t="str">
        <f>_xll.DBRW("TM1-S1_DEV:}ElementAttributes_SP_SKU",$F415,D$1)</f>
        <v>Primary</v>
      </c>
      <c r="E415" s="24" t="str">
        <f>_xll.DBRW("TM1-S1_DEV:}ElementAttributes_SP_SKU",$F415,E$1)</f>
        <v>BREAD</v>
      </c>
      <c r="F415" s="26" t="s">
        <v>3169</v>
      </c>
      <c r="G415" s="26" t="s">
        <v>992</v>
      </c>
      <c r="H415" s="26" t="s">
        <v>2690</v>
      </c>
      <c r="I415" s="54">
        <f>_xll.DBRW($A$1,$F$14,$F$15,$C415,$A$2,$F415,$G415,$H415,I$1)</f>
        <v>15</v>
      </c>
      <c r="J415" s="25">
        <f>_xll.DBRW($A$1,$F$14,$F$15,$C415,$A$2,$F415,$G415,$H415,J$19)</f>
        <v>35</v>
      </c>
    </row>
    <row r="416" spans="1:10" s="23" customFormat="1" outlineLevel="1" thickBot="1" x14ac:dyDescent="0.3">
      <c r="A416" s="44"/>
      <c r="B416" s="31" t="str">
        <f>IF(_xll.TM1RPTELISCONSOLIDATED($H$20,$H416),IF(_xll.TM1RPTELLEV($H$20,$H416)&lt;=5,_xll.TM1RPTELLEV($H$20,$H416),"Default"),"Leaf")</f>
        <v>Leaf</v>
      </c>
      <c r="C416" s="26" t="s">
        <v>12</v>
      </c>
      <c r="D416" s="24" t="str">
        <f>_xll.DBRW("TM1-S1_DEV:}ElementAttributes_SP_SKU",$F416,D$1)</f>
        <v>Primary</v>
      </c>
      <c r="E416" s="24" t="str">
        <f>_xll.DBRW("TM1-S1_DEV:}ElementAttributes_SP_SKU",$F416,E$1)</f>
        <v>CHEESE</v>
      </c>
      <c r="F416" s="26" t="s">
        <v>3173</v>
      </c>
      <c r="G416" s="26" t="s">
        <v>993</v>
      </c>
      <c r="H416" s="26" t="s">
        <v>2692</v>
      </c>
      <c r="I416" s="54">
        <f>_xll.DBRW($A$1,$F$14,$F$15,$C416,$A$2,$F416,$G416,$H416,I$1)</f>
        <v>28</v>
      </c>
      <c r="J416" s="25">
        <f>_xll.DBRW($A$1,$F$14,$F$15,$C416,$A$2,$F416,$G416,$H416,J$19)</f>
        <v>28</v>
      </c>
    </row>
    <row r="417" spans="1:10" s="23" customFormat="1" outlineLevel="1" thickBot="1" x14ac:dyDescent="0.3">
      <c r="A417" s="44"/>
      <c r="B417" s="31" t="str">
        <f>IF(_xll.TM1RPTELISCONSOLIDATED($H$20,$H417),IF(_xll.TM1RPTELLEV($H$20,$H417)&lt;=5,_xll.TM1RPTELLEV($H$20,$H417),"Default"),"Leaf")</f>
        <v>Leaf</v>
      </c>
      <c r="C417" s="26" t="s">
        <v>12</v>
      </c>
      <c r="D417" s="24" t="str">
        <f>_xll.DBRW("TM1-S1_DEV:}ElementAttributes_SP_SKU",$F417,D$1)</f>
        <v>Primary</v>
      </c>
      <c r="E417" s="24" t="str">
        <f>_xll.DBRW("TM1-S1_DEV:}ElementAttributes_SP_SKU",$F417,E$1)</f>
        <v>CONDIMENT</v>
      </c>
      <c r="F417" s="26" t="s">
        <v>3174</v>
      </c>
      <c r="G417" s="26" t="s">
        <v>994</v>
      </c>
      <c r="H417" s="26" t="s">
        <v>2684</v>
      </c>
      <c r="I417" s="54">
        <f>_xll.DBRW($A$1,$F$14,$F$15,$C417,$A$2,$F417,$G417,$H417,I$1)</f>
        <v>13</v>
      </c>
      <c r="J417" s="25">
        <f>_xll.DBRW($A$1,$F$14,$F$15,$C417,$A$2,$F417,$G417,$H417,J$19)</f>
        <v>26</v>
      </c>
    </row>
    <row r="418" spans="1:10" s="23" customFormat="1" outlineLevel="1" thickBot="1" x14ac:dyDescent="0.3">
      <c r="A418" s="44"/>
      <c r="B418" s="31" t="str">
        <f>IF(_xll.TM1RPTELISCONSOLIDATED($H$20,$H418),IF(_xll.TM1RPTELLEV($H$20,$H418)&lt;=5,_xll.TM1RPTELLEV($H$20,$H418),"Default"),"Leaf")</f>
        <v>Leaf</v>
      </c>
      <c r="C418" s="26" t="s">
        <v>12</v>
      </c>
      <c r="D418" s="24" t="str">
        <f>_xll.DBRW("TM1-S1_DEV:}ElementAttributes_SP_SKU",$F418,D$1)</f>
        <v>Primary</v>
      </c>
      <c r="E418" s="24" t="str">
        <f>_xll.DBRW("TM1-S1_DEV:}ElementAttributes_SP_SKU",$F418,E$1)</f>
        <v>CHEESE</v>
      </c>
      <c r="F418" s="26" t="s">
        <v>3175</v>
      </c>
      <c r="G418" s="26" t="s">
        <v>995</v>
      </c>
      <c r="H418" s="26" t="s">
        <v>2692</v>
      </c>
      <c r="I418" s="54">
        <f>_xll.DBRW($A$1,$F$14,$F$15,$C418,$A$2,$F418,$G418,$H418,I$1)</f>
        <v>48</v>
      </c>
      <c r="J418" s="25">
        <f>_xll.DBRW($A$1,$F$14,$F$15,$C418,$A$2,$F418,$G418,$H418,J$19)</f>
        <v>152</v>
      </c>
    </row>
    <row r="419" spans="1:10" s="23" customFormat="1" outlineLevel="1" thickBot="1" x14ac:dyDescent="0.3">
      <c r="A419" s="44"/>
      <c r="B419" s="31" t="str">
        <f>IF(_xll.TM1RPTELISCONSOLIDATED($H$20,$H419),IF(_xll.TM1RPTELLEV($H$20,$H419)&lt;=5,_xll.TM1RPTELLEV($H$20,$H419),"Default"),"Leaf")</f>
        <v>Leaf</v>
      </c>
      <c r="C419" s="26" t="s">
        <v>12</v>
      </c>
      <c r="D419" s="24" t="str">
        <f>_xll.DBRW("TM1-S1_DEV:}ElementAttributes_SP_SKU",$F419,D$1)</f>
        <v>Primary</v>
      </c>
      <c r="E419" s="24" t="str">
        <f>_xll.DBRW("TM1-S1_DEV:}ElementAttributes_SP_SKU",$F419,E$1)</f>
        <v>CONDIMENT</v>
      </c>
      <c r="F419" s="26" t="s">
        <v>3176</v>
      </c>
      <c r="G419" s="26" t="s">
        <v>996</v>
      </c>
      <c r="H419" s="26" t="s">
        <v>2684</v>
      </c>
      <c r="I419" s="54">
        <f>_xll.DBRW($A$1,$F$14,$F$15,$C419,$A$2,$F419,$G419,$H419,I$1)</f>
        <v>12</v>
      </c>
      <c r="J419" s="25">
        <f>_xll.DBRW($A$1,$F$14,$F$15,$C419,$A$2,$F419,$G419,$H419,J$19)</f>
        <v>12</v>
      </c>
    </row>
    <row r="420" spans="1:10" s="23" customFormat="1" outlineLevel="1" thickBot="1" x14ac:dyDescent="0.3">
      <c r="A420" s="44"/>
      <c r="B420" s="31" t="str">
        <f>IF(_xll.TM1RPTELISCONSOLIDATED($H$20,$H420),IF(_xll.TM1RPTELLEV($H$20,$H420)&lt;=5,_xll.TM1RPTELLEV($H$20,$H420),"Default"),"Leaf")</f>
        <v>Leaf</v>
      </c>
      <c r="C420" s="26" t="s">
        <v>12</v>
      </c>
      <c r="D420" s="24" t="str">
        <f>_xll.DBRW("TM1-S1_DEV:}ElementAttributes_SP_SKU",$F420,D$1)</f>
        <v>Primary</v>
      </c>
      <c r="E420" s="24" t="str">
        <f>_xll.DBRW("TM1-S1_DEV:}ElementAttributes_SP_SKU",$F420,E$1)</f>
        <v>CONDIMENT</v>
      </c>
      <c r="F420" s="26" t="s">
        <v>3253</v>
      </c>
      <c r="G420" s="26" t="s">
        <v>997</v>
      </c>
      <c r="H420" s="26" t="s">
        <v>2686</v>
      </c>
      <c r="I420" s="54">
        <f>_xll.DBRW($A$1,$F$14,$F$15,$C420,$A$2,$F420,$G420,$H420,I$1)</f>
        <v>10</v>
      </c>
      <c r="J420" s="25">
        <f>_xll.DBRW($A$1,$F$14,$F$15,$C420,$A$2,$F420,$G420,$H420,J$19)</f>
        <v>10</v>
      </c>
    </row>
    <row r="421" spans="1:10" s="23" customFormat="1" outlineLevel="1" thickBot="1" x14ac:dyDescent="0.3">
      <c r="A421" s="44"/>
      <c r="B421" s="31" t="str">
        <f>IF(_xll.TM1RPTELISCONSOLIDATED($H$20,$H421),IF(_xll.TM1RPTELLEV($H$20,$H421)&lt;=5,_xll.TM1RPTELLEV($H$20,$H421),"Default"),"Leaf")</f>
        <v>Leaf</v>
      </c>
      <c r="C421" s="26" t="s">
        <v>12</v>
      </c>
      <c r="D421" s="24" t="str">
        <f>_xll.DBRW("TM1-S1_DEV:}ElementAttributes_SP_SKU",$F421,D$1)</f>
        <v>Primary</v>
      </c>
      <c r="E421" s="24" t="str">
        <f>_xll.DBRW("TM1-S1_DEV:}ElementAttributes_SP_SKU",$F421,E$1)</f>
        <v>CONDIMENT</v>
      </c>
      <c r="F421" s="26" t="s">
        <v>3178</v>
      </c>
      <c r="G421" s="26" t="s">
        <v>998</v>
      </c>
      <c r="H421" s="26" t="s">
        <v>2684</v>
      </c>
      <c r="I421" s="54">
        <f>_xll.DBRW($A$1,$F$14,$F$15,$C421,$A$2,$F421,$G421,$H421,I$1)</f>
        <v>12</v>
      </c>
      <c r="J421" s="25">
        <f>_xll.DBRW($A$1,$F$14,$F$15,$C421,$A$2,$F421,$G421,$H421,J$19)</f>
        <v>12</v>
      </c>
    </row>
    <row r="422" spans="1:10" s="23" customFormat="1" outlineLevel="1" thickBot="1" x14ac:dyDescent="0.3">
      <c r="A422" s="44"/>
      <c r="B422" s="31" t="str">
        <f>IF(_xll.TM1RPTELISCONSOLIDATED($H$20,$H422),IF(_xll.TM1RPTELLEV($H$20,$H422)&lt;=5,_xll.TM1RPTELLEV($H$20,$H422),"Default"),"Leaf")</f>
        <v>Leaf</v>
      </c>
      <c r="C422" s="26" t="s">
        <v>12</v>
      </c>
      <c r="D422" s="24" t="str">
        <f>_xll.DBRW("TM1-S1_DEV:}ElementAttributes_SP_SKU",$F422,D$1)</f>
        <v>Primary</v>
      </c>
      <c r="E422" s="24" t="str">
        <f>_xll.DBRW("TM1-S1_DEV:}ElementAttributes_SP_SKU",$F422,E$1)</f>
        <v>CONDIMENT</v>
      </c>
      <c r="F422" s="26" t="s">
        <v>3179</v>
      </c>
      <c r="G422" s="26" t="s">
        <v>999</v>
      </c>
      <c r="H422" s="26" t="s">
        <v>2684</v>
      </c>
      <c r="I422" s="54">
        <f>_xll.DBRW($A$1,$F$14,$F$15,$C422,$A$2,$F422,$G422,$H422,I$1)</f>
        <v>13</v>
      </c>
      <c r="J422" s="25">
        <f>_xll.DBRW($A$1,$F$14,$F$15,$C422,$A$2,$F422,$G422,$H422,J$19)</f>
        <v>13</v>
      </c>
    </row>
    <row r="423" spans="1:10" s="23" customFormat="1" outlineLevel="1" thickBot="1" x14ac:dyDescent="0.3">
      <c r="A423" s="44"/>
      <c r="B423" s="31" t="str">
        <f>IF(_xll.TM1RPTELISCONSOLIDATED($H$20,$H423),IF(_xll.TM1RPTELLEV($H$20,$H423)&lt;=5,_xll.TM1RPTELLEV($H$20,$H423),"Default"),"Leaf")</f>
        <v>Leaf</v>
      </c>
      <c r="C423" s="26" t="s">
        <v>12</v>
      </c>
      <c r="D423" s="24" t="str">
        <f>_xll.DBRW("TM1-S1_DEV:}ElementAttributes_SP_SKU",$F423,D$1)</f>
        <v>Primary</v>
      </c>
      <c r="E423" s="24" t="str">
        <f>_xll.DBRW("TM1-S1_DEV:}ElementAttributes_SP_SKU",$F423,E$1)</f>
        <v>COOKIE</v>
      </c>
      <c r="F423" s="26" t="s">
        <v>3180</v>
      </c>
      <c r="G423" s="26" t="s">
        <v>1000</v>
      </c>
      <c r="H423" s="26" t="s">
        <v>2691</v>
      </c>
      <c r="I423" s="54">
        <f>_xll.DBRW($A$1,$F$14,$F$15,$C423,$A$2,$F423,$G423,$H423,I$1)</f>
        <v>39</v>
      </c>
      <c r="J423" s="25">
        <f>_xll.DBRW($A$1,$F$14,$F$15,$C423,$A$2,$F423,$G423,$H423,J$19)</f>
        <v>39</v>
      </c>
    </row>
    <row r="424" spans="1:10" s="23" customFormat="1" outlineLevel="1" thickBot="1" x14ac:dyDescent="0.3">
      <c r="A424" s="44"/>
      <c r="B424" s="31" t="str">
        <f>IF(_xll.TM1RPTELISCONSOLIDATED($H$20,$H424),IF(_xll.TM1RPTELLEV($H$20,$H424)&lt;=5,_xll.TM1RPTELLEV($H$20,$H424),"Default"),"Leaf")</f>
        <v>Leaf</v>
      </c>
      <c r="C424" s="26" t="s">
        <v>12</v>
      </c>
      <c r="D424" s="24" t="str">
        <f>_xll.DBRW("TM1-S1_DEV:}ElementAttributes_SP_SKU",$F424,D$1)</f>
        <v>Primary</v>
      </c>
      <c r="E424" s="24" t="str">
        <f>_xll.DBRW("TM1-S1_DEV:}ElementAttributes_SP_SKU",$F424,E$1)</f>
        <v>COOKIE</v>
      </c>
      <c r="F424" s="26" t="s">
        <v>3181</v>
      </c>
      <c r="G424" s="26" t="s">
        <v>1001</v>
      </c>
      <c r="H424" s="26" t="s">
        <v>2691</v>
      </c>
      <c r="I424" s="54">
        <f>_xll.DBRW($A$1,$F$14,$F$15,$C424,$A$2,$F424,$G424,$H424,I$1)</f>
        <v>31</v>
      </c>
      <c r="J424" s="25">
        <f>_xll.DBRW($A$1,$F$14,$F$15,$C424,$A$2,$F424,$G424,$H424,J$19)</f>
        <v>31</v>
      </c>
    </row>
    <row r="425" spans="1:10" s="23" customFormat="1" outlineLevel="1" thickBot="1" x14ac:dyDescent="0.3">
      <c r="A425" s="44"/>
      <c r="B425" s="31" t="str">
        <f>IF(_xll.TM1RPTELISCONSOLIDATED($H$20,$H425),IF(_xll.TM1RPTELLEV($H$20,$H425)&lt;=5,_xll.TM1RPTELLEV($H$20,$H425),"Default"),"Leaf")</f>
        <v>Leaf</v>
      </c>
      <c r="C425" s="26" t="s">
        <v>12</v>
      </c>
      <c r="D425" s="24" t="str">
        <f>_xll.DBRW("TM1-S1_DEV:}ElementAttributes_SP_SKU",$F425,D$1)</f>
        <v>Primary</v>
      </c>
      <c r="E425" s="24" t="str">
        <f>_xll.DBRW("TM1-S1_DEV:}ElementAttributes_SP_SKU",$F425,E$1)</f>
        <v>COOKIE</v>
      </c>
      <c r="F425" s="26" t="s">
        <v>3182</v>
      </c>
      <c r="G425" s="26" t="s">
        <v>1002</v>
      </c>
      <c r="H425" s="26" t="s">
        <v>2691</v>
      </c>
      <c r="I425" s="54">
        <f>_xll.DBRW($A$1,$F$14,$F$15,$C425,$A$2,$F425,$G425,$H425,I$1)</f>
        <v>18</v>
      </c>
      <c r="J425" s="25">
        <f>_xll.DBRW($A$1,$F$14,$F$15,$C425,$A$2,$F425,$G425,$H425,J$19)</f>
        <v>18</v>
      </c>
    </row>
    <row r="426" spans="1:10" s="23" customFormat="1" outlineLevel="1" thickBot="1" x14ac:dyDescent="0.3">
      <c r="A426" s="44"/>
      <c r="B426" s="31" t="str">
        <f>IF(_xll.TM1RPTELISCONSOLIDATED($H$20,$H426),IF(_xll.TM1RPTELLEV($H$20,$H426)&lt;=5,_xll.TM1RPTELLEV($H$20,$H426),"Default"),"Leaf")</f>
        <v>Leaf</v>
      </c>
      <c r="C426" s="26" t="s">
        <v>12</v>
      </c>
      <c r="D426" s="24" t="str">
        <f>_xll.DBRW("TM1-S1_DEV:}ElementAttributes_SP_SKU",$F426,D$1)</f>
        <v>Primary</v>
      </c>
      <c r="E426" s="24" t="str">
        <f>_xll.DBRW("TM1-S1_DEV:}ElementAttributes_SP_SKU",$F426,E$1)</f>
        <v>COOKIE</v>
      </c>
      <c r="F426" s="26" t="s">
        <v>3183</v>
      </c>
      <c r="G426" s="26" t="s">
        <v>1003</v>
      </c>
      <c r="H426" s="26" t="s">
        <v>2691</v>
      </c>
      <c r="I426" s="54">
        <f>_xll.DBRW($A$1,$F$14,$F$15,$C426,$A$2,$F426,$G426,$H426,I$1)</f>
        <v>53</v>
      </c>
      <c r="J426" s="25">
        <f>_xll.DBRW($A$1,$F$14,$F$15,$C426,$A$2,$F426,$G426,$H426,J$19)</f>
        <v>53</v>
      </c>
    </row>
    <row r="427" spans="1:10" s="23" customFormat="1" outlineLevel="1" thickBot="1" x14ac:dyDescent="0.3">
      <c r="A427" s="44"/>
      <c r="B427" s="31" t="str">
        <f>IF(_xll.TM1RPTELISCONSOLIDATED($H$20,$H427),IF(_xll.TM1RPTELLEV($H$20,$H427)&lt;=5,_xll.TM1RPTELLEV($H$20,$H427),"Default"),"Leaf")</f>
        <v>Leaf</v>
      </c>
      <c r="C427" s="26" t="s">
        <v>12</v>
      </c>
      <c r="D427" s="24" t="str">
        <f>_xll.DBRW("TM1-S1_DEV:}ElementAttributes_SP_SKU",$F427,D$1)</f>
        <v>Primary</v>
      </c>
      <c r="E427" s="24" t="str">
        <f>_xll.DBRW("TM1-S1_DEV:}ElementAttributes_SP_SKU",$F427,E$1)</f>
        <v>INGREDIENT</v>
      </c>
      <c r="F427" s="26" t="s">
        <v>3185</v>
      </c>
      <c r="G427" s="26" t="s">
        <v>1004</v>
      </c>
      <c r="H427" s="26" t="s">
        <v>2693</v>
      </c>
      <c r="I427" s="54">
        <f>_xll.DBRW($A$1,$F$14,$F$15,$C427,$A$2,$F427,$G427,$H427,I$1)</f>
        <v>7</v>
      </c>
      <c r="J427" s="25">
        <f>_xll.DBRW($A$1,$F$14,$F$15,$C427,$A$2,$F427,$G427,$H427,J$19)</f>
        <v>17</v>
      </c>
    </row>
    <row r="428" spans="1:10" s="23" customFormat="1" outlineLevel="1" thickBot="1" x14ac:dyDescent="0.3">
      <c r="A428" s="44"/>
      <c r="B428" s="31" t="str">
        <f>IF(_xll.TM1RPTELISCONSOLIDATED($H$20,$H428),IF(_xll.TM1RPTELLEV($H$20,$H428)&lt;=5,_xll.TM1RPTELLEV($H$20,$H428),"Default"),"Leaf")</f>
        <v>Leaf</v>
      </c>
      <c r="C428" s="26" t="s">
        <v>12</v>
      </c>
      <c r="D428" s="24" t="str">
        <f>_xll.DBRW("TM1-S1_DEV:}ElementAttributes_SP_SKU",$F428,D$1)</f>
        <v>Primary</v>
      </c>
      <c r="E428" s="24" t="str">
        <f>_xll.DBRW("TM1-S1_DEV:}ElementAttributes_SP_SKU",$F428,E$1)</f>
        <v>INGREDIENT</v>
      </c>
      <c r="F428" s="26" t="s">
        <v>3254</v>
      </c>
      <c r="G428" s="26" t="s">
        <v>1005</v>
      </c>
      <c r="H428" s="26" t="s">
        <v>2735</v>
      </c>
      <c r="I428" s="54">
        <f>_xll.DBRW($A$1,$F$14,$F$15,$C428,$A$2,$F428,$G428,$H428,I$1)</f>
        <v>4</v>
      </c>
      <c r="J428" s="25">
        <f>_xll.DBRW($A$1,$F$14,$F$15,$C428,$A$2,$F428,$G428,$H428,J$19)</f>
        <v>4</v>
      </c>
    </row>
    <row r="429" spans="1:10" s="23" customFormat="1" outlineLevel="1" thickBot="1" x14ac:dyDescent="0.3">
      <c r="A429" s="44"/>
      <c r="B429" s="31" t="str">
        <f>IF(_xll.TM1RPTELISCONSOLIDATED($H$20,$H429),IF(_xll.TM1RPTELLEV($H$20,$H429)&lt;=5,_xll.TM1RPTELLEV($H$20,$H429),"Default"),"Leaf")</f>
        <v>Leaf</v>
      </c>
      <c r="C429" s="26" t="s">
        <v>12</v>
      </c>
      <c r="D429" s="24" t="str">
        <f>_xll.DBRW("TM1-S1_DEV:}ElementAttributes_SP_SKU",$F429,D$1)</f>
        <v>Primary</v>
      </c>
      <c r="E429" s="24" t="str">
        <f>_xll.DBRW("TM1-S1_DEV:}ElementAttributes_SP_SKU",$F429,E$1)</f>
        <v>INGREDIENT</v>
      </c>
      <c r="F429" s="26" t="s">
        <v>3187</v>
      </c>
      <c r="G429" s="26" t="s">
        <v>1006</v>
      </c>
      <c r="H429" s="26" t="s">
        <v>2695</v>
      </c>
      <c r="I429" s="54">
        <f>_xll.DBRW($A$1,$F$14,$F$15,$C429,$A$2,$F429,$G429,$H429,I$1)</f>
        <v>6</v>
      </c>
      <c r="J429" s="25">
        <f>_xll.DBRW($A$1,$F$14,$F$15,$C429,$A$2,$F429,$G429,$H429,J$19)</f>
        <v>20</v>
      </c>
    </row>
    <row r="430" spans="1:10" s="23" customFormat="1" outlineLevel="1" thickBot="1" x14ac:dyDescent="0.3">
      <c r="A430" s="44"/>
      <c r="B430" s="31" t="str">
        <f>IF(_xll.TM1RPTELISCONSOLIDATED($H$20,$H430),IF(_xll.TM1RPTELLEV($H$20,$H430)&lt;=5,_xll.TM1RPTELLEV($H$20,$H430),"Default"),"Leaf")</f>
        <v>Leaf</v>
      </c>
      <c r="C430" s="26" t="s">
        <v>12</v>
      </c>
      <c r="D430" s="24" t="str">
        <f>_xll.DBRW("TM1-S1_DEV:}ElementAttributes_SP_SKU",$F430,D$1)</f>
        <v>Primary</v>
      </c>
      <c r="E430" s="24" t="str">
        <f>_xll.DBRW("TM1-S1_DEV:}ElementAttributes_SP_SKU",$F430,E$1)</f>
        <v>CHIPS</v>
      </c>
      <c r="F430" s="26" t="s">
        <v>3255</v>
      </c>
      <c r="G430" s="26" t="s">
        <v>1007</v>
      </c>
      <c r="H430" s="26" t="s">
        <v>2736</v>
      </c>
      <c r="I430" s="54">
        <f>_xll.DBRW($A$1,$F$14,$F$15,$C430,$A$2,$F430,$G430,$H430,I$1)</f>
        <v>60</v>
      </c>
      <c r="J430" s="25">
        <f>_xll.DBRW($A$1,$F$14,$F$15,$C430,$A$2,$F430,$G430,$H430,J$19)</f>
        <v>60</v>
      </c>
    </row>
    <row r="431" spans="1:10" s="23" customFormat="1" outlineLevel="1" thickBot="1" x14ac:dyDescent="0.3">
      <c r="A431" s="44"/>
      <c r="B431" s="31" t="str">
        <f>IF(_xll.TM1RPTELISCONSOLIDATED($H$20,$H431),IF(_xll.TM1RPTELLEV($H$20,$H431)&lt;=5,_xll.TM1RPTELLEV($H$20,$H431),"Default"),"Leaf")</f>
        <v>Leaf</v>
      </c>
      <c r="C431" s="26" t="s">
        <v>12</v>
      </c>
      <c r="D431" s="24" t="str">
        <f>_xll.DBRW("TM1-S1_DEV:}ElementAttributes_SP_SKU",$F431,D$1)</f>
        <v>Primary</v>
      </c>
      <c r="E431" s="24" t="str">
        <f>_xll.DBRW("TM1-S1_DEV:}ElementAttributes_SP_SKU",$F431,E$1)</f>
        <v>CHIPS</v>
      </c>
      <c r="F431" s="26" t="s">
        <v>3256</v>
      </c>
      <c r="G431" s="26" t="s">
        <v>1008</v>
      </c>
      <c r="H431" s="26" t="s">
        <v>2736</v>
      </c>
      <c r="I431" s="54">
        <f>_xll.DBRW($A$1,$F$14,$F$15,$C431,$A$2,$F431,$G431,$H431,I$1)</f>
        <v>15</v>
      </c>
      <c r="J431" s="25">
        <f>_xll.DBRW($A$1,$F$14,$F$15,$C431,$A$2,$F431,$G431,$H431,J$19)</f>
        <v>15</v>
      </c>
    </row>
    <row r="432" spans="1:10" s="23" customFormat="1" outlineLevel="1" thickBot="1" x14ac:dyDescent="0.3">
      <c r="A432" s="44"/>
      <c r="B432" s="31" t="str">
        <f>IF(_xll.TM1RPTELISCONSOLIDATED($H$20,$H432),IF(_xll.TM1RPTELLEV($H$20,$H432)&lt;=5,_xll.TM1RPTELLEV($H$20,$H432),"Default"),"Leaf")</f>
        <v>Leaf</v>
      </c>
      <c r="C432" s="26" t="s">
        <v>12</v>
      </c>
      <c r="D432" s="24" t="str">
        <f>_xll.DBRW("TM1-S1_DEV:}ElementAttributes_SP_SKU",$F432,D$1)</f>
        <v>Primary</v>
      </c>
      <c r="E432" s="24" t="str">
        <f>_xll.DBRW("TM1-S1_DEV:}ElementAttributes_SP_SKU",$F432,E$1)</f>
        <v>CHIPS</v>
      </c>
      <c r="F432" s="26" t="s">
        <v>3257</v>
      </c>
      <c r="G432" s="26" t="s">
        <v>1009</v>
      </c>
      <c r="H432" s="26" t="s">
        <v>2736</v>
      </c>
      <c r="I432" s="54">
        <f>_xll.DBRW($A$1,$F$14,$F$15,$C432,$A$2,$F432,$G432,$H432,I$1)</f>
        <v>71</v>
      </c>
      <c r="J432" s="25">
        <f>_xll.DBRW($A$1,$F$14,$F$15,$C432,$A$2,$F432,$G432,$H432,J$19)</f>
        <v>71</v>
      </c>
    </row>
    <row r="433" spans="1:10" s="23" customFormat="1" outlineLevel="1" thickBot="1" x14ac:dyDescent="0.3">
      <c r="A433" s="44"/>
      <c r="B433" s="31" t="str">
        <f>IF(_xll.TM1RPTELISCONSOLIDATED($H$20,$H433),IF(_xll.TM1RPTELLEV($H$20,$H433)&lt;=5,_xll.TM1RPTELLEV($H$20,$H433),"Default"),"Leaf")</f>
        <v>Leaf</v>
      </c>
      <c r="C433" s="26" t="s">
        <v>12</v>
      </c>
      <c r="D433" s="24" t="str">
        <f>_xll.DBRW("TM1-S1_DEV:}ElementAttributes_SP_SKU",$F433,D$1)</f>
        <v>Primary</v>
      </c>
      <c r="E433" s="24" t="str">
        <f>_xll.DBRW("TM1-S1_DEV:}ElementAttributes_SP_SKU",$F433,E$1)</f>
        <v>CHIPS</v>
      </c>
      <c r="F433" s="26" t="s">
        <v>3258</v>
      </c>
      <c r="G433" s="26" t="s">
        <v>1010</v>
      </c>
      <c r="H433" s="26" t="s">
        <v>2736</v>
      </c>
      <c r="I433" s="54">
        <f>_xll.DBRW($A$1,$F$14,$F$15,$C433,$A$2,$F433,$G433,$H433,I$1)</f>
        <v>34</v>
      </c>
      <c r="J433" s="25">
        <f>_xll.DBRW($A$1,$F$14,$F$15,$C433,$A$2,$F433,$G433,$H433,J$19)</f>
        <v>34</v>
      </c>
    </row>
    <row r="434" spans="1:10" s="23" customFormat="1" outlineLevel="1" thickBot="1" x14ac:dyDescent="0.3">
      <c r="A434" s="44"/>
      <c r="B434" s="31" t="str">
        <f>IF(_xll.TM1RPTELISCONSOLIDATED($H$20,$H434),IF(_xll.TM1RPTELLEV($H$20,$H434)&lt;=5,_xll.TM1RPTELLEV($H$20,$H434),"Default"),"Leaf")</f>
        <v>Leaf</v>
      </c>
      <c r="C434" s="26" t="s">
        <v>12</v>
      </c>
      <c r="D434" s="24" t="str">
        <f>_xll.DBRW("TM1-S1_DEV:}ElementAttributes_SP_SKU",$F434,D$1)</f>
        <v>Primary</v>
      </c>
      <c r="E434" s="24" t="str">
        <f>_xll.DBRW("TM1-S1_DEV:}ElementAttributes_SP_SKU",$F434,E$1)</f>
        <v>SIDES</v>
      </c>
      <c r="F434" s="26" t="s">
        <v>3188</v>
      </c>
      <c r="G434" s="26" t="s">
        <v>1011</v>
      </c>
      <c r="H434" s="26" t="s">
        <v>2686</v>
      </c>
      <c r="I434" s="54">
        <f>_xll.DBRW($A$1,$F$14,$F$15,$C434,$A$2,$F434,$G434,$H434,I$1)</f>
        <v>78</v>
      </c>
      <c r="J434" s="25">
        <f>_xll.DBRW($A$1,$F$14,$F$15,$C434,$A$2,$F434,$G434,$H434,J$19)</f>
        <v>78</v>
      </c>
    </row>
    <row r="435" spans="1:10" s="23" customFormat="1" outlineLevel="1" thickBot="1" x14ac:dyDescent="0.3">
      <c r="A435" s="44"/>
      <c r="B435" s="31" t="str">
        <f>IF(_xll.TM1RPTELISCONSOLIDATED($H$20,$H435),IF(_xll.TM1RPTELLEV($H$20,$H435)&lt;=5,_xll.TM1RPTELLEV($H$20,$H435),"Default"),"Leaf")</f>
        <v>Leaf</v>
      </c>
      <c r="C435" s="26" t="s">
        <v>12</v>
      </c>
      <c r="D435" s="24" t="str">
        <f>_xll.DBRW("TM1-S1_DEV:}ElementAttributes_SP_SKU",$F435,D$1)</f>
        <v>Primary</v>
      </c>
      <c r="E435" s="24" t="str">
        <f>_xll.DBRW("TM1-S1_DEV:}ElementAttributes_SP_SKU",$F435,E$1)</f>
        <v>CONDIMENT</v>
      </c>
      <c r="F435" s="26" t="s">
        <v>3189</v>
      </c>
      <c r="G435" s="26" t="s">
        <v>1012</v>
      </c>
      <c r="H435" s="26" t="s">
        <v>2686</v>
      </c>
      <c r="I435" s="54">
        <f>_xll.DBRW($A$1,$F$14,$F$15,$C435,$A$2,$F435,$G435,$H435,I$1)</f>
        <v>50</v>
      </c>
      <c r="J435" s="25">
        <f>_xll.DBRW($A$1,$F$14,$F$15,$C435,$A$2,$F435,$G435,$H435,J$19)</f>
        <v>50</v>
      </c>
    </row>
    <row r="436" spans="1:10" s="23" customFormat="1" outlineLevel="1" thickBot="1" x14ac:dyDescent="0.3">
      <c r="A436" s="44"/>
      <c r="B436" s="31" t="str">
        <f>IF(_xll.TM1RPTELISCONSOLIDATED($H$20,$H436),IF(_xll.TM1RPTELLEV($H$20,$H436)&lt;=5,_xll.TM1RPTELLEV($H$20,$H436),"Default"),"Leaf")</f>
        <v>Leaf</v>
      </c>
      <c r="C436" s="26" t="s">
        <v>12</v>
      </c>
      <c r="D436" s="24" t="str">
        <f>_xll.DBRW("TM1-S1_DEV:}ElementAttributes_SP_SKU",$F436,D$1)</f>
        <v>Primary</v>
      </c>
      <c r="E436" s="24" t="str">
        <f>_xll.DBRW("TM1-S1_DEV:}ElementAttributes_SP_SKU",$F436,E$1)</f>
        <v>INGREDIENT</v>
      </c>
      <c r="F436" s="26" t="s">
        <v>3190</v>
      </c>
      <c r="G436" s="26" t="s">
        <v>1013</v>
      </c>
      <c r="H436" s="26" t="s">
        <v>2696</v>
      </c>
      <c r="I436" s="54">
        <f>_xll.DBRW($A$1,$F$14,$F$15,$C436,$A$2,$F436,$G436,$H436,I$1)</f>
        <v>7</v>
      </c>
      <c r="J436" s="25">
        <f>_xll.DBRW($A$1,$F$14,$F$15,$C436,$A$2,$F436,$G436,$H436,J$19)</f>
        <v>7</v>
      </c>
    </row>
    <row r="437" spans="1:10" s="23" customFormat="1" outlineLevel="1" thickBot="1" x14ac:dyDescent="0.3">
      <c r="A437" s="44"/>
      <c r="B437" s="31" t="str">
        <f>IF(_xll.TM1RPTELISCONSOLIDATED($H$20,$H437),IF(_xll.TM1RPTELLEV($H$20,$H437)&lt;=5,_xll.TM1RPTELLEV($H$20,$H437),"Default"),"Leaf")</f>
        <v>Leaf</v>
      </c>
      <c r="C437" s="26" t="s">
        <v>12</v>
      </c>
      <c r="D437" s="24" t="str">
        <f>_xll.DBRW("TM1-S1_DEV:}ElementAttributes_SP_SKU",$F437,D$1)</f>
        <v>Primary</v>
      </c>
      <c r="E437" s="24" t="str">
        <f>_xll.DBRW("TM1-S1_DEV:}ElementAttributes_SP_SKU",$F437,E$1)</f>
        <v>INGREDIENT</v>
      </c>
      <c r="F437" s="26" t="s">
        <v>3191</v>
      </c>
      <c r="G437" s="26" t="s">
        <v>1014</v>
      </c>
      <c r="H437" s="26" t="s">
        <v>2697</v>
      </c>
      <c r="I437" s="54">
        <f>_xll.DBRW($A$1,$F$14,$F$15,$C437,$A$2,$F437,$G437,$H437,I$1)</f>
        <v>15</v>
      </c>
      <c r="J437" s="25">
        <f>_xll.DBRW($A$1,$F$14,$F$15,$C437,$A$2,$F437,$G437,$H437,J$19)</f>
        <v>35</v>
      </c>
    </row>
    <row r="438" spans="1:10" s="23" customFormat="1" outlineLevel="1" thickBot="1" x14ac:dyDescent="0.3">
      <c r="A438" s="44"/>
      <c r="B438" s="31" t="str">
        <f>IF(_xll.TM1RPTELISCONSOLIDATED($H$20,$H438),IF(_xll.TM1RPTELLEV($H$20,$H438)&lt;=5,_xll.TM1RPTELLEV($H$20,$H438),"Default"),"Leaf")</f>
        <v>Leaf</v>
      </c>
      <c r="C438" s="26" t="s">
        <v>12</v>
      </c>
      <c r="D438" s="24" t="str">
        <f>_xll.DBRW("TM1-S1_DEV:}ElementAttributes_SP_SKU",$F438,D$1)</f>
        <v>Primary</v>
      </c>
      <c r="E438" s="24" t="str">
        <f>_xll.DBRW("TM1-S1_DEV:}ElementAttributes_SP_SKU",$F438,E$1)</f>
        <v>INGREDIENT</v>
      </c>
      <c r="F438" s="26" t="s">
        <v>3192</v>
      </c>
      <c r="G438" s="26" t="s">
        <v>1015</v>
      </c>
      <c r="H438" s="26" t="s">
        <v>2698</v>
      </c>
      <c r="I438" s="54">
        <f>_xll.DBRW($A$1,$F$14,$F$15,$C438,$A$2,$F438,$G438,$H438,I$1)</f>
        <v>4</v>
      </c>
      <c r="J438" s="25">
        <f>_xll.DBRW($A$1,$F$14,$F$15,$C438,$A$2,$F438,$G438,$H438,J$19)</f>
        <v>13</v>
      </c>
    </row>
    <row r="439" spans="1:10" s="23" customFormat="1" outlineLevel="1" thickBot="1" x14ac:dyDescent="0.3">
      <c r="A439" s="44"/>
      <c r="B439" s="31" t="str">
        <f>IF(_xll.TM1RPTELISCONSOLIDATED($H$20,$H439),IF(_xll.TM1RPTELLEV($H$20,$H439)&lt;=5,_xll.TM1RPTELLEV($H$20,$H439),"Default"),"Leaf")</f>
        <v>Leaf</v>
      </c>
      <c r="C439" s="26" t="s">
        <v>12</v>
      </c>
      <c r="D439" s="24" t="str">
        <f>_xll.DBRW("TM1-S1_DEV:}ElementAttributes_SP_SKU",$F439,D$1)</f>
        <v>Primary</v>
      </c>
      <c r="E439" s="24" t="str">
        <f>_xll.DBRW("TM1-S1_DEV:}ElementAttributes_SP_SKU",$F439,E$1)</f>
        <v>INGREDIENT</v>
      </c>
      <c r="F439" s="26" t="s">
        <v>3193</v>
      </c>
      <c r="G439" s="26" t="s">
        <v>1016</v>
      </c>
      <c r="H439" s="26" t="s">
        <v>2699</v>
      </c>
      <c r="I439" s="54">
        <f>_xll.DBRW($A$1,$F$14,$F$15,$C439,$A$2,$F439,$G439,$H439,I$1)</f>
        <v>19</v>
      </c>
      <c r="J439" s="25">
        <f>_xll.DBRW($A$1,$F$14,$F$15,$C439,$A$2,$F439,$G439,$H439,J$19)</f>
        <v>19</v>
      </c>
    </row>
    <row r="440" spans="1:10" s="23" customFormat="1" outlineLevel="1" thickBot="1" x14ac:dyDescent="0.3">
      <c r="A440" s="44"/>
      <c r="B440" s="31" t="str">
        <f>IF(_xll.TM1RPTELISCONSOLIDATED($H$20,$H440),IF(_xll.TM1RPTELLEV($H$20,$H440)&lt;=5,_xll.TM1RPTELLEV($H$20,$H440),"Default"),"Leaf")</f>
        <v>Leaf</v>
      </c>
      <c r="C440" s="26" t="s">
        <v>12</v>
      </c>
      <c r="D440" s="24" t="str">
        <f>_xll.DBRW("TM1-S1_DEV:}ElementAttributes_SP_SKU",$F440,D$1)</f>
        <v>Primary</v>
      </c>
      <c r="E440" s="24" t="str">
        <f>_xll.DBRW("TM1-S1_DEV:}ElementAttributes_SP_SKU",$F440,E$1)</f>
        <v>COOKIE</v>
      </c>
      <c r="F440" s="26" t="s">
        <v>3194</v>
      </c>
      <c r="G440" s="26" t="s">
        <v>1017</v>
      </c>
      <c r="H440" s="26" t="s">
        <v>2691</v>
      </c>
      <c r="I440" s="54">
        <f>_xll.DBRW($A$1,$F$14,$F$15,$C440,$A$2,$F440,$G440,$H440,I$1)</f>
        <v>7</v>
      </c>
      <c r="J440" s="25">
        <f>_xll.DBRW($A$1,$F$14,$F$15,$C440,$A$2,$F440,$G440,$H440,J$19)</f>
        <v>17</v>
      </c>
    </row>
    <row r="441" spans="1:10" s="23" customFormat="1" outlineLevel="1" thickBot="1" x14ac:dyDescent="0.3">
      <c r="A441" s="44"/>
      <c r="B441" s="31" t="str">
        <f>IF(_xll.TM1RPTELISCONSOLIDATED($H$20,$H441),IF(_xll.TM1RPTELLEV($H$20,$H441)&lt;=5,_xll.TM1RPTELLEV($H$20,$H441),"Default"),"Leaf")</f>
        <v>Leaf</v>
      </c>
      <c r="C441" s="26" t="s">
        <v>12</v>
      </c>
      <c r="D441" s="24" t="str">
        <f>_xll.DBRW("TM1-S1_DEV:}ElementAttributes_SP_SKU",$F441,D$1)</f>
        <v>Primary</v>
      </c>
      <c r="E441" s="24" t="str">
        <f>_xll.DBRW("TM1-S1_DEV:}ElementAttributes_SP_SKU",$F441,E$1)</f>
        <v>COOKIE</v>
      </c>
      <c r="F441" s="26" t="s">
        <v>3195</v>
      </c>
      <c r="G441" s="26" t="s">
        <v>1018</v>
      </c>
      <c r="H441" s="26" t="s">
        <v>2691</v>
      </c>
      <c r="I441" s="54">
        <f>_xll.DBRW($A$1,$F$14,$F$15,$C441,$A$2,$F441,$G441,$H441,I$1)</f>
        <v>7</v>
      </c>
      <c r="J441" s="25">
        <f>_xll.DBRW($A$1,$F$14,$F$15,$C441,$A$2,$F441,$G441,$H441,J$19)</f>
        <v>7</v>
      </c>
    </row>
    <row r="442" spans="1:10" s="23" customFormat="1" outlineLevel="1" thickBot="1" x14ac:dyDescent="0.3">
      <c r="A442" s="44"/>
      <c r="B442" s="31" t="str">
        <f>IF(_xll.TM1RPTELISCONSOLIDATED($H$20,$H442),IF(_xll.TM1RPTELLEV($H$20,$H442)&lt;=5,_xll.TM1RPTELLEV($H$20,$H442),"Default"),"Leaf")</f>
        <v>Leaf</v>
      </c>
      <c r="C442" s="26" t="s">
        <v>12</v>
      </c>
      <c r="D442" s="24" t="str">
        <f>_xll.DBRW("TM1-S1_DEV:}ElementAttributes_SP_SKU",$F442,D$1)</f>
        <v>Primary</v>
      </c>
      <c r="E442" s="24" t="str">
        <f>_xll.DBRW("TM1-S1_DEV:}ElementAttributes_SP_SKU",$F442,E$1)</f>
        <v>COOKIE</v>
      </c>
      <c r="F442" s="26" t="s">
        <v>3196</v>
      </c>
      <c r="G442" s="26" t="s">
        <v>1019</v>
      </c>
      <c r="H442" s="26" t="s">
        <v>2691</v>
      </c>
      <c r="I442" s="54">
        <f>_xll.DBRW($A$1,$F$14,$F$15,$C442,$A$2,$F442,$G442,$H442,I$1)</f>
        <v>3</v>
      </c>
      <c r="J442" s="25">
        <f>_xll.DBRW($A$1,$F$14,$F$15,$C442,$A$2,$F442,$G442,$H442,J$19)</f>
        <v>13</v>
      </c>
    </row>
    <row r="443" spans="1:10" s="23" customFormat="1" outlineLevel="1" thickBot="1" x14ac:dyDescent="0.3">
      <c r="A443" s="44"/>
      <c r="B443" s="31" t="str">
        <f>IF(_xll.TM1RPTELISCONSOLIDATED($H$20,$H443),IF(_xll.TM1RPTELLEV($H$20,$H443)&lt;=5,_xll.TM1RPTELLEV($H$20,$H443),"Default"),"Leaf")</f>
        <v>Leaf</v>
      </c>
      <c r="C443" s="26" t="s">
        <v>12</v>
      </c>
      <c r="D443" s="24" t="str">
        <f>_xll.DBRW("TM1-S1_DEV:}ElementAttributes_SP_SKU",$F443,D$1)</f>
        <v>Primary</v>
      </c>
      <c r="E443" s="24" t="str">
        <f>_xll.DBRW("TM1-S1_DEV:}ElementAttributes_SP_SKU",$F443,E$1)</f>
        <v>DRINKS</v>
      </c>
      <c r="F443" s="26" t="s">
        <v>3269</v>
      </c>
      <c r="G443" s="26" t="s">
        <v>1020</v>
      </c>
      <c r="H443" s="26" t="s">
        <v>2764</v>
      </c>
      <c r="I443" s="54">
        <f>_xll.DBRW($A$1,$F$14,$F$15,$C443,$A$2,$F443,$G443,$H443,I$1)</f>
        <v>14</v>
      </c>
      <c r="J443" s="25">
        <f>_xll.DBRW($A$1,$F$14,$F$15,$C443,$A$2,$F443,$G443,$H443,J$19)</f>
        <v>24</v>
      </c>
    </row>
    <row r="444" spans="1:10" s="23" customFormat="1" outlineLevel="1" thickBot="1" x14ac:dyDescent="0.3">
      <c r="A444" s="44"/>
      <c r="B444" s="31" t="str">
        <f>IF(_xll.TM1RPTELISCONSOLIDATED($H$20,$H444),IF(_xll.TM1RPTELLEV($H$20,$H444)&lt;=5,_xll.TM1RPTELLEV($H$20,$H444),"Default"),"Leaf")</f>
        <v>Leaf</v>
      </c>
      <c r="C444" s="26" t="s">
        <v>12</v>
      </c>
      <c r="D444" s="24" t="str">
        <f>_xll.DBRW("TM1-S1_DEV:}ElementAttributes_SP_SKU",$F444,D$1)</f>
        <v>Primary</v>
      </c>
      <c r="E444" s="24" t="str">
        <f>_xll.DBRW("TM1-S1_DEV:}ElementAttributes_SP_SKU",$F444,E$1)</f>
        <v>INGREDIENT</v>
      </c>
      <c r="F444" s="26" t="s">
        <v>30</v>
      </c>
      <c r="G444" s="26" t="s">
        <v>1021</v>
      </c>
      <c r="H444" s="26" t="s">
        <v>2700</v>
      </c>
      <c r="I444" s="54">
        <f>_xll.DBRW($A$1,$F$14,$F$15,$C444,$A$2,$F444,$G444,$H444,I$1)</f>
        <v>8</v>
      </c>
      <c r="J444" s="25">
        <f>_xll.DBRW($A$1,$F$14,$F$15,$C444,$A$2,$F444,$G444,$H444,J$19)</f>
        <v>8</v>
      </c>
    </row>
    <row r="445" spans="1:10" s="23" customFormat="1" outlineLevel="1" thickBot="1" x14ac:dyDescent="0.3">
      <c r="A445" s="44"/>
      <c r="B445" s="31" t="str">
        <f>IF(_xll.TM1RPTELISCONSOLIDATED($H$20,$H445),IF(_xll.TM1RPTELLEV($H$20,$H445)&lt;=5,_xll.TM1RPTELLEV($H$20,$H445),"Default"),"Leaf")</f>
        <v>Leaf</v>
      </c>
      <c r="C445" s="26" t="s">
        <v>12</v>
      </c>
      <c r="D445" s="24" t="str">
        <f>_xll.DBRW("TM1-S1_DEV:}ElementAttributes_SP_SKU",$F445,D$1)</f>
        <v>Unassigned PSP</v>
      </c>
      <c r="E445" s="24" t="str">
        <f>_xll.DBRW("TM1-S1_DEV:}ElementAttributes_SP_SKU",$F445,E$1)</f>
        <v>SOUP</v>
      </c>
      <c r="F445" s="26" t="s">
        <v>100</v>
      </c>
      <c r="G445" s="26" t="s">
        <v>1022</v>
      </c>
      <c r="H445" s="26" t="s">
        <v>2675</v>
      </c>
      <c r="I445" s="54">
        <f>_xll.DBRW($A$1,$F$14,$F$15,$C445,$A$2,$F445,$G445,$H445,I$1)</f>
        <v>21</v>
      </c>
      <c r="J445" s="25">
        <f>_xll.DBRW($A$1,$F$14,$F$15,$C445,$A$2,$F445,$G445,$H445,J$19)</f>
        <v>21</v>
      </c>
    </row>
    <row r="446" spans="1:10" s="23" customFormat="1" outlineLevel="1" thickBot="1" x14ac:dyDescent="0.3">
      <c r="A446" s="44"/>
      <c r="B446" s="31" t="str">
        <f>IF(_xll.TM1RPTELISCONSOLIDATED($H$20,$H446),IF(_xll.TM1RPTELLEV($H$20,$H446)&lt;=5,_xll.TM1RPTELLEV($H$20,$H446),"Default"),"Leaf")</f>
        <v>Leaf</v>
      </c>
      <c r="C446" s="26" t="s">
        <v>12</v>
      </c>
      <c r="D446" s="24" t="str">
        <f>_xll.DBRW("TM1-S1_DEV:}ElementAttributes_SP_SKU",$F446,D$1)</f>
        <v>Secondary</v>
      </c>
      <c r="E446" s="24" t="str">
        <f>_xll.DBRW("TM1-S1_DEV:}ElementAttributes_SP_SKU",$F446,E$1)</f>
        <v>SOUP</v>
      </c>
      <c r="F446" s="26" t="s">
        <v>101</v>
      </c>
      <c r="G446" s="26" t="s">
        <v>1023</v>
      </c>
      <c r="H446" s="26" t="s">
        <v>2675</v>
      </c>
      <c r="I446" s="54">
        <f>_xll.DBRW($A$1,$F$14,$F$15,$C446,$A$2,$F446,$G446,$H446,I$1)</f>
        <v>36</v>
      </c>
      <c r="J446" s="25">
        <f>_xll.DBRW($A$1,$F$14,$F$15,$C446,$A$2,$F446,$G446,$H446,J$19)</f>
        <v>36</v>
      </c>
    </row>
    <row r="447" spans="1:10" s="23" customFormat="1" outlineLevel="1" thickBot="1" x14ac:dyDescent="0.3">
      <c r="A447" s="44"/>
      <c r="B447" s="31" t="str">
        <f>IF(_xll.TM1RPTELISCONSOLIDATED($H$20,$H447),IF(_xll.TM1RPTELLEV($H$20,$H447)&lt;=5,_xll.TM1RPTELLEV($H$20,$H447),"Default"),"Leaf")</f>
        <v>Leaf</v>
      </c>
      <c r="C447" s="26" t="s">
        <v>12</v>
      </c>
      <c r="D447" s="24" t="str">
        <f>_xll.DBRW("TM1-S1_DEV:}ElementAttributes_SP_SKU",$F447,D$1)</f>
        <v>Secondary</v>
      </c>
      <c r="E447" s="24" t="str">
        <f>_xll.DBRW("TM1-S1_DEV:}ElementAttributes_SP_SKU",$F447,E$1)</f>
        <v>SOUP</v>
      </c>
      <c r="F447" s="26" t="s">
        <v>102</v>
      </c>
      <c r="G447" s="26" t="s">
        <v>1024</v>
      </c>
      <c r="H447" s="26" t="s">
        <v>2675</v>
      </c>
      <c r="I447" s="54">
        <f>_xll.DBRW($A$1,$F$14,$F$15,$C447,$A$2,$F447,$G447,$H447,I$1)</f>
        <v>68</v>
      </c>
      <c r="J447" s="25">
        <f>_xll.DBRW($A$1,$F$14,$F$15,$C447,$A$2,$F447,$G447,$H447,J$19)</f>
        <v>68</v>
      </c>
    </row>
    <row r="448" spans="1:10" s="23" customFormat="1" outlineLevel="1" thickBot="1" x14ac:dyDescent="0.3">
      <c r="A448" s="44"/>
      <c r="B448" s="31" t="str">
        <f>IF(_xll.TM1RPTELISCONSOLIDATED($H$20,$H448),IF(_xll.TM1RPTELLEV($H$20,$H448)&lt;=5,_xll.TM1RPTELLEV($H$20,$H448),"Default"),"Leaf")</f>
        <v>Leaf</v>
      </c>
      <c r="C448" s="26" t="s">
        <v>12</v>
      </c>
      <c r="D448" s="24" t="str">
        <f>_xll.DBRW("TM1-S1_DEV:}ElementAttributes_SP_SKU",$F448,D$1)</f>
        <v>Project</v>
      </c>
      <c r="E448" s="24" t="str">
        <f>_xll.DBRW("TM1-S1_DEV:}ElementAttributes_SP_SKU",$F448,E$1)</f>
        <v>CHEESE</v>
      </c>
      <c r="F448" s="26" t="s">
        <v>103</v>
      </c>
      <c r="G448" s="26" t="s">
        <v>1025</v>
      </c>
      <c r="H448" s="26" t="s">
        <v>2765</v>
      </c>
      <c r="I448" s="54">
        <f>_xll.DBRW($A$1,$F$14,$F$15,$C448,$A$2,$F448,$G448,$H448,I$1)</f>
        <v>52</v>
      </c>
      <c r="J448" s="25">
        <f>_xll.DBRW($A$1,$F$14,$F$15,$C448,$A$2,$F448,$G448,$H448,J$19)</f>
        <v>148</v>
      </c>
    </row>
    <row r="449" spans="1:10" s="23" customFormat="1" outlineLevel="1" thickBot="1" x14ac:dyDescent="0.3">
      <c r="A449" s="44"/>
      <c r="B449" s="31" t="str">
        <f>IF(_xll.TM1RPTELISCONSOLIDATED($H$20,$H449),IF(_xll.TM1RPTELLEV($H$20,$H449)&lt;=5,_xll.TM1RPTELLEV($H$20,$H449),"Default"),"Leaf")</f>
        <v>Leaf</v>
      </c>
      <c r="C449" s="26" t="s">
        <v>12</v>
      </c>
      <c r="D449" s="24" t="str">
        <f>_xll.DBRW("TM1-S1_DEV:}ElementAttributes_SP_SKU",$F449,D$1)</f>
        <v>Project</v>
      </c>
      <c r="E449" s="24" t="str">
        <f>_xll.DBRW("TM1-S1_DEV:}ElementAttributes_SP_SKU",$F449,E$1)</f>
        <v>INGREDIENT</v>
      </c>
      <c r="F449" s="26" t="s">
        <v>104</v>
      </c>
      <c r="G449" s="26" t="s">
        <v>1026</v>
      </c>
      <c r="H449" s="26" t="s">
        <v>2765</v>
      </c>
      <c r="I449" s="54">
        <f>_xll.DBRW($A$1,$F$14,$F$15,$C449,$A$2,$F449,$G449,$H449,I$1)</f>
        <v>55</v>
      </c>
      <c r="J449" s="25">
        <f>_xll.DBRW($A$1,$F$14,$F$15,$C449,$A$2,$F449,$G449,$H449,J$19)</f>
        <v>55</v>
      </c>
    </row>
    <row r="450" spans="1:10" s="23" customFormat="1" outlineLevel="1" thickBot="1" x14ac:dyDescent="0.3">
      <c r="A450" s="44"/>
      <c r="B450" s="31" t="str">
        <f>IF(_xll.TM1RPTELISCONSOLIDATED($H$20,$H450),IF(_xll.TM1RPTELLEV($H$20,$H450)&lt;=5,_xll.TM1RPTELLEV($H$20,$H450),"Default"),"Leaf")</f>
        <v>Leaf</v>
      </c>
      <c r="C450" s="26" t="s">
        <v>12</v>
      </c>
      <c r="D450" s="24" t="str">
        <f>_xll.DBRW("TM1-S1_DEV:}ElementAttributes_SP_SKU",$F450,D$1)</f>
        <v>Project</v>
      </c>
      <c r="E450" s="24" t="str">
        <f>_xll.DBRW("TM1-S1_DEV:}ElementAttributes_SP_SKU",$F450,E$1)</f>
        <v>CHEESE</v>
      </c>
      <c r="F450" s="26" t="s">
        <v>105</v>
      </c>
      <c r="G450" s="26" t="s">
        <v>1027</v>
      </c>
      <c r="H450" s="26" t="s">
        <v>2765</v>
      </c>
      <c r="I450" s="54">
        <f>_xll.DBRW($A$1,$F$14,$F$15,$C450,$A$2,$F450,$G450,$H450,I$1)</f>
        <v>9</v>
      </c>
      <c r="J450" s="25">
        <f>_xll.DBRW($A$1,$F$14,$F$15,$C450,$A$2,$F450,$G450,$H450,J$19)</f>
        <v>9</v>
      </c>
    </row>
    <row r="451" spans="1:10" s="23" customFormat="1" outlineLevel="1" thickBot="1" x14ac:dyDescent="0.3">
      <c r="A451" s="44"/>
      <c r="B451" s="31" t="str">
        <f>IF(_xll.TM1RPTELISCONSOLIDATED($H$20,$H451),IF(_xll.TM1RPTELLEV($H$20,$H451)&lt;=5,_xll.TM1RPTELLEV($H$20,$H451),"Default"),"Leaf")</f>
        <v>Leaf</v>
      </c>
      <c r="C451" s="26" t="s">
        <v>12</v>
      </c>
      <c r="D451" s="24" t="str">
        <f>_xll.DBRW("TM1-S1_DEV:}ElementAttributes_SP_SKU",$F451,D$1)</f>
        <v>Project</v>
      </c>
      <c r="E451" s="24" t="str">
        <f>_xll.DBRW("TM1-S1_DEV:}ElementAttributes_SP_SKU",$F451,E$1)</f>
        <v>INGREDIENT</v>
      </c>
      <c r="F451" s="26" t="s">
        <v>106</v>
      </c>
      <c r="G451" s="26" t="s">
        <v>1028</v>
      </c>
      <c r="H451" s="26" t="s">
        <v>2743</v>
      </c>
      <c r="I451" s="54">
        <f>_xll.DBRW($A$1,$F$14,$F$15,$C451,$A$2,$F451,$G451,$H451,I$1)</f>
        <v>19</v>
      </c>
      <c r="J451" s="25">
        <f>_xll.DBRW($A$1,$F$14,$F$15,$C451,$A$2,$F451,$G451,$H451,J$19)</f>
        <v>43</v>
      </c>
    </row>
    <row r="452" spans="1:10" s="23" customFormat="1" outlineLevel="1" thickBot="1" x14ac:dyDescent="0.3">
      <c r="A452" s="44"/>
      <c r="B452" s="31" t="str">
        <f>IF(_xll.TM1RPTELISCONSOLIDATED($H$20,$H452),IF(_xll.TM1RPTELLEV($H$20,$H452)&lt;=5,_xll.TM1RPTELLEV($H$20,$H452),"Default"),"Leaf")</f>
        <v>Leaf</v>
      </c>
      <c r="C452" s="26" t="s">
        <v>12</v>
      </c>
      <c r="D452" s="24" t="str">
        <f>_xll.DBRW("TM1-S1_DEV:}ElementAttributes_SP_SKU",$F452,D$1)</f>
        <v>Project</v>
      </c>
      <c r="E452" s="24" t="str">
        <f>_xll.DBRW("TM1-S1_DEV:}ElementAttributes_SP_SKU",$F452,E$1)</f>
        <v>INGREDIENT</v>
      </c>
      <c r="F452" s="26" t="s">
        <v>107</v>
      </c>
      <c r="G452" s="26" t="s">
        <v>1029</v>
      </c>
      <c r="H452" s="26" t="s">
        <v>2766</v>
      </c>
      <c r="I452" s="54">
        <f>_xll.DBRW($A$1,$F$14,$F$15,$C452,$A$2,$F452,$G452,$H452,I$1)</f>
        <v>53</v>
      </c>
      <c r="J452" s="25">
        <f>_xll.DBRW($A$1,$F$14,$F$15,$C452,$A$2,$F452,$G452,$H452,J$19)</f>
        <v>53</v>
      </c>
    </row>
    <row r="453" spans="1:10" s="23" customFormat="1" outlineLevel="1" thickBot="1" x14ac:dyDescent="0.3">
      <c r="A453" s="44"/>
      <c r="B453" s="31" t="str">
        <f>IF(_xll.TM1RPTELISCONSOLIDATED($H$20,$H453),IF(_xll.TM1RPTELLEV($H$20,$H453)&lt;=5,_xll.TM1RPTELLEV($H$20,$H453),"Default"),"Leaf")</f>
        <v>Leaf</v>
      </c>
      <c r="C453" s="26" t="s">
        <v>12</v>
      </c>
      <c r="D453" s="24" t="str">
        <f>_xll.DBRW("TM1-S1_DEV:}ElementAttributes_SP_SKU",$F453,D$1)</f>
        <v>Project</v>
      </c>
      <c r="E453" s="24" t="str">
        <f>_xll.DBRW("TM1-S1_DEV:}ElementAttributes_SP_SKU",$F453,E$1)</f>
        <v>INGREDIENT</v>
      </c>
      <c r="F453" s="26" t="s">
        <v>108</v>
      </c>
      <c r="G453" s="26" t="s">
        <v>1030</v>
      </c>
      <c r="H453" s="26" t="s">
        <v>2767</v>
      </c>
      <c r="I453" s="54">
        <f>_xll.DBRW($A$1,$F$14,$F$15,$C453,$A$2,$F453,$G453,$H453,I$1)</f>
        <v>95</v>
      </c>
      <c r="J453" s="25">
        <f>_xll.DBRW($A$1,$F$14,$F$15,$C453,$A$2,$F453,$G453,$H453,J$19)</f>
        <v>173</v>
      </c>
    </row>
    <row r="454" spans="1:10" s="23" customFormat="1" outlineLevel="1" thickBot="1" x14ac:dyDescent="0.3">
      <c r="A454" s="44"/>
      <c r="B454" s="31" t="str">
        <f>IF(_xll.TM1RPTELISCONSOLIDATED($H$20,$H454),IF(_xll.TM1RPTELLEV($H$20,$H454)&lt;=5,_xll.TM1RPTELLEV($H$20,$H454),"Default"),"Leaf")</f>
        <v>Leaf</v>
      </c>
      <c r="C454" s="26" t="s">
        <v>12</v>
      </c>
      <c r="D454" s="24" t="str">
        <f>_xll.DBRW("TM1-S1_DEV:}ElementAttributes_SP_SKU",$F454,D$1)</f>
        <v>Project</v>
      </c>
      <c r="E454" s="24" t="str">
        <f>_xll.DBRW("TM1-S1_DEV:}ElementAttributes_SP_SKU",$F454,E$1)</f>
        <v>CONDIMENT</v>
      </c>
      <c r="F454" s="26" t="s">
        <v>109</v>
      </c>
      <c r="G454" s="26" t="s">
        <v>1031</v>
      </c>
      <c r="H454" s="26" t="s">
        <v>2768</v>
      </c>
      <c r="I454" s="54">
        <f>_xll.DBRW($A$1,$F$14,$F$15,$C454,$A$2,$F454,$G454,$H454,I$1)</f>
        <v>27</v>
      </c>
      <c r="J454" s="25">
        <f>_xll.DBRW($A$1,$F$14,$F$15,$C454,$A$2,$F454,$G454,$H454,J$19)</f>
        <v>27</v>
      </c>
    </row>
    <row r="455" spans="1:10" s="23" customFormat="1" outlineLevel="1" thickBot="1" x14ac:dyDescent="0.3">
      <c r="A455" s="44"/>
      <c r="B455" s="31" t="str">
        <f>IF(_xll.TM1RPTELISCONSOLIDATED($H$20,$H455),IF(_xll.TM1RPTELLEV($H$20,$H455)&lt;=5,_xll.TM1RPTELLEV($H$20,$H455),"Default"),"Leaf")</f>
        <v>Leaf</v>
      </c>
      <c r="C455" s="26" t="s">
        <v>12</v>
      </c>
      <c r="D455" s="24" t="str">
        <f>_xll.DBRW("TM1-S1_DEV:}ElementAttributes_SP_SKU",$F455,D$1)</f>
        <v>Project</v>
      </c>
      <c r="E455" s="24" t="str">
        <f>_xll.DBRW("TM1-S1_DEV:}ElementAttributes_SP_SKU",$F455,E$1)</f>
        <v>SIDES</v>
      </c>
      <c r="F455" s="26" t="s">
        <v>2985</v>
      </c>
      <c r="G455" s="26" t="s">
        <v>3041</v>
      </c>
      <c r="H455" s="26" t="s">
        <v>2732</v>
      </c>
      <c r="I455" s="54">
        <f>_xll.DBRW($A$1,$F$14,$F$15,$C455,$A$2,$F455,$G455,$H455,I$1)</f>
        <v>2</v>
      </c>
      <c r="J455" s="25">
        <f>_xll.DBRW($A$1,$F$14,$F$15,$C455,$A$2,$F455,$G455,$H455,J$19)</f>
        <v>2</v>
      </c>
    </row>
    <row r="456" spans="1:10" s="23" customFormat="1" outlineLevel="1" thickBot="1" x14ac:dyDescent="0.3">
      <c r="A456" s="44"/>
      <c r="B456" s="31" t="str">
        <f>IF(_xll.TM1RPTELISCONSOLIDATED($H$20,$H456),IF(_xll.TM1RPTELLEV($H$20,$H456)&lt;=5,_xll.TM1RPTELLEV($H$20,$H456),"Default"),"Leaf")</f>
        <v>Leaf</v>
      </c>
      <c r="C456" s="26" t="s">
        <v>12</v>
      </c>
      <c r="D456" s="24" t="str">
        <f>_xll.DBRW("TM1-S1_DEV:}ElementAttributes_SP_SKU",$F456,D$1)</f>
        <v>Project</v>
      </c>
      <c r="E456" s="24" t="str">
        <f>_xll.DBRW("TM1-S1_DEV:}ElementAttributes_SP_SKU",$F456,E$1)</f>
        <v>INGREDIENT</v>
      </c>
      <c r="F456" s="26" t="s">
        <v>110</v>
      </c>
      <c r="G456" s="26" t="s">
        <v>1032</v>
      </c>
      <c r="H456" s="26" t="s">
        <v>2694</v>
      </c>
      <c r="I456" s="54">
        <f>_xll.DBRW($A$1,$F$14,$F$15,$C456,$A$2,$F456,$G456,$H456,I$1)</f>
        <v>12</v>
      </c>
      <c r="J456" s="25">
        <f>_xll.DBRW($A$1,$F$14,$F$15,$C456,$A$2,$F456,$G456,$H456,J$19)</f>
        <v>12</v>
      </c>
    </row>
    <row r="457" spans="1:10" s="23" customFormat="1" outlineLevel="1" thickBot="1" x14ac:dyDescent="0.3">
      <c r="A457" s="44"/>
      <c r="B457" s="31" t="str">
        <f>IF(_xll.TM1RPTELISCONSOLIDATED($H$20,$H457),IF(_xll.TM1RPTELLEV($H$20,$H457)&lt;=5,_xll.TM1RPTELLEV($H$20,$H457),"Default"),"Leaf")</f>
        <v>Leaf</v>
      </c>
      <c r="C457" s="26" t="s">
        <v>12</v>
      </c>
      <c r="D457" s="24" t="str">
        <f>_xll.DBRW("TM1-S1_DEV:}ElementAttributes_SP_SKU",$F457,D$1)</f>
        <v>Project</v>
      </c>
      <c r="E457" s="24" t="str">
        <f>_xll.DBRW("TM1-S1_DEV:}ElementAttributes_SP_SKU",$F457,E$1)</f>
        <v>INGREDIENT</v>
      </c>
      <c r="F457" s="26" t="s">
        <v>111</v>
      </c>
      <c r="G457" s="26" t="s">
        <v>1033</v>
      </c>
      <c r="H457" s="26" t="s">
        <v>2742</v>
      </c>
      <c r="I457" s="54">
        <f>_xll.DBRW($A$1,$F$14,$F$15,$C457,$A$2,$F457,$G457,$H457,I$1)</f>
        <v>5</v>
      </c>
      <c r="J457" s="25">
        <f>_xll.DBRW($A$1,$F$14,$F$15,$C457,$A$2,$F457,$G457,$H457,J$19)</f>
        <v>5</v>
      </c>
    </row>
    <row r="458" spans="1:10" s="23" customFormat="1" outlineLevel="1" thickBot="1" x14ac:dyDescent="0.3">
      <c r="A458" s="44"/>
      <c r="B458" s="31" t="str">
        <f>IF(_xll.TM1RPTELISCONSOLIDATED($H$20,$H458),IF(_xll.TM1RPTELLEV($H$20,$H458)&lt;=5,_xll.TM1RPTELLEV($H$20,$H458),"Default"),"Leaf")</f>
        <v>Leaf</v>
      </c>
      <c r="C458" s="26" t="s">
        <v>12</v>
      </c>
      <c r="D458" s="24" t="str">
        <f>_xll.DBRW("TM1-S1_DEV:}ElementAttributes_SP_SKU",$F458,D$1)</f>
        <v>Project</v>
      </c>
      <c r="E458" s="24" t="str">
        <f>_xll.DBRW("TM1-S1_DEV:}ElementAttributes_SP_SKU",$F458,E$1)</f>
        <v>CONDIMENT</v>
      </c>
      <c r="F458" s="26" t="s">
        <v>112</v>
      </c>
      <c r="G458" s="26" t="s">
        <v>1034</v>
      </c>
      <c r="H458" s="26" t="s">
        <v>2743</v>
      </c>
      <c r="I458" s="54">
        <f>_xll.DBRW($A$1,$F$14,$F$15,$C458,$A$2,$F458,$G458,$H458,I$1)</f>
        <v>60</v>
      </c>
      <c r="J458" s="25">
        <f>_xll.DBRW($A$1,$F$14,$F$15,$C458,$A$2,$F458,$G458,$H458,J$19)</f>
        <v>60</v>
      </c>
    </row>
    <row r="459" spans="1:10" s="23" customFormat="1" outlineLevel="1" thickBot="1" x14ac:dyDescent="0.3">
      <c r="A459" s="44"/>
      <c r="B459" s="31" t="str">
        <f>IF(_xll.TM1RPTELISCONSOLIDATED($H$20,$H459),IF(_xll.TM1RPTELLEV($H$20,$H459)&lt;=5,_xll.TM1RPTELLEV($H$20,$H459),"Default"),"Leaf")</f>
        <v>Leaf</v>
      </c>
      <c r="C459" s="26" t="s">
        <v>12</v>
      </c>
      <c r="D459" s="24" t="str">
        <f>_xll.DBRW("TM1-S1_DEV:}ElementAttributes_SP_SKU",$F459,D$1)</f>
        <v>Project</v>
      </c>
      <c r="E459" s="24" t="str">
        <f>_xll.DBRW("TM1-S1_DEV:}ElementAttributes_SP_SKU",$F459,E$1)</f>
        <v>CONDIMENT</v>
      </c>
      <c r="F459" s="26" t="s">
        <v>113</v>
      </c>
      <c r="G459" s="26" t="s">
        <v>1035</v>
      </c>
      <c r="H459" s="26" t="s">
        <v>2769</v>
      </c>
      <c r="I459" s="54">
        <f>_xll.DBRW($A$1,$F$14,$F$15,$C459,$A$2,$F459,$G459,$H459,I$1)</f>
        <v>34</v>
      </c>
      <c r="J459" s="25">
        <f>_xll.DBRW($A$1,$F$14,$F$15,$C459,$A$2,$F459,$G459,$H459,J$19)</f>
        <v>34</v>
      </c>
    </row>
    <row r="460" spans="1:10" s="23" customFormat="1" outlineLevel="1" thickBot="1" x14ac:dyDescent="0.3">
      <c r="A460" s="44"/>
      <c r="B460" s="31" t="str">
        <f>IF(_xll.TM1RPTELISCONSOLIDATED($H$20,$H460),IF(_xll.TM1RPTELLEV($H$20,$H460)&lt;=5,_xll.TM1RPTELLEV($H$20,$H460),"Default"),"Leaf")</f>
        <v>Leaf</v>
      </c>
      <c r="C460" s="26" t="s">
        <v>12</v>
      </c>
      <c r="D460" s="24" t="str">
        <f>_xll.DBRW("TM1-S1_DEV:}ElementAttributes_SP_SKU",$F460,D$1)</f>
        <v>Project</v>
      </c>
      <c r="E460" s="24" t="str">
        <f>_xll.DBRW("TM1-S1_DEV:}ElementAttributes_SP_SKU",$F460,E$1)</f>
        <v>INGREDIENT</v>
      </c>
      <c r="F460" s="26" t="s">
        <v>114</v>
      </c>
      <c r="G460" s="26" t="s">
        <v>1036</v>
      </c>
      <c r="H460" s="26" t="s">
        <v>2765</v>
      </c>
      <c r="I460" s="54">
        <f>_xll.DBRW($A$1,$F$14,$F$15,$C460,$A$2,$F460,$G460,$H460,I$1)</f>
        <v>31</v>
      </c>
      <c r="J460" s="25">
        <f>_xll.DBRW($A$1,$F$14,$F$15,$C460,$A$2,$F460,$G460,$H460,J$19)</f>
        <v>55</v>
      </c>
    </row>
    <row r="461" spans="1:10" s="23" customFormat="1" outlineLevel="1" thickBot="1" x14ac:dyDescent="0.3">
      <c r="A461" s="44"/>
      <c r="B461" s="31" t="str">
        <f>IF(_xll.TM1RPTELISCONSOLIDATED($H$20,$H461),IF(_xll.TM1RPTELLEV($H$20,$H461)&lt;=5,_xll.TM1RPTELLEV($H$20,$H461),"Default"),"Leaf")</f>
        <v>Leaf</v>
      </c>
      <c r="C461" s="26" t="s">
        <v>12</v>
      </c>
      <c r="D461" s="24" t="str">
        <f>_xll.DBRW("TM1-S1_DEV:}ElementAttributes_SP_SKU",$F461,D$1)</f>
        <v>Primary</v>
      </c>
      <c r="E461" s="24" t="str">
        <f>_xll.DBRW("TM1-S1_DEV:}ElementAttributes_SP_SKU",$F461,E$1)</f>
        <v>BAG</v>
      </c>
      <c r="F461" s="26" t="s">
        <v>3205</v>
      </c>
      <c r="G461" s="26" t="s">
        <v>1037</v>
      </c>
      <c r="H461" s="26" t="s">
        <v>2705</v>
      </c>
      <c r="I461" s="54">
        <f>_xll.DBRW($A$1,$F$14,$F$15,$C461,$A$2,$F461,$G461,$H461,I$1)</f>
        <v>4</v>
      </c>
      <c r="J461" s="25">
        <f>_xll.DBRW($A$1,$F$14,$F$15,$C461,$A$2,$F461,$G461,$H461,J$19)</f>
        <v>4</v>
      </c>
    </row>
    <row r="462" spans="1:10" s="23" customFormat="1" outlineLevel="1" thickBot="1" x14ac:dyDescent="0.3">
      <c r="A462" s="44"/>
      <c r="B462" s="31" t="str">
        <f>IF(_xll.TM1RPTELISCONSOLIDATED($H$20,$H462),IF(_xll.TM1RPTELLEV($H$20,$H462)&lt;=5,_xll.TM1RPTELLEV($H$20,$H462),"Default"),"Leaf")</f>
        <v>Leaf</v>
      </c>
      <c r="C462" s="26" t="s">
        <v>12</v>
      </c>
      <c r="D462" s="24" t="str">
        <f>_xll.DBRW("TM1-S1_DEV:}ElementAttributes_SP_SKU",$F462,D$1)</f>
        <v>Primary</v>
      </c>
      <c r="E462" s="24" t="str">
        <f>_xll.DBRW("TM1-S1_DEV:}ElementAttributes_SP_SKU",$F462,E$1)</f>
        <v>FOIL</v>
      </c>
      <c r="F462" s="26" t="s">
        <v>3206</v>
      </c>
      <c r="G462" s="26" t="s">
        <v>1038</v>
      </c>
      <c r="H462" s="26" t="s">
        <v>2704</v>
      </c>
      <c r="I462" s="54">
        <f>_xll.DBRW($A$1,$F$14,$F$15,$C462,$A$2,$F462,$G462,$H462,I$1)</f>
        <v>10</v>
      </c>
      <c r="J462" s="25">
        <f>_xll.DBRW($A$1,$F$14,$F$15,$C462,$A$2,$F462,$G462,$H462,J$19)</f>
        <v>10</v>
      </c>
    </row>
    <row r="463" spans="1:10" s="23" customFormat="1" outlineLevel="1" thickBot="1" x14ac:dyDescent="0.3">
      <c r="A463" s="44"/>
      <c r="B463" s="31" t="str">
        <f>IF(_xll.TM1RPTELISCONSOLIDATED($H$20,$H463),IF(_xll.TM1RPTELLEV($H$20,$H463)&lt;=5,_xll.TM1RPTELLEV($H$20,$H463),"Default"),"Leaf")</f>
        <v>Leaf</v>
      </c>
      <c r="C463" s="26" t="s">
        <v>12</v>
      </c>
      <c r="D463" s="24" t="str">
        <f>_xll.DBRW("TM1-S1_DEV:}ElementAttributes_SP_SKU",$F463,D$1)</f>
        <v>Primary</v>
      </c>
      <c r="E463" s="24" t="str">
        <f>_xll.DBRW("TM1-S1_DEV:}ElementAttributes_SP_SKU",$F463,E$1)</f>
        <v>BAG</v>
      </c>
      <c r="F463" s="26" t="s">
        <v>3210</v>
      </c>
      <c r="G463" s="26" t="s">
        <v>1039</v>
      </c>
      <c r="H463" s="26" t="s">
        <v>2705</v>
      </c>
      <c r="I463" s="54">
        <f>_xll.DBRW($A$1,$F$14,$F$15,$C463,$A$2,$F463,$G463,$H463,I$1)</f>
        <v>3</v>
      </c>
      <c r="J463" s="25">
        <f>_xll.DBRW($A$1,$F$14,$F$15,$C463,$A$2,$F463,$G463,$H463,J$19)</f>
        <v>3</v>
      </c>
    </row>
    <row r="464" spans="1:10" s="23" customFormat="1" outlineLevel="1" thickBot="1" x14ac:dyDescent="0.3">
      <c r="A464" s="44"/>
      <c r="B464" s="31" t="str">
        <f>IF(_xll.TM1RPTELISCONSOLIDATED($H$20,$H464),IF(_xll.TM1RPTELLEV($H$20,$H464)&lt;=5,_xll.TM1RPTELLEV($H$20,$H464),"Default"),"Leaf")</f>
        <v>Leaf</v>
      </c>
      <c r="C464" s="26" t="s">
        <v>12</v>
      </c>
      <c r="D464" s="24" t="str">
        <f>_xll.DBRW("TM1-S1_DEV:}ElementAttributes_SP_SKU",$F464,D$1)</f>
        <v>Primary</v>
      </c>
      <c r="E464" s="24" t="str">
        <f>_xll.DBRW("TM1-S1_DEV:}ElementAttributes_SP_SKU",$F464,E$1)</f>
        <v>BOX</v>
      </c>
      <c r="F464" s="26" t="s">
        <v>3211</v>
      </c>
      <c r="G464" s="26" t="s">
        <v>1040</v>
      </c>
      <c r="H464" s="26" t="s">
        <v>2706</v>
      </c>
      <c r="I464" s="54">
        <f>_xll.DBRW($A$1,$F$14,$F$15,$C464,$A$2,$F464,$G464,$H464,I$1)</f>
        <v>158</v>
      </c>
      <c r="J464" s="25">
        <f>_xll.DBRW($A$1,$F$14,$F$15,$C464,$A$2,$F464,$G464,$H464,J$19)</f>
        <v>186</v>
      </c>
    </row>
    <row r="465" spans="1:10" s="23" customFormat="1" outlineLevel="1" thickBot="1" x14ac:dyDescent="0.3">
      <c r="A465" s="44"/>
      <c r="B465" s="31" t="str">
        <f>IF(_xll.TM1RPTELISCONSOLIDATED($H$20,$H465),IF(_xll.TM1RPTELLEV($H$20,$H465)&lt;=5,_xll.TM1RPTELLEV($H$20,$H465),"Default"),"Leaf")</f>
        <v>Leaf</v>
      </c>
      <c r="C465" s="26" t="s">
        <v>12</v>
      </c>
      <c r="D465" s="24" t="str">
        <f>_xll.DBRW("TM1-S1_DEV:}ElementAttributes_SP_SKU",$F465,D$1)</f>
        <v>Primary</v>
      </c>
      <c r="E465" s="24" t="str">
        <f>_xll.DBRW("TM1-S1_DEV:}ElementAttributes_SP_SKU",$F465,E$1)</f>
        <v>CUP</v>
      </c>
      <c r="F465" s="26" t="s">
        <v>3225</v>
      </c>
      <c r="G465" s="26" t="s">
        <v>1041</v>
      </c>
      <c r="H465" s="26" t="s">
        <v>2707</v>
      </c>
      <c r="I465" s="54">
        <f>_xll.DBRW($A$1,$F$14,$F$15,$C465,$A$2,$F465,$G465,$H465,I$1)</f>
        <v>5</v>
      </c>
      <c r="J465" s="25">
        <f>_xll.DBRW($A$1,$F$14,$F$15,$C465,$A$2,$F465,$G465,$H465,J$19)</f>
        <v>15</v>
      </c>
    </row>
    <row r="466" spans="1:10" s="23" customFormat="1" outlineLevel="1" thickBot="1" x14ac:dyDescent="0.3">
      <c r="A466" s="44"/>
      <c r="B466" s="31" t="str">
        <f>IF(_xll.TM1RPTELISCONSOLIDATED($H$20,$H466),IF(_xll.TM1RPTELLEV($H$20,$H466)&lt;=5,_xll.TM1RPTELLEV($H$20,$H466),"Default"),"Leaf")</f>
        <v>Leaf</v>
      </c>
      <c r="C466" s="26" t="s">
        <v>12</v>
      </c>
      <c r="D466" s="24" t="str">
        <f>_xll.DBRW("TM1-S1_DEV:}ElementAttributes_SP_SKU",$F466,D$1)</f>
        <v>Primary</v>
      </c>
      <c r="E466" s="24" t="str">
        <f>_xll.DBRW("TM1-S1_DEV:}ElementAttributes_SP_SKU",$F466,E$1)</f>
        <v>CUP</v>
      </c>
      <c r="F466" s="26" t="s">
        <v>3226</v>
      </c>
      <c r="G466" s="26" t="s">
        <v>1042</v>
      </c>
      <c r="H466" s="26" t="s">
        <v>2707</v>
      </c>
      <c r="I466" s="54">
        <f>_xll.DBRW($A$1,$F$14,$F$15,$C466,$A$2,$F466,$G466,$H466,I$1)</f>
        <v>10</v>
      </c>
      <c r="J466" s="25">
        <f>_xll.DBRW($A$1,$F$14,$F$15,$C466,$A$2,$F466,$G466,$H466,J$19)</f>
        <v>10</v>
      </c>
    </row>
    <row r="467" spans="1:10" s="23" customFormat="1" outlineLevel="1" thickBot="1" x14ac:dyDescent="0.3">
      <c r="A467" s="44"/>
      <c r="B467" s="31" t="str">
        <f>IF(_xll.TM1RPTELISCONSOLIDATED($H$20,$H467),IF(_xll.TM1RPTELLEV($H$20,$H467)&lt;=5,_xll.TM1RPTELLEV($H$20,$H467),"Default"),"Leaf")</f>
        <v>Leaf</v>
      </c>
      <c r="C467" s="26" t="s">
        <v>12</v>
      </c>
      <c r="D467" s="24" t="str">
        <f>_xll.DBRW("TM1-S1_DEV:}ElementAttributes_SP_SKU",$F467,D$1)</f>
        <v>Primary</v>
      </c>
      <c r="E467" s="24" t="str">
        <f>_xll.DBRW("TM1-S1_DEV:}ElementAttributes_SP_SKU",$F467,E$1)</f>
        <v>PROTEIN</v>
      </c>
      <c r="F467" s="26" t="s">
        <v>3227</v>
      </c>
      <c r="G467" s="26" t="s">
        <v>1043</v>
      </c>
      <c r="H467" s="26" t="s">
        <v>2673</v>
      </c>
      <c r="I467" s="54">
        <f>_xll.DBRW($A$1,$F$14,$F$15,$C467,$A$2,$F467,$G467,$H467,I$1)</f>
        <v>17</v>
      </c>
      <c r="J467" s="25">
        <f>_xll.DBRW($A$1,$F$14,$F$15,$C467,$A$2,$F467,$G467,$H467,J$19)</f>
        <v>17</v>
      </c>
    </row>
    <row r="468" spans="1:10" s="23" customFormat="1" outlineLevel="1" thickBot="1" x14ac:dyDescent="0.3">
      <c r="A468" s="44"/>
      <c r="B468" s="31" t="str">
        <f>IF(_xll.TM1RPTELISCONSOLIDATED($H$20,$H468),IF(_xll.TM1RPTELLEV($H$20,$H468)&lt;=5,_xll.TM1RPTELLEV($H$20,$H468),"Default"),"Leaf")</f>
        <v>Leaf</v>
      </c>
      <c r="C468" s="26" t="s">
        <v>12</v>
      </c>
      <c r="D468" s="24" t="str">
        <f>_xll.DBRW("TM1-S1_DEV:}ElementAttributes_SP_SKU",$F468,D$1)</f>
        <v>Unassigned PSP</v>
      </c>
      <c r="E468" s="24" t="str">
        <f>_xll.DBRW("TM1-S1_DEV:}ElementAttributes_SP_SKU",$F468,E$1)</f>
        <v>BOWL</v>
      </c>
      <c r="F468" s="26" t="s">
        <v>115</v>
      </c>
      <c r="G468" s="26" t="s">
        <v>1044</v>
      </c>
      <c r="H468" s="26" t="s">
        <v>2745</v>
      </c>
      <c r="I468" s="54">
        <f>_xll.DBRW($A$1,$F$14,$F$15,$C468,$A$2,$F468,$G468,$H468,I$1)</f>
        <v>7</v>
      </c>
      <c r="J468" s="25">
        <f>_xll.DBRW($A$1,$F$14,$F$15,$C468,$A$2,$F468,$G468,$H468,J$19)</f>
        <v>7</v>
      </c>
    </row>
    <row r="469" spans="1:10" s="23" customFormat="1" outlineLevel="1" thickBot="1" x14ac:dyDescent="0.3">
      <c r="A469" s="44"/>
      <c r="B469" s="31" t="str">
        <f>IF(_xll.TM1RPTELISCONSOLIDATED($H$20,$H469),IF(_xll.TM1RPTELLEV($H$20,$H469)&lt;=5,_xll.TM1RPTELLEV($H$20,$H469),"Default"),"Leaf")</f>
        <v>Leaf</v>
      </c>
      <c r="C469" s="26" t="s">
        <v>12</v>
      </c>
      <c r="D469" s="24" t="str">
        <f>_xll.DBRW("TM1-S1_DEV:}ElementAttributes_SP_SKU",$F469,D$1)</f>
        <v>Unassigned PSP</v>
      </c>
      <c r="E469" s="24" t="str">
        <f>_xll.DBRW("TM1-S1_DEV:}ElementAttributes_SP_SKU",$F469,E$1)</f>
        <v>LID</v>
      </c>
      <c r="F469" s="26" t="s">
        <v>116</v>
      </c>
      <c r="G469" s="26" t="s">
        <v>1045</v>
      </c>
      <c r="H469" s="26" t="s">
        <v>2745</v>
      </c>
      <c r="I469" s="54">
        <f>_xll.DBRW($A$1,$F$14,$F$15,$C469,$A$2,$F469,$G469,$H469,I$1)</f>
        <v>4</v>
      </c>
      <c r="J469" s="25">
        <f>_xll.DBRW($A$1,$F$14,$F$15,$C469,$A$2,$F469,$G469,$H469,J$19)</f>
        <v>4</v>
      </c>
    </row>
    <row r="470" spans="1:10" s="23" customFormat="1" outlineLevel="1" thickBot="1" x14ac:dyDescent="0.3">
      <c r="A470" s="44"/>
      <c r="B470" s="31" t="str">
        <f>IF(_xll.TM1RPTELISCONSOLIDATED($H$20,$H470),IF(_xll.TM1RPTELLEV($H$20,$H470)&lt;=5,_xll.TM1RPTELLEV($H$20,$H470),"Default"),"Leaf")</f>
        <v>Leaf</v>
      </c>
      <c r="C470" s="26" t="s">
        <v>12</v>
      </c>
      <c r="D470" s="24" t="str">
        <f>_xll.DBRW("TM1-S1_DEV:}ElementAttributes_SP_SKU",$F470,D$1)</f>
        <v>Primary</v>
      </c>
      <c r="E470" s="24" t="str">
        <f>_xll.DBRW("TM1-S1_DEV:}ElementAttributes_SP_SKU",$F470,E$1)</f>
        <v>BREAD</v>
      </c>
      <c r="F470" s="26" t="s">
        <v>3260</v>
      </c>
      <c r="G470" s="26" t="s">
        <v>1046</v>
      </c>
      <c r="H470" s="26" t="s">
        <v>2710</v>
      </c>
      <c r="I470" s="54">
        <f>_xll.DBRW($A$1,$F$14,$F$15,$C470,$A$2,$F470,$G470,$H470,I$1)</f>
        <v>7</v>
      </c>
      <c r="J470" s="25">
        <f>_xll.DBRW($A$1,$F$14,$F$15,$C470,$A$2,$F470,$G470,$H470,J$19)</f>
        <v>7</v>
      </c>
    </row>
    <row r="471" spans="1:10" s="23" customFormat="1" outlineLevel="1" thickBot="1" x14ac:dyDescent="0.3">
      <c r="A471" s="44"/>
      <c r="B471" s="31" t="str">
        <f>IF(_xll.TM1RPTELISCONSOLIDATED($H$20,$H471),IF(_xll.TM1RPTELLEV($H$20,$H471)&lt;=5,_xll.TM1RPTELLEV($H$20,$H471),"Default"),"Leaf")</f>
        <v>Leaf</v>
      </c>
      <c r="C471" s="26" t="s">
        <v>12</v>
      </c>
      <c r="D471" s="24" t="str">
        <f>_xll.DBRW("TM1-S1_DEV:}ElementAttributes_SP_SKU",$F471,D$1)</f>
        <v>Primary</v>
      </c>
      <c r="E471" s="24" t="str">
        <f>_xll.DBRW("TM1-S1_DEV:}ElementAttributes_SP_SKU",$F471,E$1)</f>
        <v>TRAY</v>
      </c>
      <c r="F471" s="26" t="s">
        <v>3231</v>
      </c>
      <c r="G471" s="26" t="s">
        <v>1047</v>
      </c>
      <c r="H471" s="26" t="s">
        <v>2711</v>
      </c>
      <c r="I471" s="54">
        <f>_xll.DBRW($A$1,$F$14,$F$15,$C471,$A$2,$F471,$G471,$H471,I$1)</f>
        <v>9</v>
      </c>
      <c r="J471" s="25">
        <f>_xll.DBRW($A$1,$F$14,$F$15,$C471,$A$2,$F471,$G471,$H471,J$19)</f>
        <v>9</v>
      </c>
    </row>
    <row r="472" spans="1:10" s="23" customFormat="1" outlineLevel="1" thickBot="1" x14ac:dyDescent="0.3">
      <c r="A472" s="44"/>
      <c r="B472" s="31" t="str">
        <f>IF(_xll.TM1RPTELISCONSOLIDATED($H$20,$H472),IF(_xll.TM1RPTELLEV($H$20,$H472)&lt;=5,_xll.TM1RPTELLEV($H$20,$H472),"Default"),"Leaf")</f>
        <v>Leaf</v>
      </c>
      <c r="C472" s="26" t="s">
        <v>12</v>
      </c>
      <c r="D472" s="24" t="str">
        <f>_xll.DBRW("TM1-S1_DEV:}ElementAttributes_SP_SKU",$F472,D$1)</f>
        <v>Primary</v>
      </c>
      <c r="E472" s="24" t="str">
        <f>_xll.DBRW("TM1-S1_DEV:}ElementAttributes_SP_SKU",$F472,E$1)</f>
        <v>PAPER</v>
      </c>
      <c r="F472" s="26" t="s">
        <v>3261</v>
      </c>
      <c r="G472" s="26" t="s">
        <v>1048</v>
      </c>
      <c r="H472" s="26" t="s">
        <v>2716</v>
      </c>
      <c r="I472" s="54">
        <f>_xll.DBRW($A$1,$F$14,$F$15,$C472,$A$2,$F472,$G472,$H472,I$1)</f>
        <v>24</v>
      </c>
      <c r="J472" s="25">
        <f>_xll.DBRW($A$1,$F$14,$F$15,$C472,$A$2,$F472,$G472,$H472,J$19)</f>
        <v>24</v>
      </c>
    </row>
    <row r="473" spans="1:10" s="23" customFormat="1" outlineLevel="1" thickBot="1" x14ac:dyDescent="0.3">
      <c r="A473" s="44"/>
      <c r="B473" s="31" t="str">
        <f>IF(_xll.TM1RPTELISCONSOLIDATED($H$20,$H473),IF(_xll.TM1RPTELLEV($H$20,$H473)&lt;=5,_xll.TM1RPTELLEV($H$20,$H473),"Default"),"Leaf")</f>
        <v>Leaf</v>
      </c>
      <c r="C473" s="26" t="s">
        <v>12</v>
      </c>
      <c r="D473" s="24" t="str">
        <f>_xll.DBRW("TM1-S1_DEV:}ElementAttributes_SP_SKU",$F473,D$1)</f>
        <v>Primary</v>
      </c>
      <c r="E473" s="24" t="str">
        <f>_xll.DBRW("TM1-S1_DEV:}ElementAttributes_SP_SKU",$F473,E$1)</f>
        <v>BREAD</v>
      </c>
      <c r="F473" s="26" t="s">
        <v>31</v>
      </c>
      <c r="G473" s="26" t="s">
        <v>1049</v>
      </c>
      <c r="H473" s="26" t="s">
        <v>2689</v>
      </c>
      <c r="I473" s="54">
        <f>_xll.DBRW($A$1,$F$14,$F$15,$C473,$A$2,$F473,$G473,$H473,I$1)</f>
        <v>13</v>
      </c>
      <c r="J473" s="25">
        <f>_xll.DBRW($A$1,$F$14,$F$15,$C473,$A$2,$F473,$G473,$H473,J$19)</f>
        <v>18</v>
      </c>
    </row>
    <row r="474" spans="1:10" s="23" customFormat="1" outlineLevel="1" thickBot="1" x14ac:dyDescent="0.3">
      <c r="A474" s="44"/>
      <c r="B474" s="31" t="str">
        <f>IF(_xll.TM1RPTELISCONSOLIDATED($H$20,$H474),IF(_xll.TM1RPTELLEV($H$20,$H474)&lt;=5,_xll.TM1RPTELLEV($H$20,$H474),"Default"),"Leaf")</f>
        <v>Leaf</v>
      </c>
      <c r="C474" s="26" t="s">
        <v>12</v>
      </c>
      <c r="D474" s="24" t="str">
        <f>_xll.DBRW("TM1-S1_DEV:}ElementAttributes_SP_SKU",$F474,D$1)</f>
        <v>Primary</v>
      </c>
      <c r="E474" s="24" t="str">
        <f>_xll.DBRW("TM1-S1_DEV:}ElementAttributes_SP_SKU",$F474,E$1)</f>
        <v>BREAD</v>
      </c>
      <c r="F474" s="26" t="s">
        <v>3236</v>
      </c>
      <c r="G474" s="26" t="s">
        <v>1050</v>
      </c>
      <c r="H474" s="26" t="s">
        <v>2689</v>
      </c>
      <c r="I474" s="54">
        <f>_xll.DBRW($A$1,$F$14,$F$15,$C474,$A$2,$F474,$G474,$H474,I$1)</f>
        <v>19</v>
      </c>
      <c r="J474" s="25">
        <f>_xll.DBRW($A$1,$F$14,$F$15,$C474,$A$2,$F474,$G474,$H474,J$19)</f>
        <v>29</v>
      </c>
    </row>
    <row r="475" spans="1:10" s="23" customFormat="1" outlineLevel="1" thickBot="1" x14ac:dyDescent="0.3">
      <c r="A475" s="44"/>
      <c r="B475" s="31" t="str">
        <f>IF(_xll.TM1RPTELISCONSOLIDATED($H$20,$H475),IF(_xll.TM1RPTELLEV($H$20,$H475)&lt;=5,_xll.TM1RPTELLEV($H$20,$H475),"Default"),"Leaf")</f>
        <v>Leaf</v>
      </c>
      <c r="C475" s="26" t="s">
        <v>12</v>
      </c>
      <c r="D475" s="24" t="str">
        <f>_xll.DBRW("TM1-S1_DEV:}ElementAttributes_SP_SKU",$F475,D$1)</f>
        <v>Primary</v>
      </c>
      <c r="E475" s="24" t="str">
        <f>_xll.DBRW("TM1-S1_DEV:}ElementAttributes_SP_SKU",$F475,E$1)</f>
        <v>PAPER</v>
      </c>
      <c r="F475" s="26" t="s">
        <v>3239</v>
      </c>
      <c r="G475" s="26" t="s">
        <v>1244</v>
      </c>
      <c r="H475" s="26" t="s">
        <v>2715</v>
      </c>
      <c r="I475" s="54">
        <f>_xll.DBRW($A$1,$F$14,$F$15,$C475,$A$2,$F475,$G475,$H475,I$1)</f>
        <v>6</v>
      </c>
      <c r="J475" s="25">
        <f>_xll.DBRW($A$1,$F$14,$F$15,$C475,$A$2,$F475,$G475,$H475,J$19)</f>
        <v>6</v>
      </c>
    </row>
    <row r="476" spans="1:10" s="23" customFormat="1" outlineLevel="1" thickBot="1" x14ac:dyDescent="0.3">
      <c r="A476" s="44"/>
      <c r="B476" s="31" t="str">
        <f>IF(_xll.TM1RPTELISCONSOLIDATED($H$20,$H476),IF(_xll.TM1RPTELLEV($H$20,$H476)&lt;=5,_xll.TM1RPTELLEV($H$20,$H476),"Default"),"Leaf")</f>
        <v>Leaf</v>
      </c>
      <c r="C476" s="26" t="s">
        <v>12</v>
      </c>
      <c r="D476" s="24" t="str">
        <f>_xll.DBRW("TM1-S1_DEV:}ElementAttributes_SP_SKU",$F476,D$1)</f>
        <v>Primary</v>
      </c>
      <c r="E476" s="24" t="str">
        <f>_xll.DBRW("TM1-S1_DEV:}ElementAttributes_SP_SKU",$F476,E$1)</f>
        <v>BAG</v>
      </c>
      <c r="F476" s="26" t="s">
        <v>117</v>
      </c>
      <c r="G476" s="26" t="s">
        <v>1051</v>
      </c>
      <c r="H476" s="26" t="s">
        <v>2708</v>
      </c>
      <c r="I476" s="54">
        <f>_xll.DBRW($A$1,$F$14,$F$15,$C476,$A$2,$F476,$G476,$H476,I$1)</f>
        <v>92</v>
      </c>
      <c r="J476" s="25">
        <f>_xll.DBRW($A$1,$F$14,$F$15,$C476,$A$2,$F476,$G476,$H476,J$19)</f>
        <v>92</v>
      </c>
    </row>
    <row r="477" spans="1:10" s="23" customFormat="1" outlineLevel="1" thickBot="1" x14ac:dyDescent="0.3">
      <c r="A477" s="44"/>
      <c r="B477" s="31" t="str">
        <f>IF(_xll.TM1RPTELISCONSOLIDATED($H$20,$H477),IF(_xll.TM1RPTELLEV($H$20,$H477)&lt;=5,_xll.TM1RPTELLEV($H$20,$H477),"Default"),"Leaf")</f>
        <v>Leaf</v>
      </c>
      <c r="C477" s="26" t="s">
        <v>12</v>
      </c>
      <c r="D477" s="24" t="str">
        <f>_xll.DBRW("TM1-S1_DEV:}ElementAttributes_SP_SKU",$F477,D$1)</f>
        <v>Primary</v>
      </c>
      <c r="E477" s="24" t="str">
        <f>_xll.DBRW("TM1-S1_DEV:}ElementAttributes_SP_SKU",$F477,E$1)</f>
        <v>BAG</v>
      </c>
      <c r="F477" s="26" t="s">
        <v>85</v>
      </c>
      <c r="G477" s="26" t="s">
        <v>1052</v>
      </c>
      <c r="H477" s="26" t="s">
        <v>2708</v>
      </c>
      <c r="I477" s="54">
        <f>_xll.DBRW($A$1,$F$14,$F$15,$C477,$A$2,$F477,$G477,$H477,I$1)</f>
        <v>250</v>
      </c>
      <c r="J477" s="25">
        <f>_xll.DBRW($A$1,$F$14,$F$15,$C477,$A$2,$F477,$G477,$H477,J$19)</f>
        <v>250</v>
      </c>
    </row>
    <row r="478" spans="1:10" s="23" customFormat="1" outlineLevel="1" thickBot="1" x14ac:dyDescent="0.3">
      <c r="A478" s="44"/>
      <c r="B478" s="31" t="str">
        <f>IF(_xll.TM1RPTELISCONSOLIDATED($H$20,$H478),IF(_xll.TM1RPTELLEV($H$20,$H478)&lt;=5,_xll.TM1RPTELLEV($H$20,$H478),"Default"),"Leaf")</f>
        <v>Leaf</v>
      </c>
      <c r="C478" s="26" t="s">
        <v>12</v>
      </c>
      <c r="D478" s="24" t="str">
        <f>_xll.DBRW("TM1-S1_DEV:}ElementAttributes_SP_SKU",$F478,D$1)</f>
        <v>Primary</v>
      </c>
      <c r="E478" s="24" t="str">
        <f>_xll.DBRW("TM1-S1_DEV:}ElementAttributes_SP_SKU",$F478,E$1)</f>
        <v>CONTAINER</v>
      </c>
      <c r="F478" s="26" t="s">
        <v>118</v>
      </c>
      <c r="G478" s="26" t="s">
        <v>1053</v>
      </c>
      <c r="H478" s="26" t="s">
        <v>2757</v>
      </c>
      <c r="I478" s="54">
        <f>_xll.DBRW($A$1,$F$14,$F$15,$C478,$A$2,$F478,$G478,$H478,I$1)</f>
        <v>19</v>
      </c>
      <c r="J478" s="25">
        <f>_xll.DBRW($A$1,$F$14,$F$15,$C478,$A$2,$F478,$G478,$H478,J$19)</f>
        <v>19</v>
      </c>
    </row>
    <row r="479" spans="1:10" s="23" customFormat="1" outlineLevel="1" thickBot="1" x14ac:dyDescent="0.3">
      <c r="A479" s="44"/>
      <c r="B479" s="31" t="str">
        <f>IF(_xll.TM1RPTELISCONSOLIDATED($H$20,$H479),IF(_xll.TM1RPTELLEV($H$20,$H479)&lt;=5,_xll.TM1RPTELLEV($H$20,$H479),"Default"),"Leaf")</f>
        <v>Leaf</v>
      </c>
      <c r="C479" s="26" t="s">
        <v>12</v>
      </c>
      <c r="D479" s="24" t="str">
        <f>_xll.DBRW("TM1-S1_DEV:}ElementAttributes_SP_SKU",$F479,D$1)</f>
        <v>Primary</v>
      </c>
      <c r="E479" s="24" t="str">
        <f>_xll.DBRW("TM1-S1_DEV:}ElementAttributes_SP_SKU",$F479,E$1)</f>
        <v>CONTAINER</v>
      </c>
      <c r="F479" s="26" t="s">
        <v>119</v>
      </c>
      <c r="G479" s="26" t="s">
        <v>1054</v>
      </c>
      <c r="H479" s="26" t="s">
        <v>2757</v>
      </c>
      <c r="I479" s="54">
        <f>_xll.DBRW($A$1,$F$14,$F$15,$C479,$A$2,$F479,$G479,$H479,I$1)</f>
        <v>22</v>
      </c>
      <c r="J479" s="25">
        <f>_xll.DBRW($A$1,$F$14,$F$15,$C479,$A$2,$F479,$G479,$H479,J$19)</f>
        <v>22</v>
      </c>
    </row>
    <row r="480" spans="1:10" s="23" customFormat="1" outlineLevel="1" thickBot="1" x14ac:dyDescent="0.3">
      <c r="A480" s="44"/>
      <c r="B480" s="31" t="str">
        <f>IF(_xll.TM1RPTELISCONSOLIDATED($H$20,$H480),IF(_xll.TM1RPTELLEV($H$20,$H480)&lt;=5,_xll.TM1RPTELLEV($H$20,$H480),"Default"),"Leaf")</f>
        <v>Leaf</v>
      </c>
      <c r="C480" s="26" t="s">
        <v>12</v>
      </c>
      <c r="D480" s="24" t="str">
        <f>_xll.DBRW("TM1-S1_DEV:}ElementAttributes_SP_SKU",$F480,D$1)</f>
        <v>Primary</v>
      </c>
      <c r="E480" s="24" t="str">
        <f>_xll.DBRW("TM1-S1_DEV:}ElementAttributes_SP_SKU",$F480,E$1)</f>
        <v>DRESSING</v>
      </c>
      <c r="F480" s="26" t="s">
        <v>120</v>
      </c>
      <c r="G480" s="26" t="s">
        <v>1055</v>
      </c>
      <c r="H480" s="26" t="s">
        <v>2743</v>
      </c>
      <c r="I480" s="54">
        <f>_xll.DBRW($A$1,$F$14,$F$15,$C480,$A$2,$F480,$G480,$H480,I$1)</f>
        <v>34</v>
      </c>
      <c r="J480" s="25">
        <f>_xll.DBRW($A$1,$F$14,$F$15,$C480,$A$2,$F480,$G480,$H480,J$19)</f>
        <v>34</v>
      </c>
    </row>
    <row r="481" spans="1:10" s="23" customFormat="1" outlineLevel="1" thickBot="1" x14ac:dyDescent="0.3">
      <c r="A481" s="44"/>
      <c r="B481" s="31" t="str">
        <f>IF(_xll.TM1RPTELISCONSOLIDATED($H$20,$H481),IF(_xll.TM1RPTELLEV($H$20,$H481)&lt;=5,_xll.TM1RPTELLEV($H$20,$H481),"Default"),"Leaf")</f>
        <v>Leaf</v>
      </c>
      <c r="C481" s="26" t="s">
        <v>12</v>
      </c>
      <c r="D481" s="24" t="str">
        <f>_xll.DBRW("TM1-S1_DEV:}ElementAttributes_SP_SKU",$F481,D$1)</f>
        <v>Primary</v>
      </c>
      <c r="E481" s="24" t="str">
        <f>_xll.DBRW("TM1-S1_DEV:}ElementAttributes_SP_SKU",$F481,E$1)</f>
        <v>DRESSING</v>
      </c>
      <c r="F481" s="26" t="s">
        <v>121</v>
      </c>
      <c r="G481" s="26" t="s">
        <v>1056</v>
      </c>
      <c r="H481" s="26" t="s">
        <v>2743</v>
      </c>
      <c r="I481" s="54">
        <f>_xll.DBRW($A$1,$F$14,$F$15,$C481,$A$2,$F481,$G481,$H481,I$1)</f>
        <v>8</v>
      </c>
      <c r="J481" s="25">
        <f>_xll.DBRW($A$1,$F$14,$F$15,$C481,$A$2,$F481,$G481,$H481,J$19)</f>
        <v>8</v>
      </c>
    </row>
    <row r="482" spans="1:10" s="23" customFormat="1" outlineLevel="1" thickBot="1" x14ac:dyDescent="0.3">
      <c r="A482" s="44"/>
      <c r="B482" s="31" t="str">
        <f>IF(_xll.TM1RPTELISCONSOLIDATED($H$20,$H482),IF(_xll.TM1RPTELLEV($H$20,$H482)&lt;=5,_xll.TM1RPTELLEV($H$20,$H482),"Default"),"Leaf")</f>
        <v>Leaf</v>
      </c>
      <c r="C482" s="26" t="s">
        <v>12</v>
      </c>
      <c r="D482" s="24" t="str">
        <f>_xll.DBRW("TM1-S1_DEV:}ElementAttributes_SP_SKU",$F482,D$1)</f>
        <v>Primary</v>
      </c>
      <c r="E482" s="24" t="str">
        <f>_xll.DBRW("TM1-S1_DEV:}ElementAttributes_SP_SKU",$F482,E$1)</f>
        <v>PAPER</v>
      </c>
      <c r="F482" s="26" t="s">
        <v>122</v>
      </c>
      <c r="G482" s="26" t="s">
        <v>1057</v>
      </c>
      <c r="H482" s="26" t="s">
        <v>2770</v>
      </c>
      <c r="I482" s="54">
        <f>_xll.DBRW($A$1,$F$14,$F$15,$C482,$A$2,$F482,$G482,$H482,I$1)</f>
        <v>69</v>
      </c>
      <c r="J482" s="25">
        <f>_xll.DBRW($A$1,$F$14,$F$15,$C482,$A$2,$F482,$G482,$H482,J$19)</f>
        <v>69</v>
      </c>
    </row>
    <row r="483" spans="1:10" s="23" customFormat="1" outlineLevel="1" thickBot="1" x14ac:dyDescent="0.3">
      <c r="A483" s="44"/>
      <c r="B483" s="31" t="str">
        <f>IF(_xll.TM1RPTELISCONSOLIDATED($H$20,$H483),IF(_xll.TM1RPTELLEV($H$20,$H483)&lt;=5,_xll.TM1RPTELLEV($H$20,$H483),"Default"),"Leaf")</f>
        <v>Leaf</v>
      </c>
      <c r="C483" s="26" t="s">
        <v>12</v>
      </c>
      <c r="D483" s="24" t="str">
        <f>_xll.DBRW("TM1-S1_DEV:}ElementAttributes_SP_SKU",$F483,D$1)</f>
        <v>Primary</v>
      </c>
      <c r="E483" s="24" t="str">
        <f>_xll.DBRW("TM1-S1_DEV:}ElementAttributes_SP_SKU",$F483,E$1)</f>
        <v>UTENSIL</v>
      </c>
      <c r="F483" s="26" t="s">
        <v>123</v>
      </c>
      <c r="G483" s="26" t="s">
        <v>1058</v>
      </c>
      <c r="H483" s="26" t="s">
        <v>2771</v>
      </c>
      <c r="I483" s="54">
        <f>_xll.DBRW($A$1,$F$14,$F$15,$C483,$A$2,$F483,$G483,$H483,I$1)</f>
        <v>11</v>
      </c>
      <c r="J483" s="25">
        <f>_xll.DBRW($A$1,$F$14,$F$15,$C483,$A$2,$F483,$G483,$H483,J$19)</f>
        <v>47</v>
      </c>
    </row>
    <row r="484" spans="1:10" s="23" customFormat="1" outlineLevel="1" thickBot="1" x14ac:dyDescent="0.3">
      <c r="A484" s="44"/>
      <c r="B484" s="31" t="str">
        <f>IF(_xll.TM1RPTELISCONSOLIDATED($H$20,$H484),IF(_xll.TM1RPTELLEV($H$20,$H484)&lt;=5,_xll.TM1RPTELLEV($H$20,$H484),"Default"),"Leaf")</f>
        <v>Leaf</v>
      </c>
      <c r="C484" s="26" t="s">
        <v>12</v>
      </c>
      <c r="D484" s="24" t="str">
        <f>_xll.DBRW("TM1-S1_DEV:}ElementAttributes_SP_SKU",$F484,D$1)</f>
        <v>Primary</v>
      </c>
      <c r="E484" s="24" t="str">
        <f>_xll.DBRW("TM1-S1_DEV:}ElementAttributes_SP_SKU",$F484,E$1)</f>
        <v>UTENSIL</v>
      </c>
      <c r="F484" s="26" t="s">
        <v>124</v>
      </c>
      <c r="G484" s="26" t="s">
        <v>1059</v>
      </c>
      <c r="H484" s="26" t="s">
        <v>2771</v>
      </c>
      <c r="I484" s="54">
        <f>_xll.DBRW($A$1,$F$14,$F$15,$C484,$A$2,$F484,$G484,$H484,I$1)</f>
        <v>9</v>
      </c>
      <c r="J484" s="25">
        <f>_xll.DBRW($A$1,$F$14,$F$15,$C484,$A$2,$F484,$G484,$H484,J$19)</f>
        <v>9</v>
      </c>
    </row>
    <row r="485" spans="1:10" s="23" customFormat="1" outlineLevel="1" thickBot="1" x14ac:dyDescent="0.3">
      <c r="A485" s="44"/>
      <c r="B485" s="31" t="str">
        <f>IF(_xll.TM1RPTELISCONSOLIDATED($H$20,$H485),IF(_xll.TM1RPTELLEV($H$20,$H485)&lt;=5,_xll.TM1RPTELLEV($H$20,$H485),"Default"),"Leaf")</f>
        <v>Leaf</v>
      </c>
      <c r="C485" s="26" t="s">
        <v>12</v>
      </c>
      <c r="D485" s="24" t="str">
        <f>_xll.DBRW("TM1-S1_DEV:}ElementAttributes_SP_SKU",$F485,D$1)</f>
        <v>Primary</v>
      </c>
      <c r="E485" s="24" t="str">
        <f>_xll.DBRW("TM1-S1_DEV:}ElementAttributes_SP_SKU",$F485,E$1)</f>
        <v>UTENSIL</v>
      </c>
      <c r="F485" s="26" t="s">
        <v>125</v>
      </c>
      <c r="G485" s="26" t="s">
        <v>1060</v>
      </c>
      <c r="H485" s="26" t="s">
        <v>2772</v>
      </c>
      <c r="I485" s="54">
        <f>_xll.DBRW($A$1,$F$14,$F$15,$C485,$A$2,$F485,$G485,$H485,I$1)</f>
        <v>48</v>
      </c>
      <c r="J485" s="25">
        <f>_xll.DBRW($A$1,$F$14,$F$15,$C485,$A$2,$F485,$G485,$H485,J$19)</f>
        <v>84</v>
      </c>
    </row>
    <row r="486" spans="1:10" s="23" customFormat="1" outlineLevel="1" thickBot="1" x14ac:dyDescent="0.3">
      <c r="A486" s="44"/>
      <c r="B486" s="31" t="str">
        <f>IF(_xll.TM1RPTELISCONSOLIDATED($H$20,$H486),IF(_xll.TM1RPTELLEV($H$20,$H486)&lt;=5,_xll.TM1RPTELLEV($H$20,$H486),"Default"),"Leaf")</f>
        <v>Leaf</v>
      </c>
      <c r="C486" s="26" t="s">
        <v>12</v>
      </c>
      <c r="D486" s="24" t="str">
        <f>_xll.DBRW("TM1-S1_DEV:}ElementAttributes_SP_SKU",$F486,D$1)</f>
        <v>Primary</v>
      </c>
      <c r="E486" s="24" t="str">
        <f>_xll.DBRW("TM1-S1_DEV:}ElementAttributes_SP_SKU",$F486,E$1)</f>
        <v>GLOVES</v>
      </c>
      <c r="F486" s="26" t="s">
        <v>126</v>
      </c>
      <c r="G486" s="26" t="s">
        <v>1061</v>
      </c>
      <c r="H486" s="26" t="s">
        <v>2765</v>
      </c>
      <c r="I486" s="54">
        <f>_xll.DBRW($A$1,$F$14,$F$15,$C486,$A$2,$F486,$G486,$H486,I$1)</f>
        <v>210</v>
      </c>
      <c r="J486" s="25">
        <f>_xll.DBRW($A$1,$F$14,$F$15,$C486,$A$2,$F486,$G486,$H486,J$19)</f>
        <v>210</v>
      </c>
    </row>
    <row r="487" spans="1:10" s="23" customFormat="1" outlineLevel="1" thickBot="1" x14ac:dyDescent="0.3">
      <c r="A487" s="44"/>
      <c r="B487" s="31" t="str">
        <f>IF(_xll.TM1RPTELISCONSOLIDATED($H$20,$H487),IF(_xll.TM1RPTELLEV($H$20,$H487)&lt;=5,_xll.TM1RPTELLEV($H$20,$H487),"Default"),"Leaf")</f>
        <v>Leaf</v>
      </c>
      <c r="C487" s="26" t="s">
        <v>12</v>
      </c>
      <c r="D487" s="24" t="str">
        <f>_xll.DBRW("TM1-S1_DEV:}ElementAttributes_SP_SKU",$F487,D$1)</f>
        <v>Primary</v>
      </c>
      <c r="E487" s="24" t="str">
        <f>_xll.DBRW("TM1-S1_DEV:}ElementAttributes_SP_SKU",$F487,E$1)</f>
        <v>GLOVES</v>
      </c>
      <c r="F487" s="26" t="s">
        <v>127</v>
      </c>
      <c r="G487" s="26" t="s">
        <v>1062</v>
      </c>
      <c r="H487" s="26" t="s">
        <v>2765</v>
      </c>
      <c r="I487" s="54">
        <f>_xll.DBRW($A$1,$F$14,$F$15,$C487,$A$2,$F487,$G487,$H487,I$1)</f>
        <v>107</v>
      </c>
      <c r="J487" s="25">
        <f>_xll.DBRW($A$1,$F$14,$F$15,$C487,$A$2,$F487,$G487,$H487,J$19)</f>
        <v>159</v>
      </c>
    </row>
    <row r="488" spans="1:10" s="23" customFormat="1" outlineLevel="1" thickBot="1" x14ac:dyDescent="0.3">
      <c r="A488" s="44"/>
      <c r="B488" s="31" t="str">
        <f>IF(_xll.TM1RPTELISCONSOLIDATED($H$20,$H488),IF(_xll.TM1RPTELLEV($H$20,$H488)&lt;=5,_xll.TM1RPTELLEV($H$20,$H488),"Default"),"Leaf")</f>
        <v>Leaf</v>
      </c>
      <c r="C488" s="26" t="s">
        <v>12</v>
      </c>
      <c r="D488" s="24" t="str">
        <f>_xll.DBRW("TM1-S1_DEV:}ElementAttributes_SP_SKU",$F488,D$1)</f>
        <v>Primary</v>
      </c>
      <c r="E488" s="24" t="str">
        <f>_xll.DBRW("TM1-S1_DEV:}ElementAttributes_SP_SKU",$F488,E$1)</f>
        <v>GLOVES</v>
      </c>
      <c r="F488" s="26" t="s">
        <v>128</v>
      </c>
      <c r="G488" s="26" t="s">
        <v>1063</v>
      </c>
      <c r="H488" s="26" t="s">
        <v>2765</v>
      </c>
      <c r="I488" s="54">
        <f>_xll.DBRW($A$1,$F$14,$F$15,$C488,$A$2,$F488,$G488,$H488,I$1)</f>
        <v>29</v>
      </c>
      <c r="J488" s="25">
        <f>_xll.DBRW($A$1,$F$14,$F$15,$C488,$A$2,$F488,$G488,$H488,J$19)</f>
        <v>29</v>
      </c>
    </row>
    <row r="489" spans="1:10" s="23" customFormat="1" outlineLevel="1" thickBot="1" x14ac:dyDescent="0.3">
      <c r="A489" s="44"/>
      <c r="B489" s="31" t="str">
        <f>IF(_xll.TM1RPTELISCONSOLIDATED($H$20,$H489),IF(_xll.TM1RPTELLEV($H$20,$H489)&lt;=5,_xll.TM1RPTELLEV($H$20,$H489),"Default"),"Leaf")</f>
        <v>Leaf</v>
      </c>
      <c r="C489" s="26" t="s">
        <v>12</v>
      </c>
      <c r="D489" s="24" t="str">
        <f>_xll.DBRW("TM1-S1_DEV:}ElementAttributes_SP_SKU",$F489,D$1)</f>
        <v>Primary</v>
      </c>
      <c r="E489" s="24" t="str">
        <f>_xll.DBRW("TM1-S1_DEV:}ElementAttributes_SP_SKU",$F489,E$1)</f>
        <v>GLOVES</v>
      </c>
      <c r="F489" s="26" t="s">
        <v>129</v>
      </c>
      <c r="G489" s="26" t="s">
        <v>1064</v>
      </c>
      <c r="H489" s="26" t="s">
        <v>2765</v>
      </c>
      <c r="I489" s="54">
        <f>_xll.DBRW($A$1,$F$14,$F$15,$C489,$A$2,$F489,$G489,$H489,I$1)</f>
        <v>376</v>
      </c>
      <c r="J489" s="25">
        <f>_xll.DBRW($A$1,$F$14,$F$15,$C489,$A$2,$F489,$G489,$H489,J$19)</f>
        <v>706</v>
      </c>
    </row>
    <row r="490" spans="1:10" s="23" customFormat="1" outlineLevel="1" thickBot="1" x14ac:dyDescent="0.3">
      <c r="A490" s="44"/>
      <c r="B490" s="31" t="str">
        <f>IF(_xll.TM1RPTELISCONSOLIDATED($H$20,$H490),IF(_xll.TM1RPTELLEV($H$20,$H490)&lt;=5,_xll.TM1RPTELLEV($H$20,$H490),"Default"),"Leaf")</f>
        <v>Leaf</v>
      </c>
      <c r="C490" s="26" t="s">
        <v>12</v>
      </c>
      <c r="D490" s="24" t="str">
        <f>_xll.DBRW("TM1-S1_DEV:}ElementAttributes_SP_SKU",$F490,D$1)</f>
        <v>Primary</v>
      </c>
      <c r="E490" s="24" t="str">
        <f>_xll.DBRW("TM1-S1_DEV:}ElementAttributes_SP_SKU",$F490,E$1)</f>
        <v>FILM</v>
      </c>
      <c r="F490" s="26" t="s">
        <v>130</v>
      </c>
      <c r="G490" s="26" t="s">
        <v>1065</v>
      </c>
      <c r="H490" s="26" t="s">
        <v>2765</v>
      </c>
      <c r="I490" s="54">
        <f>_xll.DBRW($A$1,$F$14,$F$15,$C490,$A$2,$F490,$G490,$H490,I$1)</f>
        <v>30</v>
      </c>
      <c r="J490" s="25">
        <f>_xll.DBRW($A$1,$F$14,$F$15,$C490,$A$2,$F490,$G490,$H490,J$19)</f>
        <v>30</v>
      </c>
    </row>
    <row r="491" spans="1:10" s="23" customFormat="1" outlineLevel="1" thickBot="1" x14ac:dyDescent="0.3">
      <c r="A491" s="44"/>
      <c r="B491" s="31" t="str">
        <f>IF(_xll.TM1RPTELISCONSOLIDATED($H$20,$H491),IF(_xll.TM1RPTELLEV($H$20,$H491)&lt;=5,_xll.TM1RPTELLEV($H$20,$H491),"Default"),"Leaf")</f>
        <v>Leaf</v>
      </c>
      <c r="C491" s="26" t="s">
        <v>12</v>
      </c>
      <c r="D491" s="24" t="str">
        <f>_xll.DBRW("TM1-S1_DEV:}ElementAttributes_SP_SKU",$F491,D$1)</f>
        <v>Primary</v>
      </c>
      <c r="E491" s="24" t="str">
        <f>_xll.DBRW("TM1-S1_DEV:}ElementAttributes_SP_SKU",$F491,E$1)</f>
        <v>FILM</v>
      </c>
      <c r="F491" s="26" t="s">
        <v>131</v>
      </c>
      <c r="G491" s="26" t="s">
        <v>1066</v>
      </c>
      <c r="H491" s="26" t="s">
        <v>2765</v>
      </c>
      <c r="I491" s="54">
        <f>_xll.DBRW($A$1,$F$14,$F$15,$C491,$A$2,$F491,$G491,$H491,I$1)</f>
        <v>130</v>
      </c>
      <c r="J491" s="25">
        <f>_xll.DBRW($A$1,$F$14,$F$15,$C491,$A$2,$F491,$G491,$H491,J$19)</f>
        <v>218</v>
      </c>
    </row>
    <row r="492" spans="1:10" s="23" customFormat="1" outlineLevel="1" thickBot="1" x14ac:dyDescent="0.3">
      <c r="A492" s="44"/>
      <c r="B492" s="31" t="str">
        <f>IF(_xll.TM1RPTELISCONSOLIDATED($H$20,$H492),IF(_xll.TM1RPTELLEV($H$20,$H492)&lt;=5,_xll.TM1RPTELLEV($H$20,$H492),"Default"),"Leaf")</f>
        <v>Leaf</v>
      </c>
      <c r="C492" s="26" t="s">
        <v>12</v>
      </c>
      <c r="D492" s="24" t="str">
        <f>_xll.DBRW("TM1-S1_DEV:}ElementAttributes_SP_SKU",$F492,D$1)</f>
        <v>Primary</v>
      </c>
      <c r="E492" s="24" t="str">
        <f>_xll.DBRW("TM1-S1_DEV:}ElementAttributes_SP_SKU",$F492,E$1)</f>
        <v>PRODUCE</v>
      </c>
      <c r="F492" s="26" t="s">
        <v>132</v>
      </c>
      <c r="G492" s="26" t="s">
        <v>1067</v>
      </c>
      <c r="H492" s="26" t="s">
        <v>2765</v>
      </c>
      <c r="I492" s="54">
        <f>_xll.DBRW($A$1,$F$14,$F$15,$C492,$A$2,$F492,$G492,$H492,I$1)</f>
        <v>0</v>
      </c>
      <c r="J492" s="25">
        <f>_xll.DBRW($A$1,$F$14,$F$15,$C492,$A$2,$F492,$G492,$H492,J$19)</f>
        <v>53</v>
      </c>
    </row>
    <row r="493" spans="1:10" s="23" customFormat="1" outlineLevel="1" thickBot="1" x14ac:dyDescent="0.3">
      <c r="A493" s="44"/>
      <c r="B493" s="31" t="str">
        <f>IF(_xll.TM1RPTELISCONSOLIDATED($H$20,$H493),IF(_xll.TM1RPTELLEV($H$20,$H493)&lt;=5,_xll.TM1RPTELLEV($H$20,$H493),"Default"),"Leaf")</f>
        <v>Leaf</v>
      </c>
      <c r="C493" s="26" t="s">
        <v>12</v>
      </c>
      <c r="D493" s="24" t="str">
        <f>_xll.DBRW("TM1-S1_DEV:}ElementAttributes_SP_SKU",$F493,D$1)</f>
        <v>Primary</v>
      </c>
      <c r="E493" s="24" t="str">
        <f>_xll.DBRW("TM1-S1_DEV:}ElementAttributes_SP_SKU",$F493,E$1)</f>
        <v>PRODUCE</v>
      </c>
      <c r="F493" s="26" t="s">
        <v>133</v>
      </c>
      <c r="G493" s="26" t="s">
        <v>1068</v>
      </c>
      <c r="H493" s="26" t="s">
        <v>2765</v>
      </c>
      <c r="I493" s="54">
        <f>_xll.DBRW($A$1,$F$14,$F$15,$C493,$A$2,$F493,$G493,$H493,I$1)</f>
        <v>25</v>
      </c>
      <c r="J493" s="25">
        <f>_xll.DBRW($A$1,$F$14,$F$15,$C493,$A$2,$F493,$G493,$H493,J$19)</f>
        <v>61</v>
      </c>
    </row>
    <row r="494" spans="1:10" s="23" customFormat="1" outlineLevel="1" thickBot="1" x14ac:dyDescent="0.3">
      <c r="A494" s="44"/>
      <c r="B494" s="31" t="str">
        <f>IF(_xll.TM1RPTELISCONSOLIDATED($H$20,$H494),IF(_xll.TM1RPTELLEV($H$20,$H494)&lt;=5,_xll.TM1RPTELLEV($H$20,$H494),"Default"),"Leaf")</f>
        <v>Leaf</v>
      </c>
      <c r="C494" s="26" t="s">
        <v>12</v>
      </c>
      <c r="D494" s="24" t="str">
        <f>_xll.DBRW("TM1-S1_DEV:}ElementAttributes_SP_SKU",$F494,D$1)</f>
        <v>Primary</v>
      </c>
      <c r="E494" s="24" t="str">
        <f>_xll.DBRW("TM1-S1_DEV:}ElementAttributes_SP_SKU",$F494,E$1)</f>
        <v>PRODUCE</v>
      </c>
      <c r="F494" s="26" t="s">
        <v>134</v>
      </c>
      <c r="G494" s="26" t="s">
        <v>1069</v>
      </c>
      <c r="H494" s="26" t="s">
        <v>2765</v>
      </c>
      <c r="I494" s="54">
        <f>_xll.DBRW($A$1,$F$14,$F$15,$C494,$A$2,$F494,$G494,$H494,I$1)</f>
        <v>20</v>
      </c>
      <c r="J494" s="25">
        <f>_xll.DBRW($A$1,$F$14,$F$15,$C494,$A$2,$F494,$G494,$H494,J$19)</f>
        <v>50</v>
      </c>
    </row>
    <row r="495" spans="1:10" s="23" customFormat="1" outlineLevel="1" thickBot="1" x14ac:dyDescent="0.3">
      <c r="A495" s="44"/>
      <c r="B495" s="31" t="str">
        <f>IF(_xll.TM1RPTELISCONSOLIDATED($H$20,$H495),IF(_xll.TM1RPTELLEV($H$20,$H495)&lt;=5,_xll.TM1RPTELLEV($H$20,$H495),"Default"),"Leaf")</f>
        <v>Leaf</v>
      </c>
      <c r="C495" s="26" t="s">
        <v>12</v>
      </c>
      <c r="D495" s="24" t="str">
        <f>_xll.DBRW("TM1-S1_DEV:}ElementAttributes_SP_SKU",$F495,D$1)</f>
        <v>Primary</v>
      </c>
      <c r="E495" s="24" t="str">
        <f>_xll.DBRW("TM1-S1_DEV:}ElementAttributes_SP_SKU",$F495,E$1)</f>
        <v>PRODUCE</v>
      </c>
      <c r="F495" s="26" t="s">
        <v>135</v>
      </c>
      <c r="G495" s="26" t="s">
        <v>1070</v>
      </c>
      <c r="H495" s="26" t="s">
        <v>2765</v>
      </c>
      <c r="I495" s="54">
        <f>_xll.DBRW($A$1,$F$14,$F$15,$C495,$A$2,$F495,$G495,$H495,I$1)</f>
        <v>52</v>
      </c>
      <c r="J495" s="25">
        <f>_xll.DBRW($A$1,$F$14,$F$15,$C495,$A$2,$F495,$G495,$H495,J$19)</f>
        <v>142</v>
      </c>
    </row>
    <row r="496" spans="1:10" s="23" customFormat="1" outlineLevel="1" thickBot="1" x14ac:dyDescent="0.3">
      <c r="A496" s="44"/>
      <c r="B496" s="31" t="str">
        <f>IF(_xll.TM1RPTELISCONSOLIDATED($H$20,$H496),IF(_xll.TM1RPTELLEV($H$20,$H496)&lt;=5,_xll.TM1RPTELLEV($H$20,$H496),"Default"),"Leaf")</f>
        <v>Leaf</v>
      </c>
      <c r="C496" s="26" t="s">
        <v>12</v>
      </c>
      <c r="D496" s="24" t="str">
        <f>_xll.DBRW("TM1-S1_DEV:}ElementAttributes_SP_SKU",$F496,D$1)</f>
        <v>Primary</v>
      </c>
      <c r="E496" s="24" t="str">
        <f>_xll.DBRW("TM1-S1_DEV:}ElementAttributes_SP_SKU",$F496,E$1)</f>
        <v>PRODUCE</v>
      </c>
      <c r="F496" s="26" t="s">
        <v>136</v>
      </c>
      <c r="G496" s="26" t="s">
        <v>1071</v>
      </c>
      <c r="H496" s="26" t="s">
        <v>2765</v>
      </c>
      <c r="I496" s="54">
        <f>_xll.DBRW($A$1,$F$14,$F$15,$C496,$A$2,$F496,$G496,$H496,I$1)</f>
        <v>147</v>
      </c>
      <c r="J496" s="25">
        <f>_xll.DBRW($A$1,$F$14,$F$15,$C496,$A$2,$F496,$G496,$H496,J$19)</f>
        <v>247</v>
      </c>
    </row>
    <row r="497" spans="1:10" s="23" customFormat="1" outlineLevel="1" thickBot="1" x14ac:dyDescent="0.3">
      <c r="A497" s="44"/>
      <c r="B497" s="31" t="str">
        <f>IF(_xll.TM1RPTELISCONSOLIDATED($H$20,$H497),IF(_xll.TM1RPTELLEV($H$20,$H497)&lt;=5,_xll.TM1RPTELLEV($H$20,$H497),"Default"),"Leaf")</f>
        <v>Leaf</v>
      </c>
      <c r="C497" s="26" t="s">
        <v>12</v>
      </c>
      <c r="D497" s="24" t="str">
        <f>_xll.DBRW("TM1-S1_DEV:}ElementAttributes_SP_SKU",$F497,D$1)</f>
        <v>Primary</v>
      </c>
      <c r="E497" s="24" t="str">
        <f>_xll.DBRW("TM1-S1_DEV:}ElementAttributes_SP_SKU",$F497,E$1)</f>
        <v>PRODUCE</v>
      </c>
      <c r="F497" s="26" t="s">
        <v>137</v>
      </c>
      <c r="G497" s="26" t="s">
        <v>1072</v>
      </c>
      <c r="H497" s="26" t="s">
        <v>2765</v>
      </c>
      <c r="I497" s="54">
        <f>_xll.DBRW($A$1,$F$14,$F$15,$C497,$A$2,$F497,$G497,$H497,I$1)</f>
        <v>44</v>
      </c>
      <c r="J497" s="25">
        <f>_xll.DBRW($A$1,$F$14,$F$15,$C497,$A$2,$F497,$G497,$H497,J$19)</f>
        <v>104</v>
      </c>
    </row>
    <row r="498" spans="1:10" s="23" customFormat="1" outlineLevel="1" thickBot="1" x14ac:dyDescent="0.3">
      <c r="A498" s="44"/>
      <c r="B498" s="31" t="str">
        <f>IF(_xll.TM1RPTELISCONSOLIDATED($H$20,$H498),IF(_xll.TM1RPTELLEV($H$20,$H498)&lt;=5,_xll.TM1RPTELLEV($H$20,$H498),"Default"),"Leaf")</f>
        <v>Leaf</v>
      </c>
      <c r="C498" s="26" t="s">
        <v>12</v>
      </c>
      <c r="D498" s="24" t="str">
        <f>_xll.DBRW("TM1-S1_DEV:}ElementAttributes_SP_SKU",$F498,D$1)</f>
        <v>Primary</v>
      </c>
      <c r="E498" s="24" t="str">
        <f>_xll.DBRW("TM1-S1_DEV:}ElementAttributes_SP_SKU",$F498,E$1)</f>
        <v>LID</v>
      </c>
      <c r="F498" s="26" t="s">
        <v>138</v>
      </c>
      <c r="G498" s="26" t="s">
        <v>1073</v>
      </c>
      <c r="H498" s="26" t="s">
        <v>2757</v>
      </c>
      <c r="I498" s="54">
        <f>_xll.DBRW($A$1,$F$14,$F$15,$C498,$A$2,$F498,$G498,$H498,I$1)</f>
        <v>29</v>
      </c>
      <c r="J498" s="25">
        <f>_xll.DBRW($A$1,$F$14,$F$15,$C498,$A$2,$F498,$G498,$H498,J$19)</f>
        <v>29</v>
      </c>
    </row>
    <row r="499" spans="1:10" s="23" customFormat="1" outlineLevel="1" thickBot="1" x14ac:dyDescent="0.3">
      <c r="A499" s="44"/>
      <c r="B499" s="31" t="str">
        <f>IF(_xll.TM1RPTELISCONSOLIDATED($H$20,$H499),IF(_xll.TM1RPTELLEV($H$20,$H499)&lt;=5,_xll.TM1RPTELLEV($H$20,$H499),"Default"),"Leaf")</f>
        <v>Leaf</v>
      </c>
      <c r="C499" s="26" t="s">
        <v>12</v>
      </c>
      <c r="D499" s="24" t="str">
        <f>_xll.DBRW("TM1-S1_DEV:}ElementAttributes_SP_SKU",$F499,D$1)</f>
        <v>Primary</v>
      </c>
      <c r="E499" s="24" t="str">
        <f>_xll.DBRW("TM1-S1_DEV:}ElementAttributes_SP_SKU",$F499,E$1)</f>
        <v>PLATE</v>
      </c>
      <c r="F499" s="26" t="s">
        <v>139</v>
      </c>
      <c r="G499" s="26" t="s">
        <v>1074</v>
      </c>
      <c r="H499" s="26" t="s">
        <v>2773</v>
      </c>
      <c r="I499" s="54">
        <f>_xll.DBRW($A$1,$F$14,$F$15,$C499,$A$2,$F499,$G499,$H499,I$1)</f>
        <v>162</v>
      </c>
      <c r="J499" s="25">
        <f>_xll.DBRW($A$1,$F$14,$F$15,$C499,$A$2,$F499,$G499,$H499,J$19)</f>
        <v>162</v>
      </c>
    </row>
    <row r="500" spans="1:10" s="23" customFormat="1" outlineLevel="1" thickBot="1" x14ac:dyDescent="0.3">
      <c r="A500" s="44"/>
      <c r="B500" s="31" t="str">
        <f>IF(_xll.TM1RPTELISCONSOLIDATED($H$20,$H500),IF(_xll.TM1RPTELLEV($H$20,$H500)&lt;=5,_xll.TM1RPTELLEV($H$20,$H500),"Default"),"Leaf")</f>
        <v>Leaf</v>
      </c>
      <c r="C500" s="26" t="s">
        <v>12</v>
      </c>
      <c r="D500" s="24" t="str">
        <f>_xll.DBRW("TM1-S1_DEV:}ElementAttributes_SP_SKU",$F500,D$1)</f>
        <v>Primary</v>
      </c>
      <c r="E500" s="24" t="str">
        <f>_xll.DBRW("TM1-S1_DEV:}ElementAttributes_SP_SKU",$F500,E$1)</f>
        <v>BOWL</v>
      </c>
      <c r="F500" s="26" t="s">
        <v>140</v>
      </c>
      <c r="G500" s="26" t="s">
        <v>1075</v>
      </c>
      <c r="H500" s="26" t="s">
        <v>2773</v>
      </c>
      <c r="I500" s="54">
        <f>_xll.DBRW($A$1,$F$14,$F$15,$C500,$A$2,$F500,$G500,$H500,I$1)</f>
        <v>64</v>
      </c>
      <c r="J500" s="25">
        <f>_xll.DBRW($A$1,$F$14,$F$15,$C500,$A$2,$F500,$G500,$H500,J$19)</f>
        <v>64</v>
      </c>
    </row>
    <row r="501" spans="1:10" s="23" customFormat="1" outlineLevel="1" thickBot="1" x14ac:dyDescent="0.3">
      <c r="A501" s="44"/>
      <c r="B501" s="31" t="str">
        <f>IF(_xll.TM1RPTELISCONSOLIDATED($H$20,$H501),IF(_xll.TM1RPTELLEV($H$20,$H501)&lt;=5,_xll.TM1RPTELLEV($H$20,$H501),"Default"),"Leaf")</f>
        <v>Leaf</v>
      </c>
      <c r="C501" s="26" t="s">
        <v>12</v>
      </c>
      <c r="D501" s="24" t="str">
        <f>_xll.DBRW("TM1-S1_DEV:}ElementAttributes_SP_SKU",$F501,D$1)</f>
        <v>Primary</v>
      </c>
      <c r="E501" s="24" t="str">
        <f>_xll.DBRW("TM1-S1_DEV:}ElementAttributes_SP_SKU",$F501,E$1)</f>
        <v>BOWL</v>
      </c>
      <c r="F501" s="26" t="s">
        <v>141</v>
      </c>
      <c r="G501" s="26" t="s">
        <v>1076</v>
      </c>
      <c r="H501" s="26" t="s">
        <v>2773</v>
      </c>
      <c r="I501" s="54">
        <f>_xll.DBRW($A$1,$F$14,$F$15,$C501,$A$2,$F501,$G501,$H501,I$1)</f>
        <v>80</v>
      </c>
      <c r="J501" s="25">
        <f>_xll.DBRW($A$1,$F$14,$F$15,$C501,$A$2,$F501,$G501,$H501,J$19)</f>
        <v>80</v>
      </c>
    </row>
    <row r="502" spans="1:10" s="23" customFormat="1" outlineLevel="1" thickBot="1" x14ac:dyDescent="0.3">
      <c r="A502" s="44"/>
      <c r="B502" s="31" t="str">
        <f>IF(_xll.TM1RPTELISCONSOLIDATED($H$20,$H502),IF(_xll.TM1RPTELLEV($H$20,$H502)&lt;=5,_xll.TM1RPTELLEV($H$20,$H502),"Default"),"Leaf")</f>
        <v>Leaf</v>
      </c>
      <c r="C502" s="26" t="s">
        <v>12</v>
      </c>
      <c r="D502" s="24" t="str">
        <f>_xll.DBRW("TM1-S1_DEV:}ElementAttributes_SP_SKU",$F502,D$1)</f>
        <v>Primary</v>
      </c>
      <c r="E502" s="24" t="str">
        <f>_xll.DBRW("TM1-S1_DEV:}ElementAttributes_SP_SKU",$F502,E$1)</f>
        <v>UTENSIL</v>
      </c>
      <c r="F502" s="26" t="s">
        <v>142</v>
      </c>
      <c r="G502" s="26" t="s">
        <v>1077</v>
      </c>
      <c r="H502" s="26" t="s">
        <v>2773</v>
      </c>
      <c r="I502" s="54">
        <f>_xll.DBRW($A$1,$F$14,$F$15,$C502,$A$2,$F502,$G502,$H502,I$1)</f>
        <v>22</v>
      </c>
      <c r="J502" s="25">
        <f>_xll.DBRW($A$1,$F$14,$F$15,$C502,$A$2,$F502,$G502,$H502,J$19)</f>
        <v>22</v>
      </c>
    </row>
    <row r="503" spans="1:10" s="23" customFormat="1" outlineLevel="1" thickBot="1" x14ac:dyDescent="0.3">
      <c r="A503" s="44"/>
      <c r="B503" s="31" t="str">
        <f>IF(_xll.TM1RPTELISCONSOLIDATED($H$20,$H503),IF(_xll.TM1RPTELLEV($H$20,$H503)&lt;=5,_xll.TM1RPTELLEV($H$20,$H503),"Default"),"Leaf")</f>
        <v>Leaf</v>
      </c>
      <c r="C503" s="26" t="s">
        <v>12</v>
      </c>
      <c r="D503" s="24" t="str">
        <f>_xll.DBRW("TM1-S1_DEV:}ElementAttributes_SP_SKU",$F503,D$1)</f>
        <v>Primary</v>
      </c>
      <c r="E503" s="24" t="str">
        <f>_xll.DBRW("TM1-S1_DEV:}ElementAttributes_SP_SKU",$F503,E$1)</f>
        <v>UTENSIL</v>
      </c>
      <c r="F503" s="26" t="s">
        <v>143</v>
      </c>
      <c r="G503" s="26" t="s">
        <v>1078</v>
      </c>
      <c r="H503" s="26" t="s">
        <v>2773</v>
      </c>
      <c r="I503" s="54">
        <f>_xll.DBRW($A$1,$F$14,$F$15,$C503,$A$2,$F503,$G503,$H503,I$1)</f>
        <v>121</v>
      </c>
      <c r="J503" s="25">
        <f>_xll.DBRW($A$1,$F$14,$F$15,$C503,$A$2,$F503,$G503,$H503,J$19)</f>
        <v>121</v>
      </c>
    </row>
    <row r="504" spans="1:10" s="23" customFormat="1" outlineLevel="1" thickBot="1" x14ac:dyDescent="0.3">
      <c r="A504" s="44"/>
      <c r="B504" s="31" t="str">
        <f>IF(_xll.TM1RPTELISCONSOLIDATED($H$20,$H504),IF(_xll.TM1RPTELLEV($H$20,$H504)&lt;=5,_xll.TM1RPTELLEV($H$20,$H504),"Default"),"Leaf")</f>
        <v>Leaf</v>
      </c>
      <c r="C504" s="26" t="s">
        <v>12</v>
      </c>
      <c r="D504" s="24" t="str">
        <f>_xll.DBRW("TM1-S1_DEV:}ElementAttributes_SP_SKU",$F504,D$1)</f>
        <v>Primary</v>
      </c>
      <c r="E504" s="24" t="str">
        <f>_xll.DBRW("TM1-S1_DEV:}ElementAttributes_SP_SKU",$F504,E$1)</f>
        <v>PAPER</v>
      </c>
      <c r="F504" s="26" t="s">
        <v>144</v>
      </c>
      <c r="G504" s="26" t="s">
        <v>1079</v>
      </c>
      <c r="H504" s="26" t="s">
        <v>2774</v>
      </c>
      <c r="I504" s="54">
        <f>_xll.DBRW($A$1,$F$14,$F$15,$C504,$A$2,$F504,$G504,$H504,I$1)</f>
        <v>9</v>
      </c>
      <c r="J504" s="25">
        <f>_xll.DBRW($A$1,$F$14,$F$15,$C504,$A$2,$F504,$G504,$H504,J$19)</f>
        <v>9</v>
      </c>
    </row>
    <row r="505" spans="1:10" s="23" customFormat="1" outlineLevel="1" thickBot="1" x14ac:dyDescent="0.3">
      <c r="A505" s="44"/>
      <c r="B505" s="31" t="str">
        <f>IF(_xll.TM1RPTELISCONSOLIDATED($H$20,$H505),IF(_xll.TM1RPTELLEV($H$20,$H505)&lt;=5,_xll.TM1RPTELLEV($H$20,$H505),"Default"),"Leaf")</f>
        <v>Leaf</v>
      </c>
      <c r="C505" s="26" t="s">
        <v>12</v>
      </c>
      <c r="D505" s="24" t="str">
        <f>_xll.DBRW("TM1-S1_DEV:}ElementAttributes_SP_SKU",$F505,D$1)</f>
        <v>Primary</v>
      </c>
      <c r="E505" s="24" t="str">
        <f>_xll.DBRW("TM1-S1_DEV:}ElementAttributes_SP_SKU",$F505,E$1)</f>
        <v>PAPER</v>
      </c>
      <c r="F505" s="26" t="s">
        <v>145</v>
      </c>
      <c r="G505" s="26" t="s">
        <v>1080</v>
      </c>
      <c r="H505" s="26" t="s">
        <v>2774</v>
      </c>
      <c r="I505" s="54">
        <f>_xll.DBRW($A$1,$F$14,$F$15,$C505,$A$2,$F505,$G505,$H505,I$1)</f>
        <v>6</v>
      </c>
      <c r="J505" s="25">
        <f>_xll.DBRW($A$1,$F$14,$F$15,$C505,$A$2,$F505,$G505,$H505,J$19)</f>
        <v>6</v>
      </c>
    </row>
    <row r="506" spans="1:10" s="23" customFormat="1" outlineLevel="1" thickBot="1" x14ac:dyDescent="0.3">
      <c r="A506" s="44"/>
      <c r="B506" s="31" t="str">
        <f>IF(_xll.TM1RPTELISCONSOLIDATED($H$20,$H506),IF(_xll.TM1RPTELLEV($H$20,$H506)&lt;=5,_xll.TM1RPTELLEV($H$20,$H506),"Default"),"Leaf")</f>
        <v>Leaf</v>
      </c>
      <c r="C506" s="26" t="s">
        <v>12</v>
      </c>
      <c r="D506" s="24" t="str">
        <f>_xll.DBRW("TM1-S1_DEV:}ElementAttributes_SP_SKU",$F506,D$1)</f>
        <v>Primary</v>
      </c>
      <c r="E506" s="24" t="str">
        <f>_xll.DBRW("TM1-S1_DEV:}ElementAttributes_SP_SKU",$F506,E$1)</f>
        <v>INGREDIENT</v>
      </c>
      <c r="F506" s="26" t="s">
        <v>146</v>
      </c>
      <c r="G506" s="26" t="s">
        <v>1081</v>
      </c>
      <c r="H506" s="26" t="s">
        <v>2718</v>
      </c>
      <c r="I506" s="54">
        <f>_xll.DBRW($A$1,$F$14,$F$15,$C506,$A$2,$F506,$G506,$H506,I$1)</f>
        <v>12</v>
      </c>
      <c r="J506" s="25">
        <f>_xll.DBRW($A$1,$F$14,$F$15,$C506,$A$2,$F506,$G506,$H506,J$19)</f>
        <v>12</v>
      </c>
    </row>
    <row r="507" spans="1:10" s="23" customFormat="1" outlineLevel="1" thickBot="1" x14ac:dyDescent="0.3">
      <c r="A507" s="44"/>
      <c r="B507" s="31" t="str">
        <f>IF(_xll.TM1RPTELISCONSOLIDATED($H$20,$H507),IF(_xll.TM1RPTELLEV($H$20,$H507)&lt;=5,_xll.TM1RPTELLEV($H$20,$H507),"Default"),"Leaf")</f>
        <v>Leaf</v>
      </c>
      <c r="C507" s="26" t="s">
        <v>12</v>
      </c>
      <c r="D507" s="24" t="str">
        <f>_xll.DBRW("TM1-S1_DEV:}ElementAttributes_SP_SKU",$F507,D$1)</f>
        <v>Primary</v>
      </c>
      <c r="E507" s="24" t="str">
        <f>_xll.DBRW("TM1-S1_DEV:}ElementAttributes_SP_SKU",$F507,E$1)</f>
        <v>DRESSING</v>
      </c>
      <c r="F507" s="26" t="s">
        <v>147</v>
      </c>
      <c r="G507" s="26" t="s">
        <v>1082</v>
      </c>
      <c r="H507" s="26" t="s">
        <v>2743</v>
      </c>
      <c r="I507" s="54">
        <f>_xll.DBRW($A$1,$F$14,$F$15,$C507,$A$2,$F507,$G507,$H507,I$1)</f>
        <v>7</v>
      </c>
      <c r="J507" s="25">
        <f>_xll.DBRW($A$1,$F$14,$F$15,$C507,$A$2,$F507,$G507,$H507,J$19)</f>
        <v>7</v>
      </c>
    </row>
    <row r="508" spans="1:10" s="23" customFormat="1" outlineLevel="1" thickBot="1" x14ac:dyDescent="0.3">
      <c r="A508" s="44"/>
      <c r="B508" s="31" t="str">
        <f>IF(_xll.TM1RPTELISCONSOLIDATED($H$20,$H508),IF(_xll.TM1RPTELLEV($H$20,$H508)&lt;=5,_xll.TM1RPTELLEV($H$20,$H508),"Default"),"Leaf")</f>
        <v>Leaf</v>
      </c>
      <c r="C508" s="26" t="s">
        <v>12</v>
      </c>
      <c r="D508" s="24" t="str">
        <f>_xll.DBRW("TM1-S1_DEV:}ElementAttributes_SP_SKU",$F508,D$1)</f>
        <v>Primary</v>
      </c>
      <c r="E508" s="24" t="str">
        <f>_xll.DBRW("TM1-S1_DEV:}ElementAttributes_SP_SKU",$F508,E$1)</f>
        <v>BAG</v>
      </c>
      <c r="F508" s="26" t="s">
        <v>148</v>
      </c>
      <c r="G508" s="26" t="s">
        <v>1083</v>
      </c>
      <c r="H508" s="26" t="s">
        <v>2775</v>
      </c>
      <c r="I508" s="54">
        <f>_xll.DBRW($A$1,$F$14,$F$15,$C508,$A$2,$F508,$G508,$H508,I$1)</f>
        <v>16</v>
      </c>
      <c r="J508" s="25">
        <f>_xll.DBRW($A$1,$F$14,$F$15,$C508,$A$2,$F508,$G508,$H508,J$19)</f>
        <v>118</v>
      </c>
    </row>
    <row r="509" spans="1:10" s="23" customFormat="1" outlineLevel="1" thickBot="1" x14ac:dyDescent="0.3">
      <c r="A509" s="44"/>
      <c r="B509" s="31" t="str">
        <f>IF(_xll.TM1RPTELISCONSOLIDATED($H$20,$H509),IF(_xll.TM1RPTELLEV($H$20,$H509)&lt;=5,_xll.TM1RPTELLEV($H$20,$H509),"Default"),"Leaf")</f>
        <v>Leaf</v>
      </c>
      <c r="C509" s="26" t="s">
        <v>12</v>
      </c>
      <c r="D509" s="24" t="str">
        <f>_xll.DBRW("TM1-S1_DEV:}ElementAttributes_SP_SKU",$F509,D$1)</f>
        <v>Primary</v>
      </c>
      <c r="E509" s="24" t="str">
        <f>_xll.DBRW("TM1-S1_DEV:}ElementAttributes_SP_SKU",$F509,E$1)</f>
        <v>PLATE</v>
      </c>
      <c r="F509" s="26" t="s">
        <v>149</v>
      </c>
      <c r="G509" s="26" t="s">
        <v>1084</v>
      </c>
      <c r="H509" s="26" t="s">
        <v>2776</v>
      </c>
      <c r="I509" s="54">
        <f>_xll.DBRW($A$1,$F$14,$F$15,$C509,$A$2,$F509,$G509,$H509,I$1)</f>
        <v>6</v>
      </c>
      <c r="J509" s="25">
        <f>_xll.DBRW($A$1,$F$14,$F$15,$C509,$A$2,$F509,$G509,$H509,J$19)</f>
        <v>6</v>
      </c>
    </row>
    <row r="510" spans="1:10" s="23" customFormat="1" outlineLevel="1" thickBot="1" x14ac:dyDescent="0.3">
      <c r="A510" s="44"/>
      <c r="B510" s="31" t="str">
        <f>IF(_xll.TM1RPTELISCONSOLIDATED($H$20,$H510),IF(_xll.TM1RPTELLEV($H$20,$H510)&lt;=5,_xll.TM1RPTELLEV($H$20,$H510),"Default"),"Leaf")</f>
        <v>Leaf</v>
      </c>
      <c r="C510" s="26" t="s">
        <v>12</v>
      </c>
      <c r="D510" s="24" t="str">
        <f>_xll.DBRW("TM1-S1_DEV:}ElementAttributes_SP_SKU",$F510,D$1)</f>
        <v>Primary</v>
      </c>
      <c r="E510" s="24" t="str">
        <f>_xll.DBRW("TM1-S1_DEV:}ElementAttributes_SP_SKU",$F510,E$1)</f>
        <v>CHEESE</v>
      </c>
      <c r="F510" s="26" t="s">
        <v>150</v>
      </c>
      <c r="G510" s="26" t="s">
        <v>1085</v>
      </c>
      <c r="H510" s="26" t="s">
        <v>2777</v>
      </c>
      <c r="I510" s="54">
        <f>_xll.DBRW($A$1,$F$14,$F$15,$C510,$A$2,$F510,$G510,$H510,I$1)</f>
        <v>25</v>
      </c>
      <c r="J510" s="25">
        <f>_xll.DBRW($A$1,$F$14,$F$15,$C510,$A$2,$F510,$G510,$H510,J$19)</f>
        <v>25</v>
      </c>
    </row>
    <row r="511" spans="1:10" s="23" customFormat="1" outlineLevel="1" thickBot="1" x14ac:dyDescent="0.3">
      <c r="A511" s="44"/>
      <c r="B511" s="31" t="str">
        <f>IF(_xll.TM1RPTELISCONSOLIDATED($H$20,$H511),IF(_xll.TM1RPTELLEV($H$20,$H511)&lt;=5,_xll.TM1RPTELLEV($H$20,$H511),"Default"),"Leaf")</f>
        <v>Leaf</v>
      </c>
      <c r="C511" s="26" t="s">
        <v>12</v>
      </c>
      <c r="D511" s="24" t="str">
        <f>_xll.DBRW("TM1-S1_DEV:}ElementAttributes_SP_SKU",$F511,D$1)</f>
        <v>Primary</v>
      </c>
      <c r="E511" s="24" t="str">
        <f>_xll.DBRW("TM1-S1_DEV:}ElementAttributes_SP_SKU",$F511,E$1)</f>
        <v>PAPER</v>
      </c>
      <c r="F511" s="26" t="s">
        <v>151</v>
      </c>
      <c r="G511" s="26" t="s">
        <v>1086</v>
      </c>
      <c r="H511" s="26" t="s">
        <v>2778</v>
      </c>
      <c r="I511" s="54">
        <f>_xll.DBRW($A$1,$F$14,$F$15,$C511,$A$2,$F511,$G511,$H511,I$1)</f>
        <v>11</v>
      </c>
      <c r="J511" s="25">
        <f>_xll.DBRW($A$1,$F$14,$F$15,$C511,$A$2,$F511,$G511,$H511,J$19)</f>
        <v>11</v>
      </c>
    </row>
    <row r="512" spans="1:10" s="23" customFormat="1" outlineLevel="1" thickBot="1" x14ac:dyDescent="0.3">
      <c r="A512" s="44"/>
      <c r="B512" s="31" t="str">
        <f>IF(_xll.TM1RPTELISCONSOLIDATED($H$20,$H512),IF(_xll.TM1RPTELLEV($H$20,$H512)&lt;=5,_xll.TM1RPTELLEV($H$20,$H512),"Default"),"Leaf")</f>
        <v>Leaf</v>
      </c>
      <c r="C512" s="26" t="s">
        <v>12</v>
      </c>
      <c r="D512" s="24" t="str">
        <f>_xll.DBRW("TM1-S1_DEV:}ElementAttributes_SP_SKU",$F512,D$1)</f>
        <v>Primary</v>
      </c>
      <c r="E512" s="24" t="str">
        <f>_xll.DBRW("TM1-S1_DEV:}ElementAttributes_SP_SKU",$F512,E$1)</f>
        <v>CONTAINER</v>
      </c>
      <c r="F512" s="26" t="s">
        <v>152</v>
      </c>
      <c r="G512" s="26" t="s">
        <v>1087</v>
      </c>
      <c r="H512" s="26" t="s">
        <v>2752</v>
      </c>
      <c r="I512" s="54">
        <f>_xll.DBRW($A$1,$F$14,$F$15,$C512,$A$2,$F512,$G512,$H512,I$1)</f>
        <v>36</v>
      </c>
      <c r="J512" s="25">
        <f>_xll.DBRW($A$1,$F$14,$F$15,$C512,$A$2,$F512,$G512,$H512,J$19)</f>
        <v>36</v>
      </c>
    </row>
    <row r="513" spans="1:10" s="23" customFormat="1" outlineLevel="1" thickBot="1" x14ac:dyDescent="0.3">
      <c r="A513" s="44"/>
      <c r="B513" s="31" t="str">
        <f>IF(_xll.TM1RPTELISCONSOLIDATED($H$20,$H513),IF(_xll.TM1RPTELLEV($H$20,$H513)&lt;=5,_xll.TM1RPTELLEV($H$20,$H513),"Default"),"Leaf")</f>
        <v>Leaf</v>
      </c>
      <c r="C513" s="26" t="s">
        <v>12</v>
      </c>
      <c r="D513" s="24" t="str">
        <f>_xll.DBRW("TM1-S1_DEV:}ElementAttributes_SP_SKU",$F513,D$1)</f>
        <v>Primary</v>
      </c>
      <c r="E513" s="24" t="str">
        <f>_xll.DBRW("TM1-S1_DEV:}ElementAttributes_SP_SKU",$F513,E$1)</f>
        <v>TRAY</v>
      </c>
      <c r="F513" s="26" t="s">
        <v>153</v>
      </c>
      <c r="G513" s="26" t="s">
        <v>1088</v>
      </c>
      <c r="H513" s="26" t="s">
        <v>2708</v>
      </c>
      <c r="I513" s="54">
        <f>_xll.DBRW($A$1,$F$14,$F$15,$C513,$A$2,$F513,$G513,$H513,I$1)</f>
        <v>35</v>
      </c>
      <c r="J513" s="25">
        <f>_xll.DBRW($A$1,$F$14,$F$15,$C513,$A$2,$F513,$G513,$H513,J$19)</f>
        <v>35</v>
      </c>
    </row>
    <row r="514" spans="1:10" s="23" customFormat="1" outlineLevel="1" thickBot="1" x14ac:dyDescent="0.3">
      <c r="A514" s="44"/>
      <c r="B514" s="31" t="str">
        <f>IF(_xll.TM1RPTELISCONSOLIDATED($H$20,$H514),IF(_xll.TM1RPTELLEV($H$20,$H514)&lt;=5,_xll.TM1RPTELLEV($H$20,$H514),"Default"),"Leaf")</f>
        <v>Leaf</v>
      </c>
      <c r="C514" s="26" t="s">
        <v>12</v>
      </c>
      <c r="D514" s="24" t="str">
        <f>_xll.DBRW("TM1-S1_DEV:}ElementAttributes_SP_SKU",$F514,D$1)</f>
        <v>Primary</v>
      </c>
      <c r="E514" s="24" t="str">
        <f>_xll.DBRW("TM1-S1_DEV:}ElementAttributes_SP_SKU",$F514,E$1)</f>
        <v>TRAY</v>
      </c>
      <c r="F514" s="26" t="s">
        <v>154</v>
      </c>
      <c r="G514" s="26" t="s">
        <v>1089</v>
      </c>
      <c r="H514" s="26" t="s">
        <v>2708</v>
      </c>
      <c r="I514" s="54">
        <f>_xll.DBRW($A$1,$F$14,$F$15,$C514,$A$2,$F514,$G514,$H514,I$1)</f>
        <v>57</v>
      </c>
      <c r="J514" s="25">
        <f>_xll.DBRW($A$1,$F$14,$F$15,$C514,$A$2,$F514,$G514,$H514,J$19)</f>
        <v>57</v>
      </c>
    </row>
    <row r="515" spans="1:10" s="23" customFormat="1" outlineLevel="1" thickBot="1" x14ac:dyDescent="0.3">
      <c r="A515" s="44"/>
      <c r="B515" s="31" t="str">
        <f>IF(_xll.TM1RPTELISCONSOLIDATED($H$20,$H515),IF(_xll.TM1RPTELLEV($H$20,$H515)&lt;=5,_xll.TM1RPTELLEV($H$20,$H515),"Default"),"Leaf")</f>
        <v>Leaf</v>
      </c>
      <c r="C515" s="26" t="s">
        <v>12</v>
      </c>
      <c r="D515" s="24" t="str">
        <f>_xll.DBRW("TM1-S1_DEV:}ElementAttributes_SP_SKU",$F515,D$1)</f>
        <v>Primary</v>
      </c>
      <c r="E515" s="24" t="str">
        <f>_xll.DBRW("TM1-S1_DEV:}ElementAttributes_SP_SKU",$F515,E$1)</f>
        <v>TRAY</v>
      </c>
      <c r="F515" s="26" t="s">
        <v>155</v>
      </c>
      <c r="G515" s="26" t="s">
        <v>1090</v>
      </c>
      <c r="H515" s="26" t="s">
        <v>2708</v>
      </c>
      <c r="I515" s="54">
        <f>_xll.DBRW($A$1,$F$14,$F$15,$C515,$A$2,$F515,$G515,$H515,I$1)</f>
        <v>40</v>
      </c>
      <c r="J515" s="25">
        <f>_xll.DBRW($A$1,$F$14,$F$15,$C515,$A$2,$F515,$G515,$H515,J$19)</f>
        <v>40</v>
      </c>
    </row>
    <row r="516" spans="1:10" s="23" customFormat="1" outlineLevel="1" thickBot="1" x14ac:dyDescent="0.3">
      <c r="A516" s="44"/>
      <c r="B516" s="31" t="str">
        <f>IF(_xll.TM1RPTELISCONSOLIDATED($H$20,$H516),IF(_xll.TM1RPTELLEV($H$20,$H516)&lt;=5,_xll.TM1RPTELLEV($H$20,$H516),"Default"),"Leaf")</f>
        <v>Leaf</v>
      </c>
      <c r="C516" s="26" t="s">
        <v>12</v>
      </c>
      <c r="D516" s="24" t="str">
        <f>_xll.DBRW("TM1-S1_DEV:}ElementAttributes_SP_SKU",$F516,D$1)</f>
        <v>Primary</v>
      </c>
      <c r="E516" s="24" t="str">
        <f>_xll.DBRW("TM1-S1_DEV:}ElementAttributes_SP_SKU",$F516,E$1)</f>
        <v>DRESSING</v>
      </c>
      <c r="F516" s="26" t="s">
        <v>156</v>
      </c>
      <c r="G516" s="26" t="s">
        <v>1091</v>
      </c>
      <c r="H516" s="26" t="s">
        <v>2743</v>
      </c>
      <c r="I516" s="54">
        <f>_xll.DBRW($A$1,$F$14,$F$15,$C516,$A$2,$F516,$G516,$H516,I$1)</f>
        <v>16</v>
      </c>
      <c r="J516" s="25">
        <f>_xll.DBRW($A$1,$F$14,$F$15,$C516,$A$2,$F516,$G516,$H516,J$19)</f>
        <v>16</v>
      </c>
    </row>
    <row r="517" spans="1:10" s="23" customFormat="1" outlineLevel="1" thickBot="1" x14ac:dyDescent="0.3">
      <c r="A517" s="44"/>
      <c r="B517" s="31" t="str">
        <f>IF(_xll.TM1RPTELISCONSOLIDATED($H$20,$H517),IF(_xll.TM1RPTELLEV($H$20,$H517)&lt;=5,_xll.TM1RPTELLEV($H$20,$H517),"Default"),"Leaf")</f>
        <v>Leaf</v>
      </c>
      <c r="C517" s="26" t="s">
        <v>12</v>
      </c>
      <c r="D517" s="24" t="str">
        <f>_xll.DBRW("TM1-S1_DEV:}ElementAttributes_SP_SKU",$F517,D$1)</f>
        <v>Secondary</v>
      </c>
      <c r="E517" s="24" t="str">
        <f>_xll.DBRW("TM1-S1_DEV:}ElementAttributes_SP_SKU",$F517,E$1)</f>
        <v>DRESSING</v>
      </c>
      <c r="F517" s="26" t="s">
        <v>157</v>
      </c>
      <c r="G517" s="26" t="s">
        <v>1092</v>
      </c>
      <c r="H517" s="26" t="s">
        <v>2720</v>
      </c>
      <c r="I517" s="54">
        <f>_xll.DBRW($A$1,$F$14,$F$15,$C517,$A$2,$F517,$G517,$H517,I$1)</f>
        <v>14</v>
      </c>
      <c r="J517" s="25">
        <f>_xll.DBRW($A$1,$F$14,$F$15,$C517,$A$2,$F517,$G517,$H517,J$19)</f>
        <v>14</v>
      </c>
    </row>
    <row r="518" spans="1:10" s="23" customFormat="1" outlineLevel="1" thickBot="1" x14ac:dyDescent="0.3">
      <c r="A518" s="44"/>
      <c r="B518" s="31" t="str">
        <f>IF(_xll.TM1RPTELISCONSOLIDATED($H$20,$H518),IF(_xll.TM1RPTELLEV($H$20,$H518)&lt;=5,_xll.TM1RPTELLEV($H$20,$H518),"Default"),"Leaf")</f>
        <v>Leaf</v>
      </c>
      <c r="C518" s="26" t="s">
        <v>12</v>
      </c>
      <c r="D518" s="24" t="str">
        <f>_xll.DBRW("TM1-S1_DEV:}ElementAttributes_SP_SKU",$F518,D$1)</f>
        <v>Secondary</v>
      </c>
      <c r="E518" s="24" t="str">
        <f>_xll.DBRW("TM1-S1_DEV:}ElementAttributes_SP_SKU",$F518,E$1)</f>
        <v>CONTAINER</v>
      </c>
      <c r="F518" s="26" t="s">
        <v>158</v>
      </c>
      <c r="G518" s="26" t="s">
        <v>1093</v>
      </c>
      <c r="H518" s="26" t="s">
        <v>2779</v>
      </c>
      <c r="I518" s="54">
        <f>_xll.DBRW($A$1,$F$14,$F$15,$C518,$A$2,$F518,$G518,$H518,I$1)</f>
        <v>22</v>
      </c>
      <c r="J518" s="25">
        <f>_xll.DBRW($A$1,$F$14,$F$15,$C518,$A$2,$F518,$G518,$H518,J$19)</f>
        <v>118</v>
      </c>
    </row>
    <row r="519" spans="1:10" s="23" customFormat="1" outlineLevel="1" thickBot="1" x14ac:dyDescent="0.3">
      <c r="A519" s="44"/>
      <c r="B519" s="31" t="str">
        <f>IF(_xll.TM1RPTELISCONSOLIDATED($H$20,$H519),IF(_xll.TM1RPTELLEV($H$20,$H519)&lt;=5,_xll.TM1RPTELLEV($H$20,$H519),"Default"),"Leaf")</f>
        <v>Leaf</v>
      </c>
      <c r="C519" s="26" t="s">
        <v>12</v>
      </c>
      <c r="D519" s="24" t="str">
        <f>_xll.DBRW("TM1-S1_DEV:}ElementAttributes_SP_SKU",$F519,D$1)</f>
        <v>Secondary</v>
      </c>
      <c r="E519" s="24" t="str">
        <f>_xll.DBRW("TM1-S1_DEV:}ElementAttributes_SP_SKU",$F519,E$1)</f>
        <v>GLOVES</v>
      </c>
      <c r="F519" s="26" t="s">
        <v>159</v>
      </c>
      <c r="G519" s="26" t="s">
        <v>1094</v>
      </c>
      <c r="H519" s="26" t="s">
        <v>2780</v>
      </c>
      <c r="I519" s="54">
        <f>_xll.DBRW($A$1,$F$14,$F$15,$C519,$A$2,$F519,$G519,$H519,I$1)</f>
        <v>465</v>
      </c>
      <c r="J519" s="25">
        <f>_xll.DBRW($A$1,$F$14,$F$15,$C519,$A$2,$F519,$G519,$H519,J$19)</f>
        <v>675</v>
      </c>
    </row>
    <row r="520" spans="1:10" s="23" customFormat="1" outlineLevel="1" thickBot="1" x14ac:dyDescent="0.3">
      <c r="A520" s="44"/>
      <c r="B520" s="31" t="str">
        <f>IF(_xll.TM1RPTELISCONSOLIDATED($H$20,$H520),IF(_xll.TM1RPTELLEV($H$20,$H520)&lt;=5,_xll.TM1RPTELLEV($H$20,$H520),"Default"),"Leaf")</f>
        <v>Leaf</v>
      </c>
      <c r="C520" s="26" t="s">
        <v>12</v>
      </c>
      <c r="D520" s="24" t="str">
        <f>_xll.DBRW("TM1-S1_DEV:}ElementAttributes_SP_SKU",$F520,D$1)</f>
        <v>Secondary</v>
      </c>
      <c r="E520" s="24" t="str">
        <f>_xll.DBRW("TM1-S1_DEV:}ElementAttributes_SP_SKU",$F520,E$1)</f>
        <v>CUP</v>
      </c>
      <c r="F520" s="26" t="s">
        <v>160</v>
      </c>
      <c r="G520" s="26" t="s">
        <v>1095</v>
      </c>
      <c r="H520" s="26" t="s">
        <v>2781</v>
      </c>
      <c r="I520" s="54">
        <f>_xll.DBRW($A$1,$F$14,$F$15,$C520,$A$2,$F520,$G520,$H520,I$1)</f>
        <v>38</v>
      </c>
      <c r="J520" s="25">
        <f>_xll.DBRW($A$1,$F$14,$F$15,$C520,$A$2,$F520,$G520,$H520,J$19)</f>
        <v>62</v>
      </c>
    </row>
    <row r="521" spans="1:10" s="23" customFormat="1" outlineLevel="1" thickBot="1" x14ac:dyDescent="0.3">
      <c r="A521" s="44"/>
      <c r="B521" s="31" t="str">
        <f>IF(_xll.TM1RPTELISCONSOLIDATED($H$20,$H521),IF(_xll.TM1RPTELLEV($H$20,$H521)&lt;=5,_xll.TM1RPTELLEV($H$20,$H521),"Default"),"Leaf")</f>
        <v>Leaf</v>
      </c>
      <c r="C521" s="26" t="s">
        <v>12</v>
      </c>
      <c r="D521" s="24" t="str">
        <f>_xll.DBRW("TM1-S1_DEV:}ElementAttributes_SP_SKU",$F521,D$1)</f>
        <v>Secondary</v>
      </c>
      <c r="E521" s="24" t="str">
        <f>_xll.DBRW("TM1-S1_DEV:}ElementAttributes_SP_SKU",$F521,E$1)</f>
        <v>INGREDIENT</v>
      </c>
      <c r="F521" s="26" t="s">
        <v>161</v>
      </c>
      <c r="G521" s="26" t="s">
        <v>1096</v>
      </c>
      <c r="H521" s="26" t="s">
        <v>2782</v>
      </c>
      <c r="I521" s="54">
        <f>_xll.DBRW($A$1,$F$14,$F$15,$C521,$A$2,$F521,$G521,$H521,I$1)</f>
        <v>3</v>
      </c>
      <c r="J521" s="25">
        <f>_xll.DBRW($A$1,$F$14,$F$15,$C521,$A$2,$F521,$G521,$H521,J$19)</f>
        <v>26</v>
      </c>
    </row>
    <row r="522" spans="1:10" s="23" customFormat="1" outlineLevel="1" thickBot="1" x14ac:dyDescent="0.3">
      <c r="A522" s="44"/>
      <c r="B522" s="31" t="str">
        <f>IF(_xll.TM1RPTELISCONSOLIDATED($H$20,$H522),IF(_xll.TM1RPTELLEV($H$20,$H522)&lt;=5,_xll.TM1RPTELLEV($H$20,$H522),"Default"),"Leaf")</f>
        <v>Leaf</v>
      </c>
      <c r="C522" s="26" t="s">
        <v>12</v>
      </c>
      <c r="D522" s="24" t="str">
        <f>_xll.DBRW("TM1-S1_DEV:}ElementAttributes_SP_SKU",$F522,D$1)</f>
        <v>Secondary</v>
      </c>
      <c r="E522" s="24" t="str">
        <f>_xll.DBRW("TM1-S1_DEV:}ElementAttributes_SP_SKU",$F522,E$1)</f>
        <v>CHEMICAL</v>
      </c>
      <c r="F522" s="26" t="s">
        <v>162</v>
      </c>
      <c r="G522" s="26" t="s">
        <v>1097</v>
      </c>
      <c r="H522" s="26" t="s">
        <v>2783</v>
      </c>
      <c r="I522" s="54">
        <f>_xll.DBRW($A$1,$F$14,$F$15,$C522,$A$2,$F522,$G522,$H522,I$1)</f>
        <v>103</v>
      </c>
      <c r="J522" s="25">
        <f>_xll.DBRW($A$1,$F$14,$F$15,$C522,$A$2,$F522,$G522,$H522,J$19)</f>
        <v>103</v>
      </c>
    </row>
    <row r="523" spans="1:10" s="23" customFormat="1" outlineLevel="1" thickBot="1" x14ac:dyDescent="0.3">
      <c r="A523" s="44"/>
      <c r="B523" s="31" t="str">
        <f>IF(_xll.TM1RPTELISCONSOLIDATED($H$20,$H523),IF(_xll.TM1RPTELLEV($H$20,$H523)&lt;=5,_xll.TM1RPTELLEV($H$20,$H523),"Default"),"Leaf")</f>
        <v>Leaf</v>
      </c>
      <c r="C523" s="26" t="s">
        <v>12</v>
      </c>
      <c r="D523" s="24" t="str">
        <f>_xll.DBRW("TM1-S1_DEV:}ElementAttributes_SP_SKU",$F523,D$1)</f>
        <v>Secondary</v>
      </c>
      <c r="E523" s="24" t="str">
        <f>_xll.DBRW("TM1-S1_DEV:}ElementAttributes_SP_SKU",$F523,E$1)</f>
        <v>DRINKS</v>
      </c>
      <c r="F523" s="26" t="s">
        <v>163</v>
      </c>
      <c r="G523" s="26" t="s">
        <v>1098</v>
      </c>
      <c r="H523" s="26" t="s">
        <v>2746</v>
      </c>
      <c r="I523" s="54">
        <f>_xll.DBRW($A$1,$F$14,$F$15,$C523,$A$2,$F523,$G523,$H523,I$1)</f>
        <v>30</v>
      </c>
      <c r="J523" s="25">
        <f>_xll.DBRW($A$1,$F$14,$F$15,$C523,$A$2,$F523,$G523,$H523,J$19)</f>
        <v>30</v>
      </c>
    </row>
    <row r="524" spans="1:10" s="23" customFormat="1" outlineLevel="1" thickBot="1" x14ac:dyDescent="0.3">
      <c r="A524" s="44"/>
      <c r="B524" s="31" t="str">
        <f>IF(_xll.TM1RPTELISCONSOLIDATED($H$20,$H524),IF(_xll.TM1RPTELLEV($H$20,$H524)&lt;=5,_xll.TM1RPTELLEV($H$20,$H524),"Default"),"Leaf")</f>
        <v>Leaf</v>
      </c>
      <c r="C524" s="26" t="s">
        <v>12</v>
      </c>
      <c r="D524" s="24" t="str">
        <f>_xll.DBRW("TM1-S1_DEV:}ElementAttributes_SP_SKU",$F524,D$1)</f>
        <v>Secondary</v>
      </c>
      <c r="E524" s="24" t="str">
        <f>_xll.DBRW("TM1-S1_DEV:}ElementAttributes_SP_SKU",$F524,E$1)</f>
        <v>CHEESE</v>
      </c>
      <c r="F524" s="26" t="s">
        <v>164</v>
      </c>
      <c r="G524" s="26" t="s">
        <v>1099</v>
      </c>
      <c r="H524" s="26" t="s">
        <v>2784</v>
      </c>
      <c r="I524" s="54">
        <f>_xll.DBRW($A$1,$F$14,$F$15,$C524,$A$2,$F524,$G524,$H524,I$1)</f>
        <v>35</v>
      </c>
      <c r="J524" s="25">
        <f>_xll.DBRW($A$1,$F$14,$F$15,$C524,$A$2,$F524,$G524,$H524,J$19)</f>
        <v>83</v>
      </c>
    </row>
    <row r="525" spans="1:10" s="23" customFormat="1" outlineLevel="1" thickBot="1" x14ac:dyDescent="0.3">
      <c r="A525" s="44"/>
      <c r="B525" s="31" t="str">
        <f>IF(_xll.TM1RPTELISCONSOLIDATED($H$20,$H525),IF(_xll.TM1RPTELLEV($H$20,$H525)&lt;=5,_xll.TM1RPTELLEV($H$20,$H525),"Default"),"Leaf")</f>
        <v>Leaf</v>
      </c>
      <c r="C525" s="26" t="s">
        <v>12</v>
      </c>
      <c r="D525" s="24" t="str">
        <f>_xll.DBRW("TM1-S1_DEV:}ElementAttributes_SP_SKU",$F525,D$1)</f>
        <v>Secondary</v>
      </c>
      <c r="E525" s="24" t="str">
        <f>_xll.DBRW("TM1-S1_DEV:}ElementAttributes_SP_SKU",$F525,E$1)</f>
        <v>PRODUCE</v>
      </c>
      <c r="F525" s="26" t="s">
        <v>165</v>
      </c>
      <c r="G525" s="26" t="s">
        <v>1100</v>
      </c>
      <c r="H525" s="26" t="s">
        <v>2785</v>
      </c>
      <c r="I525" s="54">
        <f>_xll.DBRW($A$1,$F$14,$F$15,$C525,$A$2,$F525,$G525,$H525,I$1)</f>
        <v>16</v>
      </c>
      <c r="J525" s="25">
        <f>_xll.DBRW($A$1,$F$14,$F$15,$C525,$A$2,$F525,$G525,$H525,J$19)</f>
        <v>26</v>
      </c>
    </row>
    <row r="526" spans="1:10" s="23" customFormat="1" outlineLevel="1" thickBot="1" x14ac:dyDescent="0.3">
      <c r="A526" s="44"/>
      <c r="B526" s="31" t="str">
        <f>IF(_xll.TM1RPTELISCONSOLIDATED($H$20,$H526),IF(_xll.TM1RPTELLEV($H$20,$H526)&lt;=5,_xll.TM1RPTELLEV($H$20,$H526),"Default"),"Leaf")</f>
        <v>Leaf</v>
      </c>
      <c r="C526" s="26" t="s">
        <v>12</v>
      </c>
      <c r="D526" s="24" t="str">
        <f>_xll.DBRW("TM1-S1_DEV:}ElementAttributes_SP_SKU",$F526,D$1)</f>
        <v>Secondary</v>
      </c>
      <c r="E526" s="24" t="str">
        <f>_xll.DBRW("TM1-S1_DEV:}ElementAttributes_SP_SKU",$F526,E$1)</f>
        <v>DRINKS</v>
      </c>
      <c r="F526" s="26" t="s">
        <v>166</v>
      </c>
      <c r="G526" s="26" t="s">
        <v>1101</v>
      </c>
      <c r="H526" s="26" t="s">
        <v>2746</v>
      </c>
      <c r="I526" s="54">
        <f>_xll.DBRW($A$1,$F$14,$F$15,$C526,$A$2,$F526,$G526,$H526,I$1)</f>
        <v>13</v>
      </c>
      <c r="J526" s="25">
        <f>_xll.DBRW($A$1,$F$14,$F$15,$C526,$A$2,$F526,$G526,$H526,J$19)</f>
        <v>13</v>
      </c>
    </row>
    <row r="527" spans="1:10" s="23" customFormat="1" outlineLevel="1" thickBot="1" x14ac:dyDescent="0.3">
      <c r="A527" s="44"/>
      <c r="B527" s="31" t="str">
        <f>IF(_xll.TM1RPTELISCONSOLIDATED($H$20,$H527),IF(_xll.TM1RPTELLEV($H$20,$H527)&lt;=5,_xll.TM1RPTELLEV($H$20,$H527),"Default"),"Leaf")</f>
        <v>Leaf</v>
      </c>
      <c r="C527" s="26" t="s">
        <v>12</v>
      </c>
      <c r="D527" s="24" t="str">
        <f>_xll.DBRW("TM1-S1_DEV:}ElementAttributes_SP_SKU",$F527,D$1)</f>
        <v>Secondary</v>
      </c>
      <c r="E527" s="24" t="str">
        <f>_xll.DBRW("TM1-S1_DEV:}ElementAttributes_SP_SKU",$F527,E$1)</f>
        <v>PAPER</v>
      </c>
      <c r="F527" s="26" t="s">
        <v>167</v>
      </c>
      <c r="G527" s="26" t="s">
        <v>1102</v>
      </c>
      <c r="H527" s="26" t="s">
        <v>2761</v>
      </c>
      <c r="I527" s="54">
        <f>_xll.DBRW($A$1,$F$14,$F$15,$C527,$A$2,$F527,$G527,$H527,I$1)</f>
        <v>11</v>
      </c>
      <c r="J527" s="25">
        <f>_xll.DBRW($A$1,$F$14,$F$15,$C527,$A$2,$F527,$G527,$H527,J$19)</f>
        <v>11</v>
      </c>
    </row>
    <row r="528" spans="1:10" s="23" customFormat="1" outlineLevel="1" thickBot="1" x14ac:dyDescent="0.3">
      <c r="A528" s="44"/>
      <c r="B528" s="31" t="str">
        <f>IF(_xll.TM1RPTELISCONSOLIDATED($H$20,$H528),IF(_xll.TM1RPTELLEV($H$20,$H528)&lt;=5,_xll.TM1RPTELLEV($H$20,$H528),"Default"),"Leaf")</f>
        <v>Leaf</v>
      </c>
      <c r="C528" s="26" t="s">
        <v>12</v>
      </c>
      <c r="D528" s="24" t="str">
        <f>_xll.DBRW("TM1-S1_DEV:}ElementAttributes_SP_SKU",$F528,D$1)</f>
        <v>Secondary</v>
      </c>
      <c r="E528" s="24" t="str">
        <f>_xll.DBRW("TM1-S1_DEV:}ElementAttributes_SP_SKU",$F528,E$1)</f>
        <v>LABEL</v>
      </c>
      <c r="F528" s="26" t="s">
        <v>168</v>
      </c>
      <c r="G528" s="26" t="s">
        <v>1103</v>
      </c>
      <c r="H528" s="26" t="s">
        <v>2763</v>
      </c>
      <c r="I528" s="54">
        <f>_xll.DBRW($A$1,$F$14,$F$15,$C528,$A$2,$F528,$G528,$H528,I$1)</f>
        <v>59</v>
      </c>
      <c r="J528" s="25">
        <f>_xll.DBRW($A$1,$F$14,$F$15,$C528,$A$2,$F528,$G528,$H528,J$19)</f>
        <v>83</v>
      </c>
    </row>
    <row r="529" spans="1:10" s="23" customFormat="1" outlineLevel="1" thickBot="1" x14ac:dyDescent="0.3">
      <c r="A529" s="44"/>
      <c r="B529" s="31" t="str">
        <f>IF(_xll.TM1RPTELISCONSOLIDATED($H$20,$H529),IF(_xll.TM1RPTELLEV($H$20,$H529)&lt;=5,_xll.TM1RPTELLEV($H$20,$H529),"Default"),"Leaf")</f>
        <v>Leaf</v>
      </c>
      <c r="C529" s="26" t="s">
        <v>12</v>
      </c>
      <c r="D529" s="24" t="str">
        <f>_xll.DBRW("TM1-S1_DEV:}ElementAttributes_SP_SKU",$F529,D$1)</f>
        <v>Secondary</v>
      </c>
      <c r="E529" s="24" t="str">
        <f>_xll.DBRW("TM1-S1_DEV:}ElementAttributes_SP_SKU",$F529,E$1)</f>
        <v>CHEESE</v>
      </c>
      <c r="F529" s="26" t="s">
        <v>169</v>
      </c>
      <c r="G529" s="26" t="s">
        <v>1104</v>
      </c>
      <c r="H529" s="26" t="s">
        <v>2784</v>
      </c>
      <c r="I529" s="54">
        <f>_xll.DBRW($A$1,$F$14,$F$15,$C529,$A$2,$F529,$G529,$H529,I$1)</f>
        <v>34</v>
      </c>
      <c r="J529" s="25">
        <f>_xll.DBRW($A$1,$F$14,$F$15,$C529,$A$2,$F529,$G529,$H529,J$19)</f>
        <v>130</v>
      </c>
    </row>
    <row r="530" spans="1:10" s="23" customFormat="1" outlineLevel="1" thickBot="1" x14ac:dyDescent="0.3">
      <c r="A530" s="44"/>
      <c r="B530" s="31" t="str">
        <f>IF(_xll.TM1RPTELISCONSOLIDATED($H$20,$H530),IF(_xll.TM1RPTELLEV($H$20,$H530)&lt;=5,_xll.TM1RPTELLEV($H$20,$H530),"Default"),"Leaf")</f>
        <v>Leaf</v>
      </c>
      <c r="C530" s="26" t="s">
        <v>12</v>
      </c>
      <c r="D530" s="24" t="str">
        <f>_xll.DBRW("TM1-S1_DEV:}ElementAttributes_SP_SKU",$F530,D$1)</f>
        <v>Secondary</v>
      </c>
      <c r="E530" s="24" t="str">
        <f>_xll.DBRW("TM1-S1_DEV:}ElementAttributes_SP_SKU",$F530,E$1)</f>
        <v>CLEANING</v>
      </c>
      <c r="F530" s="26" t="s">
        <v>170</v>
      </c>
      <c r="G530" s="26" t="s">
        <v>1105</v>
      </c>
      <c r="H530" s="26" t="s">
        <v>2786</v>
      </c>
      <c r="I530" s="54">
        <f>_xll.DBRW($A$1,$F$14,$F$15,$C530,$A$2,$F530,$G530,$H530,I$1)</f>
        <v>51</v>
      </c>
      <c r="J530" s="25">
        <f>_xll.DBRW($A$1,$F$14,$F$15,$C530,$A$2,$F530,$G530,$H530,J$19)</f>
        <v>79</v>
      </c>
    </row>
    <row r="531" spans="1:10" s="23" customFormat="1" outlineLevel="1" thickBot="1" x14ac:dyDescent="0.3">
      <c r="A531" s="44"/>
      <c r="B531" s="31" t="str">
        <f>IF(_xll.TM1RPTELISCONSOLIDATED($H$20,$H531),IF(_xll.TM1RPTELLEV($H$20,$H531)&lt;=5,_xll.TM1RPTELLEV($H$20,$H531),"Default"),"Leaf")</f>
        <v>Leaf</v>
      </c>
      <c r="C531" s="26" t="s">
        <v>12</v>
      </c>
      <c r="D531" s="24" t="str">
        <f>_xll.DBRW("TM1-S1_DEV:}ElementAttributes_SP_SKU",$F531,D$1)</f>
        <v>Secondary</v>
      </c>
      <c r="E531" s="24" t="str">
        <f>_xll.DBRW("TM1-S1_DEV:}ElementAttributes_SP_SKU",$F531,E$1)</f>
        <v>GLOVES</v>
      </c>
      <c r="F531" s="26" t="s">
        <v>171</v>
      </c>
      <c r="G531" s="26" t="s">
        <v>1106</v>
      </c>
      <c r="H531" s="26" t="s">
        <v>2780</v>
      </c>
      <c r="I531" s="54">
        <f>_xll.DBRW($A$1,$F$14,$F$15,$C531,$A$2,$F531,$G531,$H531,I$1)</f>
        <v>53</v>
      </c>
      <c r="J531" s="25">
        <f>_xll.DBRW($A$1,$F$14,$F$15,$C531,$A$2,$F531,$G531,$H531,J$19)</f>
        <v>53</v>
      </c>
    </row>
    <row r="532" spans="1:10" s="23" customFormat="1" outlineLevel="1" thickBot="1" x14ac:dyDescent="0.3">
      <c r="A532" s="44"/>
      <c r="B532" s="31" t="str">
        <f>IF(_xll.TM1RPTELISCONSOLIDATED($H$20,$H532),IF(_xll.TM1RPTELLEV($H$20,$H532)&lt;=5,_xll.TM1RPTELLEV($H$20,$H532),"Default"),"Leaf")</f>
        <v>Leaf</v>
      </c>
      <c r="C532" s="26" t="s">
        <v>12</v>
      </c>
      <c r="D532" s="24" t="str">
        <f>_xll.DBRW("TM1-S1_DEV:}ElementAttributes_SP_SKU",$F532,D$1)</f>
        <v>Secondary</v>
      </c>
      <c r="E532" s="24" t="str">
        <f>_xll.DBRW("TM1-S1_DEV:}ElementAttributes_SP_SKU",$F532,E$1)</f>
        <v>DRESSING</v>
      </c>
      <c r="F532" s="26" t="s">
        <v>172</v>
      </c>
      <c r="G532" s="26" t="s">
        <v>1107</v>
      </c>
      <c r="H532" s="26" t="s">
        <v>2720</v>
      </c>
      <c r="I532" s="54">
        <f>_xll.DBRW($A$1,$F$14,$F$15,$C532,$A$2,$F532,$G532,$H532,I$1)</f>
        <v>103</v>
      </c>
      <c r="J532" s="25">
        <f>_xll.DBRW($A$1,$F$14,$F$15,$C532,$A$2,$F532,$G532,$H532,J$19)</f>
        <v>151</v>
      </c>
    </row>
    <row r="533" spans="1:10" s="23" customFormat="1" outlineLevel="1" thickBot="1" x14ac:dyDescent="0.3">
      <c r="A533" s="44"/>
      <c r="B533" s="31" t="str">
        <f>IF(_xll.TM1RPTELISCONSOLIDATED($H$20,$H533),IF(_xll.TM1RPTELLEV($H$20,$H533)&lt;=5,_xll.TM1RPTELLEV($H$20,$H533),"Default"),"Leaf")</f>
        <v>Leaf</v>
      </c>
      <c r="C533" s="26" t="s">
        <v>12</v>
      </c>
      <c r="D533" s="24" t="str">
        <f>_xll.DBRW("TM1-S1_DEV:}ElementAttributes_SP_SKU",$F533,D$1)</f>
        <v>Secondary</v>
      </c>
      <c r="E533" s="24" t="str">
        <f>_xll.DBRW("TM1-S1_DEV:}ElementAttributes_SP_SKU",$F533,E$1)</f>
        <v>DRINKS</v>
      </c>
      <c r="F533" s="26" t="s">
        <v>173</v>
      </c>
      <c r="G533" s="26" t="s">
        <v>1108</v>
      </c>
      <c r="H533" s="26" t="s">
        <v>2746</v>
      </c>
      <c r="I533" s="54">
        <f>_xll.DBRW($A$1,$F$14,$F$15,$C533,$A$2,$F533,$G533,$H533,I$1)</f>
        <v>7</v>
      </c>
      <c r="J533" s="25">
        <f>_xll.DBRW($A$1,$F$14,$F$15,$C533,$A$2,$F533,$G533,$H533,J$19)</f>
        <v>28</v>
      </c>
    </row>
    <row r="534" spans="1:10" s="23" customFormat="1" outlineLevel="1" thickBot="1" x14ac:dyDescent="0.3">
      <c r="A534" s="44"/>
      <c r="B534" s="31" t="str">
        <f>IF(_xll.TM1RPTELISCONSOLIDATED($H$20,$H534),IF(_xll.TM1RPTELLEV($H$20,$H534)&lt;=5,_xll.TM1RPTELLEV($H$20,$H534),"Default"),"Leaf")</f>
        <v>Leaf</v>
      </c>
      <c r="C534" s="26" t="s">
        <v>12</v>
      </c>
      <c r="D534" s="24" t="str">
        <f>_xll.DBRW("TM1-S1_DEV:}ElementAttributes_SP_SKU",$F534,D$1)</f>
        <v>Secondary</v>
      </c>
      <c r="E534" s="24" t="str">
        <f>_xll.DBRW("TM1-S1_DEV:}ElementAttributes_SP_SKU",$F534,E$1)</f>
        <v>DRESSING</v>
      </c>
      <c r="F534" s="26" t="s">
        <v>174</v>
      </c>
      <c r="G534" s="26" t="s">
        <v>1109</v>
      </c>
      <c r="H534" s="26" t="s">
        <v>2720</v>
      </c>
      <c r="I534" s="54">
        <f>_xll.DBRW($A$1,$F$14,$F$15,$C534,$A$2,$F534,$G534,$H534,I$1)</f>
        <v>3</v>
      </c>
      <c r="J534" s="25">
        <f>_xll.DBRW($A$1,$F$14,$F$15,$C534,$A$2,$F534,$G534,$H534,J$19)</f>
        <v>3</v>
      </c>
    </row>
    <row r="535" spans="1:10" s="23" customFormat="1" outlineLevel="1" thickBot="1" x14ac:dyDescent="0.3">
      <c r="A535" s="44"/>
      <c r="B535" s="31" t="str">
        <f>IF(_xll.TM1RPTELISCONSOLIDATED($H$20,$H535),IF(_xll.TM1RPTELLEV($H$20,$H535)&lt;=5,_xll.TM1RPTELLEV($H$20,$H535),"Default"),"Leaf")</f>
        <v>Leaf</v>
      </c>
      <c r="C535" s="26" t="s">
        <v>12</v>
      </c>
      <c r="D535" s="24" t="str">
        <f>_xll.DBRW("TM1-S1_DEV:}ElementAttributes_SP_SKU",$F535,D$1)</f>
        <v>Secondary</v>
      </c>
      <c r="E535" s="24" t="str">
        <f>_xll.DBRW("TM1-S1_DEV:}ElementAttributes_SP_SKU",$F535,E$1)</f>
        <v>CONTAINER</v>
      </c>
      <c r="F535" s="26" t="s">
        <v>175</v>
      </c>
      <c r="G535" s="26" t="s">
        <v>1110</v>
      </c>
      <c r="H535" s="26" t="s">
        <v>2787</v>
      </c>
      <c r="I535" s="54">
        <f>_xll.DBRW($A$1,$F$14,$F$15,$C535,$A$2,$F535,$G535,$H535,I$1)</f>
        <v>18</v>
      </c>
      <c r="J535" s="25">
        <f>_xll.DBRW($A$1,$F$14,$F$15,$C535,$A$2,$F535,$G535,$H535,J$19)</f>
        <v>18</v>
      </c>
    </row>
    <row r="536" spans="1:10" s="23" customFormat="1" outlineLevel="1" thickBot="1" x14ac:dyDescent="0.3">
      <c r="A536" s="44"/>
      <c r="B536" s="31" t="str">
        <f>IF(_xll.TM1RPTELISCONSOLIDATED($H$20,$H536),IF(_xll.TM1RPTELLEV($H$20,$H536)&lt;=5,_xll.TM1RPTELLEV($H$20,$H536),"Default"),"Leaf")</f>
        <v>Leaf</v>
      </c>
      <c r="C536" s="26" t="s">
        <v>12</v>
      </c>
      <c r="D536" s="24" t="str">
        <f>_xll.DBRW("TM1-S1_DEV:}ElementAttributes_SP_SKU",$F536,D$1)</f>
        <v>Secondary</v>
      </c>
      <c r="E536" s="24" t="str">
        <f>_xll.DBRW("TM1-S1_DEV:}ElementAttributes_SP_SKU",$F536,E$1)</f>
        <v>UTENSIL</v>
      </c>
      <c r="F536" s="26" t="s">
        <v>176</v>
      </c>
      <c r="G536" s="26" t="s">
        <v>1111</v>
      </c>
      <c r="H536" s="26" t="s">
        <v>2788</v>
      </c>
      <c r="I536" s="54">
        <f>_xll.DBRW($A$1,$F$14,$F$15,$C536,$A$2,$F536,$G536,$H536,I$1)</f>
        <v>14</v>
      </c>
      <c r="J536" s="25">
        <f>_xll.DBRW($A$1,$F$14,$F$15,$C536,$A$2,$F536,$G536,$H536,J$19)</f>
        <v>14</v>
      </c>
    </row>
    <row r="537" spans="1:10" s="23" customFormat="1" outlineLevel="1" thickBot="1" x14ac:dyDescent="0.3">
      <c r="A537" s="44"/>
      <c r="B537" s="31" t="str">
        <f>IF(_xll.TM1RPTELISCONSOLIDATED($H$20,$H537),IF(_xll.TM1RPTELLEV($H$20,$H537)&lt;=5,_xll.TM1RPTELLEV($H$20,$H537),"Default"),"Leaf")</f>
        <v>Leaf</v>
      </c>
      <c r="C537" s="26" t="s">
        <v>12</v>
      </c>
      <c r="D537" s="24" t="str">
        <f>_xll.DBRW("TM1-S1_DEV:}ElementAttributes_SP_SKU",$F537,D$1)</f>
        <v>Secondary</v>
      </c>
      <c r="E537" s="24" t="str">
        <f>_xll.DBRW("TM1-S1_DEV:}ElementAttributes_SP_SKU",$F537,E$1)</f>
        <v>CONTAINER</v>
      </c>
      <c r="F537" s="26" t="s">
        <v>177</v>
      </c>
      <c r="G537" s="26" t="s">
        <v>1112</v>
      </c>
      <c r="H537" s="26" t="s">
        <v>2781</v>
      </c>
      <c r="I537" s="54">
        <f>_xll.DBRW($A$1,$F$14,$F$15,$C537,$A$2,$F537,$G537,$H537,I$1)</f>
        <v>11</v>
      </c>
      <c r="J537" s="25">
        <f>_xll.DBRW($A$1,$F$14,$F$15,$C537,$A$2,$F537,$G537,$H537,J$19)</f>
        <v>95</v>
      </c>
    </row>
    <row r="538" spans="1:10" s="23" customFormat="1" outlineLevel="1" thickBot="1" x14ac:dyDescent="0.3">
      <c r="A538" s="44"/>
      <c r="B538" s="31" t="str">
        <f>IF(_xll.TM1RPTELISCONSOLIDATED($H$20,$H538),IF(_xll.TM1RPTELLEV($H$20,$H538)&lt;=5,_xll.TM1RPTELLEV($H$20,$H538),"Default"),"Leaf")</f>
        <v>Leaf</v>
      </c>
      <c r="C538" s="26" t="s">
        <v>12</v>
      </c>
      <c r="D538" s="24" t="str">
        <f>_xll.DBRW("TM1-S1_DEV:}ElementAttributes_SP_SKU",$F538,D$1)</f>
        <v>Secondary</v>
      </c>
      <c r="E538" s="24" t="str">
        <f>_xll.DBRW("TM1-S1_DEV:}ElementAttributes_SP_SKU",$F538,E$1)</f>
        <v>GLOVES</v>
      </c>
      <c r="F538" s="26" t="s">
        <v>178</v>
      </c>
      <c r="G538" s="26" t="s">
        <v>1113</v>
      </c>
      <c r="H538" s="26" t="s">
        <v>2780</v>
      </c>
      <c r="I538" s="54">
        <f>_xll.DBRW($A$1,$F$14,$F$15,$C538,$A$2,$F538,$G538,$H538,I$1)</f>
        <v>381</v>
      </c>
      <c r="J538" s="25">
        <f>_xll.DBRW($A$1,$F$14,$F$15,$C538,$A$2,$F538,$G538,$H538,J$19)</f>
        <v>1431</v>
      </c>
    </row>
    <row r="539" spans="1:10" s="23" customFormat="1" outlineLevel="1" thickBot="1" x14ac:dyDescent="0.3">
      <c r="A539" s="44"/>
      <c r="B539" s="31" t="str">
        <f>IF(_xll.TM1RPTELISCONSOLIDATED($H$20,$H539),IF(_xll.TM1RPTELLEV($H$20,$H539)&lt;=5,_xll.TM1RPTELLEV($H$20,$H539),"Default"),"Leaf")</f>
        <v>Leaf</v>
      </c>
      <c r="C539" s="26" t="s">
        <v>12</v>
      </c>
      <c r="D539" s="24" t="str">
        <f>_xll.DBRW("TM1-S1_DEV:}ElementAttributes_SP_SKU",$F539,D$1)</f>
        <v>Secondary</v>
      </c>
      <c r="E539" s="24" t="str">
        <f>_xll.DBRW("TM1-S1_DEV:}ElementAttributes_SP_SKU",$F539,E$1)</f>
        <v>GLOVES</v>
      </c>
      <c r="F539" s="26" t="s">
        <v>179</v>
      </c>
      <c r="G539" s="26" t="s">
        <v>1114</v>
      </c>
      <c r="H539" s="26" t="s">
        <v>2780</v>
      </c>
      <c r="I539" s="54">
        <f>_xll.DBRW($A$1,$F$14,$F$15,$C539,$A$2,$F539,$G539,$H539,I$1)</f>
        <v>390</v>
      </c>
      <c r="J539" s="25">
        <f>_xll.DBRW($A$1,$F$14,$F$15,$C539,$A$2,$F539,$G539,$H539,J$19)</f>
        <v>390</v>
      </c>
    </row>
    <row r="540" spans="1:10" s="23" customFormat="1" outlineLevel="1" thickBot="1" x14ac:dyDescent="0.3">
      <c r="A540" s="44"/>
      <c r="B540" s="31" t="str">
        <f>IF(_xll.TM1RPTELISCONSOLIDATED($H$20,$H540),IF(_xll.TM1RPTELLEV($H$20,$H540)&lt;=5,_xll.TM1RPTELLEV($H$20,$H540),"Default"),"Leaf")</f>
        <v>Leaf</v>
      </c>
      <c r="C540" s="26" t="s">
        <v>12</v>
      </c>
      <c r="D540" s="24" t="str">
        <f>_xll.DBRW("TM1-S1_DEV:}ElementAttributes_SP_SKU",$F540,D$1)</f>
        <v>Primary</v>
      </c>
      <c r="E540" s="24" t="str">
        <f>_xll.DBRW("TM1-S1_DEV:}ElementAttributes_SP_SKU",$F540,E$1)</f>
        <v>TRAY</v>
      </c>
      <c r="F540" s="26" t="s">
        <v>180</v>
      </c>
      <c r="G540" s="26" t="s">
        <v>1115</v>
      </c>
      <c r="H540" s="26" t="s">
        <v>2789</v>
      </c>
      <c r="I540" s="54">
        <f>_xll.DBRW($A$1,$F$14,$F$15,$C540,$A$2,$F540,$G540,$H540,I$1)</f>
        <v>26</v>
      </c>
      <c r="J540" s="25">
        <f>_xll.DBRW($A$1,$F$14,$F$15,$C540,$A$2,$F540,$G540,$H540,J$19)</f>
        <v>26</v>
      </c>
    </row>
    <row r="541" spans="1:10" s="23" customFormat="1" outlineLevel="1" thickBot="1" x14ac:dyDescent="0.3">
      <c r="A541" s="44"/>
      <c r="B541" s="31" t="str">
        <f>IF(_xll.TM1RPTELISCONSOLIDATED($H$20,$H541),IF(_xll.TM1RPTELLEV($H$20,$H541)&lt;=5,_xll.TM1RPTELLEV($H$20,$H541),"Default"),"Leaf")</f>
        <v>Leaf</v>
      </c>
      <c r="C541" s="26" t="s">
        <v>12</v>
      </c>
      <c r="D541" s="24" t="str">
        <f>_xll.DBRW("TM1-S1_DEV:}ElementAttributes_SP_SKU",$F541,D$1)</f>
        <v>Primary</v>
      </c>
      <c r="E541" s="24" t="str">
        <f>_xll.DBRW("TM1-S1_DEV:}ElementAttributes_SP_SKU",$F541,E$1)</f>
        <v>TRAY</v>
      </c>
      <c r="F541" s="26" t="s">
        <v>181</v>
      </c>
      <c r="G541" s="26" t="s">
        <v>1116</v>
      </c>
      <c r="H541" s="26" t="s">
        <v>2789</v>
      </c>
      <c r="I541" s="54">
        <f>_xll.DBRW($A$1,$F$14,$F$15,$C541,$A$2,$F541,$G541,$H541,I$1)</f>
        <v>66</v>
      </c>
      <c r="J541" s="25">
        <f>_xll.DBRW($A$1,$F$14,$F$15,$C541,$A$2,$F541,$G541,$H541,J$19)</f>
        <v>66</v>
      </c>
    </row>
    <row r="542" spans="1:10" s="23" customFormat="1" outlineLevel="1" thickBot="1" x14ac:dyDescent="0.3">
      <c r="A542" s="44"/>
      <c r="B542" s="31" t="str">
        <f>IF(_xll.TM1RPTELISCONSOLIDATED($H$20,$H542),IF(_xll.TM1RPTELLEV($H$20,$H542)&lt;=5,_xll.TM1RPTELLEV($H$20,$H542),"Default"),"Leaf")</f>
        <v>Leaf</v>
      </c>
      <c r="C542" s="26" t="s">
        <v>12</v>
      </c>
      <c r="D542" s="24" t="str">
        <f>_xll.DBRW("TM1-S1_DEV:}ElementAttributes_SP_SKU",$F542,D$1)</f>
        <v>Primary</v>
      </c>
      <c r="E542" s="24" t="str">
        <f>_xll.DBRW("TM1-S1_DEV:}ElementAttributes_SP_SKU",$F542,E$1)</f>
        <v>TRAY</v>
      </c>
      <c r="F542" s="26" t="s">
        <v>182</v>
      </c>
      <c r="G542" s="26" t="s">
        <v>1117</v>
      </c>
      <c r="H542" s="26" t="s">
        <v>2789</v>
      </c>
      <c r="I542" s="54">
        <f>_xll.DBRW($A$1,$F$14,$F$15,$C542,$A$2,$F542,$G542,$H542,I$1)</f>
        <v>40</v>
      </c>
      <c r="J542" s="25">
        <f>_xll.DBRW($A$1,$F$14,$F$15,$C542,$A$2,$F542,$G542,$H542,J$19)</f>
        <v>40</v>
      </c>
    </row>
    <row r="543" spans="1:10" s="23" customFormat="1" outlineLevel="1" thickBot="1" x14ac:dyDescent="0.3">
      <c r="A543" s="44"/>
      <c r="B543" s="31" t="str">
        <f>IF(_xll.TM1RPTELISCONSOLIDATED($H$20,$H543),IF(_xll.TM1RPTELLEV($H$20,$H543)&lt;=5,_xll.TM1RPTELLEV($H$20,$H543),"Default"),"Leaf")</f>
        <v>Leaf</v>
      </c>
      <c r="C543" s="26" t="s">
        <v>12</v>
      </c>
      <c r="D543" s="24" t="str">
        <f>_xll.DBRW("TM1-S1_DEV:}ElementAttributes_SP_SKU",$F543,D$1)</f>
        <v>Secondary</v>
      </c>
      <c r="E543" s="24" t="str">
        <f>_xll.DBRW("TM1-S1_DEV:}ElementAttributes_SP_SKU",$F543,E$1)</f>
        <v>CONTAINER</v>
      </c>
      <c r="F543" s="26" t="s">
        <v>183</v>
      </c>
      <c r="G543" s="26" t="s">
        <v>1118</v>
      </c>
      <c r="H543" s="26" t="s">
        <v>2787</v>
      </c>
      <c r="I543" s="54">
        <f>_xll.DBRW($A$1,$F$14,$F$15,$C543,$A$2,$F543,$G543,$H543,I$1)</f>
        <v>29</v>
      </c>
      <c r="J543" s="25">
        <f>_xll.DBRW($A$1,$F$14,$F$15,$C543,$A$2,$F543,$G543,$H543,J$19)</f>
        <v>29</v>
      </c>
    </row>
    <row r="544" spans="1:10" s="23" customFormat="1" outlineLevel="1" thickBot="1" x14ac:dyDescent="0.3">
      <c r="A544" s="44"/>
      <c r="B544" s="31" t="str">
        <f>IF(_xll.TM1RPTELISCONSOLIDATED($H$20,$H544),IF(_xll.TM1RPTELLEV($H$20,$H544)&lt;=5,_xll.TM1RPTELLEV($H$20,$H544),"Default"),"Leaf")</f>
        <v>Leaf</v>
      </c>
      <c r="C544" s="26" t="s">
        <v>12</v>
      </c>
      <c r="D544" s="24" t="str">
        <f>_xll.DBRW("TM1-S1_DEV:}ElementAttributes_SP_SKU",$F544,D$1)</f>
        <v>Secondary</v>
      </c>
      <c r="E544" s="24" t="str">
        <f>_xll.DBRW("TM1-S1_DEV:}ElementAttributes_SP_SKU",$F544,E$1)</f>
        <v>DRESSING</v>
      </c>
      <c r="F544" s="26" t="s">
        <v>184</v>
      </c>
      <c r="G544" s="26" t="s">
        <v>1119</v>
      </c>
      <c r="H544" s="26" t="s">
        <v>2720</v>
      </c>
      <c r="I544" s="54">
        <f>_xll.DBRW($A$1,$F$14,$F$15,$C544,$A$2,$F544,$G544,$H544,I$1)</f>
        <v>8</v>
      </c>
      <c r="J544" s="25">
        <f>_xll.DBRW($A$1,$F$14,$F$15,$C544,$A$2,$F544,$G544,$H544,J$19)</f>
        <v>8</v>
      </c>
    </row>
    <row r="545" spans="1:10" s="23" customFormat="1" outlineLevel="1" thickBot="1" x14ac:dyDescent="0.3">
      <c r="A545" s="44"/>
      <c r="B545" s="31" t="str">
        <f>IF(_xll.TM1RPTELISCONSOLIDATED($H$20,$H545),IF(_xll.TM1RPTELLEV($H$20,$H545)&lt;=5,_xll.TM1RPTELLEV($H$20,$H545),"Default"),"Leaf")</f>
        <v>Leaf</v>
      </c>
      <c r="C545" s="26" t="s">
        <v>12</v>
      </c>
      <c r="D545" s="24" t="str">
        <f>_xll.DBRW("TM1-S1_DEV:}ElementAttributes_SP_SKU",$F545,D$1)</f>
        <v>Secondary</v>
      </c>
      <c r="E545" s="24" t="str">
        <f>_xll.DBRW("TM1-S1_DEV:}ElementAttributes_SP_SKU",$F545,E$1)</f>
        <v>EQUIP</v>
      </c>
      <c r="F545" s="26" t="s">
        <v>185</v>
      </c>
      <c r="G545" s="26" t="s">
        <v>1120</v>
      </c>
      <c r="H545" s="26" t="s">
        <v>2790</v>
      </c>
      <c r="I545" s="54">
        <f>_xll.DBRW($A$1,$F$14,$F$15,$C545,$A$2,$F545,$G545,$H545,I$1)</f>
        <v>15</v>
      </c>
      <c r="J545" s="25">
        <f>_xll.DBRW($A$1,$F$14,$F$15,$C545,$A$2,$F545,$G545,$H545,J$19)</f>
        <v>15</v>
      </c>
    </row>
    <row r="546" spans="1:10" s="23" customFormat="1" outlineLevel="1" thickBot="1" x14ac:dyDescent="0.3">
      <c r="A546" s="44"/>
      <c r="B546" s="31" t="str">
        <f>IF(_xll.TM1RPTELISCONSOLIDATED($H$20,$H546),IF(_xll.TM1RPTELLEV($H$20,$H546)&lt;=5,_xll.TM1RPTELLEV($H$20,$H546),"Default"),"Leaf")</f>
        <v>Leaf</v>
      </c>
      <c r="C546" s="26" t="s">
        <v>12</v>
      </c>
      <c r="D546" s="24" t="str">
        <f>_xll.DBRW("TM1-S1_DEV:}ElementAttributes_SP_SKU",$F546,D$1)</f>
        <v>Secondary</v>
      </c>
      <c r="E546" s="24" t="str">
        <f>_xll.DBRW("TM1-S1_DEV:}ElementAttributes_SP_SKU",$F546,E$1)</f>
        <v>INGREDIENT</v>
      </c>
      <c r="F546" s="26" t="s">
        <v>186</v>
      </c>
      <c r="G546" s="26" t="s">
        <v>1121</v>
      </c>
      <c r="H546" s="26" t="s">
        <v>2733</v>
      </c>
      <c r="I546" s="54">
        <f>_xll.DBRW($A$1,$F$14,$F$15,$C546,$A$2,$F546,$G546,$H546,I$1)</f>
        <v>49</v>
      </c>
      <c r="J546" s="25">
        <f>_xll.DBRW($A$1,$F$14,$F$15,$C546,$A$2,$F546,$G546,$H546,J$19)</f>
        <v>49</v>
      </c>
    </row>
    <row r="547" spans="1:10" s="23" customFormat="1" outlineLevel="1" thickBot="1" x14ac:dyDescent="0.3">
      <c r="A547" s="44"/>
      <c r="B547" s="31" t="str">
        <f>IF(_xll.TM1RPTELISCONSOLIDATED($H$20,$H547),IF(_xll.TM1RPTELLEV($H$20,$H547)&lt;=5,_xll.TM1RPTELLEV($H$20,$H547),"Default"),"Leaf")</f>
        <v>Leaf</v>
      </c>
      <c r="C547" s="26" t="s">
        <v>12</v>
      </c>
      <c r="D547" s="24" t="str">
        <f>_xll.DBRW("TM1-S1_DEV:}ElementAttributes_SP_SKU",$F547,D$1)</f>
        <v>Secondary</v>
      </c>
      <c r="E547" s="24" t="str">
        <f>_xll.DBRW("TM1-S1_DEV:}ElementAttributes_SP_SKU",$F547,E$1)</f>
        <v>CLEANING</v>
      </c>
      <c r="F547" s="26" t="s">
        <v>187</v>
      </c>
      <c r="G547" s="26" t="s">
        <v>1122</v>
      </c>
      <c r="H547" s="26" t="s">
        <v>2791</v>
      </c>
      <c r="I547" s="54">
        <f>_xll.DBRW($A$1,$F$14,$F$15,$C547,$A$2,$F547,$G547,$H547,I$1)</f>
        <v>6</v>
      </c>
      <c r="J547" s="25">
        <f>_xll.DBRW($A$1,$F$14,$F$15,$C547,$A$2,$F547,$G547,$H547,J$19)</f>
        <v>6</v>
      </c>
    </row>
    <row r="548" spans="1:10" s="23" customFormat="1" outlineLevel="1" thickBot="1" x14ac:dyDescent="0.3">
      <c r="A548" s="44"/>
      <c r="B548" s="31" t="str">
        <f>IF(_xll.TM1RPTELISCONSOLIDATED($H$20,$H548),IF(_xll.TM1RPTELLEV($H$20,$H548)&lt;=5,_xll.TM1RPTELLEV($H$20,$H548),"Default"),"Leaf")</f>
        <v>Leaf</v>
      </c>
      <c r="C548" s="26" t="s">
        <v>12</v>
      </c>
      <c r="D548" s="24" t="str">
        <f>_xll.DBRW("TM1-S1_DEV:}ElementAttributes_SP_SKU",$F548,D$1)</f>
        <v>Secondary</v>
      </c>
      <c r="E548" s="24" t="str">
        <f>_xll.DBRW("TM1-S1_DEV:}ElementAttributes_SP_SKU",$F548,E$1)</f>
        <v>CLEANING</v>
      </c>
      <c r="F548" s="26" t="s">
        <v>188</v>
      </c>
      <c r="G548" s="26" t="s">
        <v>1123</v>
      </c>
      <c r="H548" s="26" t="s">
        <v>2792</v>
      </c>
      <c r="I548" s="54">
        <f>_xll.DBRW($A$1,$F$14,$F$15,$C548,$A$2,$F548,$G548,$H548,I$1)</f>
        <v>24</v>
      </c>
      <c r="J548" s="25">
        <f>_xll.DBRW($A$1,$F$14,$F$15,$C548,$A$2,$F548,$G548,$H548,J$19)</f>
        <v>24</v>
      </c>
    </row>
    <row r="549" spans="1:10" s="23" customFormat="1" outlineLevel="1" thickBot="1" x14ac:dyDescent="0.3">
      <c r="A549" s="44"/>
      <c r="B549" s="31" t="str">
        <f>IF(_xll.TM1RPTELISCONSOLIDATED($H$20,$H549),IF(_xll.TM1RPTELLEV($H$20,$H549)&lt;=5,_xll.TM1RPTELLEV($H$20,$H549),"Default"),"Leaf")</f>
        <v>Leaf</v>
      </c>
      <c r="C549" s="26" t="s">
        <v>12</v>
      </c>
      <c r="D549" s="24" t="str">
        <f>_xll.DBRW("TM1-S1_DEV:}ElementAttributes_SP_SKU",$F549,D$1)</f>
        <v>Secondary</v>
      </c>
      <c r="E549" s="24" t="str">
        <f>_xll.DBRW("TM1-S1_DEV:}ElementAttributes_SP_SKU",$F549,E$1)</f>
        <v>DRINKS</v>
      </c>
      <c r="F549" s="26" t="s">
        <v>189</v>
      </c>
      <c r="G549" s="26" t="s">
        <v>1124</v>
      </c>
      <c r="H549" s="26" t="s">
        <v>2746</v>
      </c>
      <c r="I549" s="54">
        <f>_xll.DBRW($A$1,$F$14,$F$15,$C549,$A$2,$F549,$G549,$H549,I$1)</f>
        <v>15</v>
      </c>
      <c r="J549" s="25">
        <f>_xll.DBRW($A$1,$F$14,$F$15,$C549,$A$2,$F549,$G549,$H549,J$19)</f>
        <v>33</v>
      </c>
    </row>
    <row r="550" spans="1:10" s="23" customFormat="1" outlineLevel="1" thickBot="1" x14ac:dyDescent="0.3">
      <c r="A550" s="44"/>
      <c r="B550" s="31" t="str">
        <f>IF(_xll.TM1RPTELISCONSOLIDATED($H$20,$H550),IF(_xll.TM1RPTELLEV($H$20,$H550)&lt;=5,_xll.TM1RPTELLEV($H$20,$H550),"Default"),"Leaf")</f>
        <v>Leaf</v>
      </c>
      <c r="C550" s="26" t="s">
        <v>12</v>
      </c>
      <c r="D550" s="24" t="str">
        <f>_xll.DBRW("TM1-S1_DEV:}ElementAttributes_SP_SKU",$F550,D$1)</f>
        <v>Secondary</v>
      </c>
      <c r="E550" s="24" t="str">
        <f>_xll.DBRW("TM1-S1_DEV:}ElementAttributes_SP_SKU",$F550,E$1)</f>
        <v>PAPER</v>
      </c>
      <c r="F550" s="26" t="s">
        <v>190</v>
      </c>
      <c r="G550" s="26" t="s">
        <v>1125</v>
      </c>
      <c r="H550" s="26" t="s">
        <v>2793</v>
      </c>
      <c r="I550" s="54">
        <f>_xll.DBRW($A$1,$F$14,$F$15,$C550,$A$2,$F550,$G550,$H550,I$1)</f>
        <v>117</v>
      </c>
      <c r="J550" s="25">
        <f>_xll.DBRW($A$1,$F$14,$F$15,$C550,$A$2,$F550,$G550,$H550,J$19)</f>
        <v>149</v>
      </c>
    </row>
    <row r="551" spans="1:10" s="23" customFormat="1" outlineLevel="1" thickBot="1" x14ac:dyDescent="0.3">
      <c r="A551" s="44"/>
      <c r="B551" s="31" t="str">
        <f>IF(_xll.TM1RPTELISCONSOLIDATED($H$20,$H551),IF(_xll.TM1RPTELLEV($H$20,$H551)&lt;=5,_xll.TM1RPTELLEV($H$20,$H551),"Default"),"Leaf")</f>
        <v>Leaf</v>
      </c>
      <c r="C551" s="26" t="s">
        <v>12</v>
      </c>
      <c r="D551" s="24" t="str">
        <f>_xll.DBRW("TM1-S1_DEV:}ElementAttributes_SP_SKU",$F551,D$1)</f>
        <v>Secondary</v>
      </c>
      <c r="E551" s="24" t="str">
        <f>_xll.DBRW("TM1-S1_DEV:}ElementAttributes_SP_SKU",$F551,E$1)</f>
        <v>CHEMICAL</v>
      </c>
      <c r="F551" s="26" t="s">
        <v>191</v>
      </c>
      <c r="G551" s="26" t="s">
        <v>1126</v>
      </c>
      <c r="H551" s="26" t="s">
        <v>2794</v>
      </c>
      <c r="I551" s="54">
        <f>_xll.DBRW($A$1,$F$14,$F$15,$C551,$A$2,$F551,$G551,$H551,I$1)</f>
        <v>210</v>
      </c>
      <c r="J551" s="25">
        <f>_xll.DBRW($A$1,$F$14,$F$15,$C551,$A$2,$F551,$G551,$H551,J$19)</f>
        <v>210</v>
      </c>
    </row>
    <row r="552" spans="1:10" s="23" customFormat="1" outlineLevel="1" thickBot="1" x14ac:dyDescent="0.3">
      <c r="A552" s="44"/>
      <c r="B552" s="31" t="str">
        <f>IF(_xll.TM1RPTELISCONSOLIDATED($H$20,$H552),IF(_xll.TM1RPTELLEV($H$20,$H552)&lt;=5,_xll.TM1RPTELLEV($H$20,$H552),"Default"),"Leaf")</f>
        <v>Leaf</v>
      </c>
      <c r="C552" s="26" t="s">
        <v>12</v>
      </c>
      <c r="D552" s="24" t="str">
        <f>_xll.DBRW("TM1-S1_DEV:}ElementAttributes_SP_SKU",$F552,D$1)</f>
        <v>Secondary</v>
      </c>
      <c r="E552" s="24" t="str">
        <f>_xll.DBRW("TM1-S1_DEV:}ElementAttributes_SP_SKU",$F552,E$1)</f>
        <v>DRINKS</v>
      </c>
      <c r="F552" s="26" t="s">
        <v>192</v>
      </c>
      <c r="G552" s="26" t="s">
        <v>1127</v>
      </c>
      <c r="H552" s="26" t="s">
        <v>2795</v>
      </c>
      <c r="I552" s="54">
        <f>_xll.DBRW($A$1,$F$14,$F$15,$C552,$A$2,$F552,$G552,$H552,I$1)</f>
        <v>18</v>
      </c>
      <c r="J552" s="25">
        <f>_xll.DBRW($A$1,$F$14,$F$15,$C552,$A$2,$F552,$G552,$H552,J$19)</f>
        <v>39</v>
      </c>
    </row>
    <row r="553" spans="1:10" s="23" customFormat="1" outlineLevel="1" thickBot="1" x14ac:dyDescent="0.3">
      <c r="A553" s="44"/>
      <c r="B553" s="31" t="str">
        <f>IF(_xll.TM1RPTELISCONSOLIDATED($H$20,$H553),IF(_xll.TM1RPTELLEV($H$20,$H553)&lt;=5,_xll.TM1RPTELLEV($H$20,$H553),"Default"),"Leaf")</f>
        <v>Leaf</v>
      </c>
      <c r="C553" s="26" t="s">
        <v>12</v>
      </c>
      <c r="D553" s="24" t="str">
        <f>_xll.DBRW("TM1-S1_DEV:}ElementAttributes_SP_SKU",$F553,D$1)</f>
        <v>Secondary</v>
      </c>
      <c r="E553" s="24" t="str">
        <f>_xll.DBRW("TM1-S1_DEV:}ElementAttributes_SP_SKU",$F553,E$1)</f>
        <v>DRINKS</v>
      </c>
      <c r="F553" s="26" t="s">
        <v>193</v>
      </c>
      <c r="G553" s="26" t="s">
        <v>1128</v>
      </c>
      <c r="H553" s="26" t="s">
        <v>2733</v>
      </c>
      <c r="I553" s="54">
        <f>_xll.DBRW($A$1,$F$14,$F$15,$C553,$A$2,$F553,$G553,$H553,I$1)</f>
        <v>14</v>
      </c>
      <c r="J553" s="25">
        <f>_xll.DBRW($A$1,$F$14,$F$15,$C553,$A$2,$F553,$G553,$H553,J$19)</f>
        <v>44</v>
      </c>
    </row>
    <row r="554" spans="1:10" s="23" customFormat="1" outlineLevel="1" thickBot="1" x14ac:dyDescent="0.3">
      <c r="A554" s="44"/>
      <c r="B554" s="31" t="str">
        <f>IF(_xll.TM1RPTELISCONSOLIDATED($H$20,$H554),IF(_xll.TM1RPTELLEV($H$20,$H554)&lt;=5,_xll.TM1RPTELLEV($H$20,$H554),"Default"),"Leaf")</f>
        <v>Leaf</v>
      </c>
      <c r="C554" s="26" t="s">
        <v>12</v>
      </c>
      <c r="D554" s="24" t="str">
        <f>_xll.DBRW("TM1-S1_DEV:}ElementAttributes_SP_SKU",$F554,D$1)</f>
        <v>Secondary</v>
      </c>
      <c r="E554" s="24" t="str">
        <f>_xll.DBRW("TM1-S1_DEV:}ElementAttributes_SP_SKU",$F554,E$1)</f>
        <v>CHEMICAL</v>
      </c>
      <c r="F554" s="26" t="s">
        <v>194</v>
      </c>
      <c r="G554" s="26" t="s">
        <v>1129</v>
      </c>
      <c r="H554" s="26" t="s">
        <v>2796</v>
      </c>
      <c r="I554" s="54">
        <f>_xll.DBRW($A$1,$F$14,$F$15,$C554,$A$2,$F554,$G554,$H554,I$1)</f>
        <v>75</v>
      </c>
      <c r="J554" s="25">
        <f>_xll.DBRW($A$1,$F$14,$F$15,$C554,$A$2,$F554,$G554,$H554,J$19)</f>
        <v>75</v>
      </c>
    </row>
    <row r="555" spans="1:10" s="23" customFormat="1" outlineLevel="1" thickBot="1" x14ac:dyDescent="0.3">
      <c r="A555" s="44"/>
      <c r="B555" s="31" t="str">
        <f>IF(_xll.TM1RPTELISCONSOLIDATED($H$20,$H555),IF(_xll.TM1RPTELLEV($H$20,$H555)&lt;=5,_xll.TM1RPTELLEV($H$20,$H555),"Default"),"Leaf")</f>
        <v>Leaf</v>
      </c>
      <c r="C555" s="26" t="s">
        <v>12</v>
      </c>
      <c r="D555" s="24" t="str">
        <f>_xll.DBRW("TM1-S1_DEV:}ElementAttributes_SP_SKU",$F555,D$1)</f>
        <v>Secondary</v>
      </c>
      <c r="E555" s="24" t="str">
        <f>_xll.DBRW("TM1-S1_DEV:}ElementAttributes_SP_SKU",$F555,E$1)</f>
        <v>CONDIMENT</v>
      </c>
      <c r="F555" s="26" t="s">
        <v>195</v>
      </c>
      <c r="G555" s="26" t="s">
        <v>1130</v>
      </c>
      <c r="H555" s="26" t="s">
        <v>2782</v>
      </c>
      <c r="I555" s="54">
        <f>_xll.DBRW($A$1,$F$14,$F$15,$C555,$A$2,$F555,$G555,$H555,I$1)</f>
        <v>23</v>
      </c>
      <c r="J555" s="25">
        <f>_xll.DBRW($A$1,$F$14,$F$15,$C555,$A$2,$F555,$G555,$H555,J$19)</f>
        <v>23</v>
      </c>
    </row>
    <row r="556" spans="1:10" s="23" customFormat="1" outlineLevel="1" thickBot="1" x14ac:dyDescent="0.3">
      <c r="A556" s="44"/>
      <c r="B556" s="31" t="str">
        <f>IF(_xll.TM1RPTELISCONSOLIDATED($H$20,$H556),IF(_xll.TM1RPTELLEV($H$20,$H556)&lt;=5,_xll.TM1RPTELLEV($H$20,$H556),"Default"),"Leaf")</f>
        <v>Leaf</v>
      </c>
      <c r="C556" s="26" t="s">
        <v>12</v>
      </c>
      <c r="D556" s="24" t="str">
        <f>_xll.DBRW("TM1-S1_DEV:}ElementAttributes_SP_SKU",$F556,D$1)</f>
        <v>Secondary</v>
      </c>
      <c r="E556" s="24" t="str">
        <f>_xll.DBRW("TM1-S1_DEV:}ElementAttributes_SP_SKU",$F556,E$1)</f>
        <v>INGREDIENT</v>
      </c>
      <c r="F556" s="26" t="s">
        <v>196</v>
      </c>
      <c r="G556" s="26" t="s">
        <v>1131</v>
      </c>
      <c r="H556" s="26" t="s">
        <v>2797</v>
      </c>
      <c r="I556" s="54">
        <f>_xll.DBRW($A$1,$F$14,$F$15,$C556,$A$2,$F556,$G556,$H556,I$1)</f>
        <v>39</v>
      </c>
      <c r="J556" s="25">
        <f>_xll.DBRW($A$1,$F$14,$F$15,$C556,$A$2,$F556,$G556,$H556,J$19)</f>
        <v>39</v>
      </c>
    </row>
    <row r="557" spans="1:10" s="23" customFormat="1" outlineLevel="1" thickBot="1" x14ac:dyDescent="0.3">
      <c r="A557" s="44"/>
      <c r="B557" s="31" t="str">
        <f>IF(_xll.TM1RPTELISCONSOLIDATED($H$20,$H557),IF(_xll.TM1RPTELLEV($H$20,$H557)&lt;=5,_xll.TM1RPTELLEV($H$20,$H557),"Default"),"Leaf")</f>
        <v>Leaf</v>
      </c>
      <c r="C557" s="26" t="s">
        <v>12</v>
      </c>
      <c r="D557" s="24" t="str">
        <f>_xll.DBRW("TM1-S1_DEV:}ElementAttributes_SP_SKU",$F557,D$1)</f>
        <v>Secondary</v>
      </c>
      <c r="E557" s="24" t="str">
        <f>_xll.DBRW("TM1-S1_DEV:}ElementAttributes_SP_SKU",$F557,E$1)</f>
        <v>PROTEIN</v>
      </c>
      <c r="F557" s="26" t="s">
        <v>197</v>
      </c>
      <c r="G557" s="26" t="s">
        <v>1132</v>
      </c>
      <c r="H557" s="26" t="s">
        <v>2798</v>
      </c>
      <c r="I557" s="54">
        <f>_xll.DBRW($A$1,$F$14,$F$15,$C557,$A$2,$F557,$G557,$H557,I$1)</f>
        <v>44</v>
      </c>
      <c r="J557" s="25">
        <f>_xll.DBRW($A$1,$F$14,$F$15,$C557,$A$2,$F557,$G557,$H557,J$19)</f>
        <v>44</v>
      </c>
    </row>
    <row r="558" spans="1:10" s="23" customFormat="1" outlineLevel="1" thickBot="1" x14ac:dyDescent="0.3">
      <c r="A558" s="44"/>
      <c r="B558" s="31" t="str">
        <f>IF(_xll.TM1RPTELISCONSOLIDATED($H$20,$H558),IF(_xll.TM1RPTELLEV($H$20,$H558)&lt;=5,_xll.TM1RPTELLEV($H$20,$H558),"Default"),"Leaf")</f>
        <v>Leaf</v>
      </c>
      <c r="C558" s="26" t="s">
        <v>12</v>
      </c>
      <c r="D558" s="24" t="str">
        <f>_xll.DBRW("TM1-S1_DEV:}ElementAttributes_SP_SKU",$F558,D$1)</f>
        <v>Secondary</v>
      </c>
      <c r="E558" s="24" t="str">
        <f>_xll.DBRW("TM1-S1_DEV:}ElementAttributes_SP_SKU",$F558,E$1)</f>
        <v>INGREDIENT</v>
      </c>
      <c r="F558" s="26" t="s">
        <v>198</v>
      </c>
      <c r="G558" s="26" t="s">
        <v>1133</v>
      </c>
      <c r="H558" s="26" t="s">
        <v>2799</v>
      </c>
      <c r="I558" s="54">
        <f>_xll.DBRW($A$1,$F$14,$F$15,$C558,$A$2,$F558,$G558,$H558,I$1)</f>
        <v>15</v>
      </c>
      <c r="J558" s="25">
        <f>_xll.DBRW($A$1,$F$14,$F$15,$C558,$A$2,$F558,$G558,$H558,J$19)</f>
        <v>15</v>
      </c>
    </row>
    <row r="559" spans="1:10" s="23" customFormat="1" outlineLevel="1" thickBot="1" x14ac:dyDescent="0.3">
      <c r="A559" s="44"/>
      <c r="B559" s="31" t="str">
        <f>IF(_xll.TM1RPTELISCONSOLIDATED($H$20,$H559),IF(_xll.TM1RPTELLEV($H$20,$H559)&lt;=5,_xll.TM1RPTELLEV($H$20,$H559),"Default"),"Leaf")</f>
        <v>Leaf</v>
      </c>
      <c r="C559" s="26" t="s">
        <v>12</v>
      </c>
      <c r="D559" s="24" t="str">
        <f>_xll.DBRW("TM1-S1_DEV:}ElementAttributes_SP_SKU",$F559,D$1)</f>
        <v>Secondary</v>
      </c>
      <c r="E559" s="24" t="str">
        <f>_xll.DBRW("TM1-S1_DEV:}ElementAttributes_SP_SKU",$F559,E$1)</f>
        <v>CONTAINER</v>
      </c>
      <c r="F559" s="26" t="s">
        <v>199</v>
      </c>
      <c r="G559" s="26" t="s">
        <v>1134</v>
      </c>
      <c r="H559" s="26" t="s">
        <v>2787</v>
      </c>
      <c r="I559" s="54">
        <f>_xll.DBRW($A$1,$F$14,$F$15,$C559,$A$2,$F559,$G559,$H559,I$1)</f>
        <v>155</v>
      </c>
      <c r="J559" s="25">
        <f>_xll.DBRW($A$1,$F$14,$F$15,$C559,$A$2,$F559,$G559,$H559,J$19)</f>
        <v>155</v>
      </c>
    </row>
    <row r="560" spans="1:10" s="23" customFormat="1" outlineLevel="1" thickBot="1" x14ac:dyDescent="0.3">
      <c r="A560" s="44"/>
      <c r="B560" s="31" t="str">
        <f>IF(_xll.TM1RPTELISCONSOLIDATED($H$20,$H560),IF(_xll.TM1RPTELLEV($H$20,$H560)&lt;=5,_xll.TM1RPTELLEV($H$20,$H560),"Default"),"Leaf")</f>
        <v>Leaf</v>
      </c>
      <c r="C560" s="26" t="s">
        <v>12</v>
      </c>
      <c r="D560" s="24" t="str">
        <f>_xll.DBRW("TM1-S1_DEV:}ElementAttributes_SP_SKU",$F560,D$1)</f>
        <v>Secondary</v>
      </c>
      <c r="E560" s="24" t="str">
        <f>_xll.DBRW("TM1-S1_DEV:}ElementAttributes_SP_SKU",$F560,E$1)</f>
        <v>UTENSIL</v>
      </c>
      <c r="F560" s="26" t="s">
        <v>200</v>
      </c>
      <c r="G560" s="26" t="s">
        <v>1051</v>
      </c>
      <c r="H560" s="26" t="s">
        <v>2789</v>
      </c>
      <c r="I560" s="54">
        <f>_xll.DBRW($A$1,$F$14,$F$15,$C560,$A$2,$F560,$G560,$H560,I$1)</f>
        <v>92</v>
      </c>
      <c r="J560" s="25">
        <f>_xll.DBRW($A$1,$F$14,$F$15,$C560,$A$2,$F560,$G560,$H560,J$19)</f>
        <v>92</v>
      </c>
    </row>
    <row r="561" spans="1:10" s="23" customFormat="1" outlineLevel="1" thickBot="1" x14ac:dyDescent="0.3">
      <c r="A561" s="44"/>
      <c r="B561" s="31" t="str">
        <f>IF(_xll.TM1RPTELISCONSOLIDATED($H$20,$H561),IF(_xll.TM1RPTELLEV($H$20,$H561)&lt;=5,_xll.TM1RPTELLEV($H$20,$H561),"Default"),"Leaf")</f>
        <v>Leaf</v>
      </c>
      <c r="C561" s="26" t="s">
        <v>12</v>
      </c>
      <c r="D561" s="24" t="str">
        <f>_xll.DBRW("TM1-S1_DEV:}ElementAttributes_SP_SKU",$F561,D$1)</f>
        <v>Secondary</v>
      </c>
      <c r="E561" s="24" t="str">
        <f>_xll.DBRW("TM1-S1_DEV:}ElementAttributes_SP_SKU",$F561,E$1)</f>
        <v>CLEANING</v>
      </c>
      <c r="F561" s="26" t="s">
        <v>201</v>
      </c>
      <c r="G561" s="26" t="s">
        <v>1135</v>
      </c>
      <c r="H561" s="26" t="s">
        <v>2800</v>
      </c>
      <c r="I561" s="54">
        <f>_xll.DBRW($A$1,$F$14,$F$15,$C561,$A$2,$F561,$G561,$H561,I$1)</f>
        <v>17</v>
      </c>
      <c r="J561" s="25">
        <f>_xll.DBRW($A$1,$F$14,$F$15,$C561,$A$2,$F561,$G561,$H561,J$19)</f>
        <v>17</v>
      </c>
    </row>
    <row r="562" spans="1:10" s="23" customFormat="1" outlineLevel="1" thickBot="1" x14ac:dyDescent="0.3">
      <c r="A562" s="44"/>
      <c r="B562" s="31" t="str">
        <f>IF(_xll.TM1RPTELISCONSOLIDATED($H$20,$H562),IF(_xll.TM1RPTELLEV($H$20,$H562)&lt;=5,_xll.TM1RPTELLEV($H$20,$H562),"Default"),"Leaf")</f>
        <v>Leaf</v>
      </c>
      <c r="C562" s="26" t="s">
        <v>12</v>
      </c>
      <c r="D562" s="24" t="str">
        <f>_xll.DBRW("TM1-S1_DEV:}ElementAttributes_SP_SKU",$F562,D$1)</f>
        <v>Secondary</v>
      </c>
      <c r="E562" s="24" t="str">
        <f>_xll.DBRW("TM1-S1_DEV:}ElementAttributes_SP_SKU",$F562,E$1)</f>
        <v>PAPER</v>
      </c>
      <c r="F562" s="26" t="s">
        <v>202</v>
      </c>
      <c r="G562" s="26" t="s">
        <v>1136</v>
      </c>
      <c r="H562" s="26" t="s">
        <v>2763</v>
      </c>
      <c r="I562" s="54">
        <f>_xll.DBRW($A$1,$F$14,$F$15,$C562,$A$2,$F562,$G562,$H562,I$1)</f>
        <v>45</v>
      </c>
      <c r="J562" s="25">
        <f>_xll.DBRW($A$1,$F$14,$F$15,$C562,$A$2,$F562,$G562,$H562,J$19)</f>
        <v>45</v>
      </c>
    </row>
    <row r="563" spans="1:10" s="23" customFormat="1" outlineLevel="1" thickBot="1" x14ac:dyDescent="0.3">
      <c r="A563" s="44"/>
      <c r="B563" s="31" t="str">
        <f>IF(_xll.TM1RPTELISCONSOLIDATED($H$20,$H563),IF(_xll.TM1RPTELLEV($H$20,$H563)&lt;=5,_xll.TM1RPTELLEV($H$20,$H563),"Default"),"Leaf")</f>
        <v>Leaf</v>
      </c>
      <c r="C563" s="26" t="s">
        <v>12</v>
      </c>
      <c r="D563" s="24" t="str">
        <f>_xll.DBRW("TM1-S1_DEV:}ElementAttributes_SP_SKU",$F563,D$1)</f>
        <v>Secondary</v>
      </c>
      <c r="E563" s="24" t="str">
        <f>_xll.DBRW("TM1-S1_DEV:}ElementAttributes_SP_SKU",$F563,E$1)</f>
        <v>CONTAINER</v>
      </c>
      <c r="F563" s="26" t="s">
        <v>203</v>
      </c>
      <c r="G563" s="26" t="s">
        <v>1137</v>
      </c>
      <c r="H563" s="26" t="s">
        <v>2781</v>
      </c>
      <c r="I563" s="54">
        <f>_xll.DBRW($A$1,$F$14,$F$15,$C563,$A$2,$F563,$G563,$H563,I$1)</f>
        <v>49</v>
      </c>
      <c r="J563" s="25">
        <f>_xll.DBRW($A$1,$F$14,$F$15,$C563,$A$2,$F563,$G563,$H563,J$19)</f>
        <v>145</v>
      </c>
    </row>
    <row r="564" spans="1:10" s="23" customFormat="1" outlineLevel="1" thickBot="1" x14ac:dyDescent="0.3">
      <c r="A564" s="44"/>
      <c r="B564" s="31" t="str">
        <f>IF(_xll.TM1RPTELISCONSOLIDATED($H$20,$H564),IF(_xll.TM1RPTELLEV($H$20,$H564)&lt;=5,_xll.TM1RPTELLEV($H$20,$H564),"Default"),"Leaf")</f>
        <v>Leaf</v>
      </c>
      <c r="C564" s="26" t="s">
        <v>12</v>
      </c>
      <c r="D564" s="24" t="str">
        <f>_xll.DBRW("TM1-S1_DEV:}ElementAttributes_SP_SKU",$F564,D$1)</f>
        <v>Secondary</v>
      </c>
      <c r="E564" s="24" t="str">
        <f>_xll.DBRW("TM1-S1_DEV:}ElementAttributes_SP_SKU",$F564,E$1)</f>
        <v>PAPER</v>
      </c>
      <c r="F564" s="26" t="s">
        <v>204</v>
      </c>
      <c r="G564" s="26" t="s">
        <v>1138</v>
      </c>
      <c r="H564" s="26" t="s">
        <v>2801</v>
      </c>
      <c r="I564" s="54">
        <f>_xll.DBRW($A$1,$F$14,$F$15,$C564,$A$2,$F564,$G564,$H564,I$1)</f>
        <v>54</v>
      </c>
      <c r="J564" s="25">
        <f>_xll.DBRW($A$1,$F$14,$F$15,$C564,$A$2,$F564,$G564,$H564,J$19)</f>
        <v>54</v>
      </c>
    </row>
    <row r="565" spans="1:10" s="23" customFormat="1" outlineLevel="1" thickBot="1" x14ac:dyDescent="0.3">
      <c r="A565" s="44"/>
      <c r="B565" s="31" t="str">
        <f>IF(_xll.TM1RPTELISCONSOLIDATED($H$20,$H565),IF(_xll.TM1RPTELLEV($H$20,$H565)&lt;=5,_xll.TM1RPTELLEV($H$20,$H565),"Default"),"Leaf")</f>
        <v>Leaf</v>
      </c>
      <c r="C565" s="26" t="s">
        <v>12</v>
      </c>
      <c r="D565" s="24" t="str">
        <f>_xll.DBRW("TM1-S1_DEV:}ElementAttributes_SP_SKU",$F565,D$1)</f>
        <v>Secondary</v>
      </c>
      <c r="E565" s="24" t="str">
        <f>_xll.DBRW("TM1-S1_DEV:}ElementAttributes_SP_SKU",$F565,E$1)</f>
        <v>CLEANING</v>
      </c>
      <c r="F565" s="26" t="s">
        <v>205</v>
      </c>
      <c r="G565" s="26" t="s">
        <v>1139</v>
      </c>
      <c r="H565" s="26" t="s">
        <v>2793</v>
      </c>
      <c r="I565" s="54">
        <f>_xll.DBRW($A$1,$F$14,$F$15,$C565,$A$2,$F565,$G565,$H565,I$1)</f>
        <v>30</v>
      </c>
      <c r="J565" s="25">
        <f>_xll.DBRW($A$1,$F$14,$F$15,$C565,$A$2,$F565,$G565,$H565,J$19)</f>
        <v>40</v>
      </c>
    </row>
    <row r="566" spans="1:10" s="23" customFormat="1" outlineLevel="1" thickBot="1" x14ac:dyDescent="0.3">
      <c r="A566" s="44"/>
      <c r="B566" s="31" t="str">
        <f>IF(_xll.TM1RPTELISCONSOLIDATED($H$20,$H566),IF(_xll.TM1RPTELLEV($H$20,$H566)&lt;=5,_xll.TM1RPTELLEV($H$20,$H566),"Default"),"Leaf")</f>
        <v>Leaf</v>
      </c>
      <c r="C566" s="26" t="s">
        <v>12</v>
      </c>
      <c r="D566" s="24" t="str">
        <f>_xll.DBRW("TM1-S1_DEV:}ElementAttributes_SP_SKU",$F566,D$1)</f>
        <v>Secondary</v>
      </c>
      <c r="E566" s="24" t="str">
        <f>_xll.DBRW("TM1-S1_DEV:}ElementAttributes_SP_SKU",$F566,E$1)</f>
        <v>DRINKS</v>
      </c>
      <c r="F566" s="26" t="s">
        <v>206</v>
      </c>
      <c r="G566" s="26" t="s">
        <v>1140</v>
      </c>
      <c r="H566" s="26" t="s">
        <v>2746</v>
      </c>
      <c r="I566" s="54">
        <f>_xll.DBRW($A$1,$F$14,$F$15,$C566,$A$2,$F566,$G566,$H566,I$1)</f>
        <v>5</v>
      </c>
      <c r="J566" s="25">
        <f>_xll.DBRW($A$1,$F$14,$F$15,$C566,$A$2,$F566,$G566,$H566,J$19)</f>
        <v>5</v>
      </c>
    </row>
    <row r="567" spans="1:10" s="23" customFormat="1" outlineLevel="1" thickBot="1" x14ac:dyDescent="0.3">
      <c r="A567" s="44"/>
      <c r="B567" s="31" t="str">
        <f>IF(_xll.TM1RPTELISCONSOLIDATED($H$20,$H567),IF(_xll.TM1RPTELLEV($H$20,$H567)&lt;=5,_xll.TM1RPTELLEV($H$20,$H567),"Default"),"Leaf")</f>
        <v>Leaf</v>
      </c>
      <c r="C567" s="26" t="s">
        <v>12</v>
      </c>
      <c r="D567" s="24" t="str">
        <f>_xll.DBRW("TM1-S1_DEV:}ElementAttributes_SP_SKU",$F567,D$1)</f>
        <v>Secondary</v>
      </c>
      <c r="E567" s="24" t="str">
        <f>_xll.DBRW("TM1-S1_DEV:}ElementAttributes_SP_SKU",$F567,E$1)</f>
        <v>BAG</v>
      </c>
      <c r="F567" s="26" t="s">
        <v>207</v>
      </c>
      <c r="G567" s="26" t="s">
        <v>1141</v>
      </c>
      <c r="H567" s="26" t="s">
        <v>2802</v>
      </c>
      <c r="I567" s="54">
        <f>_xll.DBRW($A$1,$F$14,$F$15,$C567,$A$2,$F567,$G567,$H567,I$1)</f>
        <v>384</v>
      </c>
      <c r="J567" s="25">
        <f>_xll.DBRW($A$1,$F$14,$F$15,$C567,$A$2,$F567,$G567,$H567,J$19)</f>
        <v>384</v>
      </c>
    </row>
    <row r="568" spans="1:10" s="23" customFormat="1" outlineLevel="1" thickBot="1" x14ac:dyDescent="0.3">
      <c r="A568" s="44"/>
      <c r="B568" s="31" t="str">
        <f>IF(_xll.TM1RPTELISCONSOLIDATED($H$20,$H568),IF(_xll.TM1RPTELLEV($H$20,$H568)&lt;=5,_xll.TM1RPTELLEV($H$20,$H568),"Default"),"Leaf")</f>
        <v>Leaf</v>
      </c>
      <c r="C568" s="26" t="s">
        <v>12</v>
      </c>
      <c r="D568" s="24" t="str">
        <f>_xll.DBRW("TM1-S1_DEV:}ElementAttributes_SP_SKU",$F568,D$1)</f>
        <v>Secondary</v>
      </c>
      <c r="E568" s="24" t="str">
        <f>_xll.DBRW("TM1-S1_DEV:}ElementAttributes_SP_SKU",$F568,E$1)</f>
        <v>PRODUCE</v>
      </c>
      <c r="F568" s="26" t="s">
        <v>208</v>
      </c>
      <c r="G568" s="26" t="s">
        <v>1142</v>
      </c>
      <c r="H568" s="26" t="s">
        <v>2803</v>
      </c>
      <c r="I568" s="54">
        <f>_xll.DBRW($A$1,$F$14,$F$15,$C568,$A$2,$F568,$G568,$H568,I$1)</f>
        <v>14</v>
      </c>
      <c r="J568" s="25">
        <f>_xll.DBRW($A$1,$F$14,$F$15,$C568,$A$2,$F568,$G568,$H568,J$19)</f>
        <v>29</v>
      </c>
    </row>
    <row r="569" spans="1:10" s="23" customFormat="1" outlineLevel="1" thickBot="1" x14ac:dyDescent="0.3">
      <c r="A569" s="44"/>
      <c r="B569" s="31" t="str">
        <f>IF(_xll.TM1RPTELISCONSOLIDATED($H$20,$H569),IF(_xll.TM1RPTELLEV($H$20,$H569)&lt;=5,_xll.TM1RPTELLEV($H$20,$H569),"Default"),"Leaf")</f>
        <v>Leaf</v>
      </c>
      <c r="C569" s="26" t="s">
        <v>12</v>
      </c>
      <c r="D569" s="24" t="str">
        <f>_xll.DBRW("TM1-S1_DEV:}ElementAttributes_SP_SKU",$F569,D$1)</f>
        <v>Secondary</v>
      </c>
      <c r="E569" s="24" t="str">
        <f>_xll.DBRW("TM1-S1_DEV:}ElementAttributes_SP_SKU",$F569,E$1)</f>
        <v>GLOVES</v>
      </c>
      <c r="F569" s="26" t="s">
        <v>209</v>
      </c>
      <c r="G569" s="26" t="s">
        <v>1143</v>
      </c>
      <c r="H569" s="26" t="s">
        <v>2780</v>
      </c>
      <c r="I569" s="54">
        <f>_xll.DBRW($A$1,$F$14,$F$15,$C569,$A$2,$F569,$G569,$H569,I$1)</f>
        <v>26</v>
      </c>
      <c r="J569" s="25">
        <f>_xll.DBRW($A$1,$F$14,$F$15,$C569,$A$2,$F569,$G569,$H569,J$19)</f>
        <v>26</v>
      </c>
    </row>
    <row r="570" spans="1:10" s="23" customFormat="1" outlineLevel="1" thickBot="1" x14ac:dyDescent="0.3">
      <c r="A570" s="44"/>
      <c r="B570" s="31" t="str">
        <f>IF(_xll.TM1RPTELISCONSOLIDATED($H$20,$H570),IF(_xll.TM1RPTELLEV($H$20,$H570)&lt;=5,_xll.TM1RPTELLEV($H$20,$H570),"Default"),"Leaf")</f>
        <v>Leaf</v>
      </c>
      <c r="C570" s="26" t="s">
        <v>12</v>
      </c>
      <c r="D570" s="24" t="str">
        <f>_xll.DBRW("TM1-S1_DEV:}ElementAttributes_SP_SKU",$F570,D$1)</f>
        <v>Secondary</v>
      </c>
      <c r="E570" s="24" t="str">
        <f>_xll.DBRW("TM1-S1_DEV:}ElementAttributes_SP_SKU",$F570,E$1)</f>
        <v>CHEMICAL</v>
      </c>
      <c r="F570" s="26" t="s">
        <v>210</v>
      </c>
      <c r="G570" s="26" t="s">
        <v>1144</v>
      </c>
      <c r="H570" s="26" t="s">
        <v>2804</v>
      </c>
      <c r="I570" s="54">
        <f>_xll.DBRW($A$1,$F$14,$F$15,$C570,$A$2,$F570,$G570,$H570,I$1)</f>
        <v>10</v>
      </c>
      <c r="J570" s="25">
        <f>_xll.DBRW($A$1,$F$14,$F$15,$C570,$A$2,$F570,$G570,$H570,J$19)</f>
        <v>46</v>
      </c>
    </row>
    <row r="571" spans="1:10" s="23" customFormat="1" outlineLevel="1" thickBot="1" x14ac:dyDescent="0.3">
      <c r="A571" s="44"/>
      <c r="B571" s="31" t="str">
        <f>IF(_xll.TM1RPTELISCONSOLIDATED($H$20,$H571),IF(_xll.TM1RPTELLEV($H$20,$H571)&lt;=5,_xll.TM1RPTELLEV($H$20,$H571),"Default"),"Leaf")</f>
        <v>Leaf</v>
      </c>
      <c r="C571" s="26" t="s">
        <v>12</v>
      </c>
      <c r="D571" s="24" t="str">
        <f>_xll.DBRW("TM1-S1_DEV:}ElementAttributes_SP_SKU",$F571,D$1)</f>
        <v>Secondary</v>
      </c>
      <c r="E571" s="24" t="str">
        <f>_xll.DBRW("TM1-S1_DEV:}ElementAttributes_SP_SKU",$F571,E$1)</f>
        <v>INGREDIENT</v>
      </c>
      <c r="F571" s="26" t="s">
        <v>211</v>
      </c>
      <c r="G571" s="26" t="s">
        <v>1145</v>
      </c>
      <c r="H571" s="26" t="s">
        <v>2805</v>
      </c>
      <c r="I571" s="54">
        <f>_xll.DBRW($A$1,$F$14,$F$15,$C571,$A$2,$F571,$G571,$H571,I$1)</f>
        <v>6</v>
      </c>
      <c r="J571" s="25">
        <f>_xll.DBRW($A$1,$F$14,$F$15,$C571,$A$2,$F571,$G571,$H571,J$19)</f>
        <v>16</v>
      </c>
    </row>
    <row r="572" spans="1:10" s="23" customFormat="1" outlineLevel="1" thickBot="1" x14ac:dyDescent="0.3">
      <c r="A572" s="44"/>
      <c r="B572" s="31" t="str">
        <f>IF(_xll.TM1RPTELISCONSOLIDATED($H$20,$H572),IF(_xll.TM1RPTELLEV($H$20,$H572)&lt;=5,_xll.TM1RPTELLEV($H$20,$H572),"Default"),"Leaf")</f>
        <v>Leaf</v>
      </c>
      <c r="C572" s="26" t="s">
        <v>12</v>
      </c>
      <c r="D572" s="24" t="str">
        <f>_xll.DBRW("TM1-S1_DEV:}ElementAttributes_SP_SKU",$F572,D$1)</f>
        <v>Secondary</v>
      </c>
      <c r="E572" s="24" t="str">
        <f>_xll.DBRW("TM1-S1_DEV:}ElementAttributes_SP_SKU",$F572,E$1)</f>
        <v>INGREDIENT</v>
      </c>
      <c r="F572" s="26" t="s">
        <v>212</v>
      </c>
      <c r="G572" s="26" t="s">
        <v>1146</v>
      </c>
      <c r="H572" s="26" t="s">
        <v>2806</v>
      </c>
      <c r="I572" s="54">
        <f>_xll.DBRW($A$1,$F$14,$F$15,$C572,$A$2,$F572,$G572,$H572,I$1)</f>
        <v>74</v>
      </c>
      <c r="J572" s="25">
        <f>_xll.DBRW($A$1,$F$14,$F$15,$C572,$A$2,$F572,$G572,$H572,J$19)</f>
        <v>74</v>
      </c>
    </row>
    <row r="573" spans="1:10" s="23" customFormat="1" outlineLevel="1" thickBot="1" x14ac:dyDescent="0.3">
      <c r="A573" s="44"/>
      <c r="B573" s="31" t="str">
        <f>IF(_xll.TM1RPTELISCONSOLIDATED($H$20,$H573),IF(_xll.TM1RPTELLEV($H$20,$H573)&lt;=5,_xll.TM1RPTELLEV($H$20,$H573),"Default"),"Leaf")</f>
        <v>Leaf</v>
      </c>
      <c r="C573" s="26" t="s">
        <v>12</v>
      </c>
      <c r="D573" s="24" t="str">
        <f>_xll.DBRW("TM1-S1_DEV:}ElementAttributes_SP_SKU",$F573,D$1)</f>
        <v>Secondary</v>
      </c>
      <c r="E573" s="24" t="str">
        <f>_xll.DBRW("TM1-S1_DEV:}ElementAttributes_SP_SKU",$F573,E$1)</f>
        <v>CONTAINER</v>
      </c>
      <c r="F573" s="26" t="s">
        <v>213</v>
      </c>
      <c r="G573" s="26" t="s">
        <v>1147</v>
      </c>
      <c r="H573" s="26" t="s">
        <v>2781</v>
      </c>
      <c r="I573" s="54">
        <f>_xll.DBRW($A$1,$F$14,$F$15,$C573,$A$2,$F573,$G573,$H573,I$1)</f>
        <v>31</v>
      </c>
      <c r="J573" s="25">
        <f>_xll.DBRW($A$1,$F$14,$F$15,$C573,$A$2,$F573,$G573,$H573,J$19)</f>
        <v>79</v>
      </c>
    </row>
    <row r="574" spans="1:10" s="23" customFormat="1" outlineLevel="1" thickBot="1" x14ac:dyDescent="0.3">
      <c r="A574" s="44"/>
      <c r="B574" s="31" t="str">
        <f>IF(_xll.TM1RPTELISCONSOLIDATED($H$20,$H574),IF(_xll.TM1RPTELLEV($H$20,$H574)&lt;=5,_xll.TM1RPTELLEV($H$20,$H574),"Default"),"Leaf")</f>
        <v>Leaf</v>
      </c>
      <c r="C574" s="26" t="s">
        <v>12</v>
      </c>
      <c r="D574" s="24" t="str">
        <f>_xll.DBRW("TM1-S1_DEV:}ElementAttributes_SP_SKU",$F574,D$1)</f>
        <v>Secondary</v>
      </c>
      <c r="E574" s="24" t="str">
        <f>_xll.DBRW("TM1-S1_DEV:}ElementAttributes_SP_SKU",$F574,E$1)</f>
        <v>DRINKS</v>
      </c>
      <c r="F574" s="26" t="s">
        <v>214</v>
      </c>
      <c r="G574" s="26" t="s">
        <v>1148</v>
      </c>
      <c r="H574" s="26" t="s">
        <v>2746</v>
      </c>
      <c r="I574" s="54">
        <f>_xll.DBRW($A$1,$F$14,$F$15,$C574,$A$2,$F574,$G574,$H574,I$1)</f>
        <v>12</v>
      </c>
      <c r="J574" s="25">
        <f>_xll.DBRW($A$1,$F$14,$F$15,$C574,$A$2,$F574,$G574,$H574,J$19)</f>
        <v>42</v>
      </c>
    </row>
    <row r="575" spans="1:10" s="23" customFormat="1" outlineLevel="1" thickBot="1" x14ac:dyDescent="0.3">
      <c r="A575" s="44"/>
      <c r="B575" s="31" t="str">
        <f>IF(_xll.TM1RPTELISCONSOLIDATED($H$20,$H575),IF(_xll.TM1RPTELLEV($H$20,$H575)&lt;=5,_xll.TM1RPTELLEV($H$20,$H575),"Default"),"Leaf")</f>
        <v>Leaf</v>
      </c>
      <c r="C575" s="26" t="s">
        <v>12</v>
      </c>
      <c r="D575" s="24" t="str">
        <f>_xll.DBRW("TM1-S1_DEV:}ElementAttributes_SP_SKU",$F575,D$1)</f>
        <v>Secondary</v>
      </c>
      <c r="E575" s="24" t="str">
        <f>_xll.DBRW("TM1-S1_DEV:}ElementAttributes_SP_SKU",$F575,E$1)</f>
        <v>PAPER</v>
      </c>
      <c r="F575" s="26" t="s">
        <v>215</v>
      </c>
      <c r="G575" s="26" t="s">
        <v>1149</v>
      </c>
      <c r="H575" s="26" t="s">
        <v>2807</v>
      </c>
      <c r="I575" s="54">
        <f>_xll.DBRW($A$1,$F$14,$F$15,$C575,$A$2,$F575,$G575,$H575,I$1)</f>
        <v>65</v>
      </c>
      <c r="J575" s="25">
        <f>_xll.DBRW($A$1,$F$14,$F$15,$C575,$A$2,$F575,$G575,$H575,J$19)</f>
        <v>65</v>
      </c>
    </row>
    <row r="576" spans="1:10" s="23" customFormat="1" outlineLevel="1" thickBot="1" x14ac:dyDescent="0.3">
      <c r="A576" s="44"/>
      <c r="B576" s="31" t="str">
        <f>IF(_xll.TM1RPTELISCONSOLIDATED($H$20,$H576),IF(_xll.TM1RPTELLEV($H$20,$H576)&lt;=5,_xll.TM1RPTELLEV($H$20,$H576),"Default"),"Leaf")</f>
        <v>Leaf</v>
      </c>
      <c r="C576" s="26" t="s">
        <v>12</v>
      </c>
      <c r="D576" s="24" t="str">
        <f>_xll.DBRW("TM1-S1_DEV:}ElementAttributes_SP_SKU",$F576,D$1)</f>
        <v>Secondary</v>
      </c>
      <c r="E576" s="24" t="str">
        <f>_xll.DBRW("TM1-S1_DEV:}ElementAttributes_SP_SKU",$F576,E$1)</f>
        <v>DRINKS</v>
      </c>
      <c r="F576" s="26" t="s">
        <v>216</v>
      </c>
      <c r="G576" s="26" t="s">
        <v>1150</v>
      </c>
      <c r="H576" s="26" t="s">
        <v>2746</v>
      </c>
      <c r="I576" s="54">
        <f>_xll.DBRW($A$1,$F$14,$F$15,$C576,$A$2,$F576,$G576,$H576,I$1)</f>
        <v>11</v>
      </c>
      <c r="J576" s="25">
        <f>_xll.DBRW($A$1,$F$14,$F$15,$C576,$A$2,$F576,$G576,$H576,J$19)</f>
        <v>11</v>
      </c>
    </row>
    <row r="577" spans="1:10" s="23" customFormat="1" outlineLevel="1" thickBot="1" x14ac:dyDescent="0.3">
      <c r="A577" s="44"/>
      <c r="B577" s="31" t="str">
        <f>IF(_xll.TM1RPTELISCONSOLIDATED($H$20,$H577),IF(_xll.TM1RPTELLEV($H$20,$H577)&lt;=5,_xll.TM1RPTELLEV($H$20,$H577),"Default"),"Leaf")</f>
        <v>Leaf</v>
      </c>
      <c r="C577" s="26" t="s">
        <v>12</v>
      </c>
      <c r="D577" s="24" t="str">
        <f>_xll.DBRW("TM1-S1_DEV:}ElementAttributes_SP_SKU",$F577,D$1)</f>
        <v>Secondary</v>
      </c>
      <c r="E577" s="24" t="str">
        <f>_xll.DBRW("TM1-S1_DEV:}ElementAttributes_SP_SKU",$F577,E$1)</f>
        <v>BOWL</v>
      </c>
      <c r="F577" s="26" t="s">
        <v>217</v>
      </c>
      <c r="G577" s="26" t="s">
        <v>1044</v>
      </c>
      <c r="H577" s="26" t="s">
        <v>2758</v>
      </c>
      <c r="I577" s="54">
        <f>_xll.DBRW($A$1,$F$14,$F$15,$C577,$A$2,$F577,$G577,$H577,I$1)</f>
        <v>7</v>
      </c>
      <c r="J577" s="25">
        <f>_xll.DBRW($A$1,$F$14,$F$15,$C577,$A$2,$F577,$G577,$H577,J$19)</f>
        <v>7</v>
      </c>
    </row>
    <row r="578" spans="1:10" s="23" customFormat="1" outlineLevel="1" thickBot="1" x14ac:dyDescent="0.3">
      <c r="A578" s="44"/>
      <c r="B578" s="31" t="str">
        <f>IF(_xll.TM1RPTELISCONSOLIDATED($H$20,$H578),IF(_xll.TM1RPTELLEV($H$20,$H578)&lt;=5,_xll.TM1RPTELLEV($H$20,$H578),"Default"),"Leaf")</f>
        <v>Leaf</v>
      </c>
      <c r="C578" s="26" t="s">
        <v>12</v>
      </c>
      <c r="D578" s="24" t="str">
        <f>_xll.DBRW("TM1-S1_DEV:}ElementAttributes_SP_SKU",$F578,D$1)</f>
        <v>Secondary</v>
      </c>
      <c r="E578" s="24" t="str">
        <f>_xll.DBRW("TM1-S1_DEV:}ElementAttributes_SP_SKU",$F578,E$1)</f>
        <v>DRINKS</v>
      </c>
      <c r="F578" s="26" t="s">
        <v>218</v>
      </c>
      <c r="G578" s="26" t="s">
        <v>1151</v>
      </c>
      <c r="H578" s="26" t="s">
        <v>2746</v>
      </c>
      <c r="I578" s="54">
        <f>_xll.DBRW($A$1,$F$14,$F$15,$C578,$A$2,$F578,$G578,$H578,I$1)</f>
        <v>37</v>
      </c>
      <c r="J578" s="25">
        <f>_xll.DBRW($A$1,$F$14,$F$15,$C578,$A$2,$F578,$G578,$H578,J$19)</f>
        <v>87</v>
      </c>
    </row>
    <row r="579" spans="1:10" s="23" customFormat="1" outlineLevel="1" thickBot="1" x14ac:dyDescent="0.3">
      <c r="A579" s="44"/>
      <c r="B579" s="31" t="str">
        <f>IF(_xll.TM1RPTELISCONSOLIDATED($H$20,$H579),IF(_xll.TM1RPTELLEV($H$20,$H579)&lt;=5,_xll.TM1RPTELLEV($H$20,$H579),"Default"),"Leaf")</f>
        <v>Leaf</v>
      </c>
      <c r="C579" s="26" t="s">
        <v>12</v>
      </c>
      <c r="D579" s="24" t="str">
        <f>_xll.DBRW("TM1-S1_DEV:}ElementAttributes_SP_SKU",$F579,D$1)</f>
        <v>Secondary</v>
      </c>
      <c r="E579" s="24" t="str">
        <f>_xll.DBRW("TM1-S1_DEV:}ElementAttributes_SP_SKU",$F579,E$1)</f>
        <v>CONTAINER</v>
      </c>
      <c r="F579" s="26" t="s">
        <v>219</v>
      </c>
      <c r="G579" s="26" t="s">
        <v>1152</v>
      </c>
      <c r="H579" s="26" t="s">
        <v>2781</v>
      </c>
      <c r="I579" s="54">
        <f>_xll.DBRW($A$1,$F$14,$F$15,$C579,$A$2,$F579,$G579,$H579,I$1)</f>
        <v>11</v>
      </c>
      <c r="J579" s="25">
        <f>_xll.DBRW($A$1,$F$14,$F$15,$C579,$A$2,$F579,$G579,$H579,J$19)</f>
        <v>107</v>
      </c>
    </row>
    <row r="580" spans="1:10" s="23" customFormat="1" outlineLevel="1" thickBot="1" x14ac:dyDescent="0.3">
      <c r="A580" s="44"/>
      <c r="B580" s="31" t="str">
        <f>IF(_xll.TM1RPTELISCONSOLIDATED($H$20,$H580),IF(_xll.TM1RPTELLEV($H$20,$H580)&lt;=5,_xll.TM1RPTELLEV($H$20,$H580),"Default"),"Leaf")</f>
        <v>Leaf</v>
      </c>
      <c r="C580" s="26" t="s">
        <v>12</v>
      </c>
      <c r="D580" s="24" t="str">
        <f>_xll.DBRW("TM1-S1_DEV:}ElementAttributes_SP_SKU",$F580,D$1)</f>
        <v>Secondary</v>
      </c>
      <c r="E580" s="24" t="str">
        <f>_xll.DBRW("TM1-S1_DEV:}ElementAttributes_SP_SKU",$F580,E$1)</f>
        <v>CONTAINER</v>
      </c>
      <c r="F580" s="26" t="s">
        <v>220</v>
      </c>
      <c r="G580" s="26" t="s">
        <v>1045</v>
      </c>
      <c r="H580" s="26" t="s">
        <v>2758</v>
      </c>
      <c r="I580" s="54">
        <f>_xll.DBRW($A$1,$F$14,$F$15,$C580,$A$2,$F580,$G580,$H580,I$1)</f>
        <v>4</v>
      </c>
      <c r="J580" s="25">
        <f>_xll.DBRW($A$1,$F$14,$F$15,$C580,$A$2,$F580,$G580,$H580,J$19)</f>
        <v>4</v>
      </c>
    </row>
    <row r="581" spans="1:10" s="23" customFormat="1" outlineLevel="1" thickBot="1" x14ac:dyDescent="0.3">
      <c r="A581" s="44"/>
      <c r="B581" s="31" t="str">
        <f>IF(_xll.TM1RPTELISCONSOLIDATED($H$20,$H581),IF(_xll.TM1RPTELLEV($H$20,$H581)&lt;=5,_xll.TM1RPTELLEV($H$20,$H581),"Default"),"Leaf")</f>
        <v>Leaf</v>
      </c>
      <c r="C581" s="26" t="s">
        <v>12</v>
      </c>
      <c r="D581" s="24" t="str">
        <f>_xll.DBRW("TM1-S1_DEV:}ElementAttributes_SP_SKU",$F581,D$1)</f>
        <v>Secondary</v>
      </c>
      <c r="E581" s="24" t="str">
        <f>_xll.DBRW("TM1-S1_DEV:}ElementAttributes_SP_SKU",$F581,E$1)</f>
        <v>PAPER</v>
      </c>
      <c r="F581" s="26" t="s">
        <v>221</v>
      </c>
      <c r="G581" s="26" t="s">
        <v>1153</v>
      </c>
      <c r="H581" s="26" t="s">
        <v>2808</v>
      </c>
      <c r="I581" s="54">
        <f>_xll.DBRW($A$1,$F$14,$F$15,$C581,$A$2,$F581,$G581,$H581,I$1)</f>
        <v>53</v>
      </c>
      <c r="J581" s="25">
        <f>_xll.DBRW($A$1,$F$14,$F$15,$C581,$A$2,$F581,$G581,$H581,J$19)</f>
        <v>95</v>
      </c>
    </row>
    <row r="582" spans="1:10" s="23" customFormat="1" outlineLevel="1" thickBot="1" x14ac:dyDescent="0.3">
      <c r="A582" s="44"/>
      <c r="B582" s="31" t="str">
        <f>IF(_xll.TM1RPTELISCONSOLIDATED($H$20,$H582),IF(_xll.TM1RPTELLEV($H$20,$H582)&lt;=5,_xll.TM1RPTELLEV($H$20,$H582),"Default"),"Leaf")</f>
        <v>Leaf</v>
      </c>
      <c r="C582" s="26" t="s">
        <v>12</v>
      </c>
      <c r="D582" s="24" t="str">
        <f>_xll.DBRW("TM1-S1_DEV:}ElementAttributes_SP_SKU",$F582,D$1)</f>
        <v>Secondary</v>
      </c>
      <c r="E582" s="24" t="str">
        <f>_xll.DBRW("TM1-S1_DEV:}ElementAttributes_SP_SKU",$F582,E$1)</f>
        <v>PAPER</v>
      </c>
      <c r="F582" s="26" t="s">
        <v>222</v>
      </c>
      <c r="G582" s="26" t="s">
        <v>1154</v>
      </c>
      <c r="H582" s="26" t="s">
        <v>2808</v>
      </c>
      <c r="I582" s="54">
        <f>_xll.DBRW($A$1,$F$14,$F$15,$C582,$A$2,$F582,$G582,$H582,I$1)</f>
        <v>96</v>
      </c>
      <c r="J582" s="25">
        <f>_xll.DBRW($A$1,$F$14,$F$15,$C582,$A$2,$F582,$G582,$H582,J$19)</f>
        <v>96</v>
      </c>
    </row>
    <row r="583" spans="1:10" s="23" customFormat="1" outlineLevel="1" thickBot="1" x14ac:dyDescent="0.3">
      <c r="A583" s="44"/>
      <c r="B583" s="31" t="str">
        <f>IF(_xll.TM1RPTELISCONSOLIDATED($H$20,$H583),IF(_xll.TM1RPTELLEV($H$20,$H583)&lt;=5,_xll.TM1RPTELLEV($H$20,$H583),"Default"),"Leaf")</f>
        <v>Leaf</v>
      </c>
      <c r="C583" s="26" t="s">
        <v>12</v>
      </c>
      <c r="D583" s="24" t="str">
        <f>_xll.DBRW("TM1-S1_DEV:}ElementAttributes_SP_SKU",$F583,D$1)</f>
        <v>Secondary</v>
      </c>
      <c r="E583" s="24" t="str">
        <f>_xll.DBRW("TM1-S1_DEV:}ElementAttributes_SP_SKU",$F583,E$1)</f>
        <v>CUP</v>
      </c>
      <c r="F583" s="26" t="s">
        <v>223</v>
      </c>
      <c r="G583" s="26" t="s">
        <v>1155</v>
      </c>
      <c r="H583" s="26" t="s">
        <v>2787</v>
      </c>
      <c r="I583" s="54">
        <f>_xll.DBRW($A$1,$F$14,$F$15,$C583,$A$2,$F583,$G583,$H583,I$1)</f>
        <v>36</v>
      </c>
      <c r="J583" s="25">
        <f>_xll.DBRW($A$1,$F$14,$F$15,$C583,$A$2,$F583,$G583,$H583,J$19)</f>
        <v>36</v>
      </c>
    </row>
    <row r="584" spans="1:10" s="23" customFormat="1" outlineLevel="1" thickBot="1" x14ac:dyDescent="0.3">
      <c r="A584" s="44"/>
      <c r="B584" s="31" t="str">
        <f>IF(_xll.TM1RPTELISCONSOLIDATED($H$20,$H584),IF(_xll.TM1RPTELLEV($H$20,$H584)&lt;=5,_xll.TM1RPTELLEV($H$20,$H584),"Default"),"Leaf")</f>
        <v>Leaf</v>
      </c>
      <c r="C584" s="26" t="s">
        <v>12</v>
      </c>
      <c r="D584" s="24" t="str">
        <f>_xll.DBRW("TM1-S1_DEV:}ElementAttributes_SP_SKU",$F584,D$1)</f>
        <v>Secondary</v>
      </c>
      <c r="E584" s="24" t="str">
        <f>_xll.DBRW("TM1-S1_DEV:}ElementAttributes_SP_SKU",$F584,E$1)</f>
        <v>PAPER</v>
      </c>
      <c r="F584" s="26" t="s">
        <v>224</v>
      </c>
      <c r="G584" s="26" t="s">
        <v>1156</v>
      </c>
      <c r="H584" s="26" t="s">
        <v>2809</v>
      </c>
      <c r="I584" s="54">
        <f>_xll.DBRW($A$1,$F$14,$F$15,$C584,$A$2,$F584,$G584,$H584,I$1)</f>
        <v>78</v>
      </c>
      <c r="J584" s="25">
        <f>_xll.DBRW($A$1,$F$14,$F$15,$C584,$A$2,$F584,$G584,$H584,J$19)</f>
        <v>78</v>
      </c>
    </row>
    <row r="585" spans="1:10" s="23" customFormat="1" outlineLevel="1" thickBot="1" x14ac:dyDescent="0.3">
      <c r="A585" s="44"/>
      <c r="B585" s="31" t="str">
        <f>IF(_xll.TM1RPTELISCONSOLIDATED($H$20,$H585),IF(_xll.TM1RPTELLEV($H$20,$H585)&lt;=5,_xll.TM1RPTELLEV($H$20,$H585),"Default"),"Leaf")</f>
        <v>Leaf</v>
      </c>
      <c r="C585" s="26" t="s">
        <v>12</v>
      </c>
      <c r="D585" s="24" t="str">
        <f>_xll.DBRW("TM1-S1_DEV:}ElementAttributes_SP_SKU",$F585,D$1)</f>
        <v>Secondary</v>
      </c>
      <c r="E585" s="24" t="str">
        <f>_xll.DBRW("TM1-S1_DEV:}ElementAttributes_SP_SKU",$F585,E$1)</f>
        <v>PAPER</v>
      </c>
      <c r="F585" s="26" t="s">
        <v>225</v>
      </c>
      <c r="G585" s="26" t="s">
        <v>1157</v>
      </c>
      <c r="H585" s="26" t="s">
        <v>2793</v>
      </c>
      <c r="I585" s="54">
        <f>_xll.DBRW($A$1,$F$14,$F$15,$C585,$A$2,$F585,$G585,$H585,I$1)</f>
        <v>70</v>
      </c>
      <c r="J585" s="25">
        <f>_xll.DBRW($A$1,$F$14,$F$15,$C585,$A$2,$F585,$G585,$H585,J$19)</f>
        <v>70</v>
      </c>
    </row>
    <row r="586" spans="1:10" s="23" customFormat="1" outlineLevel="1" thickBot="1" x14ac:dyDescent="0.3">
      <c r="A586" s="44"/>
      <c r="B586" s="31" t="str">
        <f>IF(_xll.TM1RPTELISCONSOLIDATED($H$20,$H586),IF(_xll.TM1RPTELLEV($H$20,$H586)&lt;=5,_xll.TM1RPTELLEV($H$20,$H586),"Default"),"Leaf")</f>
        <v>Leaf</v>
      </c>
      <c r="C586" s="26" t="s">
        <v>12</v>
      </c>
      <c r="D586" s="24" t="str">
        <f>_xll.DBRW("TM1-S1_DEV:}ElementAttributes_SP_SKU",$F586,D$1)</f>
        <v>Secondary</v>
      </c>
      <c r="E586" s="24" t="str">
        <f>_xll.DBRW("TM1-S1_DEV:}ElementAttributes_SP_SKU",$F586,E$1)</f>
        <v>FOIL</v>
      </c>
      <c r="F586" s="26" t="s">
        <v>226</v>
      </c>
      <c r="G586" s="26" t="s">
        <v>1158</v>
      </c>
      <c r="H586" s="26" t="s">
        <v>2727</v>
      </c>
      <c r="I586" s="54">
        <f>_xll.DBRW($A$1,$F$14,$F$15,$C586,$A$2,$F586,$G586,$H586,I$1)</f>
        <v>106</v>
      </c>
      <c r="J586" s="25">
        <f>_xll.DBRW($A$1,$F$14,$F$15,$C586,$A$2,$F586,$G586,$H586,J$19)</f>
        <v>106</v>
      </c>
    </row>
    <row r="587" spans="1:10" s="23" customFormat="1" outlineLevel="1" thickBot="1" x14ac:dyDescent="0.3">
      <c r="A587" s="44"/>
      <c r="B587" s="31" t="str">
        <f>IF(_xll.TM1RPTELISCONSOLIDATED($H$20,$H587),IF(_xll.TM1RPTELLEV($H$20,$H587)&lt;=5,_xll.TM1RPTELLEV($H$20,$H587),"Default"),"Leaf")</f>
        <v>Leaf</v>
      </c>
      <c r="C587" s="26" t="s">
        <v>12</v>
      </c>
      <c r="D587" s="24" t="str">
        <f>_xll.DBRW("TM1-S1_DEV:}ElementAttributes_SP_SKU",$F587,D$1)</f>
        <v>Secondary</v>
      </c>
      <c r="E587" s="24" t="str">
        <f>_xll.DBRW("TM1-S1_DEV:}ElementAttributes_SP_SKU",$F587,E$1)</f>
        <v>PAPER</v>
      </c>
      <c r="F587" s="26" t="s">
        <v>227</v>
      </c>
      <c r="G587" s="26" t="s">
        <v>1159</v>
      </c>
      <c r="H587" s="26" t="s">
        <v>2810</v>
      </c>
      <c r="I587" s="54">
        <f>_xll.DBRW($A$1,$F$14,$F$15,$C587,$A$2,$F587,$G587,$H587,I$1)</f>
        <v>125</v>
      </c>
      <c r="J587" s="25">
        <f>_xll.DBRW($A$1,$F$14,$F$15,$C587,$A$2,$F587,$G587,$H587,J$19)</f>
        <v>290</v>
      </c>
    </row>
    <row r="588" spans="1:10" s="23" customFormat="1" outlineLevel="1" thickBot="1" x14ac:dyDescent="0.3">
      <c r="A588" s="44"/>
      <c r="B588" s="31" t="str">
        <f>IF(_xll.TM1RPTELISCONSOLIDATED($H$20,$H588),IF(_xll.TM1RPTELLEV($H$20,$H588)&lt;=5,_xll.TM1RPTELLEV($H$20,$H588),"Default"),"Leaf")</f>
        <v>Leaf</v>
      </c>
      <c r="C588" s="26" t="s">
        <v>12</v>
      </c>
      <c r="D588" s="24" t="str">
        <f>_xll.DBRW("TM1-S1_DEV:}ElementAttributes_SP_SKU",$F588,D$1)</f>
        <v>Secondary</v>
      </c>
      <c r="E588" s="24" t="str">
        <f>_xll.DBRW("TM1-S1_DEV:}ElementAttributes_SP_SKU",$F588,E$1)</f>
        <v>CUP</v>
      </c>
      <c r="F588" s="26" t="s">
        <v>228</v>
      </c>
      <c r="G588" s="26" t="s">
        <v>1160</v>
      </c>
      <c r="H588" s="26" t="s">
        <v>2793</v>
      </c>
      <c r="I588" s="54">
        <f>_xll.DBRW($A$1,$F$14,$F$15,$C588,$A$2,$F588,$G588,$H588,I$1)</f>
        <v>19</v>
      </c>
      <c r="J588" s="25">
        <f>_xll.DBRW($A$1,$F$14,$F$15,$C588,$A$2,$F588,$G588,$H588,J$19)</f>
        <v>31</v>
      </c>
    </row>
    <row r="589" spans="1:10" s="23" customFormat="1" outlineLevel="1" thickBot="1" x14ac:dyDescent="0.3">
      <c r="A589" s="44"/>
      <c r="B589" s="31" t="str">
        <f>IF(_xll.TM1RPTELISCONSOLIDATED($H$20,$H589),IF(_xll.TM1RPTELLEV($H$20,$H589)&lt;=5,_xll.TM1RPTELLEV($H$20,$H589),"Default"),"Leaf")</f>
        <v>Leaf</v>
      </c>
      <c r="C589" s="26" t="s">
        <v>12</v>
      </c>
      <c r="D589" s="24" t="str">
        <f>_xll.DBRW("TM1-S1_DEV:}ElementAttributes_SP_SKU",$F589,D$1)</f>
        <v>Secondary</v>
      </c>
      <c r="E589" s="24" t="str">
        <f>_xll.DBRW("TM1-S1_DEV:}ElementAttributes_SP_SKU",$F589,E$1)</f>
        <v>PRODUCE</v>
      </c>
      <c r="F589" s="26" t="s">
        <v>229</v>
      </c>
      <c r="G589" s="26" t="s">
        <v>1161</v>
      </c>
      <c r="H589" s="26" t="s">
        <v>2803</v>
      </c>
      <c r="I589" s="54">
        <f>_xll.DBRW($A$1,$F$14,$F$15,$C589,$A$2,$F589,$G589,$H589,I$1)</f>
        <v>17</v>
      </c>
      <c r="J589" s="25">
        <f>_xll.DBRW($A$1,$F$14,$F$15,$C589,$A$2,$F589,$G589,$H589,J$19)</f>
        <v>37</v>
      </c>
    </row>
    <row r="590" spans="1:10" s="23" customFormat="1" outlineLevel="1" thickBot="1" x14ac:dyDescent="0.3">
      <c r="A590" s="44"/>
      <c r="B590" s="31" t="str">
        <f>IF(_xll.TM1RPTELISCONSOLIDATED($H$20,$H590),IF(_xll.TM1RPTELLEV($H$20,$H590)&lt;=5,_xll.TM1RPTELLEV($H$20,$H590),"Default"),"Leaf")</f>
        <v>Leaf</v>
      </c>
      <c r="C590" s="26" t="s">
        <v>12</v>
      </c>
      <c r="D590" s="24" t="str">
        <f>_xll.DBRW("TM1-S1_DEV:}ElementAttributes_SP_SKU",$F590,D$1)</f>
        <v>Secondary</v>
      </c>
      <c r="E590" s="24" t="str">
        <f>_xll.DBRW("TM1-S1_DEV:}ElementAttributes_SP_SKU",$F590,E$1)</f>
        <v>PAPER</v>
      </c>
      <c r="F590" s="26" t="s">
        <v>230</v>
      </c>
      <c r="G590" s="26" t="s">
        <v>1162</v>
      </c>
      <c r="H590" s="26" t="s">
        <v>2808</v>
      </c>
      <c r="I590" s="54">
        <f>_xll.DBRW($A$1,$F$14,$F$15,$C590,$A$2,$F590,$G590,$H590,I$1)</f>
        <v>34</v>
      </c>
      <c r="J590" s="25">
        <f>_xll.DBRW($A$1,$F$14,$F$15,$C590,$A$2,$F590,$G590,$H590,J$19)</f>
        <v>34</v>
      </c>
    </row>
    <row r="591" spans="1:10" s="23" customFormat="1" outlineLevel="1" thickBot="1" x14ac:dyDescent="0.3">
      <c r="A591" s="44"/>
      <c r="B591" s="31" t="str">
        <f>IF(_xll.TM1RPTELISCONSOLIDATED($H$20,$H591),IF(_xll.TM1RPTELLEV($H$20,$H591)&lt;=5,_xll.TM1RPTELLEV($H$20,$H591),"Default"),"Leaf")</f>
        <v>Leaf</v>
      </c>
      <c r="C591" s="26" t="s">
        <v>12</v>
      </c>
      <c r="D591" s="24" t="str">
        <f>_xll.DBRW("TM1-S1_DEV:}ElementAttributes_SP_SKU",$F591,D$1)</f>
        <v>Secondary</v>
      </c>
      <c r="E591" s="24" t="str">
        <f>_xll.DBRW("TM1-S1_DEV:}ElementAttributes_SP_SKU",$F591,E$1)</f>
        <v>DRINKS</v>
      </c>
      <c r="F591" s="26" t="s">
        <v>231</v>
      </c>
      <c r="G591" s="26" t="s">
        <v>1163</v>
      </c>
      <c r="H591" s="26" t="s">
        <v>2746</v>
      </c>
      <c r="I591" s="54">
        <f>_xll.DBRW($A$1,$F$14,$F$15,$C591,$A$2,$F591,$G591,$H591,I$1)</f>
        <v>90</v>
      </c>
      <c r="J591" s="25">
        <f>_xll.DBRW($A$1,$F$14,$F$15,$C591,$A$2,$F591,$G591,$H591,J$19)</f>
        <v>140</v>
      </c>
    </row>
    <row r="592" spans="1:10" s="23" customFormat="1" outlineLevel="1" thickBot="1" x14ac:dyDescent="0.3">
      <c r="A592" s="44"/>
      <c r="B592" s="31" t="str">
        <f>IF(_xll.TM1RPTELISCONSOLIDATED($H$20,$H592),IF(_xll.TM1RPTELLEV($H$20,$H592)&lt;=5,_xll.TM1RPTELLEV($H$20,$H592),"Default"),"Leaf")</f>
        <v>Leaf</v>
      </c>
      <c r="C592" s="26" t="s">
        <v>12</v>
      </c>
      <c r="D592" s="24" t="str">
        <f>_xll.DBRW("TM1-S1_DEV:}ElementAttributes_SP_SKU",$F592,D$1)</f>
        <v>Secondary</v>
      </c>
      <c r="E592" s="24" t="str">
        <f>_xll.DBRW("TM1-S1_DEV:}ElementAttributes_SP_SKU",$F592,E$1)</f>
        <v>PLATE</v>
      </c>
      <c r="F592" s="26" t="s">
        <v>232</v>
      </c>
      <c r="G592" s="26" t="s">
        <v>1164</v>
      </c>
      <c r="H592" s="26" t="s">
        <v>2779</v>
      </c>
      <c r="I592" s="54">
        <f>_xll.DBRW($A$1,$F$14,$F$15,$C592,$A$2,$F592,$G592,$H592,I$1)</f>
        <v>9</v>
      </c>
      <c r="J592" s="25">
        <f>_xll.DBRW($A$1,$F$14,$F$15,$C592,$A$2,$F592,$G592,$H592,J$19)</f>
        <v>19</v>
      </c>
    </row>
    <row r="593" spans="1:10" s="23" customFormat="1" outlineLevel="1" thickBot="1" x14ac:dyDescent="0.3">
      <c r="A593" s="44"/>
      <c r="B593" s="31" t="str">
        <f>IF(_xll.TM1RPTELISCONSOLIDATED($H$20,$H593),IF(_xll.TM1RPTELLEV($H$20,$H593)&lt;=5,_xll.TM1RPTELLEV($H$20,$H593),"Default"),"Leaf")</f>
        <v>Leaf</v>
      </c>
      <c r="C593" s="26" t="s">
        <v>12</v>
      </c>
      <c r="D593" s="24" t="str">
        <f>_xll.DBRW("TM1-S1_DEV:}ElementAttributes_SP_SKU",$F593,D$1)</f>
        <v>Secondary</v>
      </c>
      <c r="E593" s="24" t="str">
        <f>_xll.DBRW("TM1-S1_DEV:}ElementAttributes_SP_SKU",$F593,E$1)</f>
        <v>DRINKS</v>
      </c>
      <c r="F593" s="26" t="s">
        <v>233</v>
      </c>
      <c r="G593" s="26" t="s">
        <v>1165</v>
      </c>
      <c r="H593" s="26" t="s">
        <v>2811</v>
      </c>
      <c r="I593" s="54">
        <f>_xll.DBRW($A$1,$F$14,$F$15,$C593,$A$2,$F593,$G593,$H593,I$1)</f>
        <v>17</v>
      </c>
      <c r="J593" s="25">
        <f>_xll.DBRW($A$1,$F$14,$F$15,$C593,$A$2,$F593,$G593,$H593,J$19)</f>
        <v>17</v>
      </c>
    </row>
    <row r="594" spans="1:10" s="23" customFormat="1" outlineLevel="1" thickBot="1" x14ac:dyDescent="0.3">
      <c r="A594" s="44"/>
      <c r="B594" s="31" t="str">
        <f>IF(_xll.TM1RPTELISCONSOLIDATED($H$20,$H594),IF(_xll.TM1RPTELLEV($H$20,$H594)&lt;=5,_xll.TM1RPTELLEV($H$20,$H594),"Default"),"Leaf")</f>
        <v>Leaf</v>
      </c>
      <c r="C594" s="26" t="s">
        <v>12</v>
      </c>
      <c r="D594" s="24" t="str">
        <f>_xll.DBRW("TM1-S1_DEV:}ElementAttributes_SP_SKU",$F594,D$1)</f>
        <v>Secondary</v>
      </c>
      <c r="E594" s="24" t="str">
        <f>_xll.DBRW("TM1-S1_DEV:}ElementAttributes_SP_SKU",$F594,E$1)</f>
        <v>CRACKERS</v>
      </c>
      <c r="F594" s="26" t="s">
        <v>234</v>
      </c>
      <c r="G594" s="26" t="s">
        <v>1166</v>
      </c>
      <c r="H594" s="26" t="s">
        <v>2812</v>
      </c>
      <c r="I594" s="54">
        <f>_xll.DBRW($A$1,$F$14,$F$15,$C594,$A$2,$F594,$G594,$H594,I$1)</f>
        <v>74</v>
      </c>
      <c r="J594" s="25">
        <f>_xll.DBRW($A$1,$F$14,$F$15,$C594,$A$2,$F594,$G594,$H594,J$19)</f>
        <v>74</v>
      </c>
    </row>
    <row r="595" spans="1:10" s="23" customFormat="1" outlineLevel="1" thickBot="1" x14ac:dyDescent="0.3">
      <c r="A595" s="44"/>
      <c r="B595" s="31" t="str">
        <f>IF(_xll.TM1RPTELISCONSOLIDATED($H$20,$H595),IF(_xll.TM1RPTELLEV($H$20,$H595)&lt;=5,_xll.TM1RPTELLEV($H$20,$H595),"Default"),"Leaf")</f>
        <v>Leaf</v>
      </c>
      <c r="C595" s="26" t="s">
        <v>12</v>
      </c>
      <c r="D595" s="24" t="str">
        <f>_xll.DBRW("TM1-S1_DEV:}ElementAttributes_SP_SKU",$F595,D$1)</f>
        <v>Secondary</v>
      </c>
      <c r="E595" s="24" t="str">
        <f>_xll.DBRW("TM1-S1_DEV:}ElementAttributes_SP_SKU",$F595,E$1)</f>
        <v>MINT</v>
      </c>
      <c r="F595" s="26" t="s">
        <v>235</v>
      </c>
      <c r="G595" s="26" t="s">
        <v>1167</v>
      </c>
      <c r="H595" s="26" t="s">
        <v>2813</v>
      </c>
      <c r="I595" s="54">
        <f>_xll.DBRW($A$1,$F$14,$F$15,$C595,$A$2,$F595,$G595,$H595,I$1)</f>
        <v>11</v>
      </c>
      <c r="J595" s="25">
        <f>_xll.DBRW($A$1,$F$14,$F$15,$C595,$A$2,$F595,$G595,$H595,J$19)</f>
        <v>11</v>
      </c>
    </row>
    <row r="596" spans="1:10" s="23" customFormat="1" outlineLevel="1" thickBot="1" x14ac:dyDescent="0.3">
      <c r="A596" s="44"/>
      <c r="B596" s="31" t="str">
        <f>IF(_xll.TM1RPTELISCONSOLIDATED($H$20,$H596),IF(_xll.TM1RPTELLEV($H$20,$H596)&lt;=5,_xll.TM1RPTELLEV($H$20,$H596),"Default"),"Leaf")</f>
        <v>Leaf</v>
      </c>
      <c r="C596" s="26" t="s">
        <v>12</v>
      </c>
      <c r="D596" s="24" t="str">
        <f>_xll.DBRW("TM1-S1_DEV:}ElementAttributes_SP_SKU",$F596,D$1)</f>
        <v>Secondary</v>
      </c>
      <c r="E596" s="24" t="str">
        <f>_xll.DBRW("TM1-S1_DEV:}ElementAttributes_SP_SKU",$F596,E$1)</f>
        <v>DRINKS</v>
      </c>
      <c r="F596" s="26" t="s">
        <v>236</v>
      </c>
      <c r="G596" s="26" t="s">
        <v>1168</v>
      </c>
      <c r="H596" s="26" t="s">
        <v>2746</v>
      </c>
      <c r="I596" s="54">
        <f>_xll.DBRW($A$1,$F$14,$F$15,$C596,$A$2,$F596,$G596,$H596,I$1)</f>
        <v>18</v>
      </c>
      <c r="J596" s="25">
        <f>_xll.DBRW($A$1,$F$14,$F$15,$C596,$A$2,$F596,$G596,$H596,J$19)</f>
        <v>18</v>
      </c>
    </row>
    <row r="597" spans="1:10" s="23" customFormat="1" outlineLevel="1" thickBot="1" x14ac:dyDescent="0.3">
      <c r="A597" s="44"/>
      <c r="B597" s="31" t="str">
        <f>IF(_xll.TM1RPTELISCONSOLIDATED($H$20,$H597),IF(_xll.TM1RPTELLEV($H$20,$H597)&lt;=5,_xll.TM1RPTELLEV($H$20,$H597),"Default"),"Leaf")</f>
        <v>Leaf</v>
      </c>
      <c r="C597" s="26" t="s">
        <v>12</v>
      </c>
      <c r="D597" s="24" t="str">
        <f>_xll.DBRW("TM1-S1_DEV:}ElementAttributes_SP_SKU",$F597,D$1)</f>
        <v>Secondary</v>
      </c>
      <c r="E597" s="24" t="str">
        <f>_xll.DBRW("TM1-S1_DEV:}ElementAttributes_SP_SKU",$F597,E$1)</f>
        <v>TOOTHPICK</v>
      </c>
      <c r="F597" s="26" t="s">
        <v>237</v>
      </c>
      <c r="G597" s="26" t="s">
        <v>1169</v>
      </c>
      <c r="H597" s="26" t="s">
        <v>2814</v>
      </c>
      <c r="I597" s="54">
        <f>_xll.DBRW($A$1,$F$14,$F$15,$C597,$A$2,$F597,$G597,$H597,I$1)</f>
        <v>37</v>
      </c>
      <c r="J597" s="25">
        <f>_xll.DBRW($A$1,$F$14,$F$15,$C597,$A$2,$F597,$G597,$H597,J$19)</f>
        <v>37</v>
      </c>
    </row>
    <row r="598" spans="1:10" s="23" customFormat="1" outlineLevel="1" thickBot="1" x14ac:dyDescent="0.3">
      <c r="A598" s="44"/>
      <c r="B598" s="31" t="str">
        <f>IF(_xll.TM1RPTELISCONSOLIDATED($H$20,$H598),IF(_xll.TM1RPTELLEV($H$20,$H598)&lt;=5,_xll.TM1RPTELLEV($H$20,$H598),"Default"),"Leaf")</f>
        <v>Leaf</v>
      </c>
      <c r="C598" s="26" t="s">
        <v>12</v>
      </c>
      <c r="D598" s="24" t="str">
        <f>_xll.DBRW("TM1-S1_DEV:}ElementAttributes_SP_SKU",$F598,D$1)</f>
        <v>Secondary</v>
      </c>
      <c r="E598" s="24" t="str">
        <f>_xll.DBRW("TM1-S1_DEV:}ElementAttributes_SP_SKU",$F598,E$1)</f>
        <v>BAG</v>
      </c>
      <c r="F598" s="26" t="s">
        <v>238</v>
      </c>
      <c r="G598" s="26" t="s">
        <v>1170</v>
      </c>
      <c r="H598" s="26" t="s">
        <v>2815</v>
      </c>
      <c r="I598" s="54">
        <f>_xll.DBRW($A$1,$F$14,$F$15,$C598,$A$2,$F598,$G598,$H598,I$1)</f>
        <v>19</v>
      </c>
      <c r="J598" s="25">
        <f>_xll.DBRW($A$1,$F$14,$F$15,$C598,$A$2,$F598,$G598,$H598,J$19)</f>
        <v>19</v>
      </c>
    </row>
    <row r="599" spans="1:10" s="23" customFormat="1" outlineLevel="1" thickBot="1" x14ac:dyDescent="0.3">
      <c r="A599" s="44"/>
      <c r="B599" s="31" t="str">
        <f>IF(_xll.TM1RPTELISCONSOLIDATED($H$20,$H599),IF(_xll.TM1RPTELLEV($H$20,$H599)&lt;=5,_xll.TM1RPTELLEV($H$20,$H599),"Default"),"Leaf")</f>
        <v>Leaf</v>
      </c>
      <c r="C599" s="26" t="s">
        <v>12</v>
      </c>
      <c r="D599" s="24" t="str">
        <f>_xll.DBRW("TM1-S1_DEV:}ElementAttributes_SP_SKU",$F599,D$1)</f>
        <v>Secondary</v>
      </c>
      <c r="E599" s="24" t="str">
        <f>_xll.DBRW("TM1-S1_DEV:}ElementAttributes_SP_SKU",$F599,E$1)</f>
        <v>EQUIP</v>
      </c>
      <c r="F599" s="26" t="s">
        <v>239</v>
      </c>
      <c r="G599" s="26" t="s">
        <v>1171</v>
      </c>
      <c r="H599" s="26" t="s">
        <v>2727</v>
      </c>
      <c r="I599" s="54">
        <f>_xll.DBRW($A$1,$F$14,$F$15,$C599,$A$2,$F599,$G599,$H599,I$1)</f>
        <v>79</v>
      </c>
      <c r="J599" s="25">
        <f>_xll.DBRW($A$1,$F$14,$F$15,$C599,$A$2,$F599,$G599,$H599,J$19)</f>
        <v>79</v>
      </c>
    </row>
    <row r="600" spans="1:10" s="23" customFormat="1" outlineLevel="1" thickBot="1" x14ac:dyDescent="0.3">
      <c r="A600" s="44"/>
      <c r="B600" s="31" t="str">
        <f>IF(_xll.TM1RPTELISCONSOLIDATED($H$20,$H600),IF(_xll.TM1RPTELLEV($H$20,$H600)&lt;=5,_xll.TM1RPTELLEV($H$20,$H600),"Default"),"Leaf")</f>
        <v>Leaf</v>
      </c>
      <c r="C600" s="26" t="s">
        <v>12</v>
      </c>
      <c r="D600" s="24" t="str">
        <f>_xll.DBRW("TM1-S1_DEV:}ElementAttributes_SP_SKU",$F600,D$1)</f>
        <v>Secondary</v>
      </c>
      <c r="E600" s="24" t="str">
        <f>_xll.DBRW("TM1-S1_DEV:}ElementAttributes_SP_SKU",$F600,E$1)</f>
        <v>PAPER</v>
      </c>
      <c r="F600" s="26" t="s">
        <v>240</v>
      </c>
      <c r="G600" s="26" t="s">
        <v>1172</v>
      </c>
      <c r="H600" s="26" t="s">
        <v>2816</v>
      </c>
      <c r="I600" s="54">
        <f>_xll.DBRW($A$1,$F$14,$F$15,$C600,$A$2,$F600,$G600,$H600,I$1)</f>
        <v>233</v>
      </c>
      <c r="J600" s="25">
        <f>_xll.DBRW($A$1,$F$14,$F$15,$C600,$A$2,$F600,$G600,$H600,J$19)</f>
        <v>233</v>
      </c>
    </row>
    <row r="601" spans="1:10" s="23" customFormat="1" outlineLevel="1" thickBot="1" x14ac:dyDescent="0.3">
      <c r="A601" s="44"/>
      <c r="B601" s="31" t="str">
        <f>IF(_xll.TM1RPTELISCONSOLIDATED($H$20,$H601),IF(_xll.TM1RPTELLEV($H$20,$H601)&lt;=5,_xll.TM1RPTELLEV($H$20,$H601),"Default"),"Leaf")</f>
        <v>Leaf</v>
      </c>
      <c r="C601" s="26" t="s">
        <v>12</v>
      </c>
      <c r="D601" s="24" t="str">
        <f>_xll.DBRW("TM1-S1_DEV:}ElementAttributes_SP_SKU",$F601,D$1)</f>
        <v>Secondary</v>
      </c>
      <c r="E601" s="24" t="str">
        <f>_xll.DBRW("TM1-S1_DEV:}ElementAttributes_SP_SKU",$F601,E$1)</f>
        <v>PAPER</v>
      </c>
      <c r="F601" s="26" t="s">
        <v>241</v>
      </c>
      <c r="G601" s="26" t="s">
        <v>1173</v>
      </c>
      <c r="H601" s="26" t="s">
        <v>2816</v>
      </c>
      <c r="I601" s="54">
        <f>_xll.DBRW($A$1,$F$14,$F$15,$C601,$A$2,$F601,$G601,$H601,I$1)</f>
        <v>4</v>
      </c>
      <c r="J601" s="25">
        <f>_xll.DBRW($A$1,$F$14,$F$15,$C601,$A$2,$F601,$G601,$H601,J$19)</f>
        <v>4</v>
      </c>
    </row>
    <row r="602" spans="1:10" s="23" customFormat="1" outlineLevel="1" thickBot="1" x14ac:dyDescent="0.3">
      <c r="A602" s="44"/>
      <c r="B602" s="31" t="str">
        <f>IF(_xll.TM1RPTELISCONSOLIDATED($H$20,$H602),IF(_xll.TM1RPTELLEV($H$20,$H602)&lt;=5,_xll.TM1RPTELLEV($H$20,$H602),"Default"),"Leaf")</f>
        <v>Leaf</v>
      </c>
      <c r="C602" s="26" t="s">
        <v>12</v>
      </c>
      <c r="D602" s="24" t="str">
        <f>_xll.DBRW("TM1-S1_DEV:}ElementAttributes_SP_SKU",$F602,D$1)</f>
        <v>Secondary</v>
      </c>
      <c r="E602" s="24" t="str">
        <f>_xll.DBRW("TM1-S1_DEV:}ElementAttributes_SP_SKU",$F602,E$1)</f>
        <v>BAG</v>
      </c>
      <c r="F602" s="26" t="s">
        <v>242</v>
      </c>
      <c r="G602" s="26" t="s">
        <v>1174</v>
      </c>
      <c r="H602" s="26" t="s">
        <v>2817</v>
      </c>
      <c r="I602" s="54">
        <f>_xll.DBRW($A$1,$F$14,$F$15,$C602,$A$2,$F602,$G602,$H602,I$1)</f>
        <v>26</v>
      </c>
      <c r="J602" s="25">
        <f>_xll.DBRW($A$1,$F$14,$F$15,$C602,$A$2,$F602,$G602,$H602,J$19)</f>
        <v>122</v>
      </c>
    </row>
    <row r="603" spans="1:10" s="23" customFormat="1" outlineLevel="1" thickBot="1" x14ac:dyDescent="0.3">
      <c r="A603" s="44"/>
      <c r="B603" s="31" t="str">
        <f>IF(_xll.TM1RPTELISCONSOLIDATED($H$20,$H603),IF(_xll.TM1RPTELLEV($H$20,$H603)&lt;=5,_xll.TM1RPTELLEV($H$20,$H603),"Default"),"Leaf")</f>
        <v>Leaf</v>
      </c>
      <c r="C603" s="26" t="s">
        <v>12</v>
      </c>
      <c r="D603" s="24" t="str">
        <f>_xll.DBRW("TM1-S1_DEV:}ElementAttributes_SP_SKU",$F603,D$1)</f>
        <v>Secondary</v>
      </c>
      <c r="E603" s="24" t="str">
        <f>_xll.DBRW("TM1-S1_DEV:}ElementAttributes_SP_SKU",$F603,E$1)</f>
        <v>CRACKERS</v>
      </c>
      <c r="F603" s="26" t="s">
        <v>243</v>
      </c>
      <c r="G603" s="26" t="s">
        <v>1175</v>
      </c>
      <c r="H603" s="26" t="s">
        <v>2812</v>
      </c>
      <c r="I603" s="54">
        <f>_xll.DBRW($A$1,$F$14,$F$15,$C603,$A$2,$F603,$G603,$H603,I$1)</f>
        <v>75</v>
      </c>
      <c r="J603" s="25">
        <f>_xll.DBRW($A$1,$F$14,$F$15,$C603,$A$2,$F603,$G603,$H603,J$19)</f>
        <v>75</v>
      </c>
    </row>
    <row r="604" spans="1:10" s="23" customFormat="1" outlineLevel="1" thickBot="1" x14ac:dyDescent="0.3">
      <c r="A604" s="44"/>
      <c r="B604" s="31" t="str">
        <f>IF(_xll.TM1RPTELISCONSOLIDATED($H$20,$H604),IF(_xll.TM1RPTELLEV($H$20,$H604)&lt;=5,_xll.TM1RPTELLEV($H$20,$H604),"Default"),"Leaf")</f>
        <v>Leaf</v>
      </c>
      <c r="C604" s="26" t="s">
        <v>12</v>
      </c>
      <c r="D604" s="24" t="str">
        <f>_xll.DBRW("TM1-S1_DEV:}ElementAttributes_SP_SKU",$F604,D$1)</f>
        <v>Secondary</v>
      </c>
      <c r="E604" s="24" t="str">
        <f>_xll.DBRW("TM1-S1_DEV:}ElementAttributes_SP_SKU",$F604,E$1)</f>
        <v>EQUIP</v>
      </c>
      <c r="F604" s="26" t="s">
        <v>244</v>
      </c>
      <c r="G604" s="26" t="s">
        <v>1176</v>
      </c>
      <c r="H604" s="26" t="s">
        <v>2727</v>
      </c>
      <c r="I604" s="54">
        <f>_xll.DBRW($A$1,$F$14,$F$15,$C604,$A$2,$F604,$G604,$H604,I$1)</f>
        <v>25</v>
      </c>
      <c r="J604" s="25">
        <f>_xll.DBRW($A$1,$F$14,$F$15,$C604,$A$2,$F604,$G604,$H604,J$19)</f>
        <v>25</v>
      </c>
    </row>
    <row r="605" spans="1:10" s="23" customFormat="1" outlineLevel="1" thickBot="1" x14ac:dyDescent="0.3">
      <c r="A605" s="44"/>
      <c r="B605" s="31" t="str">
        <f>IF(_xll.TM1RPTELISCONSOLIDATED($H$20,$H605),IF(_xll.TM1RPTELLEV($H$20,$H605)&lt;=5,_xll.TM1RPTELLEV($H$20,$H605),"Default"),"Leaf")</f>
        <v>Leaf</v>
      </c>
      <c r="C605" s="26" t="s">
        <v>12</v>
      </c>
      <c r="D605" s="24" t="str">
        <f>_xll.DBRW("TM1-S1_DEV:}ElementAttributes_SP_SKU",$F605,D$1)</f>
        <v>Secondary</v>
      </c>
      <c r="E605" s="24" t="str">
        <f>_xll.DBRW("TM1-S1_DEV:}ElementAttributes_SP_SKU",$F605,E$1)</f>
        <v>PAPER</v>
      </c>
      <c r="F605" s="26" t="s">
        <v>245</v>
      </c>
      <c r="G605" s="26" t="s">
        <v>1177</v>
      </c>
      <c r="H605" s="26" t="s">
        <v>2807</v>
      </c>
      <c r="I605" s="54">
        <f>_xll.DBRW($A$1,$F$14,$F$15,$C605,$A$2,$F605,$G605,$H605,I$1)</f>
        <v>34</v>
      </c>
      <c r="J605" s="25">
        <f>_xll.DBRW($A$1,$F$14,$F$15,$C605,$A$2,$F605,$G605,$H605,J$19)</f>
        <v>34</v>
      </c>
    </row>
    <row r="606" spans="1:10" s="23" customFormat="1" outlineLevel="1" thickBot="1" x14ac:dyDescent="0.3">
      <c r="A606" s="44"/>
      <c r="B606" s="31" t="str">
        <f>IF(_xll.TM1RPTELISCONSOLIDATED($H$20,$H606),IF(_xll.TM1RPTELLEV($H$20,$H606)&lt;=5,_xll.TM1RPTELLEV($H$20,$H606),"Default"),"Leaf")</f>
        <v>Leaf</v>
      </c>
      <c r="C606" s="26" t="s">
        <v>12</v>
      </c>
      <c r="D606" s="24" t="str">
        <f>_xll.DBRW("TM1-S1_DEV:}ElementAttributes_SP_SKU",$F606,D$1)</f>
        <v>Secondary</v>
      </c>
      <c r="E606" s="24" t="str">
        <f>_xll.DBRW("TM1-S1_DEV:}ElementAttributes_SP_SKU",$F606,E$1)</f>
        <v>BAG</v>
      </c>
      <c r="F606" s="26" t="s">
        <v>246</v>
      </c>
      <c r="G606" s="26" t="s">
        <v>1178</v>
      </c>
      <c r="H606" s="26" t="s">
        <v>2818</v>
      </c>
      <c r="I606" s="54">
        <f>_xll.DBRW($A$1,$F$14,$F$15,$C606,$A$2,$F606,$G606,$H606,I$1)</f>
        <v>8</v>
      </c>
      <c r="J606" s="25">
        <f>_xll.DBRW($A$1,$F$14,$F$15,$C606,$A$2,$F606,$G606,$H606,J$19)</f>
        <v>8</v>
      </c>
    </row>
    <row r="607" spans="1:10" s="23" customFormat="1" outlineLevel="1" thickBot="1" x14ac:dyDescent="0.3">
      <c r="A607" s="44"/>
      <c r="B607" s="31" t="str">
        <f>IF(_xll.TM1RPTELISCONSOLIDATED($H$20,$H607),IF(_xll.TM1RPTELLEV($H$20,$H607)&lt;=5,_xll.TM1RPTELLEV($H$20,$H607),"Default"),"Leaf")</f>
        <v>Leaf</v>
      </c>
      <c r="C607" s="26" t="s">
        <v>12</v>
      </c>
      <c r="D607" s="24" t="str">
        <f>_xll.DBRW("TM1-S1_DEV:}ElementAttributes_SP_SKU",$F607,D$1)</f>
        <v>Secondary</v>
      </c>
      <c r="E607" s="24" t="str">
        <f>_xll.DBRW("TM1-S1_DEV:}ElementAttributes_SP_SKU",$F607,E$1)</f>
        <v>BAG</v>
      </c>
      <c r="F607" s="26" t="s">
        <v>247</v>
      </c>
      <c r="G607" s="26" t="s">
        <v>1179</v>
      </c>
      <c r="H607" s="26" t="s">
        <v>2818</v>
      </c>
      <c r="I607" s="54">
        <f>_xll.DBRW($A$1,$F$14,$F$15,$C607,$A$2,$F607,$G607,$H607,I$1)</f>
        <v>20</v>
      </c>
      <c r="J607" s="25">
        <f>_xll.DBRW($A$1,$F$14,$F$15,$C607,$A$2,$F607,$G607,$H607,J$19)</f>
        <v>20</v>
      </c>
    </row>
    <row r="608" spans="1:10" s="23" customFormat="1" outlineLevel="1" thickBot="1" x14ac:dyDescent="0.3">
      <c r="A608" s="44"/>
      <c r="B608" s="31" t="str">
        <f>IF(_xll.TM1RPTELISCONSOLIDATED($H$20,$H608),IF(_xll.TM1RPTELLEV($H$20,$H608)&lt;=5,_xll.TM1RPTELLEV($H$20,$H608),"Default"),"Leaf")</f>
        <v>Leaf</v>
      </c>
      <c r="C608" s="26" t="s">
        <v>12</v>
      </c>
      <c r="D608" s="24" t="str">
        <f>_xll.DBRW("TM1-S1_DEV:}ElementAttributes_SP_SKU",$F608,D$1)</f>
        <v>Secondary</v>
      </c>
      <c r="E608" s="24" t="str">
        <f>_xll.DBRW("TM1-S1_DEV:}ElementAttributes_SP_SKU",$F608,E$1)</f>
        <v>DRINKS</v>
      </c>
      <c r="F608" s="26" t="s">
        <v>248</v>
      </c>
      <c r="G608" s="26" t="s">
        <v>1180</v>
      </c>
      <c r="H608" s="26" t="s">
        <v>2746</v>
      </c>
      <c r="I608" s="54">
        <f>_xll.DBRW($A$1,$F$14,$F$15,$C608,$A$2,$F608,$G608,$H608,I$1)</f>
        <v>7</v>
      </c>
      <c r="J608" s="25">
        <f>_xll.DBRW($A$1,$F$14,$F$15,$C608,$A$2,$F608,$G608,$H608,J$19)</f>
        <v>12</v>
      </c>
    </row>
    <row r="609" spans="1:10" s="23" customFormat="1" outlineLevel="1" thickBot="1" x14ac:dyDescent="0.3">
      <c r="A609" s="44"/>
      <c r="B609" s="31" t="str">
        <f>IF(_xll.TM1RPTELISCONSOLIDATED($H$20,$H609),IF(_xll.TM1RPTELLEV($H$20,$H609)&lt;=5,_xll.TM1RPTELLEV($H$20,$H609),"Default"),"Leaf")</f>
        <v>Leaf</v>
      </c>
      <c r="C609" s="26" t="s">
        <v>12</v>
      </c>
      <c r="D609" s="24" t="str">
        <f>_xll.DBRW("TM1-S1_DEV:}ElementAttributes_SP_SKU",$F609,D$1)</f>
        <v>Secondary</v>
      </c>
      <c r="E609" s="24" t="str">
        <f>_xll.DBRW("TM1-S1_DEV:}ElementAttributes_SP_SKU",$F609,E$1)</f>
        <v>BAG</v>
      </c>
      <c r="F609" s="26" t="s">
        <v>249</v>
      </c>
      <c r="G609" s="26" t="s">
        <v>1181</v>
      </c>
      <c r="H609" s="26" t="s">
        <v>2818</v>
      </c>
      <c r="I609" s="54">
        <f>_xll.DBRW($A$1,$F$14,$F$15,$C609,$A$2,$F609,$G609,$H609,I$1)</f>
        <v>20</v>
      </c>
      <c r="J609" s="25">
        <f>_xll.DBRW($A$1,$F$14,$F$15,$C609,$A$2,$F609,$G609,$H609,J$19)</f>
        <v>20</v>
      </c>
    </row>
    <row r="610" spans="1:10" s="23" customFormat="1" outlineLevel="1" thickBot="1" x14ac:dyDescent="0.3">
      <c r="A610" s="44"/>
      <c r="B610" s="31" t="str">
        <f>IF(_xll.TM1RPTELISCONSOLIDATED($H$20,$H610),IF(_xll.TM1RPTELLEV($H$20,$H610)&lt;=5,_xll.TM1RPTELLEV($H$20,$H610),"Default"),"Leaf")</f>
        <v>Leaf</v>
      </c>
      <c r="C610" s="26" t="s">
        <v>12</v>
      </c>
      <c r="D610" s="24" t="str">
        <f>_xll.DBRW("TM1-S1_DEV:}ElementAttributes_SP_SKU",$F610,D$1)</f>
        <v>Secondary</v>
      </c>
      <c r="E610" s="24" t="str">
        <f>_xll.DBRW("TM1-S1_DEV:}ElementAttributes_SP_SKU",$F610,E$1)</f>
        <v>CONTAINER</v>
      </c>
      <c r="F610" s="26" t="s">
        <v>250</v>
      </c>
      <c r="G610" s="26" t="s">
        <v>1052</v>
      </c>
      <c r="H610" s="26" t="s">
        <v>2789</v>
      </c>
      <c r="I610" s="54">
        <f>_xll.DBRW($A$1,$F$14,$F$15,$C610,$A$2,$F610,$G610,$H610,I$1)</f>
        <v>250</v>
      </c>
      <c r="J610" s="25">
        <f>_xll.DBRW($A$1,$F$14,$F$15,$C610,$A$2,$F610,$G610,$H610,J$19)</f>
        <v>250</v>
      </c>
    </row>
    <row r="611" spans="1:10" s="23" customFormat="1" outlineLevel="1" thickBot="1" x14ac:dyDescent="0.3">
      <c r="A611" s="44"/>
      <c r="B611" s="31" t="str">
        <f>IF(_xll.TM1RPTELISCONSOLIDATED($H$20,$H611),IF(_xll.TM1RPTELLEV($H$20,$H611)&lt;=5,_xll.TM1RPTELLEV($H$20,$H611),"Default"),"Leaf")</f>
        <v>Leaf</v>
      </c>
      <c r="C611" s="26" t="s">
        <v>12</v>
      </c>
      <c r="D611" s="24" t="str">
        <f>_xll.DBRW("TM1-S1_DEV:}ElementAttributes_SP_SKU",$F611,D$1)</f>
        <v>Secondary</v>
      </c>
      <c r="E611" s="24" t="str">
        <f>_xll.DBRW("TM1-S1_DEV:}ElementAttributes_SP_SKU",$F611,E$1)</f>
        <v>CONTAINER</v>
      </c>
      <c r="F611" s="26" t="s">
        <v>251</v>
      </c>
      <c r="G611" s="26" t="s">
        <v>1182</v>
      </c>
      <c r="H611" s="26" t="s">
        <v>2781</v>
      </c>
      <c r="I611" s="54">
        <f>_xll.DBRW($A$1,$F$14,$F$15,$C611,$A$2,$F611,$G611,$H611,I$1)</f>
        <v>2</v>
      </c>
      <c r="J611" s="25">
        <f>_xll.DBRW($A$1,$F$14,$F$15,$C611,$A$2,$F611,$G611,$H611,J$19)</f>
        <v>11</v>
      </c>
    </row>
    <row r="612" spans="1:10" s="23" customFormat="1" outlineLevel="1" thickBot="1" x14ac:dyDescent="0.3">
      <c r="A612" s="44"/>
      <c r="B612" s="31" t="str">
        <f>IF(_xll.TM1RPTELISCONSOLIDATED($H$20,$H612),IF(_xll.TM1RPTELLEV($H$20,$H612)&lt;=5,_xll.TM1RPTELLEV($H$20,$H612),"Default"),"Leaf")</f>
        <v>Leaf</v>
      </c>
      <c r="C612" s="26" t="s">
        <v>12</v>
      </c>
      <c r="D612" s="24" t="str">
        <f>_xll.DBRW("TM1-S1_DEV:}ElementAttributes_SP_SKU",$F612,D$1)</f>
        <v>Secondary</v>
      </c>
      <c r="E612" s="24" t="str">
        <f>_xll.DBRW("TM1-S1_DEV:}ElementAttributes_SP_SKU",$F612,E$1)</f>
        <v>PRODUCE</v>
      </c>
      <c r="F612" s="26" t="s">
        <v>252</v>
      </c>
      <c r="G612" s="26" t="s">
        <v>1183</v>
      </c>
      <c r="H612" s="26" t="s">
        <v>2819</v>
      </c>
      <c r="I612" s="54">
        <f>_xll.DBRW($A$1,$F$14,$F$15,$C612,$A$2,$F612,$G612,$H612,I$1)</f>
        <v>18</v>
      </c>
      <c r="J612" s="25">
        <f>_xll.DBRW($A$1,$F$14,$F$15,$C612,$A$2,$F612,$G612,$H612,J$19)</f>
        <v>47</v>
      </c>
    </row>
    <row r="613" spans="1:10" s="23" customFormat="1" outlineLevel="1" thickBot="1" x14ac:dyDescent="0.3">
      <c r="A613" s="44"/>
      <c r="B613" s="31" t="str">
        <f>IF(_xll.TM1RPTELISCONSOLIDATED($H$20,$H613),IF(_xll.TM1RPTELLEV($H$20,$H613)&lt;=5,_xll.TM1RPTELLEV($H$20,$H613),"Default"),"Leaf")</f>
        <v>Leaf</v>
      </c>
      <c r="C613" s="26" t="s">
        <v>12</v>
      </c>
      <c r="D613" s="24" t="str">
        <f>_xll.DBRW("TM1-S1_DEV:}ElementAttributes_SP_SKU",$F613,D$1)</f>
        <v>Secondary</v>
      </c>
      <c r="E613" s="24" t="str">
        <f>_xll.DBRW("TM1-S1_DEV:}ElementAttributes_SP_SKU",$F613,E$1)</f>
        <v>CUP</v>
      </c>
      <c r="F613" s="26" t="s">
        <v>253</v>
      </c>
      <c r="G613" s="26" t="s">
        <v>1184</v>
      </c>
      <c r="H613" s="26" t="s">
        <v>2787</v>
      </c>
      <c r="I613" s="54">
        <f>_xll.DBRW($A$1,$F$14,$F$15,$C613,$A$2,$F613,$G613,$H613,I$1)</f>
        <v>88</v>
      </c>
      <c r="J613" s="25">
        <f>_xll.DBRW($A$1,$F$14,$F$15,$C613,$A$2,$F613,$G613,$H613,J$19)</f>
        <v>133</v>
      </c>
    </row>
    <row r="614" spans="1:10" s="23" customFormat="1" outlineLevel="1" thickBot="1" x14ac:dyDescent="0.3">
      <c r="A614" s="44"/>
      <c r="B614" s="31" t="str">
        <f>IF(_xll.TM1RPTELISCONSOLIDATED($H$20,$H614),IF(_xll.TM1RPTELLEV($H$20,$H614)&lt;=5,_xll.TM1RPTELLEV($H$20,$H614),"Default"),"Leaf")</f>
        <v>Leaf</v>
      </c>
      <c r="C614" s="26" t="s">
        <v>12</v>
      </c>
      <c r="D614" s="24" t="str">
        <f>_xll.DBRW("TM1-S1_DEV:}ElementAttributes_SP_SKU",$F614,D$1)</f>
        <v>Secondary</v>
      </c>
      <c r="E614" s="24" t="str">
        <f>_xll.DBRW("TM1-S1_DEV:}ElementAttributes_SP_SKU",$F614,E$1)</f>
        <v>BAG</v>
      </c>
      <c r="F614" s="26" t="s">
        <v>254</v>
      </c>
      <c r="G614" s="26" t="s">
        <v>1185</v>
      </c>
      <c r="H614" s="26" t="s">
        <v>2818</v>
      </c>
      <c r="I614" s="54">
        <f>_xll.DBRW($A$1,$F$14,$F$15,$C614,$A$2,$F614,$G614,$H614,I$1)</f>
        <v>32</v>
      </c>
      <c r="J614" s="25">
        <f>_xll.DBRW($A$1,$F$14,$F$15,$C614,$A$2,$F614,$G614,$H614,J$19)</f>
        <v>32</v>
      </c>
    </row>
    <row r="615" spans="1:10" s="23" customFormat="1" outlineLevel="1" thickBot="1" x14ac:dyDescent="0.3">
      <c r="A615" s="44"/>
      <c r="B615" s="31" t="str">
        <f>IF(_xll.TM1RPTELISCONSOLIDATED($H$20,$H615),IF(_xll.TM1RPTELLEV($H$20,$H615)&lt;=5,_xll.TM1RPTELLEV($H$20,$H615),"Default"),"Leaf")</f>
        <v>Leaf</v>
      </c>
      <c r="C615" s="26" t="s">
        <v>12</v>
      </c>
      <c r="D615" s="24" t="str">
        <f>_xll.DBRW("TM1-S1_DEV:}ElementAttributes_SP_SKU",$F615,D$1)</f>
        <v>Secondary</v>
      </c>
      <c r="E615" s="24" t="str">
        <f>_xll.DBRW("TM1-S1_DEV:}ElementAttributes_SP_SKU",$F615,E$1)</f>
        <v>EQUIP</v>
      </c>
      <c r="F615" s="26" t="s">
        <v>255</v>
      </c>
      <c r="G615" s="26" t="s">
        <v>1186</v>
      </c>
      <c r="H615" s="26" t="s">
        <v>2727</v>
      </c>
      <c r="I615" s="54">
        <f>_xll.DBRW($A$1,$F$14,$F$15,$C615,$A$2,$F615,$G615,$H615,I$1)</f>
        <v>138</v>
      </c>
      <c r="J615" s="25">
        <f>_xll.DBRW($A$1,$F$14,$F$15,$C615,$A$2,$F615,$G615,$H615,J$19)</f>
        <v>138</v>
      </c>
    </row>
    <row r="616" spans="1:10" s="23" customFormat="1" outlineLevel="1" thickBot="1" x14ac:dyDescent="0.3">
      <c r="A616" s="44"/>
      <c r="B616" s="31" t="str">
        <f>IF(_xll.TM1RPTELISCONSOLIDATED($H$20,$H616),IF(_xll.TM1RPTELLEV($H$20,$H616)&lt;=5,_xll.TM1RPTELLEV($H$20,$H616),"Default"),"Leaf")</f>
        <v>Leaf</v>
      </c>
      <c r="C616" s="26" t="s">
        <v>12</v>
      </c>
      <c r="D616" s="24" t="str">
        <f>_xll.DBRW("TM1-S1_DEV:}ElementAttributes_SP_SKU",$F616,D$1)</f>
        <v>Secondary</v>
      </c>
      <c r="E616" s="24" t="str">
        <f>_xll.DBRW("TM1-S1_DEV:}ElementAttributes_SP_SKU",$F616,E$1)</f>
        <v>CUP</v>
      </c>
      <c r="F616" s="26" t="s">
        <v>256</v>
      </c>
      <c r="G616" s="26" t="s">
        <v>1187</v>
      </c>
      <c r="H616" s="26" t="s">
        <v>2787</v>
      </c>
      <c r="I616" s="54">
        <f>_xll.DBRW($A$1,$F$14,$F$15,$C616,$A$2,$F616,$G616,$H616,I$1)</f>
        <v>80</v>
      </c>
      <c r="J616" s="25">
        <f>_xll.DBRW($A$1,$F$14,$F$15,$C616,$A$2,$F616,$G616,$H616,J$19)</f>
        <v>92</v>
      </c>
    </row>
    <row r="617" spans="1:10" s="23" customFormat="1" outlineLevel="1" thickBot="1" x14ac:dyDescent="0.3">
      <c r="A617" s="44"/>
      <c r="B617" s="31" t="str">
        <f>IF(_xll.TM1RPTELISCONSOLIDATED($H$20,$H617),IF(_xll.TM1RPTELLEV($H$20,$H617)&lt;=5,_xll.TM1RPTELLEV($H$20,$H617),"Default"),"Leaf")</f>
        <v>Leaf</v>
      </c>
      <c r="C617" s="26" t="s">
        <v>12</v>
      </c>
      <c r="D617" s="24" t="str">
        <f>_xll.DBRW("TM1-S1_DEV:}ElementAttributes_SP_SKU",$F617,D$1)</f>
        <v>Secondary</v>
      </c>
      <c r="E617" s="24" t="str">
        <f>_xll.DBRW("TM1-S1_DEV:}ElementAttributes_SP_SKU",$F617,E$1)</f>
        <v>FOIL</v>
      </c>
      <c r="F617" s="26" t="s">
        <v>257</v>
      </c>
      <c r="G617" s="26" t="s">
        <v>1188</v>
      </c>
      <c r="H617" s="26" t="s">
        <v>2727</v>
      </c>
      <c r="I617" s="54">
        <f>_xll.DBRW($A$1,$F$14,$F$15,$C617,$A$2,$F617,$G617,$H617,I$1)</f>
        <v>13</v>
      </c>
      <c r="J617" s="25">
        <f>_xll.DBRW($A$1,$F$14,$F$15,$C617,$A$2,$F617,$G617,$H617,J$19)</f>
        <v>13</v>
      </c>
    </row>
    <row r="618" spans="1:10" s="23" customFormat="1" outlineLevel="1" thickBot="1" x14ac:dyDescent="0.3">
      <c r="A618" s="44"/>
      <c r="B618" s="31" t="str">
        <f>IF(_xll.TM1RPTELISCONSOLIDATED($H$20,$H618),IF(_xll.TM1RPTELLEV($H$20,$H618)&lt;=5,_xll.TM1RPTELLEV($H$20,$H618),"Default"),"Leaf")</f>
        <v>Leaf</v>
      </c>
      <c r="C618" s="26" t="s">
        <v>12</v>
      </c>
      <c r="D618" s="24" t="str">
        <f>_xll.DBRW("TM1-S1_DEV:}ElementAttributes_SP_SKU",$F618,D$1)</f>
        <v>Primary</v>
      </c>
      <c r="E618" s="24" t="str">
        <f>_xll.DBRW("TM1-S1_DEV:}ElementAttributes_SP_SKU",$F618,E$1)</f>
        <v>INGREDIENT</v>
      </c>
      <c r="F618" s="26" t="s">
        <v>3241</v>
      </c>
      <c r="G618" s="26" t="s">
        <v>1189</v>
      </c>
      <c r="H618" s="26" t="s">
        <v>2729</v>
      </c>
      <c r="I618" s="54">
        <f>_xll.DBRW($A$1,$F$14,$F$15,$C618,$A$2,$F618,$G618,$H618,I$1)</f>
        <v>25</v>
      </c>
      <c r="J618" s="25">
        <f>_xll.DBRW($A$1,$F$14,$F$15,$C618,$A$2,$F618,$G618,$H618,J$19)</f>
        <v>25</v>
      </c>
    </row>
    <row r="619" spans="1:10" s="23" customFormat="1" outlineLevel="1" thickBot="1" x14ac:dyDescent="0.3">
      <c r="A619" s="44"/>
      <c r="B619" s="31" t="str">
        <f>IF(_xll.TM1RPTELISCONSOLIDATED($H$20,$H619),IF(_xll.TM1RPTELLEV($H$20,$H619)&lt;=5,_xll.TM1RPTELLEV($H$20,$H619),"Default"),"Leaf")</f>
        <v>Leaf</v>
      </c>
      <c r="C619" s="26" t="s">
        <v>12</v>
      </c>
      <c r="D619" s="24" t="str">
        <f>_xll.DBRW("TM1-S1_DEV:}ElementAttributes_SP_SKU",$F619,D$1)</f>
        <v>Primary</v>
      </c>
      <c r="E619" s="24" t="str">
        <f>_xll.DBRW("TM1-S1_DEV:}ElementAttributes_SP_SKU",$F619,E$1)</f>
        <v>INGREDIENT</v>
      </c>
      <c r="F619" s="26" t="s">
        <v>3241</v>
      </c>
      <c r="G619" s="26" t="s">
        <v>1190</v>
      </c>
      <c r="H619" s="26" t="s">
        <v>2734</v>
      </c>
      <c r="I619" s="54">
        <f>_xll.DBRW($A$1,$F$14,$F$15,$C619,$A$2,$F619,$G619,$H619,I$1)</f>
        <v>674</v>
      </c>
      <c r="J619" s="25">
        <f>_xll.DBRW($A$1,$F$14,$F$15,$C619,$A$2,$F619,$G619,$H619,J$19)</f>
        <v>974</v>
      </c>
    </row>
    <row r="620" spans="1:10" s="23" customFormat="1" outlineLevel="1" thickBot="1" x14ac:dyDescent="0.3">
      <c r="A620" s="44"/>
      <c r="B620" s="31" t="str">
        <f>IF(_xll.TM1RPTELISCONSOLIDATED($H$20,$H620),IF(_xll.TM1RPTELLEV($H$20,$H620)&lt;=5,_xll.TM1RPTELLEV($H$20,$H620),"Default"),"Leaf")</f>
        <v>Leaf</v>
      </c>
      <c r="C620" s="26" t="s">
        <v>12</v>
      </c>
      <c r="D620" s="24" t="str">
        <f>_xll.DBRW("TM1-S1_DEV:}ElementAttributes_SP_SKU",$F620,D$1)</f>
        <v>Unassigned PSP</v>
      </c>
      <c r="E620" s="24" t="str">
        <f>_xll.DBRW("TM1-S1_DEV:}ElementAttributes_SP_SKU",$F620,E$1)</f>
        <v>PAPER</v>
      </c>
      <c r="F620" s="26" t="s">
        <v>258</v>
      </c>
      <c r="G620" s="26" t="s">
        <v>1086</v>
      </c>
      <c r="H620" s="26" t="s">
        <v>2820</v>
      </c>
      <c r="I620" s="54">
        <f>_xll.DBRW($A$1,$F$14,$F$15,$C620,$A$2,$F620,$G620,$H620,I$1)</f>
        <v>11</v>
      </c>
      <c r="J620" s="25">
        <f>_xll.DBRW($A$1,$F$14,$F$15,$C620,$A$2,$F620,$G620,$H620,J$19)</f>
        <v>11</v>
      </c>
    </row>
    <row r="621" spans="1:10" s="23" customFormat="1" outlineLevel="1" thickBot="1" x14ac:dyDescent="0.3">
      <c r="A621" s="44"/>
      <c r="B621" s="31" t="str">
        <f>IF(_xll.TM1RPTELISCONSOLIDATED($H$20,$H621),IF(_xll.TM1RPTELLEV($H$20,$H621)&lt;=5,_xll.TM1RPTELLEV($H$20,$H621),"Default"),"Leaf")</f>
        <v>Leaf</v>
      </c>
      <c r="C621" s="26" t="s">
        <v>12</v>
      </c>
      <c r="D621" s="24" t="str">
        <f>_xll.DBRW("TM1-S1_DEV:}ElementAttributes_SP_SKU",$F621,D$1)</f>
        <v>Primary</v>
      </c>
      <c r="E621" s="24" t="str">
        <f>_xll.DBRW("TM1-S1_DEV:}ElementAttributes_SP_SKU",$F621,E$1)</f>
        <v>DRINKS</v>
      </c>
      <c r="F621" s="26" t="s">
        <v>3267</v>
      </c>
      <c r="G621" s="26" t="s">
        <v>1191</v>
      </c>
      <c r="H621" s="26" t="s">
        <v>2764</v>
      </c>
      <c r="I621" s="54">
        <f>_xll.DBRW($A$1,$F$14,$F$15,$C621,$A$2,$F621,$G621,$H621,I$1)</f>
        <v>9</v>
      </c>
      <c r="J621" s="25">
        <f>_xll.DBRW($A$1,$F$14,$F$15,$C621,$A$2,$F621,$G621,$H621,J$19)</f>
        <v>9</v>
      </c>
    </row>
    <row r="622" spans="1:10" s="23" customFormat="1" outlineLevel="1" thickBot="1" x14ac:dyDescent="0.3">
      <c r="A622" s="44"/>
      <c r="B622" s="31" t="str">
        <f>IF(_xll.TM1RPTELISCONSOLIDATED($H$20,$H622),IF(_xll.TM1RPTELLEV($H$20,$H622)&lt;=5,_xll.TM1RPTELLEV($H$20,$H622),"Default"),"Leaf")</f>
        <v>Leaf</v>
      </c>
      <c r="C622" s="26" t="s">
        <v>12</v>
      </c>
      <c r="D622" s="24" t="str">
        <f>_xll.DBRW("TM1-S1_DEV:}ElementAttributes_SP_SKU",$F622,D$1)</f>
        <v>Primary</v>
      </c>
      <c r="E622" s="24" t="str">
        <f>_xll.DBRW("TM1-S1_DEV:}ElementAttributes_SP_SKU",$F622,E$1)</f>
        <v>CONTAINER</v>
      </c>
      <c r="F622" s="26" t="s">
        <v>3242</v>
      </c>
      <c r="G622" s="26" t="s">
        <v>1192</v>
      </c>
      <c r="H622" s="26" t="s">
        <v>2708</v>
      </c>
      <c r="I622" s="54">
        <f>_xll.DBRW($A$1,$F$14,$F$15,$C622,$A$2,$F622,$G622,$H622,I$1)</f>
        <v>166</v>
      </c>
      <c r="J622" s="25">
        <f>_xll.DBRW($A$1,$F$14,$F$15,$C622,$A$2,$F622,$G622,$H622,J$19)</f>
        <v>166</v>
      </c>
    </row>
    <row r="623" spans="1:10" s="23" customFormat="1" outlineLevel="1" thickBot="1" x14ac:dyDescent="0.3">
      <c r="A623" s="44"/>
      <c r="B623" s="31" t="str">
        <f>IF(_xll.TM1RPTELISCONSOLIDATED($H$20,$H623),IF(_xll.TM1RPTELLEV($H$20,$H623)&lt;=5,_xll.TM1RPTELLEV($H$20,$H623),"Default"),"Leaf")</f>
        <v>Leaf</v>
      </c>
      <c r="C623" s="26" t="s">
        <v>12</v>
      </c>
      <c r="D623" s="24" t="str">
        <f>_xll.DBRW("TM1-S1_DEV:}ElementAttributes_SP_SKU",$F623,D$1)</f>
        <v>Primary</v>
      </c>
      <c r="E623" s="24" t="str">
        <f>_xll.DBRW("TM1-S1_DEV:}ElementAttributes_SP_SKU",$F623,E$1)</f>
        <v>PROTEIN</v>
      </c>
      <c r="F623" s="26" t="s">
        <v>3244</v>
      </c>
      <c r="G623" s="26" t="s">
        <v>1193</v>
      </c>
      <c r="H623" s="26" t="s">
        <v>2670</v>
      </c>
      <c r="I623" s="54">
        <f>_xll.DBRW($A$1,$F$14,$F$15,$C623,$A$2,$F623,$G623,$H623,I$1)</f>
        <v>30</v>
      </c>
      <c r="J623" s="25">
        <f>_xll.DBRW($A$1,$F$14,$F$15,$C623,$A$2,$F623,$G623,$H623,J$19)</f>
        <v>50</v>
      </c>
    </row>
    <row r="624" spans="1:10" s="23" customFormat="1" outlineLevel="1" thickBot="1" x14ac:dyDescent="0.3">
      <c r="A624" s="44"/>
      <c r="B624" s="31" t="str">
        <f>IF(_xll.TM1RPTELISCONSOLIDATED($H$20,$H624),IF(_xll.TM1RPTELLEV($H$20,$H624)&lt;=5,_xll.TM1RPTELLEV($H$20,$H624),"Default"),"Leaf")</f>
        <v>Leaf</v>
      </c>
      <c r="C624" s="26" t="s">
        <v>12</v>
      </c>
      <c r="D624" s="24" t="str">
        <f>_xll.DBRW("TM1-S1_DEV:}ElementAttributes_SP_SKU",$F624,D$1)</f>
        <v>Primary</v>
      </c>
      <c r="E624" s="24" t="str">
        <f>_xll.DBRW("TM1-S1_DEV:}ElementAttributes_SP_SKU",$F624,E$1)</f>
        <v>PAD</v>
      </c>
      <c r="F624" s="26" t="s">
        <v>3245</v>
      </c>
      <c r="G624" s="26" t="s">
        <v>1194</v>
      </c>
      <c r="H624" s="26" t="s">
        <v>2731</v>
      </c>
      <c r="I624" s="54">
        <f>_xll.DBRW($A$1,$F$14,$F$15,$C624,$A$2,$F624,$G624,$H624,I$1)</f>
        <v>12</v>
      </c>
      <c r="J624" s="25">
        <f>_xll.DBRW($A$1,$F$14,$F$15,$C624,$A$2,$F624,$G624,$H624,J$19)</f>
        <v>12</v>
      </c>
    </row>
    <row r="625" spans="1:10" s="23" customFormat="1" outlineLevel="1" thickBot="1" x14ac:dyDescent="0.3">
      <c r="A625" s="44"/>
      <c r="B625" s="31" t="str">
        <f>IF(_xll.TM1RPTELISCONSOLIDATED($H$20,$H625),IF(_xll.TM1RPTELLEV($H$20,$H625)&lt;=5,_xll.TM1RPTELLEV($H$20,$H625),"Default"),"Leaf")</f>
        <v>Leaf</v>
      </c>
      <c r="C625" s="26" t="s">
        <v>12</v>
      </c>
      <c r="D625" s="24" t="str">
        <f>_xll.DBRW("TM1-S1_DEV:}ElementAttributes_SP_SKU",$F625,D$1)</f>
        <v/>
      </c>
      <c r="E625" s="24" t="str">
        <f>_xll.DBRW("TM1-S1_DEV:}ElementAttributes_SP_SKU",$F625,E$1)</f>
        <v/>
      </c>
      <c r="F625" s="26" t="s">
        <v>259</v>
      </c>
      <c r="G625" s="26" t="s">
        <v>1195</v>
      </c>
      <c r="H625" s="26" t="s">
        <v>2752</v>
      </c>
      <c r="I625" s="54">
        <f>_xll.DBRW($A$1,$F$14,$F$15,$C625,$A$2,$F625,$G625,$H625,I$1)</f>
        <v>24</v>
      </c>
      <c r="J625" s="25">
        <f>_xll.DBRW($A$1,$F$14,$F$15,$C625,$A$2,$F625,$G625,$H625,J$19)</f>
        <v>24</v>
      </c>
    </row>
    <row r="626" spans="1:10" s="23" customFormat="1" outlineLevel="1" thickBot="1" x14ac:dyDescent="0.3">
      <c r="A626" s="44"/>
      <c r="B626" s="31" t="str">
        <f>IF(_xll.TM1RPTELISCONSOLIDATED($H$20,$H626),IF(_xll.TM1RPTELLEV($H$20,$H626)&lt;=5,_xll.TM1RPTELLEV($H$20,$H626),"Default"),"Leaf")</f>
        <v>Leaf</v>
      </c>
      <c r="C626" s="26" t="s">
        <v>13</v>
      </c>
      <c r="D626" s="24" t="str">
        <f>_xll.DBRW("TM1-S1_DEV:}ElementAttributes_SP_SKU",$F626,D$1)</f>
        <v>Primary</v>
      </c>
      <c r="E626" s="24" t="str">
        <f>_xll.DBRW("TM1-S1_DEV:}ElementAttributes_SP_SKU",$F626,E$1)</f>
        <v>PROTEIN</v>
      </c>
      <c r="F626" s="26" t="s">
        <v>3270</v>
      </c>
      <c r="G626" s="26" t="s">
        <v>1196</v>
      </c>
      <c r="H626" s="26" t="s">
        <v>2670</v>
      </c>
      <c r="I626" s="54">
        <f>_xll.DBRW($A$1,$F$14,$F$15,$C626,$A$2,$F626,$G626,$H626,I$1)</f>
        <v>795</v>
      </c>
      <c r="J626" s="25">
        <f>_xll.DBRW($A$1,$F$14,$F$15,$C626,$A$2,$F626,$G626,$H626,J$19)</f>
        <v>8</v>
      </c>
    </row>
    <row r="627" spans="1:10" s="23" customFormat="1" outlineLevel="1" thickBot="1" x14ac:dyDescent="0.3">
      <c r="A627" s="44"/>
      <c r="B627" s="31" t="str">
        <f>IF(_xll.TM1RPTELISCONSOLIDATED($H$20,$H627),IF(_xll.TM1RPTELLEV($H$20,$H627)&lt;=5,_xll.TM1RPTELLEV($H$20,$H627),"Default"),"Leaf")</f>
        <v>Leaf</v>
      </c>
      <c r="C627" s="26" t="s">
        <v>13</v>
      </c>
      <c r="D627" s="24" t="str">
        <f>_xll.DBRW("TM1-S1_DEV:}ElementAttributes_SP_SKU",$F627,D$1)</f>
        <v>Primary</v>
      </c>
      <c r="E627" s="24" t="str">
        <f>_xll.DBRW("TM1-S1_DEV:}ElementAttributes_SP_SKU",$F627,E$1)</f>
        <v>PROTEIN</v>
      </c>
      <c r="F627" s="26" t="s">
        <v>3105</v>
      </c>
      <c r="G627" s="26" t="s">
        <v>1197</v>
      </c>
      <c r="H627" s="26" t="s">
        <v>2670</v>
      </c>
      <c r="I627" s="54">
        <f>_xll.DBRW($A$1,$F$14,$F$15,$C627,$A$2,$F627,$G627,$H627,I$1)</f>
        <v>1053</v>
      </c>
      <c r="J627" s="25">
        <f>_xll.DBRW($A$1,$F$14,$F$15,$C627,$A$2,$F627,$G627,$H627,J$19)</f>
        <v>14</v>
      </c>
    </row>
    <row r="628" spans="1:10" s="23" customFormat="1" outlineLevel="1" thickBot="1" x14ac:dyDescent="0.3">
      <c r="A628" s="44"/>
      <c r="B628" s="31" t="str">
        <f>IF(_xll.TM1RPTELISCONSOLIDATED($H$20,$H628),IF(_xll.TM1RPTELLEV($H$20,$H628)&lt;=5,_xll.TM1RPTELLEV($H$20,$H628),"Default"),"Leaf")</f>
        <v>Leaf</v>
      </c>
      <c r="C628" s="26" t="s">
        <v>13</v>
      </c>
      <c r="D628" s="24" t="str">
        <f>_xll.DBRW("TM1-S1_DEV:}ElementAttributes_SP_SKU",$F628,D$1)</f>
        <v>Primary</v>
      </c>
      <c r="E628" s="24" t="str">
        <f>_xll.DBRW("TM1-S1_DEV:}ElementAttributes_SP_SKU",$F628,E$1)</f>
        <v>PROTEIN</v>
      </c>
      <c r="F628" s="26" t="s">
        <v>3106</v>
      </c>
      <c r="G628" s="26" t="s">
        <v>1198</v>
      </c>
      <c r="H628" s="26" t="s">
        <v>2670</v>
      </c>
      <c r="I628" s="54">
        <f>_xll.DBRW($A$1,$F$14,$F$15,$C628,$A$2,$F628,$G628,$H628,I$1)</f>
        <v>1169</v>
      </c>
      <c r="J628" s="25">
        <f>_xll.DBRW($A$1,$F$14,$F$15,$C628,$A$2,$F628,$G628,$H628,J$19)</f>
        <v>0</v>
      </c>
    </row>
    <row r="629" spans="1:10" s="23" customFormat="1" outlineLevel="1" thickBot="1" x14ac:dyDescent="0.3">
      <c r="A629" s="44"/>
      <c r="B629" s="31" t="str">
        <f>IF(_xll.TM1RPTELISCONSOLIDATED($H$20,$H629),IF(_xll.TM1RPTELLEV($H$20,$H629)&lt;=5,_xll.TM1RPTELLEV($H$20,$H629),"Default"),"Leaf")</f>
        <v>Leaf</v>
      </c>
      <c r="C629" s="26" t="s">
        <v>13</v>
      </c>
      <c r="D629" s="24" t="str">
        <f>_xll.DBRW("TM1-S1_DEV:}ElementAttributes_SP_SKU",$F629,D$1)</f>
        <v>Primary</v>
      </c>
      <c r="E629" s="24" t="str">
        <f>_xll.DBRW("TM1-S1_DEV:}ElementAttributes_SP_SKU",$F629,E$1)</f>
        <v>HAM</v>
      </c>
      <c r="F629" s="26" t="s">
        <v>3107</v>
      </c>
      <c r="G629" s="26" t="s">
        <v>1199</v>
      </c>
      <c r="H629" s="26" t="s">
        <v>2670</v>
      </c>
      <c r="I629" s="54">
        <f>_xll.DBRW($A$1,$F$14,$F$15,$C629,$A$2,$F629,$G629,$H629,I$1)</f>
        <v>126</v>
      </c>
      <c r="J629" s="25">
        <f>_xll.DBRW($A$1,$F$14,$F$15,$C629,$A$2,$F629,$G629,$H629,J$19)</f>
        <v>0</v>
      </c>
    </row>
    <row r="630" spans="1:10" s="23" customFormat="1" outlineLevel="1" thickBot="1" x14ac:dyDescent="0.3">
      <c r="A630" s="44"/>
      <c r="B630" s="31" t="str">
        <f>IF(_xll.TM1RPTELISCONSOLIDATED($H$20,$H630),IF(_xll.TM1RPTELLEV($H$20,$H630)&lt;=5,_xll.TM1RPTELLEV($H$20,$H630),"Default"),"Leaf")</f>
        <v>Leaf</v>
      </c>
      <c r="C630" s="26" t="s">
        <v>13</v>
      </c>
      <c r="D630" s="24" t="str">
        <f>_xll.DBRW("TM1-S1_DEV:}ElementAttributes_SP_SKU",$F630,D$1)</f>
        <v>Primary</v>
      </c>
      <c r="E630" s="24" t="str">
        <f>_xll.DBRW("TM1-S1_DEV:}ElementAttributes_SP_SKU",$F630,E$1)</f>
        <v>HAM</v>
      </c>
      <c r="F630" s="26" t="s">
        <v>3108</v>
      </c>
      <c r="G630" s="26" t="s">
        <v>1200</v>
      </c>
      <c r="H630" s="26" t="s">
        <v>2670</v>
      </c>
      <c r="I630" s="54">
        <f>_xll.DBRW($A$1,$F$14,$F$15,$C630,$A$2,$F630,$G630,$H630,I$1)</f>
        <v>491</v>
      </c>
      <c r="J630" s="25">
        <f>_xll.DBRW($A$1,$F$14,$F$15,$C630,$A$2,$F630,$G630,$H630,J$19)</f>
        <v>3</v>
      </c>
    </row>
    <row r="631" spans="1:10" s="23" customFormat="1" outlineLevel="1" thickBot="1" x14ac:dyDescent="0.3">
      <c r="A631" s="44"/>
      <c r="B631" s="31" t="str">
        <f>IF(_xll.TM1RPTELISCONSOLIDATED($H$20,$H631),IF(_xll.TM1RPTELLEV($H$20,$H631)&lt;=5,_xll.TM1RPTELLEV($H$20,$H631),"Default"),"Leaf")</f>
        <v>Leaf</v>
      </c>
      <c r="C631" s="26" t="s">
        <v>13</v>
      </c>
      <c r="D631" s="24" t="str">
        <f>_xll.DBRW("TM1-S1_DEV:}ElementAttributes_SP_SKU",$F631,D$1)</f>
        <v>Primary</v>
      </c>
      <c r="E631" s="24" t="str">
        <f>_xll.DBRW("TM1-S1_DEV:}ElementAttributes_SP_SKU",$F631,E$1)</f>
        <v>HAM</v>
      </c>
      <c r="F631" s="26" t="s">
        <v>3109</v>
      </c>
      <c r="G631" s="26" t="s">
        <v>1201</v>
      </c>
      <c r="H631" s="26" t="s">
        <v>2670</v>
      </c>
      <c r="I631" s="54">
        <f>_xll.DBRW($A$1,$F$14,$F$15,$C631,$A$2,$F631,$G631,$H631,I$1)</f>
        <v>1070</v>
      </c>
      <c r="J631" s="25">
        <f>_xll.DBRW($A$1,$F$14,$F$15,$C631,$A$2,$F631,$G631,$H631,J$19)</f>
        <v>10</v>
      </c>
    </row>
    <row r="632" spans="1:10" s="23" customFormat="1" outlineLevel="1" thickBot="1" x14ac:dyDescent="0.3">
      <c r="A632" s="44"/>
      <c r="B632" s="31" t="str">
        <f>IF(_xll.TM1RPTELISCONSOLIDATED($H$20,$H632),IF(_xll.TM1RPTELLEV($H$20,$H632)&lt;=5,_xll.TM1RPTELLEV($H$20,$H632),"Default"),"Leaf")</f>
        <v>Leaf</v>
      </c>
      <c r="C632" s="26" t="s">
        <v>13</v>
      </c>
      <c r="D632" s="24" t="str">
        <f>_xll.DBRW("TM1-S1_DEV:}ElementAttributes_SP_SKU",$F632,D$1)</f>
        <v>Primary</v>
      </c>
      <c r="E632" s="24" t="str">
        <f>_xll.DBRW("TM1-S1_DEV:}ElementAttributes_SP_SKU",$F632,E$1)</f>
        <v>TURKEY</v>
      </c>
      <c r="F632" s="26" t="s">
        <v>3110</v>
      </c>
      <c r="G632" s="26" t="s">
        <v>966</v>
      </c>
      <c r="H632" s="26" t="s">
        <v>2671</v>
      </c>
      <c r="I632" s="54">
        <f>_xll.DBRW($A$1,$F$14,$F$15,$C632,$A$2,$F632,$G632,$H632,I$1)</f>
        <v>602</v>
      </c>
      <c r="J632" s="25">
        <f>_xll.DBRW($A$1,$F$14,$F$15,$C632,$A$2,$F632,$G632,$H632,J$19)</f>
        <v>431</v>
      </c>
    </row>
    <row r="633" spans="1:10" s="23" customFormat="1" outlineLevel="1" thickBot="1" x14ac:dyDescent="0.3">
      <c r="A633" s="44"/>
      <c r="B633" s="31" t="str">
        <f>IF(_xll.TM1RPTELISCONSOLIDATED($H$20,$H633),IF(_xll.TM1RPTELLEV($H$20,$H633)&lt;=5,_xll.TM1RPTELLEV($H$20,$H633),"Default"),"Leaf")</f>
        <v>Leaf</v>
      </c>
      <c r="C633" s="26" t="s">
        <v>13</v>
      </c>
      <c r="D633" s="24" t="str">
        <f>_xll.DBRW("TM1-S1_DEV:}ElementAttributes_SP_SKU",$F633,D$1)</f>
        <v>Primary</v>
      </c>
      <c r="E633" s="24" t="str">
        <f>_xll.DBRW("TM1-S1_DEV:}ElementAttributes_SP_SKU",$F633,E$1)</f>
        <v>TURKEY</v>
      </c>
      <c r="F633" s="26" t="s">
        <v>3111</v>
      </c>
      <c r="G633" s="26" t="s">
        <v>967</v>
      </c>
      <c r="H633" s="26" t="s">
        <v>2671</v>
      </c>
      <c r="I633" s="54">
        <f>_xll.DBRW($A$1,$F$14,$F$15,$C633,$A$2,$F633,$G633,$H633,I$1)</f>
        <v>600</v>
      </c>
      <c r="J633" s="25">
        <f>_xll.DBRW($A$1,$F$14,$F$15,$C633,$A$2,$F633,$G633,$H633,J$19)</f>
        <v>416</v>
      </c>
    </row>
    <row r="634" spans="1:10" s="23" customFormat="1" outlineLevel="1" thickBot="1" x14ac:dyDescent="0.3">
      <c r="A634" s="44"/>
      <c r="B634" s="31" t="str">
        <f>IF(_xll.TM1RPTELISCONSOLIDATED($H$20,$H634),IF(_xll.TM1RPTELLEV($H$20,$H634)&lt;=5,_xll.TM1RPTELLEV($H$20,$H634),"Default"),"Leaf")</f>
        <v>Leaf</v>
      </c>
      <c r="C634" s="26" t="s">
        <v>13</v>
      </c>
      <c r="D634" s="24" t="str">
        <f>_xll.DBRW("TM1-S1_DEV:}ElementAttributes_SP_SKU",$F634,D$1)</f>
        <v>Primary</v>
      </c>
      <c r="E634" s="24" t="str">
        <f>_xll.DBRW("TM1-S1_DEV:}ElementAttributes_SP_SKU",$F634,E$1)</f>
        <v>PROTEIN</v>
      </c>
      <c r="F634" s="26" t="s">
        <v>3112</v>
      </c>
      <c r="G634" s="26" t="s">
        <v>968</v>
      </c>
      <c r="H634" s="26" t="s">
        <v>2672</v>
      </c>
      <c r="I634" s="54">
        <f>_xll.DBRW($A$1,$F$14,$F$15,$C634,$A$2,$F634,$G634,$H634,I$1)</f>
        <v>19</v>
      </c>
      <c r="J634" s="25">
        <f>_xll.DBRW($A$1,$F$14,$F$15,$C634,$A$2,$F634,$G634,$H634,J$19)</f>
        <v>11</v>
      </c>
    </row>
    <row r="635" spans="1:10" s="23" customFormat="1" outlineLevel="1" thickBot="1" x14ac:dyDescent="0.3">
      <c r="A635" s="44"/>
      <c r="B635" s="31" t="str">
        <f>IF(_xll.TM1RPTELISCONSOLIDATED($H$20,$H635),IF(_xll.TM1RPTELLEV($H$20,$H635)&lt;=5,_xll.TM1RPTELLEV($H$20,$H635),"Default"),"Leaf")</f>
        <v>Leaf</v>
      </c>
      <c r="C635" s="26" t="s">
        <v>13</v>
      </c>
      <c r="D635" s="24" t="str">
        <f>_xll.DBRW("TM1-S1_DEV:}ElementAttributes_SP_SKU",$F635,D$1)</f>
        <v>Primary</v>
      </c>
      <c r="E635" s="24" t="str">
        <f>_xll.DBRW("TM1-S1_DEV:}ElementAttributes_SP_SKU",$F635,E$1)</f>
        <v>PROTEIN</v>
      </c>
      <c r="F635" s="26" t="s">
        <v>3113</v>
      </c>
      <c r="G635" s="26" t="s">
        <v>1202</v>
      </c>
      <c r="H635" s="26" t="s">
        <v>2673</v>
      </c>
      <c r="I635" s="54">
        <f>_xll.DBRW($A$1,$F$14,$F$15,$C635,$A$2,$F635,$G635,$H635,I$1)</f>
        <v>2</v>
      </c>
      <c r="J635" s="25">
        <f>_xll.DBRW($A$1,$F$14,$F$15,$C635,$A$2,$F635,$G635,$H635,J$19)</f>
        <v>98</v>
      </c>
    </row>
    <row r="636" spans="1:10" s="23" customFormat="1" outlineLevel="1" thickBot="1" x14ac:dyDescent="0.3">
      <c r="A636" s="44"/>
      <c r="B636" s="31" t="str">
        <f>IF(_xll.TM1RPTELISCONSOLIDATED($H$20,$H636),IF(_xll.TM1RPTELLEV($H$20,$H636)&lt;=5,_xll.TM1RPTELLEV($H$20,$H636),"Default"),"Leaf")</f>
        <v>Leaf</v>
      </c>
      <c r="C636" s="26" t="s">
        <v>13</v>
      </c>
      <c r="D636" s="24" t="str">
        <f>_xll.DBRW("TM1-S1_DEV:}ElementAttributes_SP_SKU",$F636,D$1)</f>
        <v>Primary</v>
      </c>
      <c r="E636" s="24" t="str">
        <f>_xll.DBRW("TM1-S1_DEV:}ElementAttributes_SP_SKU",$F636,E$1)</f>
        <v>PROTEIN</v>
      </c>
      <c r="F636" s="26" t="s">
        <v>3114</v>
      </c>
      <c r="G636" s="26" t="s">
        <v>969</v>
      </c>
      <c r="H636" s="26" t="s">
        <v>2672</v>
      </c>
      <c r="I636" s="54">
        <f>_xll.DBRW($A$1,$F$14,$F$15,$C636,$A$2,$F636,$G636,$H636,I$1)</f>
        <v>21</v>
      </c>
      <c r="J636" s="25">
        <f>_xll.DBRW($A$1,$F$14,$F$15,$C636,$A$2,$F636,$G636,$H636,J$19)</f>
        <v>8</v>
      </c>
    </row>
    <row r="637" spans="1:10" s="23" customFormat="1" outlineLevel="1" thickBot="1" x14ac:dyDescent="0.3">
      <c r="A637" s="44"/>
      <c r="B637" s="31" t="str">
        <f>IF(_xll.TM1RPTELISCONSOLIDATED($H$20,$H637),IF(_xll.TM1RPTELLEV($H$20,$H637)&lt;=5,_xll.TM1RPTELLEV($H$20,$H637),"Default"),"Leaf")</f>
        <v>Leaf</v>
      </c>
      <c r="C637" s="26" t="s">
        <v>13</v>
      </c>
      <c r="D637" s="24" t="str">
        <f>_xll.DBRW("TM1-S1_DEV:}ElementAttributes_SP_SKU",$F637,D$1)</f>
        <v>Primary</v>
      </c>
      <c r="E637" s="24" t="str">
        <f>_xll.DBRW("TM1-S1_DEV:}ElementAttributes_SP_SKU",$F637,E$1)</f>
        <v>PROTEIN</v>
      </c>
      <c r="F637" s="26" t="s">
        <v>3115</v>
      </c>
      <c r="G637" s="26" t="s">
        <v>970</v>
      </c>
      <c r="H637" s="26" t="s">
        <v>2672</v>
      </c>
      <c r="I637" s="54">
        <f>_xll.DBRW($A$1,$F$14,$F$15,$C637,$A$2,$F637,$G637,$H637,I$1)</f>
        <v>25</v>
      </c>
      <c r="J637" s="25">
        <f>_xll.DBRW($A$1,$F$14,$F$15,$C637,$A$2,$F637,$G637,$H637,J$19)</f>
        <v>17</v>
      </c>
    </row>
    <row r="638" spans="1:10" s="23" customFormat="1" outlineLevel="1" thickBot="1" x14ac:dyDescent="0.3">
      <c r="A638" s="44"/>
      <c r="B638" s="31" t="str">
        <f>IF(_xll.TM1RPTELISCONSOLIDATED($H$20,$H638),IF(_xll.TM1RPTELLEV($H$20,$H638)&lt;=5,_xll.TM1RPTELLEV($H$20,$H638),"Default"),"Leaf")</f>
        <v>Leaf</v>
      </c>
      <c r="C638" s="26" t="s">
        <v>13</v>
      </c>
      <c r="D638" s="24" t="str">
        <f>_xll.DBRW("TM1-S1_DEV:}ElementAttributes_SP_SKU",$F638,D$1)</f>
        <v>Primary</v>
      </c>
      <c r="E638" s="24" t="str">
        <f>_xll.DBRW("TM1-S1_DEV:}ElementAttributes_SP_SKU",$F638,E$1)</f>
        <v>SOUP</v>
      </c>
      <c r="F638" s="26" t="s">
        <v>3116</v>
      </c>
      <c r="G638" s="26" t="s">
        <v>1203</v>
      </c>
      <c r="H638" s="26" t="s">
        <v>2674</v>
      </c>
      <c r="I638" s="54">
        <f>_xll.DBRW($A$1,$F$14,$F$15,$C638,$A$2,$F638,$G638,$H638,I$1)</f>
        <v>13</v>
      </c>
      <c r="J638" s="25">
        <f>_xll.DBRW($A$1,$F$14,$F$15,$C638,$A$2,$F638,$G638,$H638,J$19)</f>
        <v>8</v>
      </c>
    </row>
    <row r="639" spans="1:10" s="23" customFormat="1" outlineLevel="1" thickBot="1" x14ac:dyDescent="0.3">
      <c r="A639" s="44"/>
      <c r="B639" s="31" t="str">
        <f>IF(_xll.TM1RPTELISCONSOLIDATED($H$20,$H639),IF(_xll.TM1RPTELLEV($H$20,$H639)&lt;=5,_xll.TM1RPTELLEV($H$20,$H639),"Default"),"Leaf")</f>
        <v>Leaf</v>
      </c>
      <c r="C639" s="26" t="s">
        <v>13</v>
      </c>
      <c r="D639" s="24" t="str">
        <f>_xll.DBRW("TM1-S1_DEV:}ElementAttributes_SP_SKU",$F639,D$1)</f>
        <v>Primary</v>
      </c>
      <c r="E639" s="24" t="str">
        <f>_xll.DBRW("TM1-S1_DEV:}ElementAttributes_SP_SKU",$F639,E$1)</f>
        <v>SOUP</v>
      </c>
      <c r="F639" s="26" t="s">
        <v>3117</v>
      </c>
      <c r="G639" s="26" t="s">
        <v>971</v>
      </c>
      <c r="H639" s="26" t="s">
        <v>2674</v>
      </c>
      <c r="I639" s="54">
        <f>_xll.DBRW($A$1,$F$14,$F$15,$C639,$A$2,$F639,$G639,$H639,I$1)</f>
        <v>27</v>
      </c>
      <c r="J639" s="25">
        <f>_xll.DBRW($A$1,$F$14,$F$15,$C639,$A$2,$F639,$G639,$H639,J$19)</f>
        <v>25</v>
      </c>
    </row>
    <row r="640" spans="1:10" s="23" customFormat="1" outlineLevel="1" thickBot="1" x14ac:dyDescent="0.3">
      <c r="A640" s="44"/>
      <c r="B640" s="31" t="str">
        <f>IF(_xll.TM1RPTELISCONSOLIDATED($H$20,$H640),IF(_xll.TM1RPTELLEV($H$20,$H640)&lt;=5,_xll.TM1RPTELLEV($H$20,$H640),"Default"),"Leaf")</f>
        <v>Leaf</v>
      </c>
      <c r="C640" s="26" t="s">
        <v>13</v>
      </c>
      <c r="D640" s="24" t="str">
        <f>_xll.DBRW("TM1-S1_DEV:}ElementAttributes_SP_SKU",$F640,D$1)</f>
        <v>Primary</v>
      </c>
      <c r="E640" s="24" t="str">
        <f>_xll.DBRW("TM1-S1_DEV:}ElementAttributes_SP_SKU",$F640,E$1)</f>
        <v>SOUP</v>
      </c>
      <c r="F640" s="26" t="s">
        <v>3118</v>
      </c>
      <c r="G640" s="26" t="s">
        <v>1204</v>
      </c>
      <c r="H640" s="26" t="s">
        <v>2674</v>
      </c>
      <c r="I640" s="54">
        <f>_xll.DBRW($A$1,$F$14,$F$15,$C640,$A$2,$F640,$G640,$H640,I$1)</f>
        <v>9</v>
      </c>
      <c r="J640" s="25">
        <f>_xll.DBRW($A$1,$F$14,$F$15,$C640,$A$2,$F640,$G640,$H640,J$19)</f>
        <v>6</v>
      </c>
    </row>
    <row r="641" spans="1:10" s="23" customFormat="1" outlineLevel="1" thickBot="1" x14ac:dyDescent="0.3">
      <c r="A641" s="44"/>
      <c r="B641" s="31" t="str">
        <f>IF(_xll.TM1RPTELISCONSOLIDATED($H$20,$H641),IF(_xll.TM1RPTELLEV($H$20,$H641)&lt;=5,_xll.TM1RPTELLEV($H$20,$H641),"Default"),"Leaf")</f>
        <v>Leaf</v>
      </c>
      <c r="C641" s="26" t="s">
        <v>13</v>
      </c>
      <c r="D641" s="24" t="str">
        <f>_xll.DBRW("TM1-S1_DEV:}ElementAttributes_SP_SKU",$F641,D$1)</f>
        <v>Primary</v>
      </c>
      <c r="E641" s="24" t="str">
        <f>_xll.DBRW("TM1-S1_DEV:}ElementAttributes_SP_SKU",$F641,E$1)</f>
        <v>PROTEIN</v>
      </c>
      <c r="F641" s="26" t="s">
        <v>3119</v>
      </c>
      <c r="G641" s="26" t="s">
        <v>972</v>
      </c>
      <c r="H641" s="26" t="s">
        <v>2670</v>
      </c>
      <c r="I641" s="54">
        <f>_xll.DBRW($A$1,$F$14,$F$15,$C641,$A$2,$F641,$G641,$H641,I$1)</f>
        <v>8</v>
      </c>
      <c r="J641" s="25">
        <f>_xll.DBRW($A$1,$F$14,$F$15,$C641,$A$2,$F641,$G641,$H641,J$19)</f>
        <v>5</v>
      </c>
    </row>
    <row r="642" spans="1:10" s="23" customFormat="1" outlineLevel="1" thickBot="1" x14ac:dyDescent="0.3">
      <c r="A642" s="44"/>
      <c r="B642" s="31" t="str">
        <f>IF(_xll.TM1RPTELISCONSOLIDATED($H$20,$H642),IF(_xll.TM1RPTELLEV($H$20,$H642)&lt;=5,_xll.TM1RPTELLEV($H$20,$H642),"Default"),"Leaf")</f>
        <v>Leaf</v>
      </c>
      <c r="C642" s="26" t="s">
        <v>13</v>
      </c>
      <c r="D642" s="24" t="str">
        <f>_xll.DBRW("TM1-S1_DEV:}ElementAttributes_SP_SKU",$F642,D$1)</f>
        <v>Primary</v>
      </c>
      <c r="E642" s="24" t="str">
        <f>_xll.DBRW("TM1-S1_DEV:}ElementAttributes_SP_SKU",$F642,E$1)</f>
        <v>PROTEIN</v>
      </c>
      <c r="F642" s="26" t="s">
        <v>3120</v>
      </c>
      <c r="G642" s="26" t="s">
        <v>1205</v>
      </c>
      <c r="H642" s="26" t="s">
        <v>2670</v>
      </c>
      <c r="I642" s="54">
        <f>_xll.DBRW($A$1,$F$14,$F$15,$C642,$A$2,$F642,$G642,$H642,I$1)</f>
        <v>9</v>
      </c>
      <c r="J642" s="25">
        <f>_xll.DBRW($A$1,$F$14,$F$15,$C642,$A$2,$F642,$G642,$H642,J$19)</f>
        <v>9</v>
      </c>
    </row>
    <row r="643" spans="1:10" s="23" customFormat="1" outlineLevel="1" thickBot="1" x14ac:dyDescent="0.3">
      <c r="A643" s="44"/>
      <c r="B643" s="31" t="str">
        <f>IF(_xll.TM1RPTELISCONSOLIDATED($H$20,$H643),IF(_xll.TM1RPTELLEV($H$20,$H643)&lt;=5,_xll.TM1RPTELLEV($H$20,$H643),"Default"),"Leaf")</f>
        <v>Leaf</v>
      </c>
      <c r="C643" s="26" t="s">
        <v>13</v>
      </c>
      <c r="D643" s="24" t="str">
        <f>_xll.DBRW("TM1-S1_DEV:}ElementAttributes_SP_SKU",$F643,D$1)</f>
        <v>Unassigned PSP</v>
      </c>
      <c r="E643" s="24" t="str">
        <f>_xll.DBRW("TM1-S1_DEV:}ElementAttributes_SP_SKU",$F643,E$1)</f>
        <v>SIDES</v>
      </c>
      <c r="F643" s="26" t="s">
        <v>62</v>
      </c>
      <c r="G643" s="26" t="s">
        <v>973</v>
      </c>
      <c r="H643" s="26" t="s">
        <v>2732</v>
      </c>
      <c r="I643" s="54">
        <f>_xll.DBRW($A$1,$F$14,$F$15,$C643,$A$2,$F643,$G643,$H643,I$1)</f>
        <v>31</v>
      </c>
      <c r="J643" s="25">
        <f>_xll.DBRW($A$1,$F$14,$F$15,$C643,$A$2,$F643,$G643,$H643,J$19)</f>
        <v>94</v>
      </c>
    </row>
    <row r="644" spans="1:10" s="23" customFormat="1" outlineLevel="1" thickBot="1" x14ac:dyDescent="0.3">
      <c r="A644" s="44"/>
      <c r="B644" s="31" t="str">
        <f>IF(_xll.TM1RPTELISCONSOLIDATED($H$20,$H644),IF(_xll.TM1RPTELLEV($H$20,$H644)&lt;=5,_xll.TM1RPTELLEV($H$20,$H644),"Default"),"Leaf")</f>
        <v>Leaf</v>
      </c>
      <c r="C644" s="26" t="s">
        <v>13</v>
      </c>
      <c r="D644" s="24" t="str">
        <f>_xll.DBRW("TM1-S1_DEV:}ElementAttributes_SP_SKU",$F644,D$1)</f>
        <v>Primary</v>
      </c>
      <c r="E644" s="24" t="str">
        <f>_xll.DBRW("TM1-S1_DEV:}ElementAttributes_SP_SKU",$F644,E$1)</f>
        <v>SIDES</v>
      </c>
      <c r="F644" s="26" t="s">
        <v>3123</v>
      </c>
      <c r="G644" s="26" t="s">
        <v>1206</v>
      </c>
      <c r="H644" s="26" t="s">
        <v>2676</v>
      </c>
      <c r="I644" s="54">
        <f>_xll.DBRW($A$1,$F$14,$F$15,$C644,$A$2,$F644,$G644,$H644,I$1)</f>
        <v>72</v>
      </c>
      <c r="J644" s="25">
        <f>_xll.DBRW($A$1,$F$14,$F$15,$C644,$A$2,$F644,$G644,$H644,J$19)</f>
        <v>40</v>
      </c>
    </row>
    <row r="645" spans="1:10" s="23" customFormat="1" outlineLevel="1" thickBot="1" x14ac:dyDescent="0.3">
      <c r="A645" s="44"/>
      <c r="B645" s="31" t="str">
        <f>IF(_xll.TM1RPTELISCONSOLIDATED($H$20,$H645),IF(_xll.TM1RPTELLEV($H$20,$H645)&lt;=5,_xll.TM1RPTELLEV($H$20,$H645),"Default"),"Leaf")</f>
        <v>Leaf</v>
      </c>
      <c r="C645" s="26" t="s">
        <v>13</v>
      </c>
      <c r="D645" s="24" t="str">
        <f>_xll.DBRW("TM1-S1_DEV:}ElementAttributes_SP_SKU",$F645,D$1)</f>
        <v>Primary</v>
      </c>
      <c r="E645" s="24" t="str">
        <f>_xll.DBRW("TM1-S1_DEV:}ElementAttributes_SP_SKU",$F645,E$1)</f>
        <v>SIDES</v>
      </c>
      <c r="F645" s="26" t="s">
        <v>3124</v>
      </c>
      <c r="G645" s="26" t="s">
        <v>1207</v>
      </c>
      <c r="H645" s="26" t="s">
        <v>2676</v>
      </c>
      <c r="I645" s="54">
        <f>_xll.DBRW($A$1,$F$14,$F$15,$C645,$A$2,$F645,$G645,$H645,I$1)</f>
        <v>74</v>
      </c>
      <c r="J645" s="25">
        <f>_xll.DBRW($A$1,$F$14,$F$15,$C645,$A$2,$F645,$G645,$H645,J$19)</f>
        <v>23</v>
      </c>
    </row>
    <row r="646" spans="1:10" s="23" customFormat="1" outlineLevel="1" thickBot="1" x14ac:dyDescent="0.3">
      <c r="A646" s="44"/>
      <c r="B646" s="31" t="str">
        <f>IF(_xll.TM1RPTELISCONSOLIDATED($H$20,$H646),IF(_xll.TM1RPTELLEV($H$20,$H646)&lt;=5,_xll.TM1RPTELLEV($H$20,$H646),"Default"),"Leaf")</f>
        <v>Leaf</v>
      </c>
      <c r="C646" s="26" t="s">
        <v>13</v>
      </c>
      <c r="D646" s="24" t="str">
        <f>_xll.DBRW("TM1-S1_DEV:}ElementAttributes_SP_SKU",$F646,D$1)</f>
        <v>Primary</v>
      </c>
      <c r="E646" s="24" t="str">
        <f>_xll.DBRW("TM1-S1_DEV:}ElementAttributes_SP_SKU",$F646,E$1)</f>
        <v>SIDES</v>
      </c>
      <c r="F646" s="26" t="s">
        <v>3125</v>
      </c>
      <c r="G646" s="26" t="s">
        <v>1208</v>
      </c>
      <c r="H646" s="26" t="s">
        <v>2676</v>
      </c>
      <c r="I646" s="54">
        <f>_xll.DBRW($A$1,$F$14,$F$15,$C646,$A$2,$F646,$G646,$H646,I$1)</f>
        <v>84</v>
      </c>
      <c r="J646" s="25">
        <f>_xll.DBRW($A$1,$F$14,$F$15,$C646,$A$2,$F646,$G646,$H646,J$19)</f>
        <v>41</v>
      </c>
    </row>
    <row r="647" spans="1:10" s="23" customFormat="1" outlineLevel="1" thickBot="1" x14ac:dyDescent="0.3">
      <c r="A647" s="44"/>
      <c r="B647" s="31" t="str">
        <f>IF(_xll.TM1RPTELISCONSOLIDATED($H$20,$H647),IF(_xll.TM1RPTELLEV($H$20,$H647)&lt;=5,_xll.TM1RPTELLEV($H$20,$H647),"Default"),"Leaf")</f>
        <v>Leaf</v>
      </c>
      <c r="C647" s="26" t="s">
        <v>13</v>
      </c>
      <c r="D647" s="24" t="str">
        <f>_xll.DBRW("TM1-S1_DEV:}ElementAttributes_SP_SKU",$F647,D$1)</f>
        <v>Primary</v>
      </c>
      <c r="E647" s="24" t="str">
        <f>_xll.DBRW("TM1-S1_DEV:}ElementAttributes_SP_SKU",$F647,E$1)</f>
        <v>SIDES</v>
      </c>
      <c r="F647" s="26" t="s">
        <v>3126</v>
      </c>
      <c r="G647" s="26" t="s">
        <v>1209</v>
      </c>
      <c r="H647" s="26" t="s">
        <v>2676</v>
      </c>
      <c r="I647" s="54">
        <f>_xll.DBRW($A$1,$F$14,$F$15,$C647,$A$2,$F647,$G647,$H647,I$1)</f>
        <v>115</v>
      </c>
      <c r="J647" s="25">
        <f>_xll.DBRW($A$1,$F$14,$F$15,$C647,$A$2,$F647,$G647,$H647,J$19)</f>
        <v>42</v>
      </c>
    </row>
    <row r="648" spans="1:10" s="23" customFormat="1" outlineLevel="1" thickBot="1" x14ac:dyDescent="0.3">
      <c r="A648" s="44"/>
      <c r="B648" s="31" t="str">
        <f>IF(_xll.TM1RPTELISCONSOLIDATED($H$20,$H648),IF(_xll.TM1RPTELLEV($H$20,$H648)&lt;=5,_xll.TM1RPTELLEV($H$20,$H648),"Default"),"Leaf")</f>
        <v>Leaf</v>
      </c>
      <c r="C648" s="26" t="s">
        <v>13</v>
      </c>
      <c r="D648" s="24" t="str">
        <f>_xll.DBRW("TM1-S1_DEV:}ElementAttributes_SP_SKU",$F648,D$1)</f>
        <v>Primary</v>
      </c>
      <c r="E648" s="24" t="str">
        <f>_xll.DBRW("TM1-S1_DEV:}ElementAttributes_SP_SKU",$F648,E$1)</f>
        <v>SIDES</v>
      </c>
      <c r="F648" s="26" t="s">
        <v>3127</v>
      </c>
      <c r="G648" s="26" t="s">
        <v>1210</v>
      </c>
      <c r="H648" s="26" t="s">
        <v>2676</v>
      </c>
      <c r="I648" s="54">
        <f>_xll.DBRW($A$1,$F$14,$F$15,$C648,$A$2,$F648,$G648,$H648,I$1)</f>
        <v>120</v>
      </c>
      <c r="J648" s="25">
        <f>_xll.DBRW($A$1,$F$14,$F$15,$C648,$A$2,$F648,$G648,$H648,J$19)</f>
        <v>38</v>
      </c>
    </row>
    <row r="649" spans="1:10" s="23" customFormat="1" outlineLevel="1" thickBot="1" x14ac:dyDescent="0.3">
      <c r="A649" s="44"/>
      <c r="B649" s="31" t="str">
        <f>IF(_xll.TM1RPTELISCONSOLIDATED($H$20,$H649),IF(_xll.TM1RPTELLEV($H$20,$H649)&lt;=5,_xll.TM1RPTELLEV($H$20,$H649),"Default"),"Leaf")</f>
        <v>Leaf</v>
      </c>
      <c r="C649" s="26" t="s">
        <v>13</v>
      </c>
      <c r="D649" s="24" t="str">
        <f>_xll.DBRW("TM1-S1_DEV:}ElementAttributes_SP_SKU",$F649,D$1)</f>
        <v>Primary</v>
      </c>
      <c r="E649" s="24" t="str">
        <f>_xll.DBRW("TM1-S1_DEV:}ElementAttributes_SP_SKU",$F649,E$1)</f>
        <v>SIDES</v>
      </c>
      <c r="F649" s="26" t="s">
        <v>3128</v>
      </c>
      <c r="G649" s="26" t="s">
        <v>1211</v>
      </c>
      <c r="H649" s="26" t="s">
        <v>2676</v>
      </c>
      <c r="I649" s="54">
        <f>_xll.DBRW($A$1,$F$14,$F$15,$C649,$A$2,$F649,$G649,$H649,I$1)</f>
        <v>144</v>
      </c>
      <c r="J649" s="25">
        <f>_xll.DBRW($A$1,$F$14,$F$15,$C649,$A$2,$F649,$G649,$H649,J$19)</f>
        <v>22</v>
      </c>
    </row>
    <row r="650" spans="1:10" s="23" customFormat="1" outlineLevel="1" thickBot="1" x14ac:dyDescent="0.3">
      <c r="A650" s="44"/>
      <c r="B650" s="31" t="str">
        <f>IF(_xll.TM1RPTELISCONSOLIDATED($H$20,$H650),IF(_xll.TM1RPTELLEV($H$20,$H650)&lt;=5,_xll.TM1RPTELLEV($H$20,$H650),"Default"),"Leaf")</f>
        <v>Leaf</v>
      </c>
      <c r="C650" s="26" t="s">
        <v>13</v>
      </c>
      <c r="D650" s="24" t="str">
        <f>_xll.DBRW("TM1-S1_DEV:}ElementAttributes_SP_SKU",$F650,D$1)</f>
        <v>Primary</v>
      </c>
      <c r="E650" s="24" t="str">
        <f>_xll.DBRW("TM1-S1_DEV:}ElementAttributes_SP_SKU",$F650,E$1)</f>
        <v>SIDES</v>
      </c>
      <c r="F650" s="26" t="s">
        <v>3129</v>
      </c>
      <c r="G650" s="26" t="s">
        <v>1212</v>
      </c>
      <c r="H650" s="26" t="s">
        <v>2676</v>
      </c>
      <c r="I650" s="54">
        <f>_xll.DBRW($A$1,$F$14,$F$15,$C650,$A$2,$F650,$G650,$H650,I$1)</f>
        <v>71</v>
      </c>
      <c r="J650" s="25">
        <f>_xll.DBRW($A$1,$F$14,$F$15,$C650,$A$2,$F650,$G650,$H650,J$19)</f>
        <v>43</v>
      </c>
    </row>
    <row r="651" spans="1:10" s="23" customFormat="1" outlineLevel="1" thickBot="1" x14ac:dyDescent="0.3">
      <c r="A651" s="44"/>
      <c r="B651" s="31" t="str">
        <f>IF(_xll.TM1RPTELISCONSOLIDATED($H$20,$H651),IF(_xll.TM1RPTELLEV($H$20,$H651)&lt;=5,_xll.TM1RPTELLEV($H$20,$H651),"Default"),"Leaf")</f>
        <v>Leaf</v>
      </c>
      <c r="C651" s="26" t="s">
        <v>13</v>
      </c>
      <c r="D651" s="24" t="str">
        <f>_xll.DBRW("TM1-S1_DEV:}ElementAttributes_SP_SKU",$F651,D$1)</f>
        <v>Primary</v>
      </c>
      <c r="E651" s="24" t="str">
        <f>_xll.DBRW("TM1-S1_DEV:}ElementAttributes_SP_SKU",$F651,E$1)</f>
        <v>SIDES</v>
      </c>
      <c r="F651" s="26" t="s">
        <v>3130</v>
      </c>
      <c r="G651" s="26" t="s">
        <v>1213</v>
      </c>
      <c r="H651" s="26" t="s">
        <v>2676</v>
      </c>
      <c r="I651" s="54">
        <f>_xll.DBRW($A$1,$F$14,$F$15,$C651,$A$2,$F651,$G651,$H651,I$1)</f>
        <v>30</v>
      </c>
      <c r="J651" s="25">
        <f>_xll.DBRW($A$1,$F$14,$F$15,$C651,$A$2,$F651,$G651,$H651,J$19)</f>
        <v>26</v>
      </c>
    </row>
    <row r="652" spans="1:10" s="23" customFormat="1" outlineLevel="1" thickBot="1" x14ac:dyDescent="0.3">
      <c r="A652" s="44"/>
      <c r="B652" s="31" t="str">
        <f>IF(_xll.TM1RPTELISCONSOLIDATED($H$20,$H652),IF(_xll.TM1RPTELLEV($H$20,$H652)&lt;=5,_xll.TM1RPTELLEV($H$20,$H652),"Default"),"Leaf")</f>
        <v>Leaf</v>
      </c>
      <c r="C652" s="26" t="s">
        <v>13</v>
      </c>
      <c r="D652" s="24" t="str">
        <f>_xll.DBRW("TM1-S1_DEV:}ElementAttributes_SP_SKU",$F652,D$1)</f>
        <v>Primary</v>
      </c>
      <c r="E652" s="24" t="str">
        <f>_xll.DBRW("TM1-S1_DEV:}ElementAttributes_SP_SKU",$F652,E$1)</f>
        <v>SIDES</v>
      </c>
      <c r="F652" s="26" t="s">
        <v>3131</v>
      </c>
      <c r="G652" s="26" t="s">
        <v>1214</v>
      </c>
      <c r="H652" s="26" t="s">
        <v>2676</v>
      </c>
      <c r="I652" s="54">
        <f>_xll.DBRW($A$1,$F$14,$F$15,$C652,$A$2,$F652,$G652,$H652,I$1)</f>
        <v>32</v>
      </c>
      <c r="J652" s="25">
        <f>_xll.DBRW($A$1,$F$14,$F$15,$C652,$A$2,$F652,$G652,$H652,J$19)</f>
        <v>18</v>
      </c>
    </row>
    <row r="653" spans="1:10" s="23" customFormat="1" outlineLevel="1" thickBot="1" x14ac:dyDescent="0.3">
      <c r="A653" s="44"/>
      <c r="B653" s="31" t="str">
        <f>IF(_xll.TM1RPTELISCONSOLIDATED($H$20,$H653),IF(_xll.TM1RPTELLEV($H$20,$H653)&lt;=5,_xll.TM1RPTELLEV($H$20,$H653),"Default"),"Leaf")</f>
        <v>Leaf</v>
      </c>
      <c r="C653" s="26" t="s">
        <v>13</v>
      </c>
      <c r="D653" s="24" t="str">
        <f>_xll.DBRW("TM1-S1_DEV:}ElementAttributes_SP_SKU",$F653,D$1)</f>
        <v>Primary</v>
      </c>
      <c r="E653" s="24" t="str">
        <f>_xll.DBRW("TM1-S1_DEV:}ElementAttributes_SP_SKU",$F653,E$1)</f>
        <v>SIDES</v>
      </c>
      <c r="F653" s="26" t="s">
        <v>3132</v>
      </c>
      <c r="G653" s="26" t="s">
        <v>1215</v>
      </c>
      <c r="H653" s="26" t="s">
        <v>2676</v>
      </c>
      <c r="I653" s="54">
        <f>_xll.DBRW($A$1,$F$14,$F$15,$C653,$A$2,$F653,$G653,$H653,I$1)</f>
        <v>164</v>
      </c>
      <c r="J653" s="25">
        <f>_xll.DBRW($A$1,$F$14,$F$15,$C653,$A$2,$F653,$G653,$H653,J$19)</f>
        <v>39</v>
      </c>
    </row>
    <row r="654" spans="1:10" s="23" customFormat="1" outlineLevel="1" thickBot="1" x14ac:dyDescent="0.3">
      <c r="A654" s="44"/>
      <c r="B654" s="31" t="str">
        <f>IF(_xll.TM1RPTELISCONSOLIDATED($H$20,$H654),IF(_xll.TM1RPTELLEV($H$20,$H654)&lt;=5,_xll.TM1RPTELLEV($H$20,$H654),"Default"),"Leaf")</f>
        <v>Leaf</v>
      </c>
      <c r="C654" s="26" t="s">
        <v>13</v>
      </c>
      <c r="D654" s="24" t="str">
        <f>_xll.DBRW("TM1-S1_DEV:}ElementAttributes_SP_SKU",$F654,D$1)</f>
        <v>Primary</v>
      </c>
      <c r="E654" s="24" t="str">
        <f>_xll.DBRW("TM1-S1_DEV:}ElementAttributes_SP_SKU",$F654,E$1)</f>
        <v>DESSERT</v>
      </c>
      <c r="F654" s="26" t="s">
        <v>29</v>
      </c>
      <c r="G654" s="26" t="s">
        <v>974</v>
      </c>
      <c r="H654" s="26" t="s">
        <v>2677</v>
      </c>
      <c r="I654" s="54">
        <f>_xll.DBRW($A$1,$F$14,$F$15,$C654,$A$2,$F654,$G654,$H654,I$1)</f>
        <v>93</v>
      </c>
      <c r="J654" s="25">
        <f>_xll.DBRW($A$1,$F$14,$F$15,$C654,$A$2,$F654,$G654,$H654,J$19)</f>
        <v>91</v>
      </c>
    </row>
    <row r="655" spans="1:10" s="23" customFormat="1" outlineLevel="1" thickBot="1" x14ac:dyDescent="0.3">
      <c r="A655" s="44"/>
      <c r="B655" s="31" t="str">
        <f>IF(_xll.TM1RPTELISCONSOLIDATED($H$20,$H655),IF(_xll.TM1RPTELLEV($H$20,$H655)&lt;=5,_xll.TM1RPTELLEV($H$20,$H655),"Default"),"Leaf")</f>
        <v>Leaf</v>
      </c>
      <c r="C655" s="26" t="s">
        <v>13</v>
      </c>
      <c r="D655" s="24" t="str">
        <f>_xll.DBRW("TM1-S1_DEV:}ElementAttributes_SP_SKU",$F655,D$1)</f>
        <v>Primary</v>
      </c>
      <c r="E655" s="24" t="str">
        <f>_xll.DBRW("TM1-S1_DEV:}ElementAttributes_SP_SKU",$F655,E$1)</f>
        <v>PIE</v>
      </c>
      <c r="F655" s="26" t="s">
        <v>3133</v>
      </c>
      <c r="G655" s="26" t="s">
        <v>975</v>
      </c>
      <c r="H655" s="26" t="s">
        <v>2678</v>
      </c>
      <c r="I655" s="54">
        <f>_xll.DBRW($A$1,$F$14,$F$15,$C655,$A$2,$F655,$G655,$H655,I$1)</f>
        <v>29</v>
      </c>
      <c r="J655" s="25">
        <f>_xll.DBRW($A$1,$F$14,$F$15,$C655,$A$2,$F655,$G655,$H655,J$19)</f>
        <v>17</v>
      </c>
    </row>
    <row r="656" spans="1:10" s="23" customFormat="1" outlineLevel="1" thickBot="1" x14ac:dyDescent="0.3">
      <c r="A656" s="44"/>
      <c r="B656" s="31" t="str">
        <f>IF(_xll.TM1RPTELISCONSOLIDATED($H$20,$H656),IF(_xll.TM1RPTELLEV($H$20,$H656)&lt;=5,_xll.TM1RPTELLEV($H$20,$H656),"Default"),"Leaf")</f>
        <v>Leaf</v>
      </c>
      <c r="C656" s="26" t="s">
        <v>13</v>
      </c>
      <c r="D656" s="24" t="str">
        <f>_xll.DBRW("TM1-S1_DEV:}ElementAttributes_SP_SKU",$F656,D$1)</f>
        <v>Primary</v>
      </c>
      <c r="E656" s="24" t="str">
        <f>_xll.DBRW("TM1-S1_DEV:}ElementAttributes_SP_SKU",$F656,E$1)</f>
        <v>PIE</v>
      </c>
      <c r="F656" s="26" t="s">
        <v>3134</v>
      </c>
      <c r="G656" s="26" t="s">
        <v>976</v>
      </c>
      <c r="H656" s="26" t="s">
        <v>2678</v>
      </c>
      <c r="I656" s="54">
        <f>_xll.DBRW($A$1,$F$14,$F$15,$C656,$A$2,$F656,$G656,$H656,I$1)</f>
        <v>31</v>
      </c>
      <c r="J656" s="25">
        <f>_xll.DBRW($A$1,$F$14,$F$15,$C656,$A$2,$F656,$G656,$H656,J$19)</f>
        <v>17</v>
      </c>
    </row>
    <row r="657" spans="1:10" s="23" customFormat="1" outlineLevel="1" thickBot="1" x14ac:dyDescent="0.3">
      <c r="A657" s="44"/>
      <c r="B657" s="31" t="str">
        <f>IF(_xll.TM1RPTELISCONSOLIDATED($H$20,$H657),IF(_xll.TM1RPTELLEV($H$20,$H657)&lt;=5,_xll.TM1RPTELLEV($H$20,$H657),"Default"),"Leaf")</f>
        <v>Leaf</v>
      </c>
      <c r="C657" s="26" t="s">
        <v>13</v>
      </c>
      <c r="D657" s="24" t="str">
        <f>_xll.DBRW("TM1-S1_DEV:}ElementAttributes_SP_SKU",$F657,D$1)</f>
        <v>Primary</v>
      </c>
      <c r="E657" s="24" t="str">
        <f>_xll.DBRW("TM1-S1_DEV:}ElementAttributes_SP_SKU",$F657,E$1)</f>
        <v>CAKE</v>
      </c>
      <c r="F657" s="26" t="s">
        <v>3135</v>
      </c>
      <c r="G657" s="26" t="s">
        <v>977</v>
      </c>
      <c r="H657" s="26" t="s">
        <v>2679</v>
      </c>
      <c r="I657" s="54">
        <f>_xll.DBRW($A$1,$F$14,$F$15,$C657,$A$2,$F657,$G657,$H657,I$1)</f>
        <v>37</v>
      </c>
      <c r="J657" s="25">
        <f>_xll.DBRW($A$1,$F$14,$F$15,$C657,$A$2,$F657,$G657,$H657,J$19)</f>
        <v>22</v>
      </c>
    </row>
    <row r="658" spans="1:10" s="23" customFormat="1" outlineLevel="1" thickBot="1" x14ac:dyDescent="0.3">
      <c r="A658" s="44"/>
      <c r="B658" s="31" t="str">
        <f>IF(_xll.TM1RPTELISCONSOLIDATED($H$20,$H658),IF(_xll.TM1RPTELLEV($H$20,$H658)&lt;=5,_xll.TM1RPTELLEV($H$20,$H658),"Default"),"Leaf")</f>
        <v>Leaf</v>
      </c>
      <c r="C658" s="26" t="s">
        <v>13</v>
      </c>
      <c r="D658" s="24" t="str">
        <f>_xll.DBRW("TM1-S1_DEV:}ElementAttributes_SP_SKU",$F658,D$1)</f>
        <v>Primary</v>
      </c>
      <c r="E658" s="24" t="str">
        <f>_xll.DBRW("TM1-S1_DEV:}ElementAttributes_SP_SKU",$F658,E$1)</f>
        <v>CAKE</v>
      </c>
      <c r="F658" s="26" t="s">
        <v>3136</v>
      </c>
      <c r="G658" s="26" t="s">
        <v>978</v>
      </c>
      <c r="H658" s="26" t="s">
        <v>2679</v>
      </c>
      <c r="I658" s="54">
        <f>_xll.DBRW($A$1,$F$14,$F$15,$C658,$A$2,$F658,$G658,$H658,I$1)</f>
        <v>30</v>
      </c>
      <c r="J658" s="25">
        <f>_xll.DBRW($A$1,$F$14,$F$15,$C658,$A$2,$F658,$G658,$H658,J$19)</f>
        <v>17</v>
      </c>
    </row>
    <row r="659" spans="1:10" s="23" customFormat="1" outlineLevel="1" thickBot="1" x14ac:dyDescent="0.3">
      <c r="A659" s="44"/>
      <c r="B659" s="31" t="str">
        <f>IF(_xll.TM1RPTELISCONSOLIDATED($H$20,$H659),IF(_xll.TM1RPTELLEV($H$20,$H659)&lt;=5,_xll.TM1RPTELLEV($H$20,$H659),"Default"),"Leaf")</f>
        <v>Leaf</v>
      </c>
      <c r="C659" s="26" t="s">
        <v>13</v>
      </c>
      <c r="D659" s="24" t="str">
        <f>_xll.DBRW("TM1-S1_DEV:}ElementAttributes_SP_SKU",$F659,D$1)</f>
        <v>Primary</v>
      </c>
      <c r="E659" s="24" t="str">
        <f>_xll.DBRW("TM1-S1_DEV:}ElementAttributes_SP_SKU",$F659,E$1)</f>
        <v>CAKE</v>
      </c>
      <c r="F659" s="26" t="s">
        <v>3137</v>
      </c>
      <c r="G659" s="26" t="s">
        <v>1216</v>
      </c>
      <c r="H659" s="26" t="s">
        <v>2679</v>
      </c>
      <c r="I659" s="54">
        <f>_xll.DBRW($A$1,$F$14,$F$15,$C659,$A$2,$F659,$G659,$H659,I$1)</f>
        <v>48</v>
      </c>
      <c r="J659" s="25">
        <f>_xll.DBRW($A$1,$F$14,$F$15,$C659,$A$2,$F659,$G659,$H659,J$19)</f>
        <v>32</v>
      </c>
    </row>
    <row r="660" spans="1:10" s="23" customFormat="1" outlineLevel="1" thickBot="1" x14ac:dyDescent="0.3">
      <c r="A660" s="44"/>
      <c r="B660" s="31" t="str">
        <f>IF(_xll.TM1RPTELISCONSOLIDATED($H$20,$H660),IF(_xll.TM1RPTELLEV($H$20,$H660)&lt;=5,_xll.TM1RPTELLEV($H$20,$H660),"Default"),"Leaf")</f>
        <v>Leaf</v>
      </c>
      <c r="C660" s="26" t="s">
        <v>13</v>
      </c>
      <c r="D660" s="24" t="str">
        <f>_xll.DBRW("TM1-S1_DEV:}ElementAttributes_SP_SKU",$F660,D$1)</f>
        <v>Primary</v>
      </c>
      <c r="E660" s="24" t="str">
        <f>_xll.DBRW("TM1-S1_DEV:}ElementAttributes_SP_SKU",$F660,E$1)</f>
        <v>CAKE</v>
      </c>
      <c r="F660" s="26" t="s">
        <v>3138</v>
      </c>
      <c r="G660" s="26" t="s">
        <v>1217</v>
      </c>
      <c r="H660" s="26" t="s">
        <v>2680</v>
      </c>
      <c r="I660" s="54">
        <f>_xll.DBRW($A$1,$F$14,$F$15,$C660,$A$2,$F660,$G660,$H660,I$1)</f>
        <v>24</v>
      </c>
      <c r="J660" s="25">
        <f>_xll.DBRW($A$1,$F$14,$F$15,$C660,$A$2,$F660,$G660,$H660,J$19)</f>
        <v>19</v>
      </c>
    </row>
    <row r="661" spans="1:10" s="23" customFormat="1" outlineLevel="1" thickBot="1" x14ac:dyDescent="0.3">
      <c r="A661" s="44"/>
      <c r="B661" s="31" t="str">
        <f>IF(_xll.TM1RPTELISCONSOLIDATED($H$20,$H661),IF(_xll.TM1RPTELLEV($H$20,$H661)&lt;=5,_xll.TM1RPTELLEV($H$20,$H661),"Default"),"Leaf")</f>
        <v>Leaf</v>
      </c>
      <c r="C661" s="26" t="s">
        <v>13</v>
      </c>
      <c r="D661" s="24" t="str">
        <f>_xll.DBRW("TM1-S1_DEV:}ElementAttributes_SP_SKU",$F661,D$1)</f>
        <v>Primary</v>
      </c>
      <c r="E661" s="24" t="str">
        <f>_xll.DBRW("TM1-S1_DEV:}ElementAttributes_SP_SKU",$F661,E$1)</f>
        <v>DESSERT</v>
      </c>
      <c r="F661" s="26" t="s">
        <v>3139</v>
      </c>
      <c r="G661" s="26" t="s">
        <v>979</v>
      </c>
      <c r="H661" s="26" t="s">
        <v>2681</v>
      </c>
      <c r="I661" s="54">
        <f>_xll.DBRW($A$1,$F$14,$F$15,$C661,$A$2,$F661,$G661,$H661,I$1)</f>
        <v>20</v>
      </c>
      <c r="J661" s="25">
        <f>_xll.DBRW($A$1,$F$14,$F$15,$C661,$A$2,$F661,$G661,$H661,J$19)</f>
        <v>12</v>
      </c>
    </row>
    <row r="662" spans="1:10" s="23" customFormat="1" outlineLevel="1" thickBot="1" x14ac:dyDescent="0.3">
      <c r="A662" s="44"/>
      <c r="B662" s="31" t="str">
        <f>IF(_xll.TM1RPTELISCONSOLIDATED($H$20,$H662),IF(_xll.TM1RPTELLEV($H$20,$H662)&lt;=5,_xll.TM1RPTELLEV($H$20,$H662),"Default"),"Leaf")</f>
        <v>Leaf</v>
      </c>
      <c r="C662" s="26" t="s">
        <v>13</v>
      </c>
      <c r="D662" s="24" t="str">
        <f>_xll.DBRW("TM1-S1_DEV:}ElementAttributes_SP_SKU",$F662,D$1)</f>
        <v>Primary</v>
      </c>
      <c r="E662" s="24" t="str">
        <f>_xll.DBRW("TM1-S1_DEV:}ElementAttributes_SP_SKU",$F662,E$1)</f>
        <v>DESSERT</v>
      </c>
      <c r="F662" s="26" t="s">
        <v>3140</v>
      </c>
      <c r="G662" s="26" t="s">
        <v>980</v>
      </c>
      <c r="H662" s="26" t="s">
        <v>2681</v>
      </c>
      <c r="I662" s="54">
        <f>_xll.DBRW($A$1,$F$14,$F$15,$C662,$A$2,$F662,$G662,$H662,I$1)</f>
        <v>18</v>
      </c>
      <c r="J662" s="25">
        <f>_xll.DBRW($A$1,$F$14,$F$15,$C662,$A$2,$F662,$G662,$H662,J$19)</f>
        <v>11</v>
      </c>
    </row>
    <row r="663" spans="1:10" s="23" customFormat="1" outlineLevel="1" thickBot="1" x14ac:dyDescent="0.3">
      <c r="A663" s="44"/>
      <c r="B663" s="31" t="str">
        <f>IF(_xll.TM1RPTELISCONSOLIDATED($H$20,$H663),IF(_xll.TM1RPTELLEV($H$20,$H663)&lt;=5,_xll.TM1RPTELLEV($H$20,$H663),"Default"),"Leaf")</f>
        <v>Leaf</v>
      </c>
      <c r="C663" s="26" t="s">
        <v>13</v>
      </c>
      <c r="D663" s="24" t="str">
        <f>_xll.DBRW("TM1-S1_DEV:}ElementAttributes_SP_SKU",$F663,D$1)</f>
        <v>Primary</v>
      </c>
      <c r="E663" s="24" t="str">
        <f>_xll.DBRW("TM1-S1_DEV:}ElementAttributes_SP_SKU",$F663,E$1)</f>
        <v>CAKE</v>
      </c>
      <c r="F663" s="26" t="s">
        <v>3142</v>
      </c>
      <c r="G663" s="26" t="s">
        <v>981</v>
      </c>
      <c r="H663" s="26" t="s">
        <v>2682</v>
      </c>
      <c r="I663" s="54">
        <f>_xll.DBRW($A$1,$F$14,$F$15,$C663,$A$2,$F663,$G663,$H663,I$1)</f>
        <v>21</v>
      </c>
      <c r="J663" s="25">
        <f>_xll.DBRW($A$1,$F$14,$F$15,$C663,$A$2,$F663,$G663,$H663,J$19)</f>
        <v>11</v>
      </c>
    </row>
    <row r="664" spans="1:10" s="23" customFormat="1" outlineLevel="1" thickBot="1" x14ac:dyDescent="0.3">
      <c r="A664" s="44"/>
      <c r="B664" s="31" t="str">
        <f>IF(_xll.TM1RPTELISCONSOLIDATED($H$20,$H664),IF(_xll.TM1RPTELLEV($H$20,$H664)&lt;=5,_xll.TM1RPTELLEV($H$20,$H664),"Default"),"Leaf")</f>
        <v>Leaf</v>
      </c>
      <c r="C664" s="26" t="s">
        <v>13</v>
      </c>
      <c r="D664" s="24" t="str">
        <f>_xll.DBRW("TM1-S1_DEV:}ElementAttributes_SP_SKU",$F664,D$1)</f>
        <v>Primary</v>
      </c>
      <c r="E664" s="24" t="str">
        <f>_xll.DBRW("TM1-S1_DEV:}ElementAttributes_SP_SKU",$F664,E$1)</f>
        <v>CAKE</v>
      </c>
      <c r="F664" s="26" t="s">
        <v>3143</v>
      </c>
      <c r="G664" s="26" t="s">
        <v>1218</v>
      </c>
      <c r="H664" s="26" t="s">
        <v>2682</v>
      </c>
      <c r="I664" s="54">
        <f>_xll.DBRW($A$1,$F$14,$F$15,$C664,$A$2,$F664,$G664,$H664,I$1)</f>
        <v>15</v>
      </c>
      <c r="J664" s="25">
        <f>_xll.DBRW($A$1,$F$14,$F$15,$C664,$A$2,$F664,$G664,$H664,J$19)</f>
        <v>7</v>
      </c>
    </row>
    <row r="665" spans="1:10" s="23" customFormat="1" outlineLevel="1" thickBot="1" x14ac:dyDescent="0.3">
      <c r="A665" s="44"/>
      <c r="B665" s="31" t="str">
        <f>IF(_xll.TM1RPTELISCONSOLIDATED($H$20,$H665),IF(_xll.TM1RPTELLEV($H$20,$H665)&lt;=5,_xll.TM1RPTELLEV($H$20,$H665),"Default"),"Leaf")</f>
        <v>Leaf</v>
      </c>
      <c r="C665" s="26" t="s">
        <v>13</v>
      </c>
      <c r="D665" s="24" t="str">
        <f>_xll.DBRW("TM1-S1_DEV:}ElementAttributes_SP_SKU",$F665,D$1)</f>
        <v>Primary</v>
      </c>
      <c r="E665" s="24" t="str">
        <f>_xll.DBRW("TM1-S1_DEV:}ElementAttributes_SP_SKU",$F665,E$1)</f>
        <v>CAKE</v>
      </c>
      <c r="F665" s="26" t="s">
        <v>3144</v>
      </c>
      <c r="G665" s="26" t="s">
        <v>1219</v>
      </c>
      <c r="H665" s="26" t="s">
        <v>2679</v>
      </c>
      <c r="I665" s="54">
        <f>_xll.DBRW($A$1,$F$14,$F$15,$C665,$A$2,$F665,$G665,$H665,I$1)</f>
        <v>14</v>
      </c>
      <c r="J665" s="25">
        <f>_xll.DBRW($A$1,$F$14,$F$15,$C665,$A$2,$F665,$G665,$H665,J$19)</f>
        <v>14</v>
      </c>
    </row>
    <row r="666" spans="1:10" s="23" customFormat="1" outlineLevel="1" thickBot="1" x14ac:dyDescent="0.3">
      <c r="A666" s="44"/>
      <c r="B666" s="31" t="str">
        <f>IF(_xll.TM1RPTELISCONSOLIDATED($H$20,$H666),IF(_xll.TM1RPTELLEV($H$20,$H666)&lt;=5,_xll.TM1RPTELLEV($H$20,$H666),"Default"),"Leaf")</f>
        <v>Leaf</v>
      </c>
      <c r="C666" s="26" t="s">
        <v>13</v>
      </c>
      <c r="D666" s="24" t="str">
        <f>_xll.DBRW("TM1-S1_DEV:}ElementAttributes_SP_SKU",$F666,D$1)</f>
        <v>Primary</v>
      </c>
      <c r="E666" s="24" t="str">
        <f>_xll.DBRW("TM1-S1_DEV:}ElementAttributes_SP_SKU",$F666,E$1)</f>
        <v>CAKE</v>
      </c>
      <c r="F666" s="26" t="s">
        <v>3145</v>
      </c>
      <c r="G666" s="26" t="s">
        <v>1220</v>
      </c>
      <c r="H666" s="26" t="s">
        <v>2680</v>
      </c>
      <c r="I666" s="54">
        <f>_xll.DBRW($A$1,$F$14,$F$15,$C666,$A$2,$F666,$G666,$H666,I$1)</f>
        <v>2</v>
      </c>
      <c r="J666" s="25">
        <f>_xll.DBRW($A$1,$F$14,$F$15,$C666,$A$2,$F666,$G666,$H666,J$19)</f>
        <v>2</v>
      </c>
    </row>
    <row r="667" spans="1:10" s="23" customFormat="1" outlineLevel="1" thickBot="1" x14ac:dyDescent="0.3">
      <c r="A667" s="44"/>
      <c r="B667" s="31" t="str">
        <f>IF(_xll.TM1RPTELISCONSOLIDATED($H$20,$H667),IF(_xll.TM1RPTELLEV($H$20,$H667)&lt;=5,_xll.TM1RPTELLEV($H$20,$H667),"Default"),"Leaf")</f>
        <v>Leaf</v>
      </c>
      <c r="C667" s="26" t="s">
        <v>13</v>
      </c>
      <c r="D667" s="24" t="str">
        <f>_xll.DBRW("TM1-S1_DEV:}ElementAttributes_SP_SKU",$F667,D$1)</f>
        <v>Primary</v>
      </c>
      <c r="E667" s="24" t="str">
        <f>_xll.DBRW("TM1-S1_DEV:}ElementAttributes_SP_SKU",$F667,E$1)</f>
        <v>CAKE</v>
      </c>
      <c r="F667" s="26" t="s">
        <v>3146</v>
      </c>
      <c r="G667" s="26" t="s">
        <v>1221</v>
      </c>
      <c r="H667" s="26" t="s">
        <v>2680</v>
      </c>
      <c r="I667" s="54">
        <f>_xll.DBRW($A$1,$F$14,$F$15,$C667,$A$2,$F667,$G667,$H667,I$1)</f>
        <v>33</v>
      </c>
      <c r="J667" s="25">
        <f>_xll.DBRW($A$1,$F$14,$F$15,$C667,$A$2,$F667,$G667,$H667,J$19)</f>
        <v>28</v>
      </c>
    </row>
    <row r="668" spans="1:10" s="23" customFormat="1" outlineLevel="1" thickBot="1" x14ac:dyDescent="0.3">
      <c r="A668" s="44"/>
      <c r="B668" s="31" t="str">
        <f>IF(_xll.TM1RPTELISCONSOLIDATED($H$20,$H668),IF(_xll.TM1RPTELLEV($H$20,$H668)&lt;=5,_xll.TM1RPTELLEV($H$20,$H668),"Default"),"Leaf")</f>
        <v>Leaf</v>
      </c>
      <c r="C668" s="26" t="s">
        <v>13</v>
      </c>
      <c r="D668" s="24" t="str">
        <f>_xll.DBRW("TM1-S1_DEV:}ElementAttributes_SP_SKU",$F668,D$1)</f>
        <v>Primary</v>
      </c>
      <c r="E668" s="24" t="str">
        <f>_xll.DBRW("TM1-S1_DEV:}ElementAttributes_SP_SKU",$F668,E$1)</f>
        <v>CONDIMENT</v>
      </c>
      <c r="F668" s="26" t="s">
        <v>3147</v>
      </c>
      <c r="G668" s="26" t="s">
        <v>1222</v>
      </c>
      <c r="H668" s="26" t="s">
        <v>2683</v>
      </c>
      <c r="I668" s="54">
        <f>_xll.DBRW($A$1,$F$14,$F$15,$C668,$A$2,$F668,$G668,$H668,I$1)</f>
        <v>20</v>
      </c>
      <c r="J668" s="25">
        <f>_xll.DBRW($A$1,$F$14,$F$15,$C668,$A$2,$F668,$G668,$H668,J$19)</f>
        <v>18</v>
      </c>
    </row>
    <row r="669" spans="1:10" s="23" customFormat="1" outlineLevel="1" thickBot="1" x14ac:dyDescent="0.3">
      <c r="A669" s="44"/>
      <c r="B669" s="31" t="str">
        <f>IF(_xll.TM1RPTELISCONSOLIDATED($H$20,$H669),IF(_xll.TM1RPTELLEV($H$20,$H669)&lt;=5,_xll.TM1RPTELLEV($H$20,$H669),"Default"),"Leaf")</f>
        <v>Leaf</v>
      </c>
      <c r="C669" s="26" t="s">
        <v>13</v>
      </c>
      <c r="D669" s="24" t="str">
        <f>_xll.DBRW("TM1-S1_DEV:}ElementAttributes_SP_SKU",$F669,D$1)</f>
        <v>Primary</v>
      </c>
      <c r="E669" s="24" t="str">
        <f>_xll.DBRW("TM1-S1_DEV:}ElementAttributes_SP_SKU",$F669,E$1)</f>
        <v>CONDIMENT</v>
      </c>
      <c r="F669" s="26" t="s">
        <v>3148</v>
      </c>
      <c r="G669" s="26" t="s">
        <v>982</v>
      </c>
      <c r="H669" s="26" t="s">
        <v>2684</v>
      </c>
      <c r="I669" s="54">
        <f>_xll.DBRW($A$1,$F$14,$F$15,$C669,$A$2,$F669,$G669,$H669,I$1)</f>
        <v>20</v>
      </c>
      <c r="J669" s="25">
        <f>_xll.DBRW($A$1,$F$14,$F$15,$C669,$A$2,$F669,$G669,$H669,J$19)</f>
        <v>19</v>
      </c>
    </row>
    <row r="670" spans="1:10" s="23" customFormat="1" outlineLevel="1" thickBot="1" x14ac:dyDescent="0.3">
      <c r="A670" s="44"/>
      <c r="B670" s="31" t="str">
        <f>IF(_xll.TM1RPTELISCONSOLIDATED($H$20,$H670),IF(_xll.TM1RPTELLEV($H$20,$H670)&lt;=5,_xll.TM1RPTELLEV($H$20,$H670),"Default"),"Leaf")</f>
        <v>Leaf</v>
      </c>
      <c r="C670" s="26" t="s">
        <v>13</v>
      </c>
      <c r="D670" s="24" t="str">
        <f>_xll.DBRW("TM1-S1_DEV:}ElementAttributes_SP_SKU",$F670,D$1)</f>
        <v>Primary</v>
      </c>
      <c r="E670" s="24" t="str">
        <f>_xll.DBRW("TM1-S1_DEV:}ElementAttributes_SP_SKU",$F670,E$1)</f>
        <v>CONDIMENT</v>
      </c>
      <c r="F670" s="26" t="s">
        <v>3149</v>
      </c>
      <c r="G670" s="26" t="s">
        <v>1223</v>
      </c>
      <c r="H670" s="26" t="s">
        <v>2684</v>
      </c>
      <c r="I670" s="54">
        <f>_xll.DBRW($A$1,$F$14,$F$15,$C670,$A$2,$F670,$G670,$H670,I$1)</f>
        <v>20</v>
      </c>
      <c r="J670" s="25">
        <f>_xll.DBRW($A$1,$F$14,$F$15,$C670,$A$2,$F670,$G670,$H670,J$19)</f>
        <v>18</v>
      </c>
    </row>
    <row r="671" spans="1:10" s="23" customFormat="1" outlineLevel="1" thickBot="1" x14ac:dyDescent="0.3">
      <c r="A671" s="44"/>
      <c r="B671" s="31" t="str">
        <f>IF(_xll.TM1RPTELISCONSOLIDATED($H$20,$H671),IF(_xll.TM1RPTELLEV($H$20,$H671)&lt;=5,_xll.TM1RPTELLEV($H$20,$H671),"Default"),"Leaf")</f>
        <v>Leaf</v>
      </c>
      <c r="C671" s="26" t="s">
        <v>13</v>
      </c>
      <c r="D671" s="24" t="str">
        <f>_xll.DBRW("TM1-S1_DEV:}ElementAttributes_SP_SKU",$F671,D$1)</f>
        <v>Primary</v>
      </c>
      <c r="E671" s="24" t="str">
        <f>_xll.DBRW("TM1-S1_DEV:}ElementAttributes_SP_SKU",$F671,E$1)</f>
        <v>CONDIMENT</v>
      </c>
      <c r="F671" s="26" t="s">
        <v>3150</v>
      </c>
      <c r="G671" s="26" t="s">
        <v>983</v>
      </c>
      <c r="H671" s="26" t="s">
        <v>2684</v>
      </c>
      <c r="I671" s="54">
        <f>_xll.DBRW($A$1,$F$14,$F$15,$C671,$A$2,$F671,$G671,$H671,I$1)</f>
        <v>19</v>
      </c>
      <c r="J671" s="25">
        <f>_xll.DBRW($A$1,$F$14,$F$15,$C671,$A$2,$F671,$G671,$H671,J$19)</f>
        <v>18</v>
      </c>
    </row>
    <row r="672" spans="1:10" s="23" customFormat="1" outlineLevel="1" thickBot="1" x14ac:dyDescent="0.3">
      <c r="A672" s="44"/>
      <c r="B672" s="31" t="str">
        <f>IF(_xll.TM1RPTELISCONSOLIDATED($H$20,$H672),IF(_xll.TM1RPTELLEV($H$20,$H672)&lt;=5,_xll.TM1RPTELLEV($H$20,$H672),"Default"),"Leaf")</f>
        <v>Leaf</v>
      </c>
      <c r="C672" s="26" t="s">
        <v>13</v>
      </c>
      <c r="D672" s="24" t="str">
        <f>_xll.DBRW("TM1-S1_DEV:}ElementAttributes_SP_SKU",$F672,D$1)</f>
        <v>Primary</v>
      </c>
      <c r="E672" s="24" t="str">
        <f>_xll.DBRW("TM1-S1_DEV:}ElementAttributes_SP_SKU",$F672,E$1)</f>
        <v>CONDIMENT</v>
      </c>
      <c r="F672" s="26" t="s">
        <v>3151</v>
      </c>
      <c r="G672" s="26" t="s">
        <v>1224</v>
      </c>
      <c r="H672" s="26" t="s">
        <v>2684</v>
      </c>
      <c r="I672" s="54">
        <f>_xll.DBRW($A$1,$F$14,$F$15,$C672,$A$2,$F672,$G672,$H672,I$1)</f>
        <v>18</v>
      </c>
      <c r="J672" s="25">
        <f>_xll.DBRW($A$1,$F$14,$F$15,$C672,$A$2,$F672,$G672,$H672,J$19)</f>
        <v>17</v>
      </c>
    </row>
    <row r="673" spans="1:10" s="23" customFormat="1" outlineLevel="1" thickBot="1" x14ac:dyDescent="0.3">
      <c r="A673" s="44"/>
      <c r="B673" s="31" t="str">
        <f>IF(_xll.TM1RPTELISCONSOLIDATED($H$20,$H673),IF(_xll.TM1RPTELLEV($H$20,$H673)&lt;=5,_xll.TM1RPTELLEV($H$20,$H673),"Default"),"Leaf")</f>
        <v>Leaf</v>
      </c>
      <c r="C673" s="26" t="s">
        <v>13</v>
      </c>
      <c r="D673" s="24" t="str">
        <f>_xll.DBRW("TM1-S1_DEV:}ElementAttributes_SP_SKU",$F673,D$1)</f>
        <v>Primary</v>
      </c>
      <c r="E673" s="24" t="str">
        <f>_xll.DBRW("TM1-S1_DEV:}ElementAttributes_SP_SKU",$F673,E$1)</f>
        <v>CONDIMENT</v>
      </c>
      <c r="F673" s="26" t="s">
        <v>3152</v>
      </c>
      <c r="G673" s="26" t="s">
        <v>984</v>
      </c>
      <c r="H673" s="26" t="s">
        <v>2684</v>
      </c>
      <c r="I673" s="54">
        <f>_xll.DBRW($A$1,$F$14,$F$15,$C673,$A$2,$F673,$G673,$H673,I$1)</f>
        <v>17</v>
      </c>
      <c r="J673" s="25">
        <f>_xll.DBRW($A$1,$F$14,$F$15,$C673,$A$2,$F673,$G673,$H673,J$19)</f>
        <v>15</v>
      </c>
    </row>
    <row r="674" spans="1:10" s="23" customFormat="1" outlineLevel="1" thickBot="1" x14ac:dyDescent="0.3">
      <c r="A674" s="44"/>
      <c r="B674" s="31" t="str">
        <f>IF(_xll.TM1RPTELISCONSOLIDATED($H$20,$H674),IF(_xll.TM1RPTELLEV($H$20,$H674)&lt;=5,_xll.TM1RPTELLEV($H$20,$H674),"Default"),"Leaf")</f>
        <v>Leaf</v>
      </c>
      <c r="C674" s="26" t="s">
        <v>13</v>
      </c>
      <c r="D674" s="24" t="str">
        <f>_xll.DBRW("TM1-S1_DEV:}ElementAttributes_SP_SKU",$F674,D$1)</f>
        <v>Primary</v>
      </c>
      <c r="E674" s="24" t="str">
        <f>_xll.DBRW("TM1-S1_DEV:}ElementAttributes_SP_SKU",$F674,E$1)</f>
        <v>CONDIMENT</v>
      </c>
      <c r="F674" s="26" t="s">
        <v>3153</v>
      </c>
      <c r="G674" s="26" t="s">
        <v>1225</v>
      </c>
      <c r="H674" s="26" t="s">
        <v>2684</v>
      </c>
      <c r="I674" s="54">
        <f>_xll.DBRW($A$1,$F$14,$F$15,$C674,$A$2,$F674,$G674,$H674,I$1)</f>
        <v>19</v>
      </c>
      <c r="J674" s="25">
        <f>_xll.DBRW($A$1,$F$14,$F$15,$C674,$A$2,$F674,$G674,$H674,J$19)</f>
        <v>17</v>
      </c>
    </row>
    <row r="675" spans="1:10" s="23" customFormat="1" outlineLevel="1" thickBot="1" x14ac:dyDescent="0.3">
      <c r="A675" s="44"/>
      <c r="B675" s="31" t="str">
        <f>IF(_xll.TM1RPTELISCONSOLIDATED($H$20,$H675),IF(_xll.TM1RPTELLEV($H$20,$H675)&lt;=5,_xll.TM1RPTELLEV($H$20,$H675),"Default"),"Leaf")</f>
        <v>Leaf</v>
      </c>
      <c r="C675" s="26" t="s">
        <v>13</v>
      </c>
      <c r="D675" s="24" t="str">
        <f>_xll.DBRW("TM1-S1_DEV:}ElementAttributes_SP_SKU",$F675,D$1)</f>
        <v>Primary</v>
      </c>
      <c r="E675" s="24" t="str">
        <f>_xll.DBRW("TM1-S1_DEV:}ElementAttributes_SP_SKU",$F675,E$1)</f>
        <v>CONDIMENT</v>
      </c>
      <c r="F675" s="26" t="s">
        <v>3154</v>
      </c>
      <c r="G675" s="26" t="s">
        <v>985</v>
      </c>
      <c r="H675" s="26" t="s">
        <v>2684</v>
      </c>
      <c r="I675" s="54">
        <f>_xll.DBRW($A$1,$F$14,$F$15,$C675,$A$2,$F675,$G675,$H675,I$1)</f>
        <v>32</v>
      </c>
      <c r="J675" s="25">
        <f>_xll.DBRW($A$1,$F$14,$F$15,$C675,$A$2,$F675,$G675,$H675,J$19)</f>
        <v>27</v>
      </c>
    </row>
    <row r="676" spans="1:10" s="23" customFormat="1" outlineLevel="1" thickBot="1" x14ac:dyDescent="0.3">
      <c r="A676" s="44"/>
      <c r="B676" s="31" t="str">
        <f>IF(_xll.TM1RPTELISCONSOLIDATED($H$20,$H676),IF(_xll.TM1RPTELLEV($H$20,$H676)&lt;=5,_xll.TM1RPTELLEV($H$20,$H676),"Default"),"Leaf")</f>
        <v>Leaf</v>
      </c>
      <c r="C676" s="26" t="s">
        <v>13</v>
      </c>
      <c r="D676" s="24" t="str">
        <f>_xll.DBRW("TM1-S1_DEV:}ElementAttributes_SP_SKU",$F676,D$1)</f>
        <v>Primary</v>
      </c>
      <c r="E676" s="24" t="str">
        <f>_xll.DBRW("TM1-S1_DEV:}ElementAttributes_SP_SKU",$F676,E$1)</f>
        <v>BREAD</v>
      </c>
      <c r="F676" s="26" t="s">
        <v>3163</v>
      </c>
      <c r="G676" s="26" t="s">
        <v>986</v>
      </c>
      <c r="H676" s="26" t="s">
        <v>2687</v>
      </c>
      <c r="I676" s="54">
        <f>_xll.DBRW($A$1,$F$14,$F$15,$C676,$A$2,$F676,$G676,$H676,I$1)</f>
        <v>72</v>
      </c>
      <c r="J676" s="25">
        <f>_xll.DBRW($A$1,$F$14,$F$15,$C676,$A$2,$F676,$G676,$H676,J$19)</f>
        <v>35</v>
      </c>
    </row>
    <row r="677" spans="1:10" s="23" customFormat="1" outlineLevel="1" thickBot="1" x14ac:dyDescent="0.3">
      <c r="A677" s="44"/>
      <c r="B677" s="31" t="str">
        <f>IF(_xll.TM1RPTELISCONSOLIDATED($H$20,$H677),IF(_xll.TM1RPTELLEV($H$20,$H677)&lt;=5,_xll.TM1RPTELLEV($H$20,$H677),"Default"),"Leaf")</f>
        <v>Leaf</v>
      </c>
      <c r="C677" s="26" t="s">
        <v>13</v>
      </c>
      <c r="D677" s="24" t="str">
        <f>_xll.DBRW("TM1-S1_DEV:}ElementAttributes_SP_SKU",$F677,D$1)</f>
        <v>Primary</v>
      </c>
      <c r="E677" s="24" t="str">
        <f>_xll.DBRW("TM1-S1_DEV:}ElementAttributes_SP_SKU",$F677,E$1)</f>
        <v>BREAD</v>
      </c>
      <c r="F677" s="26" t="s">
        <v>3164</v>
      </c>
      <c r="G677" s="26" t="s">
        <v>987</v>
      </c>
      <c r="H677" s="26" t="s">
        <v>2687</v>
      </c>
      <c r="I677" s="54">
        <f>_xll.DBRW($A$1,$F$14,$F$15,$C677,$A$2,$F677,$G677,$H677,I$1)</f>
        <v>131</v>
      </c>
      <c r="J677" s="25">
        <f>_xll.DBRW($A$1,$F$14,$F$15,$C677,$A$2,$F677,$G677,$H677,J$19)</f>
        <v>88</v>
      </c>
    </row>
    <row r="678" spans="1:10" s="23" customFormat="1" outlineLevel="1" thickBot="1" x14ac:dyDescent="0.3">
      <c r="A678" s="44"/>
      <c r="B678" s="31" t="str">
        <f>IF(_xll.TM1RPTELISCONSOLIDATED($H$20,$H678),IF(_xll.TM1RPTELLEV($H$20,$H678)&lt;=5,_xll.TM1RPTELLEV($H$20,$H678),"Default"),"Leaf")</f>
        <v>Leaf</v>
      </c>
      <c r="C678" s="26" t="s">
        <v>13</v>
      </c>
      <c r="D678" s="24" t="str">
        <f>_xll.DBRW("TM1-S1_DEV:}ElementAttributes_SP_SKU",$F678,D$1)</f>
        <v>Primary</v>
      </c>
      <c r="E678" s="24" t="str">
        <f>_xll.DBRW("TM1-S1_DEV:}ElementAttributes_SP_SKU",$F678,E$1)</f>
        <v>BREAD</v>
      </c>
      <c r="F678" s="26" t="s">
        <v>3165</v>
      </c>
      <c r="G678" s="26" t="s">
        <v>988</v>
      </c>
      <c r="H678" s="26" t="s">
        <v>2688</v>
      </c>
      <c r="I678" s="54">
        <f>_xll.DBRW($A$1,$F$14,$F$15,$C678,$A$2,$F678,$G678,$H678,I$1)</f>
        <v>132</v>
      </c>
      <c r="J678" s="25">
        <f>_xll.DBRW($A$1,$F$14,$F$15,$C678,$A$2,$F678,$G678,$H678,J$19)</f>
        <v>338</v>
      </c>
    </row>
    <row r="679" spans="1:10" s="23" customFormat="1" outlineLevel="1" thickBot="1" x14ac:dyDescent="0.3">
      <c r="A679" s="44"/>
      <c r="B679" s="31" t="str">
        <f>IF(_xll.TM1RPTELISCONSOLIDATED($H$20,$H679),IF(_xll.TM1RPTELLEV($H$20,$H679)&lt;=5,_xll.TM1RPTELLEV($H$20,$H679),"Default"),"Leaf")</f>
        <v>Leaf</v>
      </c>
      <c r="C679" s="26" t="s">
        <v>13</v>
      </c>
      <c r="D679" s="24" t="str">
        <f>_xll.DBRW("TM1-S1_DEV:}ElementAttributes_SP_SKU",$F679,D$1)</f>
        <v>Primary</v>
      </c>
      <c r="E679" s="24" t="str">
        <f>_xll.DBRW("TM1-S1_DEV:}ElementAttributes_SP_SKU",$F679,E$1)</f>
        <v>BREAD</v>
      </c>
      <c r="F679" s="26" t="s">
        <v>3166</v>
      </c>
      <c r="G679" s="26" t="s">
        <v>989</v>
      </c>
      <c r="H679" s="26" t="s">
        <v>2689</v>
      </c>
      <c r="I679" s="54">
        <f>_xll.DBRW($A$1,$F$14,$F$15,$C679,$A$2,$F679,$G679,$H679,I$1)</f>
        <v>151</v>
      </c>
      <c r="J679" s="25">
        <f>_xll.DBRW($A$1,$F$14,$F$15,$C679,$A$2,$F679,$G679,$H679,J$19)</f>
        <v>129</v>
      </c>
    </row>
    <row r="680" spans="1:10" s="23" customFormat="1" outlineLevel="1" thickBot="1" x14ac:dyDescent="0.3">
      <c r="A680" s="44"/>
      <c r="B680" s="31" t="str">
        <f>IF(_xll.TM1RPTELISCONSOLIDATED($H$20,$H680),IF(_xll.TM1RPTELLEV($H$20,$H680)&lt;=5,_xll.TM1RPTELLEV($H$20,$H680),"Default"),"Leaf")</f>
        <v>Leaf</v>
      </c>
      <c r="C680" s="26" t="s">
        <v>13</v>
      </c>
      <c r="D680" s="24" t="str">
        <f>_xll.DBRW("TM1-S1_DEV:}ElementAttributes_SP_SKU",$F680,D$1)</f>
        <v>Primary</v>
      </c>
      <c r="E680" s="24" t="str">
        <f>_xll.DBRW("TM1-S1_DEV:}ElementAttributes_SP_SKU",$F680,E$1)</f>
        <v>BREAD</v>
      </c>
      <c r="F680" s="26" t="s">
        <v>3167</v>
      </c>
      <c r="G680" s="26" t="s">
        <v>990</v>
      </c>
      <c r="H680" s="26" t="s">
        <v>2688</v>
      </c>
      <c r="I680" s="54">
        <f>_xll.DBRW($A$1,$F$14,$F$15,$C680,$A$2,$F680,$G680,$H680,I$1)</f>
        <v>221</v>
      </c>
      <c r="J680" s="25">
        <f>_xll.DBRW($A$1,$F$14,$F$15,$C680,$A$2,$F680,$G680,$H680,J$19)</f>
        <v>300</v>
      </c>
    </row>
    <row r="681" spans="1:10" s="23" customFormat="1" outlineLevel="1" thickBot="1" x14ac:dyDescent="0.3">
      <c r="A681" s="44"/>
      <c r="B681" s="31" t="str">
        <f>IF(_xll.TM1RPTELISCONSOLIDATED($H$20,$H681),IF(_xll.TM1RPTELLEV($H$20,$H681)&lt;=5,_xll.TM1RPTELLEV($H$20,$H681),"Default"),"Leaf")</f>
        <v>Leaf</v>
      </c>
      <c r="C681" s="26" t="s">
        <v>13</v>
      </c>
      <c r="D681" s="24" t="str">
        <f>_xll.DBRW("TM1-S1_DEV:}ElementAttributes_SP_SKU",$F681,D$1)</f>
        <v>Primary</v>
      </c>
      <c r="E681" s="24" t="str">
        <f>_xll.DBRW("TM1-S1_DEV:}ElementAttributes_SP_SKU",$F681,E$1)</f>
        <v>BREAD</v>
      </c>
      <c r="F681" s="26" t="s">
        <v>3168</v>
      </c>
      <c r="G681" s="26" t="s">
        <v>991</v>
      </c>
      <c r="H681" s="26" t="s">
        <v>2688</v>
      </c>
      <c r="I681" s="54">
        <f>_xll.DBRW($A$1,$F$14,$F$15,$C681,$A$2,$F681,$G681,$H681,I$1)</f>
        <v>32</v>
      </c>
      <c r="J681" s="25">
        <f>_xll.DBRW($A$1,$F$14,$F$15,$C681,$A$2,$F681,$G681,$H681,J$19)</f>
        <v>25</v>
      </c>
    </row>
    <row r="682" spans="1:10" s="23" customFormat="1" outlineLevel="1" thickBot="1" x14ac:dyDescent="0.3">
      <c r="A682" s="44"/>
      <c r="B682" s="31" t="str">
        <f>IF(_xll.TM1RPTELISCONSOLIDATED($H$20,$H682),IF(_xll.TM1RPTELLEV($H$20,$H682)&lt;=5,_xll.TM1RPTELLEV($H$20,$H682),"Default"),"Leaf")</f>
        <v>Leaf</v>
      </c>
      <c r="C682" s="26" t="s">
        <v>13</v>
      </c>
      <c r="D682" s="24" t="str">
        <f>_xll.DBRW("TM1-S1_DEV:}ElementAttributes_SP_SKU",$F682,D$1)</f>
        <v>Primary</v>
      </c>
      <c r="E682" s="24" t="str">
        <f>_xll.DBRW("TM1-S1_DEV:}ElementAttributes_SP_SKU",$F682,E$1)</f>
        <v>BREAD</v>
      </c>
      <c r="F682" s="26" t="s">
        <v>3169</v>
      </c>
      <c r="G682" s="26" t="s">
        <v>992</v>
      </c>
      <c r="H682" s="26" t="s">
        <v>2690</v>
      </c>
      <c r="I682" s="54">
        <f>_xll.DBRW($A$1,$F$14,$F$15,$C682,$A$2,$F682,$G682,$H682,I$1)</f>
        <v>436</v>
      </c>
      <c r="J682" s="25">
        <f>_xll.DBRW($A$1,$F$14,$F$15,$C682,$A$2,$F682,$G682,$H682,J$19)</f>
        <v>391</v>
      </c>
    </row>
    <row r="683" spans="1:10" s="23" customFormat="1" outlineLevel="1" thickBot="1" x14ac:dyDescent="0.3">
      <c r="A683" s="44"/>
      <c r="B683" s="31" t="str">
        <f>IF(_xll.TM1RPTELISCONSOLIDATED($H$20,$H683),IF(_xll.TM1RPTELLEV($H$20,$H683)&lt;=5,_xll.TM1RPTELLEV($H$20,$H683),"Default"),"Leaf")</f>
        <v>Leaf</v>
      </c>
      <c r="C683" s="26" t="s">
        <v>13</v>
      </c>
      <c r="D683" s="24" t="str">
        <f>_xll.DBRW("TM1-S1_DEV:}ElementAttributes_SP_SKU",$F683,D$1)</f>
        <v>Primary</v>
      </c>
      <c r="E683" s="24" t="str">
        <f>_xll.DBRW("TM1-S1_DEV:}ElementAttributes_SP_SKU",$F683,E$1)</f>
        <v>BREAD</v>
      </c>
      <c r="F683" s="26" t="s">
        <v>3170</v>
      </c>
      <c r="G683" s="26" t="s">
        <v>1226</v>
      </c>
      <c r="H683" s="26" t="s">
        <v>2690</v>
      </c>
      <c r="I683" s="54">
        <f>_xll.DBRW($A$1,$F$14,$F$15,$C683,$A$2,$F683,$G683,$H683,I$1)</f>
        <v>5</v>
      </c>
      <c r="J683" s="25">
        <f>_xll.DBRW($A$1,$F$14,$F$15,$C683,$A$2,$F683,$G683,$H683,J$19)</f>
        <v>4</v>
      </c>
    </row>
    <row r="684" spans="1:10" s="23" customFormat="1" outlineLevel="1" thickBot="1" x14ac:dyDescent="0.3">
      <c r="A684" s="44"/>
      <c r="B684" s="31" t="str">
        <f>IF(_xll.TM1RPTELISCONSOLIDATED($H$20,$H684),IF(_xll.TM1RPTELLEV($H$20,$H684)&lt;=5,_xll.TM1RPTELLEV($H$20,$H684),"Default"),"Leaf")</f>
        <v>Leaf</v>
      </c>
      <c r="C684" s="26" t="s">
        <v>13</v>
      </c>
      <c r="D684" s="24" t="str">
        <f>_xll.DBRW("TM1-S1_DEV:}ElementAttributes_SP_SKU",$F684,D$1)</f>
        <v>Primary</v>
      </c>
      <c r="E684" s="24" t="str">
        <f>_xll.DBRW("TM1-S1_DEV:}ElementAttributes_SP_SKU",$F684,E$1)</f>
        <v>BREAD</v>
      </c>
      <c r="F684" s="26" t="s">
        <v>3171</v>
      </c>
      <c r="G684" s="26" t="s">
        <v>1227</v>
      </c>
      <c r="H684" s="26" t="s">
        <v>2690</v>
      </c>
      <c r="I684" s="54">
        <f>_xll.DBRW($A$1,$F$14,$F$15,$C684,$A$2,$F684,$G684,$H684,I$1)</f>
        <v>11</v>
      </c>
      <c r="J684" s="25">
        <f>_xll.DBRW($A$1,$F$14,$F$15,$C684,$A$2,$F684,$G684,$H684,J$19)</f>
        <v>8</v>
      </c>
    </row>
    <row r="685" spans="1:10" s="23" customFormat="1" outlineLevel="1" thickBot="1" x14ac:dyDescent="0.3">
      <c r="A685" s="44"/>
      <c r="B685" s="31" t="str">
        <f>IF(_xll.TM1RPTELISCONSOLIDATED($H$20,$H685),IF(_xll.TM1RPTELLEV($H$20,$H685)&lt;=5,_xll.TM1RPTELLEV($H$20,$H685),"Default"),"Leaf")</f>
        <v>Leaf</v>
      </c>
      <c r="C685" s="26" t="s">
        <v>13</v>
      </c>
      <c r="D685" s="24" t="str">
        <f>_xll.DBRW("TM1-S1_DEV:}ElementAttributes_SP_SKU",$F685,D$1)</f>
        <v>Primary</v>
      </c>
      <c r="E685" s="24" t="str">
        <f>_xll.DBRW("TM1-S1_DEV:}ElementAttributes_SP_SKU",$F685,E$1)</f>
        <v>BREAD</v>
      </c>
      <c r="F685" s="26" t="s">
        <v>3172</v>
      </c>
      <c r="G685" s="26" t="s">
        <v>1228</v>
      </c>
      <c r="H685" s="26" t="s">
        <v>2690</v>
      </c>
      <c r="I685" s="54">
        <f>_xll.DBRW($A$1,$F$14,$F$15,$C685,$A$2,$F685,$G685,$H685,I$1)</f>
        <v>6</v>
      </c>
      <c r="J685" s="25">
        <f>_xll.DBRW($A$1,$F$14,$F$15,$C685,$A$2,$F685,$G685,$H685,J$19)</f>
        <v>3</v>
      </c>
    </row>
    <row r="686" spans="1:10" s="23" customFormat="1" outlineLevel="1" thickBot="1" x14ac:dyDescent="0.3">
      <c r="A686" s="44"/>
      <c r="B686" s="31" t="str">
        <f>IF(_xll.TM1RPTELISCONSOLIDATED($H$20,$H686),IF(_xll.TM1RPTELLEV($H$20,$H686)&lt;=5,_xll.TM1RPTELLEV($H$20,$H686),"Default"),"Leaf")</f>
        <v>Leaf</v>
      </c>
      <c r="C686" s="26" t="s">
        <v>13</v>
      </c>
      <c r="D686" s="24" t="str">
        <f>_xll.DBRW("TM1-S1_DEV:}ElementAttributes_SP_SKU",$F686,D$1)</f>
        <v>Primary</v>
      </c>
      <c r="E686" s="24" t="str">
        <f>_xll.DBRW("TM1-S1_DEV:}ElementAttributes_SP_SKU",$F686,E$1)</f>
        <v>BREAD</v>
      </c>
      <c r="F686" s="26" t="s">
        <v>3252</v>
      </c>
      <c r="G686" s="26" t="s">
        <v>1229</v>
      </c>
      <c r="H686" s="26" t="s">
        <v>2691</v>
      </c>
      <c r="I686" s="54">
        <f>_xll.DBRW($A$1,$F$14,$F$15,$C686,$A$2,$F686,$G686,$H686,I$1)</f>
        <v>10</v>
      </c>
      <c r="J686" s="25">
        <f>_xll.DBRW($A$1,$F$14,$F$15,$C686,$A$2,$F686,$G686,$H686,J$19)</f>
        <v>10</v>
      </c>
    </row>
    <row r="687" spans="1:10" s="23" customFormat="1" outlineLevel="1" thickBot="1" x14ac:dyDescent="0.3">
      <c r="A687" s="44"/>
      <c r="B687" s="31" t="str">
        <f>IF(_xll.TM1RPTELISCONSOLIDATED($H$20,$H687),IF(_xll.TM1RPTELLEV($H$20,$H687)&lt;=5,_xll.TM1RPTELLEV($H$20,$H687),"Default"),"Leaf")</f>
        <v>Leaf</v>
      </c>
      <c r="C687" s="26" t="s">
        <v>13</v>
      </c>
      <c r="D687" s="24" t="str">
        <f>_xll.DBRW("TM1-S1_DEV:}ElementAttributes_SP_SKU",$F687,D$1)</f>
        <v>Primary</v>
      </c>
      <c r="E687" s="24" t="str">
        <f>_xll.DBRW("TM1-S1_DEV:}ElementAttributes_SP_SKU",$F687,E$1)</f>
        <v>CHEESE</v>
      </c>
      <c r="F687" s="26" t="s">
        <v>3173</v>
      </c>
      <c r="G687" s="26" t="s">
        <v>993</v>
      </c>
      <c r="H687" s="26" t="s">
        <v>2692</v>
      </c>
      <c r="I687" s="54">
        <f>_xll.DBRW($A$1,$F$14,$F$15,$C687,$A$2,$F687,$G687,$H687,I$1)</f>
        <v>0</v>
      </c>
      <c r="J687" s="25">
        <f>_xll.DBRW($A$1,$F$14,$F$15,$C687,$A$2,$F687,$G687,$H687,J$19)</f>
        <v>91</v>
      </c>
    </row>
    <row r="688" spans="1:10" s="23" customFormat="1" outlineLevel="1" thickBot="1" x14ac:dyDescent="0.3">
      <c r="A688" s="44"/>
      <c r="B688" s="31" t="str">
        <f>IF(_xll.TM1RPTELISCONSOLIDATED($H$20,$H688),IF(_xll.TM1RPTELLEV($H$20,$H688)&lt;=5,_xll.TM1RPTELLEV($H$20,$H688),"Default"),"Leaf")</f>
        <v>Leaf</v>
      </c>
      <c r="C688" s="26" t="s">
        <v>13</v>
      </c>
      <c r="D688" s="24" t="str">
        <f>_xll.DBRW("TM1-S1_DEV:}ElementAttributes_SP_SKU",$F688,D$1)</f>
        <v>Primary</v>
      </c>
      <c r="E688" s="24" t="str">
        <f>_xll.DBRW("TM1-S1_DEV:}ElementAttributes_SP_SKU",$F688,E$1)</f>
        <v>CONDIMENT</v>
      </c>
      <c r="F688" s="26" t="s">
        <v>3174</v>
      </c>
      <c r="G688" s="26" t="s">
        <v>994</v>
      </c>
      <c r="H688" s="26" t="s">
        <v>2684</v>
      </c>
      <c r="I688" s="54">
        <f>_xll.DBRW($A$1,$F$14,$F$15,$C688,$A$2,$F688,$G688,$H688,I$1)</f>
        <v>83</v>
      </c>
      <c r="J688" s="25">
        <f>_xll.DBRW($A$1,$F$14,$F$15,$C688,$A$2,$F688,$G688,$H688,J$19)</f>
        <v>90</v>
      </c>
    </row>
    <row r="689" spans="1:10" s="23" customFormat="1" outlineLevel="1" thickBot="1" x14ac:dyDescent="0.3">
      <c r="A689" s="44"/>
      <c r="B689" s="31" t="str">
        <f>IF(_xll.TM1RPTELISCONSOLIDATED($H$20,$H689),IF(_xll.TM1RPTELLEV($H$20,$H689)&lt;=5,_xll.TM1RPTELLEV($H$20,$H689),"Default"),"Leaf")</f>
        <v>Leaf</v>
      </c>
      <c r="C689" s="26" t="s">
        <v>13</v>
      </c>
      <c r="D689" s="24" t="str">
        <f>_xll.DBRW("TM1-S1_DEV:}ElementAttributes_SP_SKU",$F689,D$1)</f>
        <v>Primary</v>
      </c>
      <c r="E689" s="24" t="str">
        <f>_xll.DBRW("TM1-S1_DEV:}ElementAttributes_SP_SKU",$F689,E$1)</f>
        <v>CONDIMENT</v>
      </c>
      <c r="F689" s="26" t="s">
        <v>3176</v>
      </c>
      <c r="G689" s="26" t="s">
        <v>996</v>
      </c>
      <c r="H689" s="26" t="s">
        <v>2684</v>
      </c>
      <c r="I689" s="54">
        <f>_xll.DBRW($A$1,$F$14,$F$15,$C689,$A$2,$F689,$G689,$H689,I$1)</f>
        <v>21</v>
      </c>
      <c r="J689" s="25">
        <f>_xll.DBRW($A$1,$F$14,$F$15,$C689,$A$2,$F689,$G689,$H689,J$19)</f>
        <v>20</v>
      </c>
    </row>
    <row r="690" spans="1:10" s="23" customFormat="1" outlineLevel="1" thickBot="1" x14ac:dyDescent="0.3">
      <c r="A690" s="44"/>
      <c r="B690" s="31" t="str">
        <f>IF(_xll.TM1RPTELISCONSOLIDATED($H$20,$H690),IF(_xll.TM1RPTELLEV($H$20,$H690)&lt;=5,_xll.TM1RPTELLEV($H$20,$H690),"Default"),"Leaf")</f>
        <v>Leaf</v>
      </c>
      <c r="C690" s="26" t="s">
        <v>13</v>
      </c>
      <c r="D690" s="24" t="str">
        <f>_xll.DBRW("TM1-S1_DEV:}ElementAttributes_SP_SKU",$F690,D$1)</f>
        <v>Primary</v>
      </c>
      <c r="E690" s="24" t="str">
        <f>_xll.DBRW("TM1-S1_DEV:}ElementAttributes_SP_SKU",$F690,E$1)</f>
        <v>CONDIMENT</v>
      </c>
      <c r="F690" s="26" t="s">
        <v>3253</v>
      </c>
      <c r="G690" s="26" t="s">
        <v>997</v>
      </c>
      <c r="H690" s="26" t="s">
        <v>2686</v>
      </c>
      <c r="I690" s="54">
        <f>_xll.DBRW($A$1,$F$14,$F$15,$C690,$A$2,$F690,$G690,$H690,I$1)</f>
        <v>59</v>
      </c>
      <c r="J690" s="25">
        <f>_xll.DBRW($A$1,$F$14,$F$15,$C690,$A$2,$F690,$G690,$H690,J$19)</f>
        <v>134</v>
      </c>
    </row>
    <row r="691" spans="1:10" s="23" customFormat="1" outlineLevel="1" thickBot="1" x14ac:dyDescent="0.3">
      <c r="A691" s="44"/>
      <c r="B691" s="31" t="str">
        <f>IF(_xll.TM1RPTELISCONSOLIDATED($H$20,$H691),IF(_xll.TM1RPTELLEV($H$20,$H691)&lt;=5,_xll.TM1RPTELLEV($H$20,$H691),"Default"),"Leaf")</f>
        <v>Leaf</v>
      </c>
      <c r="C691" s="26" t="s">
        <v>13</v>
      </c>
      <c r="D691" s="24" t="str">
        <f>_xll.DBRW("TM1-S1_DEV:}ElementAttributes_SP_SKU",$F691,D$1)</f>
        <v>Primary</v>
      </c>
      <c r="E691" s="24" t="str">
        <f>_xll.DBRW("TM1-S1_DEV:}ElementAttributes_SP_SKU",$F691,E$1)</f>
        <v>CONDIMENT</v>
      </c>
      <c r="F691" s="26" t="s">
        <v>3178</v>
      </c>
      <c r="G691" s="26" t="s">
        <v>998</v>
      </c>
      <c r="H691" s="26" t="s">
        <v>2684</v>
      </c>
      <c r="I691" s="54">
        <f>_xll.DBRW($A$1,$F$14,$F$15,$C691,$A$2,$F691,$G691,$H691,I$1)</f>
        <v>13</v>
      </c>
      <c r="J691" s="25">
        <f>_xll.DBRW($A$1,$F$14,$F$15,$C691,$A$2,$F691,$G691,$H691,J$19)</f>
        <v>13</v>
      </c>
    </row>
    <row r="692" spans="1:10" s="23" customFormat="1" outlineLevel="1" thickBot="1" x14ac:dyDescent="0.3">
      <c r="A692" s="44"/>
      <c r="B692" s="31" t="str">
        <f>IF(_xll.TM1RPTELISCONSOLIDATED($H$20,$H692),IF(_xll.TM1RPTELLEV($H$20,$H692)&lt;=5,_xll.TM1RPTELLEV($H$20,$H692),"Default"),"Leaf")</f>
        <v>Leaf</v>
      </c>
      <c r="C692" s="26" t="s">
        <v>13</v>
      </c>
      <c r="D692" s="24" t="str">
        <f>_xll.DBRW("TM1-S1_DEV:}ElementAttributes_SP_SKU",$F692,D$1)</f>
        <v>Primary</v>
      </c>
      <c r="E692" s="24" t="str">
        <f>_xll.DBRW("TM1-S1_DEV:}ElementAttributes_SP_SKU",$F692,E$1)</f>
        <v>CONDIMENT</v>
      </c>
      <c r="F692" s="26" t="s">
        <v>3179</v>
      </c>
      <c r="G692" s="26" t="s">
        <v>999</v>
      </c>
      <c r="H692" s="26" t="s">
        <v>2684</v>
      </c>
      <c r="I692" s="54">
        <f>_xll.DBRW($A$1,$F$14,$F$15,$C692,$A$2,$F692,$G692,$H692,I$1)</f>
        <v>44</v>
      </c>
      <c r="J692" s="25">
        <f>_xll.DBRW($A$1,$F$14,$F$15,$C692,$A$2,$F692,$G692,$H692,J$19)</f>
        <v>44</v>
      </c>
    </row>
    <row r="693" spans="1:10" s="23" customFormat="1" outlineLevel="1" thickBot="1" x14ac:dyDescent="0.3">
      <c r="A693" s="44"/>
      <c r="B693" s="31" t="str">
        <f>IF(_xll.TM1RPTELISCONSOLIDATED($H$20,$H693),IF(_xll.TM1RPTELLEV($H$20,$H693)&lt;=5,_xll.TM1RPTELLEV($H$20,$H693),"Default"),"Leaf")</f>
        <v>Leaf</v>
      </c>
      <c r="C693" s="26" t="s">
        <v>13</v>
      </c>
      <c r="D693" s="24" t="str">
        <f>_xll.DBRW("TM1-S1_DEV:}ElementAttributes_SP_SKU",$F693,D$1)</f>
        <v>Primary</v>
      </c>
      <c r="E693" s="24" t="str">
        <f>_xll.DBRW("TM1-S1_DEV:}ElementAttributes_SP_SKU",$F693,E$1)</f>
        <v>COOKIE</v>
      </c>
      <c r="F693" s="26" t="s">
        <v>3180</v>
      </c>
      <c r="G693" s="26" t="s">
        <v>1000</v>
      </c>
      <c r="H693" s="26" t="s">
        <v>2691</v>
      </c>
      <c r="I693" s="54">
        <f>_xll.DBRW($A$1,$F$14,$F$15,$C693,$A$2,$F693,$G693,$H693,I$1)</f>
        <v>56</v>
      </c>
      <c r="J693" s="25">
        <f>_xll.DBRW($A$1,$F$14,$F$15,$C693,$A$2,$F693,$G693,$H693,J$19)</f>
        <v>100</v>
      </c>
    </row>
    <row r="694" spans="1:10" s="23" customFormat="1" outlineLevel="1" thickBot="1" x14ac:dyDescent="0.3">
      <c r="A694" s="44"/>
      <c r="B694" s="31" t="str">
        <f>IF(_xll.TM1RPTELISCONSOLIDATED($H$20,$H694),IF(_xll.TM1RPTELLEV($H$20,$H694)&lt;=5,_xll.TM1RPTELLEV($H$20,$H694),"Default"),"Leaf")</f>
        <v>Leaf</v>
      </c>
      <c r="C694" s="26" t="s">
        <v>13</v>
      </c>
      <c r="D694" s="24" t="str">
        <f>_xll.DBRW("TM1-S1_DEV:}ElementAttributes_SP_SKU",$F694,D$1)</f>
        <v>Primary</v>
      </c>
      <c r="E694" s="24" t="str">
        <f>_xll.DBRW("TM1-S1_DEV:}ElementAttributes_SP_SKU",$F694,E$1)</f>
        <v>COOKIE</v>
      </c>
      <c r="F694" s="26" t="s">
        <v>3181</v>
      </c>
      <c r="G694" s="26" t="s">
        <v>1001</v>
      </c>
      <c r="H694" s="26" t="s">
        <v>2691</v>
      </c>
      <c r="I694" s="54">
        <f>_xll.DBRW($A$1,$F$14,$F$15,$C694,$A$2,$F694,$G694,$H694,I$1)</f>
        <v>81</v>
      </c>
      <c r="J694" s="25">
        <f>_xll.DBRW($A$1,$F$14,$F$15,$C694,$A$2,$F694,$G694,$H694,J$19)</f>
        <v>125</v>
      </c>
    </row>
    <row r="695" spans="1:10" s="23" customFormat="1" outlineLevel="1" thickBot="1" x14ac:dyDescent="0.3">
      <c r="A695" s="44"/>
      <c r="B695" s="31" t="str">
        <f>IF(_xll.TM1RPTELISCONSOLIDATED($H$20,$H695),IF(_xll.TM1RPTELLEV($H$20,$H695)&lt;=5,_xll.TM1RPTELLEV($H$20,$H695),"Default"),"Leaf")</f>
        <v>Leaf</v>
      </c>
      <c r="C695" s="26" t="s">
        <v>13</v>
      </c>
      <c r="D695" s="24" t="str">
        <f>_xll.DBRW("TM1-S1_DEV:}ElementAttributes_SP_SKU",$F695,D$1)</f>
        <v>Primary</v>
      </c>
      <c r="E695" s="24" t="str">
        <f>_xll.DBRW("TM1-S1_DEV:}ElementAttributes_SP_SKU",$F695,E$1)</f>
        <v>COOKIE</v>
      </c>
      <c r="F695" s="26" t="s">
        <v>3182</v>
      </c>
      <c r="G695" s="26" t="s">
        <v>1002</v>
      </c>
      <c r="H695" s="26" t="s">
        <v>2691</v>
      </c>
      <c r="I695" s="54">
        <f>_xll.DBRW($A$1,$F$14,$F$15,$C695,$A$2,$F695,$G695,$H695,I$1)</f>
        <v>113</v>
      </c>
      <c r="J695" s="25">
        <f>_xll.DBRW($A$1,$F$14,$F$15,$C695,$A$2,$F695,$G695,$H695,J$19)</f>
        <v>125</v>
      </c>
    </row>
    <row r="696" spans="1:10" s="23" customFormat="1" outlineLevel="1" thickBot="1" x14ac:dyDescent="0.3">
      <c r="A696" s="44"/>
      <c r="B696" s="31" t="str">
        <f>IF(_xll.TM1RPTELISCONSOLIDATED($H$20,$H696),IF(_xll.TM1RPTELLEV($H$20,$H696)&lt;=5,_xll.TM1RPTELLEV($H$20,$H696),"Default"),"Leaf")</f>
        <v>Leaf</v>
      </c>
      <c r="C696" s="26" t="s">
        <v>13</v>
      </c>
      <c r="D696" s="24" t="str">
        <f>_xll.DBRW("TM1-S1_DEV:}ElementAttributes_SP_SKU",$F696,D$1)</f>
        <v>Primary</v>
      </c>
      <c r="E696" s="24" t="str">
        <f>_xll.DBRW("TM1-S1_DEV:}ElementAttributes_SP_SKU",$F696,E$1)</f>
        <v>COOKIE</v>
      </c>
      <c r="F696" s="26" t="s">
        <v>3183</v>
      </c>
      <c r="G696" s="26" t="s">
        <v>1003</v>
      </c>
      <c r="H696" s="26" t="s">
        <v>2691</v>
      </c>
      <c r="I696" s="54">
        <f>_xll.DBRW($A$1,$F$14,$F$15,$C696,$A$2,$F696,$G696,$H696,I$1)</f>
        <v>112</v>
      </c>
      <c r="J696" s="25">
        <f>_xll.DBRW($A$1,$F$14,$F$15,$C696,$A$2,$F696,$G696,$H696,J$19)</f>
        <v>202</v>
      </c>
    </row>
    <row r="697" spans="1:10" s="23" customFormat="1" outlineLevel="1" thickBot="1" x14ac:dyDescent="0.3">
      <c r="A697" s="44"/>
      <c r="B697" s="31" t="str">
        <f>IF(_xll.TM1RPTELISCONSOLIDATED($H$20,$H697),IF(_xll.TM1RPTELLEV($H$20,$H697)&lt;=5,_xll.TM1RPTELLEV($H$20,$H697),"Default"),"Leaf")</f>
        <v>Leaf</v>
      </c>
      <c r="C697" s="26" t="s">
        <v>13</v>
      </c>
      <c r="D697" s="24" t="str">
        <f>_xll.DBRW("TM1-S1_DEV:}ElementAttributes_SP_SKU",$F697,D$1)</f>
        <v>Primary</v>
      </c>
      <c r="E697" s="24" t="str">
        <f>_xll.DBRW("TM1-S1_DEV:}ElementAttributes_SP_SKU",$F697,E$1)</f>
        <v>INGREDIENT</v>
      </c>
      <c r="F697" s="26" t="s">
        <v>3185</v>
      </c>
      <c r="G697" s="26" t="s">
        <v>1004</v>
      </c>
      <c r="H697" s="26" t="s">
        <v>2693</v>
      </c>
      <c r="I697" s="54">
        <f>_xll.DBRW($A$1,$F$14,$F$15,$C697,$A$2,$F697,$G697,$H697,I$1)</f>
        <v>36</v>
      </c>
      <c r="J697" s="25">
        <f>_xll.DBRW($A$1,$F$14,$F$15,$C697,$A$2,$F697,$G697,$H697,J$19)</f>
        <v>51</v>
      </c>
    </row>
    <row r="698" spans="1:10" s="23" customFormat="1" outlineLevel="1" thickBot="1" x14ac:dyDescent="0.3">
      <c r="A698" s="44"/>
      <c r="B698" s="31" t="str">
        <f>IF(_xll.TM1RPTELISCONSOLIDATED($H$20,$H698),IF(_xll.TM1RPTELLEV($H$20,$H698)&lt;=5,_xll.TM1RPTELLEV($H$20,$H698),"Default"),"Leaf")</f>
        <v>Leaf</v>
      </c>
      <c r="C698" s="26" t="s">
        <v>13</v>
      </c>
      <c r="D698" s="24" t="str">
        <f>_xll.DBRW("TM1-S1_DEV:}ElementAttributes_SP_SKU",$F698,D$1)</f>
        <v>Primary</v>
      </c>
      <c r="E698" s="24" t="str">
        <f>_xll.DBRW("TM1-S1_DEV:}ElementAttributes_SP_SKU",$F698,E$1)</f>
        <v>INGREDIENT</v>
      </c>
      <c r="F698" s="26" t="s">
        <v>3254</v>
      </c>
      <c r="G698" s="26" t="s">
        <v>1005</v>
      </c>
      <c r="H698" s="26" t="s">
        <v>2735</v>
      </c>
      <c r="I698" s="54">
        <f>_xll.DBRW($A$1,$F$14,$F$15,$C698,$A$2,$F698,$G698,$H698,I$1)</f>
        <v>35</v>
      </c>
      <c r="J698" s="25">
        <f>_xll.DBRW($A$1,$F$14,$F$15,$C698,$A$2,$F698,$G698,$H698,J$19)</f>
        <v>64</v>
      </c>
    </row>
    <row r="699" spans="1:10" s="23" customFormat="1" outlineLevel="1" thickBot="1" x14ac:dyDescent="0.3">
      <c r="A699" s="44"/>
      <c r="B699" s="31" t="str">
        <f>IF(_xll.TM1RPTELISCONSOLIDATED($H$20,$H699),IF(_xll.TM1RPTELLEV($H$20,$H699)&lt;=5,_xll.TM1RPTELLEV($H$20,$H699),"Default"),"Leaf")</f>
        <v>Leaf</v>
      </c>
      <c r="C699" s="26" t="s">
        <v>13</v>
      </c>
      <c r="D699" s="24" t="str">
        <f>_xll.DBRW("TM1-S1_DEV:}ElementAttributes_SP_SKU",$F699,D$1)</f>
        <v>Primary</v>
      </c>
      <c r="E699" s="24" t="str">
        <f>_xll.DBRW("TM1-S1_DEV:}ElementAttributes_SP_SKU",$F699,E$1)</f>
        <v>INGREDIENT</v>
      </c>
      <c r="F699" s="26" t="s">
        <v>3187</v>
      </c>
      <c r="G699" s="26" t="s">
        <v>1006</v>
      </c>
      <c r="H699" s="26" t="s">
        <v>2695</v>
      </c>
      <c r="I699" s="54">
        <f>_xll.DBRW($A$1,$F$14,$F$15,$C699,$A$2,$F699,$G699,$H699,I$1)</f>
        <v>73</v>
      </c>
      <c r="J699" s="25">
        <f>_xll.DBRW($A$1,$F$14,$F$15,$C699,$A$2,$F699,$G699,$H699,J$19)</f>
        <v>171</v>
      </c>
    </row>
    <row r="700" spans="1:10" s="23" customFormat="1" outlineLevel="1" thickBot="1" x14ac:dyDescent="0.3">
      <c r="A700" s="44"/>
      <c r="B700" s="31" t="str">
        <f>IF(_xll.TM1RPTELISCONSOLIDATED($H$20,$H700),IF(_xll.TM1RPTELLEV($H$20,$H700)&lt;=5,_xll.TM1RPTELLEV($H$20,$H700),"Default"),"Leaf")</f>
        <v>Leaf</v>
      </c>
      <c r="C700" s="26" t="s">
        <v>13</v>
      </c>
      <c r="D700" s="24" t="str">
        <f>_xll.DBRW("TM1-S1_DEV:}ElementAttributes_SP_SKU",$F700,D$1)</f>
        <v>Primary</v>
      </c>
      <c r="E700" s="24" t="str">
        <f>_xll.DBRW("TM1-S1_DEV:}ElementAttributes_SP_SKU",$F700,E$1)</f>
        <v>CHIPS</v>
      </c>
      <c r="F700" s="26" t="s">
        <v>3255</v>
      </c>
      <c r="G700" s="26" t="s">
        <v>1007</v>
      </c>
      <c r="H700" s="26" t="s">
        <v>2736</v>
      </c>
      <c r="I700" s="54">
        <f>_xll.DBRW($A$1,$F$14,$F$15,$C700,$A$2,$F700,$G700,$H700,I$1)</f>
        <v>1371</v>
      </c>
      <c r="J700" s="25">
        <f>_xll.DBRW($A$1,$F$14,$F$15,$C700,$A$2,$F700,$G700,$H700,J$19)</f>
        <v>1352</v>
      </c>
    </row>
    <row r="701" spans="1:10" s="23" customFormat="1" outlineLevel="1" thickBot="1" x14ac:dyDescent="0.3">
      <c r="A701" s="44"/>
      <c r="B701" s="31" t="str">
        <f>IF(_xll.TM1RPTELISCONSOLIDATED($H$20,$H701),IF(_xll.TM1RPTELLEV($H$20,$H701)&lt;=5,_xll.TM1RPTELLEV($H$20,$H701),"Default"),"Leaf")</f>
        <v>Leaf</v>
      </c>
      <c r="C701" s="26" t="s">
        <v>13</v>
      </c>
      <c r="D701" s="24" t="str">
        <f>_xll.DBRW("TM1-S1_DEV:}ElementAttributes_SP_SKU",$F701,D$1)</f>
        <v>Primary</v>
      </c>
      <c r="E701" s="24" t="str">
        <f>_xll.DBRW("TM1-S1_DEV:}ElementAttributes_SP_SKU",$F701,E$1)</f>
        <v>CHIPS</v>
      </c>
      <c r="F701" s="26" t="s">
        <v>3256</v>
      </c>
      <c r="G701" s="26" t="s">
        <v>1008</v>
      </c>
      <c r="H701" s="26" t="s">
        <v>2736</v>
      </c>
      <c r="I701" s="54">
        <f>_xll.DBRW($A$1,$F$14,$F$15,$C701,$A$2,$F701,$G701,$H701,I$1)</f>
        <v>140</v>
      </c>
      <c r="J701" s="25">
        <f>_xll.DBRW($A$1,$F$14,$F$15,$C701,$A$2,$F701,$G701,$H701,J$19)</f>
        <v>131</v>
      </c>
    </row>
    <row r="702" spans="1:10" s="23" customFormat="1" outlineLevel="1" thickBot="1" x14ac:dyDescent="0.3">
      <c r="A702" s="44"/>
      <c r="B702" s="31" t="str">
        <f>IF(_xll.TM1RPTELISCONSOLIDATED($H$20,$H702),IF(_xll.TM1RPTELLEV($H$20,$H702)&lt;=5,_xll.TM1RPTELLEV($H$20,$H702),"Default"),"Leaf")</f>
        <v>Leaf</v>
      </c>
      <c r="C702" s="26" t="s">
        <v>13</v>
      </c>
      <c r="D702" s="24" t="str">
        <f>_xll.DBRW("TM1-S1_DEV:}ElementAttributes_SP_SKU",$F702,D$1)</f>
        <v>Primary</v>
      </c>
      <c r="E702" s="24" t="str">
        <f>_xll.DBRW("TM1-S1_DEV:}ElementAttributes_SP_SKU",$F702,E$1)</f>
        <v>CHIPS</v>
      </c>
      <c r="F702" s="26" t="s">
        <v>3257</v>
      </c>
      <c r="G702" s="26" t="s">
        <v>1009</v>
      </c>
      <c r="H702" s="26" t="s">
        <v>2736</v>
      </c>
      <c r="I702" s="54">
        <f>_xll.DBRW($A$1,$F$14,$F$15,$C702,$A$2,$F702,$G702,$H702,I$1)</f>
        <v>2657</v>
      </c>
      <c r="J702" s="25">
        <f>_xll.DBRW($A$1,$F$14,$F$15,$C702,$A$2,$F702,$G702,$H702,J$19)</f>
        <v>2622</v>
      </c>
    </row>
    <row r="703" spans="1:10" s="23" customFormat="1" outlineLevel="1" thickBot="1" x14ac:dyDescent="0.3">
      <c r="A703" s="44"/>
      <c r="B703" s="31" t="str">
        <f>IF(_xll.TM1RPTELISCONSOLIDATED($H$20,$H703),IF(_xll.TM1RPTELLEV($H$20,$H703)&lt;=5,_xll.TM1RPTELLEV($H$20,$H703),"Default"),"Leaf")</f>
        <v>Leaf</v>
      </c>
      <c r="C703" s="26" t="s">
        <v>13</v>
      </c>
      <c r="D703" s="24" t="str">
        <f>_xll.DBRW("TM1-S1_DEV:}ElementAttributes_SP_SKU",$F703,D$1)</f>
        <v>Primary</v>
      </c>
      <c r="E703" s="24" t="str">
        <f>_xll.DBRW("TM1-S1_DEV:}ElementAttributes_SP_SKU",$F703,E$1)</f>
        <v>CHIPS</v>
      </c>
      <c r="F703" s="26" t="s">
        <v>3258</v>
      </c>
      <c r="G703" s="26" t="s">
        <v>1010</v>
      </c>
      <c r="H703" s="26" t="s">
        <v>2736</v>
      </c>
      <c r="I703" s="54">
        <f>_xll.DBRW($A$1,$F$14,$F$15,$C703,$A$2,$F703,$G703,$H703,I$1)</f>
        <v>484</v>
      </c>
      <c r="J703" s="25">
        <f>_xll.DBRW($A$1,$F$14,$F$15,$C703,$A$2,$F703,$G703,$H703,J$19)</f>
        <v>470</v>
      </c>
    </row>
    <row r="704" spans="1:10" s="23" customFormat="1" outlineLevel="1" thickBot="1" x14ac:dyDescent="0.3">
      <c r="A704" s="44"/>
      <c r="B704" s="31" t="str">
        <f>IF(_xll.TM1RPTELISCONSOLIDATED($H$20,$H704),IF(_xll.TM1RPTELLEV($H$20,$H704)&lt;=5,_xll.TM1RPTELLEV($H$20,$H704),"Default"),"Leaf")</f>
        <v>Leaf</v>
      </c>
      <c r="C704" s="26" t="s">
        <v>13</v>
      </c>
      <c r="D704" s="24" t="str">
        <f>_xll.DBRW("TM1-S1_DEV:}ElementAttributes_SP_SKU",$F704,D$1)</f>
        <v>Primary</v>
      </c>
      <c r="E704" s="24" t="str">
        <f>_xll.DBRW("TM1-S1_DEV:}ElementAttributes_SP_SKU",$F704,E$1)</f>
        <v>SIDES</v>
      </c>
      <c r="F704" s="26" t="s">
        <v>3188</v>
      </c>
      <c r="G704" s="26" t="s">
        <v>1011</v>
      </c>
      <c r="H704" s="26" t="s">
        <v>2686</v>
      </c>
      <c r="I704" s="54">
        <f>_xll.DBRW($A$1,$F$14,$F$15,$C704,$A$2,$F704,$G704,$H704,I$1)</f>
        <v>31</v>
      </c>
      <c r="J704" s="25">
        <f>_xll.DBRW($A$1,$F$14,$F$15,$C704,$A$2,$F704,$G704,$H704,J$19)</f>
        <v>138</v>
      </c>
    </row>
    <row r="705" spans="1:10" s="23" customFormat="1" outlineLevel="1" thickBot="1" x14ac:dyDescent="0.3">
      <c r="A705" s="44"/>
      <c r="B705" s="31" t="str">
        <f>IF(_xll.TM1RPTELISCONSOLIDATED($H$20,$H705),IF(_xll.TM1RPTELLEV($H$20,$H705)&lt;=5,_xll.TM1RPTELLEV($H$20,$H705),"Default"),"Leaf")</f>
        <v>Leaf</v>
      </c>
      <c r="C705" s="26" t="s">
        <v>13</v>
      </c>
      <c r="D705" s="24" t="str">
        <f>_xll.DBRW("TM1-S1_DEV:}ElementAttributes_SP_SKU",$F705,D$1)</f>
        <v>Primary</v>
      </c>
      <c r="E705" s="24" t="str">
        <f>_xll.DBRW("TM1-S1_DEV:}ElementAttributes_SP_SKU",$F705,E$1)</f>
        <v>CONDIMENT</v>
      </c>
      <c r="F705" s="26" t="s">
        <v>3189</v>
      </c>
      <c r="G705" s="26" t="s">
        <v>1012</v>
      </c>
      <c r="H705" s="26" t="s">
        <v>2686</v>
      </c>
      <c r="I705" s="54">
        <f>_xll.DBRW($A$1,$F$14,$F$15,$C705,$A$2,$F705,$G705,$H705,I$1)</f>
        <v>774</v>
      </c>
      <c r="J705" s="25">
        <f>_xll.DBRW($A$1,$F$14,$F$15,$C705,$A$2,$F705,$G705,$H705,J$19)</f>
        <v>764</v>
      </c>
    </row>
    <row r="706" spans="1:10" s="23" customFormat="1" outlineLevel="1" thickBot="1" x14ac:dyDescent="0.3">
      <c r="A706" s="44"/>
      <c r="B706" s="31" t="str">
        <f>IF(_xll.TM1RPTELISCONSOLIDATED($H$20,$H706),IF(_xll.TM1RPTELLEV($H$20,$H706)&lt;=5,_xll.TM1RPTELLEV($H$20,$H706),"Default"),"Leaf")</f>
        <v>Leaf</v>
      </c>
      <c r="C706" s="26" t="s">
        <v>13</v>
      </c>
      <c r="D706" s="24" t="str">
        <f>_xll.DBRW("TM1-S1_DEV:}ElementAttributes_SP_SKU",$F706,D$1)</f>
        <v>Primary</v>
      </c>
      <c r="E706" s="24" t="str">
        <f>_xll.DBRW("TM1-S1_DEV:}ElementAttributes_SP_SKU",$F706,E$1)</f>
        <v>INGREDIENT</v>
      </c>
      <c r="F706" s="26" t="s">
        <v>3190</v>
      </c>
      <c r="G706" s="26" t="s">
        <v>1013</v>
      </c>
      <c r="H706" s="26" t="s">
        <v>2696</v>
      </c>
      <c r="I706" s="54">
        <f>_xll.DBRW($A$1,$F$14,$F$15,$C706,$A$2,$F706,$G706,$H706,I$1)</f>
        <v>189</v>
      </c>
      <c r="J706" s="25">
        <f>_xll.DBRW($A$1,$F$14,$F$15,$C706,$A$2,$F706,$G706,$H706,J$19)</f>
        <v>292</v>
      </c>
    </row>
    <row r="707" spans="1:10" s="23" customFormat="1" outlineLevel="1" thickBot="1" x14ac:dyDescent="0.3">
      <c r="A707" s="44"/>
      <c r="B707" s="31" t="str">
        <f>IF(_xll.TM1RPTELISCONSOLIDATED($H$20,$H707),IF(_xll.TM1RPTELLEV($H$20,$H707)&lt;=5,_xll.TM1RPTELLEV($H$20,$H707),"Default"),"Leaf")</f>
        <v>Leaf</v>
      </c>
      <c r="C707" s="26" t="s">
        <v>13</v>
      </c>
      <c r="D707" s="24" t="str">
        <f>_xll.DBRW("TM1-S1_DEV:}ElementAttributes_SP_SKU",$F707,D$1)</f>
        <v>Primary</v>
      </c>
      <c r="E707" s="24" t="str">
        <f>_xll.DBRW("TM1-S1_DEV:}ElementAttributes_SP_SKU",$F707,E$1)</f>
        <v>INGREDIENT</v>
      </c>
      <c r="F707" s="26" t="s">
        <v>3191</v>
      </c>
      <c r="G707" s="26" t="s">
        <v>1014</v>
      </c>
      <c r="H707" s="26" t="s">
        <v>2697</v>
      </c>
      <c r="I707" s="54">
        <f>_xll.DBRW($A$1,$F$14,$F$15,$C707,$A$2,$F707,$G707,$H707,I$1)</f>
        <v>383</v>
      </c>
      <c r="J707" s="25">
        <f>_xll.DBRW($A$1,$F$14,$F$15,$C707,$A$2,$F707,$G707,$H707,J$19)</f>
        <v>377</v>
      </c>
    </row>
    <row r="708" spans="1:10" s="23" customFormat="1" outlineLevel="1" thickBot="1" x14ac:dyDescent="0.3">
      <c r="A708" s="44"/>
      <c r="B708" s="31" t="str">
        <f>IF(_xll.TM1RPTELISCONSOLIDATED($H$20,$H708),IF(_xll.TM1RPTELLEV($H$20,$H708)&lt;=5,_xll.TM1RPTELLEV($H$20,$H708),"Default"),"Leaf")</f>
        <v>Leaf</v>
      </c>
      <c r="C708" s="26" t="s">
        <v>13</v>
      </c>
      <c r="D708" s="24" t="str">
        <f>_xll.DBRW("TM1-S1_DEV:}ElementAttributes_SP_SKU",$F708,D$1)</f>
        <v>Primary</v>
      </c>
      <c r="E708" s="24" t="str">
        <f>_xll.DBRW("TM1-S1_DEV:}ElementAttributes_SP_SKU",$F708,E$1)</f>
        <v>INGREDIENT</v>
      </c>
      <c r="F708" s="26" t="s">
        <v>3192</v>
      </c>
      <c r="G708" s="26" t="s">
        <v>1015</v>
      </c>
      <c r="H708" s="26" t="s">
        <v>2698</v>
      </c>
      <c r="I708" s="54">
        <f>_xll.DBRW($A$1,$F$14,$F$15,$C708,$A$2,$F708,$G708,$H708,I$1)</f>
        <v>12</v>
      </c>
      <c r="J708" s="25">
        <f>_xll.DBRW($A$1,$F$14,$F$15,$C708,$A$2,$F708,$G708,$H708,J$19)</f>
        <v>11</v>
      </c>
    </row>
    <row r="709" spans="1:10" s="23" customFormat="1" outlineLevel="1" thickBot="1" x14ac:dyDescent="0.3">
      <c r="A709" s="44"/>
      <c r="B709" s="31" t="str">
        <f>IF(_xll.TM1RPTELISCONSOLIDATED($H$20,$H709),IF(_xll.TM1RPTELLEV($H$20,$H709)&lt;=5,_xll.TM1RPTELLEV($H$20,$H709),"Default"),"Leaf")</f>
        <v>Leaf</v>
      </c>
      <c r="C709" s="26" t="s">
        <v>13</v>
      </c>
      <c r="D709" s="24" t="str">
        <f>_xll.DBRW("TM1-S1_DEV:}ElementAttributes_SP_SKU",$F709,D$1)</f>
        <v>Primary</v>
      </c>
      <c r="E709" s="24" t="str">
        <f>_xll.DBRW("TM1-S1_DEV:}ElementAttributes_SP_SKU",$F709,E$1)</f>
        <v>INGREDIENT</v>
      </c>
      <c r="F709" s="26" t="s">
        <v>3193</v>
      </c>
      <c r="G709" s="26" t="s">
        <v>1016</v>
      </c>
      <c r="H709" s="26" t="s">
        <v>2699</v>
      </c>
      <c r="I709" s="54">
        <f>_xll.DBRW($A$1,$F$14,$F$15,$C709,$A$2,$F709,$G709,$H709,I$1)</f>
        <v>109</v>
      </c>
      <c r="J709" s="25">
        <f>_xll.DBRW($A$1,$F$14,$F$15,$C709,$A$2,$F709,$G709,$H709,J$19)</f>
        <v>101</v>
      </c>
    </row>
    <row r="710" spans="1:10" s="23" customFormat="1" outlineLevel="1" thickBot="1" x14ac:dyDescent="0.3">
      <c r="A710" s="44"/>
      <c r="B710" s="31" t="str">
        <f>IF(_xll.TM1RPTELISCONSOLIDATED($H$20,$H710),IF(_xll.TM1RPTELLEV($H$20,$H710)&lt;=5,_xll.TM1RPTELLEV($H$20,$H710),"Default"),"Leaf")</f>
        <v>Leaf</v>
      </c>
      <c r="C710" s="26" t="s">
        <v>13</v>
      </c>
      <c r="D710" s="24" t="str">
        <f>_xll.DBRW("TM1-S1_DEV:}ElementAttributes_SP_SKU",$F710,D$1)</f>
        <v>Primary</v>
      </c>
      <c r="E710" s="24" t="str">
        <f>_xll.DBRW("TM1-S1_DEV:}ElementAttributes_SP_SKU",$F710,E$1)</f>
        <v>COOKIE</v>
      </c>
      <c r="F710" s="26" t="s">
        <v>3194</v>
      </c>
      <c r="G710" s="26" t="s">
        <v>1017</v>
      </c>
      <c r="H710" s="26" t="s">
        <v>2691</v>
      </c>
      <c r="I710" s="54">
        <f>_xll.DBRW($A$1,$F$14,$F$15,$C710,$A$2,$F710,$G710,$H710,I$1)</f>
        <v>209</v>
      </c>
      <c r="J710" s="25">
        <f>_xll.DBRW($A$1,$F$14,$F$15,$C710,$A$2,$F710,$G710,$H710,J$19)</f>
        <v>197</v>
      </c>
    </row>
    <row r="711" spans="1:10" s="23" customFormat="1" outlineLevel="1" thickBot="1" x14ac:dyDescent="0.3">
      <c r="A711" s="44"/>
      <c r="B711" s="31" t="str">
        <f>IF(_xll.TM1RPTELISCONSOLIDATED($H$20,$H711),IF(_xll.TM1RPTELLEV($H$20,$H711)&lt;=5,_xll.TM1RPTELLEV($H$20,$H711),"Default"),"Leaf")</f>
        <v>Leaf</v>
      </c>
      <c r="C711" s="26" t="s">
        <v>13</v>
      </c>
      <c r="D711" s="24" t="str">
        <f>_xll.DBRW("TM1-S1_DEV:}ElementAttributes_SP_SKU",$F711,D$1)</f>
        <v>Primary</v>
      </c>
      <c r="E711" s="24" t="str">
        <f>_xll.DBRW("TM1-S1_DEV:}ElementAttributes_SP_SKU",$F711,E$1)</f>
        <v>COOKIE</v>
      </c>
      <c r="F711" s="26" t="s">
        <v>3195</v>
      </c>
      <c r="G711" s="26" t="s">
        <v>1018</v>
      </c>
      <c r="H711" s="26" t="s">
        <v>2691</v>
      </c>
      <c r="I711" s="54">
        <f>_xll.DBRW($A$1,$F$14,$F$15,$C711,$A$2,$F711,$G711,$H711,I$1)</f>
        <v>125</v>
      </c>
      <c r="J711" s="25">
        <f>_xll.DBRW($A$1,$F$14,$F$15,$C711,$A$2,$F711,$G711,$H711,J$19)</f>
        <v>118</v>
      </c>
    </row>
    <row r="712" spans="1:10" s="23" customFormat="1" outlineLevel="1" thickBot="1" x14ac:dyDescent="0.3">
      <c r="A712" s="44"/>
      <c r="B712" s="31" t="str">
        <f>IF(_xll.TM1RPTELISCONSOLIDATED($H$20,$H712),IF(_xll.TM1RPTELLEV($H$20,$H712)&lt;=5,_xll.TM1RPTELLEV($H$20,$H712),"Default"),"Leaf")</f>
        <v>Leaf</v>
      </c>
      <c r="C712" s="26" t="s">
        <v>13</v>
      </c>
      <c r="D712" s="24" t="str">
        <f>_xll.DBRW("TM1-S1_DEV:}ElementAttributes_SP_SKU",$F712,D$1)</f>
        <v>Primary</v>
      </c>
      <c r="E712" s="24" t="str">
        <f>_xll.DBRW("TM1-S1_DEV:}ElementAttributes_SP_SKU",$F712,E$1)</f>
        <v>COOKIE</v>
      </c>
      <c r="F712" s="26" t="s">
        <v>3196</v>
      </c>
      <c r="G712" s="26" t="s">
        <v>1019</v>
      </c>
      <c r="H712" s="26" t="s">
        <v>2691</v>
      </c>
      <c r="I712" s="54">
        <f>_xll.DBRW($A$1,$F$14,$F$15,$C712,$A$2,$F712,$G712,$H712,I$1)</f>
        <v>84</v>
      </c>
      <c r="J712" s="25">
        <f>_xll.DBRW($A$1,$F$14,$F$15,$C712,$A$2,$F712,$G712,$H712,J$19)</f>
        <v>74</v>
      </c>
    </row>
    <row r="713" spans="1:10" s="23" customFormat="1" outlineLevel="1" thickBot="1" x14ac:dyDescent="0.3">
      <c r="A713" s="44"/>
      <c r="B713" s="31" t="str">
        <f>IF(_xll.TM1RPTELISCONSOLIDATED($H$20,$H713),IF(_xll.TM1RPTELLEV($H$20,$H713)&lt;=5,_xll.TM1RPTELLEV($H$20,$H713),"Default"),"Leaf")</f>
        <v>Leaf</v>
      </c>
      <c r="C713" s="26" t="s">
        <v>13</v>
      </c>
      <c r="D713" s="24" t="str">
        <f>_xll.DBRW("TM1-S1_DEV:}ElementAttributes_SP_SKU",$F713,D$1)</f>
        <v>Primary</v>
      </c>
      <c r="E713" s="24" t="str">
        <f>_xll.DBRW("TM1-S1_DEV:}ElementAttributes_SP_SKU",$F713,E$1)</f>
        <v>INGREDIENT</v>
      </c>
      <c r="F713" s="26" t="s">
        <v>30</v>
      </c>
      <c r="G713" s="26" t="s">
        <v>1021</v>
      </c>
      <c r="H713" s="26" t="s">
        <v>2700</v>
      </c>
      <c r="I713" s="54">
        <f>_xll.DBRW($A$1,$F$14,$F$15,$C713,$A$2,$F713,$G713,$H713,I$1)</f>
        <v>80</v>
      </c>
      <c r="J713" s="25">
        <f>_xll.DBRW($A$1,$F$14,$F$15,$C713,$A$2,$F713,$G713,$H713,J$19)</f>
        <v>80</v>
      </c>
    </row>
    <row r="714" spans="1:10" s="23" customFormat="1" outlineLevel="1" thickBot="1" x14ac:dyDescent="0.3">
      <c r="A714" s="44"/>
      <c r="B714" s="31" t="str">
        <f>IF(_xll.TM1RPTELISCONSOLIDATED($H$20,$H714),IF(_xll.TM1RPTELLEV($H$20,$H714)&lt;=5,_xll.TM1RPTELLEV($H$20,$H714),"Default"),"Leaf")</f>
        <v>Leaf</v>
      </c>
      <c r="C714" s="26" t="s">
        <v>13</v>
      </c>
      <c r="D714" s="24" t="str">
        <f>_xll.DBRW("TM1-S1_DEV:}ElementAttributes_SP_SKU",$F714,D$1)</f>
        <v>Unassigned PSP</v>
      </c>
      <c r="E714" s="24" t="str">
        <f>_xll.DBRW("TM1-S1_DEV:}ElementAttributes_SP_SKU",$F714,E$1)</f>
        <v>SOUP</v>
      </c>
      <c r="F714" s="26" t="s">
        <v>100</v>
      </c>
      <c r="G714" s="26" t="s">
        <v>1022</v>
      </c>
      <c r="H714" s="26" t="s">
        <v>2675</v>
      </c>
      <c r="I714" s="54">
        <f>_xll.DBRW($A$1,$F$14,$F$15,$C714,$A$2,$F714,$G714,$H714,I$1)</f>
        <v>415</v>
      </c>
      <c r="J714" s="25">
        <f>_xll.DBRW($A$1,$F$14,$F$15,$C714,$A$2,$F714,$G714,$H714,J$19)</f>
        <v>415</v>
      </c>
    </row>
    <row r="715" spans="1:10" s="23" customFormat="1" outlineLevel="1" thickBot="1" x14ac:dyDescent="0.3">
      <c r="A715" s="44"/>
      <c r="B715" s="31" t="str">
        <f>IF(_xll.TM1RPTELISCONSOLIDATED($H$20,$H715),IF(_xll.TM1RPTELLEV($H$20,$H715)&lt;=5,_xll.TM1RPTELLEV($H$20,$H715),"Default"),"Leaf")</f>
        <v>Leaf</v>
      </c>
      <c r="C715" s="26" t="s">
        <v>13</v>
      </c>
      <c r="D715" s="24" t="str">
        <f>_xll.DBRW("TM1-S1_DEV:}ElementAttributes_SP_SKU",$F715,D$1)</f>
        <v>Secondary</v>
      </c>
      <c r="E715" s="24" t="str">
        <f>_xll.DBRW("TM1-S1_DEV:}ElementAttributes_SP_SKU",$F715,E$1)</f>
        <v>SOUP</v>
      </c>
      <c r="F715" s="26" t="s">
        <v>101</v>
      </c>
      <c r="G715" s="26" t="s">
        <v>1023</v>
      </c>
      <c r="H715" s="26" t="s">
        <v>2675</v>
      </c>
      <c r="I715" s="54">
        <f>_xll.DBRW($A$1,$F$14,$F$15,$C715,$A$2,$F715,$G715,$H715,I$1)</f>
        <v>118</v>
      </c>
      <c r="J715" s="25">
        <f>_xll.DBRW($A$1,$F$14,$F$15,$C715,$A$2,$F715,$G715,$H715,J$19)</f>
        <v>118</v>
      </c>
    </row>
    <row r="716" spans="1:10" s="23" customFormat="1" outlineLevel="1" thickBot="1" x14ac:dyDescent="0.3">
      <c r="A716" s="44"/>
      <c r="B716" s="31" t="str">
        <f>IF(_xll.TM1RPTELISCONSOLIDATED($H$20,$H716),IF(_xll.TM1RPTELLEV($H$20,$H716)&lt;=5,_xll.TM1RPTELLEV($H$20,$H716),"Default"),"Leaf")</f>
        <v>Leaf</v>
      </c>
      <c r="C716" s="26" t="s">
        <v>13</v>
      </c>
      <c r="D716" s="24" t="str">
        <f>_xll.DBRW("TM1-S1_DEV:}ElementAttributes_SP_SKU",$F716,D$1)</f>
        <v>Secondary</v>
      </c>
      <c r="E716" s="24" t="str">
        <f>_xll.DBRW("TM1-S1_DEV:}ElementAttributes_SP_SKU",$F716,E$1)</f>
        <v>SOUP</v>
      </c>
      <c r="F716" s="26" t="s">
        <v>102</v>
      </c>
      <c r="G716" s="26" t="s">
        <v>1024</v>
      </c>
      <c r="H716" s="26" t="s">
        <v>2675</v>
      </c>
      <c r="I716" s="54">
        <f>_xll.DBRW($A$1,$F$14,$F$15,$C716,$A$2,$F716,$G716,$H716,I$1)</f>
        <v>206</v>
      </c>
      <c r="J716" s="25">
        <f>_xll.DBRW($A$1,$F$14,$F$15,$C716,$A$2,$F716,$G716,$H716,J$19)</f>
        <v>206</v>
      </c>
    </row>
    <row r="717" spans="1:10" s="23" customFormat="1" outlineLevel="1" thickBot="1" x14ac:dyDescent="0.3">
      <c r="A717" s="44"/>
      <c r="B717" s="31" t="str">
        <f>IF(_xll.TM1RPTELISCONSOLIDATED($H$20,$H717),IF(_xll.TM1RPTELLEV($H$20,$H717)&lt;=5,_xll.TM1RPTELLEV($H$20,$H717),"Default"),"Leaf")</f>
        <v>Leaf</v>
      </c>
      <c r="C717" s="26" t="s">
        <v>13</v>
      </c>
      <c r="D717" s="24" t="str">
        <f>_xll.DBRW("TM1-S1_DEV:}ElementAttributes_SP_SKU",$F717,D$1)</f>
        <v>Primary</v>
      </c>
      <c r="E717" s="24" t="str">
        <f>_xll.DBRW("TM1-S1_DEV:}ElementAttributes_SP_SKU",$F717,E$1)</f>
        <v>INGREDIENT</v>
      </c>
      <c r="F717" s="26" t="s">
        <v>3198</v>
      </c>
      <c r="G717" s="26" t="s">
        <v>1230</v>
      </c>
      <c r="H717" s="26" t="s">
        <v>2701</v>
      </c>
      <c r="I717" s="54">
        <f>_xll.DBRW($A$1,$F$14,$F$15,$C717,$A$2,$F717,$G717,$H717,I$1)</f>
        <v>77</v>
      </c>
      <c r="J717" s="25">
        <f>_xll.DBRW($A$1,$F$14,$F$15,$C717,$A$2,$F717,$G717,$H717,J$19)</f>
        <v>71</v>
      </c>
    </row>
    <row r="718" spans="1:10" s="23" customFormat="1" outlineLevel="1" thickBot="1" x14ac:dyDescent="0.3">
      <c r="A718" s="44"/>
      <c r="B718" s="31" t="str">
        <f>IF(_xll.TM1RPTELISCONSOLIDATED($H$20,$H718),IF(_xll.TM1RPTELLEV($H$20,$H718)&lt;=5,_xll.TM1RPTELLEV($H$20,$H718),"Default"),"Leaf")</f>
        <v>Leaf</v>
      </c>
      <c r="C718" s="26" t="s">
        <v>13</v>
      </c>
      <c r="D718" s="24" t="str">
        <f>_xll.DBRW("TM1-S1_DEV:}ElementAttributes_SP_SKU",$F718,D$1)</f>
        <v>Primary</v>
      </c>
      <c r="E718" s="24" t="str">
        <f>_xll.DBRW("TM1-S1_DEV:}ElementAttributes_SP_SKU",$F718,E$1)</f>
        <v>BOX</v>
      </c>
      <c r="F718" s="26" t="s">
        <v>3199</v>
      </c>
      <c r="G718" s="26" t="s">
        <v>1231</v>
      </c>
      <c r="H718" s="26" t="s">
        <v>2702</v>
      </c>
      <c r="I718" s="54">
        <f>_xll.DBRW($A$1,$F$14,$F$15,$C718,$A$2,$F718,$G718,$H718,I$1)</f>
        <v>8</v>
      </c>
      <c r="J718" s="25">
        <f>_xll.DBRW($A$1,$F$14,$F$15,$C718,$A$2,$F718,$G718,$H718,J$19)</f>
        <v>8</v>
      </c>
    </row>
    <row r="719" spans="1:10" s="23" customFormat="1" outlineLevel="1" thickBot="1" x14ac:dyDescent="0.3">
      <c r="A719" s="44"/>
      <c r="B719" s="31" t="str">
        <f>IF(_xll.TM1RPTELISCONSOLIDATED($H$20,$H719),IF(_xll.TM1RPTELLEV($H$20,$H719)&lt;=5,_xll.TM1RPTELLEV($H$20,$H719),"Default"),"Leaf")</f>
        <v>Leaf</v>
      </c>
      <c r="C719" s="26" t="s">
        <v>13</v>
      </c>
      <c r="D719" s="24" t="str">
        <f>_xll.DBRW("TM1-S1_DEV:}ElementAttributes_SP_SKU",$F719,D$1)</f>
        <v>Primary</v>
      </c>
      <c r="E719" s="24" t="str">
        <f>_xll.DBRW("TM1-S1_DEV:}ElementAttributes_SP_SKU",$F719,E$1)</f>
        <v>FOIL</v>
      </c>
      <c r="F719" s="26" t="s">
        <v>3204</v>
      </c>
      <c r="G719" s="26" t="s">
        <v>1232</v>
      </c>
      <c r="H719" s="26" t="s">
        <v>2704</v>
      </c>
      <c r="I719" s="54">
        <f>_xll.DBRW($A$1,$F$14,$F$15,$C719,$A$2,$F719,$G719,$H719,I$1)</f>
        <v>34</v>
      </c>
      <c r="J719" s="25">
        <f>_xll.DBRW($A$1,$F$14,$F$15,$C719,$A$2,$F719,$G719,$H719,J$19)</f>
        <v>34</v>
      </c>
    </row>
    <row r="720" spans="1:10" s="23" customFormat="1" outlineLevel="1" thickBot="1" x14ac:dyDescent="0.3">
      <c r="A720" s="44"/>
      <c r="B720" s="31" t="str">
        <f>IF(_xll.TM1RPTELISCONSOLIDATED($H$20,$H720),IF(_xll.TM1RPTELLEV($H$20,$H720)&lt;=5,_xll.TM1RPTELLEV($H$20,$H720),"Default"),"Leaf")</f>
        <v>Leaf</v>
      </c>
      <c r="C720" s="26" t="s">
        <v>13</v>
      </c>
      <c r="D720" s="24" t="str">
        <f>_xll.DBRW("TM1-S1_DEV:}ElementAttributes_SP_SKU",$F720,D$1)</f>
        <v>Primary</v>
      </c>
      <c r="E720" s="24" t="str">
        <f>_xll.DBRW("TM1-S1_DEV:}ElementAttributes_SP_SKU",$F720,E$1)</f>
        <v>BAG</v>
      </c>
      <c r="F720" s="26" t="s">
        <v>3205</v>
      </c>
      <c r="G720" s="26" t="s">
        <v>1037</v>
      </c>
      <c r="H720" s="26" t="s">
        <v>2705</v>
      </c>
      <c r="I720" s="54">
        <f>_xll.DBRW($A$1,$F$14,$F$15,$C720,$A$2,$F720,$G720,$H720,I$1)</f>
        <v>17</v>
      </c>
      <c r="J720" s="25">
        <f>_xll.DBRW($A$1,$F$14,$F$15,$C720,$A$2,$F720,$G720,$H720,J$19)</f>
        <v>17</v>
      </c>
    </row>
    <row r="721" spans="1:10" s="23" customFormat="1" outlineLevel="1" thickBot="1" x14ac:dyDescent="0.3">
      <c r="A721" s="44"/>
      <c r="B721" s="31" t="str">
        <f>IF(_xll.TM1RPTELISCONSOLIDATED($H$20,$H721),IF(_xll.TM1RPTELLEV($H$20,$H721)&lt;=5,_xll.TM1RPTELLEV($H$20,$H721),"Default"),"Leaf")</f>
        <v>Leaf</v>
      </c>
      <c r="C721" s="26" t="s">
        <v>13</v>
      </c>
      <c r="D721" s="24" t="str">
        <f>_xll.DBRW("TM1-S1_DEV:}ElementAttributes_SP_SKU",$F721,D$1)</f>
        <v>Primary</v>
      </c>
      <c r="E721" s="24" t="str">
        <f>_xll.DBRW("TM1-S1_DEV:}ElementAttributes_SP_SKU",$F721,E$1)</f>
        <v>FOIL</v>
      </c>
      <c r="F721" s="26" t="s">
        <v>3206</v>
      </c>
      <c r="G721" s="26" t="s">
        <v>1038</v>
      </c>
      <c r="H721" s="26" t="s">
        <v>2704</v>
      </c>
      <c r="I721" s="54">
        <f>_xll.DBRW($A$1,$F$14,$F$15,$C721,$A$2,$F721,$G721,$H721,I$1)</f>
        <v>20</v>
      </c>
      <c r="J721" s="25">
        <f>_xll.DBRW($A$1,$F$14,$F$15,$C721,$A$2,$F721,$G721,$H721,J$19)</f>
        <v>20</v>
      </c>
    </row>
    <row r="722" spans="1:10" s="23" customFormat="1" outlineLevel="1" thickBot="1" x14ac:dyDescent="0.3">
      <c r="A722" s="44"/>
      <c r="B722" s="31" t="str">
        <f>IF(_xll.TM1RPTELISCONSOLIDATED($H$20,$H722),IF(_xll.TM1RPTELLEV($H$20,$H722)&lt;=5,_xll.TM1RPTELLEV($H$20,$H722),"Default"),"Leaf")</f>
        <v>Leaf</v>
      </c>
      <c r="C722" s="26" t="s">
        <v>13</v>
      </c>
      <c r="D722" s="24" t="str">
        <f>_xll.DBRW("TM1-S1_DEV:}ElementAttributes_SP_SKU",$F722,D$1)</f>
        <v>Primary</v>
      </c>
      <c r="E722" s="24" t="str">
        <f>_xll.DBRW("TM1-S1_DEV:}ElementAttributes_SP_SKU",$F722,E$1)</f>
        <v>BAG</v>
      </c>
      <c r="F722" s="26" t="s">
        <v>3208</v>
      </c>
      <c r="G722" s="26" t="s">
        <v>1233</v>
      </c>
      <c r="H722" s="26" t="s">
        <v>2705</v>
      </c>
      <c r="I722" s="54">
        <f>_xll.DBRW($A$1,$F$14,$F$15,$C722,$A$2,$F722,$G722,$H722,I$1)</f>
        <v>17</v>
      </c>
      <c r="J722" s="25">
        <f>_xll.DBRW($A$1,$F$14,$F$15,$C722,$A$2,$F722,$G722,$H722,J$19)</f>
        <v>17</v>
      </c>
    </row>
    <row r="723" spans="1:10" s="23" customFormat="1" outlineLevel="1" thickBot="1" x14ac:dyDescent="0.3">
      <c r="A723" s="44"/>
      <c r="B723" s="31" t="str">
        <f>IF(_xll.TM1RPTELISCONSOLIDATED($H$20,$H723),IF(_xll.TM1RPTELLEV($H$20,$H723)&lt;=5,_xll.TM1RPTELLEV($H$20,$H723),"Default"),"Leaf")</f>
        <v>Leaf</v>
      </c>
      <c r="C723" s="26" t="s">
        <v>13</v>
      </c>
      <c r="D723" s="24" t="str">
        <f>_xll.DBRW("TM1-S1_DEV:}ElementAttributes_SP_SKU",$F723,D$1)</f>
        <v>Primary</v>
      </c>
      <c r="E723" s="24" t="str">
        <f>_xll.DBRW("TM1-S1_DEV:}ElementAttributes_SP_SKU",$F723,E$1)</f>
        <v>BAG</v>
      </c>
      <c r="F723" s="26" t="s">
        <v>3209</v>
      </c>
      <c r="G723" s="26" t="s">
        <v>1234</v>
      </c>
      <c r="H723" s="26" t="s">
        <v>2705</v>
      </c>
      <c r="I723" s="54">
        <f>_xll.DBRW($A$1,$F$14,$F$15,$C723,$A$2,$F723,$G723,$H723,I$1)</f>
        <v>34</v>
      </c>
      <c r="J723" s="25">
        <f>_xll.DBRW($A$1,$F$14,$F$15,$C723,$A$2,$F723,$G723,$H723,J$19)</f>
        <v>31</v>
      </c>
    </row>
    <row r="724" spans="1:10" s="23" customFormat="1" outlineLevel="1" thickBot="1" x14ac:dyDescent="0.3">
      <c r="A724" s="44"/>
      <c r="B724" s="31" t="str">
        <f>IF(_xll.TM1RPTELISCONSOLIDATED($H$20,$H724),IF(_xll.TM1RPTELLEV($H$20,$H724)&lt;=5,_xll.TM1RPTELLEV($H$20,$H724),"Default"),"Leaf")</f>
        <v>Leaf</v>
      </c>
      <c r="C724" s="26" t="s">
        <v>13</v>
      </c>
      <c r="D724" s="24" t="str">
        <f>_xll.DBRW("TM1-S1_DEV:}ElementAttributes_SP_SKU",$F724,D$1)</f>
        <v>Primary</v>
      </c>
      <c r="E724" s="24" t="str">
        <f>_xll.DBRW("TM1-S1_DEV:}ElementAttributes_SP_SKU",$F724,E$1)</f>
        <v>BAG</v>
      </c>
      <c r="F724" s="26" t="s">
        <v>3210</v>
      </c>
      <c r="G724" s="26" t="s">
        <v>1039</v>
      </c>
      <c r="H724" s="26" t="s">
        <v>2705</v>
      </c>
      <c r="I724" s="54">
        <f>_xll.DBRW($A$1,$F$14,$F$15,$C724,$A$2,$F724,$G724,$H724,I$1)</f>
        <v>12</v>
      </c>
      <c r="J724" s="25">
        <f>_xll.DBRW($A$1,$F$14,$F$15,$C724,$A$2,$F724,$G724,$H724,J$19)</f>
        <v>12</v>
      </c>
    </row>
    <row r="725" spans="1:10" s="23" customFormat="1" outlineLevel="1" thickBot="1" x14ac:dyDescent="0.3">
      <c r="A725" s="44"/>
      <c r="B725" s="31" t="str">
        <f>IF(_xll.TM1RPTELISCONSOLIDATED($H$20,$H725),IF(_xll.TM1RPTELLEV($H$20,$H725)&lt;=5,_xll.TM1RPTELLEV($H$20,$H725),"Default"),"Leaf")</f>
        <v>Leaf</v>
      </c>
      <c r="C725" s="26" t="s">
        <v>13</v>
      </c>
      <c r="D725" s="24" t="str">
        <f>_xll.DBRW("TM1-S1_DEV:}ElementAttributes_SP_SKU",$F725,D$1)</f>
        <v>Primary</v>
      </c>
      <c r="E725" s="24" t="str">
        <f>_xll.DBRW("TM1-S1_DEV:}ElementAttributes_SP_SKU",$F725,E$1)</f>
        <v>BOX</v>
      </c>
      <c r="F725" s="26" t="s">
        <v>3211</v>
      </c>
      <c r="G725" s="26" t="s">
        <v>1040</v>
      </c>
      <c r="H725" s="26" t="s">
        <v>2706</v>
      </c>
      <c r="I725" s="54">
        <f>_xll.DBRW($A$1,$F$14,$F$15,$C725,$A$2,$F725,$G725,$H725,I$1)</f>
        <v>293</v>
      </c>
      <c r="J725" s="25">
        <f>_xll.DBRW($A$1,$F$14,$F$15,$C725,$A$2,$F725,$G725,$H725,J$19)</f>
        <v>284</v>
      </c>
    </row>
    <row r="726" spans="1:10" s="23" customFormat="1" outlineLevel="1" thickBot="1" x14ac:dyDescent="0.3">
      <c r="A726" s="44"/>
      <c r="B726" s="31" t="str">
        <f>IF(_xll.TM1RPTELISCONSOLIDATED($H$20,$H726),IF(_xll.TM1RPTELLEV($H$20,$H726)&lt;=5,_xll.TM1RPTELLEV($H$20,$H726),"Default"),"Leaf")</f>
        <v>Leaf</v>
      </c>
      <c r="C726" s="26" t="s">
        <v>13</v>
      </c>
      <c r="D726" s="24" t="str">
        <f>_xll.DBRW("TM1-S1_DEV:}ElementAttributes_SP_SKU",$F726,D$1)</f>
        <v>Primary</v>
      </c>
      <c r="E726" s="24" t="str">
        <f>_xll.DBRW("TM1-S1_DEV:}ElementAttributes_SP_SKU",$F726,E$1)</f>
        <v>FOIL</v>
      </c>
      <c r="F726" s="26" t="s">
        <v>3212</v>
      </c>
      <c r="G726" s="26" t="s">
        <v>1235</v>
      </c>
      <c r="H726" s="26" t="s">
        <v>2704</v>
      </c>
      <c r="I726" s="54">
        <f>_xll.DBRW($A$1,$F$14,$F$15,$C726,$A$2,$F726,$G726,$H726,I$1)</f>
        <v>30</v>
      </c>
      <c r="J726" s="25">
        <f>_xll.DBRW($A$1,$F$14,$F$15,$C726,$A$2,$F726,$G726,$H726,J$19)</f>
        <v>26</v>
      </c>
    </row>
    <row r="727" spans="1:10" s="23" customFormat="1" outlineLevel="1" thickBot="1" x14ac:dyDescent="0.3">
      <c r="A727" s="44"/>
      <c r="B727" s="31" t="str">
        <f>IF(_xll.TM1RPTELISCONSOLIDATED($H$20,$H727),IF(_xll.TM1RPTELLEV($H$20,$H727)&lt;=5,_xll.TM1RPTELLEV($H$20,$H727),"Default"),"Leaf")</f>
        <v>Leaf</v>
      </c>
      <c r="C727" s="26" t="s">
        <v>13</v>
      </c>
      <c r="D727" s="24" t="str">
        <f>_xll.DBRW("TM1-S1_DEV:}ElementAttributes_SP_SKU",$F727,D$1)</f>
        <v>Primary</v>
      </c>
      <c r="E727" s="24" t="str">
        <f>_xll.DBRW("TM1-S1_DEV:}ElementAttributes_SP_SKU",$F727,E$1)</f>
        <v>BAG</v>
      </c>
      <c r="F727" s="26" t="s">
        <v>3219</v>
      </c>
      <c r="G727" s="26" t="s">
        <v>1236</v>
      </c>
      <c r="H727" s="26" t="s">
        <v>2705</v>
      </c>
      <c r="I727" s="54">
        <f>_xll.DBRW($A$1,$F$14,$F$15,$C727,$A$2,$F727,$G727,$H727,I$1)</f>
        <v>16</v>
      </c>
      <c r="J727" s="25">
        <f>_xll.DBRW($A$1,$F$14,$F$15,$C727,$A$2,$F727,$G727,$H727,J$19)</f>
        <v>15</v>
      </c>
    </row>
    <row r="728" spans="1:10" s="23" customFormat="1" outlineLevel="1" thickBot="1" x14ac:dyDescent="0.3">
      <c r="A728" s="44"/>
      <c r="B728" s="31" t="str">
        <f>IF(_xll.TM1RPTELISCONSOLIDATED($H$20,$H728),IF(_xll.TM1RPTELLEV($H$20,$H728)&lt;=5,_xll.TM1RPTELLEV($H$20,$H728),"Default"),"Leaf")</f>
        <v>Leaf</v>
      </c>
      <c r="C728" s="26" t="s">
        <v>13</v>
      </c>
      <c r="D728" s="24" t="str">
        <f>_xll.DBRW("TM1-S1_DEV:}ElementAttributes_SP_SKU",$F728,D$1)</f>
        <v>Primary</v>
      </c>
      <c r="E728" s="24" t="str">
        <f>_xll.DBRW("TM1-S1_DEV:}ElementAttributes_SP_SKU",$F728,E$1)</f>
        <v>BOX</v>
      </c>
      <c r="F728" s="26" t="s">
        <v>3220</v>
      </c>
      <c r="G728" s="26" t="s">
        <v>1237</v>
      </c>
      <c r="H728" s="26" t="s">
        <v>2702</v>
      </c>
      <c r="I728" s="54">
        <f>_xll.DBRW($A$1,$F$14,$F$15,$C728,$A$2,$F728,$G728,$H728,I$1)</f>
        <v>7</v>
      </c>
      <c r="J728" s="25">
        <f>_xll.DBRW($A$1,$F$14,$F$15,$C728,$A$2,$F728,$G728,$H728,J$19)</f>
        <v>7</v>
      </c>
    </row>
    <row r="729" spans="1:10" s="23" customFormat="1" outlineLevel="1" thickBot="1" x14ac:dyDescent="0.3">
      <c r="A729" s="44"/>
      <c r="B729" s="31" t="str">
        <f>IF(_xll.TM1RPTELISCONSOLIDATED($H$20,$H729),IF(_xll.TM1RPTELLEV($H$20,$H729)&lt;=5,_xll.TM1RPTELLEV($H$20,$H729),"Default"),"Leaf")</f>
        <v>Leaf</v>
      </c>
      <c r="C729" s="26" t="s">
        <v>13</v>
      </c>
      <c r="D729" s="24" t="str">
        <f>_xll.DBRW("TM1-S1_DEV:}ElementAttributes_SP_SKU",$F729,D$1)</f>
        <v>Primary</v>
      </c>
      <c r="E729" s="24" t="str">
        <f>_xll.DBRW("TM1-S1_DEV:}ElementAttributes_SP_SKU",$F729,E$1)</f>
        <v>BOX</v>
      </c>
      <c r="F729" s="26" t="s">
        <v>3221</v>
      </c>
      <c r="G729" s="26" t="s">
        <v>1238</v>
      </c>
      <c r="H729" s="26" t="s">
        <v>2702</v>
      </c>
      <c r="I729" s="54">
        <f>_xll.DBRW($A$1,$F$14,$F$15,$C729,$A$2,$F729,$G729,$H729,I$1)</f>
        <v>13</v>
      </c>
      <c r="J729" s="25">
        <f>_xll.DBRW($A$1,$F$14,$F$15,$C729,$A$2,$F729,$G729,$H729,J$19)</f>
        <v>13</v>
      </c>
    </row>
    <row r="730" spans="1:10" s="23" customFormat="1" outlineLevel="1" thickBot="1" x14ac:dyDescent="0.3">
      <c r="A730" s="44"/>
      <c r="B730" s="31" t="str">
        <f>IF(_xll.TM1RPTELISCONSOLIDATED($H$20,$H730),IF(_xll.TM1RPTELLEV($H$20,$H730)&lt;=5,_xll.TM1RPTELLEV($H$20,$H730),"Default"),"Leaf")</f>
        <v>Leaf</v>
      </c>
      <c r="C730" s="26" t="s">
        <v>13</v>
      </c>
      <c r="D730" s="24" t="str">
        <f>_xll.DBRW("TM1-S1_DEV:}ElementAttributes_SP_SKU",$F730,D$1)</f>
        <v>Primary</v>
      </c>
      <c r="E730" s="24" t="str">
        <f>_xll.DBRW("TM1-S1_DEV:}ElementAttributes_SP_SKU",$F730,E$1)</f>
        <v>BOX</v>
      </c>
      <c r="F730" s="26" t="s">
        <v>3222</v>
      </c>
      <c r="G730" s="26" t="s">
        <v>1239</v>
      </c>
      <c r="H730" s="26" t="s">
        <v>2702</v>
      </c>
      <c r="I730" s="54">
        <f>_xll.DBRW($A$1,$F$14,$F$15,$C730,$A$2,$F730,$G730,$H730,I$1)</f>
        <v>11</v>
      </c>
      <c r="J730" s="25">
        <f>_xll.DBRW($A$1,$F$14,$F$15,$C730,$A$2,$F730,$G730,$H730,J$19)</f>
        <v>11</v>
      </c>
    </row>
    <row r="731" spans="1:10" s="23" customFormat="1" outlineLevel="1" thickBot="1" x14ac:dyDescent="0.3">
      <c r="A731" s="44"/>
      <c r="B731" s="31" t="str">
        <f>IF(_xll.TM1RPTELISCONSOLIDATED($H$20,$H731),IF(_xll.TM1RPTELLEV($H$20,$H731)&lt;=5,_xll.TM1RPTELLEV($H$20,$H731),"Default"),"Leaf")</f>
        <v>Leaf</v>
      </c>
      <c r="C731" s="26" t="s">
        <v>13</v>
      </c>
      <c r="D731" s="24" t="str">
        <f>_xll.DBRW("TM1-S1_DEV:}ElementAttributes_SP_SKU",$F731,D$1)</f>
        <v>Primary</v>
      </c>
      <c r="E731" s="24" t="str">
        <f>_xll.DBRW("TM1-S1_DEV:}ElementAttributes_SP_SKU",$F731,E$1)</f>
        <v>BAG</v>
      </c>
      <c r="F731" s="26" t="s">
        <v>3224</v>
      </c>
      <c r="G731" s="26" t="s">
        <v>1240</v>
      </c>
      <c r="H731" s="26" t="s">
        <v>2705</v>
      </c>
      <c r="I731" s="54">
        <f>_xll.DBRW($A$1,$F$14,$F$15,$C731,$A$2,$F731,$G731,$H731,I$1)</f>
        <v>54</v>
      </c>
      <c r="J731" s="25">
        <f>_xll.DBRW($A$1,$F$14,$F$15,$C731,$A$2,$F731,$G731,$H731,J$19)</f>
        <v>54</v>
      </c>
    </row>
    <row r="732" spans="1:10" s="23" customFormat="1" outlineLevel="1" thickBot="1" x14ac:dyDescent="0.3">
      <c r="A732" s="44"/>
      <c r="B732" s="31" t="str">
        <f>IF(_xll.TM1RPTELISCONSOLIDATED($H$20,$H732),IF(_xll.TM1RPTELLEV($H$20,$H732)&lt;=5,_xll.TM1RPTELLEV($H$20,$H732),"Default"),"Leaf")</f>
        <v>Leaf</v>
      </c>
      <c r="C732" s="26" t="s">
        <v>13</v>
      </c>
      <c r="D732" s="24" t="str">
        <f>_xll.DBRW("TM1-S1_DEV:}ElementAttributes_SP_SKU",$F732,D$1)</f>
        <v>Primary</v>
      </c>
      <c r="E732" s="24" t="str">
        <f>_xll.DBRW("TM1-S1_DEV:}ElementAttributes_SP_SKU",$F732,E$1)</f>
        <v>CUP</v>
      </c>
      <c r="F732" s="26" t="s">
        <v>3225</v>
      </c>
      <c r="G732" s="26" t="s">
        <v>1041</v>
      </c>
      <c r="H732" s="26" t="s">
        <v>2707</v>
      </c>
      <c r="I732" s="54">
        <f>_xll.DBRW($A$1,$F$14,$F$15,$C732,$A$2,$F732,$G732,$H732,I$1)</f>
        <v>18</v>
      </c>
      <c r="J732" s="25">
        <f>_xll.DBRW($A$1,$F$14,$F$15,$C732,$A$2,$F732,$G732,$H732,J$19)</f>
        <v>26</v>
      </c>
    </row>
    <row r="733" spans="1:10" s="23" customFormat="1" outlineLevel="1" thickBot="1" x14ac:dyDescent="0.3">
      <c r="A733" s="44"/>
      <c r="B733" s="31" t="str">
        <f>IF(_xll.TM1RPTELISCONSOLIDATED($H$20,$H733),IF(_xll.TM1RPTELLEV($H$20,$H733)&lt;=5,_xll.TM1RPTELLEV($H$20,$H733),"Default"),"Leaf")</f>
        <v>Leaf</v>
      </c>
      <c r="C733" s="26" t="s">
        <v>13</v>
      </c>
      <c r="D733" s="24" t="str">
        <f>_xll.DBRW("TM1-S1_DEV:}ElementAttributes_SP_SKU",$F733,D$1)</f>
        <v>Primary</v>
      </c>
      <c r="E733" s="24" t="str">
        <f>_xll.DBRW("TM1-S1_DEV:}ElementAttributes_SP_SKU",$F733,E$1)</f>
        <v>CUP</v>
      </c>
      <c r="F733" s="26" t="s">
        <v>3226</v>
      </c>
      <c r="G733" s="26" t="s">
        <v>1042</v>
      </c>
      <c r="H733" s="26" t="s">
        <v>2707</v>
      </c>
      <c r="I733" s="54">
        <f>_xll.DBRW($A$1,$F$14,$F$15,$C733,$A$2,$F733,$G733,$H733,I$1)</f>
        <v>17</v>
      </c>
      <c r="J733" s="25">
        <f>_xll.DBRW($A$1,$F$14,$F$15,$C733,$A$2,$F733,$G733,$H733,J$19)</f>
        <v>15</v>
      </c>
    </row>
    <row r="734" spans="1:10" s="23" customFormat="1" outlineLevel="1" thickBot="1" x14ac:dyDescent="0.3">
      <c r="A734" s="44"/>
      <c r="B734" s="31" t="str">
        <f>IF(_xll.TM1RPTELISCONSOLIDATED($H$20,$H734),IF(_xll.TM1RPTELLEV($H$20,$H734)&lt;=5,_xll.TM1RPTELLEV($H$20,$H734),"Default"),"Leaf")</f>
        <v>Leaf</v>
      </c>
      <c r="C734" s="26" t="s">
        <v>13</v>
      </c>
      <c r="D734" s="24" t="str">
        <f>_xll.DBRW("TM1-S1_DEV:}ElementAttributes_SP_SKU",$F734,D$1)</f>
        <v>Primary</v>
      </c>
      <c r="E734" s="24" t="str">
        <f>_xll.DBRW("TM1-S1_DEV:}ElementAttributes_SP_SKU",$F734,E$1)</f>
        <v>PROTEIN</v>
      </c>
      <c r="F734" s="26" t="s">
        <v>3227</v>
      </c>
      <c r="G734" s="26" t="s">
        <v>1043</v>
      </c>
      <c r="H734" s="26" t="s">
        <v>2673</v>
      </c>
      <c r="I734" s="54">
        <f>_xll.DBRW($A$1,$F$14,$F$15,$C734,$A$2,$F734,$G734,$H734,I$1)</f>
        <v>633</v>
      </c>
      <c r="J734" s="25">
        <f>_xll.DBRW($A$1,$F$14,$F$15,$C734,$A$2,$F734,$G734,$H734,J$19)</f>
        <v>616</v>
      </c>
    </row>
    <row r="735" spans="1:10" s="23" customFormat="1" outlineLevel="1" thickBot="1" x14ac:dyDescent="0.3">
      <c r="A735" s="44"/>
      <c r="B735" s="31" t="str">
        <f>IF(_xll.TM1RPTELISCONSOLIDATED($H$20,$H735),IF(_xll.TM1RPTELLEV($H$20,$H735)&lt;=5,_xll.TM1RPTELLEV($H$20,$H735),"Default"),"Leaf")</f>
        <v>Leaf</v>
      </c>
      <c r="C735" s="26" t="s">
        <v>13</v>
      </c>
      <c r="D735" s="24" t="str">
        <f>_xll.DBRW("TM1-S1_DEV:}ElementAttributes_SP_SKU",$F735,D$1)</f>
        <v>Primary</v>
      </c>
      <c r="E735" s="24" t="str">
        <f>_xll.DBRW("TM1-S1_DEV:}ElementAttributes_SP_SKU",$F735,E$1)</f>
        <v>TRAY</v>
      </c>
      <c r="F735" s="26" t="s">
        <v>3228</v>
      </c>
      <c r="G735" s="26" t="s">
        <v>1241</v>
      </c>
      <c r="H735" s="26" t="s">
        <v>2708</v>
      </c>
      <c r="I735" s="54">
        <f>_xll.DBRW($A$1,$F$14,$F$15,$C735,$A$2,$F735,$G735,$H735,I$1)</f>
        <v>26</v>
      </c>
      <c r="J735" s="25">
        <f>_xll.DBRW($A$1,$F$14,$F$15,$C735,$A$2,$F735,$G735,$H735,J$19)</f>
        <v>26</v>
      </c>
    </row>
    <row r="736" spans="1:10" s="23" customFormat="1" outlineLevel="1" thickBot="1" x14ac:dyDescent="0.3">
      <c r="A736" s="44"/>
      <c r="B736" s="31" t="str">
        <f>IF(_xll.TM1RPTELISCONSOLIDATED($H$20,$H736),IF(_xll.TM1RPTELLEV($H$20,$H736)&lt;=5,_xll.TM1RPTELLEV($H$20,$H736),"Default"),"Leaf")</f>
        <v>Leaf</v>
      </c>
      <c r="C736" s="26" t="s">
        <v>13</v>
      </c>
      <c r="D736" s="24" t="str">
        <f>_xll.DBRW("TM1-S1_DEV:}ElementAttributes_SP_SKU",$F736,D$1)</f>
        <v>Primary</v>
      </c>
      <c r="E736" s="24" t="str">
        <f>_xll.DBRW("TM1-S1_DEV:}ElementAttributes_SP_SKU",$F736,E$1)</f>
        <v>TRAY</v>
      </c>
      <c r="F736" s="26" t="s">
        <v>3229</v>
      </c>
      <c r="G736" s="26" t="s">
        <v>1242</v>
      </c>
      <c r="H736" s="26" t="s">
        <v>2708</v>
      </c>
      <c r="I736" s="54">
        <f>_xll.DBRW($A$1,$F$14,$F$15,$C736,$A$2,$F736,$G736,$H736,I$1)</f>
        <v>42</v>
      </c>
      <c r="J736" s="25">
        <f>_xll.DBRW($A$1,$F$14,$F$15,$C736,$A$2,$F736,$G736,$H736,J$19)</f>
        <v>42</v>
      </c>
    </row>
    <row r="737" spans="1:10" s="23" customFormat="1" outlineLevel="1" thickBot="1" x14ac:dyDescent="0.3">
      <c r="A737" s="44"/>
      <c r="B737" s="31" t="str">
        <f>IF(_xll.TM1RPTELISCONSOLIDATED($H$20,$H737),IF(_xll.TM1RPTELLEV($H$20,$H737)&lt;=5,_xll.TM1RPTELLEV($H$20,$H737),"Default"),"Leaf")</f>
        <v>Leaf</v>
      </c>
      <c r="C737" s="26" t="s">
        <v>13</v>
      </c>
      <c r="D737" s="24" t="str">
        <f>_xll.DBRW("TM1-S1_DEV:}ElementAttributes_SP_SKU",$F737,D$1)</f>
        <v>Unassigned PSP</v>
      </c>
      <c r="E737" s="24" t="str">
        <f>_xll.DBRW("TM1-S1_DEV:}ElementAttributes_SP_SKU",$F737,E$1)</f>
        <v>BOWL</v>
      </c>
      <c r="F737" s="26" t="s">
        <v>115</v>
      </c>
      <c r="G737" s="26" t="s">
        <v>1243</v>
      </c>
      <c r="H737" s="26" t="s">
        <v>2745</v>
      </c>
      <c r="I737" s="54">
        <f>_xll.DBRW($A$1,$F$14,$F$15,$C737,$A$2,$F737,$G737,$H737,I$1)</f>
        <v>20</v>
      </c>
      <c r="J737" s="25">
        <f>_xll.DBRW($A$1,$F$14,$F$15,$C737,$A$2,$F737,$G737,$H737,J$19)</f>
        <v>20</v>
      </c>
    </row>
    <row r="738" spans="1:10" s="23" customFormat="1" outlineLevel="1" thickBot="1" x14ac:dyDescent="0.3">
      <c r="A738" s="44"/>
      <c r="B738" s="31" t="str">
        <f>IF(_xll.TM1RPTELISCONSOLIDATED($H$20,$H738),IF(_xll.TM1RPTELLEV($H$20,$H738)&lt;=5,_xll.TM1RPTELLEV($H$20,$H738),"Default"),"Leaf")</f>
        <v>Leaf</v>
      </c>
      <c r="C738" s="26" t="s">
        <v>13</v>
      </c>
      <c r="D738" s="24" t="str">
        <f>_xll.DBRW("TM1-S1_DEV:}ElementAttributes_SP_SKU",$F738,D$1)</f>
        <v>Primary</v>
      </c>
      <c r="E738" s="24" t="str">
        <f>_xll.DBRW("TM1-S1_DEV:}ElementAttributes_SP_SKU",$F738,E$1)</f>
        <v>BREAD</v>
      </c>
      <c r="F738" s="26" t="s">
        <v>3260</v>
      </c>
      <c r="G738" s="26" t="s">
        <v>1046</v>
      </c>
      <c r="H738" s="26" t="s">
        <v>2710</v>
      </c>
      <c r="I738" s="54">
        <f>_xll.DBRW($A$1,$F$14,$F$15,$C738,$A$2,$F738,$G738,$H738,I$1)</f>
        <v>22</v>
      </c>
      <c r="J738" s="25">
        <f>_xll.DBRW($A$1,$F$14,$F$15,$C738,$A$2,$F738,$G738,$H738,J$19)</f>
        <v>20</v>
      </c>
    </row>
    <row r="739" spans="1:10" s="23" customFormat="1" outlineLevel="1" thickBot="1" x14ac:dyDescent="0.3">
      <c r="A739" s="44"/>
      <c r="B739" s="31" t="str">
        <f>IF(_xll.TM1RPTELISCONSOLIDATED($H$20,$H739),IF(_xll.TM1RPTELLEV($H$20,$H739)&lt;=5,_xll.TM1RPTELLEV($H$20,$H739),"Default"),"Leaf")</f>
        <v>Leaf</v>
      </c>
      <c r="C739" s="26" t="s">
        <v>13</v>
      </c>
      <c r="D739" s="24" t="str">
        <f>_xll.DBRW("TM1-S1_DEV:}ElementAttributes_SP_SKU",$F739,D$1)</f>
        <v>Primary</v>
      </c>
      <c r="E739" s="24" t="str">
        <f>_xll.DBRW("TM1-S1_DEV:}ElementAttributes_SP_SKU",$F739,E$1)</f>
        <v>TRAY</v>
      </c>
      <c r="F739" s="26" t="s">
        <v>3231</v>
      </c>
      <c r="G739" s="26" t="s">
        <v>1047</v>
      </c>
      <c r="H739" s="26" t="s">
        <v>2711</v>
      </c>
      <c r="I739" s="54">
        <f>_xll.DBRW($A$1,$F$14,$F$15,$C739,$A$2,$F739,$G739,$H739,I$1)</f>
        <v>30</v>
      </c>
      <c r="J739" s="25">
        <f>_xll.DBRW($A$1,$F$14,$F$15,$C739,$A$2,$F739,$G739,$H739,J$19)</f>
        <v>30</v>
      </c>
    </row>
    <row r="740" spans="1:10" s="23" customFormat="1" outlineLevel="1" thickBot="1" x14ac:dyDescent="0.3">
      <c r="A740" s="44"/>
      <c r="B740" s="31" t="str">
        <f>IF(_xll.TM1RPTELISCONSOLIDATED($H$20,$H740),IF(_xll.TM1RPTELLEV($H$20,$H740)&lt;=5,_xll.TM1RPTELLEV($H$20,$H740),"Default"),"Leaf")</f>
        <v>Leaf</v>
      </c>
      <c r="C740" s="26" t="s">
        <v>13</v>
      </c>
      <c r="D740" s="24" t="str">
        <f>_xll.DBRW("TM1-S1_DEV:}ElementAttributes_SP_SKU",$F740,D$1)</f>
        <v>Primary</v>
      </c>
      <c r="E740" s="24" t="str">
        <f>_xll.DBRW("TM1-S1_DEV:}ElementAttributes_SP_SKU",$F740,E$1)</f>
        <v>PAPER</v>
      </c>
      <c r="F740" s="26" t="s">
        <v>3261</v>
      </c>
      <c r="G740" s="26" t="s">
        <v>1048</v>
      </c>
      <c r="H740" s="26" t="s">
        <v>2716</v>
      </c>
      <c r="I740" s="54">
        <f>_xll.DBRW($A$1,$F$14,$F$15,$C740,$A$2,$F740,$G740,$H740,I$1)</f>
        <v>71</v>
      </c>
      <c r="J740" s="25">
        <f>_xll.DBRW($A$1,$F$14,$F$15,$C740,$A$2,$F740,$G740,$H740,J$19)</f>
        <v>71</v>
      </c>
    </row>
    <row r="741" spans="1:10" s="23" customFormat="1" outlineLevel="1" thickBot="1" x14ac:dyDescent="0.3">
      <c r="A741" s="44"/>
      <c r="B741" s="31" t="str">
        <f>IF(_xll.TM1RPTELISCONSOLIDATED($H$20,$H741),IF(_xll.TM1RPTELLEV($H$20,$H741)&lt;=5,_xll.TM1RPTELLEV($H$20,$H741),"Default"),"Leaf")</f>
        <v>Leaf</v>
      </c>
      <c r="C741" s="26" t="s">
        <v>13</v>
      </c>
      <c r="D741" s="24" t="str">
        <f>_xll.DBRW("TM1-S1_DEV:}ElementAttributes_SP_SKU",$F741,D$1)</f>
        <v>Primary</v>
      </c>
      <c r="E741" s="24" t="str">
        <f>_xll.DBRW("TM1-S1_DEV:}ElementAttributes_SP_SKU",$F741,E$1)</f>
        <v>BREAD</v>
      </c>
      <c r="F741" s="26" t="s">
        <v>31</v>
      </c>
      <c r="G741" s="26" t="s">
        <v>1049</v>
      </c>
      <c r="H741" s="26" t="s">
        <v>2689</v>
      </c>
      <c r="I741" s="54">
        <f>_xll.DBRW($A$1,$F$14,$F$15,$C741,$A$2,$F741,$G741,$H741,I$1)</f>
        <v>153</v>
      </c>
      <c r="J741" s="25">
        <f>_xll.DBRW($A$1,$F$14,$F$15,$C741,$A$2,$F741,$G741,$H741,J$19)</f>
        <v>135</v>
      </c>
    </row>
    <row r="742" spans="1:10" s="23" customFormat="1" outlineLevel="1" thickBot="1" x14ac:dyDescent="0.3">
      <c r="A742" s="44"/>
      <c r="B742" s="31" t="str">
        <f>IF(_xll.TM1RPTELISCONSOLIDATED($H$20,$H742),IF(_xll.TM1RPTELLEV($H$20,$H742)&lt;=5,_xll.TM1RPTELLEV($H$20,$H742),"Default"),"Leaf")</f>
        <v>Leaf</v>
      </c>
      <c r="C742" s="26" t="s">
        <v>13</v>
      </c>
      <c r="D742" s="24" t="str">
        <f>_xll.DBRW("TM1-S1_DEV:}ElementAttributes_SP_SKU",$F742,D$1)</f>
        <v>Primary</v>
      </c>
      <c r="E742" s="24" t="str">
        <f>_xll.DBRW("TM1-S1_DEV:}ElementAttributes_SP_SKU",$F742,E$1)</f>
        <v>BREAD</v>
      </c>
      <c r="F742" s="26" t="s">
        <v>3236</v>
      </c>
      <c r="G742" s="26" t="s">
        <v>1050</v>
      </c>
      <c r="H742" s="26" t="s">
        <v>2689</v>
      </c>
      <c r="I742" s="54">
        <f>_xll.DBRW($A$1,$F$14,$F$15,$C742,$A$2,$F742,$G742,$H742,I$1)</f>
        <v>56</v>
      </c>
      <c r="J742" s="25">
        <f>_xll.DBRW($A$1,$F$14,$F$15,$C742,$A$2,$F742,$G742,$H742,J$19)</f>
        <v>54</v>
      </c>
    </row>
    <row r="743" spans="1:10" s="23" customFormat="1" outlineLevel="1" thickBot="1" x14ac:dyDescent="0.3">
      <c r="A743" s="44"/>
      <c r="B743" s="31" t="str">
        <f>IF(_xll.TM1RPTELISCONSOLIDATED($H$20,$H743),IF(_xll.TM1RPTELLEV($H$20,$H743)&lt;=5,_xll.TM1RPTELLEV($H$20,$H743),"Default"),"Leaf")</f>
        <v>Leaf</v>
      </c>
      <c r="C743" s="26" t="s">
        <v>13</v>
      </c>
      <c r="D743" s="24" t="str">
        <f>_xll.DBRW("TM1-S1_DEV:}ElementAttributes_SP_SKU",$F743,D$1)</f>
        <v>Primary</v>
      </c>
      <c r="E743" s="24" t="str">
        <f>_xll.DBRW("TM1-S1_DEV:}ElementAttributes_SP_SKU",$F743,E$1)</f>
        <v>PAPER</v>
      </c>
      <c r="F743" s="26" t="s">
        <v>3239</v>
      </c>
      <c r="G743" s="26" t="s">
        <v>1244</v>
      </c>
      <c r="H743" s="26" t="s">
        <v>2715</v>
      </c>
      <c r="I743" s="54">
        <f>_xll.DBRW($A$1,$F$14,$F$15,$C743,$A$2,$F743,$G743,$H743,I$1)</f>
        <v>58</v>
      </c>
      <c r="J743" s="25">
        <f>_xll.DBRW($A$1,$F$14,$F$15,$C743,$A$2,$F743,$G743,$H743,J$19)</f>
        <v>57</v>
      </c>
    </row>
    <row r="744" spans="1:10" s="23" customFormat="1" outlineLevel="1" thickBot="1" x14ac:dyDescent="0.3">
      <c r="A744" s="44"/>
      <c r="B744" s="31" t="str">
        <f>IF(_xll.TM1RPTELISCONSOLIDATED($H$20,$H744),IF(_xll.TM1RPTELLEV($H$20,$H744)&lt;=5,_xll.TM1RPTELLEV($H$20,$H744),"Default"),"Leaf")</f>
        <v>Leaf</v>
      </c>
      <c r="C744" s="26" t="s">
        <v>13</v>
      </c>
      <c r="D744" s="24" t="str">
        <f>_xll.DBRW("TM1-S1_DEV:}ElementAttributes_SP_SKU",$F744,D$1)</f>
        <v>Unassigned PSP</v>
      </c>
      <c r="E744" s="24" t="str">
        <f>_xll.DBRW("TM1-S1_DEV:}ElementAttributes_SP_SKU",$F744,E$1)</f>
        <v>LID</v>
      </c>
      <c r="F744" s="26" t="s">
        <v>260</v>
      </c>
      <c r="G744" s="26" t="s">
        <v>1245</v>
      </c>
      <c r="H744" s="26" t="s">
        <v>2708</v>
      </c>
      <c r="I744" s="54">
        <f>_xll.DBRW($A$1,$F$14,$F$15,$C744,$A$2,$F744,$G744,$H744,I$1)</f>
        <v>30</v>
      </c>
      <c r="J744" s="25">
        <f>_xll.DBRW($A$1,$F$14,$F$15,$C744,$A$2,$F744,$G744,$H744,J$19)</f>
        <v>30</v>
      </c>
    </row>
    <row r="745" spans="1:10" s="23" customFormat="1" outlineLevel="1" thickBot="1" x14ac:dyDescent="0.3">
      <c r="A745" s="44"/>
      <c r="B745" s="31" t="str">
        <f>IF(_xll.TM1RPTELISCONSOLIDATED($H$20,$H745),IF(_xll.TM1RPTELLEV($H$20,$H745)&lt;=5,_xll.TM1RPTELLEV($H$20,$H745),"Default"),"Leaf")</f>
        <v>Leaf</v>
      </c>
      <c r="C745" s="26" t="s">
        <v>13</v>
      </c>
      <c r="D745" s="24" t="str">
        <f>_xll.DBRW("TM1-S1_DEV:}ElementAttributes_SP_SKU",$F745,D$1)</f>
        <v>Primary</v>
      </c>
      <c r="E745" s="24" t="str">
        <f>_xll.DBRW("TM1-S1_DEV:}ElementAttributes_SP_SKU",$F745,E$1)</f>
        <v>BOWL</v>
      </c>
      <c r="F745" s="26" t="s">
        <v>32</v>
      </c>
      <c r="G745" s="26" t="s">
        <v>1246</v>
      </c>
      <c r="H745" s="26" t="s">
        <v>2708</v>
      </c>
      <c r="I745" s="54">
        <f>_xll.DBRW($A$1,$F$14,$F$15,$C745,$A$2,$F745,$G745,$H745,I$1)</f>
        <v>67</v>
      </c>
      <c r="J745" s="25">
        <f>_xll.DBRW($A$1,$F$14,$F$15,$C745,$A$2,$F745,$G745,$H745,J$19)</f>
        <v>67</v>
      </c>
    </row>
    <row r="746" spans="1:10" s="23" customFormat="1" outlineLevel="1" thickBot="1" x14ac:dyDescent="0.3">
      <c r="A746" s="44"/>
      <c r="B746" s="31" t="str">
        <f>IF(_xll.TM1RPTELISCONSOLIDATED($H$20,$H746),IF(_xll.TM1RPTELLEV($H$20,$H746)&lt;=5,_xll.TM1RPTELLEV($H$20,$H746),"Default"),"Leaf")</f>
        <v>Leaf</v>
      </c>
      <c r="C746" s="26" t="s">
        <v>13</v>
      </c>
      <c r="D746" s="24" t="str">
        <f>_xll.DBRW("TM1-S1_DEV:}ElementAttributes_SP_SKU",$F746,D$1)</f>
        <v>Primary</v>
      </c>
      <c r="E746" s="24" t="str">
        <f>_xll.DBRW("TM1-S1_DEV:}ElementAttributes_SP_SKU",$F746,E$1)</f>
        <v>BOWL</v>
      </c>
      <c r="F746" s="26" t="s">
        <v>33</v>
      </c>
      <c r="G746" s="26" t="s">
        <v>1247</v>
      </c>
      <c r="H746" s="26" t="s">
        <v>2708</v>
      </c>
      <c r="I746" s="54">
        <f>_xll.DBRW($A$1,$F$14,$F$15,$C746,$A$2,$F746,$G746,$H746,I$1)</f>
        <v>46</v>
      </c>
      <c r="J746" s="25">
        <f>_xll.DBRW($A$1,$F$14,$F$15,$C746,$A$2,$F746,$G746,$H746,J$19)</f>
        <v>46</v>
      </c>
    </row>
    <row r="747" spans="1:10" s="23" customFormat="1" outlineLevel="1" thickBot="1" x14ac:dyDescent="0.3">
      <c r="A747" s="44"/>
      <c r="B747" s="31" t="str">
        <f>IF(_xll.TM1RPTELISCONSOLIDATED($H$20,$H747),IF(_xll.TM1RPTELLEV($H$20,$H747)&lt;=5,_xll.TM1RPTELLEV($H$20,$H747),"Default"),"Leaf")</f>
        <v>Leaf</v>
      </c>
      <c r="C747" s="26" t="s">
        <v>13</v>
      </c>
      <c r="D747" s="24" t="str">
        <f>_xll.DBRW("TM1-S1_DEV:}ElementAttributes_SP_SKU",$F747,D$1)</f>
        <v>Primary</v>
      </c>
      <c r="E747" s="24" t="str">
        <f>_xll.DBRW("TM1-S1_DEV:}ElementAttributes_SP_SKU",$F747,E$1)</f>
        <v>BAG</v>
      </c>
      <c r="F747" s="26" t="s">
        <v>117</v>
      </c>
      <c r="G747" s="26" t="s">
        <v>1051</v>
      </c>
      <c r="H747" s="26" t="s">
        <v>2708</v>
      </c>
      <c r="I747" s="54">
        <f>_xll.DBRW($A$1,$F$14,$F$15,$C747,$A$2,$F747,$G747,$H747,I$1)</f>
        <v>94</v>
      </c>
      <c r="J747" s="25">
        <f>_xll.DBRW($A$1,$F$14,$F$15,$C747,$A$2,$F747,$G747,$H747,J$19)</f>
        <v>120</v>
      </c>
    </row>
    <row r="748" spans="1:10" s="23" customFormat="1" outlineLevel="1" thickBot="1" x14ac:dyDescent="0.3">
      <c r="A748" s="44"/>
      <c r="B748" s="31" t="str">
        <f>IF(_xll.TM1RPTELISCONSOLIDATED($H$20,$H748),IF(_xll.TM1RPTELLEV($H$20,$H748)&lt;=5,_xll.TM1RPTELLEV($H$20,$H748),"Default"),"Leaf")</f>
        <v>Leaf</v>
      </c>
      <c r="C748" s="26" t="s">
        <v>13</v>
      </c>
      <c r="D748" s="24" t="str">
        <f>_xll.DBRW("TM1-S1_DEV:}ElementAttributes_SP_SKU",$F748,D$1)</f>
        <v>Primary</v>
      </c>
      <c r="E748" s="24" t="str">
        <f>_xll.DBRW("TM1-S1_DEV:}ElementAttributes_SP_SKU",$F748,E$1)</f>
        <v>CONTAINER</v>
      </c>
      <c r="F748" s="26" t="s">
        <v>118</v>
      </c>
      <c r="G748" s="26" t="s">
        <v>1053</v>
      </c>
      <c r="H748" s="26" t="s">
        <v>2757</v>
      </c>
      <c r="I748" s="54">
        <f>_xll.DBRW($A$1,$F$14,$F$15,$C748,$A$2,$F748,$G748,$H748,I$1)</f>
        <v>39</v>
      </c>
      <c r="J748" s="25">
        <f>_xll.DBRW($A$1,$F$14,$F$15,$C748,$A$2,$F748,$G748,$H748,J$19)</f>
        <v>62</v>
      </c>
    </row>
    <row r="749" spans="1:10" s="23" customFormat="1" outlineLevel="1" thickBot="1" x14ac:dyDescent="0.3">
      <c r="A749" s="44"/>
      <c r="B749" s="31" t="str">
        <f>IF(_xll.TM1RPTELISCONSOLIDATED($H$20,$H749),IF(_xll.TM1RPTELLEV($H$20,$H749)&lt;=5,_xll.TM1RPTELLEV($H$20,$H749),"Default"),"Leaf")</f>
        <v>Leaf</v>
      </c>
      <c r="C749" s="26" t="s">
        <v>13</v>
      </c>
      <c r="D749" s="24" t="str">
        <f>_xll.DBRW("TM1-S1_DEV:}ElementAttributes_SP_SKU",$F749,D$1)</f>
        <v>Primary</v>
      </c>
      <c r="E749" s="24" t="str">
        <f>_xll.DBRW("TM1-S1_DEV:}ElementAttributes_SP_SKU",$F749,E$1)</f>
        <v>CONTAINER</v>
      </c>
      <c r="F749" s="26" t="s">
        <v>119</v>
      </c>
      <c r="G749" s="26" t="s">
        <v>1054</v>
      </c>
      <c r="H749" s="26" t="s">
        <v>2757</v>
      </c>
      <c r="I749" s="54">
        <f>_xll.DBRW($A$1,$F$14,$F$15,$C749,$A$2,$F749,$G749,$H749,I$1)</f>
        <v>73</v>
      </c>
      <c r="J749" s="25">
        <f>_xll.DBRW($A$1,$F$14,$F$15,$C749,$A$2,$F749,$G749,$H749,J$19)</f>
        <v>73</v>
      </c>
    </row>
    <row r="750" spans="1:10" s="23" customFormat="1" outlineLevel="1" thickBot="1" x14ac:dyDescent="0.3">
      <c r="A750" s="44"/>
      <c r="B750" s="31" t="str">
        <f>IF(_xll.TM1RPTELISCONSOLIDATED($H$20,$H750),IF(_xll.TM1RPTELLEV($H$20,$H750)&lt;=5,_xll.TM1RPTELLEV($H$20,$H750),"Default"),"Leaf")</f>
        <v>Leaf</v>
      </c>
      <c r="C750" s="26" t="s">
        <v>13</v>
      </c>
      <c r="D750" s="24" t="str">
        <f>_xll.DBRW("TM1-S1_DEV:}ElementAttributes_SP_SKU",$F750,D$1)</f>
        <v>Primary</v>
      </c>
      <c r="E750" s="24" t="str">
        <f>_xll.DBRW("TM1-S1_DEV:}ElementAttributes_SP_SKU",$F750,E$1)</f>
        <v>DRESSING</v>
      </c>
      <c r="F750" s="26" t="s">
        <v>120</v>
      </c>
      <c r="G750" s="26" t="s">
        <v>1055</v>
      </c>
      <c r="H750" s="26" t="s">
        <v>2743</v>
      </c>
      <c r="I750" s="54">
        <f>_xll.DBRW($A$1,$F$14,$F$15,$C750,$A$2,$F750,$G750,$H750,I$1)</f>
        <v>396</v>
      </c>
      <c r="J750" s="25">
        <f>_xll.DBRW($A$1,$F$14,$F$15,$C750,$A$2,$F750,$G750,$H750,J$19)</f>
        <v>394</v>
      </c>
    </row>
    <row r="751" spans="1:10" s="23" customFormat="1" outlineLevel="1" thickBot="1" x14ac:dyDescent="0.3">
      <c r="A751" s="44"/>
      <c r="B751" s="31" t="str">
        <f>IF(_xll.TM1RPTELISCONSOLIDATED($H$20,$H751),IF(_xll.TM1RPTELLEV($H$20,$H751)&lt;=5,_xll.TM1RPTELLEV($H$20,$H751),"Default"),"Leaf")</f>
        <v>Leaf</v>
      </c>
      <c r="C751" s="26" t="s">
        <v>13</v>
      </c>
      <c r="D751" s="24" t="str">
        <f>_xll.DBRW("TM1-S1_DEV:}ElementAttributes_SP_SKU",$F751,D$1)</f>
        <v>Primary</v>
      </c>
      <c r="E751" s="24" t="str">
        <f>_xll.DBRW("TM1-S1_DEV:}ElementAttributes_SP_SKU",$F751,E$1)</f>
        <v>DRESSING</v>
      </c>
      <c r="F751" s="26" t="s">
        <v>121</v>
      </c>
      <c r="G751" s="26" t="s">
        <v>1056</v>
      </c>
      <c r="H751" s="26" t="s">
        <v>2743</v>
      </c>
      <c r="I751" s="54">
        <f>_xll.DBRW($A$1,$F$14,$F$15,$C751,$A$2,$F751,$G751,$H751,I$1)</f>
        <v>94</v>
      </c>
      <c r="J751" s="25">
        <f>_xll.DBRW($A$1,$F$14,$F$15,$C751,$A$2,$F751,$G751,$H751,J$19)</f>
        <v>93</v>
      </c>
    </row>
    <row r="752" spans="1:10" s="23" customFormat="1" outlineLevel="1" thickBot="1" x14ac:dyDescent="0.3">
      <c r="A752" s="44"/>
      <c r="B752" s="31" t="str">
        <f>IF(_xll.TM1RPTELISCONSOLIDATED($H$20,$H752),IF(_xll.TM1RPTELLEV($H$20,$H752)&lt;=5,_xll.TM1RPTELLEV($H$20,$H752),"Default"),"Leaf")</f>
        <v>Leaf</v>
      </c>
      <c r="C752" s="26" t="s">
        <v>13</v>
      </c>
      <c r="D752" s="24" t="str">
        <f>_xll.DBRW("TM1-S1_DEV:}ElementAttributes_SP_SKU",$F752,D$1)</f>
        <v>Primary</v>
      </c>
      <c r="E752" s="24" t="str">
        <f>_xll.DBRW("TM1-S1_DEV:}ElementAttributes_SP_SKU",$F752,E$1)</f>
        <v>PAPER</v>
      </c>
      <c r="F752" s="26" t="s">
        <v>122</v>
      </c>
      <c r="G752" s="26" t="s">
        <v>1057</v>
      </c>
      <c r="H752" s="26" t="s">
        <v>2770</v>
      </c>
      <c r="I752" s="54">
        <f>_xll.DBRW($A$1,$F$14,$F$15,$C752,$A$2,$F752,$G752,$H752,I$1)</f>
        <v>108</v>
      </c>
      <c r="J752" s="25">
        <f>_xll.DBRW($A$1,$F$14,$F$15,$C752,$A$2,$F752,$G752,$H752,J$19)</f>
        <v>106</v>
      </c>
    </row>
    <row r="753" spans="1:10" s="23" customFormat="1" outlineLevel="1" thickBot="1" x14ac:dyDescent="0.3">
      <c r="A753" s="44"/>
      <c r="B753" s="31" t="str">
        <f>IF(_xll.TM1RPTELISCONSOLIDATED($H$20,$H753),IF(_xll.TM1RPTELLEV($H$20,$H753)&lt;=5,_xll.TM1RPTELLEV($H$20,$H753),"Default"),"Leaf")</f>
        <v>Leaf</v>
      </c>
      <c r="C753" s="26" t="s">
        <v>13</v>
      </c>
      <c r="D753" s="24" t="str">
        <f>_xll.DBRW("TM1-S1_DEV:}ElementAttributes_SP_SKU",$F753,D$1)</f>
        <v>Primary</v>
      </c>
      <c r="E753" s="24" t="str">
        <f>_xll.DBRW("TM1-S1_DEV:}ElementAttributes_SP_SKU",$F753,E$1)</f>
        <v>UTENSIL</v>
      </c>
      <c r="F753" s="26" t="s">
        <v>123</v>
      </c>
      <c r="G753" s="26" t="s">
        <v>1058</v>
      </c>
      <c r="H753" s="26" t="s">
        <v>2771</v>
      </c>
      <c r="I753" s="54">
        <f>_xll.DBRW($A$1,$F$14,$F$15,$C753,$A$2,$F753,$G753,$H753,I$1)</f>
        <v>63</v>
      </c>
      <c r="J753" s="25">
        <f>_xll.DBRW($A$1,$F$14,$F$15,$C753,$A$2,$F753,$G753,$H753,J$19)</f>
        <v>62</v>
      </c>
    </row>
    <row r="754" spans="1:10" s="23" customFormat="1" outlineLevel="1" thickBot="1" x14ac:dyDescent="0.3">
      <c r="A754" s="44"/>
      <c r="B754" s="31" t="str">
        <f>IF(_xll.TM1RPTELISCONSOLIDATED($H$20,$H754),IF(_xll.TM1RPTELLEV($H$20,$H754)&lt;=5,_xll.TM1RPTELLEV($H$20,$H754),"Default"),"Leaf")</f>
        <v>Leaf</v>
      </c>
      <c r="C754" s="26" t="s">
        <v>13</v>
      </c>
      <c r="D754" s="24" t="str">
        <f>_xll.DBRW("TM1-S1_DEV:}ElementAttributes_SP_SKU",$F754,D$1)</f>
        <v>Primary</v>
      </c>
      <c r="E754" s="24" t="str">
        <f>_xll.DBRW("TM1-S1_DEV:}ElementAttributes_SP_SKU",$F754,E$1)</f>
        <v>UTENSIL</v>
      </c>
      <c r="F754" s="26" t="s">
        <v>124</v>
      </c>
      <c r="G754" s="26" t="s">
        <v>1059</v>
      </c>
      <c r="H754" s="26" t="s">
        <v>2771</v>
      </c>
      <c r="I754" s="54">
        <f>_xll.DBRW($A$1,$F$14,$F$15,$C754,$A$2,$F754,$G754,$H754,I$1)</f>
        <v>79</v>
      </c>
      <c r="J754" s="25">
        <f>_xll.DBRW($A$1,$F$14,$F$15,$C754,$A$2,$F754,$G754,$H754,J$19)</f>
        <v>78</v>
      </c>
    </row>
    <row r="755" spans="1:10" s="23" customFormat="1" outlineLevel="1" thickBot="1" x14ac:dyDescent="0.3">
      <c r="A755" s="44"/>
      <c r="B755" s="31" t="str">
        <f>IF(_xll.TM1RPTELISCONSOLIDATED($H$20,$H755),IF(_xll.TM1RPTELLEV($H$20,$H755)&lt;=5,_xll.TM1RPTELLEV($H$20,$H755),"Default"),"Leaf")</f>
        <v>Leaf</v>
      </c>
      <c r="C755" s="26" t="s">
        <v>13</v>
      </c>
      <c r="D755" s="24" t="str">
        <f>_xll.DBRW("TM1-S1_DEV:}ElementAttributes_SP_SKU",$F755,D$1)</f>
        <v>Primary</v>
      </c>
      <c r="E755" s="24" t="str">
        <f>_xll.DBRW("TM1-S1_DEV:}ElementAttributes_SP_SKU",$F755,E$1)</f>
        <v>UTENSIL</v>
      </c>
      <c r="F755" s="26" t="s">
        <v>261</v>
      </c>
      <c r="G755" s="26" t="s">
        <v>1248</v>
      </c>
      <c r="H755" s="26" t="s">
        <v>2771</v>
      </c>
      <c r="I755" s="54">
        <f>_xll.DBRW($A$1,$F$14,$F$15,$C755,$A$2,$F755,$G755,$H755,I$1)</f>
        <v>33</v>
      </c>
      <c r="J755" s="25">
        <f>_xll.DBRW($A$1,$F$14,$F$15,$C755,$A$2,$F755,$G755,$H755,J$19)</f>
        <v>33</v>
      </c>
    </row>
    <row r="756" spans="1:10" s="23" customFormat="1" outlineLevel="1" thickBot="1" x14ac:dyDescent="0.3">
      <c r="A756" s="44"/>
      <c r="B756" s="31" t="str">
        <f>IF(_xll.TM1RPTELISCONSOLIDATED($H$20,$H756),IF(_xll.TM1RPTELLEV($H$20,$H756)&lt;=5,_xll.TM1RPTELLEV($H$20,$H756),"Default"),"Leaf")</f>
        <v>Leaf</v>
      </c>
      <c r="C756" s="26" t="s">
        <v>13</v>
      </c>
      <c r="D756" s="24" t="str">
        <f>_xll.DBRW("TM1-S1_DEV:}ElementAttributes_SP_SKU",$F756,D$1)</f>
        <v>Primary</v>
      </c>
      <c r="E756" s="24" t="str">
        <f>_xll.DBRW("TM1-S1_DEV:}ElementAttributes_SP_SKU",$F756,E$1)</f>
        <v>UTENSIL</v>
      </c>
      <c r="F756" s="26" t="s">
        <v>125</v>
      </c>
      <c r="G756" s="26" t="s">
        <v>1060</v>
      </c>
      <c r="H756" s="26" t="s">
        <v>2772</v>
      </c>
      <c r="I756" s="54">
        <f>_xll.DBRW($A$1,$F$14,$F$15,$C756,$A$2,$F756,$G756,$H756,I$1)</f>
        <v>91</v>
      </c>
      <c r="J756" s="25">
        <f>_xll.DBRW($A$1,$F$14,$F$15,$C756,$A$2,$F756,$G756,$H756,J$19)</f>
        <v>111</v>
      </c>
    </row>
    <row r="757" spans="1:10" s="23" customFormat="1" outlineLevel="1" thickBot="1" x14ac:dyDescent="0.3">
      <c r="A757" s="44"/>
      <c r="B757" s="31" t="str">
        <f>IF(_xll.TM1RPTELISCONSOLIDATED($H$20,$H757),IF(_xll.TM1RPTELLEV($H$20,$H757)&lt;=5,_xll.TM1RPTELLEV($H$20,$H757),"Default"),"Leaf")</f>
        <v>Leaf</v>
      </c>
      <c r="C757" s="26" t="s">
        <v>13</v>
      </c>
      <c r="D757" s="24" t="str">
        <f>_xll.DBRW("TM1-S1_DEV:}ElementAttributes_SP_SKU",$F757,D$1)</f>
        <v>Primary</v>
      </c>
      <c r="E757" s="24" t="str">
        <f>_xll.DBRW("TM1-S1_DEV:}ElementAttributes_SP_SKU",$F757,E$1)</f>
        <v>GLOVES</v>
      </c>
      <c r="F757" s="26" t="s">
        <v>126</v>
      </c>
      <c r="G757" s="26" t="s">
        <v>1061</v>
      </c>
      <c r="H757" s="26" t="s">
        <v>2765</v>
      </c>
      <c r="I757" s="54">
        <f>_xll.DBRW($A$1,$F$14,$F$15,$C757,$A$2,$F757,$G757,$H757,I$1)</f>
        <v>243</v>
      </c>
      <c r="J757" s="25">
        <f>_xll.DBRW($A$1,$F$14,$F$15,$C757,$A$2,$F757,$G757,$H757,J$19)</f>
        <v>242</v>
      </c>
    </row>
    <row r="758" spans="1:10" s="23" customFormat="1" outlineLevel="1" thickBot="1" x14ac:dyDescent="0.3">
      <c r="A758" s="44"/>
      <c r="B758" s="31" t="str">
        <f>IF(_xll.TM1RPTELISCONSOLIDATED($H$20,$H758),IF(_xll.TM1RPTELLEV($H$20,$H758)&lt;=5,_xll.TM1RPTELLEV($H$20,$H758),"Default"),"Leaf")</f>
        <v>Leaf</v>
      </c>
      <c r="C758" s="26" t="s">
        <v>13</v>
      </c>
      <c r="D758" s="24" t="str">
        <f>_xll.DBRW("TM1-S1_DEV:}ElementAttributes_SP_SKU",$F758,D$1)</f>
        <v>Primary</v>
      </c>
      <c r="E758" s="24" t="str">
        <f>_xll.DBRW("TM1-S1_DEV:}ElementAttributes_SP_SKU",$F758,E$1)</f>
        <v>GLOVES</v>
      </c>
      <c r="F758" s="26" t="s">
        <v>127</v>
      </c>
      <c r="G758" s="26" t="s">
        <v>1062</v>
      </c>
      <c r="H758" s="26" t="s">
        <v>2765</v>
      </c>
      <c r="I758" s="54">
        <f>_xll.DBRW($A$1,$F$14,$F$15,$C758,$A$2,$F758,$G758,$H758,I$1)</f>
        <v>112</v>
      </c>
      <c r="J758" s="25">
        <f>_xll.DBRW($A$1,$F$14,$F$15,$C758,$A$2,$F758,$G758,$H758,J$19)</f>
        <v>111</v>
      </c>
    </row>
    <row r="759" spans="1:10" s="23" customFormat="1" outlineLevel="1" thickBot="1" x14ac:dyDescent="0.3">
      <c r="A759" s="44"/>
      <c r="B759" s="31" t="str">
        <f>IF(_xll.TM1RPTELISCONSOLIDATED($H$20,$H759),IF(_xll.TM1RPTELLEV($H$20,$H759)&lt;=5,_xll.TM1RPTELLEV($H$20,$H759),"Default"),"Leaf")</f>
        <v>Leaf</v>
      </c>
      <c r="C759" s="26" t="s">
        <v>13</v>
      </c>
      <c r="D759" s="24" t="str">
        <f>_xll.DBRW("TM1-S1_DEV:}ElementAttributes_SP_SKU",$F759,D$1)</f>
        <v>Primary</v>
      </c>
      <c r="E759" s="24" t="str">
        <f>_xll.DBRW("TM1-S1_DEV:}ElementAttributes_SP_SKU",$F759,E$1)</f>
        <v>GLOVES</v>
      </c>
      <c r="F759" s="26" t="s">
        <v>128</v>
      </c>
      <c r="G759" s="26" t="s">
        <v>1063</v>
      </c>
      <c r="H759" s="26" t="s">
        <v>2765</v>
      </c>
      <c r="I759" s="54">
        <f>_xll.DBRW($A$1,$F$14,$F$15,$C759,$A$2,$F759,$G759,$H759,I$1)</f>
        <v>16</v>
      </c>
      <c r="J759" s="25">
        <f>_xll.DBRW($A$1,$F$14,$F$15,$C759,$A$2,$F759,$G759,$H759,J$19)</f>
        <v>16</v>
      </c>
    </row>
    <row r="760" spans="1:10" s="23" customFormat="1" outlineLevel="1" thickBot="1" x14ac:dyDescent="0.3">
      <c r="A760" s="44"/>
      <c r="B760" s="31" t="str">
        <f>IF(_xll.TM1RPTELISCONSOLIDATED($H$20,$H760),IF(_xll.TM1RPTELLEV($H$20,$H760)&lt;=5,_xll.TM1RPTELLEV($H$20,$H760),"Default"),"Leaf")</f>
        <v>Leaf</v>
      </c>
      <c r="C760" s="26" t="s">
        <v>13</v>
      </c>
      <c r="D760" s="24" t="str">
        <f>_xll.DBRW("TM1-S1_DEV:}ElementAttributes_SP_SKU",$F760,D$1)</f>
        <v>Primary</v>
      </c>
      <c r="E760" s="24" t="str">
        <f>_xll.DBRW("TM1-S1_DEV:}ElementAttributes_SP_SKU",$F760,E$1)</f>
        <v>GLOVES</v>
      </c>
      <c r="F760" s="26" t="s">
        <v>129</v>
      </c>
      <c r="G760" s="26" t="s">
        <v>1064</v>
      </c>
      <c r="H760" s="26" t="s">
        <v>2765</v>
      </c>
      <c r="I760" s="54">
        <f>_xll.DBRW($A$1,$F$14,$F$15,$C760,$A$2,$F760,$G760,$H760,I$1)</f>
        <v>449</v>
      </c>
      <c r="J760" s="25">
        <f>_xll.DBRW($A$1,$F$14,$F$15,$C760,$A$2,$F760,$G760,$H760,J$19)</f>
        <v>448</v>
      </c>
    </row>
    <row r="761" spans="1:10" s="23" customFormat="1" outlineLevel="1" thickBot="1" x14ac:dyDescent="0.3">
      <c r="A761" s="44"/>
      <c r="B761" s="31" t="str">
        <f>IF(_xll.TM1RPTELISCONSOLIDATED($H$20,$H761),IF(_xll.TM1RPTELLEV($H$20,$H761)&lt;=5,_xll.TM1RPTELLEV($H$20,$H761),"Default"),"Leaf")</f>
        <v>Leaf</v>
      </c>
      <c r="C761" s="26" t="s">
        <v>13</v>
      </c>
      <c r="D761" s="24" t="str">
        <f>_xll.DBRW("TM1-S1_DEV:}ElementAttributes_SP_SKU",$F761,D$1)</f>
        <v>Primary</v>
      </c>
      <c r="E761" s="24" t="str">
        <f>_xll.DBRW("TM1-S1_DEV:}ElementAttributes_SP_SKU",$F761,E$1)</f>
        <v>FILM</v>
      </c>
      <c r="F761" s="26" t="s">
        <v>130</v>
      </c>
      <c r="G761" s="26" t="s">
        <v>1065</v>
      </c>
      <c r="H761" s="26" t="s">
        <v>2765</v>
      </c>
      <c r="I761" s="54">
        <f>_xll.DBRW($A$1,$F$14,$F$15,$C761,$A$2,$F761,$G761,$H761,I$1)</f>
        <v>485</v>
      </c>
      <c r="J761" s="25">
        <f>_xll.DBRW($A$1,$F$14,$F$15,$C761,$A$2,$F761,$G761,$H761,J$19)</f>
        <v>1156</v>
      </c>
    </row>
    <row r="762" spans="1:10" s="23" customFormat="1" outlineLevel="1" thickBot="1" x14ac:dyDescent="0.3">
      <c r="A762" s="44"/>
      <c r="B762" s="31" t="str">
        <f>IF(_xll.TM1RPTELISCONSOLIDATED($H$20,$H762),IF(_xll.TM1RPTELLEV($H$20,$H762)&lt;=5,_xll.TM1RPTELLEV($H$20,$H762),"Default"),"Leaf")</f>
        <v>Leaf</v>
      </c>
      <c r="C762" s="26" t="s">
        <v>13</v>
      </c>
      <c r="D762" s="24" t="str">
        <f>_xll.DBRW("TM1-S1_DEV:}ElementAttributes_SP_SKU",$F762,D$1)</f>
        <v>Primary</v>
      </c>
      <c r="E762" s="24" t="str">
        <f>_xll.DBRW("TM1-S1_DEV:}ElementAttributes_SP_SKU",$F762,E$1)</f>
        <v>FILM</v>
      </c>
      <c r="F762" s="26" t="s">
        <v>131</v>
      </c>
      <c r="G762" s="26" t="s">
        <v>1066</v>
      </c>
      <c r="H762" s="26" t="s">
        <v>2765</v>
      </c>
      <c r="I762" s="54">
        <f>_xll.DBRW($A$1,$F$14,$F$15,$C762,$A$2,$F762,$G762,$H762,I$1)</f>
        <v>1583</v>
      </c>
      <c r="J762" s="25">
        <f>_xll.DBRW($A$1,$F$14,$F$15,$C762,$A$2,$F762,$G762,$H762,J$19)</f>
        <v>3260</v>
      </c>
    </row>
    <row r="763" spans="1:10" s="23" customFormat="1" outlineLevel="1" thickBot="1" x14ac:dyDescent="0.3">
      <c r="A763" s="44"/>
      <c r="B763" s="31" t="str">
        <f>IF(_xll.TM1RPTELISCONSOLIDATED($H$20,$H763),IF(_xll.TM1RPTELLEV($H$20,$H763)&lt;=5,_xll.TM1RPTELLEV($H$20,$H763),"Default"),"Leaf")</f>
        <v>Leaf</v>
      </c>
      <c r="C763" s="26" t="s">
        <v>13</v>
      </c>
      <c r="D763" s="24" t="str">
        <f>_xll.DBRW("TM1-S1_DEV:}ElementAttributes_SP_SKU",$F763,D$1)</f>
        <v>Primary</v>
      </c>
      <c r="E763" s="24" t="str">
        <f>_xll.DBRW("TM1-S1_DEV:}ElementAttributes_SP_SKU",$F763,E$1)</f>
        <v>PRODUCE</v>
      </c>
      <c r="F763" s="26" t="s">
        <v>132</v>
      </c>
      <c r="G763" s="26" t="s">
        <v>1067</v>
      </c>
      <c r="H763" s="26" t="s">
        <v>2765</v>
      </c>
      <c r="I763" s="54">
        <f>_xll.DBRW($A$1,$F$14,$F$15,$C763,$A$2,$F763,$G763,$H763,I$1)</f>
        <v>61</v>
      </c>
      <c r="J763" s="25">
        <f>_xll.DBRW($A$1,$F$14,$F$15,$C763,$A$2,$F763,$G763,$H763,J$19)</f>
        <v>159</v>
      </c>
    </row>
    <row r="764" spans="1:10" s="23" customFormat="1" outlineLevel="1" thickBot="1" x14ac:dyDescent="0.3">
      <c r="A764" s="44"/>
      <c r="B764" s="31" t="str">
        <f>IF(_xll.TM1RPTELISCONSOLIDATED($H$20,$H764),IF(_xll.TM1RPTELLEV($H$20,$H764)&lt;=5,_xll.TM1RPTELLEV($H$20,$H764),"Default"),"Leaf")</f>
        <v>Leaf</v>
      </c>
      <c r="C764" s="26" t="s">
        <v>13</v>
      </c>
      <c r="D764" s="24" t="str">
        <f>_xll.DBRW("TM1-S1_DEV:}ElementAttributes_SP_SKU",$F764,D$1)</f>
        <v>Primary</v>
      </c>
      <c r="E764" s="24" t="str">
        <f>_xll.DBRW("TM1-S1_DEV:}ElementAttributes_SP_SKU",$F764,E$1)</f>
        <v>PRODUCE</v>
      </c>
      <c r="F764" s="26" t="s">
        <v>133</v>
      </c>
      <c r="G764" s="26" t="s">
        <v>1068</v>
      </c>
      <c r="H764" s="26" t="s">
        <v>2765</v>
      </c>
      <c r="I764" s="54">
        <f>_xll.DBRW($A$1,$F$14,$F$15,$C764,$A$2,$F764,$G764,$H764,I$1)</f>
        <v>133</v>
      </c>
      <c r="J764" s="25">
        <f>_xll.DBRW($A$1,$F$14,$F$15,$C764,$A$2,$F764,$G764,$H764,J$19)</f>
        <v>470</v>
      </c>
    </row>
    <row r="765" spans="1:10" s="23" customFormat="1" outlineLevel="1" thickBot="1" x14ac:dyDescent="0.3">
      <c r="A765" s="44"/>
      <c r="B765" s="31" t="str">
        <f>IF(_xll.TM1RPTELISCONSOLIDATED($H$20,$H765),IF(_xll.TM1RPTELLEV($H$20,$H765)&lt;=5,_xll.TM1RPTELLEV($H$20,$H765),"Default"),"Leaf")</f>
        <v>Leaf</v>
      </c>
      <c r="C765" s="26" t="s">
        <v>13</v>
      </c>
      <c r="D765" s="24" t="str">
        <f>_xll.DBRW("TM1-S1_DEV:}ElementAttributes_SP_SKU",$F765,D$1)</f>
        <v>Primary</v>
      </c>
      <c r="E765" s="24" t="str">
        <f>_xll.DBRW("TM1-S1_DEV:}ElementAttributes_SP_SKU",$F765,E$1)</f>
        <v>PRODUCE</v>
      </c>
      <c r="F765" s="26" t="s">
        <v>134</v>
      </c>
      <c r="G765" s="26" t="s">
        <v>1069</v>
      </c>
      <c r="H765" s="26" t="s">
        <v>2765</v>
      </c>
      <c r="I765" s="54">
        <f>_xll.DBRW($A$1,$F$14,$F$15,$C765,$A$2,$F765,$G765,$H765,I$1)</f>
        <v>116</v>
      </c>
      <c r="J765" s="25">
        <f>_xll.DBRW($A$1,$F$14,$F$15,$C765,$A$2,$F765,$G765,$H765,J$19)</f>
        <v>151</v>
      </c>
    </row>
    <row r="766" spans="1:10" s="23" customFormat="1" outlineLevel="1" thickBot="1" x14ac:dyDescent="0.3">
      <c r="A766" s="44"/>
      <c r="B766" s="31" t="str">
        <f>IF(_xll.TM1RPTELISCONSOLIDATED($H$20,$H766),IF(_xll.TM1RPTELLEV($H$20,$H766)&lt;=5,_xll.TM1RPTELLEV($H$20,$H766),"Default"),"Leaf")</f>
        <v>Leaf</v>
      </c>
      <c r="C766" s="26" t="s">
        <v>13</v>
      </c>
      <c r="D766" s="24" t="str">
        <f>_xll.DBRW("TM1-S1_DEV:}ElementAttributes_SP_SKU",$F766,D$1)</f>
        <v>Primary</v>
      </c>
      <c r="E766" s="24" t="str">
        <f>_xll.DBRW("TM1-S1_DEV:}ElementAttributes_SP_SKU",$F766,E$1)</f>
        <v>PRODUCE</v>
      </c>
      <c r="F766" s="26" t="s">
        <v>135</v>
      </c>
      <c r="G766" s="26" t="s">
        <v>1070</v>
      </c>
      <c r="H766" s="26" t="s">
        <v>2765</v>
      </c>
      <c r="I766" s="54">
        <f>_xll.DBRW($A$1,$F$14,$F$15,$C766,$A$2,$F766,$G766,$H766,I$1)</f>
        <v>179</v>
      </c>
      <c r="J766" s="25">
        <f>_xll.DBRW($A$1,$F$14,$F$15,$C766,$A$2,$F766,$G766,$H766,J$19)</f>
        <v>251</v>
      </c>
    </row>
    <row r="767" spans="1:10" s="23" customFormat="1" outlineLevel="1" thickBot="1" x14ac:dyDescent="0.3">
      <c r="A767" s="44"/>
      <c r="B767" s="31" t="str">
        <f>IF(_xll.TM1RPTELISCONSOLIDATED($H$20,$H767),IF(_xll.TM1RPTELLEV($H$20,$H767)&lt;=5,_xll.TM1RPTELLEV($H$20,$H767),"Default"),"Leaf")</f>
        <v>Leaf</v>
      </c>
      <c r="C767" s="26" t="s">
        <v>13</v>
      </c>
      <c r="D767" s="24" t="str">
        <f>_xll.DBRW("TM1-S1_DEV:}ElementAttributes_SP_SKU",$F767,D$1)</f>
        <v>Primary</v>
      </c>
      <c r="E767" s="24" t="str">
        <f>_xll.DBRW("TM1-S1_DEV:}ElementAttributes_SP_SKU",$F767,E$1)</f>
        <v>PRODUCE</v>
      </c>
      <c r="F767" s="26" t="s">
        <v>136</v>
      </c>
      <c r="G767" s="26" t="s">
        <v>1071</v>
      </c>
      <c r="H767" s="26" t="s">
        <v>2765</v>
      </c>
      <c r="I767" s="54">
        <f>_xll.DBRW($A$1,$F$14,$F$15,$C767,$A$2,$F767,$G767,$H767,I$1)</f>
        <v>326</v>
      </c>
      <c r="J767" s="25">
        <f>_xll.DBRW($A$1,$F$14,$F$15,$C767,$A$2,$F767,$G767,$H767,J$19)</f>
        <v>646</v>
      </c>
    </row>
    <row r="768" spans="1:10" s="23" customFormat="1" outlineLevel="1" thickBot="1" x14ac:dyDescent="0.3">
      <c r="A768" s="44"/>
      <c r="B768" s="31" t="str">
        <f>IF(_xll.TM1RPTELISCONSOLIDATED($H$20,$H768),IF(_xll.TM1RPTELLEV($H$20,$H768)&lt;=5,_xll.TM1RPTELLEV($H$20,$H768),"Default"),"Leaf")</f>
        <v>Leaf</v>
      </c>
      <c r="C768" s="26" t="s">
        <v>13</v>
      </c>
      <c r="D768" s="24" t="str">
        <f>_xll.DBRW("TM1-S1_DEV:}ElementAttributes_SP_SKU",$F768,D$1)</f>
        <v>Primary</v>
      </c>
      <c r="E768" s="24" t="str">
        <f>_xll.DBRW("TM1-S1_DEV:}ElementAttributes_SP_SKU",$F768,E$1)</f>
        <v>PRODUCE</v>
      </c>
      <c r="F768" s="26" t="s">
        <v>137</v>
      </c>
      <c r="G768" s="26" t="s">
        <v>1072</v>
      </c>
      <c r="H768" s="26" t="s">
        <v>2765</v>
      </c>
      <c r="I768" s="54">
        <f>_xll.DBRW($A$1,$F$14,$F$15,$C768,$A$2,$F768,$G768,$H768,I$1)</f>
        <v>90</v>
      </c>
      <c r="J768" s="25">
        <f>_xll.DBRW($A$1,$F$14,$F$15,$C768,$A$2,$F768,$G768,$H768,J$19)</f>
        <v>147</v>
      </c>
    </row>
    <row r="769" spans="1:10" s="23" customFormat="1" outlineLevel="1" thickBot="1" x14ac:dyDescent="0.3">
      <c r="A769" s="44"/>
      <c r="B769" s="31" t="str">
        <f>IF(_xll.TM1RPTELISCONSOLIDATED($H$20,$H769),IF(_xll.TM1RPTELLEV($H$20,$H769)&lt;=5,_xll.TM1RPTELLEV($H$20,$H769),"Default"),"Leaf")</f>
        <v>Leaf</v>
      </c>
      <c r="C769" s="26" t="s">
        <v>13</v>
      </c>
      <c r="D769" s="24" t="str">
        <f>_xll.DBRW("TM1-S1_DEV:}ElementAttributes_SP_SKU",$F769,D$1)</f>
        <v>Primary</v>
      </c>
      <c r="E769" s="24" t="str">
        <f>_xll.DBRW("TM1-S1_DEV:}ElementAttributes_SP_SKU",$F769,E$1)</f>
        <v>LID</v>
      </c>
      <c r="F769" s="26" t="s">
        <v>138</v>
      </c>
      <c r="G769" s="26" t="s">
        <v>1073</v>
      </c>
      <c r="H769" s="26" t="s">
        <v>2757</v>
      </c>
      <c r="I769" s="54">
        <f>_xll.DBRW($A$1,$F$14,$F$15,$C769,$A$2,$F769,$G769,$H769,I$1)</f>
        <v>65</v>
      </c>
      <c r="J769" s="25">
        <f>_xll.DBRW($A$1,$F$14,$F$15,$C769,$A$2,$F769,$G769,$H769,J$19)</f>
        <v>118</v>
      </c>
    </row>
    <row r="770" spans="1:10" s="23" customFormat="1" outlineLevel="1" thickBot="1" x14ac:dyDescent="0.3">
      <c r="A770" s="44"/>
      <c r="B770" s="31" t="str">
        <f>IF(_xll.TM1RPTELISCONSOLIDATED($H$20,$H770),IF(_xll.TM1RPTELLEV($H$20,$H770)&lt;=5,_xll.TM1RPTELLEV($H$20,$H770),"Default"),"Leaf")</f>
        <v>Leaf</v>
      </c>
      <c r="C770" s="26" t="s">
        <v>13</v>
      </c>
      <c r="D770" s="24" t="str">
        <f>_xll.DBRW("TM1-S1_DEV:}ElementAttributes_SP_SKU",$F770,D$1)</f>
        <v>Primary</v>
      </c>
      <c r="E770" s="24" t="str">
        <f>_xll.DBRW("TM1-S1_DEV:}ElementAttributes_SP_SKU",$F770,E$1)</f>
        <v>BAG</v>
      </c>
      <c r="F770" s="26" t="s">
        <v>262</v>
      </c>
      <c r="G770" s="26" t="s">
        <v>1249</v>
      </c>
      <c r="H770" s="26" t="s">
        <v>2821</v>
      </c>
      <c r="I770" s="54">
        <f>_xll.DBRW($A$1,$F$14,$F$15,$C770,$A$2,$F770,$G770,$H770,I$1)</f>
        <v>38</v>
      </c>
      <c r="J770" s="25">
        <f>_xll.DBRW($A$1,$F$14,$F$15,$C770,$A$2,$F770,$G770,$H770,J$19)</f>
        <v>248</v>
      </c>
    </row>
    <row r="771" spans="1:10" s="23" customFormat="1" outlineLevel="1" thickBot="1" x14ac:dyDescent="0.3">
      <c r="A771" s="44"/>
      <c r="B771" s="31" t="str">
        <f>IF(_xll.TM1RPTELISCONSOLIDATED($H$20,$H771),IF(_xll.TM1RPTELLEV($H$20,$H771)&lt;=5,_xll.TM1RPTELLEV($H$20,$H771),"Default"),"Leaf")</f>
        <v>Leaf</v>
      </c>
      <c r="C771" s="26" t="s">
        <v>13</v>
      </c>
      <c r="D771" s="24" t="str">
        <f>_xll.DBRW("TM1-S1_DEV:}ElementAttributes_SP_SKU",$F771,D$1)</f>
        <v>Primary</v>
      </c>
      <c r="E771" s="24" t="str">
        <f>_xll.DBRW("TM1-S1_DEV:}ElementAttributes_SP_SKU",$F771,E$1)</f>
        <v>PLATE</v>
      </c>
      <c r="F771" s="26" t="s">
        <v>263</v>
      </c>
      <c r="G771" s="26" t="s">
        <v>1250</v>
      </c>
      <c r="H771" s="26" t="s">
        <v>2773</v>
      </c>
      <c r="I771" s="54">
        <f>_xll.DBRW($A$1,$F$14,$F$15,$C771,$A$2,$F771,$G771,$H771,I$1)</f>
        <v>28</v>
      </c>
      <c r="J771" s="25">
        <f>_xll.DBRW($A$1,$F$14,$F$15,$C771,$A$2,$F771,$G771,$H771,J$19)</f>
        <v>216</v>
      </c>
    </row>
    <row r="772" spans="1:10" s="23" customFormat="1" outlineLevel="1" thickBot="1" x14ac:dyDescent="0.3">
      <c r="A772" s="44"/>
      <c r="B772" s="31" t="str">
        <f>IF(_xll.TM1RPTELISCONSOLIDATED($H$20,$H772),IF(_xll.TM1RPTELLEV($H$20,$H772)&lt;=5,_xll.TM1RPTELLEV($H$20,$H772),"Default"),"Leaf")</f>
        <v>Leaf</v>
      </c>
      <c r="C772" s="26" t="s">
        <v>13</v>
      </c>
      <c r="D772" s="24" t="str">
        <f>_xll.DBRW("TM1-S1_DEV:}ElementAttributes_SP_SKU",$F772,D$1)</f>
        <v>Primary</v>
      </c>
      <c r="E772" s="24" t="str">
        <f>_xll.DBRW("TM1-S1_DEV:}ElementAttributes_SP_SKU",$F772,E$1)</f>
        <v>PLATE</v>
      </c>
      <c r="F772" s="26" t="s">
        <v>139</v>
      </c>
      <c r="G772" s="26" t="s">
        <v>1074</v>
      </c>
      <c r="H772" s="26" t="s">
        <v>2773</v>
      </c>
      <c r="I772" s="54">
        <f>_xll.DBRW($A$1,$F$14,$F$15,$C772,$A$2,$F772,$G772,$H772,I$1)</f>
        <v>24</v>
      </c>
      <c r="J772" s="25">
        <f>_xll.DBRW($A$1,$F$14,$F$15,$C772,$A$2,$F772,$G772,$H772,J$19)</f>
        <v>64</v>
      </c>
    </row>
    <row r="773" spans="1:10" s="23" customFormat="1" outlineLevel="1" thickBot="1" x14ac:dyDescent="0.3">
      <c r="A773" s="44"/>
      <c r="B773" s="31" t="str">
        <f>IF(_xll.TM1RPTELISCONSOLIDATED($H$20,$H773),IF(_xll.TM1RPTELLEV($H$20,$H773)&lt;=5,_xll.TM1RPTELLEV($H$20,$H773),"Default"),"Leaf")</f>
        <v>Leaf</v>
      </c>
      <c r="C773" s="26" t="s">
        <v>13</v>
      </c>
      <c r="D773" s="24" t="str">
        <f>_xll.DBRW("TM1-S1_DEV:}ElementAttributes_SP_SKU",$F773,D$1)</f>
        <v>Primary</v>
      </c>
      <c r="E773" s="24" t="str">
        <f>_xll.DBRW("TM1-S1_DEV:}ElementAttributes_SP_SKU",$F773,E$1)</f>
        <v>BOWL</v>
      </c>
      <c r="F773" s="26" t="s">
        <v>140</v>
      </c>
      <c r="G773" s="26" t="s">
        <v>1075</v>
      </c>
      <c r="H773" s="26" t="s">
        <v>2773</v>
      </c>
      <c r="I773" s="54">
        <f>_xll.DBRW($A$1,$F$14,$F$15,$C773,$A$2,$F773,$G773,$H773,I$1)</f>
        <v>14</v>
      </c>
      <c r="J773" s="25">
        <f>_xll.DBRW($A$1,$F$14,$F$15,$C773,$A$2,$F773,$G773,$H773,J$19)</f>
        <v>77</v>
      </c>
    </row>
    <row r="774" spans="1:10" s="23" customFormat="1" outlineLevel="1" thickBot="1" x14ac:dyDescent="0.3">
      <c r="A774" s="44"/>
      <c r="B774" s="31" t="str">
        <f>IF(_xll.TM1RPTELISCONSOLIDATED($H$20,$H774),IF(_xll.TM1RPTELLEV($H$20,$H774)&lt;=5,_xll.TM1RPTELLEV($H$20,$H774),"Default"),"Leaf")</f>
        <v>Leaf</v>
      </c>
      <c r="C774" s="26" t="s">
        <v>13</v>
      </c>
      <c r="D774" s="24" t="str">
        <f>_xll.DBRW("TM1-S1_DEV:}ElementAttributes_SP_SKU",$F774,D$1)</f>
        <v>Primary</v>
      </c>
      <c r="E774" s="24" t="str">
        <f>_xll.DBRW("TM1-S1_DEV:}ElementAttributes_SP_SKU",$F774,E$1)</f>
        <v>BOWL</v>
      </c>
      <c r="F774" s="26" t="s">
        <v>141</v>
      </c>
      <c r="G774" s="26" t="s">
        <v>1076</v>
      </c>
      <c r="H774" s="26" t="s">
        <v>2773</v>
      </c>
      <c r="I774" s="54">
        <f>_xll.DBRW($A$1,$F$14,$F$15,$C774,$A$2,$F774,$G774,$H774,I$1)</f>
        <v>24</v>
      </c>
      <c r="J774" s="25">
        <f>_xll.DBRW($A$1,$F$14,$F$15,$C774,$A$2,$F774,$G774,$H774,J$19)</f>
        <v>103</v>
      </c>
    </row>
    <row r="775" spans="1:10" s="23" customFormat="1" outlineLevel="1" thickBot="1" x14ac:dyDescent="0.3">
      <c r="A775" s="44"/>
      <c r="B775" s="31" t="str">
        <f>IF(_xll.TM1RPTELISCONSOLIDATED($H$20,$H775),IF(_xll.TM1RPTELLEV($H$20,$H775)&lt;=5,_xll.TM1RPTELLEV($H$20,$H775),"Default"),"Leaf")</f>
        <v>Leaf</v>
      </c>
      <c r="C775" s="26" t="s">
        <v>13</v>
      </c>
      <c r="D775" s="24" t="str">
        <f>_xll.DBRW("TM1-S1_DEV:}ElementAttributes_SP_SKU",$F775,D$1)</f>
        <v>Primary</v>
      </c>
      <c r="E775" s="24" t="str">
        <f>_xll.DBRW("TM1-S1_DEV:}ElementAttributes_SP_SKU",$F775,E$1)</f>
        <v>UTENSIL</v>
      </c>
      <c r="F775" s="26" t="s">
        <v>142</v>
      </c>
      <c r="G775" s="26" t="s">
        <v>1077</v>
      </c>
      <c r="H775" s="26" t="s">
        <v>2773</v>
      </c>
      <c r="I775" s="54">
        <f>_xll.DBRW($A$1,$F$14,$F$15,$C775,$A$2,$F775,$G775,$H775,I$1)</f>
        <v>21</v>
      </c>
      <c r="J775" s="25">
        <f>_xll.DBRW($A$1,$F$14,$F$15,$C775,$A$2,$F775,$G775,$H775,J$19)</f>
        <v>71</v>
      </c>
    </row>
    <row r="776" spans="1:10" s="23" customFormat="1" outlineLevel="1" thickBot="1" x14ac:dyDescent="0.3">
      <c r="A776" s="44"/>
      <c r="B776" s="31" t="str">
        <f>IF(_xll.TM1RPTELISCONSOLIDATED($H$20,$H776),IF(_xll.TM1RPTELLEV($H$20,$H776)&lt;=5,_xll.TM1RPTELLEV($H$20,$H776),"Default"),"Leaf")</f>
        <v>Leaf</v>
      </c>
      <c r="C776" s="26" t="s">
        <v>13</v>
      </c>
      <c r="D776" s="24" t="str">
        <f>_xll.DBRW("TM1-S1_DEV:}ElementAttributes_SP_SKU",$F776,D$1)</f>
        <v>Primary</v>
      </c>
      <c r="E776" s="24" t="str">
        <f>_xll.DBRW("TM1-S1_DEV:}ElementAttributes_SP_SKU",$F776,E$1)</f>
        <v>UTENSIL</v>
      </c>
      <c r="F776" s="26" t="s">
        <v>143</v>
      </c>
      <c r="G776" s="26" t="s">
        <v>1078</v>
      </c>
      <c r="H776" s="26" t="s">
        <v>2773</v>
      </c>
      <c r="I776" s="54">
        <f>_xll.DBRW($A$1,$F$14,$F$15,$C776,$A$2,$F776,$G776,$H776,I$1)</f>
        <v>5</v>
      </c>
      <c r="J776" s="25">
        <f>_xll.DBRW($A$1,$F$14,$F$15,$C776,$A$2,$F776,$G776,$H776,J$19)</f>
        <v>127</v>
      </c>
    </row>
    <row r="777" spans="1:10" s="23" customFormat="1" outlineLevel="1" thickBot="1" x14ac:dyDescent="0.3">
      <c r="A777" s="44"/>
      <c r="B777" s="31" t="str">
        <f>IF(_xll.TM1RPTELISCONSOLIDATED($H$20,$H777),IF(_xll.TM1RPTELLEV($H$20,$H777)&lt;=5,_xll.TM1RPTELLEV($H$20,$H777),"Default"),"Leaf")</f>
        <v>Leaf</v>
      </c>
      <c r="C777" s="26" t="s">
        <v>13</v>
      </c>
      <c r="D777" s="24" t="str">
        <f>_xll.DBRW("TM1-S1_DEV:}ElementAttributes_SP_SKU",$F777,D$1)</f>
        <v>Primary</v>
      </c>
      <c r="E777" s="24" t="str">
        <f>_xll.DBRW("TM1-S1_DEV:}ElementAttributes_SP_SKU",$F777,E$1)</f>
        <v>PAPER</v>
      </c>
      <c r="F777" s="26" t="s">
        <v>144</v>
      </c>
      <c r="G777" s="26" t="s">
        <v>1079</v>
      </c>
      <c r="H777" s="26" t="s">
        <v>2774</v>
      </c>
      <c r="I777" s="54">
        <f>_xll.DBRW($A$1,$F$14,$F$15,$C777,$A$2,$F777,$G777,$H777,I$1)</f>
        <v>142</v>
      </c>
      <c r="J777" s="25">
        <f>_xll.DBRW($A$1,$F$14,$F$15,$C777,$A$2,$F777,$G777,$H777,J$19)</f>
        <v>262</v>
      </c>
    </row>
    <row r="778" spans="1:10" s="23" customFormat="1" outlineLevel="1" thickBot="1" x14ac:dyDescent="0.3">
      <c r="A778" s="44"/>
      <c r="B778" s="31" t="str">
        <f>IF(_xll.TM1RPTELISCONSOLIDATED($H$20,$H778),IF(_xll.TM1RPTELLEV($H$20,$H778)&lt;=5,_xll.TM1RPTELLEV($H$20,$H778),"Default"),"Leaf")</f>
        <v>Leaf</v>
      </c>
      <c r="C778" s="26" t="s">
        <v>13</v>
      </c>
      <c r="D778" s="24" t="str">
        <f>_xll.DBRW("TM1-S1_DEV:}ElementAttributes_SP_SKU",$F778,D$1)</f>
        <v>Primary</v>
      </c>
      <c r="E778" s="24" t="str">
        <f>_xll.DBRW("TM1-S1_DEV:}ElementAttributes_SP_SKU",$F778,E$1)</f>
        <v>PAPER</v>
      </c>
      <c r="F778" s="26" t="s">
        <v>145</v>
      </c>
      <c r="G778" s="26" t="s">
        <v>1080</v>
      </c>
      <c r="H778" s="26" t="s">
        <v>2774</v>
      </c>
      <c r="I778" s="54">
        <f>_xll.DBRW($A$1,$F$14,$F$15,$C778,$A$2,$F778,$G778,$H778,I$1)</f>
        <v>23</v>
      </c>
      <c r="J778" s="25">
        <f>_xll.DBRW($A$1,$F$14,$F$15,$C778,$A$2,$F778,$G778,$H778,J$19)</f>
        <v>23</v>
      </c>
    </row>
    <row r="779" spans="1:10" s="23" customFormat="1" outlineLevel="1" thickBot="1" x14ac:dyDescent="0.3">
      <c r="A779" s="44"/>
      <c r="B779" s="31" t="str">
        <f>IF(_xll.TM1RPTELISCONSOLIDATED($H$20,$H779),IF(_xll.TM1RPTELLEV($H$20,$H779)&lt;=5,_xll.TM1RPTELLEV($H$20,$H779),"Default"),"Leaf")</f>
        <v>Leaf</v>
      </c>
      <c r="C779" s="26" t="s">
        <v>13</v>
      </c>
      <c r="D779" s="24" t="str">
        <f>_xll.DBRW("TM1-S1_DEV:}ElementAttributes_SP_SKU",$F779,D$1)</f>
        <v>Primary</v>
      </c>
      <c r="E779" s="24" t="str">
        <f>_xll.DBRW("TM1-S1_DEV:}ElementAttributes_SP_SKU",$F779,E$1)</f>
        <v>INGREDIENT</v>
      </c>
      <c r="F779" s="26" t="s">
        <v>146</v>
      </c>
      <c r="G779" s="26" t="s">
        <v>1081</v>
      </c>
      <c r="H779" s="26" t="s">
        <v>2718</v>
      </c>
      <c r="I779" s="54">
        <f>_xll.DBRW($A$1,$F$14,$F$15,$C779,$A$2,$F779,$G779,$H779,I$1)</f>
        <v>28</v>
      </c>
      <c r="J779" s="25">
        <f>_xll.DBRW($A$1,$F$14,$F$15,$C779,$A$2,$F779,$G779,$H779,J$19)</f>
        <v>28</v>
      </c>
    </row>
    <row r="780" spans="1:10" s="23" customFormat="1" outlineLevel="1" thickBot="1" x14ac:dyDescent="0.3">
      <c r="A780" s="44"/>
      <c r="B780" s="31" t="str">
        <f>IF(_xll.TM1RPTELISCONSOLIDATED($H$20,$H780),IF(_xll.TM1RPTELLEV($H$20,$H780)&lt;=5,_xll.TM1RPTELLEV($H$20,$H780),"Default"),"Leaf")</f>
        <v>Leaf</v>
      </c>
      <c r="C780" s="26" t="s">
        <v>13</v>
      </c>
      <c r="D780" s="24" t="str">
        <f>_xll.DBRW("TM1-S1_DEV:}ElementAttributes_SP_SKU",$F780,D$1)</f>
        <v>Primary</v>
      </c>
      <c r="E780" s="24" t="str">
        <f>_xll.DBRW("TM1-S1_DEV:}ElementAttributes_SP_SKU",$F780,E$1)</f>
        <v>DRESSING</v>
      </c>
      <c r="F780" s="26" t="s">
        <v>264</v>
      </c>
      <c r="G780" s="26" t="s">
        <v>1251</v>
      </c>
      <c r="H780" s="26" t="s">
        <v>2743</v>
      </c>
      <c r="I780" s="54">
        <f>_xll.DBRW($A$1,$F$14,$F$15,$C780,$A$2,$F780,$G780,$H780,I$1)</f>
        <v>75</v>
      </c>
      <c r="J780" s="25">
        <f>_xll.DBRW($A$1,$F$14,$F$15,$C780,$A$2,$F780,$G780,$H780,J$19)</f>
        <v>74</v>
      </c>
    </row>
    <row r="781" spans="1:10" s="23" customFormat="1" outlineLevel="1" thickBot="1" x14ac:dyDescent="0.3">
      <c r="A781" s="44"/>
      <c r="B781" s="31" t="str">
        <f>IF(_xll.TM1RPTELISCONSOLIDATED($H$20,$H781),IF(_xll.TM1RPTELLEV($H$20,$H781)&lt;=5,_xll.TM1RPTELLEV($H$20,$H781),"Default"),"Leaf")</f>
        <v>Leaf</v>
      </c>
      <c r="C781" s="26" t="s">
        <v>13</v>
      </c>
      <c r="D781" s="24" t="str">
        <f>_xll.DBRW("TM1-S1_DEV:}ElementAttributes_SP_SKU",$F781,D$1)</f>
        <v>Primary</v>
      </c>
      <c r="E781" s="24" t="str">
        <f>_xll.DBRW("TM1-S1_DEV:}ElementAttributes_SP_SKU",$F781,E$1)</f>
        <v>BAG</v>
      </c>
      <c r="F781" s="26" t="s">
        <v>148</v>
      </c>
      <c r="G781" s="26" t="s">
        <v>1083</v>
      </c>
      <c r="H781" s="26" t="s">
        <v>2775</v>
      </c>
      <c r="I781" s="54">
        <f>_xll.DBRW($A$1,$F$14,$F$15,$C781,$A$2,$F781,$G781,$H781,I$1)</f>
        <v>536</v>
      </c>
      <c r="J781" s="25">
        <f>_xll.DBRW($A$1,$F$14,$F$15,$C781,$A$2,$F781,$G781,$H781,J$19)</f>
        <v>535</v>
      </c>
    </row>
    <row r="782" spans="1:10" s="23" customFormat="1" outlineLevel="1" thickBot="1" x14ac:dyDescent="0.3">
      <c r="A782" s="44"/>
      <c r="B782" s="31" t="str">
        <f>IF(_xll.TM1RPTELISCONSOLIDATED($H$20,$H782),IF(_xll.TM1RPTELLEV($H$20,$H782)&lt;=5,_xll.TM1RPTELLEV($H$20,$H782),"Default"),"Leaf")</f>
        <v>Leaf</v>
      </c>
      <c r="C782" s="26" t="s">
        <v>13</v>
      </c>
      <c r="D782" s="24" t="str">
        <f>_xll.DBRW("TM1-S1_DEV:}ElementAttributes_SP_SKU",$F782,D$1)</f>
        <v>Primary</v>
      </c>
      <c r="E782" s="24" t="str">
        <f>_xll.DBRW("TM1-S1_DEV:}ElementAttributes_SP_SKU",$F782,E$1)</f>
        <v>BAG</v>
      </c>
      <c r="F782" s="26" t="s">
        <v>265</v>
      </c>
      <c r="G782" s="26" t="s">
        <v>1252</v>
      </c>
      <c r="H782" s="26" t="s">
        <v>2822</v>
      </c>
      <c r="I782" s="54">
        <f>_xll.DBRW($A$1,$F$14,$F$15,$C782,$A$2,$F782,$G782,$H782,I$1)</f>
        <v>620</v>
      </c>
      <c r="J782" s="25">
        <f>_xll.DBRW($A$1,$F$14,$F$15,$C782,$A$2,$F782,$G782,$H782,J$19)</f>
        <v>1010</v>
      </c>
    </row>
    <row r="783" spans="1:10" s="23" customFormat="1" outlineLevel="1" thickBot="1" x14ac:dyDescent="0.3">
      <c r="A783" s="44"/>
      <c r="B783" s="31" t="str">
        <f>IF(_xll.TM1RPTELISCONSOLIDATED($H$20,$H783),IF(_xll.TM1RPTELLEV($H$20,$H783)&lt;=5,_xll.TM1RPTELLEV($H$20,$H783),"Default"),"Leaf")</f>
        <v>Leaf</v>
      </c>
      <c r="C783" s="26" t="s">
        <v>13</v>
      </c>
      <c r="D783" s="24" t="str">
        <f>_xll.DBRW("TM1-S1_DEV:}ElementAttributes_SP_SKU",$F783,D$1)</f>
        <v>Primary</v>
      </c>
      <c r="E783" s="24" t="str">
        <f>_xll.DBRW("TM1-S1_DEV:}ElementAttributes_SP_SKU",$F783,E$1)</f>
        <v>BOWL</v>
      </c>
      <c r="F783" s="26" t="s">
        <v>266</v>
      </c>
      <c r="G783" s="26" t="s">
        <v>1253</v>
      </c>
      <c r="H783" s="26" t="s">
        <v>2708</v>
      </c>
      <c r="I783" s="54">
        <f>_xll.DBRW($A$1,$F$14,$F$15,$C783,$A$2,$F783,$G783,$H783,I$1)</f>
        <v>24</v>
      </c>
      <c r="J783" s="25">
        <f>_xll.DBRW($A$1,$F$14,$F$15,$C783,$A$2,$F783,$G783,$H783,J$19)</f>
        <v>24</v>
      </c>
    </row>
    <row r="784" spans="1:10" s="23" customFormat="1" outlineLevel="1" thickBot="1" x14ac:dyDescent="0.3">
      <c r="A784" s="44"/>
      <c r="B784" s="31" t="str">
        <f>IF(_xll.TM1RPTELISCONSOLIDATED($H$20,$H784),IF(_xll.TM1RPTELLEV($H$20,$H784)&lt;=5,_xll.TM1RPTELLEV($H$20,$H784),"Default"),"Leaf")</f>
        <v>Leaf</v>
      </c>
      <c r="C784" s="26" t="s">
        <v>13</v>
      </c>
      <c r="D784" s="24" t="str">
        <f>_xll.DBRW("TM1-S1_DEV:}ElementAttributes_SP_SKU",$F784,D$1)</f>
        <v>Primary</v>
      </c>
      <c r="E784" s="24" t="str">
        <f>_xll.DBRW("TM1-S1_DEV:}ElementAttributes_SP_SKU",$F784,E$1)</f>
        <v>PAPER</v>
      </c>
      <c r="F784" s="26" t="s">
        <v>151</v>
      </c>
      <c r="G784" s="26" t="s">
        <v>1086</v>
      </c>
      <c r="H784" s="26" t="s">
        <v>2778</v>
      </c>
      <c r="I784" s="54">
        <f>_xll.DBRW($A$1,$F$14,$F$15,$C784,$A$2,$F784,$G784,$H784,I$1)</f>
        <v>118</v>
      </c>
      <c r="J784" s="25">
        <f>_xll.DBRW($A$1,$F$14,$F$15,$C784,$A$2,$F784,$G784,$H784,J$19)</f>
        <v>118</v>
      </c>
    </row>
    <row r="785" spans="1:10" s="23" customFormat="1" outlineLevel="1" thickBot="1" x14ac:dyDescent="0.3">
      <c r="A785" s="44"/>
      <c r="B785" s="31" t="str">
        <f>IF(_xll.TM1RPTELISCONSOLIDATED($H$20,$H785),IF(_xll.TM1RPTELLEV($H$20,$H785)&lt;=5,_xll.TM1RPTELLEV($H$20,$H785),"Default"),"Leaf")</f>
        <v>Leaf</v>
      </c>
      <c r="C785" s="26" t="s">
        <v>13</v>
      </c>
      <c r="D785" s="24" t="str">
        <f>_xll.DBRW("TM1-S1_DEV:}ElementAttributes_SP_SKU",$F785,D$1)</f>
        <v>Primary</v>
      </c>
      <c r="E785" s="24" t="str">
        <f>_xll.DBRW("TM1-S1_DEV:}ElementAttributes_SP_SKU",$F785,E$1)</f>
        <v>BOWL</v>
      </c>
      <c r="F785" s="26" t="s">
        <v>267</v>
      </c>
      <c r="G785" s="26" t="s">
        <v>1243</v>
      </c>
      <c r="H785" s="26" t="s">
        <v>2745</v>
      </c>
      <c r="I785" s="54">
        <f>_xll.DBRW($A$1,$F$14,$F$15,$C785,$A$2,$F785,$G785,$H785,I$1)</f>
        <v>20</v>
      </c>
      <c r="J785" s="25">
        <f>_xll.DBRW($A$1,$F$14,$F$15,$C785,$A$2,$F785,$G785,$H785,J$19)</f>
        <v>19</v>
      </c>
    </row>
    <row r="786" spans="1:10" s="23" customFormat="1" outlineLevel="1" thickBot="1" x14ac:dyDescent="0.3">
      <c r="A786" s="44"/>
      <c r="B786" s="31" t="str">
        <f>IF(_xll.TM1RPTELISCONSOLIDATED($H$20,$H786),IF(_xll.TM1RPTELLEV($H$20,$H786)&lt;=5,_xll.TM1RPTELLEV($H$20,$H786),"Default"),"Leaf")</f>
        <v>Leaf</v>
      </c>
      <c r="C786" s="26" t="s">
        <v>13</v>
      </c>
      <c r="D786" s="24" t="str">
        <f>_xll.DBRW("TM1-S1_DEV:}ElementAttributes_SP_SKU",$F786,D$1)</f>
        <v>Primary</v>
      </c>
      <c r="E786" s="24" t="str">
        <f>_xll.DBRW("TM1-S1_DEV:}ElementAttributes_SP_SKU",$F786,E$1)</f>
        <v>CONTAINER</v>
      </c>
      <c r="F786" s="26" t="s">
        <v>152</v>
      </c>
      <c r="G786" s="26" t="s">
        <v>1087</v>
      </c>
      <c r="H786" s="26" t="s">
        <v>2752</v>
      </c>
      <c r="I786" s="54">
        <f>_xll.DBRW($A$1,$F$14,$F$15,$C786,$A$2,$F786,$G786,$H786,I$1)</f>
        <v>77</v>
      </c>
      <c r="J786" s="25">
        <f>_xll.DBRW($A$1,$F$14,$F$15,$C786,$A$2,$F786,$G786,$H786,J$19)</f>
        <v>77</v>
      </c>
    </row>
    <row r="787" spans="1:10" s="23" customFormat="1" outlineLevel="1" thickBot="1" x14ac:dyDescent="0.3">
      <c r="A787" s="44"/>
      <c r="B787" s="31" t="str">
        <f>IF(_xll.TM1RPTELISCONSOLIDATED($H$20,$H787),IF(_xll.TM1RPTELLEV($H$20,$H787)&lt;=5,_xll.TM1RPTELLEV($H$20,$H787),"Default"),"Leaf")</f>
        <v>Leaf</v>
      </c>
      <c r="C787" s="26" t="s">
        <v>13</v>
      </c>
      <c r="D787" s="24" t="str">
        <f>_xll.DBRW("TM1-S1_DEV:}ElementAttributes_SP_SKU",$F787,D$1)</f>
        <v>Primary</v>
      </c>
      <c r="E787" s="24" t="str">
        <f>_xll.DBRW("TM1-S1_DEV:}ElementAttributes_SP_SKU",$F787,E$1)</f>
        <v>TRAY</v>
      </c>
      <c r="F787" s="26" t="s">
        <v>153</v>
      </c>
      <c r="G787" s="26" t="s">
        <v>1088</v>
      </c>
      <c r="H787" s="26" t="s">
        <v>2708</v>
      </c>
      <c r="I787" s="54">
        <f>_xll.DBRW($A$1,$F$14,$F$15,$C787,$A$2,$F787,$G787,$H787,I$1)</f>
        <v>22</v>
      </c>
      <c r="J787" s="25">
        <f>_xll.DBRW($A$1,$F$14,$F$15,$C787,$A$2,$F787,$G787,$H787,J$19)</f>
        <v>22</v>
      </c>
    </row>
    <row r="788" spans="1:10" s="23" customFormat="1" outlineLevel="1" thickBot="1" x14ac:dyDescent="0.3">
      <c r="A788" s="44"/>
      <c r="B788" s="31" t="str">
        <f>IF(_xll.TM1RPTELISCONSOLIDATED($H$20,$H788),IF(_xll.TM1RPTELLEV($H$20,$H788)&lt;=5,_xll.TM1RPTELLEV($H$20,$H788),"Default"),"Leaf")</f>
        <v>Leaf</v>
      </c>
      <c r="C788" s="26" t="s">
        <v>13</v>
      </c>
      <c r="D788" s="24" t="str">
        <f>_xll.DBRW("TM1-S1_DEV:}ElementAttributes_SP_SKU",$F788,D$1)</f>
        <v>Primary</v>
      </c>
      <c r="E788" s="24" t="str">
        <f>_xll.DBRW("TM1-S1_DEV:}ElementAttributes_SP_SKU",$F788,E$1)</f>
        <v>TRAY</v>
      </c>
      <c r="F788" s="26" t="s">
        <v>154</v>
      </c>
      <c r="G788" s="26" t="s">
        <v>1089</v>
      </c>
      <c r="H788" s="26" t="s">
        <v>2708</v>
      </c>
      <c r="I788" s="54">
        <f>_xll.DBRW($A$1,$F$14,$F$15,$C788,$A$2,$F788,$G788,$H788,I$1)</f>
        <v>33</v>
      </c>
      <c r="J788" s="25">
        <f>_xll.DBRW($A$1,$F$14,$F$15,$C788,$A$2,$F788,$G788,$H788,J$19)</f>
        <v>33</v>
      </c>
    </row>
    <row r="789" spans="1:10" s="23" customFormat="1" outlineLevel="1" thickBot="1" x14ac:dyDescent="0.3">
      <c r="A789" s="44"/>
      <c r="B789" s="31" t="str">
        <f>IF(_xll.TM1RPTELISCONSOLIDATED($H$20,$H789),IF(_xll.TM1RPTELLEV($H$20,$H789)&lt;=5,_xll.TM1RPTELLEV($H$20,$H789),"Default"),"Leaf")</f>
        <v>Leaf</v>
      </c>
      <c r="C789" s="26" t="s">
        <v>13</v>
      </c>
      <c r="D789" s="24" t="str">
        <f>_xll.DBRW("TM1-S1_DEV:}ElementAttributes_SP_SKU",$F789,D$1)</f>
        <v>Primary</v>
      </c>
      <c r="E789" s="24" t="str">
        <f>_xll.DBRW("TM1-S1_DEV:}ElementAttributes_SP_SKU",$F789,E$1)</f>
        <v>TRAY</v>
      </c>
      <c r="F789" s="26" t="s">
        <v>155</v>
      </c>
      <c r="G789" s="26" t="s">
        <v>1090</v>
      </c>
      <c r="H789" s="26" t="s">
        <v>2708</v>
      </c>
      <c r="I789" s="54">
        <f>_xll.DBRW($A$1,$F$14,$F$15,$C789,$A$2,$F789,$G789,$H789,I$1)</f>
        <v>4</v>
      </c>
      <c r="J789" s="25">
        <f>_xll.DBRW($A$1,$F$14,$F$15,$C789,$A$2,$F789,$G789,$H789,J$19)</f>
        <v>16</v>
      </c>
    </row>
    <row r="790" spans="1:10" s="23" customFormat="1" outlineLevel="1" thickBot="1" x14ac:dyDescent="0.3">
      <c r="A790" s="44"/>
      <c r="B790" s="31" t="str">
        <f>IF(_xll.TM1RPTELISCONSOLIDATED($H$20,$H790),IF(_xll.TM1RPTELLEV($H$20,$H790)&lt;=5,_xll.TM1RPTELLEV($H$20,$H790),"Default"),"Leaf")</f>
        <v>Leaf</v>
      </c>
      <c r="C790" s="26" t="s">
        <v>13</v>
      </c>
      <c r="D790" s="24" t="str">
        <f>_xll.DBRW("TM1-S1_DEV:}ElementAttributes_SP_SKU",$F790,D$1)</f>
        <v>Primary</v>
      </c>
      <c r="E790" s="24" t="str">
        <f>_xll.DBRW("TM1-S1_DEV:}ElementAttributes_SP_SKU",$F790,E$1)</f>
        <v>DRESSING</v>
      </c>
      <c r="F790" s="26" t="s">
        <v>156</v>
      </c>
      <c r="G790" s="26" t="s">
        <v>1091</v>
      </c>
      <c r="H790" s="26" t="s">
        <v>2743</v>
      </c>
      <c r="I790" s="54">
        <f>_xll.DBRW($A$1,$F$14,$F$15,$C790,$A$2,$F790,$G790,$H790,I$1)</f>
        <v>144</v>
      </c>
      <c r="J790" s="25">
        <f>_xll.DBRW($A$1,$F$14,$F$15,$C790,$A$2,$F790,$G790,$H790,J$19)</f>
        <v>144</v>
      </c>
    </row>
    <row r="791" spans="1:10" s="23" customFormat="1" outlineLevel="1" thickBot="1" x14ac:dyDescent="0.3">
      <c r="A791" s="44"/>
      <c r="B791" s="31" t="str">
        <f>IF(_xll.TM1RPTELISCONSOLIDATED($H$20,$H791),IF(_xll.TM1RPTELLEV($H$20,$H791)&lt;=5,_xll.TM1RPTELLEV($H$20,$H791),"Default"),"Leaf")</f>
        <v>Leaf</v>
      </c>
      <c r="C791" s="26" t="s">
        <v>13</v>
      </c>
      <c r="D791" s="24" t="str">
        <f>_xll.DBRW("TM1-S1_DEV:}ElementAttributes_SP_SKU",$F791,D$1)</f>
        <v>Secondary</v>
      </c>
      <c r="E791" s="24" t="str">
        <f>_xll.DBRW("TM1-S1_DEV:}ElementAttributes_SP_SKU",$F791,E$1)</f>
        <v>DRESSING</v>
      </c>
      <c r="F791" s="26" t="s">
        <v>157</v>
      </c>
      <c r="G791" s="26" t="s">
        <v>1092</v>
      </c>
      <c r="H791" s="26" t="s">
        <v>2720</v>
      </c>
      <c r="I791" s="54">
        <f>_xll.DBRW($A$1,$F$14,$F$15,$C791,$A$2,$F791,$G791,$H791,I$1)</f>
        <v>42</v>
      </c>
      <c r="J791" s="25">
        <f>_xll.DBRW($A$1,$F$14,$F$15,$C791,$A$2,$F791,$G791,$H791,J$19)</f>
        <v>42</v>
      </c>
    </row>
    <row r="792" spans="1:10" s="23" customFormat="1" outlineLevel="1" thickBot="1" x14ac:dyDescent="0.3">
      <c r="A792" s="44"/>
      <c r="B792" s="31" t="str">
        <f>IF(_xll.TM1RPTELISCONSOLIDATED($H$20,$H792),IF(_xll.TM1RPTELLEV($H$20,$H792)&lt;=5,_xll.TM1RPTELLEV($H$20,$H792),"Default"),"Leaf")</f>
        <v>Leaf</v>
      </c>
      <c r="C792" s="26" t="s">
        <v>13</v>
      </c>
      <c r="D792" s="24" t="str">
        <f>_xll.DBRW("TM1-S1_DEV:}ElementAttributes_SP_SKU",$F792,D$1)</f>
        <v>Secondary</v>
      </c>
      <c r="E792" s="24" t="str">
        <f>_xll.DBRW("TM1-S1_DEV:}ElementAttributes_SP_SKU",$F792,E$1)</f>
        <v>CONTAINER</v>
      </c>
      <c r="F792" s="26" t="s">
        <v>158</v>
      </c>
      <c r="G792" s="26" t="s">
        <v>1093</v>
      </c>
      <c r="H792" s="26" t="s">
        <v>2779</v>
      </c>
      <c r="I792" s="54">
        <f>_xll.DBRW($A$1,$F$14,$F$15,$C792,$A$2,$F792,$G792,$H792,I$1)</f>
        <v>94</v>
      </c>
      <c r="J792" s="25">
        <f>_xll.DBRW($A$1,$F$14,$F$15,$C792,$A$2,$F792,$G792,$H792,J$19)</f>
        <v>158</v>
      </c>
    </row>
    <row r="793" spans="1:10" s="23" customFormat="1" outlineLevel="1" thickBot="1" x14ac:dyDescent="0.3">
      <c r="A793" s="44"/>
      <c r="B793" s="31" t="str">
        <f>IF(_xll.TM1RPTELISCONSOLIDATED($H$20,$H793),IF(_xll.TM1RPTELLEV($H$20,$H793)&lt;=5,_xll.TM1RPTELLEV($H$20,$H793),"Default"),"Leaf")</f>
        <v>Leaf</v>
      </c>
      <c r="C793" s="26" t="s">
        <v>13</v>
      </c>
      <c r="D793" s="24" t="str">
        <f>_xll.DBRW("TM1-S1_DEV:}ElementAttributes_SP_SKU",$F793,D$1)</f>
        <v>Secondary</v>
      </c>
      <c r="E793" s="24" t="str">
        <f>_xll.DBRW("TM1-S1_DEV:}ElementAttributes_SP_SKU",$F793,E$1)</f>
        <v>GLOVES</v>
      </c>
      <c r="F793" s="26" t="s">
        <v>159</v>
      </c>
      <c r="G793" s="26" t="s">
        <v>1094</v>
      </c>
      <c r="H793" s="26" t="s">
        <v>2780</v>
      </c>
      <c r="I793" s="54">
        <f>_xll.DBRW($A$1,$F$14,$F$15,$C793,$A$2,$F793,$G793,$H793,I$1)</f>
        <v>961</v>
      </c>
      <c r="J793" s="25">
        <f>_xll.DBRW($A$1,$F$14,$F$15,$C793,$A$2,$F793,$G793,$H793,J$19)</f>
        <v>961</v>
      </c>
    </row>
    <row r="794" spans="1:10" s="23" customFormat="1" outlineLevel="1" thickBot="1" x14ac:dyDescent="0.3">
      <c r="A794" s="44"/>
      <c r="B794" s="31" t="str">
        <f>IF(_xll.TM1RPTELISCONSOLIDATED($H$20,$H794),IF(_xll.TM1RPTELLEV($H$20,$H794)&lt;=5,_xll.TM1RPTELLEV($H$20,$H794),"Default"),"Leaf")</f>
        <v>Leaf</v>
      </c>
      <c r="C794" s="26" t="s">
        <v>13</v>
      </c>
      <c r="D794" s="24" t="str">
        <f>_xll.DBRW("TM1-S1_DEV:}ElementAttributes_SP_SKU",$F794,D$1)</f>
        <v>Secondary</v>
      </c>
      <c r="E794" s="24" t="str">
        <f>_xll.DBRW("TM1-S1_DEV:}ElementAttributes_SP_SKU",$F794,E$1)</f>
        <v>PRODUCE</v>
      </c>
      <c r="F794" s="26" t="s">
        <v>268</v>
      </c>
      <c r="G794" s="26" t="s">
        <v>1254</v>
      </c>
      <c r="H794" s="26" t="s">
        <v>2823</v>
      </c>
      <c r="I794" s="54">
        <f>_xll.DBRW($A$1,$F$14,$F$15,$C794,$A$2,$F794,$G794,$H794,I$1)</f>
        <v>20</v>
      </c>
      <c r="J794" s="25">
        <f>_xll.DBRW($A$1,$F$14,$F$15,$C794,$A$2,$F794,$G794,$H794,J$19)</f>
        <v>65</v>
      </c>
    </row>
    <row r="795" spans="1:10" s="23" customFormat="1" outlineLevel="1" thickBot="1" x14ac:dyDescent="0.3">
      <c r="A795" s="44"/>
      <c r="B795" s="31" t="str">
        <f>IF(_xll.TM1RPTELISCONSOLIDATED($H$20,$H795),IF(_xll.TM1RPTELLEV($H$20,$H795)&lt;=5,_xll.TM1RPTELLEV($H$20,$H795),"Default"),"Leaf")</f>
        <v>Leaf</v>
      </c>
      <c r="C795" s="26" t="s">
        <v>13</v>
      </c>
      <c r="D795" s="24" t="str">
        <f>_xll.DBRW("TM1-S1_DEV:}ElementAttributes_SP_SKU",$F795,D$1)</f>
        <v>Secondary</v>
      </c>
      <c r="E795" s="24" t="str">
        <f>_xll.DBRW("TM1-S1_DEV:}ElementAttributes_SP_SKU",$F795,E$1)</f>
        <v>CUP</v>
      </c>
      <c r="F795" s="26" t="s">
        <v>160</v>
      </c>
      <c r="G795" s="26" t="s">
        <v>1095</v>
      </c>
      <c r="H795" s="26" t="s">
        <v>2781</v>
      </c>
      <c r="I795" s="54">
        <f>_xll.DBRW($A$1,$F$14,$F$15,$C795,$A$2,$F795,$G795,$H795,I$1)</f>
        <v>263</v>
      </c>
      <c r="J795" s="25">
        <f>_xll.DBRW($A$1,$F$14,$F$15,$C795,$A$2,$F795,$G795,$H795,J$19)</f>
        <v>467</v>
      </c>
    </row>
    <row r="796" spans="1:10" s="23" customFormat="1" outlineLevel="1" thickBot="1" x14ac:dyDescent="0.3">
      <c r="A796" s="44"/>
      <c r="B796" s="31" t="str">
        <f>IF(_xll.TM1RPTELISCONSOLIDATED($H$20,$H796),IF(_xll.TM1RPTELLEV($H$20,$H796)&lt;=5,_xll.TM1RPTELLEV($H$20,$H796),"Default"),"Leaf")</f>
        <v>Leaf</v>
      </c>
      <c r="C796" s="26" t="s">
        <v>13</v>
      </c>
      <c r="D796" s="24" t="str">
        <f>_xll.DBRW("TM1-S1_DEV:}ElementAttributes_SP_SKU",$F796,D$1)</f>
        <v>Secondary</v>
      </c>
      <c r="E796" s="24" t="str">
        <f>_xll.DBRW("TM1-S1_DEV:}ElementAttributes_SP_SKU",$F796,E$1)</f>
        <v>INGREDIENT</v>
      </c>
      <c r="F796" s="26" t="s">
        <v>161</v>
      </c>
      <c r="G796" s="26" t="s">
        <v>1096</v>
      </c>
      <c r="H796" s="26" t="s">
        <v>2782</v>
      </c>
      <c r="I796" s="54">
        <f>_xll.DBRW($A$1,$F$14,$F$15,$C796,$A$2,$F796,$G796,$H796,I$1)</f>
        <v>151</v>
      </c>
      <c r="J796" s="25">
        <f>_xll.DBRW($A$1,$F$14,$F$15,$C796,$A$2,$F796,$G796,$H796,J$19)</f>
        <v>151</v>
      </c>
    </row>
    <row r="797" spans="1:10" s="23" customFormat="1" outlineLevel="1" thickBot="1" x14ac:dyDescent="0.3">
      <c r="A797" s="44"/>
      <c r="B797" s="31" t="str">
        <f>IF(_xll.TM1RPTELISCONSOLIDATED($H$20,$H797),IF(_xll.TM1RPTELLEV($H$20,$H797)&lt;=5,_xll.TM1RPTELLEV($H$20,$H797),"Default"),"Leaf")</f>
        <v>Leaf</v>
      </c>
      <c r="C797" s="26" t="s">
        <v>13</v>
      </c>
      <c r="D797" s="24" t="str">
        <f>_xll.DBRW("TM1-S1_DEV:}ElementAttributes_SP_SKU",$F797,D$1)</f>
        <v>Secondary</v>
      </c>
      <c r="E797" s="24" t="str">
        <f>_xll.DBRW("TM1-S1_DEV:}ElementAttributes_SP_SKU",$F797,E$1)</f>
        <v>CHEMICAL</v>
      </c>
      <c r="F797" s="26" t="s">
        <v>162</v>
      </c>
      <c r="G797" s="26" t="s">
        <v>1097</v>
      </c>
      <c r="H797" s="26" t="s">
        <v>2783</v>
      </c>
      <c r="I797" s="54">
        <f>_xll.DBRW($A$1,$F$14,$F$15,$C797,$A$2,$F797,$G797,$H797,I$1)</f>
        <v>852</v>
      </c>
      <c r="J797" s="25">
        <f>_xll.DBRW($A$1,$F$14,$F$15,$C797,$A$2,$F797,$G797,$H797,J$19)</f>
        <v>852</v>
      </c>
    </row>
    <row r="798" spans="1:10" s="23" customFormat="1" outlineLevel="1" thickBot="1" x14ac:dyDescent="0.3">
      <c r="A798" s="44"/>
      <c r="B798" s="31" t="str">
        <f>IF(_xll.TM1RPTELISCONSOLIDATED($H$20,$H798),IF(_xll.TM1RPTELLEV($H$20,$H798)&lt;=5,_xll.TM1RPTELLEV($H$20,$H798),"Default"),"Leaf")</f>
        <v>Leaf</v>
      </c>
      <c r="C798" s="26" t="s">
        <v>13</v>
      </c>
      <c r="D798" s="24" t="str">
        <f>_xll.DBRW("TM1-S1_DEV:}ElementAttributes_SP_SKU",$F798,D$1)</f>
        <v>Secondary</v>
      </c>
      <c r="E798" s="24" t="str">
        <f>_xll.DBRW("TM1-S1_DEV:}ElementAttributes_SP_SKU",$F798,E$1)</f>
        <v>CONTAINER</v>
      </c>
      <c r="F798" s="26" t="s">
        <v>269</v>
      </c>
      <c r="G798" s="26" t="s">
        <v>1245</v>
      </c>
      <c r="H798" s="26" t="s">
        <v>2789</v>
      </c>
      <c r="I798" s="54">
        <f>_xll.DBRW($A$1,$F$14,$F$15,$C798,$A$2,$F798,$G798,$H798,I$1)</f>
        <v>30</v>
      </c>
      <c r="J798" s="25">
        <f>_xll.DBRW($A$1,$F$14,$F$15,$C798,$A$2,$F798,$G798,$H798,J$19)</f>
        <v>30</v>
      </c>
    </row>
    <row r="799" spans="1:10" s="23" customFormat="1" outlineLevel="1" thickBot="1" x14ac:dyDescent="0.3">
      <c r="A799" s="44"/>
      <c r="B799" s="31" t="str">
        <f>IF(_xll.TM1RPTELISCONSOLIDATED($H$20,$H799),IF(_xll.TM1RPTELLEV($H$20,$H799)&lt;=5,_xll.TM1RPTELLEV($H$20,$H799),"Default"),"Leaf")</f>
        <v>Leaf</v>
      </c>
      <c r="C799" s="26" t="s">
        <v>13</v>
      </c>
      <c r="D799" s="24" t="str">
        <f>_xll.DBRW("TM1-S1_DEV:}ElementAttributes_SP_SKU",$F799,D$1)</f>
        <v>Secondary</v>
      </c>
      <c r="E799" s="24" t="str">
        <f>_xll.DBRW("TM1-S1_DEV:}ElementAttributes_SP_SKU",$F799,E$1)</f>
        <v>DRINKS</v>
      </c>
      <c r="F799" s="26" t="s">
        <v>163</v>
      </c>
      <c r="G799" s="26" t="s">
        <v>1098</v>
      </c>
      <c r="H799" s="26" t="s">
        <v>2746</v>
      </c>
      <c r="I799" s="54">
        <f>_xll.DBRW($A$1,$F$14,$F$15,$C799,$A$2,$F799,$G799,$H799,I$1)</f>
        <v>501</v>
      </c>
      <c r="J799" s="25">
        <f>_xll.DBRW($A$1,$F$14,$F$15,$C799,$A$2,$F799,$G799,$H799,J$19)</f>
        <v>501</v>
      </c>
    </row>
    <row r="800" spans="1:10" s="23" customFormat="1" outlineLevel="1" thickBot="1" x14ac:dyDescent="0.3">
      <c r="A800" s="44"/>
      <c r="B800" s="31" t="str">
        <f>IF(_xll.TM1RPTELISCONSOLIDATED($H$20,$H800),IF(_xll.TM1RPTELLEV($H$20,$H800)&lt;=5,_xll.TM1RPTELLEV($H$20,$H800),"Default"),"Leaf")</f>
        <v>Leaf</v>
      </c>
      <c r="C800" s="26" t="s">
        <v>13</v>
      </c>
      <c r="D800" s="24" t="str">
        <f>_xll.DBRW("TM1-S1_DEV:}ElementAttributes_SP_SKU",$F800,D$1)</f>
        <v>Secondary</v>
      </c>
      <c r="E800" s="24" t="str">
        <f>_xll.DBRW("TM1-S1_DEV:}ElementAttributes_SP_SKU",$F800,E$1)</f>
        <v>CHEESE</v>
      </c>
      <c r="F800" s="26" t="s">
        <v>164</v>
      </c>
      <c r="G800" s="26" t="s">
        <v>1099</v>
      </c>
      <c r="H800" s="26" t="s">
        <v>2784</v>
      </c>
      <c r="I800" s="54">
        <f>_xll.DBRW($A$1,$F$14,$F$15,$C800,$A$2,$F800,$G800,$H800,I$1)</f>
        <v>530</v>
      </c>
      <c r="J800" s="25">
        <f>_xll.DBRW($A$1,$F$14,$F$15,$C800,$A$2,$F800,$G800,$H800,J$19)</f>
        <v>530</v>
      </c>
    </row>
    <row r="801" spans="1:10" s="23" customFormat="1" outlineLevel="1" thickBot="1" x14ac:dyDescent="0.3">
      <c r="A801" s="44"/>
      <c r="B801" s="31" t="str">
        <f>IF(_xll.TM1RPTELISCONSOLIDATED($H$20,$H801),IF(_xll.TM1RPTELLEV($H$20,$H801)&lt;=5,_xll.TM1RPTELLEV($H$20,$H801),"Default"),"Leaf")</f>
        <v>Leaf</v>
      </c>
      <c r="C801" s="26" t="s">
        <v>13</v>
      </c>
      <c r="D801" s="24" t="str">
        <f>_xll.DBRW("TM1-S1_DEV:}ElementAttributes_SP_SKU",$F801,D$1)</f>
        <v>Secondary</v>
      </c>
      <c r="E801" s="24" t="str">
        <f>_xll.DBRW("TM1-S1_DEV:}ElementAttributes_SP_SKU",$F801,E$1)</f>
        <v>GAS</v>
      </c>
      <c r="F801" s="26" t="s">
        <v>271</v>
      </c>
      <c r="G801" s="26" t="s">
        <v>1256</v>
      </c>
      <c r="H801" s="26" t="s">
        <v>2746</v>
      </c>
      <c r="I801" s="54">
        <f>_xll.DBRW($A$1,$F$14,$F$15,$C801,$A$2,$F801,$G801,$H801,I$1)</f>
        <v>55</v>
      </c>
      <c r="J801" s="25">
        <f>_xll.DBRW($A$1,$F$14,$F$15,$C801,$A$2,$F801,$G801,$H801,J$19)</f>
        <v>55</v>
      </c>
    </row>
    <row r="802" spans="1:10" s="23" customFormat="1" outlineLevel="1" thickBot="1" x14ac:dyDescent="0.3">
      <c r="A802" s="44"/>
      <c r="B802" s="31" t="str">
        <f>IF(_xll.TM1RPTELISCONSOLIDATED($H$20,$H802),IF(_xll.TM1RPTELLEV($H$20,$H802)&lt;=5,_xll.TM1RPTELLEV($H$20,$H802),"Default"),"Leaf")</f>
        <v>Leaf</v>
      </c>
      <c r="C802" s="26" t="s">
        <v>13</v>
      </c>
      <c r="D802" s="24" t="str">
        <f>_xll.DBRW("TM1-S1_DEV:}ElementAttributes_SP_SKU",$F802,D$1)</f>
        <v>Secondary</v>
      </c>
      <c r="E802" s="24" t="str">
        <f>_xll.DBRW("TM1-S1_DEV:}ElementAttributes_SP_SKU",$F802,E$1)</f>
        <v>PRODUCE</v>
      </c>
      <c r="F802" s="26" t="s">
        <v>165</v>
      </c>
      <c r="G802" s="26" t="s">
        <v>1100</v>
      </c>
      <c r="H802" s="26" t="s">
        <v>2785</v>
      </c>
      <c r="I802" s="54">
        <f>_xll.DBRW($A$1,$F$14,$F$15,$C802,$A$2,$F802,$G802,$H802,I$1)</f>
        <v>18</v>
      </c>
      <c r="J802" s="25">
        <f>_xll.DBRW($A$1,$F$14,$F$15,$C802,$A$2,$F802,$G802,$H802,J$19)</f>
        <v>18</v>
      </c>
    </row>
    <row r="803" spans="1:10" s="23" customFormat="1" outlineLevel="1" thickBot="1" x14ac:dyDescent="0.3">
      <c r="A803" s="44"/>
      <c r="B803" s="31" t="str">
        <f>IF(_xll.TM1RPTELISCONSOLIDATED($H$20,$H803),IF(_xll.TM1RPTELLEV($H$20,$H803)&lt;=5,_xll.TM1RPTELLEV($H$20,$H803),"Default"),"Leaf")</f>
        <v>Leaf</v>
      </c>
      <c r="C803" s="26" t="s">
        <v>13</v>
      </c>
      <c r="D803" s="24" t="str">
        <f>_xll.DBRW("TM1-S1_DEV:}ElementAttributes_SP_SKU",$F803,D$1)</f>
        <v>Secondary</v>
      </c>
      <c r="E803" s="24" t="str">
        <f>_xll.DBRW("TM1-S1_DEV:}ElementAttributes_SP_SKU",$F803,E$1)</f>
        <v>CHEMICAL</v>
      </c>
      <c r="F803" s="26" t="s">
        <v>272</v>
      </c>
      <c r="G803" s="26" t="s">
        <v>1257</v>
      </c>
      <c r="H803" s="26" t="s">
        <v>2824</v>
      </c>
      <c r="I803" s="54">
        <f>_xll.DBRW($A$1,$F$14,$F$15,$C803,$A$2,$F803,$G803,$H803,I$1)</f>
        <v>79</v>
      </c>
      <c r="J803" s="25">
        <f>_xll.DBRW($A$1,$F$14,$F$15,$C803,$A$2,$F803,$G803,$H803,J$19)</f>
        <v>79</v>
      </c>
    </row>
    <row r="804" spans="1:10" s="23" customFormat="1" outlineLevel="1" thickBot="1" x14ac:dyDescent="0.3">
      <c r="A804" s="44"/>
      <c r="B804" s="31" t="str">
        <f>IF(_xll.TM1RPTELISCONSOLIDATED($H$20,$H804),IF(_xll.TM1RPTELLEV($H$20,$H804)&lt;=5,_xll.TM1RPTELLEV($H$20,$H804),"Default"),"Leaf")</f>
        <v>Leaf</v>
      </c>
      <c r="C804" s="26" t="s">
        <v>13</v>
      </c>
      <c r="D804" s="24" t="str">
        <f>_xll.DBRW("TM1-S1_DEV:}ElementAttributes_SP_SKU",$F804,D$1)</f>
        <v>Secondary</v>
      </c>
      <c r="E804" s="24" t="str">
        <f>_xll.DBRW("TM1-S1_DEV:}ElementAttributes_SP_SKU",$F804,E$1)</f>
        <v>CONTAINER</v>
      </c>
      <c r="F804" s="26" t="s">
        <v>273</v>
      </c>
      <c r="G804" s="26" t="s">
        <v>1258</v>
      </c>
      <c r="H804" s="26" t="s">
        <v>2758</v>
      </c>
      <c r="I804" s="54">
        <f>_xll.DBRW($A$1,$F$14,$F$15,$C804,$A$2,$F804,$G804,$H804,I$1)</f>
        <v>21</v>
      </c>
      <c r="J804" s="25">
        <f>_xll.DBRW($A$1,$F$14,$F$15,$C804,$A$2,$F804,$G804,$H804,J$19)</f>
        <v>21</v>
      </c>
    </row>
    <row r="805" spans="1:10" s="23" customFormat="1" outlineLevel="1" thickBot="1" x14ac:dyDescent="0.3">
      <c r="A805" s="44"/>
      <c r="B805" s="31" t="str">
        <f>IF(_xll.TM1RPTELISCONSOLIDATED($H$20,$H805),IF(_xll.TM1RPTELLEV($H$20,$H805)&lt;=5,_xll.TM1RPTELLEV($H$20,$H805),"Default"),"Leaf")</f>
        <v>Leaf</v>
      </c>
      <c r="C805" s="26" t="s">
        <v>13</v>
      </c>
      <c r="D805" s="24" t="str">
        <f>_xll.DBRW("TM1-S1_DEV:}ElementAttributes_SP_SKU",$F805,D$1)</f>
        <v>Secondary</v>
      </c>
      <c r="E805" s="24" t="str">
        <f>_xll.DBRW("TM1-S1_DEV:}ElementAttributes_SP_SKU",$F805,E$1)</f>
        <v>CONTAINER</v>
      </c>
      <c r="F805" s="26" t="s">
        <v>274</v>
      </c>
      <c r="G805" s="26" t="s">
        <v>1259</v>
      </c>
      <c r="H805" s="26" t="s">
        <v>2787</v>
      </c>
      <c r="I805" s="54">
        <f>_xll.DBRW($A$1,$F$14,$F$15,$C805,$A$2,$F805,$G805,$H805,I$1)</f>
        <v>37</v>
      </c>
      <c r="J805" s="25">
        <f>_xll.DBRW($A$1,$F$14,$F$15,$C805,$A$2,$F805,$G805,$H805,J$19)</f>
        <v>37</v>
      </c>
    </row>
    <row r="806" spans="1:10" s="23" customFormat="1" outlineLevel="1" thickBot="1" x14ac:dyDescent="0.3">
      <c r="A806" s="44"/>
      <c r="B806" s="31" t="str">
        <f>IF(_xll.TM1RPTELISCONSOLIDATED($H$20,$H806),IF(_xll.TM1RPTELLEV($H$20,$H806)&lt;=5,_xll.TM1RPTELLEV($H$20,$H806),"Default"),"Leaf")</f>
        <v>Leaf</v>
      </c>
      <c r="C806" s="26" t="s">
        <v>13</v>
      </c>
      <c r="D806" s="24" t="str">
        <f>_xll.DBRW("TM1-S1_DEV:}ElementAttributes_SP_SKU",$F806,D$1)</f>
        <v>Secondary</v>
      </c>
      <c r="E806" s="24" t="str">
        <f>_xll.DBRW("TM1-S1_DEV:}ElementAttributes_SP_SKU",$F806,E$1)</f>
        <v>DRINKS</v>
      </c>
      <c r="F806" s="26" t="s">
        <v>166</v>
      </c>
      <c r="G806" s="26" t="s">
        <v>1101</v>
      </c>
      <c r="H806" s="26" t="s">
        <v>2746</v>
      </c>
      <c r="I806" s="54">
        <f>_xll.DBRW($A$1,$F$14,$F$15,$C806,$A$2,$F806,$G806,$H806,I$1)</f>
        <v>42</v>
      </c>
      <c r="J806" s="25">
        <f>_xll.DBRW($A$1,$F$14,$F$15,$C806,$A$2,$F806,$G806,$H806,J$19)</f>
        <v>82</v>
      </c>
    </row>
    <row r="807" spans="1:10" s="23" customFormat="1" outlineLevel="1" thickBot="1" x14ac:dyDescent="0.3">
      <c r="A807" s="44"/>
      <c r="B807" s="31" t="str">
        <f>IF(_xll.TM1RPTELISCONSOLIDATED($H$20,$H807),IF(_xll.TM1RPTELLEV($H$20,$H807)&lt;=5,_xll.TM1RPTELLEV($H$20,$H807),"Default"),"Leaf")</f>
        <v>Leaf</v>
      </c>
      <c r="C807" s="26" t="s">
        <v>13</v>
      </c>
      <c r="D807" s="24" t="str">
        <f>_xll.DBRW("TM1-S1_DEV:}ElementAttributes_SP_SKU",$F807,D$1)</f>
        <v>Secondary</v>
      </c>
      <c r="E807" s="24" t="str">
        <f>_xll.DBRW("TM1-S1_DEV:}ElementAttributes_SP_SKU",$F807,E$1)</f>
        <v>CHEMICAL</v>
      </c>
      <c r="F807" s="26" t="s">
        <v>275</v>
      </c>
      <c r="G807" s="26" t="s">
        <v>1260</v>
      </c>
      <c r="H807" s="26" t="s">
        <v>2783</v>
      </c>
      <c r="I807" s="54">
        <f>_xll.DBRW($A$1,$F$14,$F$15,$C807,$A$2,$F807,$G807,$H807,I$1)</f>
        <v>99</v>
      </c>
      <c r="J807" s="25">
        <f>_xll.DBRW($A$1,$F$14,$F$15,$C807,$A$2,$F807,$G807,$H807,J$19)</f>
        <v>99</v>
      </c>
    </row>
    <row r="808" spans="1:10" s="23" customFormat="1" outlineLevel="1" thickBot="1" x14ac:dyDescent="0.3">
      <c r="A808" s="44"/>
      <c r="B808" s="31" t="str">
        <f>IF(_xll.TM1RPTELISCONSOLIDATED($H$20,$H808),IF(_xll.TM1RPTELLEV($H$20,$H808)&lt;=5,_xll.TM1RPTELLEV($H$20,$H808),"Default"),"Leaf")</f>
        <v>Leaf</v>
      </c>
      <c r="C808" s="26" t="s">
        <v>13</v>
      </c>
      <c r="D808" s="24" t="str">
        <f>_xll.DBRW("TM1-S1_DEV:}ElementAttributes_SP_SKU",$F808,D$1)</f>
        <v>Secondary</v>
      </c>
      <c r="E808" s="24" t="str">
        <f>_xll.DBRW("TM1-S1_DEV:}ElementAttributes_SP_SKU",$F808,E$1)</f>
        <v>PAPER</v>
      </c>
      <c r="F808" s="26" t="s">
        <v>167</v>
      </c>
      <c r="G808" s="26" t="s">
        <v>1102</v>
      </c>
      <c r="H808" s="26" t="s">
        <v>2761</v>
      </c>
      <c r="I808" s="54">
        <f>_xll.DBRW($A$1,$F$14,$F$15,$C808,$A$2,$F808,$G808,$H808,I$1)</f>
        <v>91</v>
      </c>
      <c r="J808" s="25">
        <f>_xll.DBRW($A$1,$F$14,$F$15,$C808,$A$2,$F808,$G808,$H808,J$19)</f>
        <v>171</v>
      </c>
    </row>
    <row r="809" spans="1:10" s="23" customFormat="1" outlineLevel="1" thickBot="1" x14ac:dyDescent="0.3">
      <c r="A809" s="44"/>
      <c r="B809" s="31" t="str">
        <f>IF(_xll.TM1RPTELISCONSOLIDATED($H$20,$H809),IF(_xll.TM1RPTELLEV($H$20,$H809)&lt;=5,_xll.TM1RPTELLEV($H$20,$H809),"Default"),"Leaf")</f>
        <v>Leaf</v>
      </c>
      <c r="C809" s="26" t="s">
        <v>13</v>
      </c>
      <c r="D809" s="24" t="str">
        <f>_xll.DBRW("TM1-S1_DEV:}ElementAttributes_SP_SKU",$F809,D$1)</f>
        <v>Secondary</v>
      </c>
      <c r="E809" s="24" t="str">
        <f>_xll.DBRW("TM1-S1_DEV:}ElementAttributes_SP_SKU",$F809,E$1)</f>
        <v>DRINKS</v>
      </c>
      <c r="F809" s="26" t="s">
        <v>276</v>
      </c>
      <c r="G809" s="26" t="s">
        <v>1261</v>
      </c>
      <c r="H809" s="26" t="s">
        <v>2746</v>
      </c>
      <c r="I809" s="54">
        <f>_xll.DBRW($A$1,$F$14,$F$15,$C809,$A$2,$F809,$G809,$H809,I$1)</f>
        <v>26</v>
      </c>
      <c r="J809" s="25">
        <f>_xll.DBRW($A$1,$F$14,$F$15,$C809,$A$2,$F809,$G809,$H809,J$19)</f>
        <v>26</v>
      </c>
    </row>
    <row r="810" spans="1:10" s="23" customFormat="1" outlineLevel="1" thickBot="1" x14ac:dyDescent="0.3">
      <c r="A810" s="44"/>
      <c r="B810" s="31" t="str">
        <f>IF(_xll.TM1RPTELISCONSOLIDATED($H$20,$H810),IF(_xll.TM1RPTELLEV($H$20,$H810)&lt;=5,_xll.TM1RPTELLEV($H$20,$H810),"Default"),"Leaf")</f>
        <v>Leaf</v>
      </c>
      <c r="C810" s="26" t="s">
        <v>13</v>
      </c>
      <c r="D810" s="24" t="str">
        <f>_xll.DBRW("TM1-S1_DEV:}ElementAttributes_SP_SKU",$F810,D$1)</f>
        <v>Secondary</v>
      </c>
      <c r="E810" s="24" t="str">
        <f>_xll.DBRW("TM1-S1_DEV:}ElementAttributes_SP_SKU",$F810,E$1)</f>
        <v>LABEL</v>
      </c>
      <c r="F810" s="26" t="s">
        <v>168</v>
      </c>
      <c r="G810" s="26" t="s">
        <v>1103</v>
      </c>
      <c r="H810" s="26" t="s">
        <v>2763</v>
      </c>
      <c r="I810" s="54">
        <f>_xll.DBRW($A$1,$F$14,$F$15,$C810,$A$2,$F810,$G810,$H810,I$1)</f>
        <v>761</v>
      </c>
      <c r="J810" s="25">
        <f>_xll.DBRW($A$1,$F$14,$F$15,$C810,$A$2,$F810,$G810,$H810,J$19)</f>
        <v>761</v>
      </c>
    </row>
    <row r="811" spans="1:10" s="23" customFormat="1" outlineLevel="1" thickBot="1" x14ac:dyDescent="0.3">
      <c r="A811" s="44"/>
      <c r="B811" s="31" t="str">
        <f>IF(_xll.TM1RPTELISCONSOLIDATED($H$20,$H811),IF(_xll.TM1RPTELLEV($H$20,$H811)&lt;=5,_xll.TM1RPTELLEV($H$20,$H811),"Default"),"Leaf")</f>
        <v>Leaf</v>
      </c>
      <c r="C811" s="26" t="s">
        <v>13</v>
      </c>
      <c r="D811" s="24" t="str">
        <f>_xll.DBRW("TM1-S1_DEV:}ElementAttributes_SP_SKU",$F811,D$1)</f>
        <v>Secondary</v>
      </c>
      <c r="E811" s="24" t="str">
        <f>_xll.DBRW("TM1-S1_DEV:}ElementAttributes_SP_SKU",$F811,E$1)</f>
        <v>CHEESE</v>
      </c>
      <c r="F811" s="26" t="s">
        <v>169</v>
      </c>
      <c r="G811" s="26" t="s">
        <v>1104</v>
      </c>
      <c r="H811" s="26" t="s">
        <v>2784</v>
      </c>
      <c r="I811" s="54">
        <f>_xll.DBRW($A$1,$F$14,$F$15,$C811,$A$2,$F811,$G811,$H811,I$1)</f>
        <v>191</v>
      </c>
      <c r="J811" s="25">
        <f>_xll.DBRW($A$1,$F$14,$F$15,$C811,$A$2,$F811,$G811,$H811,J$19)</f>
        <v>407</v>
      </c>
    </row>
    <row r="812" spans="1:10" s="23" customFormat="1" outlineLevel="1" thickBot="1" x14ac:dyDescent="0.3">
      <c r="A812" s="44"/>
      <c r="B812" s="31" t="str">
        <f>IF(_xll.TM1RPTELISCONSOLIDATED($H$20,$H812),IF(_xll.TM1RPTELLEV($H$20,$H812)&lt;=5,_xll.TM1RPTELLEV($H$20,$H812),"Default"),"Leaf")</f>
        <v>Leaf</v>
      </c>
      <c r="C812" s="26" t="s">
        <v>13</v>
      </c>
      <c r="D812" s="24" t="str">
        <f>_xll.DBRW("TM1-S1_DEV:}ElementAttributes_SP_SKU",$F812,D$1)</f>
        <v>Secondary</v>
      </c>
      <c r="E812" s="24" t="str">
        <f>_xll.DBRW("TM1-S1_DEV:}ElementAttributes_SP_SKU",$F812,E$1)</f>
        <v>DRINKS</v>
      </c>
      <c r="F812" s="26" t="s">
        <v>277</v>
      </c>
      <c r="G812" s="26" t="s">
        <v>1262</v>
      </c>
      <c r="H812" s="26" t="s">
        <v>2746</v>
      </c>
      <c r="I812" s="54">
        <f>_xll.DBRW($A$1,$F$14,$F$15,$C812,$A$2,$F812,$G812,$H812,I$1)</f>
        <v>48</v>
      </c>
      <c r="J812" s="25">
        <f>_xll.DBRW($A$1,$F$14,$F$15,$C812,$A$2,$F812,$G812,$H812,J$19)</f>
        <v>48</v>
      </c>
    </row>
    <row r="813" spans="1:10" s="23" customFormat="1" outlineLevel="1" thickBot="1" x14ac:dyDescent="0.3">
      <c r="A813" s="44"/>
      <c r="B813" s="31" t="str">
        <f>IF(_xll.TM1RPTELISCONSOLIDATED($H$20,$H813),IF(_xll.TM1RPTELLEV($H$20,$H813)&lt;=5,_xll.TM1RPTELLEV($H$20,$H813),"Default"),"Leaf")</f>
        <v>Leaf</v>
      </c>
      <c r="C813" s="26" t="s">
        <v>13</v>
      </c>
      <c r="D813" s="24" t="str">
        <f>_xll.DBRW("TM1-S1_DEV:}ElementAttributes_SP_SKU",$F813,D$1)</f>
        <v>Secondary</v>
      </c>
      <c r="E813" s="24" t="str">
        <f>_xll.DBRW("TM1-S1_DEV:}ElementAttributes_SP_SKU",$F813,E$1)</f>
        <v>CLEANING</v>
      </c>
      <c r="F813" s="26" t="s">
        <v>278</v>
      </c>
      <c r="G813" s="26" t="s">
        <v>1263</v>
      </c>
      <c r="H813" s="26" t="s">
        <v>2803</v>
      </c>
      <c r="I813" s="54">
        <f>_xll.DBRW($A$1,$F$14,$F$15,$C813,$A$2,$F813,$G813,$H813,I$1)</f>
        <v>46</v>
      </c>
      <c r="J813" s="25">
        <f>_xll.DBRW($A$1,$F$14,$F$15,$C813,$A$2,$F813,$G813,$H813,J$19)</f>
        <v>46</v>
      </c>
    </row>
    <row r="814" spans="1:10" s="23" customFormat="1" outlineLevel="1" thickBot="1" x14ac:dyDescent="0.3">
      <c r="A814" s="44"/>
      <c r="B814" s="31" t="str">
        <f>IF(_xll.TM1RPTELISCONSOLIDATED($H$20,$H814),IF(_xll.TM1RPTELLEV($H$20,$H814)&lt;=5,_xll.TM1RPTELLEV($H$20,$H814),"Default"),"Leaf")</f>
        <v>Leaf</v>
      </c>
      <c r="C814" s="26" t="s">
        <v>13</v>
      </c>
      <c r="D814" s="24" t="str">
        <f>_xll.DBRW("TM1-S1_DEV:}ElementAttributes_SP_SKU",$F814,D$1)</f>
        <v>Secondary</v>
      </c>
      <c r="E814" s="24" t="str">
        <f>_xll.DBRW("TM1-S1_DEV:}ElementAttributes_SP_SKU",$F814,E$1)</f>
        <v>CLEANING</v>
      </c>
      <c r="F814" s="26" t="s">
        <v>279</v>
      </c>
      <c r="G814" s="26" t="s">
        <v>1264</v>
      </c>
      <c r="H814" s="26" t="s">
        <v>2825</v>
      </c>
      <c r="I814" s="54">
        <f>_xll.DBRW($A$1,$F$14,$F$15,$C814,$A$2,$F814,$G814,$H814,I$1)</f>
        <v>14</v>
      </c>
      <c r="J814" s="25">
        <f>_xll.DBRW($A$1,$F$14,$F$15,$C814,$A$2,$F814,$G814,$H814,J$19)</f>
        <v>14</v>
      </c>
    </row>
    <row r="815" spans="1:10" s="23" customFormat="1" outlineLevel="1" thickBot="1" x14ac:dyDescent="0.3">
      <c r="A815" s="44"/>
      <c r="B815" s="31" t="str">
        <f>IF(_xll.TM1RPTELISCONSOLIDATED($H$20,$H815),IF(_xll.TM1RPTELLEV($H$20,$H815)&lt;=5,_xll.TM1RPTELLEV($H$20,$H815),"Default"),"Leaf")</f>
        <v>Leaf</v>
      </c>
      <c r="C815" s="26" t="s">
        <v>13</v>
      </c>
      <c r="D815" s="24" t="str">
        <f>_xll.DBRW("TM1-S1_DEV:}ElementAttributes_SP_SKU",$F815,D$1)</f>
        <v>Secondary</v>
      </c>
      <c r="E815" s="24" t="str">
        <f>_xll.DBRW("TM1-S1_DEV:}ElementAttributes_SP_SKU",$F815,E$1)</f>
        <v>CLEANING</v>
      </c>
      <c r="F815" s="26" t="s">
        <v>170</v>
      </c>
      <c r="G815" s="26" t="s">
        <v>1105</v>
      </c>
      <c r="H815" s="26" t="s">
        <v>2786</v>
      </c>
      <c r="I815" s="54">
        <f>_xll.DBRW($A$1,$F$14,$F$15,$C815,$A$2,$F815,$G815,$H815,I$1)</f>
        <v>58</v>
      </c>
      <c r="J815" s="25">
        <f>_xll.DBRW($A$1,$F$14,$F$15,$C815,$A$2,$F815,$G815,$H815,J$19)</f>
        <v>58</v>
      </c>
    </row>
    <row r="816" spans="1:10" s="23" customFormat="1" outlineLevel="1" thickBot="1" x14ac:dyDescent="0.3">
      <c r="A816" s="44"/>
      <c r="B816" s="31" t="str">
        <f>IF(_xll.TM1RPTELISCONSOLIDATED($H$20,$H816),IF(_xll.TM1RPTELLEV($H$20,$H816)&lt;=5,_xll.TM1RPTELLEV($H$20,$H816),"Default"),"Leaf")</f>
        <v>Leaf</v>
      </c>
      <c r="C816" s="26" t="s">
        <v>13</v>
      </c>
      <c r="D816" s="24" t="str">
        <f>_xll.DBRW("TM1-S1_DEV:}ElementAttributes_SP_SKU",$F816,D$1)</f>
        <v>Secondary</v>
      </c>
      <c r="E816" s="24" t="str">
        <f>_xll.DBRW("TM1-S1_DEV:}ElementAttributes_SP_SKU",$F816,E$1)</f>
        <v>DRINKS</v>
      </c>
      <c r="F816" s="26" t="s">
        <v>280</v>
      </c>
      <c r="G816" s="26" t="s">
        <v>1265</v>
      </c>
      <c r="H816" s="26" t="s">
        <v>2746</v>
      </c>
      <c r="I816" s="54">
        <f>_xll.DBRW($A$1,$F$14,$F$15,$C816,$A$2,$F816,$G816,$H816,I$1)</f>
        <v>157</v>
      </c>
      <c r="J816" s="25">
        <f>_xll.DBRW($A$1,$F$14,$F$15,$C816,$A$2,$F816,$G816,$H816,J$19)</f>
        <v>157</v>
      </c>
    </row>
    <row r="817" spans="1:10" s="23" customFormat="1" outlineLevel="1" thickBot="1" x14ac:dyDescent="0.3">
      <c r="A817" s="44"/>
      <c r="B817" s="31" t="str">
        <f>IF(_xll.TM1RPTELISCONSOLIDATED($H$20,$H817),IF(_xll.TM1RPTELLEV($H$20,$H817)&lt;=5,_xll.TM1RPTELLEV($H$20,$H817),"Default"),"Leaf")</f>
        <v>Leaf</v>
      </c>
      <c r="C817" s="26" t="s">
        <v>13</v>
      </c>
      <c r="D817" s="24" t="str">
        <f>_xll.DBRW("TM1-S1_DEV:}ElementAttributes_SP_SKU",$F817,D$1)</f>
        <v>Secondary</v>
      </c>
      <c r="E817" s="24" t="str">
        <f>_xll.DBRW("TM1-S1_DEV:}ElementAttributes_SP_SKU",$F817,E$1)</f>
        <v>GLOVES</v>
      </c>
      <c r="F817" s="26" t="s">
        <v>171</v>
      </c>
      <c r="G817" s="26" t="s">
        <v>1106</v>
      </c>
      <c r="H817" s="26" t="s">
        <v>2780</v>
      </c>
      <c r="I817" s="54">
        <f>_xll.DBRW($A$1,$F$14,$F$15,$C817,$A$2,$F817,$G817,$H817,I$1)</f>
        <v>263</v>
      </c>
      <c r="J817" s="25">
        <f>_xll.DBRW($A$1,$F$14,$F$15,$C817,$A$2,$F817,$G817,$H817,J$19)</f>
        <v>263</v>
      </c>
    </row>
    <row r="818" spans="1:10" s="23" customFormat="1" outlineLevel="1" thickBot="1" x14ac:dyDescent="0.3">
      <c r="A818" s="44"/>
      <c r="B818" s="31" t="str">
        <f>IF(_xll.TM1RPTELISCONSOLIDATED($H$20,$H818),IF(_xll.TM1RPTELLEV($H$20,$H818)&lt;=5,_xll.TM1RPTELLEV($H$20,$H818),"Default"),"Leaf")</f>
        <v>Leaf</v>
      </c>
      <c r="C818" s="26" t="s">
        <v>13</v>
      </c>
      <c r="D818" s="24" t="str">
        <f>_xll.DBRW("TM1-S1_DEV:}ElementAttributes_SP_SKU",$F818,D$1)</f>
        <v>Secondary</v>
      </c>
      <c r="E818" s="24" t="str">
        <f>_xll.DBRW("TM1-S1_DEV:}ElementAttributes_SP_SKU",$F818,E$1)</f>
        <v>DRESSING</v>
      </c>
      <c r="F818" s="26" t="s">
        <v>172</v>
      </c>
      <c r="G818" s="26" t="s">
        <v>1107</v>
      </c>
      <c r="H818" s="26" t="s">
        <v>2720</v>
      </c>
      <c r="I818" s="54">
        <f>_xll.DBRW($A$1,$F$14,$F$15,$C818,$A$2,$F818,$G818,$H818,I$1)</f>
        <v>153</v>
      </c>
      <c r="J818" s="25">
        <f>_xll.DBRW($A$1,$F$14,$F$15,$C818,$A$2,$F818,$G818,$H818,J$19)</f>
        <v>537</v>
      </c>
    </row>
    <row r="819" spans="1:10" s="23" customFormat="1" outlineLevel="1" thickBot="1" x14ac:dyDescent="0.3">
      <c r="A819" s="44"/>
      <c r="B819" s="31" t="str">
        <f>IF(_xll.TM1RPTELISCONSOLIDATED($H$20,$H819),IF(_xll.TM1RPTELLEV($H$20,$H819)&lt;=5,_xll.TM1RPTELLEV($H$20,$H819),"Default"),"Leaf")</f>
        <v>Leaf</v>
      </c>
      <c r="C819" s="26" t="s">
        <v>13</v>
      </c>
      <c r="D819" s="24" t="str">
        <f>_xll.DBRW("TM1-S1_DEV:}ElementAttributes_SP_SKU",$F819,D$1)</f>
        <v>Secondary</v>
      </c>
      <c r="E819" s="24" t="str">
        <f>_xll.DBRW("TM1-S1_DEV:}ElementAttributes_SP_SKU",$F819,E$1)</f>
        <v>DRINKS</v>
      </c>
      <c r="F819" s="26" t="s">
        <v>173</v>
      </c>
      <c r="G819" s="26" t="s">
        <v>1108</v>
      </c>
      <c r="H819" s="26" t="s">
        <v>2746</v>
      </c>
      <c r="I819" s="54">
        <f>_xll.DBRW($A$1,$F$14,$F$15,$C819,$A$2,$F819,$G819,$H819,I$1)</f>
        <v>248</v>
      </c>
      <c r="J819" s="25">
        <f>_xll.DBRW($A$1,$F$14,$F$15,$C819,$A$2,$F819,$G819,$H819,J$19)</f>
        <v>398</v>
      </c>
    </row>
    <row r="820" spans="1:10" s="23" customFormat="1" outlineLevel="1" thickBot="1" x14ac:dyDescent="0.3">
      <c r="A820" s="44"/>
      <c r="B820" s="31" t="str">
        <f>IF(_xll.TM1RPTELISCONSOLIDATED($H$20,$H820),IF(_xll.TM1RPTELLEV($H$20,$H820)&lt;=5,_xll.TM1RPTELLEV($H$20,$H820),"Default"),"Leaf")</f>
        <v>Leaf</v>
      </c>
      <c r="C820" s="26" t="s">
        <v>13</v>
      </c>
      <c r="D820" s="24" t="str">
        <f>_xll.DBRW("TM1-S1_DEV:}ElementAttributes_SP_SKU",$F820,D$1)</f>
        <v>Secondary</v>
      </c>
      <c r="E820" s="24" t="str">
        <f>_xll.DBRW("TM1-S1_DEV:}ElementAttributes_SP_SKU",$F820,E$1)</f>
        <v>DRINKS</v>
      </c>
      <c r="F820" s="26" t="s">
        <v>281</v>
      </c>
      <c r="G820" s="26" t="s">
        <v>1266</v>
      </c>
      <c r="H820" s="26" t="s">
        <v>2826</v>
      </c>
      <c r="I820" s="54">
        <f>_xll.DBRW($A$1,$F$14,$F$15,$C820,$A$2,$F820,$G820,$H820,I$1)</f>
        <v>3096</v>
      </c>
      <c r="J820" s="25">
        <f>_xll.DBRW($A$1,$F$14,$F$15,$C820,$A$2,$F820,$G820,$H820,J$19)</f>
        <v>6288</v>
      </c>
    </row>
    <row r="821" spans="1:10" s="23" customFormat="1" outlineLevel="1" thickBot="1" x14ac:dyDescent="0.3">
      <c r="A821" s="44"/>
      <c r="B821" s="31" t="str">
        <f>IF(_xll.TM1RPTELISCONSOLIDATED($H$20,$H821),IF(_xll.TM1RPTELLEV($H$20,$H821)&lt;=5,_xll.TM1RPTELLEV($H$20,$H821),"Default"),"Leaf")</f>
        <v>Leaf</v>
      </c>
      <c r="C821" s="26" t="s">
        <v>13</v>
      </c>
      <c r="D821" s="24" t="str">
        <f>_xll.DBRW("TM1-S1_DEV:}ElementAttributes_SP_SKU",$F821,D$1)</f>
        <v>Secondary</v>
      </c>
      <c r="E821" s="24" t="str">
        <f>_xll.DBRW("TM1-S1_DEV:}ElementAttributes_SP_SKU",$F821,E$1)</f>
        <v>DRESSING</v>
      </c>
      <c r="F821" s="26" t="s">
        <v>174</v>
      </c>
      <c r="G821" s="26" t="s">
        <v>1109</v>
      </c>
      <c r="H821" s="26" t="s">
        <v>2720</v>
      </c>
      <c r="I821" s="54">
        <f>_xll.DBRW($A$1,$F$14,$F$15,$C821,$A$2,$F821,$G821,$H821,I$1)</f>
        <v>70</v>
      </c>
      <c r="J821" s="25">
        <f>_xll.DBRW($A$1,$F$14,$F$15,$C821,$A$2,$F821,$G821,$H821,J$19)</f>
        <v>70</v>
      </c>
    </row>
    <row r="822" spans="1:10" s="23" customFormat="1" outlineLevel="1" thickBot="1" x14ac:dyDescent="0.3">
      <c r="A822" s="44"/>
      <c r="B822" s="31" t="str">
        <f>IF(_xll.TM1RPTELISCONSOLIDATED($H$20,$H822),IF(_xll.TM1RPTELLEV($H$20,$H822)&lt;=5,_xll.TM1RPTELLEV($H$20,$H822),"Default"),"Leaf")</f>
        <v>Leaf</v>
      </c>
      <c r="C822" s="26" t="s">
        <v>13</v>
      </c>
      <c r="D822" s="24" t="str">
        <f>_xll.DBRW("TM1-S1_DEV:}ElementAttributes_SP_SKU",$F822,D$1)</f>
        <v>Secondary</v>
      </c>
      <c r="E822" s="24" t="str">
        <f>_xll.DBRW("TM1-S1_DEV:}ElementAttributes_SP_SKU",$F822,E$1)</f>
        <v>CONTAINER</v>
      </c>
      <c r="F822" s="26" t="s">
        <v>175</v>
      </c>
      <c r="G822" s="26" t="s">
        <v>1110</v>
      </c>
      <c r="H822" s="26" t="s">
        <v>2787</v>
      </c>
      <c r="I822" s="54">
        <f>_xll.DBRW($A$1,$F$14,$F$15,$C822,$A$2,$F822,$G822,$H822,I$1)</f>
        <v>8</v>
      </c>
      <c r="J822" s="25">
        <f>_xll.DBRW($A$1,$F$14,$F$15,$C822,$A$2,$F822,$G822,$H822,J$19)</f>
        <v>35</v>
      </c>
    </row>
    <row r="823" spans="1:10" s="23" customFormat="1" outlineLevel="1" thickBot="1" x14ac:dyDescent="0.3">
      <c r="A823" s="44"/>
      <c r="B823" s="31" t="str">
        <f>IF(_xll.TM1RPTELISCONSOLIDATED($H$20,$H823),IF(_xll.TM1RPTELLEV($H$20,$H823)&lt;=5,_xll.TM1RPTELLEV($H$20,$H823),"Default"),"Leaf")</f>
        <v>Leaf</v>
      </c>
      <c r="C823" s="26" t="s">
        <v>13</v>
      </c>
      <c r="D823" s="24" t="str">
        <f>_xll.DBRW("TM1-S1_DEV:}ElementAttributes_SP_SKU",$F823,D$1)</f>
        <v>Secondary</v>
      </c>
      <c r="E823" s="24" t="str">
        <f>_xll.DBRW("TM1-S1_DEV:}ElementAttributes_SP_SKU",$F823,E$1)</f>
        <v>UTENSIL</v>
      </c>
      <c r="F823" s="26" t="s">
        <v>176</v>
      </c>
      <c r="G823" s="26" t="s">
        <v>1111</v>
      </c>
      <c r="H823" s="26" t="s">
        <v>2788</v>
      </c>
      <c r="I823" s="54">
        <f>_xll.DBRW($A$1,$F$14,$F$15,$C823,$A$2,$F823,$G823,$H823,I$1)</f>
        <v>30</v>
      </c>
      <c r="J823" s="25">
        <f>_xll.DBRW($A$1,$F$14,$F$15,$C823,$A$2,$F823,$G823,$H823,J$19)</f>
        <v>30</v>
      </c>
    </row>
    <row r="824" spans="1:10" s="23" customFormat="1" outlineLevel="1" thickBot="1" x14ac:dyDescent="0.3">
      <c r="A824" s="44"/>
      <c r="B824" s="31" t="str">
        <f>IF(_xll.TM1RPTELISCONSOLIDATED($H$20,$H824),IF(_xll.TM1RPTELLEV($H$20,$H824)&lt;=5,_xll.TM1RPTELLEV($H$20,$H824),"Default"),"Leaf")</f>
        <v>Leaf</v>
      </c>
      <c r="C824" s="26" t="s">
        <v>13</v>
      </c>
      <c r="D824" s="24" t="str">
        <f>_xll.DBRW("TM1-S1_DEV:}ElementAttributes_SP_SKU",$F824,D$1)</f>
        <v>Secondary</v>
      </c>
      <c r="E824" s="24" t="str">
        <f>_xll.DBRW("TM1-S1_DEV:}ElementAttributes_SP_SKU",$F824,E$1)</f>
        <v>PAPER</v>
      </c>
      <c r="F824" s="26" t="s">
        <v>282</v>
      </c>
      <c r="G824" s="26" t="s">
        <v>1267</v>
      </c>
      <c r="H824" s="26" t="s">
        <v>2816</v>
      </c>
      <c r="I824" s="54">
        <f>_xll.DBRW($A$1,$F$14,$F$15,$C824,$A$2,$F824,$G824,$H824,I$1)</f>
        <v>12</v>
      </c>
      <c r="J824" s="25">
        <f>_xll.DBRW($A$1,$F$14,$F$15,$C824,$A$2,$F824,$G824,$H824,J$19)</f>
        <v>18</v>
      </c>
    </row>
    <row r="825" spans="1:10" s="23" customFormat="1" outlineLevel="1" thickBot="1" x14ac:dyDescent="0.3">
      <c r="A825" s="44"/>
      <c r="B825" s="31" t="str">
        <f>IF(_xll.TM1RPTELISCONSOLIDATED($H$20,$H825),IF(_xll.TM1RPTELLEV($H$20,$H825)&lt;=5,_xll.TM1RPTELLEV($H$20,$H825),"Default"),"Leaf")</f>
        <v>Leaf</v>
      </c>
      <c r="C825" s="26" t="s">
        <v>13</v>
      </c>
      <c r="D825" s="24" t="str">
        <f>_xll.DBRW("TM1-S1_DEV:}ElementAttributes_SP_SKU",$F825,D$1)</f>
        <v>Secondary</v>
      </c>
      <c r="E825" s="24" t="str">
        <f>_xll.DBRW("TM1-S1_DEV:}ElementAttributes_SP_SKU",$F825,E$1)</f>
        <v>CONTAINER</v>
      </c>
      <c r="F825" s="26" t="s">
        <v>177</v>
      </c>
      <c r="G825" s="26" t="s">
        <v>1112</v>
      </c>
      <c r="H825" s="26" t="s">
        <v>2781</v>
      </c>
      <c r="I825" s="54">
        <f>_xll.DBRW($A$1,$F$14,$F$15,$C825,$A$2,$F825,$G825,$H825,I$1)</f>
        <v>461</v>
      </c>
      <c r="J825" s="25">
        <f>_xll.DBRW($A$1,$F$14,$F$15,$C825,$A$2,$F825,$G825,$H825,J$19)</f>
        <v>461</v>
      </c>
    </row>
    <row r="826" spans="1:10" s="23" customFormat="1" outlineLevel="1" thickBot="1" x14ac:dyDescent="0.3">
      <c r="A826" s="44"/>
      <c r="B826" s="31" t="str">
        <f>IF(_xll.TM1RPTELISCONSOLIDATED($H$20,$H826),IF(_xll.TM1RPTELLEV($H$20,$H826)&lt;=5,_xll.TM1RPTELLEV($H$20,$H826),"Default"),"Leaf")</f>
        <v>Leaf</v>
      </c>
      <c r="C826" s="26" t="s">
        <v>13</v>
      </c>
      <c r="D826" s="24" t="str">
        <f>_xll.DBRW("TM1-S1_DEV:}ElementAttributes_SP_SKU",$F826,D$1)</f>
        <v>Secondary</v>
      </c>
      <c r="E826" s="24" t="str">
        <f>_xll.DBRW("TM1-S1_DEV:}ElementAttributes_SP_SKU",$F826,E$1)</f>
        <v>GLOVES</v>
      </c>
      <c r="F826" s="26" t="s">
        <v>178</v>
      </c>
      <c r="G826" s="26" t="s">
        <v>1113</v>
      </c>
      <c r="H826" s="26" t="s">
        <v>2780</v>
      </c>
      <c r="I826" s="54">
        <f>_xll.DBRW($A$1,$F$14,$F$15,$C826,$A$2,$F826,$G826,$H826,I$1)</f>
        <v>1798</v>
      </c>
      <c r="J826" s="25">
        <f>_xll.DBRW($A$1,$F$14,$F$15,$C826,$A$2,$F826,$G826,$H826,J$19)</f>
        <v>1798</v>
      </c>
    </row>
    <row r="827" spans="1:10" s="23" customFormat="1" outlineLevel="1" thickBot="1" x14ac:dyDescent="0.3">
      <c r="A827" s="44"/>
      <c r="B827" s="31" t="str">
        <f>IF(_xll.TM1RPTELISCONSOLIDATED($H$20,$H827),IF(_xll.TM1RPTELLEV($H$20,$H827)&lt;=5,_xll.TM1RPTELLEV($H$20,$H827),"Default"),"Leaf")</f>
        <v>Leaf</v>
      </c>
      <c r="C827" s="26" t="s">
        <v>13</v>
      </c>
      <c r="D827" s="24" t="str">
        <f>_xll.DBRW("TM1-S1_DEV:}ElementAttributes_SP_SKU",$F827,D$1)</f>
        <v>Secondary</v>
      </c>
      <c r="E827" s="24" t="str">
        <f>_xll.DBRW("TM1-S1_DEV:}ElementAttributes_SP_SKU",$F827,E$1)</f>
        <v>GLOVES</v>
      </c>
      <c r="F827" s="26" t="s">
        <v>179</v>
      </c>
      <c r="G827" s="26" t="s">
        <v>1114</v>
      </c>
      <c r="H827" s="26" t="s">
        <v>2780</v>
      </c>
      <c r="I827" s="54">
        <f>_xll.DBRW($A$1,$F$14,$F$15,$C827,$A$2,$F827,$G827,$H827,I$1)</f>
        <v>579</v>
      </c>
      <c r="J827" s="25">
        <f>_xll.DBRW($A$1,$F$14,$F$15,$C827,$A$2,$F827,$G827,$H827,J$19)</f>
        <v>579</v>
      </c>
    </row>
    <row r="828" spans="1:10" s="23" customFormat="1" outlineLevel="1" thickBot="1" x14ac:dyDescent="0.3">
      <c r="A828" s="44"/>
      <c r="B828" s="31" t="str">
        <f>IF(_xll.TM1RPTELISCONSOLIDATED($H$20,$H828),IF(_xll.TM1RPTELLEV($H$20,$H828)&lt;=5,_xll.TM1RPTELLEV($H$20,$H828),"Default"),"Leaf")</f>
        <v>Leaf</v>
      </c>
      <c r="C828" s="26" t="s">
        <v>13</v>
      </c>
      <c r="D828" s="24" t="str">
        <f>_xll.DBRW("TM1-S1_DEV:}ElementAttributes_SP_SKU",$F828,D$1)</f>
        <v>Secondary</v>
      </c>
      <c r="E828" s="24" t="str">
        <f>_xll.DBRW("TM1-S1_DEV:}ElementAttributes_SP_SKU",$F828,E$1)</f>
        <v>CRACKERS</v>
      </c>
      <c r="F828" s="26" t="s">
        <v>283</v>
      </c>
      <c r="G828" s="26" t="s">
        <v>1268</v>
      </c>
      <c r="H828" s="26" t="s">
        <v>2827</v>
      </c>
      <c r="I828" s="54">
        <f>_xll.DBRW($A$1,$F$14,$F$15,$C828,$A$2,$F828,$G828,$H828,I$1)</f>
        <v>58</v>
      </c>
      <c r="J828" s="25">
        <f>_xll.DBRW($A$1,$F$14,$F$15,$C828,$A$2,$F828,$G828,$H828,J$19)</f>
        <v>58</v>
      </c>
    </row>
    <row r="829" spans="1:10" s="23" customFormat="1" outlineLevel="1" thickBot="1" x14ac:dyDescent="0.3">
      <c r="A829" s="44"/>
      <c r="B829" s="31" t="str">
        <f>IF(_xll.TM1RPTELISCONSOLIDATED($H$20,$H829),IF(_xll.TM1RPTELLEV($H$20,$H829)&lt;=5,_xll.TM1RPTELLEV($H$20,$H829),"Default"),"Leaf")</f>
        <v>Leaf</v>
      </c>
      <c r="C829" s="26" t="s">
        <v>13</v>
      </c>
      <c r="D829" s="24" t="str">
        <f>_xll.DBRW("TM1-S1_DEV:}ElementAttributes_SP_SKU",$F829,D$1)</f>
        <v>Secondary</v>
      </c>
      <c r="E829" s="24" t="str">
        <f>_xll.DBRW("TM1-S1_DEV:}ElementAttributes_SP_SKU",$F829,E$1)</f>
        <v>BAG</v>
      </c>
      <c r="F829" s="26" t="s">
        <v>284</v>
      </c>
      <c r="G829" s="26" t="s">
        <v>1269</v>
      </c>
      <c r="H829" s="26" t="s">
        <v>2828</v>
      </c>
      <c r="I829" s="54">
        <f>_xll.DBRW($A$1,$F$14,$F$15,$C829,$A$2,$F829,$G829,$H829,I$1)</f>
        <v>42</v>
      </c>
      <c r="J829" s="25">
        <f>_xll.DBRW($A$1,$F$14,$F$15,$C829,$A$2,$F829,$G829,$H829,J$19)</f>
        <v>50</v>
      </c>
    </row>
    <row r="830" spans="1:10" s="23" customFormat="1" outlineLevel="1" thickBot="1" x14ac:dyDescent="0.3">
      <c r="A830" s="44"/>
      <c r="B830" s="31" t="str">
        <f>IF(_xll.TM1RPTELISCONSOLIDATED($H$20,$H830),IF(_xll.TM1RPTELLEV($H$20,$H830)&lt;=5,_xll.TM1RPTELLEV($H$20,$H830),"Default"),"Leaf")</f>
        <v>Leaf</v>
      </c>
      <c r="C830" s="26" t="s">
        <v>13</v>
      </c>
      <c r="D830" s="24" t="str">
        <f>_xll.DBRW("TM1-S1_DEV:}ElementAttributes_SP_SKU",$F830,D$1)</f>
        <v>Primary</v>
      </c>
      <c r="E830" s="24" t="str">
        <f>_xll.DBRW("TM1-S1_DEV:}ElementAttributes_SP_SKU",$F830,E$1)</f>
        <v>TRAY</v>
      </c>
      <c r="F830" s="26" t="s">
        <v>180</v>
      </c>
      <c r="G830" s="26" t="s">
        <v>1115</v>
      </c>
      <c r="H830" s="26" t="s">
        <v>2789</v>
      </c>
      <c r="I830" s="54">
        <f>_xll.DBRW($A$1,$F$14,$F$15,$C830,$A$2,$F830,$G830,$H830,I$1)</f>
        <v>64</v>
      </c>
      <c r="J830" s="25">
        <f>_xll.DBRW($A$1,$F$14,$F$15,$C830,$A$2,$F830,$G830,$H830,J$19)</f>
        <v>64</v>
      </c>
    </row>
    <row r="831" spans="1:10" s="23" customFormat="1" outlineLevel="1" thickBot="1" x14ac:dyDescent="0.3">
      <c r="A831" s="44"/>
      <c r="B831" s="31" t="str">
        <f>IF(_xll.TM1RPTELISCONSOLIDATED($H$20,$H831),IF(_xll.TM1RPTELLEV($H$20,$H831)&lt;=5,_xll.TM1RPTELLEV($H$20,$H831),"Default"),"Leaf")</f>
        <v>Leaf</v>
      </c>
      <c r="C831" s="26" t="s">
        <v>13</v>
      </c>
      <c r="D831" s="24" t="str">
        <f>_xll.DBRW("TM1-S1_DEV:}ElementAttributes_SP_SKU",$F831,D$1)</f>
        <v>Primary</v>
      </c>
      <c r="E831" s="24" t="str">
        <f>_xll.DBRW("TM1-S1_DEV:}ElementAttributes_SP_SKU",$F831,E$1)</f>
        <v>TRAY</v>
      </c>
      <c r="F831" s="26" t="s">
        <v>181</v>
      </c>
      <c r="G831" s="26" t="s">
        <v>1116</v>
      </c>
      <c r="H831" s="26" t="s">
        <v>2789</v>
      </c>
      <c r="I831" s="54">
        <f>_xll.DBRW($A$1,$F$14,$F$15,$C831,$A$2,$F831,$G831,$H831,I$1)</f>
        <v>42</v>
      </c>
      <c r="J831" s="25">
        <f>_xll.DBRW($A$1,$F$14,$F$15,$C831,$A$2,$F831,$G831,$H831,J$19)</f>
        <v>42</v>
      </c>
    </row>
    <row r="832" spans="1:10" s="23" customFormat="1" outlineLevel="1" thickBot="1" x14ac:dyDescent="0.3">
      <c r="A832" s="44"/>
      <c r="B832" s="31" t="str">
        <f>IF(_xll.TM1RPTELISCONSOLIDATED($H$20,$H832),IF(_xll.TM1RPTELLEV($H$20,$H832)&lt;=5,_xll.TM1RPTELLEV($H$20,$H832),"Default"),"Leaf")</f>
        <v>Leaf</v>
      </c>
      <c r="C832" s="26" t="s">
        <v>13</v>
      </c>
      <c r="D832" s="24" t="str">
        <f>_xll.DBRW("TM1-S1_DEV:}ElementAttributes_SP_SKU",$F832,D$1)</f>
        <v>Primary</v>
      </c>
      <c r="E832" s="24" t="str">
        <f>_xll.DBRW("TM1-S1_DEV:}ElementAttributes_SP_SKU",$F832,E$1)</f>
        <v>TRAY</v>
      </c>
      <c r="F832" s="26" t="s">
        <v>182</v>
      </c>
      <c r="G832" s="26" t="s">
        <v>1117</v>
      </c>
      <c r="H832" s="26" t="s">
        <v>2789</v>
      </c>
      <c r="I832" s="54">
        <f>_xll.DBRW($A$1,$F$14,$F$15,$C832,$A$2,$F832,$G832,$H832,I$1)</f>
        <v>27</v>
      </c>
      <c r="J832" s="25">
        <f>_xll.DBRW($A$1,$F$14,$F$15,$C832,$A$2,$F832,$G832,$H832,J$19)</f>
        <v>27</v>
      </c>
    </row>
    <row r="833" spans="1:10" s="23" customFormat="1" outlineLevel="1" thickBot="1" x14ac:dyDescent="0.3">
      <c r="A833" s="44"/>
      <c r="B833" s="31" t="str">
        <f>IF(_xll.TM1RPTELISCONSOLIDATED($H$20,$H833),IF(_xll.TM1RPTELLEV($H$20,$H833)&lt;=5,_xll.TM1RPTELLEV($H$20,$H833),"Default"),"Leaf")</f>
        <v>Leaf</v>
      </c>
      <c r="C833" s="26" t="s">
        <v>13</v>
      </c>
      <c r="D833" s="24" t="str">
        <f>_xll.DBRW("TM1-S1_DEV:}ElementAttributes_SP_SKU",$F833,D$1)</f>
        <v>Secondary</v>
      </c>
      <c r="E833" s="24" t="str">
        <f>_xll.DBRW("TM1-S1_DEV:}ElementAttributes_SP_SKU",$F833,E$1)</f>
        <v>CLEANING</v>
      </c>
      <c r="F833" s="26" t="s">
        <v>285</v>
      </c>
      <c r="G833" s="26" t="s">
        <v>1270</v>
      </c>
      <c r="H833" s="26" t="s">
        <v>2786</v>
      </c>
      <c r="I833" s="54">
        <f>_xll.DBRW($A$1,$F$14,$F$15,$C833,$A$2,$F833,$G833,$H833,I$1)</f>
        <v>36</v>
      </c>
      <c r="J833" s="25">
        <f>_xll.DBRW($A$1,$F$14,$F$15,$C833,$A$2,$F833,$G833,$H833,J$19)</f>
        <v>72</v>
      </c>
    </row>
    <row r="834" spans="1:10" s="23" customFormat="1" outlineLevel="1" thickBot="1" x14ac:dyDescent="0.3">
      <c r="A834" s="44"/>
      <c r="B834" s="31" t="str">
        <f>IF(_xll.TM1RPTELISCONSOLIDATED($H$20,$H834),IF(_xll.TM1RPTELLEV($H$20,$H834)&lt;=5,_xll.TM1RPTELLEV($H$20,$H834),"Default"),"Leaf")</f>
        <v>Leaf</v>
      </c>
      <c r="C834" s="26" t="s">
        <v>13</v>
      </c>
      <c r="D834" s="24" t="str">
        <f>_xll.DBRW("TM1-S1_DEV:}ElementAttributes_SP_SKU",$F834,D$1)</f>
        <v>Primary</v>
      </c>
      <c r="E834" s="24" t="str">
        <f>_xll.DBRW("TM1-S1_DEV:}ElementAttributes_SP_SKU",$F834,E$1)</f>
        <v>INGREDIENT</v>
      </c>
      <c r="F834" s="26" t="s">
        <v>3240</v>
      </c>
      <c r="G834" s="26" t="s">
        <v>1271</v>
      </c>
      <c r="H834" s="26" t="s">
        <v>2728</v>
      </c>
      <c r="I834" s="54">
        <f>_xll.DBRW($A$1,$F$14,$F$15,$C834,$A$2,$F834,$G834,$H834,I$1)</f>
        <v>59</v>
      </c>
      <c r="J834" s="25">
        <f>_xll.DBRW($A$1,$F$14,$F$15,$C834,$A$2,$F834,$G834,$H834,J$19)</f>
        <v>58</v>
      </c>
    </row>
    <row r="835" spans="1:10" s="23" customFormat="1" outlineLevel="1" thickBot="1" x14ac:dyDescent="0.3">
      <c r="A835" s="44"/>
      <c r="B835" s="31" t="str">
        <f>IF(_xll.TM1RPTELISCONSOLIDATED($H$20,$H835),IF(_xll.TM1RPTELLEV($H$20,$H835)&lt;=5,_xll.TM1RPTELLEV($H$20,$H835),"Default"),"Leaf")</f>
        <v>Leaf</v>
      </c>
      <c r="C835" s="26" t="s">
        <v>13</v>
      </c>
      <c r="D835" s="24" t="str">
        <f>_xll.DBRW("TM1-S1_DEV:}ElementAttributes_SP_SKU",$F835,D$1)</f>
        <v>Primary</v>
      </c>
      <c r="E835" s="24" t="str">
        <f>_xll.DBRW("TM1-S1_DEV:}ElementAttributes_SP_SKU",$F835,E$1)</f>
        <v>INGREDIENT</v>
      </c>
      <c r="F835" s="26" t="s">
        <v>3241</v>
      </c>
      <c r="G835" s="26" t="s">
        <v>1189</v>
      </c>
      <c r="H835" s="26" t="s">
        <v>2729</v>
      </c>
      <c r="I835" s="54">
        <f>_xll.DBRW($A$1,$F$14,$F$15,$C835,$A$2,$F835,$G835,$H835,I$1)</f>
        <v>168</v>
      </c>
      <c r="J835" s="25">
        <f>_xll.DBRW($A$1,$F$14,$F$15,$C835,$A$2,$F835,$G835,$H835,J$19)</f>
        <v>114</v>
      </c>
    </row>
    <row r="836" spans="1:10" s="23" customFormat="1" outlineLevel="1" thickBot="1" x14ac:dyDescent="0.3">
      <c r="A836" s="44"/>
      <c r="B836" s="31" t="str">
        <f>IF(_xll.TM1RPTELISCONSOLIDATED($H$20,$H836),IF(_xll.TM1RPTELLEV($H$20,$H836)&lt;=5,_xll.TM1RPTELLEV($H$20,$H836),"Default"),"Leaf")</f>
        <v>Leaf</v>
      </c>
      <c r="C836" s="26" t="s">
        <v>13</v>
      </c>
      <c r="D836" s="24" t="str">
        <f>_xll.DBRW("TM1-S1_DEV:}ElementAttributes_SP_SKU",$F836,D$1)</f>
        <v>Primary</v>
      </c>
      <c r="E836" s="24" t="str">
        <f>_xll.DBRW("TM1-S1_DEV:}ElementAttributes_SP_SKU",$F836,E$1)</f>
        <v>INGREDIENT</v>
      </c>
      <c r="F836" s="26" t="s">
        <v>3241</v>
      </c>
      <c r="G836" s="26" t="s">
        <v>1190</v>
      </c>
      <c r="H836" s="26" t="s">
        <v>2734</v>
      </c>
      <c r="I836" s="54">
        <f>_xll.DBRW($A$1,$F$14,$F$15,$C836,$A$2,$F836,$G836,$H836,I$1)</f>
        <v>2580</v>
      </c>
      <c r="J836" s="25">
        <f>_xll.DBRW($A$1,$F$14,$F$15,$C836,$A$2,$F836,$G836,$H836,J$19)</f>
        <v>2580</v>
      </c>
    </row>
    <row r="837" spans="1:10" s="23" customFormat="1" outlineLevel="1" thickBot="1" x14ac:dyDescent="0.3">
      <c r="A837" s="44"/>
      <c r="B837" s="31" t="str">
        <f>IF(_xll.TM1RPTELISCONSOLIDATED($H$20,$H837),IF(_xll.TM1RPTELLEV($H$20,$H837)&lt;=5,_xll.TM1RPTELLEV($H$20,$H837),"Default"),"Leaf")</f>
        <v>Leaf</v>
      </c>
      <c r="C837" s="26" t="s">
        <v>13</v>
      </c>
      <c r="D837" s="24" t="str">
        <f>_xll.DBRW("TM1-S1_DEV:}ElementAttributes_SP_SKU",$F837,D$1)</f>
        <v>Primary</v>
      </c>
      <c r="E837" s="24" t="str">
        <f>_xll.DBRW("TM1-S1_DEV:}ElementAttributes_SP_SKU",$F837,E$1)</f>
        <v>GEL</v>
      </c>
      <c r="F837" s="26" t="s">
        <v>98</v>
      </c>
      <c r="G837" s="26" t="s">
        <v>1272</v>
      </c>
      <c r="H837" s="26" t="s">
        <v>2762</v>
      </c>
      <c r="I837" s="54">
        <f>_xll.DBRW($A$1,$F$14,$F$15,$C837,$A$2,$F837,$G837,$H837,I$1)</f>
        <v>1</v>
      </c>
      <c r="J837" s="25">
        <f>_xll.DBRW($A$1,$F$14,$F$15,$C837,$A$2,$F837,$G837,$H837,J$19)</f>
        <v>1</v>
      </c>
    </row>
    <row r="838" spans="1:10" s="23" customFormat="1" outlineLevel="1" thickBot="1" x14ac:dyDescent="0.3">
      <c r="A838" s="44"/>
      <c r="B838" s="31" t="str">
        <f>IF(_xll.TM1RPTELISCONSOLIDATED($H$20,$H838),IF(_xll.TM1RPTELLEV($H$20,$H838)&lt;=5,_xll.TM1RPTELLEV($H$20,$H838),"Default"),"Leaf")</f>
        <v>Leaf</v>
      </c>
      <c r="C838" s="26" t="s">
        <v>13</v>
      </c>
      <c r="D838" s="24" t="str">
        <f>_xll.DBRW("TM1-S1_DEV:}ElementAttributes_SP_SKU",$F838,D$1)</f>
        <v>Unassigned PSP</v>
      </c>
      <c r="E838" s="24" t="str">
        <f>_xll.DBRW("TM1-S1_DEV:}ElementAttributes_SP_SKU",$F838,E$1)</f>
        <v>PAPER</v>
      </c>
      <c r="F838" s="26" t="s">
        <v>258</v>
      </c>
      <c r="G838" s="26" t="s">
        <v>1086</v>
      </c>
      <c r="H838" s="26" t="s">
        <v>2820</v>
      </c>
      <c r="I838" s="54">
        <f>_xll.DBRW($A$1,$F$14,$F$15,$C838,$A$2,$F838,$G838,$H838,I$1)</f>
        <v>118</v>
      </c>
      <c r="J838" s="25">
        <f>_xll.DBRW($A$1,$F$14,$F$15,$C838,$A$2,$F838,$G838,$H838,J$19)</f>
        <v>118</v>
      </c>
    </row>
    <row r="839" spans="1:10" s="23" customFormat="1" outlineLevel="1" thickBot="1" x14ac:dyDescent="0.3">
      <c r="A839" s="44"/>
      <c r="B839" s="31" t="str">
        <f>IF(_xll.TM1RPTELISCONSOLIDATED($H$20,$H839),IF(_xll.TM1RPTELLEV($H$20,$H839)&lt;=5,_xll.TM1RPTELLEV($H$20,$H839),"Default"),"Leaf")</f>
        <v>Leaf</v>
      </c>
      <c r="C839" s="26" t="s">
        <v>13</v>
      </c>
      <c r="D839" s="24" t="str">
        <f>_xll.DBRW("TM1-S1_DEV:}ElementAttributes_SP_SKU",$F839,D$1)</f>
        <v>Primary</v>
      </c>
      <c r="E839" s="24" t="str">
        <f>_xll.DBRW("TM1-S1_DEV:}ElementAttributes_SP_SKU",$F839,E$1)</f>
        <v>CONTAINER</v>
      </c>
      <c r="F839" s="26" t="s">
        <v>3242</v>
      </c>
      <c r="G839" s="26" t="s">
        <v>1192</v>
      </c>
      <c r="H839" s="26" t="s">
        <v>2708</v>
      </c>
      <c r="I839" s="54">
        <f>_xll.DBRW($A$1,$F$14,$F$15,$C839,$A$2,$F839,$G839,$H839,I$1)</f>
        <v>194</v>
      </c>
      <c r="J839" s="25">
        <f>_xll.DBRW($A$1,$F$14,$F$15,$C839,$A$2,$F839,$G839,$H839,J$19)</f>
        <v>192</v>
      </c>
    </row>
    <row r="840" spans="1:10" s="23" customFormat="1" outlineLevel="1" thickBot="1" x14ac:dyDescent="0.3">
      <c r="A840" s="44"/>
      <c r="B840" s="31" t="str">
        <f>IF(_xll.TM1RPTELISCONSOLIDATED($H$20,$H840),IF(_xll.TM1RPTELLEV($H$20,$H840)&lt;=5,_xll.TM1RPTELLEV($H$20,$H840),"Default"),"Leaf")</f>
        <v>Leaf</v>
      </c>
      <c r="C840" s="26" t="s">
        <v>13</v>
      </c>
      <c r="D840" s="24" t="str">
        <f>_xll.DBRW("TM1-S1_DEV:}ElementAttributes_SP_SKU",$F840,D$1)</f>
        <v>Primary</v>
      </c>
      <c r="E840" s="24" t="str">
        <f>_xll.DBRW("TM1-S1_DEV:}ElementAttributes_SP_SKU",$F840,E$1)</f>
        <v>PAPER</v>
      </c>
      <c r="F840" s="26" t="s">
        <v>3243</v>
      </c>
      <c r="G840" s="26" t="s">
        <v>1273</v>
      </c>
      <c r="H840" s="26" t="s">
        <v>2730</v>
      </c>
      <c r="I840" s="54">
        <f>_xll.DBRW($A$1,$F$14,$F$15,$C840,$A$2,$F840,$G840,$H840,I$1)</f>
        <v>7</v>
      </c>
      <c r="J840" s="25">
        <f>_xll.DBRW($A$1,$F$14,$F$15,$C840,$A$2,$F840,$G840,$H840,J$19)</f>
        <v>7</v>
      </c>
    </row>
    <row r="841" spans="1:10" s="23" customFormat="1" outlineLevel="1" thickBot="1" x14ac:dyDescent="0.3">
      <c r="A841" s="44"/>
      <c r="B841" s="31" t="str">
        <f>IF(_xll.TM1RPTELISCONSOLIDATED($H$20,$H841),IF(_xll.TM1RPTELLEV($H$20,$H841)&lt;=5,_xll.TM1RPTELLEV($H$20,$H841),"Default"),"Leaf")</f>
        <v>Leaf</v>
      </c>
      <c r="C841" s="26" t="s">
        <v>13</v>
      </c>
      <c r="D841" s="24" t="str">
        <f>_xll.DBRW("TM1-S1_DEV:}ElementAttributes_SP_SKU",$F841,D$1)</f>
        <v>Primary</v>
      </c>
      <c r="E841" s="24" t="str">
        <f>_xll.DBRW("TM1-S1_DEV:}ElementAttributes_SP_SKU",$F841,E$1)</f>
        <v>PROTEIN</v>
      </c>
      <c r="F841" s="26" t="s">
        <v>3244</v>
      </c>
      <c r="G841" s="26" t="s">
        <v>1193</v>
      </c>
      <c r="H841" s="26" t="s">
        <v>2670</v>
      </c>
      <c r="I841" s="54">
        <f>_xll.DBRW($A$1,$F$14,$F$15,$C841,$A$2,$F841,$G841,$H841,I$1)</f>
        <v>67</v>
      </c>
      <c r="J841" s="25">
        <f>_xll.DBRW($A$1,$F$14,$F$15,$C841,$A$2,$F841,$G841,$H841,J$19)</f>
        <v>141</v>
      </c>
    </row>
    <row r="842" spans="1:10" s="23" customFormat="1" outlineLevel="1" thickBot="1" x14ac:dyDescent="0.3">
      <c r="A842" s="44"/>
      <c r="B842" s="31" t="str">
        <f>IF(_xll.TM1RPTELISCONSOLIDATED($H$20,$H842),IF(_xll.TM1RPTELLEV($H$20,$H842)&lt;=5,_xll.TM1RPTELLEV($H$20,$H842),"Default"),"Leaf")</f>
        <v>Leaf</v>
      </c>
      <c r="C842" s="26" t="s">
        <v>13</v>
      </c>
      <c r="D842" s="24" t="str">
        <f>_xll.DBRW("TM1-S1_DEV:}ElementAttributes_SP_SKU",$F842,D$1)</f>
        <v>Primary</v>
      </c>
      <c r="E842" s="24" t="str">
        <f>_xll.DBRW("TM1-S1_DEV:}ElementAttributes_SP_SKU",$F842,E$1)</f>
        <v>PAD</v>
      </c>
      <c r="F842" s="26" t="s">
        <v>3245</v>
      </c>
      <c r="G842" s="26" t="s">
        <v>1194</v>
      </c>
      <c r="H842" s="26" t="s">
        <v>2731</v>
      </c>
      <c r="I842" s="54">
        <f>_xll.DBRW($A$1,$F$14,$F$15,$C842,$A$2,$F842,$G842,$H842,I$1)</f>
        <v>23</v>
      </c>
      <c r="J842" s="25">
        <f>_xll.DBRW($A$1,$F$14,$F$15,$C842,$A$2,$F842,$G842,$H842,J$19)</f>
        <v>23</v>
      </c>
    </row>
    <row r="843" spans="1:10" s="23" customFormat="1" outlineLevel="1" thickBot="1" x14ac:dyDescent="0.3">
      <c r="A843" s="44"/>
      <c r="B843" s="31" t="str">
        <f>IF(_xll.TM1RPTELISCONSOLIDATED($H$20,$H843),IF(_xll.TM1RPTELLEV($H$20,$H843)&lt;=5,_xll.TM1RPTELLEV($H$20,$H843),"Default"),"Leaf")</f>
        <v>Leaf</v>
      </c>
      <c r="C843" s="26" t="s">
        <v>13</v>
      </c>
      <c r="D843" s="24" t="str">
        <f>_xll.DBRW("TM1-S1_DEV:}ElementAttributes_SP_SKU",$F843,D$1)</f>
        <v/>
      </c>
      <c r="E843" s="24" t="str">
        <f>_xll.DBRW("TM1-S1_DEV:}ElementAttributes_SP_SKU",$F843,E$1)</f>
        <v/>
      </c>
      <c r="F843" s="26" t="s">
        <v>259</v>
      </c>
      <c r="G843" s="26" t="s">
        <v>1195</v>
      </c>
      <c r="H843" s="26" t="s">
        <v>2752</v>
      </c>
      <c r="I843" s="54">
        <f>_xll.DBRW($A$1,$F$14,$F$15,$C843,$A$2,$F843,$G843,$H843,I$1)</f>
        <v>53</v>
      </c>
      <c r="J843" s="25">
        <f>_xll.DBRW($A$1,$F$14,$F$15,$C843,$A$2,$F843,$G843,$H843,J$19)</f>
        <v>77</v>
      </c>
    </row>
    <row r="844" spans="1:10" s="23" customFormat="1" outlineLevel="1" thickBot="1" x14ac:dyDescent="0.3">
      <c r="A844" s="44"/>
      <c r="B844" s="31" t="str">
        <f>IF(_xll.TM1RPTELISCONSOLIDATED($H$20,$H844),IF(_xll.TM1RPTELLEV($H$20,$H844)&lt;=5,_xll.TM1RPTELLEV($H$20,$H844),"Default"),"Leaf")</f>
        <v>Leaf</v>
      </c>
      <c r="C844" s="26" t="s">
        <v>14</v>
      </c>
      <c r="D844" s="24" t="str">
        <f>_xll.DBRW("TM1-S1_DEV:}ElementAttributes_SP_SKU",$F844,D$1)</f>
        <v>Primary</v>
      </c>
      <c r="E844" s="24" t="str">
        <f>_xll.DBRW("TM1-S1_DEV:}ElementAttributes_SP_SKU",$F844,E$1)</f>
        <v>PROTEIN</v>
      </c>
      <c r="F844" s="26" t="s">
        <v>3270</v>
      </c>
      <c r="G844" s="26" t="s">
        <v>1196</v>
      </c>
      <c r="H844" s="26" t="s">
        <v>2670</v>
      </c>
      <c r="I844" s="54">
        <f>_xll.DBRW($A$1,$F$14,$F$15,$C844,$A$2,$F844,$G844,$H844,I$1)</f>
        <v>279</v>
      </c>
      <c r="J844" s="25">
        <f>_xll.DBRW($A$1,$F$14,$F$15,$C844,$A$2,$F844,$G844,$H844,J$19)</f>
        <v>1</v>
      </c>
    </row>
    <row r="845" spans="1:10" s="23" customFormat="1" outlineLevel="1" thickBot="1" x14ac:dyDescent="0.3">
      <c r="A845" s="44"/>
      <c r="B845" s="31" t="str">
        <f>IF(_xll.TM1RPTELISCONSOLIDATED($H$20,$H845),IF(_xll.TM1RPTELLEV($H$20,$H845)&lt;=5,_xll.TM1RPTELLEV($H$20,$H845),"Default"),"Leaf")</f>
        <v>Leaf</v>
      </c>
      <c r="C845" s="26" t="s">
        <v>14</v>
      </c>
      <c r="D845" s="24" t="str">
        <f>_xll.DBRW("TM1-S1_DEV:}ElementAttributes_SP_SKU",$F845,D$1)</f>
        <v>Primary</v>
      </c>
      <c r="E845" s="24" t="str">
        <f>_xll.DBRW("TM1-S1_DEV:}ElementAttributes_SP_SKU",$F845,E$1)</f>
        <v>PROTEIN</v>
      </c>
      <c r="F845" s="26" t="s">
        <v>3105</v>
      </c>
      <c r="G845" s="26" t="s">
        <v>1197</v>
      </c>
      <c r="H845" s="26" t="s">
        <v>2670</v>
      </c>
      <c r="I845" s="54">
        <f>_xll.DBRW($A$1,$F$14,$F$15,$C845,$A$2,$F845,$G845,$H845,I$1)</f>
        <v>401</v>
      </c>
      <c r="J845" s="25">
        <f>_xll.DBRW($A$1,$F$14,$F$15,$C845,$A$2,$F845,$G845,$H845,J$19)</f>
        <v>5</v>
      </c>
    </row>
    <row r="846" spans="1:10" s="23" customFormat="1" outlineLevel="1" thickBot="1" x14ac:dyDescent="0.3">
      <c r="A846" s="44"/>
      <c r="B846" s="31" t="str">
        <f>IF(_xll.TM1RPTELISCONSOLIDATED($H$20,$H846),IF(_xll.TM1RPTELLEV($H$20,$H846)&lt;=5,_xll.TM1RPTELLEV($H$20,$H846),"Default"),"Leaf")</f>
        <v>Leaf</v>
      </c>
      <c r="C846" s="26" t="s">
        <v>14</v>
      </c>
      <c r="D846" s="24" t="str">
        <f>_xll.DBRW("TM1-S1_DEV:}ElementAttributes_SP_SKU",$F846,D$1)</f>
        <v>Primary</v>
      </c>
      <c r="E846" s="24" t="str">
        <f>_xll.DBRW("TM1-S1_DEV:}ElementAttributes_SP_SKU",$F846,E$1)</f>
        <v>PROTEIN</v>
      </c>
      <c r="F846" s="26" t="s">
        <v>3106</v>
      </c>
      <c r="G846" s="26" t="s">
        <v>1198</v>
      </c>
      <c r="H846" s="26" t="s">
        <v>2670</v>
      </c>
      <c r="I846" s="54">
        <f>_xll.DBRW($A$1,$F$14,$F$15,$C846,$A$2,$F846,$G846,$H846,I$1)</f>
        <v>515</v>
      </c>
      <c r="J846" s="25">
        <f>_xll.DBRW($A$1,$F$14,$F$15,$C846,$A$2,$F846,$G846,$H846,J$19)</f>
        <v>10</v>
      </c>
    </row>
    <row r="847" spans="1:10" s="23" customFormat="1" outlineLevel="1" thickBot="1" x14ac:dyDescent="0.3">
      <c r="A847" s="44"/>
      <c r="B847" s="31" t="str">
        <f>IF(_xll.TM1RPTELISCONSOLIDATED($H$20,$H847),IF(_xll.TM1RPTELLEV($H$20,$H847)&lt;=5,_xll.TM1RPTELLEV($H$20,$H847),"Default"),"Leaf")</f>
        <v>Leaf</v>
      </c>
      <c r="C847" s="26" t="s">
        <v>14</v>
      </c>
      <c r="D847" s="24" t="str">
        <f>_xll.DBRW("TM1-S1_DEV:}ElementAttributes_SP_SKU",$F847,D$1)</f>
        <v>Primary</v>
      </c>
      <c r="E847" s="24" t="str">
        <f>_xll.DBRW("TM1-S1_DEV:}ElementAttributes_SP_SKU",$F847,E$1)</f>
        <v>HAM</v>
      </c>
      <c r="F847" s="26" t="s">
        <v>3107</v>
      </c>
      <c r="G847" s="26" t="s">
        <v>1199</v>
      </c>
      <c r="H847" s="26" t="s">
        <v>2670</v>
      </c>
      <c r="I847" s="54">
        <f>_xll.DBRW($A$1,$F$14,$F$15,$C847,$A$2,$F847,$G847,$H847,I$1)</f>
        <v>30</v>
      </c>
      <c r="J847" s="25">
        <f>_xll.DBRW($A$1,$F$14,$F$15,$C847,$A$2,$F847,$G847,$H847,J$19)</f>
        <v>0</v>
      </c>
    </row>
    <row r="848" spans="1:10" s="23" customFormat="1" outlineLevel="1" thickBot="1" x14ac:dyDescent="0.3">
      <c r="A848" s="44"/>
      <c r="B848" s="31" t="str">
        <f>IF(_xll.TM1RPTELISCONSOLIDATED($H$20,$H848),IF(_xll.TM1RPTELLEV($H$20,$H848)&lt;=5,_xll.TM1RPTELLEV($H$20,$H848),"Default"),"Leaf")</f>
        <v>Leaf</v>
      </c>
      <c r="C848" s="26" t="s">
        <v>14</v>
      </c>
      <c r="D848" s="24" t="str">
        <f>_xll.DBRW("TM1-S1_DEV:}ElementAttributes_SP_SKU",$F848,D$1)</f>
        <v>Primary</v>
      </c>
      <c r="E848" s="24" t="str">
        <f>_xll.DBRW("TM1-S1_DEV:}ElementAttributes_SP_SKU",$F848,E$1)</f>
        <v>HAM</v>
      </c>
      <c r="F848" s="26" t="s">
        <v>3108</v>
      </c>
      <c r="G848" s="26" t="s">
        <v>1200</v>
      </c>
      <c r="H848" s="26" t="s">
        <v>2670</v>
      </c>
      <c r="I848" s="54">
        <f>_xll.DBRW($A$1,$F$14,$F$15,$C848,$A$2,$F848,$G848,$H848,I$1)</f>
        <v>167</v>
      </c>
      <c r="J848" s="25">
        <f>_xll.DBRW($A$1,$F$14,$F$15,$C848,$A$2,$F848,$G848,$H848,J$19)</f>
        <v>0</v>
      </c>
    </row>
    <row r="849" spans="1:10" s="23" customFormat="1" outlineLevel="1" thickBot="1" x14ac:dyDescent="0.3">
      <c r="A849" s="44"/>
      <c r="B849" s="31" t="str">
        <f>IF(_xll.TM1RPTELISCONSOLIDATED($H$20,$H849),IF(_xll.TM1RPTELLEV($H$20,$H849)&lt;=5,_xll.TM1RPTELLEV($H$20,$H849),"Default"),"Leaf")</f>
        <v>Leaf</v>
      </c>
      <c r="C849" s="26" t="s">
        <v>14</v>
      </c>
      <c r="D849" s="24" t="str">
        <f>_xll.DBRW("TM1-S1_DEV:}ElementAttributes_SP_SKU",$F849,D$1)</f>
        <v>Primary</v>
      </c>
      <c r="E849" s="24" t="str">
        <f>_xll.DBRW("TM1-S1_DEV:}ElementAttributes_SP_SKU",$F849,E$1)</f>
        <v>HAM</v>
      </c>
      <c r="F849" s="26" t="s">
        <v>3109</v>
      </c>
      <c r="G849" s="26" t="s">
        <v>1201</v>
      </c>
      <c r="H849" s="26" t="s">
        <v>2670</v>
      </c>
      <c r="I849" s="54">
        <f>_xll.DBRW($A$1,$F$14,$F$15,$C849,$A$2,$F849,$G849,$H849,I$1)</f>
        <v>312</v>
      </c>
      <c r="J849" s="25">
        <f>_xll.DBRW($A$1,$F$14,$F$15,$C849,$A$2,$F849,$G849,$H849,J$19)</f>
        <v>9</v>
      </c>
    </row>
    <row r="850" spans="1:10" s="23" customFormat="1" outlineLevel="1" thickBot="1" x14ac:dyDescent="0.3">
      <c r="A850" s="44"/>
      <c r="B850" s="31" t="str">
        <f>IF(_xll.TM1RPTELISCONSOLIDATED($H$20,$H850),IF(_xll.TM1RPTELLEV($H$20,$H850)&lt;=5,_xll.TM1RPTELLEV($H$20,$H850),"Default"),"Leaf")</f>
        <v>Leaf</v>
      </c>
      <c r="C850" s="26" t="s">
        <v>14</v>
      </c>
      <c r="D850" s="24" t="str">
        <f>_xll.DBRW("TM1-S1_DEV:}ElementAttributes_SP_SKU",$F850,D$1)</f>
        <v>Primary</v>
      </c>
      <c r="E850" s="24" t="str">
        <f>_xll.DBRW("TM1-S1_DEV:}ElementAttributes_SP_SKU",$F850,E$1)</f>
        <v>TURKEY</v>
      </c>
      <c r="F850" s="26" t="s">
        <v>3110</v>
      </c>
      <c r="G850" s="26" t="s">
        <v>966</v>
      </c>
      <c r="H850" s="26" t="s">
        <v>2671</v>
      </c>
      <c r="I850" s="54">
        <f>_xll.DBRW($A$1,$F$14,$F$15,$C850,$A$2,$F850,$G850,$H850,I$1)</f>
        <v>139</v>
      </c>
      <c r="J850" s="25">
        <f>_xll.DBRW($A$1,$F$14,$F$15,$C850,$A$2,$F850,$G850,$H850,J$19)</f>
        <v>90</v>
      </c>
    </row>
    <row r="851" spans="1:10" s="23" customFormat="1" outlineLevel="1" thickBot="1" x14ac:dyDescent="0.3">
      <c r="A851" s="44"/>
      <c r="B851" s="31" t="str">
        <f>IF(_xll.TM1RPTELISCONSOLIDATED($H$20,$H851),IF(_xll.TM1RPTELLEV($H$20,$H851)&lt;=5,_xll.TM1RPTELLEV($H$20,$H851),"Default"),"Leaf")</f>
        <v>Leaf</v>
      </c>
      <c r="C851" s="26" t="s">
        <v>14</v>
      </c>
      <c r="D851" s="24" t="str">
        <f>_xll.DBRW("TM1-S1_DEV:}ElementAttributes_SP_SKU",$F851,D$1)</f>
        <v>Primary</v>
      </c>
      <c r="E851" s="24" t="str">
        <f>_xll.DBRW("TM1-S1_DEV:}ElementAttributes_SP_SKU",$F851,E$1)</f>
        <v>TURKEY</v>
      </c>
      <c r="F851" s="26" t="s">
        <v>3111</v>
      </c>
      <c r="G851" s="26" t="s">
        <v>967</v>
      </c>
      <c r="H851" s="26" t="s">
        <v>2671</v>
      </c>
      <c r="I851" s="54">
        <f>_xll.DBRW($A$1,$F$14,$F$15,$C851,$A$2,$F851,$G851,$H851,I$1)</f>
        <v>0</v>
      </c>
      <c r="J851" s="25">
        <f>_xll.DBRW($A$1,$F$14,$F$15,$C851,$A$2,$F851,$G851,$H851,J$19)</f>
        <v>-41</v>
      </c>
    </row>
    <row r="852" spans="1:10" s="23" customFormat="1" outlineLevel="1" thickBot="1" x14ac:dyDescent="0.3">
      <c r="A852" s="44"/>
      <c r="B852" s="31" t="str">
        <f>IF(_xll.TM1RPTELISCONSOLIDATED($H$20,$H852),IF(_xll.TM1RPTELLEV($H$20,$H852)&lt;=5,_xll.TM1RPTELLEV($H$20,$H852),"Default"),"Leaf")</f>
        <v>Leaf</v>
      </c>
      <c r="C852" s="26" t="s">
        <v>14</v>
      </c>
      <c r="D852" s="24" t="str">
        <f>_xll.DBRW("TM1-S1_DEV:}ElementAttributes_SP_SKU",$F852,D$1)</f>
        <v>Primary</v>
      </c>
      <c r="E852" s="24" t="str">
        <f>_xll.DBRW("TM1-S1_DEV:}ElementAttributes_SP_SKU",$F852,E$1)</f>
        <v>PROTEIN</v>
      </c>
      <c r="F852" s="26" t="s">
        <v>3112</v>
      </c>
      <c r="G852" s="26" t="s">
        <v>968</v>
      </c>
      <c r="H852" s="26" t="s">
        <v>2672</v>
      </c>
      <c r="I852" s="54">
        <f>_xll.DBRW($A$1,$F$14,$F$15,$C852,$A$2,$F852,$G852,$H852,I$1)</f>
        <v>12</v>
      </c>
      <c r="J852" s="25">
        <f>_xll.DBRW($A$1,$F$14,$F$15,$C852,$A$2,$F852,$G852,$H852,J$19)</f>
        <v>4</v>
      </c>
    </row>
    <row r="853" spans="1:10" s="23" customFormat="1" outlineLevel="1" thickBot="1" x14ac:dyDescent="0.3">
      <c r="A853" s="44"/>
      <c r="B853" s="31" t="str">
        <f>IF(_xll.TM1RPTELISCONSOLIDATED($H$20,$H853),IF(_xll.TM1RPTELLEV($H$20,$H853)&lt;=5,_xll.TM1RPTELLEV($H$20,$H853),"Default"),"Leaf")</f>
        <v>Leaf</v>
      </c>
      <c r="C853" s="26" t="s">
        <v>14</v>
      </c>
      <c r="D853" s="24" t="str">
        <f>_xll.DBRW("TM1-S1_DEV:}ElementAttributes_SP_SKU",$F853,D$1)</f>
        <v>Primary</v>
      </c>
      <c r="E853" s="24" t="str">
        <f>_xll.DBRW("TM1-S1_DEV:}ElementAttributes_SP_SKU",$F853,E$1)</f>
        <v>PROTEIN</v>
      </c>
      <c r="F853" s="26" t="s">
        <v>3113</v>
      </c>
      <c r="G853" s="26" t="s">
        <v>1202</v>
      </c>
      <c r="H853" s="26" t="s">
        <v>2673</v>
      </c>
      <c r="I853" s="54">
        <f>_xll.DBRW($A$1,$F$14,$F$15,$C853,$A$2,$F853,$G853,$H853,I$1)</f>
        <v>0</v>
      </c>
      <c r="J853" s="25">
        <f>_xll.DBRW($A$1,$F$14,$F$15,$C853,$A$2,$F853,$G853,$H853,J$19)</f>
        <v>31</v>
      </c>
    </row>
    <row r="854" spans="1:10" s="23" customFormat="1" outlineLevel="1" thickBot="1" x14ac:dyDescent="0.3">
      <c r="A854" s="44"/>
      <c r="B854" s="31" t="str">
        <f>IF(_xll.TM1RPTELISCONSOLIDATED($H$20,$H854),IF(_xll.TM1RPTELLEV($H$20,$H854)&lt;=5,_xll.TM1RPTELLEV($H$20,$H854),"Default"),"Leaf")</f>
        <v>Leaf</v>
      </c>
      <c r="C854" s="26" t="s">
        <v>14</v>
      </c>
      <c r="D854" s="24" t="str">
        <f>_xll.DBRW("TM1-S1_DEV:}ElementAttributes_SP_SKU",$F854,D$1)</f>
        <v>Primary</v>
      </c>
      <c r="E854" s="24" t="str">
        <f>_xll.DBRW("TM1-S1_DEV:}ElementAttributes_SP_SKU",$F854,E$1)</f>
        <v>PROTEIN</v>
      </c>
      <c r="F854" s="26" t="s">
        <v>3114</v>
      </c>
      <c r="G854" s="26" t="s">
        <v>969</v>
      </c>
      <c r="H854" s="26" t="s">
        <v>2672</v>
      </c>
      <c r="I854" s="54">
        <f>_xll.DBRW($A$1,$F$14,$F$15,$C854,$A$2,$F854,$G854,$H854,I$1)</f>
        <v>20</v>
      </c>
      <c r="J854" s="25">
        <f>_xll.DBRW($A$1,$F$14,$F$15,$C854,$A$2,$F854,$G854,$H854,J$19)</f>
        <v>6</v>
      </c>
    </row>
    <row r="855" spans="1:10" s="23" customFormat="1" outlineLevel="1" thickBot="1" x14ac:dyDescent="0.3">
      <c r="A855" s="44"/>
      <c r="B855" s="31" t="str">
        <f>IF(_xll.TM1RPTELISCONSOLIDATED($H$20,$H855),IF(_xll.TM1RPTELLEV($H$20,$H855)&lt;=5,_xll.TM1RPTELLEV($H$20,$H855),"Default"),"Leaf")</f>
        <v>Leaf</v>
      </c>
      <c r="C855" s="26" t="s">
        <v>14</v>
      </c>
      <c r="D855" s="24" t="str">
        <f>_xll.DBRW("TM1-S1_DEV:}ElementAttributes_SP_SKU",$F855,D$1)</f>
        <v>Primary</v>
      </c>
      <c r="E855" s="24" t="str">
        <f>_xll.DBRW("TM1-S1_DEV:}ElementAttributes_SP_SKU",$F855,E$1)</f>
        <v>PROTEIN</v>
      </c>
      <c r="F855" s="26" t="s">
        <v>3115</v>
      </c>
      <c r="G855" s="26" t="s">
        <v>970</v>
      </c>
      <c r="H855" s="26" t="s">
        <v>2672</v>
      </c>
      <c r="I855" s="54">
        <f>_xll.DBRW($A$1,$F$14,$F$15,$C855,$A$2,$F855,$G855,$H855,I$1)</f>
        <v>10</v>
      </c>
      <c r="J855" s="25">
        <f>_xll.DBRW($A$1,$F$14,$F$15,$C855,$A$2,$F855,$G855,$H855,J$19)</f>
        <v>5</v>
      </c>
    </row>
    <row r="856" spans="1:10" s="23" customFormat="1" outlineLevel="1" thickBot="1" x14ac:dyDescent="0.3">
      <c r="A856" s="44"/>
      <c r="B856" s="31" t="str">
        <f>IF(_xll.TM1RPTELISCONSOLIDATED($H$20,$H856),IF(_xll.TM1RPTELLEV($H$20,$H856)&lt;=5,_xll.TM1RPTELLEV($H$20,$H856),"Default"),"Leaf")</f>
        <v>Leaf</v>
      </c>
      <c r="C856" s="26" t="s">
        <v>14</v>
      </c>
      <c r="D856" s="24" t="str">
        <f>_xll.DBRW("TM1-S1_DEV:}ElementAttributes_SP_SKU",$F856,D$1)</f>
        <v>Primary</v>
      </c>
      <c r="E856" s="24" t="str">
        <f>_xll.DBRW("TM1-S1_DEV:}ElementAttributes_SP_SKU",$F856,E$1)</f>
        <v>SOUP</v>
      </c>
      <c r="F856" s="26" t="s">
        <v>3116</v>
      </c>
      <c r="G856" s="26" t="s">
        <v>1203</v>
      </c>
      <c r="H856" s="26" t="s">
        <v>2674</v>
      </c>
      <c r="I856" s="54">
        <f>_xll.DBRW($A$1,$F$14,$F$15,$C856,$A$2,$F856,$G856,$H856,I$1)</f>
        <v>11</v>
      </c>
      <c r="J856" s="25">
        <f>_xll.DBRW($A$1,$F$14,$F$15,$C856,$A$2,$F856,$G856,$H856,J$19)</f>
        <v>5</v>
      </c>
    </row>
    <row r="857" spans="1:10" s="23" customFormat="1" outlineLevel="1" thickBot="1" x14ac:dyDescent="0.3">
      <c r="A857" s="44"/>
      <c r="B857" s="31" t="str">
        <f>IF(_xll.TM1RPTELISCONSOLIDATED($H$20,$H857),IF(_xll.TM1RPTELLEV($H$20,$H857)&lt;=5,_xll.TM1RPTELLEV($H$20,$H857),"Default"),"Leaf")</f>
        <v>Leaf</v>
      </c>
      <c r="C857" s="26" t="s">
        <v>14</v>
      </c>
      <c r="D857" s="24" t="str">
        <f>_xll.DBRW("TM1-S1_DEV:}ElementAttributes_SP_SKU",$F857,D$1)</f>
        <v>Primary</v>
      </c>
      <c r="E857" s="24" t="str">
        <f>_xll.DBRW("TM1-S1_DEV:}ElementAttributes_SP_SKU",$F857,E$1)</f>
        <v>SOUP</v>
      </c>
      <c r="F857" s="26" t="s">
        <v>3117</v>
      </c>
      <c r="G857" s="26" t="s">
        <v>971</v>
      </c>
      <c r="H857" s="26" t="s">
        <v>2674</v>
      </c>
      <c r="I857" s="54">
        <f>_xll.DBRW($A$1,$F$14,$F$15,$C857,$A$2,$F857,$G857,$H857,I$1)</f>
        <v>8</v>
      </c>
      <c r="J857" s="25">
        <f>_xll.DBRW($A$1,$F$14,$F$15,$C857,$A$2,$F857,$G857,$H857,J$19)</f>
        <v>5</v>
      </c>
    </row>
    <row r="858" spans="1:10" s="23" customFormat="1" outlineLevel="1" thickBot="1" x14ac:dyDescent="0.3">
      <c r="A858" s="44"/>
      <c r="B858" s="31" t="str">
        <f>IF(_xll.TM1RPTELISCONSOLIDATED($H$20,$H858),IF(_xll.TM1RPTELLEV($H$20,$H858)&lt;=5,_xll.TM1RPTELLEV($H$20,$H858),"Default"),"Leaf")</f>
        <v>Leaf</v>
      </c>
      <c r="C858" s="26" t="s">
        <v>14</v>
      </c>
      <c r="D858" s="24" t="str">
        <f>_xll.DBRW("TM1-S1_DEV:}ElementAttributes_SP_SKU",$F858,D$1)</f>
        <v>Primary</v>
      </c>
      <c r="E858" s="24" t="str">
        <f>_xll.DBRW("TM1-S1_DEV:}ElementAttributes_SP_SKU",$F858,E$1)</f>
        <v>SOUP</v>
      </c>
      <c r="F858" s="26" t="s">
        <v>3118</v>
      </c>
      <c r="G858" s="26" t="s">
        <v>1204</v>
      </c>
      <c r="H858" s="26" t="s">
        <v>2674</v>
      </c>
      <c r="I858" s="54">
        <f>_xll.DBRW($A$1,$F$14,$F$15,$C858,$A$2,$F858,$G858,$H858,I$1)</f>
        <v>11</v>
      </c>
      <c r="J858" s="25">
        <f>_xll.DBRW($A$1,$F$14,$F$15,$C858,$A$2,$F858,$G858,$H858,J$19)</f>
        <v>5</v>
      </c>
    </row>
    <row r="859" spans="1:10" s="23" customFormat="1" outlineLevel="1" thickBot="1" x14ac:dyDescent="0.3">
      <c r="A859" s="44"/>
      <c r="B859" s="31" t="str">
        <f>IF(_xll.TM1RPTELISCONSOLIDATED($H$20,$H859),IF(_xll.TM1RPTELLEV($H$20,$H859)&lt;=5,_xll.TM1RPTELLEV($H$20,$H859),"Default"),"Leaf")</f>
        <v>Leaf</v>
      </c>
      <c r="C859" s="26" t="s">
        <v>14</v>
      </c>
      <c r="D859" s="24" t="str">
        <f>_xll.DBRW("TM1-S1_DEV:}ElementAttributes_SP_SKU",$F859,D$1)</f>
        <v>Primary</v>
      </c>
      <c r="E859" s="24" t="str">
        <f>_xll.DBRW("TM1-S1_DEV:}ElementAttributes_SP_SKU",$F859,E$1)</f>
        <v>PROTEIN</v>
      </c>
      <c r="F859" s="26" t="s">
        <v>3119</v>
      </c>
      <c r="G859" s="26" t="s">
        <v>972</v>
      </c>
      <c r="H859" s="26" t="s">
        <v>2670</v>
      </c>
      <c r="I859" s="54">
        <f>_xll.DBRW($A$1,$F$14,$F$15,$C859,$A$2,$F859,$G859,$H859,I$1)</f>
        <v>9</v>
      </c>
      <c r="J859" s="25">
        <f>_xll.DBRW($A$1,$F$14,$F$15,$C859,$A$2,$F859,$G859,$H859,J$19)</f>
        <v>5</v>
      </c>
    </row>
    <row r="860" spans="1:10" s="23" customFormat="1" outlineLevel="1" thickBot="1" x14ac:dyDescent="0.3">
      <c r="A860" s="44"/>
      <c r="B860" s="31" t="str">
        <f>IF(_xll.TM1RPTELISCONSOLIDATED($H$20,$H860),IF(_xll.TM1RPTELLEV($H$20,$H860)&lt;=5,_xll.TM1RPTELLEV($H$20,$H860),"Default"),"Leaf")</f>
        <v>Leaf</v>
      </c>
      <c r="C860" s="26" t="s">
        <v>14</v>
      </c>
      <c r="D860" s="24" t="str">
        <f>_xll.DBRW("TM1-S1_DEV:}ElementAttributes_SP_SKU",$F860,D$1)</f>
        <v>Primary</v>
      </c>
      <c r="E860" s="24" t="str">
        <f>_xll.DBRW("TM1-S1_DEV:}ElementAttributes_SP_SKU",$F860,E$1)</f>
        <v>PROTEIN</v>
      </c>
      <c r="F860" s="26" t="s">
        <v>3120</v>
      </c>
      <c r="G860" s="26" t="s">
        <v>1205</v>
      </c>
      <c r="H860" s="26" t="s">
        <v>2670</v>
      </c>
      <c r="I860" s="54">
        <f>_xll.DBRW($A$1,$F$14,$F$15,$C860,$A$2,$F860,$G860,$H860,I$1)</f>
        <v>3</v>
      </c>
      <c r="J860" s="25">
        <f>_xll.DBRW($A$1,$F$14,$F$15,$C860,$A$2,$F860,$G860,$H860,J$19)</f>
        <v>2</v>
      </c>
    </row>
    <row r="861" spans="1:10" s="23" customFormat="1" outlineLevel="1" thickBot="1" x14ac:dyDescent="0.3">
      <c r="A861" s="44"/>
      <c r="B861" s="31" t="str">
        <f>IF(_xll.TM1RPTELISCONSOLIDATED($H$20,$H861),IF(_xll.TM1RPTELLEV($H$20,$H861)&lt;=5,_xll.TM1RPTELLEV($H$20,$H861),"Default"),"Leaf")</f>
        <v>Leaf</v>
      </c>
      <c r="C861" s="26" t="s">
        <v>14</v>
      </c>
      <c r="D861" s="24" t="str">
        <f>_xll.DBRW("TM1-S1_DEV:}ElementAttributes_SP_SKU",$F861,D$1)</f>
        <v>Unassigned PSP</v>
      </c>
      <c r="E861" s="24" t="str">
        <f>_xll.DBRW("TM1-S1_DEV:}ElementAttributes_SP_SKU",$F861,E$1)</f>
        <v>SIDES</v>
      </c>
      <c r="F861" s="26" t="s">
        <v>62</v>
      </c>
      <c r="G861" s="26" t="s">
        <v>973</v>
      </c>
      <c r="H861" s="26" t="s">
        <v>2732</v>
      </c>
      <c r="I861" s="54">
        <f>_xll.DBRW($A$1,$F$14,$F$15,$C861,$A$2,$F861,$G861,$H861,I$1)</f>
        <v>78</v>
      </c>
      <c r="J861" s="25">
        <f>_xll.DBRW($A$1,$F$14,$F$15,$C861,$A$2,$F861,$G861,$H861,J$19)</f>
        <v>183</v>
      </c>
    </row>
    <row r="862" spans="1:10" s="23" customFormat="1" outlineLevel="1" thickBot="1" x14ac:dyDescent="0.3">
      <c r="A862" s="44"/>
      <c r="B862" s="31" t="str">
        <f>IF(_xll.TM1RPTELISCONSOLIDATED($H$20,$H862),IF(_xll.TM1RPTELLEV($H$20,$H862)&lt;=5,_xll.TM1RPTELLEV($H$20,$H862),"Default"),"Leaf")</f>
        <v>Leaf</v>
      </c>
      <c r="C862" s="26" t="s">
        <v>14</v>
      </c>
      <c r="D862" s="24" t="str">
        <f>_xll.DBRW("TM1-S1_DEV:}ElementAttributes_SP_SKU",$F862,D$1)</f>
        <v>Primary</v>
      </c>
      <c r="E862" s="24" t="str">
        <f>_xll.DBRW("TM1-S1_DEV:}ElementAttributes_SP_SKU",$F862,E$1)</f>
        <v>SIDES</v>
      </c>
      <c r="F862" s="26" t="s">
        <v>3123</v>
      </c>
      <c r="G862" s="26" t="s">
        <v>1206</v>
      </c>
      <c r="H862" s="26" t="s">
        <v>2676</v>
      </c>
      <c r="I862" s="54">
        <f>_xll.DBRW($A$1,$F$14,$F$15,$C862,$A$2,$F862,$G862,$H862,I$1)</f>
        <v>79</v>
      </c>
      <c r="J862" s="25">
        <f>_xll.DBRW($A$1,$F$14,$F$15,$C862,$A$2,$F862,$G862,$H862,J$19)</f>
        <v>64</v>
      </c>
    </row>
    <row r="863" spans="1:10" s="23" customFormat="1" outlineLevel="1" thickBot="1" x14ac:dyDescent="0.3">
      <c r="A863" s="44"/>
      <c r="B863" s="31" t="str">
        <f>IF(_xll.TM1RPTELISCONSOLIDATED($H$20,$H863),IF(_xll.TM1RPTELLEV($H$20,$H863)&lt;=5,_xll.TM1RPTELLEV($H$20,$H863),"Default"),"Leaf")</f>
        <v>Leaf</v>
      </c>
      <c r="C863" s="26" t="s">
        <v>14</v>
      </c>
      <c r="D863" s="24" t="str">
        <f>_xll.DBRW("TM1-S1_DEV:}ElementAttributes_SP_SKU",$F863,D$1)</f>
        <v>Primary</v>
      </c>
      <c r="E863" s="24" t="str">
        <f>_xll.DBRW("TM1-S1_DEV:}ElementAttributes_SP_SKU",$F863,E$1)</f>
        <v>SIDES</v>
      </c>
      <c r="F863" s="26" t="s">
        <v>3124</v>
      </c>
      <c r="G863" s="26" t="s">
        <v>1207</v>
      </c>
      <c r="H863" s="26" t="s">
        <v>2676</v>
      </c>
      <c r="I863" s="54">
        <f>_xll.DBRW($A$1,$F$14,$F$15,$C863,$A$2,$F863,$G863,$H863,I$1)</f>
        <v>43</v>
      </c>
      <c r="J863" s="25">
        <f>_xll.DBRW($A$1,$F$14,$F$15,$C863,$A$2,$F863,$G863,$H863,J$19)</f>
        <v>22</v>
      </c>
    </row>
    <row r="864" spans="1:10" s="23" customFormat="1" outlineLevel="1" thickBot="1" x14ac:dyDescent="0.3">
      <c r="A864" s="44"/>
      <c r="B864" s="31" t="str">
        <f>IF(_xll.TM1RPTELISCONSOLIDATED($H$20,$H864),IF(_xll.TM1RPTELLEV($H$20,$H864)&lt;=5,_xll.TM1RPTELLEV($H$20,$H864),"Default"),"Leaf")</f>
        <v>Leaf</v>
      </c>
      <c r="C864" s="26" t="s">
        <v>14</v>
      </c>
      <c r="D864" s="24" t="str">
        <f>_xll.DBRW("TM1-S1_DEV:}ElementAttributes_SP_SKU",$F864,D$1)</f>
        <v>Primary</v>
      </c>
      <c r="E864" s="24" t="str">
        <f>_xll.DBRW("TM1-S1_DEV:}ElementAttributes_SP_SKU",$F864,E$1)</f>
        <v>SIDES</v>
      </c>
      <c r="F864" s="26" t="s">
        <v>3125</v>
      </c>
      <c r="G864" s="26" t="s">
        <v>1208</v>
      </c>
      <c r="H864" s="26" t="s">
        <v>2676</v>
      </c>
      <c r="I864" s="54">
        <f>_xll.DBRW($A$1,$F$14,$F$15,$C864,$A$2,$F864,$G864,$H864,I$1)</f>
        <v>35</v>
      </c>
      <c r="J864" s="25">
        <f>_xll.DBRW($A$1,$F$14,$F$15,$C864,$A$2,$F864,$G864,$H864,J$19)</f>
        <v>16</v>
      </c>
    </row>
    <row r="865" spans="1:10" s="23" customFormat="1" outlineLevel="1" thickBot="1" x14ac:dyDescent="0.3">
      <c r="A865" s="44"/>
      <c r="B865" s="31" t="str">
        <f>IF(_xll.TM1RPTELISCONSOLIDATED($H$20,$H865),IF(_xll.TM1RPTELLEV($H$20,$H865)&lt;=5,_xll.TM1RPTELLEV($H$20,$H865),"Default"),"Leaf")</f>
        <v>Leaf</v>
      </c>
      <c r="C865" s="26" t="s">
        <v>14</v>
      </c>
      <c r="D865" s="24" t="str">
        <f>_xll.DBRW("TM1-S1_DEV:}ElementAttributes_SP_SKU",$F865,D$1)</f>
        <v>Primary</v>
      </c>
      <c r="E865" s="24" t="str">
        <f>_xll.DBRW("TM1-S1_DEV:}ElementAttributes_SP_SKU",$F865,E$1)</f>
        <v>SIDES</v>
      </c>
      <c r="F865" s="26" t="s">
        <v>3126</v>
      </c>
      <c r="G865" s="26" t="s">
        <v>1209</v>
      </c>
      <c r="H865" s="26" t="s">
        <v>2676</v>
      </c>
      <c r="I865" s="54">
        <f>_xll.DBRW($A$1,$F$14,$F$15,$C865,$A$2,$F865,$G865,$H865,I$1)</f>
        <v>41</v>
      </c>
      <c r="J865" s="25">
        <f>_xll.DBRW($A$1,$F$14,$F$15,$C865,$A$2,$F865,$G865,$H865,J$19)</f>
        <v>20</v>
      </c>
    </row>
    <row r="866" spans="1:10" s="23" customFormat="1" outlineLevel="1" thickBot="1" x14ac:dyDescent="0.3">
      <c r="A866" s="44"/>
      <c r="B866" s="31" t="str">
        <f>IF(_xll.TM1RPTELISCONSOLIDATED($H$20,$H866),IF(_xll.TM1RPTELLEV($H$20,$H866)&lt;=5,_xll.TM1RPTELLEV($H$20,$H866),"Default"),"Leaf")</f>
        <v>Leaf</v>
      </c>
      <c r="C866" s="26" t="s">
        <v>14</v>
      </c>
      <c r="D866" s="24" t="str">
        <f>_xll.DBRW("TM1-S1_DEV:}ElementAttributes_SP_SKU",$F866,D$1)</f>
        <v>Primary</v>
      </c>
      <c r="E866" s="24" t="str">
        <f>_xll.DBRW("TM1-S1_DEV:}ElementAttributes_SP_SKU",$F866,E$1)</f>
        <v>SIDES</v>
      </c>
      <c r="F866" s="26" t="s">
        <v>3127</v>
      </c>
      <c r="G866" s="26" t="s">
        <v>1210</v>
      </c>
      <c r="H866" s="26" t="s">
        <v>2676</v>
      </c>
      <c r="I866" s="54">
        <f>_xll.DBRW($A$1,$F$14,$F$15,$C866,$A$2,$F866,$G866,$H866,I$1)</f>
        <v>67</v>
      </c>
      <c r="J866" s="25">
        <f>_xll.DBRW($A$1,$F$14,$F$15,$C866,$A$2,$F866,$G866,$H866,J$19)</f>
        <v>18</v>
      </c>
    </row>
    <row r="867" spans="1:10" s="23" customFormat="1" outlineLevel="1" thickBot="1" x14ac:dyDescent="0.3">
      <c r="A867" s="44"/>
      <c r="B867" s="31" t="str">
        <f>IF(_xll.TM1RPTELISCONSOLIDATED($H$20,$H867),IF(_xll.TM1RPTELLEV($H$20,$H867)&lt;=5,_xll.TM1RPTELLEV($H$20,$H867),"Default"),"Leaf")</f>
        <v>Leaf</v>
      </c>
      <c r="C867" s="26" t="s">
        <v>14</v>
      </c>
      <c r="D867" s="24" t="str">
        <f>_xll.DBRW("TM1-S1_DEV:}ElementAttributes_SP_SKU",$F867,D$1)</f>
        <v>Primary</v>
      </c>
      <c r="E867" s="24" t="str">
        <f>_xll.DBRW("TM1-S1_DEV:}ElementAttributes_SP_SKU",$F867,E$1)</f>
        <v>SIDES</v>
      </c>
      <c r="F867" s="26" t="s">
        <v>3128</v>
      </c>
      <c r="G867" s="26" t="s">
        <v>1211</v>
      </c>
      <c r="H867" s="26" t="s">
        <v>2676</v>
      </c>
      <c r="I867" s="54">
        <f>_xll.DBRW($A$1,$F$14,$F$15,$C867,$A$2,$F867,$G867,$H867,I$1)</f>
        <v>73</v>
      </c>
      <c r="J867" s="25">
        <f>_xll.DBRW($A$1,$F$14,$F$15,$C867,$A$2,$F867,$G867,$H867,J$19)</f>
        <v>23</v>
      </c>
    </row>
    <row r="868" spans="1:10" s="23" customFormat="1" outlineLevel="1" thickBot="1" x14ac:dyDescent="0.3">
      <c r="A868" s="44"/>
      <c r="B868" s="31" t="str">
        <f>IF(_xll.TM1RPTELISCONSOLIDATED($H$20,$H868),IF(_xll.TM1RPTELLEV($H$20,$H868)&lt;=5,_xll.TM1RPTELLEV($H$20,$H868),"Default"),"Leaf")</f>
        <v>Leaf</v>
      </c>
      <c r="C868" s="26" t="s">
        <v>14</v>
      </c>
      <c r="D868" s="24" t="str">
        <f>_xll.DBRW("TM1-S1_DEV:}ElementAttributes_SP_SKU",$F868,D$1)</f>
        <v>Primary</v>
      </c>
      <c r="E868" s="24" t="str">
        <f>_xll.DBRW("TM1-S1_DEV:}ElementAttributes_SP_SKU",$F868,E$1)</f>
        <v>SIDES</v>
      </c>
      <c r="F868" s="26" t="s">
        <v>3129</v>
      </c>
      <c r="G868" s="26" t="s">
        <v>1212</v>
      </c>
      <c r="H868" s="26" t="s">
        <v>2676</v>
      </c>
      <c r="I868" s="54">
        <f>_xll.DBRW($A$1,$F$14,$F$15,$C868,$A$2,$F868,$G868,$H868,I$1)</f>
        <v>45</v>
      </c>
      <c r="J868" s="25">
        <f>_xll.DBRW($A$1,$F$14,$F$15,$C868,$A$2,$F868,$G868,$H868,J$19)</f>
        <v>26</v>
      </c>
    </row>
    <row r="869" spans="1:10" s="23" customFormat="1" outlineLevel="1" thickBot="1" x14ac:dyDescent="0.3">
      <c r="A869" s="44"/>
      <c r="B869" s="31" t="str">
        <f>IF(_xll.TM1RPTELISCONSOLIDATED($H$20,$H869),IF(_xll.TM1RPTELLEV($H$20,$H869)&lt;=5,_xll.TM1RPTELLEV($H$20,$H869),"Default"),"Leaf")</f>
        <v>Leaf</v>
      </c>
      <c r="C869" s="26" t="s">
        <v>14</v>
      </c>
      <c r="D869" s="24" t="str">
        <f>_xll.DBRW("TM1-S1_DEV:}ElementAttributes_SP_SKU",$F869,D$1)</f>
        <v>Primary</v>
      </c>
      <c r="E869" s="24" t="str">
        <f>_xll.DBRW("TM1-S1_DEV:}ElementAttributes_SP_SKU",$F869,E$1)</f>
        <v>SIDES</v>
      </c>
      <c r="F869" s="26" t="s">
        <v>3130</v>
      </c>
      <c r="G869" s="26" t="s">
        <v>1213</v>
      </c>
      <c r="H869" s="26" t="s">
        <v>2676</v>
      </c>
      <c r="I869" s="54">
        <f>_xll.DBRW($A$1,$F$14,$F$15,$C869,$A$2,$F869,$G869,$H869,I$1)</f>
        <v>26</v>
      </c>
      <c r="J869" s="25">
        <f>_xll.DBRW($A$1,$F$14,$F$15,$C869,$A$2,$F869,$G869,$H869,J$19)</f>
        <v>22</v>
      </c>
    </row>
    <row r="870" spans="1:10" s="23" customFormat="1" outlineLevel="1" thickBot="1" x14ac:dyDescent="0.3">
      <c r="A870" s="44"/>
      <c r="B870" s="31" t="str">
        <f>IF(_xll.TM1RPTELISCONSOLIDATED($H$20,$H870),IF(_xll.TM1RPTELLEV($H$20,$H870)&lt;=5,_xll.TM1RPTELLEV($H$20,$H870),"Default"),"Leaf")</f>
        <v>Leaf</v>
      </c>
      <c r="C870" s="26" t="s">
        <v>14</v>
      </c>
      <c r="D870" s="24" t="str">
        <f>_xll.DBRW("TM1-S1_DEV:}ElementAttributes_SP_SKU",$F870,D$1)</f>
        <v>Primary</v>
      </c>
      <c r="E870" s="24" t="str">
        <f>_xll.DBRW("TM1-S1_DEV:}ElementAttributes_SP_SKU",$F870,E$1)</f>
        <v>SIDES</v>
      </c>
      <c r="F870" s="26" t="s">
        <v>3131</v>
      </c>
      <c r="G870" s="26" t="s">
        <v>1214</v>
      </c>
      <c r="H870" s="26" t="s">
        <v>2676</v>
      </c>
      <c r="I870" s="54">
        <f>_xll.DBRW($A$1,$F$14,$F$15,$C870,$A$2,$F870,$G870,$H870,I$1)</f>
        <v>23</v>
      </c>
      <c r="J870" s="25">
        <f>_xll.DBRW($A$1,$F$14,$F$15,$C870,$A$2,$F870,$G870,$H870,J$19)</f>
        <v>10</v>
      </c>
    </row>
    <row r="871" spans="1:10" s="23" customFormat="1" outlineLevel="1" thickBot="1" x14ac:dyDescent="0.3">
      <c r="A871" s="44"/>
      <c r="B871" s="31" t="str">
        <f>IF(_xll.TM1RPTELISCONSOLIDATED($H$20,$H871),IF(_xll.TM1RPTELLEV($H$20,$H871)&lt;=5,_xll.TM1RPTELLEV($H$20,$H871),"Default"),"Leaf")</f>
        <v>Leaf</v>
      </c>
      <c r="C871" s="26" t="s">
        <v>14</v>
      </c>
      <c r="D871" s="24" t="str">
        <f>_xll.DBRW("TM1-S1_DEV:}ElementAttributes_SP_SKU",$F871,D$1)</f>
        <v>Primary</v>
      </c>
      <c r="E871" s="24" t="str">
        <f>_xll.DBRW("TM1-S1_DEV:}ElementAttributes_SP_SKU",$F871,E$1)</f>
        <v>SIDES</v>
      </c>
      <c r="F871" s="26" t="s">
        <v>3132</v>
      </c>
      <c r="G871" s="26" t="s">
        <v>1215</v>
      </c>
      <c r="H871" s="26" t="s">
        <v>2676</v>
      </c>
      <c r="I871" s="54">
        <f>_xll.DBRW($A$1,$F$14,$F$15,$C871,$A$2,$F871,$G871,$H871,I$1)</f>
        <v>82</v>
      </c>
      <c r="J871" s="25">
        <f>_xll.DBRW($A$1,$F$14,$F$15,$C871,$A$2,$F871,$G871,$H871,J$19)</f>
        <v>21</v>
      </c>
    </row>
    <row r="872" spans="1:10" s="23" customFormat="1" outlineLevel="1" thickBot="1" x14ac:dyDescent="0.3">
      <c r="A872" s="44"/>
      <c r="B872" s="31" t="str">
        <f>IF(_xll.TM1RPTELISCONSOLIDATED($H$20,$H872),IF(_xll.TM1RPTELLEV($H$20,$H872)&lt;=5,_xll.TM1RPTELLEV($H$20,$H872),"Default"),"Leaf")</f>
        <v>Leaf</v>
      </c>
      <c r="C872" s="26" t="s">
        <v>14</v>
      </c>
      <c r="D872" s="24" t="str">
        <f>_xll.DBRW("TM1-S1_DEV:}ElementAttributes_SP_SKU",$F872,D$1)</f>
        <v>Primary</v>
      </c>
      <c r="E872" s="24" t="str">
        <f>_xll.DBRW("TM1-S1_DEV:}ElementAttributes_SP_SKU",$F872,E$1)</f>
        <v>DESSERT</v>
      </c>
      <c r="F872" s="26" t="s">
        <v>29</v>
      </c>
      <c r="G872" s="26" t="s">
        <v>974</v>
      </c>
      <c r="H872" s="26" t="s">
        <v>2677</v>
      </c>
      <c r="I872" s="54">
        <f>_xll.DBRW($A$1,$F$14,$F$15,$C872,$A$2,$F872,$G872,$H872,I$1)</f>
        <v>11</v>
      </c>
      <c r="J872" s="25">
        <f>_xll.DBRW($A$1,$F$14,$F$15,$C872,$A$2,$F872,$G872,$H872,J$19)</f>
        <v>7</v>
      </c>
    </row>
    <row r="873" spans="1:10" s="23" customFormat="1" outlineLevel="1" thickBot="1" x14ac:dyDescent="0.3">
      <c r="A873" s="44"/>
      <c r="B873" s="31" t="str">
        <f>IF(_xll.TM1RPTELISCONSOLIDATED($H$20,$H873),IF(_xll.TM1RPTELLEV($H$20,$H873)&lt;=5,_xll.TM1RPTELLEV($H$20,$H873),"Default"),"Leaf")</f>
        <v>Leaf</v>
      </c>
      <c r="C873" s="26" t="s">
        <v>14</v>
      </c>
      <c r="D873" s="24" t="str">
        <f>_xll.DBRW("TM1-S1_DEV:}ElementAttributes_SP_SKU",$F873,D$1)</f>
        <v>Primary</v>
      </c>
      <c r="E873" s="24" t="str">
        <f>_xll.DBRW("TM1-S1_DEV:}ElementAttributes_SP_SKU",$F873,E$1)</f>
        <v>PIE</v>
      </c>
      <c r="F873" s="26" t="s">
        <v>3133</v>
      </c>
      <c r="G873" s="26" t="s">
        <v>975</v>
      </c>
      <c r="H873" s="26" t="s">
        <v>2678</v>
      </c>
      <c r="I873" s="54">
        <f>_xll.DBRW($A$1,$F$14,$F$15,$C873,$A$2,$F873,$G873,$H873,I$1)</f>
        <v>13</v>
      </c>
      <c r="J873" s="25">
        <f>_xll.DBRW($A$1,$F$14,$F$15,$C873,$A$2,$F873,$G873,$H873,J$19)</f>
        <v>3</v>
      </c>
    </row>
    <row r="874" spans="1:10" s="23" customFormat="1" outlineLevel="1" thickBot="1" x14ac:dyDescent="0.3">
      <c r="A874" s="44"/>
      <c r="B874" s="31" t="str">
        <f>IF(_xll.TM1RPTELISCONSOLIDATED($H$20,$H874),IF(_xll.TM1RPTELLEV($H$20,$H874)&lt;=5,_xll.TM1RPTELLEV($H$20,$H874),"Default"),"Leaf")</f>
        <v>Leaf</v>
      </c>
      <c r="C874" s="26" t="s">
        <v>14</v>
      </c>
      <c r="D874" s="24" t="str">
        <f>_xll.DBRW("TM1-S1_DEV:}ElementAttributes_SP_SKU",$F874,D$1)</f>
        <v>Primary</v>
      </c>
      <c r="E874" s="24" t="str">
        <f>_xll.DBRW("TM1-S1_DEV:}ElementAttributes_SP_SKU",$F874,E$1)</f>
        <v>PIE</v>
      </c>
      <c r="F874" s="26" t="s">
        <v>3134</v>
      </c>
      <c r="G874" s="26" t="s">
        <v>976</v>
      </c>
      <c r="H874" s="26" t="s">
        <v>2678</v>
      </c>
      <c r="I874" s="54">
        <f>_xll.DBRW($A$1,$F$14,$F$15,$C874,$A$2,$F874,$G874,$H874,I$1)</f>
        <v>22</v>
      </c>
      <c r="J874" s="25">
        <f>_xll.DBRW($A$1,$F$14,$F$15,$C874,$A$2,$F874,$G874,$H874,J$19)</f>
        <v>13</v>
      </c>
    </row>
    <row r="875" spans="1:10" s="23" customFormat="1" outlineLevel="1" thickBot="1" x14ac:dyDescent="0.3">
      <c r="A875" s="44"/>
      <c r="B875" s="31" t="str">
        <f>IF(_xll.TM1RPTELISCONSOLIDATED($H$20,$H875),IF(_xll.TM1RPTELLEV($H$20,$H875)&lt;=5,_xll.TM1RPTELLEV($H$20,$H875),"Default"),"Leaf")</f>
        <v>Leaf</v>
      </c>
      <c r="C875" s="26" t="s">
        <v>14</v>
      </c>
      <c r="D875" s="24" t="str">
        <f>_xll.DBRW("TM1-S1_DEV:}ElementAttributes_SP_SKU",$F875,D$1)</f>
        <v>Primary</v>
      </c>
      <c r="E875" s="24" t="str">
        <f>_xll.DBRW("TM1-S1_DEV:}ElementAttributes_SP_SKU",$F875,E$1)</f>
        <v>CAKE</v>
      </c>
      <c r="F875" s="26" t="s">
        <v>3135</v>
      </c>
      <c r="G875" s="26" t="s">
        <v>977</v>
      </c>
      <c r="H875" s="26" t="s">
        <v>2679</v>
      </c>
      <c r="I875" s="54">
        <f>_xll.DBRW($A$1,$F$14,$F$15,$C875,$A$2,$F875,$G875,$H875,I$1)</f>
        <v>18</v>
      </c>
      <c r="J875" s="25">
        <f>_xll.DBRW($A$1,$F$14,$F$15,$C875,$A$2,$F875,$G875,$H875,J$19)</f>
        <v>4</v>
      </c>
    </row>
    <row r="876" spans="1:10" s="23" customFormat="1" outlineLevel="1" thickBot="1" x14ac:dyDescent="0.3">
      <c r="A876" s="44"/>
      <c r="B876" s="31" t="str">
        <f>IF(_xll.TM1RPTELISCONSOLIDATED($H$20,$H876),IF(_xll.TM1RPTELLEV($H$20,$H876)&lt;=5,_xll.TM1RPTELLEV($H$20,$H876),"Default"),"Leaf")</f>
        <v>Leaf</v>
      </c>
      <c r="C876" s="26" t="s">
        <v>14</v>
      </c>
      <c r="D876" s="24" t="str">
        <f>_xll.DBRW("TM1-S1_DEV:}ElementAttributes_SP_SKU",$F876,D$1)</f>
        <v>Primary</v>
      </c>
      <c r="E876" s="24" t="str">
        <f>_xll.DBRW("TM1-S1_DEV:}ElementAttributes_SP_SKU",$F876,E$1)</f>
        <v>CAKE</v>
      </c>
      <c r="F876" s="26" t="s">
        <v>3136</v>
      </c>
      <c r="G876" s="26" t="s">
        <v>978</v>
      </c>
      <c r="H876" s="26" t="s">
        <v>2679</v>
      </c>
      <c r="I876" s="54">
        <f>_xll.DBRW($A$1,$F$14,$F$15,$C876,$A$2,$F876,$G876,$H876,I$1)</f>
        <v>15</v>
      </c>
      <c r="J876" s="25">
        <f>_xll.DBRW($A$1,$F$14,$F$15,$C876,$A$2,$F876,$G876,$H876,J$19)</f>
        <v>3</v>
      </c>
    </row>
    <row r="877" spans="1:10" s="23" customFormat="1" outlineLevel="1" thickBot="1" x14ac:dyDescent="0.3">
      <c r="A877" s="44"/>
      <c r="B877" s="31" t="str">
        <f>IF(_xll.TM1RPTELISCONSOLIDATED($H$20,$H877),IF(_xll.TM1RPTELLEV($H$20,$H877)&lt;=5,_xll.TM1RPTELLEV($H$20,$H877),"Default"),"Leaf")</f>
        <v>Leaf</v>
      </c>
      <c r="C877" s="26" t="s">
        <v>14</v>
      </c>
      <c r="D877" s="24" t="str">
        <f>_xll.DBRW("TM1-S1_DEV:}ElementAttributes_SP_SKU",$F877,D$1)</f>
        <v>Primary</v>
      </c>
      <c r="E877" s="24" t="str">
        <f>_xll.DBRW("TM1-S1_DEV:}ElementAttributes_SP_SKU",$F877,E$1)</f>
        <v>CAKE</v>
      </c>
      <c r="F877" s="26" t="s">
        <v>3137</v>
      </c>
      <c r="G877" s="26" t="s">
        <v>1216</v>
      </c>
      <c r="H877" s="26" t="s">
        <v>2679</v>
      </c>
      <c r="I877" s="54">
        <f>_xll.DBRW($A$1,$F$14,$F$15,$C877,$A$2,$F877,$G877,$H877,I$1)</f>
        <v>21</v>
      </c>
      <c r="J877" s="25">
        <f>_xll.DBRW($A$1,$F$14,$F$15,$C877,$A$2,$F877,$G877,$H877,J$19)</f>
        <v>0</v>
      </c>
    </row>
    <row r="878" spans="1:10" s="23" customFormat="1" outlineLevel="1" thickBot="1" x14ac:dyDescent="0.3">
      <c r="A878" s="44"/>
      <c r="B878" s="31" t="str">
        <f>IF(_xll.TM1RPTELISCONSOLIDATED($H$20,$H878),IF(_xll.TM1RPTELLEV($H$20,$H878)&lt;=5,_xll.TM1RPTELLEV($H$20,$H878),"Default"),"Leaf")</f>
        <v>Leaf</v>
      </c>
      <c r="C878" s="26" t="s">
        <v>14</v>
      </c>
      <c r="D878" s="24" t="str">
        <f>_xll.DBRW("TM1-S1_DEV:}ElementAttributes_SP_SKU",$F878,D$1)</f>
        <v>Primary</v>
      </c>
      <c r="E878" s="24" t="str">
        <f>_xll.DBRW("TM1-S1_DEV:}ElementAttributes_SP_SKU",$F878,E$1)</f>
        <v>CAKE</v>
      </c>
      <c r="F878" s="26" t="s">
        <v>3138</v>
      </c>
      <c r="G878" s="26" t="s">
        <v>1217</v>
      </c>
      <c r="H878" s="26" t="s">
        <v>2680</v>
      </c>
      <c r="I878" s="54">
        <f>_xll.DBRW($A$1,$F$14,$F$15,$C878,$A$2,$F878,$G878,$H878,I$1)</f>
        <v>18</v>
      </c>
      <c r="J878" s="25">
        <f>_xll.DBRW($A$1,$F$14,$F$15,$C878,$A$2,$F878,$G878,$H878,J$19)</f>
        <v>9</v>
      </c>
    </row>
    <row r="879" spans="1:10" s="23" customFormat="1" outlineLevel="1" thickBot="1" x14ac:dyDescent="0.3">
      <c r="A879" s="44"/>
      <c r="B879" s="31" t="str">
        <f>IF(_xll.TM1RPTELISCONSOLIDATED($H$20,$H879),IF(_xll.TM1RPTELLEV($H$20,$H879)&lt;=5,_xll.TM1RPTELLEV($H$20,$H879),"Default"),"Leaf")</f>
        <v>Leaf</v>
      </c>
      <c r="C879" s="26" t="s">
        <v>14</v>
      </c>
      <c r="D879" s="24" t="str">
        <f>_xll.DBRW("TM1-S1_DEV:}ElementAttributes_SP_SKU",$F879,D$1)</f>
        <v>Primary</v>
      </c>
      <c r="E879" s="24" t="str">
        <f>_xll.DBRW("TM1-S1_DEV:}ElementAttributes_SP_SKU",$F879,E$1)</f>
        <v>DESSERT</v>
      </c>
      <c r="F879" s="26" t="s">
        <v>3139</v>
      </c>
      <c r="G879" s="26" t="s">
        <v>979</v>
      </c>
      <c r="H879" s="26" t="s">
        <v>2681</v>
      </c>
      <c r="I879" s="54">
        <f>_xll.DBRW($A$1,$F$14,$F$15,$C879,$A$2,$F879,$G879,$H879,I$1)</f>
        <v>11</v>
      </c>
      <c r="J879" s="25">
        <f>_xll.DBRW($A$1,$F$14,$F$15,$C879,$A$2,$F879,$G879,$H879,J$19)</f>
        <v>5</v>
      </c>
    </row>
    <row r="880" spans="1:10" s="23" customFormat="1" outlineLevel="1" thickBot="1" x14ac:dyDescent="0.3">
      <c r="A880" s="44"/>
      <c r="B880" s="31" t="str">
        <f>IF(_xll.TM1RPTELISCONSOLIDATED($H$20,$H880),IF(_xll.TM1RPTELLEV($H$20,$H880)&lt;=5,_xll.TM1RPTELLEV($H$20,$H880),"Default"),"Leaf")</f>
        <v>Leaf</v>
      </c>
      <c r="C880" s="26" t="s">
        <v>14</v>
      </c>
      <c r="D880" s="24" t="str">
        <f>_xll.DBRW("TM1-S1_DEV:}ElementAttributes_SP_SKU",$F880,D$1)</f>
        <v>Primary</v>
      </c>
      <c r="E880" s="24" t="str">
        <f>_xll.DBRW("TM1-S1_DEV:}ElementAttributes_SP_SKU",$F880,E$1)</f>
        <v>DESSERT</v>
      </c>
      <c r="F880" s="26" t="s">
        <v>3140</v>
      </c>
      <c r="G880" s="26" t="s">
        <v>980</v>
      </c>
      <c r="H880" s="26" t="s">
        <v>2681</v>
      </c>
      <c r="I880" s="54">
        <f>_xll.DBRW($A$1,$F$14,$F$15,$C880,$A$2,$F880,$G880,$H880,I$1)</f>
        <v>14</v>
      </c>
      <c r="J880" s="25">
        <f>_xll.DBRW($A$1,$F$14,$F$15,$C880,$A$2,$F880,$G880,$H880,J$19)</f>
        <v>5</v>
      </c>
    </row>
    <row r="881" spans="1:10" s="23" customFormat="1" outlineLevel="1" thickBot="1" x14ac:dyDescent="0.3">
      <c r="A881" s="44"/>
      <c r="B881" s="31" t="str">
        <f>IF(_xll.TM1RPTELISCONSOLIDATED($H$20,$H881),IF(_xll.TM1RPTELLEV($H$20,$H881)&lt;=5,_xll.TM1RPTELLEV($H$20,$H881),"Default"),"Leaf")</f>
        <v>Leaf</v>
      </c>
      <c r="C881" s="26" t="s">
        <v>14</v>
      </c>
      <c r="D881" s="24" t="str">
        <f>_xll.DBRW("TM1-S1_DEV:}ElementAttributes_SP_SKU",$F881,D$1)</f>
        <v>Primary</v>
      </c>
      <c r="E881" s="24" t="str">
        <f>_xll.DBRW("TM1-S1_DEV:}ElementAttributes_SP_SKU",$F881,E$1)</f>
        <v>PIE</v>
      </c>
      <c r="F881" s="26" t="s">
        <v>3141</v>
      </c>
      <c r="G881" s="26" t="s">
        <v>1274</v>
      </c>
      <c r="H881" s="26" t="s">
        <v>2678</v>
      </c>
      <c r="I881" s="54">
        <f>_xll.DBRW($A$1,$F$14,$F$15,$C881,$A$2,$F881,$G881,$H881,I$1)</f>
        <v>5</v>
      </c>
      <c r="J881" s="25">
        <f>_xll.DBRW($A$1,$F$14,$F$15,$C881,$A$2,$F881,$G881,$H881,J$19)</f>
        <v>5</v>
      </c>
    </row>
    <row r="882" spans="1:10" s="23" customFormat="1" outlineLevel="1" thickBot="1" x14ac:dyDescent="0.3">
      <c r="A882" s="44"/>
      <c r="B882" s="31" t="str">
        <f>IF(_xll.TM1RPTELISCONSOLIDATED($H$20,$H882),IF(_xll.TM1RPTELLEV($H$20,$H882)&lt;=5,_xll.TM1RPTELLEV($H$20,$H882),"Default"),"Leaf")</f>
        <v>Leaf</v>
      </c>
      <c r="C882" s="26" t="s">
        <v>14</v>
      </c>
      <c r="D882" s="24" t="str">
        <f>_xll.DBRW("TM1-S1_DEV:}ElementAttributes_SP_SKU",$F882,D$1)</f>
        <v>Primary</v>
      </c>
      <c r="E882" s="24" t="str">
        <f>_xll.DBRW("TM1-S1_DEV:}ElementAttributes_SP_SKU",$F882,E$1)</f>
        <v>CAKE</v>
      </c>
      <c r="F882" s="26" t="s">
        <v>3142</v>
      </c>
      <c r="G882" s="26" t="s">
        <v>981</v>
      </c>
      <c r="H882" s="26" t="s">
        <v>2682</v>
      </c>
      <c r="I882" s="54">
        <f>_xll.DBRW($A$1,$F$14,$F$15,$C882,$A$2,$F882,$G882,$H882,I$1)</f>
        <v>19</v>
      </c>
      <c r="J882" s="25">
        <f>_xll.DBRW($A$1,$F$14,$F$15,$C882,$A$2,$F882,$G882,$H882,J$19)</f>
        <v>6</v>
      </c>
    </row>
    <row r="883" spans="1:10" s="23" customFormat="1" outlineLevel="1" thickBot="1" x14ac:dyDescent="0.3">
      <c r="A883" s="44"/>
      <c r="B883" s="31" t="str">
        <f>IF(_xll.TM1RPTELISCONSOLIDATED($H$20,$H883),IF(_xll.TM1RPTELLEV($H$20,$H883)&lt;=5,_xll.TM1RPTELLEV($H$20,$H883),"Default"),"Leaf")</f>
        <v>Leaf</v>
      </c>
      <c r="C883" s="26" t="s">
        <v>14</v>
      </c>
      <c r="D883" s="24" t="str">
        <f>_xll.DBRW("TM1-S1_DEV:}ElementAttributes_SP_SKU",$F883,D$1)</f>
        <v>Primary</v>
      </c>
      <c r="E883" s="24" t="str">
        <f>_xll.DBRW("TM1-S1_DEV:}ElementAttributes_SP_SKU",$F883,E$1)</f>
        <v>CAKE</v>
      </c>
      <c r="F883" s="26" t="s">
        <v>3143</v>
      </c>
      <c r="G883" s="26" t="s">
        <v>1218</v>
      </c>
      <c r="H883" s="26" t="s">
        <v>2682</v>
      </c>
      <c r="I883" s="54">
        <f>_xll.DBRW($A$1,$F$14,$F$15,$C883,$A$2,$F883,$G883,$H883,I$1)</f>
        <v>12</v>
      </c>
      <c r="J883" s="25">
        <f>_xll.DBRW($A$1,$F$14,$F$15,$C883,$A$2,$F883,$G883,$H883,J$19)</f>
        <v>3</v>
      </c>
    </row>
    <row r="884" spans="1:10" s="23" customFormat="1" outlineLevel="1" thickBot="1" x14ac:dyDescent="0.3">
      <c r="A884" s="44"/>
      <c r="B884" s="31" t="str">
        <f>IF(_xll.TM1RPTELISCONSOLIDATED($H$20,$H884),IF(_xll.TM1RPTELLEV($H$20,$H884)&lt;=5,_xll.TM1RPTELLEV($H$20,$H884),"Default"),"Leaf")</f>
        <v>Leaf</v>
      </c>
      <c r="C884" s="26" t="s">
        <v>14</v>
      </c>
      <c r="D884" s="24" t="str">
        <f>_xll.DBRW("TM1-S1_DEV:}ElementAttributes_SP_SKU",$F884,D$1)</f>
        <v>Primary</v>
      </c>
      <c r="E884" s="24" t="str">
        <f>_xll.DBRW("TM1-S1_DEV:}ElementAttributes_SP_SKU",$F884,E$1)</f>
        <v>CAKE</v>
      </c>
      <c r="F884" s="26" t="s">
        <v>3144</v>
      </c>
      <c r="G884" s="26" t="s">
        <v>1219</v>
      </c>
      <c r="H884" s="26" t="s">
        <v>2679</v>
      </c>
      <c r="I884" s="54">
        <f>_xll.DBRW($A$1,$F$14,$F$15,$C884,$A$2,$F884,$G884,$H884,I$1)</f>
        <v>6</v>
      </c>
      <c r="J884" s="25">
        <f>_xll.DBRW($A$1,$F$14,$F$15,$C884,$A$2,$F884,$G884,$H884,J$19)</f>
        <v>0</v>
      </c>
    </row>
    <row r="885" spans="1:10" s="23" customFormat="1" outlineLevel="1" thickBot="1" x14ac:dyDescent="0.3">
      <c r="A885" s="44"/>
      <c r="B885" s="31" t="str">
        <f>IF(_xll.TM1RPTELISCONSOLIDATED($H$20,$H885),IF(_xll.TM1RPTELLEV($H$20,$H885)&lt;=5,_xll.TM1RPTELLEV($H$20,$H885),"Default"),"Leaf")</f>
        <v>Leaf</v>
      </c>
      <c r="C885" s="26" t="s">
        <v>14</v>
      </c>
      <c r="D885" s="24" t="str">
        <f>_xll.DBRW("TM1-S1_DEV:}ElementAttributes_SP_SKU",$F885,D$1)</f>
        <v>Primary</v>
      </c>
      <c r="E885" s="24" t="str">
        <f>_xll.DBRW("TM1-S1_DEV:}ElementAttributes_SP_SKU",$F885,E$1)</f>
        <v>CAKE</v>
      </c>
      <c r="F885" s="26" t="s">
        <v>3145</v>
      </c>
      <c r="G885" s="26" t="s">
        <v>1220</v>
      </c>
      <c r="H885" s="26" t="s">
        <v>2680</v>
      </c>
      <c r="I885" s="54">
        <f>_xll.DBRW($A$1,$F$14,$F$15,$C885,$A$2,$F885,$G885,$H885,I$1)</f>
        <v>13</v>
      </c>
      <c r="J885" s="25">
        <f>_xll.DBRW($A$1,$F$14,$F$15,$C885,$A$2,$F885,$G885,$H885,J$19)</f>
        <v>4</v>
      </c>
    </row>
    <row r="886" spans="1:10" s="23" customFormat="1" outlineLevel="1" thickBot="1" x14ac:dyDescent="0.3">
      <c r="A886" s="44"/>
      <c r="B886" s="31" t="str">
        <f>IF(_xll.TM1RPTELISCONSOLIDATED($H$20,$H886),IF(_xll.TM1RPTELLEV($H$20,$H886)&lt;=5,_xll.TM1RPTELLEV($H$20,$H886),"Default"),"Leaf")</f>
        <v>Leaf</v>
      </c>
      <c r="C886" s="26" t="s">
        <v>14</v>
      </c>
      <c r="D886" s="24" t="str">
        <f>_xll.DBRW("TM1-S1_DEV:}ElementAttributes_SP_SKU",$F886,D$1)</f>
        <v>Primary</v>
      </c>
      <c r="E886" s="24" t="str">
        <f>_xll.DBRW("TM1-S1_DEV:}ElementAttributes_SP_SKU",$F886,E$1)</f>
        <v>CAKE</v>
      </c>
      <c r="F886" s="26" t="s">
        <v>3146</v>
      </c>
      <c r="G886" s="26" t="s">
        <v>1221</v>
      </c>
      <c r="H886" s="26" t="s">
        <v>2680</v>
      </c>
      <c r="I886" s="54">
        <f>_xll.DBRW($A$1,$F$14,$F$15,$C886,$A$2,$F886,$G886,$H886,I$1)</f>
        <v>19</v>
      </c>
      <c r="J886" s="25">
        <f>_xll.DBRW($A$1,$F$14,$F$15,$C886,$A$2,$F886,$G886,$H886,J$19)</f>
        <v>6</v>
      </c>
    </row>
    <row r="887" spans="1:10" s="23" customFormat="1" outlineLevel="1" thickBot="1" x14ac:dyDescent="0.3">
      <c r="A887" s="44"/>
      <c r="B887" s="31" t="str">
        <f>IF(_xll.TM1RPTELISCONSOLIDATED($H$20,$H887),IF(_xll.TM1RPTELLEV($H$20,$H887)&lt;=5,_xll.TM1RPTELLEV($H$20,$H887),"Default"),"Leaf")</f>
        <v>Leaf</v>
      </c>
      <c r="C887" s="26" t="s">
        <v>14</v>
      </c>
      <c r="D887" s="24" t="str">
        <f>_xll.DBRW("TM1-S1_DEV:}ElementAttributes_SP_SKU",$F887,D$1)</f>
        <v>Primary</v>
      </c>
      <c r="E887" s="24" t="str">
        <f>_xll.DBRW("TM1-S1_DEV:}ElementAttributes_SP_SKU",$F887,E$1)</f>
        <v>CONDIMENT</v>
      </c>
      <c r="F887" s="26" t="s">
        <v>3147</v>
      </c>
      <c r="G887" s="26" t="s">
        <v>1222</v>
      </c>
      <c r="H887" s="26" t="s">
        <v>2683</v>
      </c>
      <c r="I887" s="54">
        <f>_xll.DBRW($A$1,$F$14,$F$15,$C887,$A$2,$F887,$G887,$H887,I$1)</f>
        <v>18</v>
      </c>
      <c r="J887" s="25">
        <f>_xll.DBRW($A$1,$F$14,$F$15,$C887,$A$2,$F887,$G887,$H887,J$19)</f>
        <v>10</v>
      </c>
    </row>
    <row r="888" spans="1:10" s="23" customFormat="1" outlineLevel="1" thickBot="1" x14ac:dyDescent="0.3">
      <c r="A888" s="44"/>
      <c r="B888" s="31" t="str">
        <f>IF(_xll.TM1RPTELISCONSOLIDATED($H$20,$H888),IF(_xll.TM1RPTELLEV($H$20,$H888)&lt;=5,_xll.TM1RPTELLEV($H$20,$H888),"Default"),"Leaf")</f>
        <v>Leaf</v>
      </c>
      <c r="C888" s="26" t="s">
        <v>14</v>
      </c>
      <c r="D888" s="24" t="str">
        <f>_xll.DBRW("TM1-S1_DEV:}ElementAttributes_SP_SKU",$F888,D$1)</f>
        <v>Primary</v>
      </c>
      <c r="E888" s="24" t="str">
        <f>_xll.DBRW("TM1-S1_DEV:}ElementAttributes_SP_SKU",$F888,E$1)</f>
        <v>CONDIMENT</v>
      </c>
      <c r="F888" s="26" t="s">
        <v>3148</v>
      </c>
      <c r="G888" s="26" t="s">
        <v>982</v>
      </c>
      <c r="H888" s="26" t="s">
        <v>2684</v>
      </c>
      <c r="I888" s="54">
        <f>_xll.DBRW($A$1,$F$14,$F$15,$C888,$A$2,$F888,$G888,$H888,I$1)</f>
        <v>2</v>
      </c>
      <c r="J888" s="25">
        <f>_xll.DBRW($A$1,$F$14,$F$15,$C888,$A$2,$F888,$G888,$H888,J$19)</f>
        <v>3</v>
      </c>
    </row>
    <row r="889" spans="1:10" s="23" customFormat="1" outlineLevel="1" thickBot="1" x14ac:dyDescent="0.3">
      <c r="A889" s="44"/>
      <c r="B889" s="31" t="str">
        <f>IF(_xll.TM1RPTELISCONSOLIDATED($H$20,$H889),IF(_xll.TM1RPTELLEV($H$20,$H889)&lt;=5,_xll.TM1RPTELLEV($H$20,$H889),"Default"),"Leaf")</f>
        <v>Leaf</v>
      </c>
      <c r="C889" s="26" t="s">
        <v>14</v>
      </c>
      <c r="D889" s="24" t="str">
        <f>_xll.DBRW("TM1-S1_DEV:}ElementAttributes_SP_SKU",$F889,D$1)</f>
        <v>Primary</v>
      </c>
      <c r="E889" s="24" t="str">
        <f>_xll.DBRW("TM1-S1_DEV:}ElementAttributes_SP_SKU",$F889,E$1)</f>
        <v>CONDIMENT</v>
      </c>
      <c r="F889" s="26" t="s">
        <v>3149</v>
      </c>
      <c r="G889" s="26" t="s">
        <v>1223</v>
      </c>
      <c r="H889" s="26" t="s">
        <v>2684</v>
      </c>
      <c r="I889" s="54">
        <f>_xll.DBRW($A$1,$F$14,$F$15,$C889,$A$2,$F889,$G889,$H889,I$1)</f>
        <v>9</v>
      </c>
      <c r="J889" s="25">
        <f>_xll.DBRW($A$1,$F$14,$F$15,$C889,$A$2,$F889,$G889,$H889,J$19)</f>
        <v>7</v>
      </c>
    </row>
    <row r="890" spans="1:10" s="23" customFormat="1" outlineLevel="1" thickBot="1" x14ac:dyDescent="0.3">
      <c r="A890" s="44"/>
      <c r="B890" s="31" t="str">
        <f>IF(_xll.TM1RPTELISCONSOLIDATED($H$20,$H890),IF(_xll.TM1RPTELLEV($H$20,$H890)&lt;=5,_xll.TM1RPTELLEV($H$20,$H890),"Default"),"Leaf")</f>
        <v>Leaf</v>
      </c>
      <c r="C890" s="26" t="s">
        <v>14</v>
      </c>
      <c r="D890" s="24" t="str">
        <f>_xll.DBRW("TM1-S1_DEV:}ElementAttributes_SP_SKU",$F890,D$1)</f>
        <v>Primary</v>
      </c>
      <c r="E890" s="24" t="str">
        <f>_xll.DBRW("TM1-S1_DEV:}ElementAttributes_SP_SKU",$F890,E$1)</f>
        <v>CONDIMENT</v>
      </c>
      <c r="F890" s="26" t="s">
        <v>3150</v>
      </c>
      <c r="G890" s="26" t="s">
        <v>983</v>
      </c>
      <c r="H890" s="26" t="s">
        <v>2684</v>
      </c>
      <c r="I890" s="54">
        <f>_xll.DBRW($A$1,$F$14,$F$15,$C890,$A$2,$F890,$G890,$H890,I$1)</f>
        <v>9</v>
      </c>
      <c r="J890" s="25">
        <f>_xll.DBRW($A$1,$F$14,$F$15,$C890,$A$2,$F890,$G890,$H890,J$19)</f>
        <v>6</v>
      </c>
    </row>
    <row r="891" spans="1:10" s="23" customFormat="1" outlineLevel="1" thickBot="1" x14ac:dyDescent="0.3">
      <c r="A891" s="44"/>
      <c r="B891" s="31" t="str">
        <f>IF(_xll.TM1RPTELISCONSOLIDATED($H$20,$H891),IF(_xll.TM1RPTELLEV($H$20,$H891)&lt;=5,_xll.TM1RPTELLEV($H$20,$H891),"Default"),"Leaf")</f>
        <v>Leaf</v>
      </c>
      <c r="C891" s="26" t="s">
        <v>14</v>
      </c>
      <c r="D891" s="24" t="str">
        <f>_xll.DBRW("TM1-S1_DEV:}ElementAttributes_SP_SKU",$F891,D$1)</f>
        <v>Primary</v>
      </c>
      <c r="E891" s="24" t="str">
        <f>_xll.DBRW("TM1-S1_DEV:}ElementAttributes_SP_SKU",$F891,E$1)</f>
        <v>CONDIMENT</v>
      </c>
      <c r="F891" s="26" t="s">
        <v>3151</v>
      </c>
      <c r="G891" s="26" t="s">
        <v>1224</v>
      </c>
      <c r="H891" s="26" t="s">
        <v>2684</v>
      </c>
      <c r="I891" s="54">
        <f>_xll.DBRW($A$1,$F$14,$F$15,$C891,$A$2,$F891,$G891,$H891,I$1)</f>
        <v>5</v>
      </c>
      <c r="J891" s="25">
        <f>_xll.DBRW($A$1,$F$14,$F$15,$C891,$A$2,$F891,$G891,$H891,J$19)</f>
        <v>3</v>
      </c>
    </row>
    <row r="892" spans="1:10" s="23" customFormat="1" outlineLevel="1" thickBot="1" x14ac:dyDescent="0.3">
      <c r="A892" s="44"/>
      <c r="B892" s="31" t="str">
        <f>IF(_xll.TM1RPTELISCONSOLIDATED($H$20,$H892),IF(_xll.TM1RPTELLEV($H$20,$H892)&lt;=5,_xll.TM1RPTELLEV($H$20,$H892),"Default"),"Leaf")</f>
        <v>Leaf</v>
      </c>
      <c r="C892" s="26" t="s">
        <v>14</v>
      </c>
      <c r="D892" s="24" t="str">
        <f>_xll.DBRW("TM1-S1_DEV:}ElementAttributes_SP_SKU",$F892,D$1)</f>
        <v>Primary</v>
      </c>
      <c r="E892" s="24" t="str">
        <f>_xll.DBRW("TM1-S1_DEV:}ElementAttributes_SP_SKU",$F892,E$1)</f>
        <v>CONDIMENT</v>
      </c>
      <c r="F892" s="26" t="s">
        <v>3152</v>
      </c>
      <c r="G892" s="26" t="s">
        <v>984</v>
      </c>
      <c r="H892" s="26" t="s">
        <v>2684</v>
      </c>
      <c r="I892" s="54">
        <f>_xll.DBRW($A$1,$F$14,$F$15,$C892,$A$2,$F892,$G892,$H892,I$1)</f>
        <v>4</v>
      </c>
      <c r="J892" s="25">
        <f>_xll.DBRW($A$1,$F$14,$F$15,$C892,$A$2,$F892,$G892,$H892,J$19)</f>
        <v>4</v>
      </c>
    </row>
    <row r="893" spans="1:10" s="23" customFormat="1" outlineLevel="1" thickBot="1" x14ac:dyDescent="0.3">
      <c r="A893" s="44"/>
      <c r="B893" s="31" t="str">
        <f>IF(_xll.TM1RPTELISCONSOLIDATED($H$20,$H893),IF(_xll.TM1RPTELLEV($H$20,$H893)&lt;=5,_xll.TM1RPTELLEV($H$20,$H893),"Default"),"Leaf")</f>
        <v>Leaf</v>
      </c>
      <c r="C893" s="26" t="s">
        <v>14</v>
      </c>
      <c r="D893" s="24" t="str">
        <f>_xll.DBRW("TM1-S1_DEV:}ElementAttributes_SP_SKU",$F893,D$1)</f>
        <v>Primary</v>
      </c>
      <c r="E893" s="24" t="str">
        <f>_xll.DBRW("TM1-S1_DEV:}ElementAttributes_SP_SKU",$F893,E$1)</f>
        <v>CONDIMENT</v>
      </c>
      <c r="F893" s="26" t="s">
        <v>3153</v>
      </c>
      <c r="G893" s="26" t="s">
        <v>1225</v>
      </c>
      <c r="H893" s="26" t="s">
        <v>2684</v>
      </c>
      <c r="I893" s="54">
        <f>_xll.DBRW($A$1,$F$14,$F$15,$C893,$A$2,$F893,$G893,$H893,I$1)</f>
        <v>5</v>
      </c>
      <c r="J893" s="25">
        <f>_xll.DBRW($A$1,$F$14,$F$15,$C893,$A$2,$F893,$G893,$H893,J$19)</f>
        <v>3</v>
      </c>
    </row>
    <row r="894" spans="1:10" s="23" customFormat="1" outlineLevel="1" thickBot="1" x14ac:dyDescent="0.3">
      <c r="A894" s="44"/>
      <c r="B894" s="31" t="str">
        <f>IF(_xll.TM1RPTELISCONSOLIDATED($H$20,$H894),IF(_xll.TM1RPTELLEV($H$20,$H894)&lt;=5,_xll.TM1RPTELLEV($H$20,$H894),"Default"),"Leaf")</f>
        <v>Leaf</v>
      </c>
      <c r="C894" s="26" t="s">
        <v>14</v>
      </c>
      <c r="D894" s="24" t="str">
        <f>_xll.DBRW("TM1-S1_DEV:}ElementAttributes_SP_SKU",$F894,D$1)</f>
        <v>Primary</v>
      </c>
      <c r="E894" s="24" t="str">
        <f>_xll.DBRW("TM1-S1_DEV:}ElementAttributes_SP_SKU",$F894,E$1)</f>
        <v>CONDIMENT</v>
      </c>
      <c r="F894" s="26" t="s">
        <v>3154</v>
      </c>
      <c r="G894" s="26" t="s">
        <v>985</v>
      </c>
      <c r="H894" s="26" t="s">
        <v>2684</v>
      </c>
      <c r="I894" s="54">
        <f>_xll.DBRW($A$1,$F$14,$F$15,$C894,$A$2,$F894,$G894,$H894,I$1)</f>
        <v>21</v>
      </c>
      <c r="J894" s="25">
        <f>_xll.DBRW($A$1,$F$14,$F$15,$C894,$A$2,$F894,$G894,$H894,J$19)</f>
        <v>13</v>
      </c>
    </row>
    <row r="895" spans="1:10" s="23" customFormat="1" outlineLevel="1" thickBot="1" x14ac:dyDescent="0.3">
      <c r="A895" s="44"/>
      <c r="B895" s="31" t="str">
        <f>IF(_xll.TM1RPTELISCONSOLIDATED($H$20,$H895),IF(_xll.TM1RPTELLEV($H$20,$H895)&lt;=5,_xll.TM1RPTELLEV($H$20,$H895),"Default"),"Leaf")</f>
        <v>Leaf</v>
      </c>
      <c r="C895" s="26" t="s">
        <v>14</v>
      </c>
      <c r="D895" s="24" t="str">
        <f>_xll.DBRW("TM1-S1_DEV:}ElementAttributes_SP_SKU",$F895,D$1)</f>
        <v>Primary</v>
      </c>
      <c r="E895" s="24" t="str">
        <f>_xll.DBRW("TM1-S1_DEV:}ElementAttributes_SP_SKU",$F895,E$1)</f>
        <v>BREAD</v>
      </c>
      <c r="F895" s="26" t="s">
        <v>3163</v>
      </c>
      <c r="G895" s="26" t="s">
        <v>986</v>
      </c>
      <c r="H895" s="26" t="s">
        <v>2687</v>
      </c>
      <c r="I895" s="54">
        <f>_xll.DBRW($A$1,$F$14,$F$15,$C895,$A$2,$F895,$G895,$H895,I$1)</f>
        <v>135</v>
      </c>
      <c r="J895" s="25">
        <f>_xll.DBRW($A$1,$F$14,$F$15,$C895,$A$2,$F895,$G895,$H895,J$19)</f>
        <v>121</v>
      </c>
    </row>
    <row r="896" spans="1:10" s="23" customFormat="1" outlineLevel="1" thickBot="1" x14ac:dyDescent="0.3">
      <c r="A896" s="44"/>
      <c r="B896" s="31" t="str">
        <f>IF(_xll.TM1RPTELISCONSOLIDATED($H$20,$H896),IF(_xll.TM1RPTELLEV($H$20,$H896)&lt;=5,_xll.TM1RPTELLEV($H$20,$H896),"Default"),"Leaf")</f>
        <v>Leaf</v>
      </c>
      <c r="C896" s="26" t="s">
        <v>14</v>
      </c>
      <c r="D896" s="24" t="str">
        <f>_xll.DBRW("TM1-S1_DEV:}ElementAttributes_SP_SKU",$F896,D$1)</f>
        <v>Primary</v>
      </c>
      <c r="E896" s="24" t="str">
        <f>_xll.DBRW("TM1-S1_DEV:}ElementAttributes_SP_SKU",$F896,E$1)</f>
        <v>BREAD</v>
      </c>
      <c r="F896" s="26" t="s">
        <v>3164</v>
      </c>
      <c r="G896" s="26" t="s">
        <v>987</v>
      </c>
      <c r="H896" s="26" t="s">
        <v>2687</v>
      </c>
      <c r="I896" s="54">
        <f>_xll.DBRW($A$1,$F$14,$F$15,$C896,$A$2,$F896,$G896,$H896,I$1)</f>
        <v>47</v>
      </c>
      <c r="J896" s="25">
        <f>_xll.DBRW($A$1,$F$14,$F$15,$C896,$A$2,$F896,$G896,$H896,J$19)</f>
        <v>33</v>
      </c>
    </row>
    <row r="897" spans="1:10" s="23" customFormat="1" outlineLevel="1" thickBot="1" x14ac:dyDescent="0.3">
      <c r="A897" s="44"/>
      <c r="B897" s="31" t="str">
        <f>IF(_xll.TM1RPTELISCONSOLIDATED($H$20,$H897),IF(_xll.TM1RPTELLEV($H$20,$H897)&lt;=5,_xll.TM1RPTELLEV($H$20,$H897),"Default"),"Leaf")</f>
        <v>Leaf</v>
      </c>
      <c r="C897" s="26" t="s">
        <v>14</v>
      </c>
      <c r="D897" s="24" t="str">
        <f>_xll.DBRW("TM1-S1_DEV:}ElementAttributes_SP_SKU",$F897,D$1)</f>
        <v>Primary</v>
      </c>
      <c r="E897" s="24" t="str">
        <f>_xll.DBRW("TM1-S1_DEV:}ElementAttributes_SP_SKU",$F897,E$1)</f>
        <v>BREAD</v>
      </c>
      <c r="F897" s="26" t="s">
        <v>3165</v>
      </c>
      <c r="G897" s="26" t="s">
        <v>988</v>
      </c>
      <c r="H897" s="26" t="s">
        <v>2688</v>
      </c>
      <c r="I897" s="54">
        <f>_xll.DBRW($A$1,$F$14,$F$15,$C897,$A$2,$F897,$G897,$H897,I$1)</f>
        <v>76</v>
      </c>
      <c r="J897" s="25">
        <f>_xll.DBRW($A$1,$F$14,$F$15,$C897,$A$2,$F897,$G897,$H897,J$19)</f>
        <v>140</v>
      </c>
    </row>
    <row r="898" spans="1:10" s="23" customFormat="1" outlineLevel="1" thickBot="1" x14ac:dyDescent="0.3">
      <c r="A898" s="44"/>
      <c r="B898" s="31" t="str">
        <f>IF(_xll.TM1RPTELISCONSOLIDATED($H$20,$H898),IF(_xll.TM1RPTELLEV($H$20,$H898)&lt;=5,_xll.TM1RPTELLEV($H$20,$H898),"Default"),"Leaf")</f>
        <v>Leaf</v>
      </c>
      <c r="C898" s="26" t="s">
        <v>14</v>
      </c>
      <c r="D898" s="24" t="str">
        <f>_xll.DBRW("TM1-S1_DEV:}ElementAttributes_SP_SKU",$F898,D$1)</f>
        <v>Primary</v>
      </c>
      <c r="E898" s="24" t="str">
        <f>_xll.DBRW("TM1-S1_DEV:}ElementAttributes_SP_SKU",$F898,E$1)</f>
        <v>BREAD</v>
      </c>
      <c r="F898" s="26" t="s">
        <v>3166</v>
      </c>
      <c r="G898" s="26" t="s">
        <v>989</v>
      </c>
      <c r="H898" s="26" t="s">
        <v>2689</v>
      </c>
      <c r="I898" s="54">
        <f>_xll.DBRW($A$1,$F$14,$F$15,$C898,$A$2,$F898,$G898,$H898,I$1)</f>
        <v>85</v>
      </c>
      <c r="J898" s="25">
        <f>_xll.DBRW($A$1,$F$14,$F$15,$C898,$A$2,$F898,$G898,$H898,J$19)</f>
        <v>62</v>
      </c>
    </row>
    <row r="899" spans="1:10" s="23" customFormat="1" outlineLevel="1" thickBot="1" x14ac:dyDescent="0.3">
      <c r="A899" s="44"/>
      <c r="B899" s="31" t="str">
        <f>IF(_xll.TM1RPTELISCONSOLIDATED($H$20,$H899),IF(_xll.TM1RPTELLEV($H$20,$H899)&lt;=5,_xll.TM1RPTELLEV($H$20,$H899),"Default"),"Leaf")</f>
        <v>Leaf</v>
      </c>
      <c r="C899" s="26" t="s">
        <v>14</v>
      </c>
      <c r="D899" s="24" t="str">
        <f>_xll.DBRW("TM1-S1_DEV:}ElementAttributes_SP_SKU",$F899,D$1)</f>
        <v>Primary</v>
      </c>
      <c r="E899" s="24" t="str">
        <f>_xll.DBRW("TM1-S1_DEV:}ElementAttributes_SP_SKU",$F899,E$1)</f>
        <v>BREAD</v>
      </c>
      <c r="F899" s="26" t="s">
        <v>3167</v>
      </c>
      <c r="G899" s="26" t="s">
        <v>990</v>
      </c>
      <c r="H899" s="26" t="s">
        <v>2688</v>
      </c>
      <c r="I899" s="54">
        <f>_xll.DBRW($A$1,$F$14,$F$15,$C899,$A$2,$F899,$G899,$H899,I$1)</f>
        <v>24</v>
      </c>
      <c r="J899" s="25">
        <f>_xll.DBRW($A$1,$F$14,$F$15,$C899,$A$2,$F899,$G899,$H899,J$19)</f>
        <v>54</v>
      </c>
    </row>
    <row r="900" spans="1:10" s="23" customFormat="1" outlineLevel="1" thickBot="1" x14ac:dyDescent="0.3">
      <c r="A900" s="44"/>
      <c r="B900" s="31" t="str">
        <f>IF(_xll.TM1RPTELISCONSOLIDATED($H$20,$H900),IF(_xll.TM1RPTELLEV($H$20,$H900)&lt;=5,_xll.TM1RPTELLEV($H$20,$H900),"Default"),"Leaf")</f>
        <v>Leaf</v>
      </c>
      <c r="C900" s="26" t="s">
        <v>14</v>
      </c>
      <c r="D900" s="24" t="str">
        <f>_xll.DBRW("TM1-S1_DEV:}ElementAttributes_SP_SKU",$F900,D$1)</f>
        <v>Primary</v>
      </c>
      <c r="E900" s="24" t="str">
        <f>_xll.DBRW("TM1-S1_DEV:}ElementAttributes_SP_SKU",$F900,E$1)</f>
        <v>BREAD</v>
      </c>
      <c r="F900" s="26" t="s">
        <v>3168</v>
      </c>
      <c r="G900" s="26" t="s">
        <v>991</v>
      </c>
      <c r="H900" s="26" t="s">
        <v>2688</v>
      </c>
      <c r="I900" s="54">
        <f>_xll.DBRW($A$1,$F$14,$F$15,$C900,$A$2,$F900,$G900,$H900,I$1)</f>
        <v>44</v>
      </c>
      <c r="J900" s="25">
        <f>_xll.DBRW($A$1,$F$14,$F$15,$C900,$A$2,$F900,$G900,$H900,J$19)</f>
        <v>35</v>
      </c>
    </row>
    <row r="901" spans="1:10" s="23" customFormat="1" outlineLevel="1" thickBot="1" x14ac:dyDescent="0.3">
      <c r="A901" s="44"/>
      <c r="B901" s="31" t="str">
        <f>IF(_xll.TM1RPTELISCONSOLIDATED($H$20,$H901),IF(_xll.TM1RPTELLEV($H$20,$H901)&lt;=5,_xll.TM1RPTELLEV($H$20,$H901),"Default"),"Leaf")</f>
        <v>Leaf</v>
      </c>
      <c r="C901" s="26" t="s">
        <v>14</v>
      </c>
      <c r="D901" s="24" t="str">
        <f>_xll.DBRW("TM1-S1_DEV:}ElementAttributes_SP_SKU",$F901,D$1)</f>
        <v>Primary</v>
      </c>
      <c r="E901" s="24" t="str">
        <f>_xll.DBRW("TM1-S1_DEV:}ElementAttributes_SP_SKU",$F901,E$1)</f>
        <v>BREAD</v>
      </c>
      <c r="F901" s="26" t="s">
        <v>3169</v>
      </c>
      <c r="G901" s="26" t="s">
        <v>992</v>
      </c>
      <c r="H901" s="26" t="s">
        <v>2690</v>
      </c>
      <c r="I901" s="54">
        <f>_xll.DBRW($A$1,$F$14,$F$15,$C901,$A$2,$F901,$G901,$H901,I$1)</f>
        <v>47</v>
      </c>
      <c r="J901" s="25">
        <f>_xll.DBRW($A$1,$F$14,$F$15,$C901,$A$2,$F901,$G901,$H901,J$19)</f>
        <v>32</v>
      </c>
    </row>
    <row r="902" spans="1:10" s="23" customFormat="1" outlineLevel="1" thickBot="1" x14ac:dyDescent="0.3">
      <c r="A902" s="44"/>
      <c r="B902" s="31" t="str">
        <f>IF(_xll.TM1RPTELISCONSOLIDATED($H$20,$H902),IF(_xll.TM1RPTELLEV($H$20,$H902)&lt;=5,_xll.TM1RPTELLEV($H$20,$H902),"Default"),"Leaf")</f>
        <v>Leaf</v>
      </c>
      <c r="C902" s="26" t="s">
        <v>14</v>
      </c>
      <c r="D902" s="24" t="str">
        <f>_xll.DBRW("TM1-S1_DEV:}ElementAttributes_SP_SKU",$F902,D$1)</f>
        <v>Primary</v>
      </c>
      <c r="E902" s="24" t="str">
        <f>_xll.DBRW("TM1-S1_DEV:}ElementAttributes_SP_SKU",$F902,E$1)</f>
        <v>BREAD</v>
      </c>
      <c r="F902" s="26" t="s">
        <v>3170</v>
      </c>
      <c r="G902" s="26" t="s">
        <v>1226</v>
      </c>
      <c r="H902" s="26" t="s">
        <v>2690</v>
      </c>
      <c r="I902" s="54">
        <f>_xll.DBRW($A$1,$F$14,$F$15,$C902,$A$2,$F902,$G902,$H902,I$1)</f>
        <v>2</v>
      </c>
      <c r="J902" s="25">
        <f>_xll.DBRW($A$1,$F$14,$F$15,$C902,$A$2,$F902,$G902,$H902,J$19)</f>
        <v>0</v>
      </c>
    </row>
    <row r="903" spans="1:10" s="23" customFormat="1" outlineLevel="1" thickBot="1" x14ac:dyDescent="0.3">
      <c r="A903" s="44"/>
      <c r="B903" s="31" t="str">
        <f>IF(_xll.TM1RPTELISCONSOLIDATED($H$20,$H903),IF(_xll.TM1RPTELLEV($H$20,$H903)&lt;=5,_xll.TM1RPTELLEV($H$20,$H903),"Default"),"Leaf")</f>
        <v>Leaf</v>
      </c>
      <c r="C903" s="26" t="s">
        <v>14</v>
      </c>
      <c r="D903" s="24" t="str">
        <f>_xll.DBRW("TM1-S1_DEV:}ElementAttributes_SP_SKU",$F903,D$1)</f>
        <v>Primary</v>
      </c>
      <c r="E903" s="24" t="str">
        <f>_xll.DBRW("TM1-S1_DEV:}ElementAttributes_SP_SKU",$F903,E$1)</f>
        <v>BREAD</v>
      </c>
      <c r="F903" s="26" t="s">
        <v>3171</v>
      </c>
      <c r="G903" s="26" t="s">
        <v>1227</v>
      </c>
      <c r="H903" s="26" t="s">
        <v>2690</v>
      </c>
      <c r="I903" s="54">
        <f>_xll.DBRW($A$1,$F$14,$F$15,$C903,$A$2,$F903,$G903,$H903,I$1)</f>
        <v>8</v>
      </c>
      <c r="J903" s="25">
        <f>_xll.DBRW($A$1,$F$14,$F$15,$C903,$A$2,$F903,$G903,$H903,J$19)</f>
        <v>4</v>
      </c>
    </row>
    <row r="904" spans="1:10" s="23" customFormat="1" outlineLevel="1" thickBot="1" x14ac:dyDescent="0.3">
      <c r="A904" s="44"/>
      <c r="B904" s="31" t="str">
        <f>IF(_xll.TM1RPTELISCONSOLIDATED($H$20,$H904),IF(_xll.TM1RPTELLEV($H$20,$H904)&lt;=5,_xll.TM1RPTELLEV($H$20,$H904),"Default"),"Leaf")</f>
        <v>Leaf</v>
      </c>
      <c r="C904" s="26" t="s">
        <v>14</v>
      </c>
      <c r="D904" s="24" t="str">
        <f>_xll.DBRW("TM1-S1_DEV:}ElementAttributes_SP_SKU",$F904,D$1)</f>
        <v>Primary</v>
      </c>
      <c r="E904" s="24" t="str">
        <f>_xll.DBRW("TM1-S1_DEV:}ElementAttributes_SP_SKU",$F904,E$1)</f>
        <v>BREAD</v>
      </c>
      <c r="F904" s="26" t="s">
        <v>3172</v>
      </c>
      <c r="G904" s="26" t="s">
        <v>1228</v>
      </c>
      <c r="H904" s="26" t="s">
        <v>2690</v>
      </c>
      <c r="I904" s="54">
        <f>_xll.DBRW($A$1,$F$14,$F$15,$C904,$A$2,$F904,$G904,$H904,I$1)</f>
        <v>5</v>
      </c>
      <c r="J904" s="25">
        <f>_xll.DBRW($A$1,$F$14,$F$15,$C904,$A$2,$F904,$G904,$H904,J$19)</f>
        <v>1</v>
      </c>
    </row>
    <row r="905" spans="1:10" s="23" customFormat="1" outlineLevel="1" thickBot="1" x14ac:dyDescent="0.3">
      <c r="A905" s="44"/>
      <c r="B905" s="31" t="str">
        <f>IF(_xll.TM1RPTELISCONSOLIDATED($H$20,$H905),IF(_xll.TM1RPTELLEV($H$20,$H905)&lt;=5,_xll.TM1RPTELLEV($H$20,$H905),"Default"),"Leaf")</f>
        <v>Leaf</v>
      </c>
      <c r="C905" s="26" t="s">
        <v>14</v>
      </c>
      <c r="D905" s="24" t="str">
        <f>_xll.DBRW("TM1-S1_DEV:}ElementAttributes_SP_SKU",$F905,D$1)</f>
        <v>Primary</v>
      </c>
      <c r="E905" s="24" t="str">
        <f>_xll.DBRW("TM1-S1_DEV:}ElementAttributes_SP_SKU",$F905,E$1)</f>
        <v>BREAD</v>
      </c>
      <c r="F905" s="26" t="s">
        <v>3252</v>
      </c>
      <c r="G905" s="26" t="s">
        <v>1229</v>
      </c>
      <c r="H905" s="26" t="s">
        <v>2691</v>
      </c>
      <c r="I905" s="54">
        <f>_xll.DBRW($A$1,$F$14,$F$15,$C905,$A$2,$F905,$G905,$H905,I$1)</f>
        <v>9</v>
      </c>
      <c r="J905" s="25">
        <f>_xll.DBRW($A$1,$F$14,$F$15,$C905,$A$2,$F905,$G905,$H905,J$19)</f>
        <v>6</v>
      </c>
    </row>
    <row r="906" spans="1:10" s="23" customFormat="1" outlineLevel="1" thickBot="1" x14ac:dyDescent="0.3">
      <c r="A906" s="44"/>
      <c r="B906" s="31" t="str">
        <f>IF(_xll.TM1RPTELISCONSOLIDATED($H$20,$H906),IF(_xll.TM1RPTELLEV($H$20,$H906)&lt;=5,_xll.TM1RPTELLEV($H$20,$H906),"Default"),"Leaf")</f>
        <v>Leaf</v>
      </c>
      <c r="C906" s="26" t="s">
        <v>14</v>
      </c>
      <c r="D906" s="24" t="str">
        <f>_xll.DBRW("TM1-S1_DEV:}ElementAttributes_SP_SKU",$F906,D$1)</f>
        <v>Primary</v>
      </c>
      <c r="E906" s="24" t="str">
        <f>_xll.DBRW("TM1-S1_DEV:}ElementAttributes_SP_SKU",$F906,E$1)</f>
        <v>CONDIMENT</v>
      </c>
      <c r="F906" s="26" t="s">
        <v>3174</v>
      </c>
      <c r="G906" s="26" t="s">
        <v>994</v>
      </c>
      <c r="H906" s="26" t="s">
        <v>2684</v>
      </c>
      <c r="I906" s="54">
        <f>_xll.DBRW($A$1,$F$14,$F$15,$C906,$A$2,$F906,$G906,$H906,I$1)</f>
        <v>10</v>
      </c>
      <c r="J906" s="25">
        <f>_xll.DBRW($A$1,$F$14,$F$15,$C906,$A$2,$F906,$G906,$H906,J$19)</f>
        <v>8</v>
      </c>
    </row>
    <row r="907" spans="1:10" s="23" customFormat="1" outlineLevel="1" thickBot="1" x14ac:dyDescent="0.3">
      <c r="A907" s="44"/>
      <c r="B907" s="31" t="str">
        <f>IF(_xll.TM1RPTELISCONSOLIDATED($H$20,$H907),IF(_xll.TM1RPTELLEV($H$20,$H907)&lt;=5,_xll.TM1RPTELLEV($H$20,$H907),"Default"),"Leaf")</f>
        <v>Leaf</v>
      </c>
      <c r="C907" s="26" t="s">
        <v>14</v>
      </c>
      <c r="D907" s="24" t="str">
        <f>_xll.DBRW("TM1-S1_DEV:}ElementAttributes_SP_SKU",$F907,D$1)</f>
        <v>Primary</v>
      </c>
      <c r="E907" s="24" t="str">
        <f>_xll.DBRW("TM1-S1_DEV:}ElementAttributes_SP_SKU",$F907,E$1)</f>
        <v>CONDIMENT</v>
      </c>
      <c r="F907" s="26" t="s">
        <v>3176</v>
      </c>
      <c r="G907" s="26" t="s">
        <v>996</v>
      </c>
      <c r="H907" s="26" t="s">
        <v>2684</v>
      </c>
      <c r="I907" s="54">
        <f>_xll.DBRW($A$1,$F$14,$F$15,$C907,$A$2,$F907,$G907,$H907,I$1)</f>
        <v>8</v>
      </c>
      <c r="J907" s="25">
        <f>_xll.DBRW($A$1,$F$14,$F$15,$C907,$A$2,$F907,$G907,$H907,J$19)</f>
        <v>5</v>
      </c>
    </row>
    <row r="908" spans="1:10" s="23" customFormat="1" outlineLevel="1" thickBot="1" x14ac:dyDescent="0.3">
      <c r="A908" s="44"/>
      <c r="B908" s="31" t="str">
        <f>IF(_xll.TM1RPTELISCONSOLIDATED($H$20,$H908),IF(_xll.TM1RPTELLEV($H$20,$H908)&lt;=5,_xll.TM1RPTELLEV($H$20,$H908),"Default"),"Leaf")</f>
        <v>Leaf</v>
      </c>
      <c r="C908" s="26" t="s">
        <v>14</v>
      </c>
      <c r="D908" s="24" t="str">
        <f>_xll.DBRW("TM1-S1_DEV:}ElementAttributes_SP_SKU",$F908,D$1)</f>
        <v>Primary</v>
      </c>
      <c r="E908" s="24" t="str">
        <f>_xll.DBRW("TM1-S1_DEV:}ElementAttributes_SP_SKU",$F908,E$1)</f>
        <v>CONDIMENT</v>
      </c>
      <c r="F908" s="26" t="s">
        <v>3253</v>
      </c>
      <c r="G908" s="26" t="s">
        <v>997</v>
      </c>
      <c r="H908" s="26" t="s">
        <v>2686</v>
      </c>
      <c r="I908" s="54">
        <f>_xll.DBRW($A$1,$F$14,$F$15,$C908,$A$2,$F908,$G908,$H908,I$1)</f>
        <v>22</v>
      </c>
      <c r="J908" s="25">
        <f>_xll.DBRW($A$1,$F$14,$F$15,$C908,$A$2,$F908,$G908,$H908,J$19)</f>
        <v>18</v>
      </c>
    </row>
    <row r="909" spans="1:10" s="23" customFormat="1" outlineLevel="1" thickBot="1" x14ac:dyDescent="0.3">
      <c r="A909" s="44"/>
      <c r="B909" s="31" t="str">
        <f>IF(_xll.TM1RPTELISCONSOLIDATED($H$20,$H909),IF(_xll.TM1RPTELLEV($H$20,$H909)&lt;=5,_xll.TM1RPTELLEV($H$20,$H909),"Default"),"Leaf")</f>
        <v>Leaf</v>
      </c>
      <c r="C909" s="26" t="s">
        <v>14</v>
      </c>
      <c r="D909" s="24" t="str">
        <f>_xll.DBRW("TM1-S1_DEV:}ElementAttributes_SP_SKU",$F909,D$1)</f>
        <v>Primary</v>
      </c>
      <c r="E909" s="24" t="str">
        <f>_xll.DBRW("TM1-S1_DEV:}ElementAttributes_SP_SKU",$F909,E$1)</f>
        <v>CONDIMENT</v>
      </c>
      <c r="F909" s="26" t="s">
        <v>3178</v>
      </c>
      <c r="G909" s="26" t="s">
        <v>998</v>
      </c>
      <c r="H909" s="26" t="s">
        <v>2684</v>
      </c>
      <c r="I909" s="54">
        <f>_xll.DBRW($A$1,$F$14,$F$15,$C909,$A$2,$F909,$G909,$H909,I$1)</f>
        <v>4</v>
      </c>
      <c r="J909" s="25">
        <f>_xll.DBRW($A$1,$F$14,$F$15,$C909,$A$2,$F909,$G909,$H909,J$19)</f>
        <v>2</v>
      </c>
    </row>
    <row r="910" spans="1:10" s="23" customFormat="1" outlineLevel="1" thickBot="1" x14ac:dyDescent="0.3">
      <c r="A910" s="44"/>
      <c r="B910" s="31" t="str">
        <f>IF(_xll.TM1RPTELISCONSOLIDATED($H$20,$H910),IF(_xll.TM1RPTELLEV($H$20,$H910)&lt;=5,_xll.TM1RPTELLEV($H$20,$H910),"Default"),"Leaf")</f>
        <v>Leaf</v>
      </c>
      <c r="C910" s="26" t="s">
        <v>14</v>
      </c>
      <c r="D910" s="24" t="str">
        <f>_xll.DBRW("TM1-S1_DEV:}ElementAttributes_SP_SKU",$F910,D$1)</f>
        <v>Primary</v>
      </c>
      <c r="E910" s="24" t="str">
        <f>_xll.DBRW("TM1-S1_DEV:}ElementAttributes_SP_SKU",$F910,E$1)</f>
        <v>CONDIMENT</v>
      </c>
      <c r="F910" s="26" t="s">
        <v>3179</v>
      </c>
      <c r="G910" s="26" t="s">
        <v>999</v>
      </c>
      <c r="H910" s="26" t="s">
        <v>2684</v>
      </c>
      <c r="I910" s="54">
        <f>_xll.DBRW($A$1,$F$14,$F$15,$C910,$A$2,$F910,$G910,$H910,I$1)</f>
        <v>23</v>
      </c>
      <c r="J910" s="25">
        <f>_xll.DBRW($A$1,$F$14,$F$15,$C910,$A$2,$F910,$G910,$H910,J$19)</f>
        <v>21</v>
      </c>
    </row>
    <row r="911" spans="1:10" s="23" customFormat="1" outlineLevel="1" thickBot="1" x14ac:dyDescent="0.3">
      <c r="A911" s="44"/>
      <c r="B911" s="31" t="str">
        <f>IF(_xll.TM1RPTELISCONSOLIDATED($H$20,$H911),IF(_xll.TM1RPTELLEV($H$20,$H911)&lt;=5,_xll.TM1RPTELLEV($H$20,$H911),"Default"),"Leaf")</f>
        <v>Leaf</v>
      </c>
      <c r="C911" s="26" t="s">
        <v>14</v>
      </c>
      <c r="D911" s="24" t="str">
        <f>_xll.DBRW("TM1-S1_DEV:}ElementAttributes_SP_SKU",$F911,D$1)</f>
        <v>Primary</v>
      </c>
      <c r="E911" s="24" t="str">
        <f>_xll.DBRW("TM1-S1_DEV:}ElementAttributes_SP_SKU",$F911,E$1)</f>
        <v>COOKIE</v>
      </c>
      <c r="F911" s="26" t="s">
        <v>3180</v>
      </c>
      <c r="G911" s="26" t="s">
        <v>1000</v>
      </c>
      <c r="H911" s="26" t="s">
        <v>2691</v>
      </c>
      <c r="I911" s="54">
        <f>_xll.DBRW($A$1,$F$14,$F$15,$C911,$A$2,$F911,$G911,$H911,I$1)</f>
        <v>27</v>
      </c>
      <c r="J911" s="25">
        <f>_xll.DBRW($A$1,$F$14,$F$15,$C911,$A$2,$F911,$G911,$H911,J$19)</f>
        <v>39</v>
      </c>
    </row>
    <row r="912" spans="1:10" s="23" customFormat="1" outlineLevel="1" thickBot="1" x14ac:dyDescent="0.3">
      <c r="A912" s="44"/>
      <c r="B912" s="31" t="str">
        <f>IF(_xll.TM1RPTELISCONSOLIDATED($H$20,$H912),IF(_xll.TM1RPTELLEV($H$20,$H912)&lt;=5,_xll.TM1RPTELLEV($H$20,$H912),"Default"),"Leaf")</f>
        <v>Leaf</v>
      </c>
      <c r="C912" s="26" t="s">
        <v>14</v>
      </c>
      <c r="D912" s="24" t="str">
        <f>_xll.DBRW("TM1-S1_DEV:}ElementAttributes_SP_SKU",$F912,D$1)</f>
        <v>Primary</v>
      </c>
      <c r="E912" s="24" t="str">
        <f>_xll.DBRW("TM1-S1_DEV:}ElementAttributes_SP_SKU",$F912,E$1)</f>
        <v>COOKIE</v>
      </c>
      <c r="F912" s="26" t="s">
        <v>3181</v>
      </c>
      <c r="G912" s="26" t="s">
        <v>1001</v>
      </c>
      <c r="H912" s="26" t="s">
        <v>2691</v>
      </c>
      <c r="I912" s="54">
        <f>_xll.DBRW($A$1,$F$14,$F$15,$C912,$A$2,$F912,$G912,$H912,I$1)</f>
        <v>17</v>
      </c>
      <c r="J912" s="25">
        <f>_xll.DBRW($A$1,$F$14,$F$15,$C912,$A$2,$F912,$G912,$H912,J$19)</f>
        <v>44</v>
      </c>
    </row>
    <row r="913" spans="1:10" s="23" customFormat="1" outlineLevel="1" thickBot="1" x14ac:dyDescent="0.3">
      <c r="A913" s="44"/>
      <c r="B913" s="31" t="str">
        <f>IF(_xll.TM1RPTELISCONSOLIDATED($H$20,$H913),IF(_xll.TM1RPTELLEV($H$20,$H913)&lt;=5,_xll.TM1RPTELLEV($H$20,$H913),"Default"),"Leaf")</f>
        <v>Leaf</v>
      </c>
      <c r="C913" s="26" t="s">
        <v>14</v>
      </c>
      <c r="D913" s="24" t="str">
        <f>_xll.DBRW("TM1-S1_DEV:}ElementAttributes_SP_SKU",$F913,D$1)</f>
        <v>Primary</v>
      </c>
      <c r="E913" s="24" t="str">
        <f>_xll.DBRW("TM1-S1_DEV:}ElementAttributes_SP_SKU",$F913,E$1)</f>
        <v>COOKIE</v>
      </c>
      <c r="F913" s="26" t="s">
        <v>3182</v>
      </c>
      <c r="G913" s="26" t="s">
        <v>1002</v>
      </c>
      <c r="H913" s="26" t="s">
        <v>2691</v>
      </c>
      <c r="I913" s="54">
        <f>_xll.DBRW($A$1,$F$14,$F$15,$C913,$A$2,$F913,$G913,$H913,I$1)</f>
        <v>22</v>
      </c>
      <c r="J913" s="25">
        <f>_xll.DBRW($A$1,$F$14,$F$15,$C913,$A$2,$F913,$G913,$H913,J$19)</f>
        <v>34</v>
      </c>
    </row>
    <row r="914" spans="1:10" s="23" customFormat="1" outlineLevel="1" thickBot="1" x14ac:dyDescent="0.3">
      <c r="A914" s="44"/>
      <c r="B914" s="31" t="str">
        <f>IF(_xll.TM1RPTELISCONSOLIDATED($H$20,$H914),IF(_xll.TM1RPTELLEV($H$20,$H914)&lt;=5,_xll.TM1RPTELLEV($H$20,$H914),"Default"),"Leaf")</f>
        <v>Leaf</v>
      </c>
      <c r="C914" s="26" t="s">
        <v>14</v>
      </c>
      <c r="D914" s="24" t="str">
        <f>_xll.DBRW("TM1-S1_DEV:}ElementAttributes_SP_SKU",$F914,D$1)</f>
        <v>Primary</v>
      </c>
      <c r="E914" s="24" t="str">
        <f>_xll.DBRW("TM1-S1_DEV:}ElementAttributes_SP_SKU",$F914,E$1)</f>
        <v>COOKIE</v>
      </c>
      <c r="F914" s="26" t="s">
        <v>3183</v>
      </c>
      <c r="G914" s="26" t="s">
        <v>1003</v>
      </c>
      <c r="H914" s="26" t="s">
        <v>2691</v>
      </c>
      <c r="I914" s="54">
        <f>_xll.DBRW($A$1,$F$14,$F$15,$C914,$A$2,$F914,$G914,$H914,I$1)</f>
        <v>216</v>
      </c>
      <c r="J914" s="25">
        <f>_xll.DBRW($A$1,$F$14,$F$15,$C914,$A$2,$F914,$G914,$H914,J$19)</f>
        <v>206</v>
      </c>
    </row>
    <row r="915" spans="1:10" s="23" customFormat="1" outlineLevel="1" thickBot="1" x14ac:dyDescent="0.3">
      <c r="A915" s="44"/>
      <c r="B915" s="31" t="str">
        <f>IF(_xll.TM1RPTELISCONSOLIDATED($H$20,$H915),IF(_xll.TM1RPTELLEV($H$20,$H915)&lt;=5,_xll.TM1RPTELLEV($H$20,$H915),"Default"),"Leaf")</f>
        <v>Leaf</v>
      </c>
      <c r="C915" s="26" t="s">
        <v>14</v>
      </c>
      <c r="D915" s="24" t="str">
        <f>_xll.DBRW("TM1-S1_DEV:}ElementAttributes_SP_SKU",$F915,D$1)</f>
        <v>Primary</v>
      </c>
      <c r="E915" s="24" t="str">
        <f>_xll.DBRW("TM1-S1_DEV:}ElementAttributes_SP_SKU",$F915,E$1)</f>
        <v>INGREDIENT</v>
      </c>
      <c r="F915" s="26" t="s">
        <v>3185</v>
      </c>
      <c r="G915" s="26" t="s">
        <v>1004</v>
      </c>
      <c r="H915" s="26" t="s">
        <v>2693</v>
      </c>
      <c r="I915" s="54">
        <f>_xll.DBRW($A$1,$F$14,$F$15,$C915,$A$2,$F915,$G915,$H915,I$1)</f>
        <v>11</v>
      </c>
      <c r="J915" s="25">
        <f>_xll.DBRW($A$1,$F$14,$F$15,$C915,$A$2,$F915,$G915,$H915,J$19)</f>
        <v>7</v>
      </c>
    </row>
    <row r="916" spans="1:10" s="23" customFormat="1" outlineLevel="1" thickBot="1" x14ac:dyDescent="0.3">
      <c r="A916" s="44"/>
      <c r="B916" s="31" t="str">
        <f>IF(_xll.TM1RPTELISCONSOLIDATED($H$20,$H916),IF(_xll.TM1RPTELLEV($H$20,$H916)&lt;=5,_xll.TM1RPTELLEV($H$20,$H916),"Default"),"Leaf")</f>
        <v>Leaf</v>
      </c>
      <c r="C916" s="26" t="s">
        <v>14</v>
      </c>
      <c r="D916" s="24" t="str">
        <f>_xll.DBRW("TM1-S1_DEV:}ElementAttributes_SP_SKU",$F916,D$1)</f>
        <v>Primary</v>
      </c>
      <c r="E916" s="24" t="str">
        <f>_xll.DBRW("TM1-S1_DEV:}ElementAttributes_SP_SKU",$F916,E$1)</f>
        <v>INGREDIENT</v>
      </c>
      <c r="F916" s="26" t="s">
        <v>3254</v>
      </c>
      <c r="G916" s="26" t="s">
        <v>1005</v>
      </c>
      <c r="H916" s="26" t="s">
        <v>2735</v>
      </c>
      <c r="I916" s="54">
        <f>_xll.DBRW($A$1,$F$14,$F$15,$C916,$A$2,$F916,$G916,$H916,I$1)</f>
        <v>6</v>
      </c>
      <c r="J916" s="25">
        <f>_xll.DBRW($A$1,$F$14,$F$15,$C916,$A$2,$F916,$G916,$H916,J$19)</f>
        <v>32</v>
      </c>
    </row>
    <row r="917" spans="1:10" s="23" customFormat="1" outlineLevel="1" thickBot="1" x14ac:dyDescent="0.3">
      <c r="A917" s="44"/>
      <c r="B917" s="31" t="str">
        <f>IF(_xll.TM1RPTELISCONSOLIDATED($H$20,$H917),IF(_xll.TM1RPTELLEV($H$20,$H917)&lt;=5,_xll.TM1RPTELLEV($H$20,$H917),"Default"),"Leaf")</f>
        <v>Leaf</v>
      </c>
      <c r="C917" s="26" t="s">
        <v>14</v>
      </c>
      <c r="D917" s="24" t="str">
        <f>_xll.DBRW("TM1-S1_DEV:}ElementAttributes_SP_SKU",$F917,D$1)</f>
        <v>Primary</v>
      </c>
      <c r="E917" s="24" t="str">
        <f>_xll.DBRW("TM1-S1_DEV:}ElementAttributes_SP_SKU",$F917,E$1)</f>
        <v>INGREDIENT</v>
      </c>
      <c r="F917" s="26" t="s">
        <v>3187</v>
      </c>
      <c r="G917" s="26" t="s">
        <v>1006</v>
      </c>
      <c r="H917" s="26" t="s">
        <v>2695</v>
      </c>
      <c r="I917" s="54">
        <f>_xll.DBRW($A$1,$F$14,$F$15,$C917,$A$2,$F917,$G917,$H917,I$1)</f>
        <v>23</v>
      </c>
      <c r="J917" s="25">
        <f>_xll.DBRW($A$1,$F$14,$F$15,$C917,$A$2,$F917,$G917,$H917,J$19)</f>
        <v>20</v>
      </c>
    </row>
    <row r="918" spans="1:10" s="23" customFormat="1" outlineLevel="1" thickBot="1" x14ac:dyDescent="0.3">
      <c r="A918" s="44"/>
      <c r="B918" s="31" t="str">
        <f>IF(_xll.TM1RPTELISCONSOLIDATED($H$20,$H918),IF(_xll.TM1RPTELLEV($H$20,$H918)&lt;=5,_xll.TM1RPTELLEV($H$20,$H918),"Default"),"Leaf")</f>
        <v>Leaf</v>
      </c>
      <c r="C918" s="26" t="s">
        <v>14</v>
      </c>
      <c r="D918" s="24" t="str">
        <f>_xll.DBRW("TM1-S1_DEV:}ElementAttributes_SP_SKU",$F918,D$1)</f>
        <v>Primary</v>
      </c>
      <c r="E918" s="24" t="str">
        <f>_xll.DBRW("TM1-S1_DEV:}ElementAttributes_SP_SKU",$F918,E$1)</f>
        <v>CHIPS</v>
      </c>
      <c r="F918" s="26" t="s">
        <v>3255</v>
      </c>
      <c r="G918" s="26" t="s">
        <v>1007</v>
      </c>
      <c r="H918" s="26" t="s">
        <v>2736</v>
      </c>
      <c r="I918" s="54">
        <f>_xll.DBRW($A$1,$F$14,$F$15,$C918,$A$2,$F918,$G918,$H918,I$1)</f>
        <v>87</v>
      </c>
      <c r="J918" s="25">
        <f>_xll.DBRW($A$1,$F$14,$F$15,$C918,$A$2,$F918,$G918,$H918,J$19)</f>
        <v>83</v>
      </c>
    </row>
    <row r="919" spans="1:10" s="23" customFormat="1" outlineLevel="1" thickBot="1" x14ac:dyDescent="0.3">
      <c r="A919" s="44"/>
      <c r="B919" s="31" t="str">
        <f>IF(_xll.TM1RPTELISCONSOLIDATED($H$20,$H919),IF(_xll.TM1RPTELLEV($H$20,$H919)&lt;=5,_xll.TM1RPTELLEV($H$20,$H919),"Default"),"Leaf")</f>
        <v>Leaf</v>
      </c>
      <c r="C919" s="26" t="s">
        <v>14</v>
      </c>
      <c r="D919" s="24" t="str">
        <f>_xll.DBRW("TM1-S1_DEV:}ElementAttributes_SP_SKU",$F919,D$1)</f>
        <v>Primary</v>
      </c>
      <c r="E919" s="24" t="str">
        <f>_xll.DBRW("TM1-S1_DEV:}ElementAttributes_SP_SKU",$F919,E$1)</f>
        <v>CHIPS</v>
      </c>
      <c r="F919" s="26" t="s">
        <v>3256</v>
      </c>
      <c r="G919" s="26" t="s">
        <v>1008</v>
      </c>
      <c r="H919" s="26" t="s">
        <v>2736</v>
      </c>
      <c r="I919" s="54">
        <f>_xll.DBRW($A$1,$F$14,$F$15,$C919,$A$2,$F919,$G919,$H919,I$1)</f>
        <v>50</v>
      </c>
      <c r="J919" s="25">
        <f>_xll.DBRW($A$1,$F$14,$F$15,$C919,$A$2,$F919,$G919,$H919,J$19)</f>
        <v>46</v>
      </c>
    </row>
    <row r="920" spans="1:10" s="23" customFormat="1" outlineLevel="1" thickBot="1" x14ac:dyDescent="0.3">
      <c r="A920" s="44"/>
      <c r="B920" s="31" t="str">
        <f>IF(_xll.TM1RPTELISCONSOLIDATED($H$20,$H920),IF(_xll.TM1RPTELLEV($H$20,$H920)&lt;=5,_xll.TM1RPTELLEV($H$20,$H920),"Default"),"Leaf")</f>
        <v>Leaf</v>
      </c>
      <c r="C920" s="26" t="s">
        <v>14</v>
      </c>
      <c r="D920" s="24" t="str">
        <f>_xll.DBRW("TM1-S1_DEV:}ElementAttributes_SP_SKU",$F920,D$1)</f>
        <v>Primary</v>
      </c>
      <c r="E920" s="24" t="str">
        <f>_xll.DBRW("TM1-S1_DEV:}ElementAttributes_SP_SKU",$F920,E$1)</f>
        <v>CHIPS</v>
      </c>
      <c r="F920" s="26" t="s">
        <v>3257</v>
      </c>
      <c r="G920" s="26" t="s">
        <v>1009</v>
      </c>
      <c r="H920" s="26" t="s">
        <v>2736</v>
      </c>
      <c r="I920" s="54">
        <f>_xll.DBRW($A$1,$F$14,$F$15,$C920,$A$2,$F920,$G920,$H920,I$1)</f>
        <v>132</v>
      </c>
      <c r="J920" s="25">
        <f>_xll.DBRW($A$1,$F$14,$F$15,$C920,$A$2,$F920,$G920,$H920,J$19)</f>
        <v>128</v>
      </c>
    </row>
    <row r="921" spans="1:10" s="23" customFormat="1" outlineLevel="1" thickBot="1" x14ac:dyDescent="0.3">
      <c r="A921" s="44"/>
      <c r="B921" s="31" t="str">
        <f>IF(_xll.TM1RPTELISCONSOLIDATED($H$20,$H921),IF(_xll.TM1RPTELLEV($H$20,$H921)&lt;=5,_xll.TM1RPTELLEV($H$20,$H921),"Default"),"Leaf")</f>
        <v>Leaf</v>
      </c>
      <c r="C921" s="26" t="s">
        <v>14</v>
      </c>
      <c r="D921" s="24" t="str">
        <f>_xll.DBRW("TM1-S1_DEV:}ElementAttributes_SP_SKU",$F921,D$1)</f>
        <v>Primary</v>
      </c>
      <c r="E921" s="24" t="str">
        <f>_xll.DBRW("TM1-S1_DEV:}ElementAttributes_SP_SKU",$F921,E$1)</f>
        <v>CHIPS</v>
      </c>
      <c r="F921" s="26" t="s">
        <v>3258</v>
      </c>
      <c r="G921" s="26" t="s">
        <v>1010</v>
      </c>
      <c r="H921" s="26" t="s">
        <v>2736</v>
      </c>
      <c r="I921" s="54">
        <f>_xll.DBRW($A$1,$F$14,$F$15,$C921,$A$2,$F921,$G921,$H921,I$1)</f>
        <v>45</v>
      </c>
      <c r="J921" s="25">
        <f>_xll.DBRW($A$1,$F$14,$F$15,$C921,$A$2,$F921,$G921,$H921,J$19)</f>
        <v>42</v>
      </c>
    </row>
    <row r="922" spans="1:10" s="23" customFormat="1" outlineLevel="1" thickBot="1" x14ac:dyDescent="0.3">
      <c r="A922" s="44"/>
      <c r="B922" s="31" t="str">
        <f>IF(_xll.TM1RPTELISCONSOLIDATED($H$20,$H922),IF(_xll.TM1RPTELLEV($H$20,$H922)&lt;=5,_xll.TM1RPTELLEV($H$20,$H922),"Default"),"Leaf")</f>
        <v>Leaf</v>
      </c>
      <c r="C922" s="26" t="s">
        <v>14</v>
      </c>
      <c r="D922" s="24" t="str">
        <f>_xll.DBRW("TM1-S1_DEV:}ElementAttributes_SP_SKU",$F922,D$1)</f>
        <v>Primary</v>
      </c>
      <c r="E922" s="24" t="str">
        <f>_xll.DBRW("TM1-S1_DEV:}ElementAttributes_SP_SKU",$F922,E$1)</f>
        <v>SIDES</v>
      </c>
      <c r="F922" s="26" t="s">
        <v>3188</v>
      </c>
      <c r="G922" s="26" t="s">
        <v>1011</v>
      </c>
      <c r="H922" s="26" t="s">
        <v>2686</v>
      </c>
      <c r="I922" s="54">
        <f>_xll.DBRW($A$1,$F$14,$F$15,$C922,$A$2,$F922,$G922,$H922,I$1)</f>
        <v>35</v>
      </c>
      <c r="J922" s="25">
        <f>_xll.DBRW($A$1,$F$14,$F$15,$C922,$A$2,$F922,$G922,$H922,J$19)</f>
        <v>46</v>
      </c>
    </row>
    <row r="923" spans="1:10" s="23" customFormat="1" outlineLevel="1" thickBot="1" x14ac:dyDescent="0.3">
      <c r="A923" s="44"/>
      <c r="B923" s="31" t="str">
        <f>IF(_xll.TM1RPTELISCONSOLIDATED($H$20,$H923),IF(_xll.TM1RPTELLEV($H$20,$H923)&lt;=5,_xll.TM1RPTELLEV($H$20,$H923),"Default"),"Leaf")</f>
        <v>Leaf</v>
      </c>
      <c r="C923" s="26" t="s">
        <v>14</v>
      </c>
      <c r="D923" s="24" t="str">
        <f>_xll.DBRW("TM1-S1_DEV:}ElementAttributes_SP_SKU",$F923,D$1)</f>
        <v>Primary</v>
      </c>
      <c r="E923" s="24" t="str">
        <f>_xll.DBRW("TM1-S1_DEV:}ElementAttributes_SP_SKU",$F923,E$1)</f>
        <v>CONDIMENT</v>
      </c>
      <c r="F923" s="26" t="s">
        <v>3189</v>
      </c>
      <c r="G923" s="26" t="s">
        <v>1012</v>
      </c>
      <c r="H923" s="26" t="s">
        <v>2686</v>
      </c>
      <c r="I923" s="54">
        <f>_xll.DBRW($A$1,$F$14,$F$15,$C923,$A$2,$F923,$G923,$H923,I$1)</f>
        <v>152</v>
      </c>
      <c r="J923" s="25">
        <f>_xll.DBRW($A$1,$F$14,$F$15,$C923,$A$2,$F923,$G923,$H923,J$19)</f>
        <v>222</v>
      </c>
    </row>
    <row r="924" spans="1:10" s="23" customFormat="1" outlineLevel="1" thickBot="1" x14ac:dyDescent="0.3">
      <c r="A924" s="44"/>
      <c r="B924" s="31" t="str">
        <f>IF(_xll.TM1RPTELISCONSOLIDATED($H$20,$H924),IF(_xll.TM1RPTELLEV($H$20,$H924)&lt;=5,_xll.TM1RPTELLEV($H$20,$H924),"Default"),"Leaf")</f>
        <v>Leaf</v>
      </c>
      <c r="C924" s="26" t="s">
        <v>14</v>
      </c>
      <c r="D924" s="24" t="str">
        <f>_xll.DBRW("TM1-S1_DEV:}ElementAttributes_SP_SKU",$F924,D$1)</f>
        <v>Primary</v>
      </c>
      <c r="E924" s="24" t="str">
        <f>_xll.DBRW("TM1-S1_DEV:}ElementAttributes_SP_SKU",$F924,E$1)</f>
        <v>INGREDIENT</v>
      </c>
      <c r="F924" s="26" t="s">
        <v>3190</v>
      </c>
      <c r="G924" s="26" t="s">
        <v>1013</v>
      </c>
      <c r="H924" s="26" t="s">
        <v>2696</v>
      </c>
      <c r="I924" s="54">
        <f>_xll.DBRW($A$1,$F$14,$F$15,$C924,$A$2,$F924,$G924,$H924,I$1)</f>
        <v>45</v>
      </c>
      <c r="J924" s="25">
        <f>_xll.DBRW($A$1,$F$14,$F$15,$C924,$A$2,$F924,$G924,$H924,J$19)</f>
        <v>43</v>
      </c>
    </row>
    <row r="925" spans="1:10" s="23" customFormat="1" outlineLevel="1" thickBot="1" x14ac:dyDescent="0.3">
      <c r="A925" s="44"/>
      <c r="B925" s="31" t="str">
        <f>IF(_xll.TM1RPTELISCONSOLIDATED($H$20,$H925),IF(_xll.TM1RPTELLEV($H$20,$H925)&lt;=5,_xll.TM1RPTELLEV($H$20,$H925),"Default"),"Leaf")</f>
        <v>Leaf</v>
      </c>
      <c r="C925" s="26" t="s">
        <v>14</v>
      </c>
      <c r="D925" s="24" t="str">
        <f>_xll.DBRW("TM1-S1_DEV:}ElementAttributes_SP_SKU",$F925,D$1)</f>
        <v>Primary</v>
      </c>
      <c r="E925" s="24" t="str">
        <f>_xll.DBRW("TM1-S1_DEV:}ElementAttributes_SP_SKU",$F925,E$1)</f>
        <v>INGREDIENT</v>
      </c>
      <c r="F925" s="26" t="s">
        <v>3191</v>
      </c>
      <c r="G925" s="26" t="s">
        <v>1014</v>
      </c>
      <c r="H925" s="26" t="s">
        <v>2697</v>
      </c>
      <c r="I925" s="54">
        <f>_xll.DBRW($A$1,$F$14,$F$15,$C925,$A$2,$F925,$G925,$H925,I$1)</f>
        <v>230</v>
      </c>
      <c r="J925" s="25">
        <f>_xll.DBRW($A$1,$F$14,$F$15,$C925,$A$2,$F925,$G925,$H925,J$19)</f>
        <v>291</v>
      </c>
    </row>
    <row r="926" spans="1:10" s="23" customFormat="1" outlineLevel="1" thickBot="1" x14ac:dyDescent="0.3">
      <c r="A926" s="44"/>
      <c r="B926" s="31" t="str">
        <f>IF(_xll.TM1RPTELISCONSOLIDATED($H$20,$H926),IF(_xll.TM1RPTELLEV($H$20,$H926)&lt;=5,_xll.TM1RPTELLEV($H$20,$H926),"Default"),"Leaf")</f>
        <v>Leaf</v>
      </c>
      <c r="C926" s="26" t="s">
        <v>14</v>
      </c>
      <c r="D926" s="24" t="str">
        <f>_xll.DBRW("TM1-S1_DEV:}ElementAttributes_SP_SKU",$F926,D$1)</f>
        <v>Primary</v>
      </c>
      <c r="E926" s="24" t="str">
        <f>_xll.DBRW("TM1-S1_DEV:}ElementAttributes_SP_SKU",$F926,E$1)</f>
        <v>INGREDIENT</v>
      </c>
      <c r="F926" s="26" t="s">
        <v>3192</v>
      </c>
      <c r="G926" s="26" t="s">
        <v>1015</v>
      </c>
      <c r="H926" s="26" t="s">
        <v>2698</v>
      </c>
      <c r="I926" s="54">
        <f>_xll.DBRW($A$1,$F$14,$F$15,$C926,$A$2,$F926,$G926,$H926,I$1)</f>
        <v>6</v>
      </c>
      <c r="J926" s="25">
        <f>_xll.DBRW($A$1,$F$14,$F$15,$C926,$A$2,$F926,$G926,$H926,J$19)</f>
        <v>4</v>
      </c>
    </row>
    <row r="927" spans="1:10" s="23" customFormat="1" outlineLevel="1" thickBot="1" x14ac:dyDescent="0.3">
      <c r="A927" s="44"/>
      <c r="B927" s="31" t="str">
        <f>IF(_xll.TM1RPTELISCONSOLIDATED($H$20,$H927),IF(_xll.TM1RPTELLEV($H$20,$H927)&lt;=5,_xll.TM1RPTELLEV($H$20,$H927),"Default"),"Leaf")</f>
        <v>Leaf</v>
      </c>
      <c r="C927" s="26" t="s">
        <v>14</v>
      </c>
      <c r="D927" s="24" t="str">
        <f>_xll.DBRW("TM1-S1_DEV:}ElementAttributes_SP_SKU",$F927,D$1)</f>
        <v>Primary</v>
      </c>
      <c r="E927" s="24" t="str">
        <f>_xll.DBRW("TM1-S1_DEV:}ElementAttributes_SP_SKU",$F927,E$1)</f>
        <v>INGREDIENT</v>
      </c>
      <c r="F927" s="26" t="s">
        <v>3193</v>
      </c>
      <c r="G927" s="26" t="s">
        <v>1016</v>
      </c>
      <c r="H927" s="26" t="s">
        <v>2699</v>
      </c>
      <c r="I927" s="54">
        <f>_xll.DBRW($A$1,$F$14,$F$15,$C927,$A$2,$F927,$G927,$H927,I$1)</f>
        <v>23</v>
      </c>
      <c r="J927" s="25">
        <f>_xll.DBRW($A$1,$F$14,$F$15,$C927,$A$2,$F927,$G927,$H927,J$19)</f>
        <v>56</v>
      </c>
    </row>
    <row r="928" spans="1:10" s="23" customFormat="1" outlineLevel="1" thickBot="1" x14ac:dyDescent="0.3">
      <c r="A928" s="44"/>
      <c r="B928" s="31" t="str">
        <f>IF(_xll.TM1RPTELISCONSOLIDATED($H$20,$H928),IF(_xll.TM1RPTELLEV($H$20,$H928)&lt;=5,_xll.TM1RPTELLEV($H$20,$H928),"Default"),"Leaf")</f>
        <v>Leaf</v>
      </c>
      <c r="C928" s="26" t="s">
        <v>14</v>
      </c>
      <c r="D928" s="24" t="str">
        <f>_xll.DBRW("TM1-S1_DEV:}ElementAttributes_SP_SKU",$F928,D$1)</f>
        <v>Primary</v>
      </c>
      <c r="E928" s="24" t="str">
        <f>_xll.DBRW("TM1-S1_DEV:}ElementAttributes_SP_SKU",$F928,E$1)</f>
        <v>COOKIE</v>
      </c>
      <c r="F928" s="26" t="s">
        <v>3194</v>
      </c>
      <c r="G928" s="26" t="s">
        <v>1017</v>
      </c>
      <c r="H928" s="26" t="s">
        <v>2691</v>
      </c>
      <c r="I928" s="54">
        <f>_xll.DBRW($A$1,$F$14,$F$15,$C928,$A$2,$F928,$G928,$H928,I$1)</f>
        <v>0</v>
      </c>
      <c r="J928" s="25">
        <f>_xll.DBRW($A$1,$F$14,$F$15,$C928,$A$2,$F928,$G928,$H928,J$19)</f>
        <v>-1</v>
      </c>
    </row>
    <row r="929" spans="1:10" s="23" customFormat="1" outlineLevel="1" thickBot="1" x14ac:dyDescent="0.3">
      <c r="A929" s="44"/>
      <c r="B929" s="31" t="str">
        <f>IF(_xll.TM1RPTELISCONSOLIDATED($H$20,$H929),IF(_xll.TM1RPTELLEV($H$20,$H929)&lt;=5,_xll.TM1RPTELLEV($H$20,$H929),"Default"),"Leaf")</f>
        <v>Leaf</v>
      </c>
      <c r="C929" s="26" t="s">
        <v>14</v>
      </c>
      <c r="D929" s="24" t="str">
        <f>_xll.DBRW("TM1-S1_DEV:}ElementAttributes_SP_SKU",$F929,D$1)</f>
        <v>Primary</v>
      </c>
      <c r="E929" s="24" t="str">
        <f>_xll.DBRW("TM1-S1_DEV:}ElementAttributes_SP_SKU",$F929,E$1)</f>
        <v>COOKIE</v>
      </c>
      <c r="F929" s="26" t="s">
        <v>3195</v>
      </c>
      <c r="G929" s="26" t="s">
        <v>1018</v>
      </c>
      <c r="H929" s="26" t="s">
        <v>2691</v>
      </c>
      <c r="I929" s="54">
        <f>_xll.DBRW($A$1,$F$14,$F$15,$C929,$A$2,$F929,$G929,$H929,I$1)</f>
        <v>0</v>
      </c>
      <c r="J929" s="25">
        <f>_xll.DBRW($A$1,$F$14,$F$15,$C929,$A$2,$F929,$G929,$H929,J$19)</f>
        <v>-1</v>
      </c>
    </row>
    <row r="930" spans="1:10" s="23" customFormat="1" outlineLevel="1" thickBot="1" x14ac:dyDescent="0.3">
      <c r="A930" s="44"/>
      <c r="B930" s="31" t="str">
        <f>IF(_xll.TM1RPTELISCONSOLIDATED($H$20,$H930),IF(_xll.TM1RPTELLEV($H$20,$H930)&lt;=5,_xll.TM1RPTELLEV($H$20,$H930),"Default"),"Leaf")</f>
        <v>Leaf</v>
      </c>
      <c r="C930" s="26" t="s">
        <v>14</v>
      </c>
      <c r="D930" s="24" t="str">
        <f>_xll.DBRW("TM1-S1_DEV:}ElementAttributes_SP_SKU",$F930,D$1)</f>
        <v>Primary</v>
      </c>
      <c r="E930" s="24" t="str">
        <f>_xll.DBRW("TM1-S1_DEV:}ElementAttributes_SP_SKU",$F930,E$1)</f>
        <v>INGREDIENT</v>
      </c>
      <c r="F930" s="26" t="s">
        <v>30</v>
      </c>
      <c r="G930" s="26" t="s">
        <v>1021</v>
      </c>
      <c r="H930" s="26" t="s">
        <v>2700</v>
      </c>
      <c r="I930" s="54">
        <f>_xll.DBRW($A$1,$F$14,$F$15,$C930,$A$2,$F930,$G930,$H930,I$1)</f>
        <v>24</v>
      </c>
      <c r="J930" s="25">
        <f>_xll.DBRW($A$1,$F$14,$F$15,$C930,$A$2,$F930,$G930,$H930,J$19)</f>
        <v>21</v>
      </c>
    </row>
    <row r="931" spans="1:10" s="23" customFormat="1" outlineLevel="1" thickBot="1" x14ac:dyDescent="0.3">
      <c r="A931" s="44"/>
      <c r="B931" s="31" t="str">
        <f>IF(_xll.TM1RPTELISCONSOLIDATED($H$20,$H931),IF(_xll.TM1RPTELLEV($H$20,$H931)&lt;=5,_xll.TM1RPTELLEV($H$20,$H931),"Default"),"Leaf")</f>
        <v>Leaf</v>
      </c>
      <c r="C931" s="26" t="s">
        <v>14</v>
      </c>
      <c r="D931" s="24" t="str">
        <f>_xll.DBRW("TM1-S1_DEV:}ElementAttributes_SP_SKU",$F931,D$1)</f>
        <v>Unassigned PSP</v>
      </c>
      <c r="E931" s="24" t="str">
        <f>_xll.DBRW("TM1-S1_DEV:}ElementAttributes_SP_SKU",$F931,E$1)</f>
        <v>SOUP</v>
      </c>
      <c r="F931" s="26" t="s">
        <v>100</v>
      </c>
      <c r="G931" s="26" t="s">
        <v>1022</v>
      </c>
      <c r="H931" s="26" t="s">
        <v>2675</v>
      </c>
      <c r="I931" s="54">
        <f>_xll.DBRW($A$1,$F$14,$F$15,$C931,$A$2,$F931,$G931,$H931,I$1)</f>
        <v>389</v>
      </c>
      <c r="J931" s="25">
        <f>_xll.DBRW($A$1,$F$14,$F$15,$C931,$A$2,$F931,$G931,$H931,J$19)</f>
        <v>389</v>
      </c>
    </row>
    <row r="932" spans="1:10" s="23" customFormat="1" outlineLevel="1" thickBot="1" x14ac:dyDescent="0.3">
      <c r="A932" s="44"/>
      <c r="B932" s="31" t="str">
        <f>IF(_xll.TM1RPTELISCONSOLIDATED($H$20,$H932),IF(_xll.TM1RPTELLEV($H$20,$H932)&lt;=5,_xll.TM1RPTELLEV($H$20,$H932),"Default"),"Leaf")</f>
        <v>Leaf</v>
      </c>
      <c r="C932" s="26" t="s">
        <v>14</v>
      </c>
      <c r="D932" s="24" t="str">
        <f>_xll.DBRW("TM1-S1_DEV:}ElementAttributes_SP_SKU",$F932,D$1)</f>
        <v>Secondary</v>
      </c>
      <c r="E932" s="24" t="str">
        <f>_xll.DBRW("TM1-S1_DEV:}ElementAttributes_SP_SKU",$F932,E$1)</f>
        <v>SOUP</v>
      </c>
      <c r="F932" s="26" t="s">
        <v>101</v>
      </c>
      <c r="G932" s="26" t="s">
        <v>1023</v>
      </c>
      <c r="H932" s="26" t="s">
        <v>2675</v>
      </c>
      <c r="I932" s="54">
        <f>_xll.DBRW($A$1,$F$14,$F$15,$C932,$A$2,$F932,$G932,$H932,I$1)</f>
        <v>63</v>
      </c>
      <c r="J932" s="25">
        <f>_xll.DBRW($A$1,$F$14,$F$15,$C932,$A$2,$F932,$G932,$H932,J$19)</f>
        <v>83</v>
      </c>
    </row>
    <row r="933" spans="1:10" s="23" customFormat="1" outlineLevel="1" thickBot="1" x14ac:dyDescent="0.3">
      <c r="A933" s="44"/>
      <c r="B933" s="31" t="str">
        <f>IF(_xll.TM1RPTELISCONSOLIDATED($H$20,$H933),IF(_xll.TM1RPTELLEV($H$20,$H933)&lt;=5,_xll.TM1RPTELLEV($H$20,$H933),"Default"),"Leaf")</f>
        <v>Leaf</v>
      </c>
      <c r="C933" s="26" t="s">
        <v>14</v>
      </c>
      <c r="D933" s="24" t="str">
        <f>_xll.DBRW("TM1-S1_DEV:}ElementAttributes_SP_SKU",$F933,D$1)</f>
        <v>Secondary</v>
      </c>
      <c r="E933" s="24" t="str">
        <f>_xll.DBRW("TM1-S1_DEV:}ElementAttributes_SP_SKU",$F933,E$1)</f>
        <v>SOUP</v>
      </c>
      <c r="F933" s="26" t="s">
        <v>102</v>
      </c>
      <c r="G933" s="26" t="s">
        <v>1024</v>
      </c>
      <c r="H933" s="26" t="s">
        <v>2675</v>
      </c>
      <c r="I933" s="54">
        <f>_xll.DBRW($A$1,$F$14,$F$15,$C933,$A$2,$F933,$G933,$H933,I$1)</f>
        <v>198</v>
      </c>
      <c r="J933" s="25">
        <f>_xll.DBRW($A$1,$F$14,$F$15,$C933,$A$2,$F933,$G933,$H933,J$19)</f>
        <v>198</v>
      </c>
    </row>
    <row r="934" spans="1:10" s="23" customFormat="1" outlineLevel="1" thickBot="1" x14ac:dyDescent="0.3">
      <c r="A934" s="44"/>
      <c r="B934" s="31" t="str">
        <f>IF(_xll.TM1RPTELISCONSOLIDATED($H$20,$H934),IF(_xll.TM1RPTELLEV($H$20,$H934)&lt;=5,_xll.TM1RPTELLEV($H$20,$H934),"Default"),"Leaf")</f>
        <v>Leaf</v>
      </c>
      <c r="C934" s="26" t="s">
        <v>14</v>
      </c>
      <c r="D934" s="24" t="str">
        <f>_xll.DBRW("TM1-S1_DEV:}ElementAttributes_SP_SKU",$F934,D$1)</f>
        <v>Primary</v>
      </c>
      <c r="E934" s="24" t="str">
        <f>_xll.DBRW("TM1-S1_DEV:}ElementAttributes_SP_SKU",$F934,E$1)</f>
        <v>INGREDIENT</v>
      </c>
      <c r="F934" s="26" t="s">
        <v>3198</v>
      </c>
      <c r="G934" s="26" t="s">
        <v>1230</v>
      </c>
      <c r="H934" s="26" t="s">
        <v>2701</v>
      </c>
      <c r="I934" s="54">
        <f>_xll.DBRW($A$1,$F$14,$F$15,$C934,$A$2,$F934,$G934,$H934,I$1)</f>
        <v>15</v>
      </c>
      <c r="J934" s="25">
        <f>_xll.DBRW($A$1,$F$14,$F$15,$C934,$A$2,$F934,$G934,$H934,J$19)</f>
        <v>12</v>
      </c>
    </row>
    <row r="935" spans="1:10" s="23" customFormat="1" outlineLevel="1" thickBot="1" x14ac:dyDescent="0.3">
      <c r="A935" s="44"/>
      <c r="B935" s="31" t="str">
        <f>IF(_xll.TM1RPTELISCONSOLIDATED($H$20,$H935),IF(_xll.TM1RPTELLEV($H$20,$H935)&lt;=5,_xll.TM1RPTELLEV($H$20,$H935),"Default"),"Leaf")</f>
        <v>Leaf</v>
      </c>
      <c r="C935" s="26" t="s">
        <v>14</v>
      </c>
      <c r="D935" s="24" t="str">
        <f>_xll.DBRW("TM1-S1_DEV:}ElementAttributes_SP_SKU",$F935,D$1)</f>
        <v>Primary</v>
      </c>
      <c r="E935" s="24" t="str">
        <f>_xll.DBRW("TM1-S1_DEV:}ElementAttributes_SP_SKU",$F935,E$1)</f>
        <v>BOX</v>
      </c>
      <c r="F935" s="26" t="s">
        <v>3199</v>
      </c>
      <c r="G935" s="26" t="s">
        <v>1231</v>
      </c>
      <c r="H935" s="26" t="s">
        <v>2702</v>
      </c>
      <c r="I935" s="54">
        <f>_xll.DBRW($A$1,$F$14,$F$15,$C935,$A$2,$F935,$G935,$H935,I$1)</f>
        <v>11</v>
      </c>
      <c r="J935" s="25">
        <f>_xll.DBRW($A$1,$F$14,$F$15,$C935,$A$2,$F935,$G935,$H935,J$19)</f>
        <v>11</v>
      </c>
    </row>
    <row r="936" spans="1:10" s="23" customFormat="1" outlineLevel="1" thickBot="1" x14ac:dyDescent="0.3">
      <c r="A936" s="44"/>
      <c r="B936" s="31" t="str">
        <f>IF(_xll.TM1RPTELISCONSOLIDATED($H$20,$H936),IF(_xll.TM1RPTELLEV($H$20,$H936)&lt;=5,_xll.TM1RPTELLEV($H$20,$H936),"Default"),"Leaf")</f>
        <v>Leaf</v>
      </c>
      <c r="C936" s="26" t="s">
        <v>14</v>
      </c>
      <c r="D936" s="24" t="str">
        <f>_xll.DBRW("TM1-S1_DEV:}ElementAttributes_SP_SKU",$F936,D$1)</f>
        <v>Primary</v>
      </c>
      <c r="E936" s="24" t="str">
        <f>_xll.DBRW("TM1-S1_DEV:}ElementAttributes_SP_SKU",$F936,E$1)</f>
        <v>FOIL</v>
      </c>
      <c r="F936" s="26" t="s">
        <v>3204</v>
      </c>
      <c r="G936" s="26" t="s">
        <v>1232</v>
      </c>
      <c r="H936" s="26" t="s">
        <v>2704</v>
      </c>
      <c r="I936" s="54">
        <f>_xll.DBRW($A$1,$F$14,$F$15,$C936,$A$2,$F936,$G936,$H936,I$1)</f>
        <v>17</v>
      </c>
      <c r="J936" s="25">
        <f>_xll.DBRW($A$1,$F$14,$F$15,$C936,$A$2,$F936,$G936,$H936,J$19)</f>
        <v>13</v>
      </c>
    </row>
    <row r="937" spans="1:10" s="23" customFormat="1" outlineLevel="1" thickBot="1" x14ac:dyDescent="0.3">
      <c r="A937" s="44"/>
      <c r="B937" s="31" t="str">
        <f>IF(_xll.TM1RPTELISCONSOLIDATED($H$20,$H937),IF(_xll.TM1RPTELLEV($H$20,$H937)&lt;=5,_xll.TM1RPTELLEV($H$20,$H937),"Default"),"Leaf")</f>
        <v>Leaf</v>
      </c>
      <c r="C937" s="26" t="s">
        <v>14</v>
      </c>
      <c r="D937" s="24" t="str">
        <f>_xll.DBRW("TM1-S1_DEV:}ElementAttributes_SP_SKU",$F937,D$1)</f>
        <v>Primary</v>
      </c>
      <c r="E937" s="24" t="str">
        <f>_xll.DBRW("TM1-S1_DEV:}ElementAttributes_SP_SKU",$F937,E$1)</f>
        <v>BAG</v>
      </c>
      <c r="F937" s="26" t="s">
        <v>3205</v>
      </c>
      <c r="G937" s="26" t="s">
        <v>1037</v>
      </c>
      <c r="H937" s="26" t="s">
        <v>2705</v>
      </c>
      <c r="I937" s="54">
        <f>_xll.DBRW($A$1,$F$14,$F$15,$C937,$A$2,$F937,$G937,$H937,I$1)</f>
        <v>9</v>
      </c>
      <c r="J937" s="25">
        <f>_xll.DBRW($A$1,$F$14,$F$15,$C937,$A$2,$F937,$G937,$H937,J$19)</f>
        <v>7</v>
      </c>
    </row>
    <row r="938" spans="1:10" s="23" customFormat="1" outlineLevel="1" thickBot="1" x14ac:dyDescent="0.3">
      <c r="A938" s="44"/>
      <c r="B938" s="31" t="str">
        <f>IF(_xll.TM1RPTELISCONSOLIDATED($H$20,$H938),IF(_xll.TM1RPTELLEV($H$20,$H938)&lt;=5,_xll.TM1RPTELLEV($H$20,$H938),"Default"),"Leaf")</f>
        <v>Leaf</v>
      </c>
      <c r="C938" s="26" t="s">
        <v>14</v>
      </c>
      <c r="D938" s="24" t="str">
        <f>_xll.DBRW("TM1-S1_DEV:}ElementAttributes_SP_SKU",$F938,D$1)</f>
        <v>Primary</v>
      </c>
      <c r="E938" s="24" t="str">
        <f>_xll.DBRW("TM1-S1_DEV:}ElementAttributes_SP_SKU",$F938,E$1)</f>
        <v>FOIL</v>
      </c>
      <c r="F938" s="26" t="s">
        <v>3206</v>
      </c>
      <c r="G938" s="26" t="s">
        <v>1038</v>
      </c>
      <c r="H938" s="26" t="s">
        <v>2704</v>
      </c>
      <c r="I938" s="54">
        <f>_xll.DBRW($A$1,$F$14,$F$15,$C938,$A$2,$F938,$G938,$H938,I$1)</f>
        <v>23</v>
      </c>
      <c r="J938" s="25">
        <f>_xll.DBRW($A$1,$F$14,$F$15,$C938,$A$2,$F938,$G938,$H938,J$19)</f>
        <v>19</v>
      </c>
    </row>
    <row r="939" spans="1:10" s="23" customFormat="1" outlineLevel="1" thickBot="1" x14ac:dyDescent="0.3">
      <c r="A939" s="44"/>
      <c r="B939" s="31" t="str">
        <f>IF(_xll.TM1RPTELISCONSOLIDATED($H$20,$H939),IF(_xll.TM1RPTELLEV($H$20,$H939)&lt;=5,_xll.TM1RPTELLEV($H$20,$H939),"Default"),"Leaf")</f>
        <v>Leaf</v>
      </c>
      <c r="C939" s="26" t="s">
        <v>14</v>
      </c>
      <c r="D939" s="24" t="str">
        <f>_xll.DBRW("TM1-S1_DEV:}ElementAttributes_SP_SKU",$F939,D$1)</f>
        <v>Primary</v>
      </c>
      <c r="E939" s="24" t="str">
        <f>_xll.DBRW("TM1-S1_DEV:}ElementAttributes_SP_SKU",$F939,E$1)</f>
        <v>BAG</v>
      </c>
      <c r="F939" s="26" t="s">
        <v>3208</v>
      </c>
      <c r="G939" s="26" t="s">
        <v>1233</v>
      </c>
      <c r="H939" s="26" t="s">
        <v>2705</v>
      </c>
      <c r="I939" s="54">
        <f>_xll.DBRW($A$1,$F$14,$F$15,$C939,$A$2,$F939,$G939,$H939,I$1)</f>
        <v>13</v>
      </c>
      <c r="J939" s="25">
        <f>_xll.DBRW($A$1,$F$14,$F$15,$C939,$A$2,$F939,$G939,$H939,J$19)</f>
        <v>9</v>
      </c>
    </row>
    <row r="940" spans="1:10" s="23" customFormat="1" outlineLevel="1" thickBot="1" x14ac:dyDescent="0.3">
      <c r="A940" s="44"/>
      <c r="B940" s="31" t="str">
        <f>IF(_xll.TM1RPTELISCONSOLIDATED($H$20,$H940),IF(_xll.TM1RPTELLEV($H$20,$H940)&lt;=5,_xll.TM1RPTELLEV($H$20,$H940),"Default"),"Leaf")</f>
        <v>Leaf</v>
      </c>
      <c r="C940" s="26" t="s">
        <v>14</v>
      </c>
      <c r="D940" s="24" t="str">
        <f>_xll.DBRW("TM1-S1_DEV:}ElementAttributes_SP_SKU",$F940,D$1)</f>
        <v>Primary</v>
      </c>
      <c r="E940" s="24" t="str">
        <f>_xll.DBRW("TM1-S1_DEV:}ElementAttributes_SP_SKU",$F940,E$1)</f>
        <v>BAG</v>
      </c>
      <c r="F940" s="26" t="s">
        <v>3209</v>
      </c>
      <c r="G940" s="26" t="s">
        <v>1234</v>
      </c>
      <c r="H940" s="26" t="s">
        <v>2705</v>
      </c>
      <c r="I940" s="54">
        <f>_xll.DBRW($A$1,$F$14,$F$15,$C940,$A$2,$F940,$G940,$H940,I$1)</f>
        <v>9</v>
      </c>
      <c r="J940" s="25">
        <f>_xll.DBRW($A$1,$F$14,$F$15,$C940,$A$2,$F940,$G940,$H940,J$19)</f>
        <v>8</v>
      </c>
    </row>
    <row r="941" spans="1:10" s="23" customFormat="1" outlineLevel="1" thickBot="1" x14ac:dyDescent="0.3">
      <c r="A941" s="44"/>
      <c r="B941" s="31" t="str">
        <f>IF(_xll.TM1RPTELISCONSOLIDATED($H$20,$H941),IF(_xll.TM1RPTELLEV($H$20,$H941)&lt;=5,_xll.TM1RPTELLEV($H$20,$H941),"Default"),"Leaf")</f>
        <v>Leaf</v>
      </c>
      <c r="C941" s="26" t="s">
        <v>14</v>
      </c>
      <c r="D941" s="24" t="str">
        <f>_xll.DBRW("TM1-S1_DEV:}ElementAttributes_SP_SKU",$F941,D$1)</f>
        <v>Primary</v>
      </c>
      <c r="E941" s="24" t="str">
        <f>_xll.DBRW("TM1-S1_DEV:}ElementAttributes_SP_SKU",$F941,E$1)</f>
        <v>BAG</v>
      </c>
      <c r="F941" s="26" t="s">
        <v>3210</v>
      </c>
      <c r="G941" s="26" t="s">
        <v>1039</v>
      </c>
      <c r="H941" s="26" t="s">
        <v>2705</v>
      </c>
      <c r="I941" s="54">
        <f>_xll.DBRW($A$1,$F$14,$F$15,$C941,$A$2,$F941,$G941,$H941,I$1)</f>
        <v>6</v>
      </c>
      <c r="J941" s="25">
        <f>_xll.DBRW($A$1,$F$14,$F$15,$C941,$A$2,$F941,$G941,$H941,J$19)</f>
        <v>3</v>
      </c>
    </row>
    <row r="942" spans="1:10" s="23" customFormat="1" outlineLevel="1" thickBot="1" x14ac:dyDescent="0.3">
      <c r="A942" s="44"/>
      <c r="B942" s="31" t="str">
        <f>IF(_xll.TM1RPTELISCONSOLIDATED($H$20,$H942),IF(_xll.TM1RPTELLEV($H$20,$H942)&lt;=5,_xll.TM1RPTELLEV($H$20,$H942),"Default"),"Leaf")</f>
        <v>Leaf</v>
      </c>
      <c r="C942" s="26" t="s">
        <v>14</v>
      </c>
      <c r="D942" s="24" t="str">
        <f>_xll.DBRW("TM1-S1_DEV:}ElementAttributes_SP_SKU",$F942,D$1)</f>
        <v>Primary</v>
      </c>
      <c r="E942" s="24" t="str">
        <f>_xll.DBRW("TM1-S1_DEV:}ElementAttributes_SP_SKU",$F942,E$1)</f>
        <v>BOX</v>
      </c>
      <c r="F942" s="26" t="s">
        <v>3211</v>
      </c>
      <c r="G942" s="26" t="s">
        <v>1040</v>
      </c>
      <c r="H942" s="26" t="s">
        <v>2706</v>
      </c>
      <c r="I942" s="54">
        <f>_xll.DBRW($A$1,$F$14,$F$15,$C942,$A$2,$F942,$G942,$H942,I$1)</f>
        <v>29</v>
      </c>
      <c r="J942" s="25">
        <f>_xll.DBRW($A$1,$F$14,$F$15,$C942,$A$2,$F942,$G942,$H942,J$19)</f>
        <v>21</v>
      </c>
    </row>
    <row r="943" spans="1:10" s="23" customFormat="1" outlineLevel="1" thickBot="1" x14ac:dyDescent="0.3">
      <c r="A943" s="44"/>
      <c r="B943" s="31" t="str">
        <f>IF(_xll.TM1RPTELISCONSOLIDATED($H$20,$H943),IF(_xll.TM1RPTELLEV($H$20,$H943)&lt;=5,_xll.TM1RPTELLEV($H$20,$H943),"Default"),"Leaf")</f>
        <v>Leaf</v>
      </c>
      <c r="C943" s="26" t="s">
        <v>14</v>
      </c>
      <c r="D943" s="24" t="str">
        <f>_xll.DBRW("TM1-S1_DEV:}ElementAttributes_SP_SKU",$F943,D$1)</f>
        <v>Primary</v>
      </c>
      <c r="E943" s="24" t="str">
        <f>_xll.DBRW("TM1-S1_DEV:}ElementAttributes_SP_SKU",$F943,E$1)</f>
        <v>FOIL</v>
      </c>
      <c r="F943" s="26" t="s">
        <v>3212</v>
      </c>
      <c r="G943" s="26" t="s">
        <v>1235</v>
      </c>
      <c r="H943" s="26" t="s">
        <v>2704</v>
      </c>
      <c r="I943" s="54">
        <f>_xll.DBRW($A$1,$F$14,$F$15,$C943,$A$2,$F943,$G943,$H943,I$1)</f>
        <v>17</v>
      </c>
      <c r="J943" s="25">
        <f>_xll.DBRW($A$1,$F$14,$F$15,$C943,$A$2,$F943,$G943,$H943,J$19)</f>
        <v>9</v>
      </c>
    </row>
    <row r="944" spans="1:10" s="23" customFormat="1" outlineLevel="1" thickBot="1" x14ac:dyDescent="0.3">
      <c r="A944" s="44"/>
      <c r="B944" s="31" t="str">
        <f>IF(_xll.TM1RPTELISCONSOLIDATED($H$20,$H944),IF(_xll.TM1RPTELLEV($H$20,$H944)&lt;=5,_xll.TM1RPTELLEV($H$20,$H944),"Default"),"Leaf")</f>
        <v>Leaf</v>
      </c>
      <c r="C944" s="26" t="s">
        <v>14</v>
      </c>
      <c r="D944" s="24" t="str">
        <f>_xll.DBRW("TM1-S1_DEV:}ElementAttributes_SP_SKU",$F944,D$1)</f>
        <v>Primary</v>
      </c>
      <c r="E944" s="24" t="str">
        <f>_xll.DBRW("TM1-S1_DEV:}ElementAttributes_SP_SKU",$F944,E$1)</f>
        <v>BAG</v>
      </c>
      <c r="F944" s="26" t="s">
        <v>3219</v>
      </c>
      <c r="G944" s="26" t="s">
        <v>1236</v>
      </c>
      <c r="H944" s="26" t="s">
        <v>2705</v>
      </c>
      <c r="I944" s="54">
        <f>_xll.DBRW($A$1,$F$14,$F$15,$C944,$A$2,$F944,$G944,$H944,I$1)</f>
        <v>9</v>
      </c>
      <c r="J944" s="25">
        <f>_xll.DBRW($A$1,$F$14,$F$15,$C944,$A$2,$F944,$G944,$H944,J$19)</f>
        <v>6</v>
      </c>
    </row>
    <row r="945" spans="1:10" s="23" customFormat="1" outlineLevel="1" thickBot="1" x14ac:dyDescent="0.3">
      <c r="A945" s="44"/>
      <c r="B945" s="31" t="str">
        <f>IF(_xll.TM1RPTELISCONSOLIDATED($H$20,$H945),IF(_xll.TM1RPTELLEV($H$20,$H945)&lt;=5,_xll.TM1RPTELLEV($H$20,$H945),"Default"),"Leaf")</f>
        <v>Leaf</v>
      </c>
      <c r="C945" s="26" t="s">
        <v>14</v>
      </c>
      <c r="D945" s="24" t="str">
        <f>_xll.DBRW("TM1-S1_DEV:}ElementAttributes_SP_SKU",$F945,D$1)</f>
        <v>Primary</v>
      </c>
      <c r="E945" s="24" t="str">
        <f>_xll.DBRW("TM1-S1_DEV:}ElementAttributes_SP_SKU",$F945,E$1)</f>
        <v>BOX</v>
      </c>
      <c r="F945" s="26" t="s">
        <v>3220</v>
      </c>
      <c r="G945" s="26" t="s">
        <v>1237</v>
      </c>
      <c r="H945" s="26" t="s">
        <v>2702</v>
      </c>
      <c r="I945" s="54">
        <f>_xll.DBRW($A$1,$F$14,$F$15,$C945,$A$2,$F945,$G945,$H945,I$1)</f>
        <v>3</v>
      </c>
      <c r="J945" s="25">
        <f>_xll.DBRW($A$1,$F$14,$F$15,$C945,$A$2,$F945,$G945,$H945,J$19)</f>
        <v>2</v>
      </c>
    </row>
    <row r="946" spans="1:10" s="23" customFormat="1" outlineLevel="1" thickBot="1" x14ac:dyDescent="0.3">
      <c r="A946" s="44"/>
      <c r="B946" s="31" t="str">
        <f>IF(_xll.TM1RPTELISCONSOLIDATED($H$20,$H946),IF(_xll.TM1RPTELLEV($H$20,$H946)&lt;=5,_xll.TM1RPTELLEV($H$20,$H946),"Default"),"Leaf")</f>
        <v>Leaf</v>
      </c>
      <c r="C946" s="26" t="s">
        <v>14</v>
      </c>
      <c r="D946" s="24" t="str">
        <f>_xll.DBRW("TM1-S1_DEV:}ElementAttributes_SP_SKU",$F946,D$1)</f>
        <v>Primary</v>
      </c>
      <c r="E946" s="24" t="str">
        <f>_xll.DBRW("TM1-S1_DEV:}ElementAttributes_SP_SKU",$F946,E$1)</f>
        <v>BOX</v>
      </c>
      <c r="F946" s="26" t="s">
        <v>3221</v>
      </c>
      <c r="G946" s="26" t="s">
        <v>1238</v>
      </c>
      <c r="H946" s="26" t="s">
        <v>2702</v>
      </c>
      <c r="I946" s="54">
        <f>_xll.DBRW($A$1,$F$14,$F$15,$C946,$A$2,$F946,$G946,$H946,I$1)</f>
        <v>2</v>
      </c>
      <c r="J946" s="25">
        <f>_xll.DBRW($A$1,$F$14,$F$15,$C946,$A$2,$F946,$G946,$H946,J$19)</f>
        <v>2</v>
      </c>
    </row>
    <row r="947" spans="1:10" s="23" customFormat="1" outlineLevel="1" thickBot="1" x14ac:dyDescent="0.3">
      <c r="A947" s="44"/>
      <c r="B947" s="31" t="str">
        <f>IF(_xll.TM1RPTELISCONSOLIDATED($H$20,$H947),IF(_xll.TM1RPTELLEV($H$20,$H947)&lt;=5,_xll.TM1RPTELLEV($H$20,$H947),"Default"),"Leaf")</f>
        <v>Leaf</v>
      </c>
      <c r="C947" s="26" t="s">
        <v>14</v>
      </c>
      <c r="D947" s="24" t="str">
        <f>_xll.DBRW("TM1-S1_DEV:}ElementAttributes_SP_SKU",$F947,D$1)</f>
        <v>Primary</v>
      </c>
      <c r="E947" s="24" t="str">
        <f>_xll.DBRW("TM1-S1_DEV:}ElementAttributes_SP_SKU",$F947,E$1)</f>
        <v>BOX</v>
      </c>
      <c r="F947" s="26" t="s">
        <v>3222</v>
      </c>
      <c r="G947" s="26" t="s">
        <v>1239</v>
      </c>
      <c r="H947" s="26" t="s">
        <v>2702</v>
      </c>
      <c r="I947" s="54">
        <f>_xll.DBRW($A$1,$F$14,$F$15,$C947,$A$2,$F947,$G947,$H947,I$1)</f>
        <v>2</v>
      </c>
      <c r="J947" s="25">
        <f>_xll.DBRW($A$1,$F$14,$F$15,$C947,$A$2,$F947,$G947,$H947,J$19)</f>
        <v>2</v>
      </c>
    </row>
    <row r="948" spans="1:10" s="23" customFormat="1" outlineLevel="1" thickBot="1" x14ac:dyDescent="0.3">
      <c r="A948" s="44"/>
      <c r="B948" s="31" t="str">
        <f>IF(_xll.TM1RPTELISCONSOLIDATED($H$20,$H948),IF(_xll.TM1RPTELLEV($H$20,$H948)&lt;=5,_xll.TM1RPTELLEV($H$20,$H948),"Default"),"Leaf")</f>
        <v>Leaf</v>
      </c>
      <c r="C948" s="26" t="s">
        <v>14</v>
      </c>
      <c r="D948" s="24" t="str">
        <f>_xll.DBRW("TM1-S1_DEV:}ElementAttributes_SP_SKU",$F948,D$1)</f>
        <v>Primary</v>
      </c>
      <c r="E948" s="24" t="str">
        <f>_xll.DBRW("TM1-S1_DEV:}ElementAttributes_SP_SKU",$F948,E$1)</f>
        <v>BAG</v>
      </c>
      <c r="F948" s="26" t="s">
        <v>3224</v>
      </c>
      <c r="G948" s="26" t="s">
        <v>1240</v>
      </c>
      <c r="H948" s="26" t="s">
        <v>2705</v>
      </c>
      <c r="I948" s="54">
        <f>_xll.DBRW($A$1,$F$14,$F$15,$C948,$A$2,$F948,$G948,$H948,I$1)</f>
        <v>7</v>
      </c>
      <c r="J948" s="25">
        <f>_xll.DBRW($A$1,$F$14,$F$15,$C948,$A$2,$F948,$G948,$H948,J$19)</f>
        <v>5</v>
      </c>
    </row>
    <row r="949" spans="1:10" s="23" customFormat="1" outlineLevel="1" thickBot="1" x14ac:dyDescent="0.3">
      <c r="A949" s="44"/>
      <c r="B949" s="31" t="str">
        <f>IF(_xll.TM1RPTELISCONSOLIDATED($H$20,$H949),IF(_xll.TM1RPTELLEV($H$20,$H949)&lt;=5,_xll.TM1RPTELLEV($H$20,$H949),"Default"),"Leaf")</f>
        <v>Leaf</v>
      </c>
      <c r="C949" s="26" t="s">
        <v>14</v>
      </c>
      <c r="D949" s="24" t="str">
        <f>_xll.DBRW("TM1-S1_DEV:}ElementAttributes_SP_SKU",$F949,D$1)</f>
        <v>Primary</v>
      </c>
      <c r="E949" s="24" t="str">
        <f>_xll.DBRW("TM1-S1_DEV:}ElementAttributes_SP_SKU",$F949,E$1)</f>
        <v>CUP</v>
      </c>
      <c r="F949" s="26" t="s">
        <v>3225</v>
      </c>
      <c r="G949" s="26" t="s">
        <v>1041</v>
      </c>
      <c r="H949" s="26" t="s">
        <v>2707</v>
      </c>
      <c r="I949" s="54">
        <f>_xll.DBRW($A$1,$F$14,$F$15,$C949,$A$2,$F949,$G949,$H949,I$1)</f>
        <v>7</v>
      </c>
      <c r="J949" s="25">
        <f>_xll.DBRW($A$1,$F$14,$F$15,$C949,$A$2,$F949,$G949,$H949,J$19)</f>
        <v>5</v>
      </c>
    </row>
    <row r="950" spans="1:10" s="23" customFormat="1" outlineLevel="1" thickBot="1" x14ac:dyDescent="0.3">
      <c r="A950" s="44"/>
      <c r="B950" s="31" t="str">
        <f>IF(_xll.TM1RPTELISCONSOLIDATED($H$20,$H950),IF(_xll.TM1RPTELLEV($H$20,$H950)&lt;=5,_xll.TM1RPTELLEV($H$20,$H950),"Default"),"Leaf")</f>
        <v>Leaf</v>
      </c>
      <c r="C950" s="26" t="s">
        <v>14</v>
      </c>
      <c r="D950" s="24" t="str">
        <f>_xll.DBRW("TM1-S1_DEV:}ElementAttributes_SP_SKU",$F950,D$1)</f>
        <v>Primary</v>
      </c>
      <c r="E950" s="24" t="str">
        <f>_xll.DBRW("TM1-S1_DEV:}ElementAttributes_SP_SKU",$F950,E$1)</f>
        <v>CUP</v>
      </c>
      <c r="F950" s="26" t="s">
        <v>3226</v>
      </c>
      <c r="G950" s="26" t="s">
        <v>1042</v>
      </c>
      <c r="H950" s="26" t="s">
        <v>2707</v>
      </c>
      <c r="I950" s="54">
        <f>_xll.DBRW($A$1,$F$14,$F$15,$C950,$A$2,$F950,$G950,$H950,I$1)</f>
        <v>6</v>
      </c>
      <c r="J950" s="25">
        <f>_xll.DBRW($A$1,$F$14,$F$15,$C950,$A$2,$F950,$G950,$H950,J$19)</f>
        <v>4</v>
      </c>
    </row>
    <row r="951" spans="1:10" s="23" customFormat="1" outlineLevel="1" thickBot="1" x14ac:dyDescent="0.3">
      <c r="A951" s="44"/>
      <c r="B951" s="31" t="str">
        <f>IF(_xll.TM1RPTELISCONSOLIDATED($H$20,$H951),IF(_xll.TM1RPTELLEV($H$20,$H951)&lt;=5,_xll.TM1RPTELLEV($H$20,$H951),"Default"),"Leaf")</f>
        <v>Leaf</v>
      </c>
      <c r="C951" s="26" t="s">
        <v>14</v>
      </c>
      <c r="D951" s="24" t="str">
        <f>_xll.DBRW("TM1-S1_DEV:}ElementAttributes_SP_SKU",$F951,D$1)</f>
        <v>Primary</v>
      </c>
      <c r="E951" s="24" t="str">
        <f>_xll.DBRW("TM1-S1_DEV:}ElementAttributes_SP_SKU",$F951,E$1)</f>
        <v>PROTEIN</v>
      </c>
      <c r="F951" s="26" t="s">
        <v>3227</v>
      </c>
      <c r="G951" s="26" t="s">
        <v>1043</v>
      </c>
      <c r="H951" s="26" t="s">
        <v>2673</v>
      </c>
      <c r="I951" s="54">
        <f>_xll.DBRW($A$1,$F$14,$F$15,$C951,$A$2,$F951,$G951,$H951,I$1)</f>
        <v>80</v>
      </c>
      <c r="J951" s="25">
        <f>_xll.DBRW($A$1,$F$14,$F$15,$C951,$A$2,$F951,$G951,$H951,J$19)</f>
        <v>80</v>
      </c>
    </row>
    <row r="952" spans="1:10" s="23" customFormat="1" outlineLevel="1" thickBot="1" x14ac:dyDescent="0.3">
      <c r="A952" s="44"/>
      <c r="B952" s="31" t="str">
        <f>IF(_xll.TM1RPTELISCONSOLIDATED($H$20,$H952),IF(_xll.TM1RPTELLEV($H$20,$H952)&lt;=5,_xll.TM1RPTELLEV($H$20,$H952),"Default"),"Leaf")</f>
        <v>Leaf</v>
      </c>
      <c r="C952" s="26" t="s">
        <v>14</v>
      </c>
      <c r="D952" s="24" t="str">
        <f>_xll.DBRW("TM1-S1_DEV:}ElementAttributes_SP_SKU",$F952,D$1)</f>
        <v>Primary</v>
      </c>
      <c r="E952" s="24" t="str">
        <f>_xll.DBRW("TM1-S1_DEV:}ElementAttributes_SP_SKU",$F952,E$1)</f>
        <v>TRAY</v>
      </c>
      <c r="F952" s="26" t="s">
        <v>3228</v>
      </c>
      <c r="G952" s="26" t="s">
        <v>1241</v>
      </c>
      <c r="H952" s="26" t="s">
        <v>2708</v>
      </c>
      <c r="I952" s="54">
        <f>_xll.DBRW($A$1,$F$14,$F$15,$C952,$A$2,$F952,$G952,$H952,I$1)</f>
        <v>16</v>
      </c>
      <c r="J952" s="25">
        <f>_xll.DBRW($A$1,$F$14,$F$15,$C952,$A$2,$F952,$G952,$H952,J$19)</f>
        <v>16</v>
      </c>
    </row>
    <row r="953" spans="1:10" s="23" customFormat="1" outlineLevel="1" thickBot="1" x14ac:dyDescent="0.3">
      <c r="A953" s="44"/>
      <c r="B953" s="31" t="str">
        <f>IF(_xll.TM1RPTELISCONSOLIDATED($H$20,$H953),IF(_xll.TM1RPTELLEV($H$20,$H953)&lt;=5,_xll.TM1RPTELLEV($H$20,$H953),"Default"),"Leaf")</f>
        <v>Leaf</v>
      </c>
      <c r="C953" s="26" t="s">
        <v>14</v>
      </c>
      <c r="D953" s="24" t="str">
        <f>_xll.DBRW("TM1-S1_DEV:}ElementAttributes_SP_SKU",$F953,D$1)</f>
        <v>Primary</v>
      </c>
      <c r="E953" s="24" t="str">
        <f>_xll.DBRW("TM1-S1_DEV:}ElementAttributes_SP_SKU",$F953,E$1)</f>
        <v>TRAY</v>
      </c>
      <c r="F953" s="26" t="s">
        <v>3229</v>
      </c>
      <c r="G953" s="26" t="s">
        <v>1242</v>
      </c>
      <c r="H953" s="26" t="s">
        <v>2708</v>
      </c>
      <c r="I953" s="54">
        <f>_xll.DBRW($A$1,$F$14,$F$15,$C953,$A$2,$F953,$G953,$H953,I$1)</f>
        <v>20</v>
      </c>
      <c r="J953" s="25">
        <f>_xll.DBRW($A$1,$F$14,$F$15,$C953,$A$2,$F953,$G953,$H953,J$19)</f>
        <v>20</v>
      </c>
    </row>
    <row r="954" spans="1:10" s="23" customFormat="1" outlineLevel="1" thickBot="1" x14ac:dyDescent="0.3">
      <c r="A954" s="44"/>
      <c r="B954" s="31" t="str">
        <f>IF(_xll.TM1RPTELISCONSOLIDATED($H$20,$H954),IF(_xll.TM1RPTELLEV($H$20,$H954)&lt;=5,_xll.TM1RPTELLEV($H$20,$H954),"Default"),"Leaf")</f>
        <v>Leaf</v>
      </c>
      <c r="C954" s="26" t="s">
        <v>14</v>
      </c>
      <c r="D954" s="24" t="str">
        <f>_xll.DBRW("TM1-S1_DEV:}ElementAttributes_SP_SKU",$F954,D$1)</f>
        <v>Unassigned PSP</v>
      </c>
      <c r="E954" s="24" t="str">
        <f>_xll.DBRW("TM1-S1_DEV:}ElementAttributes_SP_SKU",$F954,E$1)</f>
        <v>BOWL</v>
      </c>
      <c r="F954" s="26" t="s">
        <v>286</v>
      </c>
      <c r="G954" s="26" t="s">
        <v>1275</v>
      </c>
      <c r="H954" s="26" t="s">
        <v>2745</v>
      </c>
      <c r="I954" s="54">
        <f>_xll.DBRW($A$1,$F$14,$F$15,$C954,$A$2,$F954,$G954,$H954,I$1)</f>
        <v>5</v>
      </c>
      <c r="J954" s="25">
        <f>_xll.DBRW($A$1,$F$14,$F$15,$C954,$A$2,$F954,$G954,$H954,J$19)</f>
        <v>5</v>
      </c>
    </row>
    <row r="955" spans="1:10" s="23" customFormat="1" outlineLevel="1" thickBot="1" x14ac:dyDescent="0.3">
      <c r="A955" s="44"/>
      <c r="B955" s="31" t="str">
        <f>IF(_xll.TM1RPTELISCONSOLIDATED($H$20,$H955),IF(_xll.TM1RPTELLEV($H$20,$H955)&lt;=5,_xll.TM1RPTELLEV($H$20,$H955),"Default"),"Leaf")</f>
        <v>Leaf</v>
      </c>
      <c r="C955" s="26" t="s">
        <v>14</v>
      </c>
      <c r="D955" s="24" t="str">
        <f>_xll.DBRW("TM1-S1_DEV:}ElementAttributes_SP_SKU",$F955,D$1)</f>
        <v>Primary</v>
      </c>
      <c r="E955" s="24" t="str">
        <f>_xll.DBRW("TM1-S1_DEV:}ElementAttributes_SP_SKU",$F955,E$1)</f>
        <v>BREAD</v>
      </c>
      <c r="F955" s="26" t="s">
        <v>3260</v>
      </c>
      <c r="G955" s="26" t="s">
        <v>1046</v>
      </c>
      <c r="H955" s="26" t="s">
        <v>2710</v>
      </c>
      <c r="I955" s="54">
        <f>_xll.DBRW($A$1,$F$14,$F$15,$C955,$A$2,$F955,$G955,$H955,I$1)</f>
        <v>10</v>
      </c>
      <c r="J955" s="25">
        <f>_xll.DBRW($A$1,$F$14,$F$15,$C955,$A$2,$F955,$G955,$H955,J$19)</f>
        <v>5</v>
      </c>
    </row>
    <row r="956" spans="1:10" s="23" customFormat="1" outlineLevel="1" thickBot="1" x14ac:dyDescent="0.3">
      <c r="A956" s="44"/>
      <c r="B956" s="31" t="str">
        <f>IF(_xll.TM1RPTELISCONSOLIDATED($H$20,$H956),IF(_xll.TM1RPTELLEV($H$20,$H956)&lt;=5,_xll.TM1RPTELLEV($H$20,$H956),"Default"),"Leaf")</f>
        <v>Leaf</v>
      </c>
      <c r="C956" s="26" t="s">
        <v>14</v>
      </c>
      <c r="D956" s="24" t="str">
        <f>_xll.DBRW("TM1-S1_DEV:}ElementAttributes_SP_SKU",$F956,D$1)</f>
        <v>Primary</v>
      </c>
      <c r="E956" s="24" t="str">
        <f>_xll.DBRW("TM1-S1_DEV:}ElementAttributes_SP_SKU",$F956,E$1)</f>
        <v>TRAY</v>
      </c>
      <c r="F956" s="26" t="s">
        <v>3231</v>
      </c>
      <c r="G956" s="26" t="s">
        <v>1047</v>
      </c>
      <c r="H956" s="26" t="s">
        <v>2711</v>
      </c>
      <c r="I956" s="54">
        <f>_xll.DBRW($A$1,$F$14,$F$15,$C956,$A$2,$F956,$G956,$H956,I$1)</f>
        <v>18</v>
      </c>
      <c r="J956" s="25">
        <f>_xll.DBRW($A$1,$F$14,$F$15,$C956,$A$2,$F956,$G956,$H956,J$19)</f>
        <v>15</v>
      </c>
    </row>
    <row r="957" spans="1:10" s="23" customFormat="1" outlineLevel="1" thickBot="1" x14ac:dyDescent="0.3">
      <c r="A957" s="44"/>
      <c r="B957" s="31" t="str">
        <f>IF(_xll.TM1RPTELISCONSOLIDATED($H$20,$H957),IF(_xll.TM1RPTELLEV($H$20,$H957)&lt;=5,_xll.TM1RPTELLEV($H$20,$H957),"Default"),"Leaf")</f>
        <v>Leaf</v>
      </c>
      <c r="C957" s="26" t="s">
        <v>14</v>
      </c>
      <c r="D957" s="24" t="str">
        <f>_xll.DBRW("TM1-S1_DEV:}ElementAttributes_SP_SKU",$F957,D$1)</f>
        <v>Primary</v>
      </c>
      <c r="E957" s="24" t="str">
        <f>_xll.DBRW("TM1-S1_DEV:}ElementAttributes_SP_SKU",$F957,E$1)</f>
        <v>PAPER</v>
      </c>
      <c r="F957" s="26" t="s">
        <v>3261</v>
      </c>
      <c r="G957" s="26" t="s">
        <v>1048</v>
      </c>
      <c r="H957" s="26" t="s">
        <v>2716</v>
      </c>
      <c r="I957" s="54">
        <f>_xll.DBRW($A$1,$F$14,$F$15,$C957,$A$2,$F957,$G957,$H957,I$1)</f>
        <v>0</v>
      </c>
      <c r="J957" s="25">
        <f>_xll.DBRW($A$1,$F$14,$F$15,$C957,$A$2,$F957,$G957,$H957,J$19)</f>
        <v>1</v>
      </c>
    </row>
    <row r="958" spans="1:10" s="23" customFormat="1" outlineLevel="1" thickBot="1" x14ac:dyDescent="0.3">
      <c r="A958" s="44"/>
      <c r="B958" s="31" t="str">
        <f>IF(_xll.TM1RPTELISCONSOLIDATED($H$20,$H958),IF(_xll.TM1RPTELLEV($H$20,$H958)&lt;=5,_xll.TM1RPTELLEV($H$20,$H958),"Default"),"Leaf")</f>
        <v>Leaf</v>
      </c>
      <c r="C958" s="26" t="s">
        <v>14</v>
      </c>
      <c r="D958" s="24" t="str">
        <f>_xll.DBRW("TM1-S1_DEV:}ElementAttributes_SP_SKU",$F958,D$1)</f>
        <v>Primary</v>
      </c>
      <c r="E958" s="24" t="str">
        <f>_xll.DBRW("TM1-S1_DEV:}ElementAttributes_SP_SKU",$F958,E$1)</f>
        <v>BREAD</v>
      </c>
      <c r="F958" s="26" t="s">
        <v>3236</v>
      </c>
      <c r="G958" s="26" t="s">
        <v>1050</v>
      </c>
      <c r="H958" s="26" t="s">
        <v>2689</v>
      </c>
      <c r="I958" s="54">
        <f>_xll.DBRW($A$1,$F$14,$F$15,$C958,$A$2,$F958,$G958,$H958,I$1)</f>
        <v>19</v>
      </c>
      <c r="J958" s="25">
        <f>_xll.DBRW($A$1,$F$14,$F$15,$C958,$A$2,$F958,$G958,$H958,J$19)</f>
        <v>19</v>
      </c>
    </row>
    <row r="959" spans="1:10" s="23" customFormat="1" outlineLevel="1" thickBot="1" x14ac:dyDescent="0.3">
      <c r="A959" s="44"/>
      <c r="B959" s="31" t="str">
        <f>IF(_xll.TM1RPTELISCONSOLIDATED($H$20,$H959),IF(_xll.TM1RPTELLEV($H$20,$H959)&lt;=5,_xll.TM1RPTELLEV($H$20,$H959),"Default"),"Leaf")</f>
        <v>Leaf</v>
      </c>
      <c r="C959" s="26" t="s">
        <v>14</v>
      </c>
      <c r="D959" s="24" t="str">
        <f>_xll.DBRW("TM1-S1_DEV:}ElementAttributes_SP_SKU",$F959,D$1)</f>
        <v>Primary</v>
      </c>
      <c r="E959" s="24" t="str">
        <f>_xll.DBRW("TM1-S1_DEV:}ElementAttributes_SP_SKU",$F959,E$1)</f>
        <v>PAPER</v>
      </c>
      <c r="F959" s="26" t="s">
        <v>3239</v>
      </c>
      <c r="G959" s="26" t="s">
        <v>1244</v>
      </c>
      <c r="H959" s="26" t="s">
        <v>2715</v>
      </c>
      <c r="I959" s="54">
        <f>_xll.DBRW($A$1,$F$14,$F$15,$C959,$A$2,$F959,$G959,$H959,I$1)</f>
        <v>22</v>
      </c>
      <c r="J959" s="25">
        <f>_xll.DBRW($A$1,$F$14,$F$15,$C959,$A$2,$F959,$G959,$H959,J$19)</f>
        <v>18</v>
      </c>
    </row>
    <row r="960" spans="1:10" s="23" customFormat="1" outlineLevel="1" thickBot="1" x14ac:dyDescent="0.3">
      <c r="A960" s="44"/>
      <c r="B960" s="31" t="str">
        <f>IF(_xll.TM1RPTELISCONSOLIDATED($H$20,$H960),IF(_xll.TM1RPTELLEV($H$20,$H960)&lt;=5,_xll.TM1RPTELLEV($H$20,$H960),"Default"),"Leaf")</f>
        <v>Leaf</v>
      </c>
      <c r="C960" s="26" t="s">
        <v>14</v>
      </c>
      <c r="D960" s="24" t="str">
        <f>_xll.DBRW("TM1-S1_DEV:}ElementAttributes_SP_SKU",$F960,D$1)</f>
        <v>Unassigned PSP</v>
      </c>
      <c r="E960" s="24" t="str">
        <f>_xll.DBRW("TM1-S1_DEV:}ElementAttributes_SP_SKU",$F960,E$1)</f>
        <v>LID</v>
      </c>
      <c r="F960" s="26" t="s">
        <v>260</v>
      </c>
      <c r="G960" s="26" t="s">
        <v>1245</v>
      </c>
      <c r="H960" s="26" t="s">
        <v>2708</v>
      </c>
      <c r="I960" s="54">
        <f>_xll.DBRW($A$1,$F$14,$F$15,$C960,$A$2,$F960,$G960,$H960,I$1)</f>
        <v>44</v>
      </c>
      <c r="J960" s="25">
        <f>_xll.DBRW($A$1,$F$14,$F$15,$C960,$A$2,$F960,$G960,$H960,J$19)</f>
        <v>44</v>
      </c>
    </row>
    <row r="961" spans="1:10" s="23" customFormat="1" outlineLevel="1" thickBot="1" x14ac:dyDescent="0.3">
      <c r="A961" s="44"/>
      <c r="B961" s="31" t="str">
        <f>IF(_xll.TM1RPTELISCONSOLIDATED($H$20,$H961),IF(_xll.TM1RPTELLEV($H$20,$H961)&lt;=5,_xll.TM1RPTELLEV($H$20,$H961),"Default"),"Leaf")</f>
        <v>Leaf</v>
      </c>
      <c r="C961" s="26" t="s">
        <v>14</v>
      </c>
      <c r="D961" s="24" t="str">
        <f>_xll.DBRW("TM1-S1_DEV:}ElementAttributes_SP_SKU",$F961,D$1)</f>
        <v>Primary</v>
      </c>
      <c r="E961" s="24" t="str">
        <f>_xll.DBRW("TM1-S1_DEV:}ElementAttributes_SP_SKU",$F961,E$1)</f>
        <v>BAG</v>
      </c>
      <c r="F961" s="26" t="s">
        <v>117</v>
      </c>
      <c r="G961" s="26" t="s">
        <v>1051</v>
      </c>
      <c r="H961" s="26" t="s">
        <v>2708</v>
      </c>
      <c r="I961" s="54">
        <f>_xll.DBRW($A$1,$F$14,$F$15,$C961,$A$2,$F961,$G961,$H961,I$1)</f>
        <v>17</v>
      </c>
      <c r="J961" s="25">
        <f>_xll.DBRW($A$1,$F$14,$F$15,$C961,$A$2,$F961,$G961,$H961,J$19)</f>
        <v>17</v>
      </c>
    </row>
    <row r="962" spans="1:10" s="23" customFormat="1" outlineLevel="1" thickBot="1" x14ac:dyDescent="0.3">
      <c r="A962" s="44"/>
      <c r="B962" s="31" t="str">
        <f>IF(_xll.TM1RPTELISCONSOLIDATED($H$20,$H962),IF(_xll.TM1RPTELLEV($H$20,$H962)&lt;=5,_xll.TM1RPTELLEV($H$20,$H962),"Default"),"Leaf")</f>
        <v>Leaf</v>
      </c>
      <c r="C962" s="26" t="s">
        <v>14</v>
      </c>
      <c r="D962" s="24" t="str">
        <f>_xll.DBRW("TM1-S1_DEV:}ElementAttributes_SP_SKU",$F962,D$1)</f>
        <v>Primary</v>
      </c>
      <c r="E962" s="24" t="str">
        <f>_xll.DBRW("TM1-S1_DEV:}ElementAttributes_SP_SKU",$F962,E$1)</f>
        <v>SOUP</v>
      </c>
      <c r="F962" s="26" t="s">
        <v>3271</v>
      </c>
      <c r="G962" s="26" t="s">
        <v>3321</v>
      </c>
      <c r="H962" s="26" t="s">
        <v>2675</v>
      </c>
      <c r="I962" s="54">
        <f>_xll.DBRW($A$1,$F$14,$F$15,$C962,$A$2,$F962,$G962,$H962,I$1)</f>
        <v>0</v>
      </c>
      <c r="J962" s="25">
        <f>_xll.DBRW($A$1,$F$14,$F$15,$C962,$A$2,$F962,$G962,$H962,J$19)</f>
        <v>-1</v>
      </c>
    </row>
    <row r="963" spans="1:10" s="23" customFormat="1" outlineLevel="1" thickBot="1" x14ac:dyDescent="0.3">
      <c r="A963" s="44"/>
      <c r="B963" s="31" t="str">
        <f>IF(_xll.TM1RPTELISCONSOLIDATED($H$20,$H963),IF(_xll.TM1RPTELLEV($H$20,$H963)&lt;=5,_xll.TM1RPTELLEV($H$20,$H963),"Default"),"Leaf")</f>
        <v>Leaf</v>
      </c>
      <c r="C963" s="26" t="s">
        <v>14</v>
      </c>
      <c r="D963" s="24" t="str">
        <f>_xll.DBRW("TM1-S1_DEV:}ElementAttributes_SP_SKU",$F963,D$1)</f>
        <v>Primary</v>
      </c>
      <c r="E963" s="24" t="str">
        <f>_xll.DBRW("TM1-S1_DEV:}ElementAttributes_SP_SKU",$F963,E$1)</f>
        <v>CONTAINER</v>
      </c>
      <c r="F963" s="26" t="s">
        <v>118</v>
      </c>
      <c r="G963" s="26" t="s">
        <v>1053</v>
      </c>
      <c r="H963" s="26" t="s">
        <v>2757</v>
      </c>
      <c r="I963" s="54">
        <f>_xll.DBRW($A$1,$F$14,$F$15,$C963,$A$2,$F963,$G963,$H963,I$1)</f>
        <v>43</v>
      </c>
      <c r="J963" s="25">
        <f>_xll.DBRW($A$1,$F$14,$F$15,$C963,$A$2,$F963,$G963,$H963,J$19)</f>
        <v>75</v>
      </c>
    </row>
    <row r="964" spans="1:10" s="23" customFormat="1" outlineLevel="1" thickBot="1" x14ac:dyDescent="0.3">
      <c r="A964" s="44"/>
      <c r="B964" s="31" t="str">
        <f>IF(_xll.TM1RPTELISCONSOLIDATED($H$20,$H964),IF(_xll.TM1RPTELLEV($H$20,$H964)&lt;=5,_xll.TM1RPTELLEV($H$20,$H964),"Default"),"Leaf")</f>
        <v>Leaf</v>
      </c>
      <c r="C964" s="26" t="s">
        <v>14</v>
      </c>
      <c r="D964" s="24" t="str">
        <f>_xll.DBRW("TM1-S1_DEV:}ElementAttributes_SP_SKU",$F964,D$1)</f>
        <v>Primary</v>
      </c>
      <c r="E964" s="24" t="str">
        <f>_xll.DBRW("TM1-S1_DEV:}ElementAttributes_SP_SKU",$F964,E$1)</f>
        <v>CONTAINER</v>
      </c>
      <c r="F964" s="26" t="s">
        <v>119</v>
      </c>
      <c r="G964" s="26" t="s">
        <v>1054</v>
      </c>
      <c r="H964" s="26" t="s">
        <v>2757</v>
      </c>
      <c r="I964" s="54">
        <f>_xll.DBRW($A$1,$F$14,$F$15,$C964,$A$2,$F964,$G964,$H964,I$1)</f>
        <v>33</v>
      </c>
      <c r="J964" s="25">
        <f>_xll.DBRW($A$1,$F$14,$F$15,$C964,$A$2,$F964,$G964,$H964,J$19)</f>
        <v>113</v>
      </c>
    </row>
    <row r="965" spans="1:10" s="23" customFormat="1" outlineLevel="1" thickBot="1" x14ac:dyDescent="0.3">
      <c r="A965" s="44"/>
      <c r="B965" s="31" t="str">
        <f>IF(_xll.TM1RPTELISCONSOLIDATED($H$20,$H965),IF(_xll.TM1RPTELLEV($H$20,$H965)&lt;=5,_xll.TM1RPTELLEV($H$20,$H965),"Default"),"Leaf")</f>
        <v>Leaf</v>
      </c>
      <c r="C965" s="26" t="s">
        <v>14</v>
      </c>
      <c r="D965" s="24" t="str">
        <f>_xll.DBRW("TM1-S1_DEV:}ElementAttributes_SP_SKU",$F965,D$1)</f>
        <v>Primary</v>
      </c>
      <c r="E965" s="24" t="str">
        <f>_xll.DBRW("TM1-S1_DEV:}ElementAttributes_SP_SKU",$F965,E$1)</f>
        <v>DRESSING</v>
      </c>
      <c r="F965" s="26" t="s">
        <v>120</v>
      </c>
      <c r="G965" s="26" t="s">
        <v>1055</v>
      </c>
      <c r="H965" s="26" t="s">
        <v>2743</v>
      </c>
      <c r="I965" s="54">
        <f>_xll.DBRW($A$1,$F$14,$F$15,$C965,$A$2,$F965,$G965,$H965,I$1)</f>
        <v>172</v>
      </c>
      <c r="J965" s="25">
        <f>_xll.DBRW($A$1,$F$14,$F$15,$C965,$A$2,$F965,$G965,$H965,J$19)</f>
        <v>170</v>
      </c>
    </row>
    <row r="966" spans="1:10" s="23" customFormat="1" outlineLevel="1" thickBot="1" x14ac:dyDescent="0.3">
      <c r="A966" s="44"/>
      <c r="B966" s="31" t="str">
        <f>IF(_xll.TM1RPTELISCONSOLIDATED($H$20,$H966),IF(_xll.TM1RPTELLEV($H$20,$H966)&lt;=5,_xll.TM1RPTELLEV($H$20,$H966),"Default"),"Leaf")</f>
        <v>Leaf</v>
      </c>
      <c r="C966" s="26" t="s">
        <v>14</v>
      </c>
      <c r="D966" s="24" t="str">
        <f>_xll.DBRW("TM1-S1_DEV:}ElementAttributes_SP_SKU",$F966,D$1)</f>
        <v>Primary</v>
      </c>
      <c r="E966" s="24" t="str">
        <f>_xll.DBRW("TM1-S1_DEV:}ElementAttributes_SP_SKU",$F966,E$1)</f>
        <v>DRESSING</v>
      </c>
      <c r="F966" s="26" t="s">
        <v>121</v>
      </c>
      <c r="G966" s="26" t="s">
        <v>1056</v>
      </c>
      <c r="H966" s="26" t="s">
        <v>2743</v>
      </c>
      <c r="I966" s="54">
        <f>_xll.DBRW($A$1,$F$14,$F$15,$C966,$A$2,$F966,$G966,$H966,I$1)</f>
        <v>63</v>
      </c>
      <c r="J966" s="25">
        <f>_xll.DBRW($A$1,$F$14,$F$15,$C966,$A$2,$F966,$G966,$H966,J$19)</f>
        <v>61</v>
      </c>
    </row>
    <row r="967" spans="1:10" s="23" customFormat="1" outlineLevel="1" thickBot="1" x14ac:dyDescent="0.3">
      <c r="A967" s="44"/>
      <c r="B967" s="31" t="str">
        <f>IF(_xll.TM1RPTELISCONSOLIDATED($H$20,$H967),IF(_xll.TM1RPTELLEV($H$20,$H967)&lt;=5,_xll.TM1RPTELLEV($H$20,$H967),"Default"),"Leaf")</f>
        <v>Leaf</v>
      </c>
      <c r="C967" s="26" t="s">
        <v>14</v>
      </c>
      <c r="D967" s="24" t="str">
        <f>_xll.DBRW("TM1-S1_DEV:}ElementAttributes_SP_SKU",$F967,D$1)</f>
        <v>Primary</v>
      </c>
      <c r="E967" s="24" t="str">
        <f>_xll.DBRW("TM1-S1_DEV:}ElementAttributes_SP_SKU",$F967,E$1)</f>
        <v>PAPER</v>
      </c>
      <c r="F967" s="26" t="s">
        <v>122</v>
      </c>
      <c r="G967" s="26" t="s">
        <v>1057</v>
      </c>
      <c r="H967" s="26" t="s">
        <v>2770</v>
      </c>
      <c r="I967" s="54">
        <f>_xll.DBRW($A$1,$F$14,$F$15,$C967,$A$2,$F967,$G967,$H967,I$1)</f>
        <v>129</v>
      </c>
      <c r="J967" s="25">
        <f>_xll.DBRW($A$1,$F$14,$F$15,$C967,$A$2,$F967,$G967,$H967,J$19)</f>
        <v>126</v>
      </c>
    </row>
    <row r="968" spans="1:10" s="23" customFormat="1" outlineLevel="1" thickBot="1" x14ac:dyDescent="0.3">
      <c r="A968" s="44"/>
      <c r="B968" s="31" t="str">
        <f>IF(_xll.TM1RPTELISCONSOLIDATED($H$20,$H968),IF(_xll.TM1RPTELLEV($H$20,$H968)&lt;=5,_xll.TM1RPTELLEV($H$20,$H968),"Default"),"Leaf")</f>
        <v>Leaf</v>
      </c>
      <c r="C968" s="26" t="s">
        <v>14</v>
      </c>
      <c r="D968" s="24" t="str">
        <f>_xll.DBRW("TM1-S1_DEV:}ElementAttributes_SP_SKU",$F968,D$1)</f>
        <v>Primary</v>
      </c>
      <c r="E968" s="24" t="str">
        <f>_xll.DBRW("TM1-S1_DEV:}ElementAttributes_SP_SKU",$F968,E$1)</f>
        <v>UTENSIL</v>
      </c>
      <c r="F968" s="26" t="s">
        <v>123</v>
      </c>
      <c r="G968" s="26" t="s">
        <v>1058</v>
      </c>
      <c r="H968" s="26" t="s">
        <v>2771</v>
      </c>
      <c r="I968" s="54">
        <f>_xll.DBRW($A$1,$F$14,$F$15,$C968,$A$2,$F968,$G968,$H968,I$1)</f>
        <v>31</v>
      </c>
      <c r="J968" s="25">
        <f>_xll.DBRW($A$1,$F$14,$F$15,$C968,$A$2,$F968,$G968,$H968,J$19)</f>
        <v>28</v>
      </c>
    </row>
    <row r="969" spans="1:10" s="23" customFormat="1" outlineLevel="1" thickBot="1" x14ac:dyDescent="0.3">
      <c r="A969" s="44"/>
      <c r="B969" s="31" t="str">
        <f>IF(_xll.TM1RPTELISCONSOLIDATED($H$20,$H969),IF(_xll.TM1RPTELLEV($H$20,$H969)&lt;=5,_xll.TM1RPTELLEV($H$20,$H969),"Default"),"Leaf")</f>
        <v>Leaf</v>
      </c>
      <c r="C969" s="26" t="s">
        <v>14</v>
      </c>
      <c r="D969" s="24" t="str">
        <f>_xll.DBRW("TM1-S1_DEV:}ElementAttributes_SP_SKU",$F969,D$1)</f>
        <v>Primary</v>
      </c>
      <c r="E969" s="24" t="str">
        <f>_xll.DBRW("TM1-S1_DEV:}ElementAttributes_SP_SKU",$F969,E$1)</f>
        <v>UTENSIL</v>
      </c>
      <c r="F969" s="26" t="s">
        <v>124</v>
      </c>
      <c r="G969" s="26" t="s">
        <v>1059</v>
      </c>
      <c r="H969" s="26" t="s">
        <v>2771</v>
      </c>
      <c r="I969" s="54">
        <f>_xll.DBRW($A$1,$F$14,$F$15,$C969,$A$2,$F969,$G969,$H969,I$1)</f>
        <v>40</v>
      </c>
      <c r="J969" s="25">
        <f>_xll.DBRW($A$1,$F$14,$F$15,$C969,$A$2,$F969,$G969,$H969,J$19)</f>
        <v>37</v>
      </c>
    </row>
    <row r="970" spans="1:10" s="23" customFormat="1" outlineLevel="1" thickBot="1" x14ac:dyDescent="0.3">
      <c r="A970" s="44"/>
      <c r="B970" s="31" t="str">
        <f>IF(_xll.TM1RPTELISCONSOLIDATED($H$20,$H970),IF(_xll.TM1RPTELLEV($H$20,$H970)&lt;=5,_xll.TM1RPTELLEV($H$20,$H970),"Default"),"Leaf")</f>
        <v>Leaf</v>
      </c>
      <c r="C970" s="26" t="s">
        <v>14</v>
      </c>
      <c r="D970" s="24" t="str">
        <f>_xll.DBRW("TM1-S1_DEV:}ElementAttributes_SP_SKU",$F970,D$1)</f>
        <v>Primary</v>
      </c>
      <c r="E970" s="24" t="str">
        <f>_xll.DBRW("TM1-S1_DEV:}ElementAttributes_SP_SKU",$F970,E$1)</f>
        <v>UTENSIL</v>
      </c>
      <c r="F970" s="26" t="s">
        <v>261</v>
      </c>
      <c r="G970" s="26" t="s">
        <v>1248</v>
      </c>
      <c r="H970" s="26" t="s">
        <v>2771</v>
      </c>
      <c r="I970" s="54">
        <f>_xll.DBRW($A$1,$F$14,$F$15,$C970,$A$2,$F970,$G970,$H970,I$1)</f>
        <v>41</v>
      </c>
      <c r="J970" s="25">
        <f>_xll.DBRW($A$1,$F$14,$F$15,$C970,$A$2,$F970,$G970,$H970,J$19)</f>
        <v>40</v>
      </c>
    </row>
    <row r="971" spans="1:10" s="23" customFormat="1" outlineLevel="1" thickBot="1" x14ac:dyDescent="0.3">
      <c r="A971" s="44"/>
      <c r="B971" s="31" t="str">
        <f>IF(_xll.TM1RPTELISCONSOLIDATED($H$20,$H971),IF(_xll.TM1RPTELLEV($H$20,$H971)&lt;=5,_xll.TM1RPTELLEV($H$20,$H971),"Default"),"Leaf")</f>
        <v>Leaf</v>
      </c>
      <c r="C971" s="26" t="s">
        <v>14</v>
      </c>
      <c r="D971" s="24" t="str">
        <f>_xll.DBRW("TM1-S1_DEV:}ElementAttributes_SP_SKU",$F971,D$1)</f>
        <v>Primary</v>
      </c>
      <c r="E971" s="24" t="str">
        <f>_xll.DBRW("TM1-S1_DEV:}ElementAttributes_SP_SKU",$F971,E$1)</f>
        <v>UTENSIL</v>
      </c>
      <c r="F971" s="26" t="s">
        <v>125</v>
      </c>
      <c r="G971" s="26" t="s">
        <v>1060</v>
      </c>
      <c r="H971" s="26" t="s">
        <v>2772</v>
      </c>
      <c r="I971" s="54">
        <f>_xll.DBRW($A$1,$F$14,$F$15,$C971,$A$2,$F971,$G971,$H971,I$1)</f>
        <v>46</v>
      </c>
      <c r="J971" s="25">
        <f>_xll.DBRW($A$1,$F$14,$F$15,$C971,$A$2,$F971,$G971,$H971,J$19)</f>
        <v>126</v>
      </c>
    </row>
    <row r="972" spans="1:10" s="23" customFormat="1" outlineLevel="1" thickBot="1" x14ac:dyDescent="0.3">
      <c r="A972" s="44"/>
      <c r="B972" s="31" t="str">
        <f>IF(_xll.TM1RPTELISCONSOLIDATED($H$20,$H972),IF(_xll.TM1RPTELLEV($H$20,$H972)&lt;=5,_xll.TM1RPTELLEV($H$20,$H972),"Default"),"Leaf")</f>
        <v>Leaf</v>
      </c>
      <c r="C972" s="26" t="s">
        <v>14</v>
      </c>
      <c r="D972" s="24" t="str">
        <f>_xll.DBRW("TM1-S1_DEV:}ElementAttributes_SP_SKU",$F972,D$1)</f>
        <v>Primary</v>
      </c>
      <c r="E972" s="24" t="str">
        <f>_xll.DBRW("TM1-S1_DEV:}ElementAttributes_SP_SKU",$F972,E$1)</f>
        <v>GLOVES</v>
      </c>
      <c r="F972" s="26" t="s">
        <v>126</v>
      </c>
      <c r="G972" s="26" t="s">
        <v>1061</v>
      </c>
      <c r="H972" s="26" t="s">
        <v>2765</v>
      </c>
      <c r="I972" s="54">
        <f>_xll.DBRW($A$1,$F$14,$F$15,$C972,$A$2,$F972,$G972,$H972,I$1)</f>
        <v>494</v>
      </c>
      <c r="J972" s="25">
        <f>_xll.DBRW($A$1,$F$14,$F$15,$C972,$A$2,$F972,$G972,$H972,J$19)</f>
        <v>760</v>
      </c>
    </row>
    <row r="973" spans="1:10" s="23" customFormat="1" outlineLevel="1" thickBot="1" x14ac:dyDescent="0.3">
      <c r="A973" s="44"/>
      <c r="B973" s="31" t="str">
        <f>IF(_xll.TM1RPTELISCONSOLIDATED($H$20,$H973),IF(_xll.TM1RPTELLEV($H$20,$H973)&lt;=5,_xll.TM1RPTELLEV($H$20,$H973),"Default"),"Leaf")</f>
        <v>Leaf</v>
      </c>
      <c r="C973" s="26" t="s">
        <v>14</v>
      </c>
      <c r="D973" s="24" t="str">
        <f>_xll.DBRW("TM1-S1_DEV:}ElementAttributes_SP_SKU",$F973,D$1)</f>
        <v>Primary</v>
      </c>
      <c r="E973" s="24" t="str">
        <f>_xll.DBRW("TM1-S1_DEV:}ElementAttributes_SP_SKU",$F973,E$1)</f>
        <v>GLOVES</v>
      </c>
      <c r="F973" s="26" t="s">
        <v>127</v>
      </c>
      <c r="G973" s="26" t="s">
        <v>1062</v>
      </c>
      <c r="H973" s="26" t="s">
        <v>2765</v>
      </c>
      <c r="I973" s="54">
        <f>_xll.DBRW($A$1,$F$14,$F$15,$C973,$A$2,$F973,$G973,$H973,I$1)</f>
        <v>141</v>
      </c>
      <c r="J973" s="25">
        <f>_xll.DBRW($A$1,$F$14,$F$15,$C973,$A$2,$F973,$G973,$H973,J$19)</f>
        <v>228</v>
      </c>
    </row>
    <row r="974" spans="1:10" s="23" customFormat="1" outlineLevel="1" thickBot="1" x14ac:dyDescent="0.3">
      <c r="A974" s="44"/>
      <c r="B974" s="31" t="str">
        <f>IF(_xll.TM1RPTELISCONSOLIDATED($H$20,$H974),IF(_xll.TM1RPTELLEV($H$20,$H974)&lt;=5,_xll.TM1RPTELLEV($H$20,$H974),"Default"),"Leaf")</f>
        <v>Leaf</v>
      </c>
      <c r="C974" s="26" t="s">
        <v>14</v>
      </c>
      <c r="D974" s="24" t="str">
        <f>_xll.DBRW("TM1-S1_DEV:}ElementAttributes_SP_SKU",$F974,D$1)</f>
        <v>Primary</v>
      </c>
      <c r="E974" s="24" t="str">
        <f>_xll.DBRW("TM1-S1_DEV:}ElementAttributes_SP_SKU",$F974,E$1)</f>
        <v>GLOVES</v>
      </c>
      <c r="F974" s="26" t="s">
        <v>128</v>
      </c>
      <c r="G974" s="26" t="s">
        <v>1063</v>
      </c>
      <c r="H974" s="26" t="s">
        <v>2765</v>
      </c>
      <c r="I974" s="54">
        <f>_xll.DBRW($A$1,$F$14,$F$15,$C974,$A$2,$F974,$G974,$H974,I$1)</f>
        <v>139</v>
      </c>
      <c r="J974" s="25">
        <f>_xll.DBRW($A$1,$F$14,$F$15,$C974,$A$2,$F974,$G974,$H974,J$19)</f>
        <v>139</v>
      </c>
    </row>
    <row r="975" spans="1:10" s="23" customFormat="1" outlineLevel="1" thickBot="1" x14ac:dyDescent="0.3">
      <c r="A975" s="44"/>
      <c r="B975" s="31" t="str">
        <f>IF(_xll.TM1RPTELISCONSOLIDATED($H$20,$H975),IF(_xll.TM1RPTELLEV($H$20,$H975)&lt;=5,_xll.TM1RPTELLEV($H$20,$H975),"Default"),"Leaf")</f>
        <v>Leaf</v>
      </c>
      <c r="C975" s="26" t="s">
        <v>14</v>
      </c>
      <c r="D975" s="24" t="str">
        <f>_xll.DBRW("TM1-S1_DEV:}ElementAttributes_SP_SKU",$F975,D$1)</f>
        <v>Primary</v>
      </c>
      <c r="E975" s="24" t="str">
        <f>_xll.DBRW("TM1-S1_DEV:}ElementAttributes_SP_SKU",$F975,E$1)</f>
        <v>GLOVES</v>
      </c>
      <c r="F975" s="26" t="s">
        <v>129</v>
      </c>
      <c r="G975" s="26" t="s">
        <v>1064</v>
      </c>
      <c r="H975" s="26" t="s">
        <v>2765</v>
      </c>
      <c r="I975" s="54">
        <f>_xll.DBRW($A$1,$F$14,$F$15,$C975,$A$2,$F975,$G975,$H975,I$1)</f>
        <v>398</v>
      </c>
      <c r="J975" s="25">
        <f>_xll.DBRW($A$1,$F$14,$F$15,$C975,$A$2,$F975,$G975,$H975,J$19)</f>
        <v>663</v>
      </c>
    </row>
    <row r="976" spans="1:10" s="23" customFormat="1" outlineLevel="1" thickBot="1" x14ac:dyDescent="0.3">
      <c r="A976" s="44"/>
      <c r="B976" s="31" t="str">
        <f>IF(_xll.TM1RPTELISCONSOLIDATED($H$20,$H976),IF(_xll.TM1RPTELLEV($H$20,$H976)&lt;=5,_xll.TM1RPTELLEV($H$20,$H976),"Default"),"Leaf")</f>
        <v>Leaf</v>
      </c>
      <c r="C976" s="26" t="s">
        <v>14</v>
      </c>
      <c r="D976" s="24" t="str">
        <f>_xll.DBRW("TM1-S1_DEV:}ElementAttributes_SP_SKU",$F976,D$1)</f>
        <v>Primary</v>
      </c>
      <c r="E976" s="24" t="str">
        <f>_xll.DBRW("TM1-S1_DEV:}ElementAttributes_SP_SKU",$F976,E$1)</f>
        <v>FILM</v>
      </c>
      <c r="F976" s="26" t="s">
        <v>130</v>
      </c>
      <c r="G976" s="26" t="s">
        <v>1065</v>
      </c>
      <c r="H976" s="26" t="s">
        <v>2765</v>
      </c>
      <c r="I976" s="54">
        <f>_xll.DBRW($A$1,$F$14,$F$15,$C976,$A$2,$F976,$G976,$H976,I$1)</f>
        <v>1821</v>
      </c>
      <c r="J976" s="25">
        <f>_xll.DBRW($A$1,$F$14,$F$15,$C976,$A$2,$F976,$G976,$H976,J$19)</f>
        <v>1821</v>
      </c>
    </row>
    <row r="977" spans="1:10" s="23" customFormat="1" outlineLevel="1" thickBot="1" x14ac:dyDescent="0.3">
      <c r="A977" s="44"/>
      <c r="B977" s="31" t="str">
        <f>IF(_xll.TM1RPTELISCONSOLIDATED($H$20,$H977),IF(_xll.TM1RPTELLEV($H$20,$H977)&lt;=5,_xll.TM1RPTELLEV($H$20,$H977),"Default"),"Leaf")</f>
        <v>Leaf</v>
      </c>
      <c r="C977" s="26" t="s">
        <v>14</v>
      </c>
      <c r="D977" s="24" t="str">
        <f>_xll.DBRW("TM1-S1_DEV:}ElementAttributes_SP_SKU",$F977,D$1)</f>
        <v>Primary</v>
      </c>
      <c r="E977" s="24" t="str">
        <f>_xll.DBRW("TM1-S1_DEV:}ElementAttributes_SP_SKU",$F977,E$1)</f>
        <v>FILM</v>
      </c>
      <c r="F977" s="26" t="s">
        <v>131</v>
      </c>
      <c r="G977" s="26" t="s">
        <v>1066</v>
      </c>
      <c r="H977" s="26" t="s">
        <v>2765</v>
      </c>
      <c r="I977" s="54">
        <f>_xll.DBRW($A$1,$F$14,$F$15,$C977,$A$2,$F977,$G977,$H977,I$1)</f>
        <v>4355</v>
      </c>
      <c r="J977" s="25">
        <f>_xll.DBRW($A$1,$F$14,$F$15,$C977,$A$2,$F977,$G977,$H977,J$19)</f>
        <v>4354</v>
      </c>
    </row>
    <row r="978" spans="1:10" s="23" customFormat="1" outlineLevel="1" thickBot="1" x14ac:dyDescent="0.3">
      <c r="A978" s="44"/>
      <c r="B978" s="31" t="str">
        <f>IF(_xll.TM1RPTELISCONSOLIDATED($H$20,$H978),IF(_xll.TM1RPTELLEV($H$20,$H978)&lt;=5,_xll.TM1RPTELLEV($H$20,$H978),"Default"),"Leaf")</f>
        <v>Leaf</v>
      </c>
      <c r="C978" s="26" t="s">
        <v>14</v>
      </c>
      <c r="D978" s="24" t="str">
        <f>_xll.DBRW("TM1-S1_DEV:}ElementAttributes_SP_SKU",$F978,D$1)</f>
        <v>Primary</v>
      </c>
      <c r="E978" s="24" t="str">
        <f>_xll.DBRW("TM1-S1_DEV:}ElementAttributes_SP_SKU",$F978,E$1)</f>
        <v>PRODUCE</v>
      </c>
      <c r="F978" s="26" t="s">
        <v>132</v>
      </c>
      <c r="G978" s="26" t="s">
        <v>1067</v>
      </c>
      <c r="H978" s="26" t="s">
        <v>2765</v>
      </c>
      <c r="I978" s="54">
        <f>_xll.DBRW($A$1,$F$14,$F$15,$C978,$A$2,$F978,$G978,$H978,I$1)</f>
        <v>32</v>
      </c>
      <c r="J978" s="25">
        <f>_xll.DBRW($A$1,$F$14,$F$15,$C978,$A$2,$F978,$G978,$H978,J$19)</f>
        <v>87</v>
      </c>
    </row>
    <row r="979" spans="1:10" s="23" customFormat="1" outlineLevel="1" thickBot="1" x14ac:dyDescent="0.3">
      <c r="A979" s="44"/>
      <c r="B979" s="31" t="str">
        <f>IF(_xll.TM1RPTELISCONSOLIDATED($H$20,$H979),IF(_xll.TM1RPTELLEV($H$20,$H979)&lt;=5,_xll.TM1RPTELLEV($H$20,$H979),"Default"),"Leaf")</f>
        <v>Leaf</v>
      </c>
      <c r="C979" s="26" t="s">
        <v>14</v>
      </c>
      <c r="D979" s="24" t="str">
        <f>_xll.DBRW("TM1-S1_DEV:}ElementAttributes_SP_SKU",$F979,D$1)</f>
        <v>Primary</v>
      </c>
      <c r="E979" s="24" t="str">
        <f>_xll.DBRW("TM1-S1_DEV:}ElementAttributes_SP_SKU",$F979,E$1)</f>
        <v>PRODUCE</v>
      </c>
      <c r="F979" s="26" t="s">
        <v>133</v>
      </c>
      <c r="G979" s="26" t="s">
        <v>1068</v>
      </c>
      <c r="H979" s="26" t="s">
        <v>2765</v>
      </c>
      <c r="I979" s="54">
        <f>_xll.DBRW($A$1,$F$14,$F$15,$C979,$A$2,$F979,$G979,$H979,I$1)</f>
        <v>79</v>
      </c>
      <c r="J979" s="25">
        <f>_xll.DBRW($A$1,$F$14,$F$15,$C979,$A$2,$F979,$G979,$H979,J$19)</f>
        <v>263</v>
      </c>
    </row>
    <row r="980" spans="1:10" s="23" customFormat="1" outlineLevel="1" thickBot="1" x14ac:dyDescent="0.3">
      <c r="A980" s="44"/>
      <c r="B980" s="31" t="str">
        <f>IF(_xll.TM1RPTELISCONSOLIDATED($H$20,$H980),IF(_xll.TM1RPTELLEV($H$20,$H980)&lt;=5,_xll.TM1RPTELLEV($H$20,$H980),"Default"),"Leaf")</f>
        <v>Leaf</v>
      </c>
      <c r="C980" s="26" t="s">
        <v>14</v>
      </c>
      <c r="D980" s="24" t="str">
        <f>_xll.DBRW("TM1-S1_DEV:}ElementAttributes_SP_SKU",$F980,D$1)</f>
        <v>Primary</v>
      </c>
      <c r="E980" s="24" t="str">
        <f>_xll.DBRW("TM1-S1_DEV:}ElementAttributes_SP_SKU",$F980,E$1)</f>
        <v>PRODUCE</v>
      </c>
      <c r="F980" s="26" t="s">
        <v>134</v>
      </c>
      <c r="G980" s="26" t="s">
        <v>1069</v>
      </c>
      <c r="H980" s="26" t="s">
        <v>2765</v>
      </c>
      <c r="I980" s="54">
        <f>_xll.DBRW($A$1,$F$14,$F$15,$C980,$A$2,$F980,$G980,$H980,I$1)</f>
        <v>155</v>
      </c>
      <c r="J980" s="25">
        <f>_xll.DBRW($A$1,$F$14,$F$15,$C980,$A$2,$F980,$G980,$H980,J$19)</f>
        <v>205</v>
      </c>
    </row>
    <row r="981" spans="1:10" s="23" customFormat="1" outlineLevel="1" thickBot="1" x14ac:dyDescent="0.3">
      <c r="A981" s="44"/>
      <c r="B981" s="31" t="str">
        <f>IF(_xll.TM1RPTELISCONSOLIDATED($H$20,$H981),IF(_xll.TM1RPTELLEV($H$20,$H981)&lt;=5,_xll.TM1RPTELLEV($H$20,$H981),"Default"),"Leaf")</f>
        <v>Leaf</v>
      </c>
      <c r="C981" s="26" t="s">
        <v>14</v>
      </c>
      <c r="D981" s="24" t="str">
        <f>_xll.DBRW("TM1-S1_DEV:}ElementAttributes_SP_SKU",$F981,D$1)</f>
        <v>Primary</v>
      </c>
      <c r="E981" s="24" t="str">
        <f>_xll.DBRW("TM1-S1_DEV:}ElementAttributes_SP_SKU",$F981,E$1)</f>
        <v>PRODUCE</v>
      </c>
      <c r="F981" s="26" t="s">
        <v>135</v>
      </c>
      <c r="G981" s="26" t="s">
        <v>1070</v>
      </c>
      <c r="H981" s="26" t="s">
        <v>2765</v>
      </c>
      <c r="I981" s="54">
        <f>_xll.DBRW($A$1,$F$14,$F$15,$C981,$A$2,$F981,$G981,$H981,I$1)</f>
        <v>180</v>
      </c>
      <c r="J981" s="25">
        <f>_xll.DBRW($A$1,$F$14,$F$15,$C981,$A$2,$F981,$G981,$H981,J$19)</f>
        <v>270</v>
      </c>
    </row>
    <row r="982" spans="1:10" s="23" customFormat="1" outlineLevel="1" thickBot="1" x14ac:dyDescent="0.3">
      <c r="A982" s="44"/>
      <c r="B982" s="31" t="str">
        <f>IF(_xll.TM1RPTELISCONSOLIDATED($H$20,$H982),IF(_xll.TM1RPTELLEV($H$20,$H982)&lt;=5,_xll.TM1RPTELLEV($H$20,$H982),"Default"),"Leaf")</f>
        <v>Leaf</v>
      </c>
      <c r="C982" s="26" t="s">
        <v>14</v>
      </c>
      <c r="D982" s="24" t="str">
        <f>_xll.DBRW("TM1-S1_DEV:}ElementAttributes_SP_SKU",$F982,D$1)</f>
        <v>Primary</v>
      </c>
      <c r="E982" s="24" t="str">
        <f>_xll.DBRW("TM1-S1_DEV:}ElementAttributes_SP_SKU",$F982,E$1)</f>
        <v>PRODUCE</v>
      </c>
      <c r="F982" s="26" t="s">
        <v>136</v>
      </c>
      <c r="G982" s="26" t="s">
        <v>1071</v>
      </c>
      <c r="H982" s="26" t="s">
        <v>2765</v>
      </c>
      <c r="I982" s="54">
        <f>_xll.DBRW($A$1,$F$14,$F$15,$C982,$A$2,$F982,$G982,$H982,I$1)</f>
        <v>205</v>
      </c>
      <c r="J982" s="25">
        <f>_xll.DBRW($A$1,$F$14,$F$15,$C982,$A$2,$F982,$G982,$H982,J$19)</f>
        <v>405</v>
      </c>
    </row>
    <row r="983" spans="1:10" s="23" customFormat="1" outlineLevel="1" thickBot="1" x14ac:dyDescent="0.3">
      <c r="A983" s="44"/>
      <c r="B983" s="31" t="str">
        <f>IF(_xll.TM1RPTELISCONSOLIDATED($H$20,$H983),IF(_xll.TM1RPTELLEV($H$20,$H983)&lt;=5,_xll.TM1RPTELLEV($H$20,$H983),"Default"),"Leaf")</f>
        <v>Leaf</v>
      </c>
      <c r="C983" s="26" t="s">
        <v>14</v>
      </c>
      <c r="D983" s="24" t="str">
        <f>_xll.DBRW("TM1-S1_DEV:}ElementAttributes_SP_SKU",$F983,D$1)</f>
        <v>Primary</v>
      </c>
      <c r="E983" s="24" t="str">
        <f>_xll.DBRW("TM1-S1_DEV:}ElementAttributes_SP_SKU",$F983,E$1)</f>
        <v>PRODUCE</v>
      </c>
      <c r="F983" s="26" t="s">
        <v>137</v>
      </c>
      <c r="G983" s="26" t="s">
        <v>1072</v>
      </c>
      <c r="H983" s="26" t="s">
        <v>2765</v>
      </c>
      <c r="I983" s="54">
        <f>_xll.DBRW($A$1,$F$14,$F$15,$C983,$A$2,$F983,$G983,$H983,I$1)</f>
        <v>82</v>
      </c>
      <c r="J983" s="25">
        <f>_xll.DBRW($A$1,$F$14,$F$15,$C983,$A$2,$F983,$G983,$H983,J$19)</f>
        <v>122</v>
      </c>
    </row>
    <row r="984" spans="1:10" s="23" customFormat="1" outlineLevel="1" thickBot="1" x14ac:dyDescent="0.3">
      <c r="A984" s="44"/>
      <c r="B984" s="31" t="str">
        <f>IF(_xll.TM1RPTELISCONSOLIDATED($H$20,$H984),IF(_xll.TM1RPTELLEV($H$20,$H984)&lt;=5,_xll.TM1RPTELLEV($H$20,$H984),"Default"),"Leaf")</f>
        <v>Leaf</v>
      </c>
      <c r="C984" s="26" t="s">
        <v>14</v>
      </c>
      <c r="D984" s="24" t="str">
        <f>_xll.DBRW("TM1-S1_DEV:}ElementAttributes_SP_SKU",$F984,D$1)</f>
        <v>Primary</v>
      </c>
      <c r="E984" s="24" t="str">
        <f>_xll.DBRW("TM1-S1_DEV:}ElementAttributes_SP_SKU",$F984,E$1)</f>
        <v>LID</v>
      </c>
      <c r="F984" s="26" t="s">
        <v>138</v>
      </c>
      <c r="G984" s="26" t="s">
        <v>1073</v>
      </c>
      <c r="H984" s="26" t="s">
        <v>2757</v>
      </c>
      <c r="I984" s="54">
        <f>_xll.DBRW($A$1,$F$14,$F$15,$C984,$A$2,$F984,$G984,$H984,I$1)</f>
        <v>117</v>
      </c>
      <c r="J984" s="25">
        <f>_xll.DBRW($A$1,$F$14,$F$15,$C984,$A$2,$F984,$G984,$H984,J$19)</f>
        <v>179</v>
      </c>
    </row>
    <row r="985" spans="1:10" s="23" customFormat="1" outlineLevel="1" thickBot="1" x14ac:dyDescent="0.3">
      <c r="A985" s="44"/>
      <c r="B985" s="31" t="str">
        <f>IF(_xll.TM1RPTELISCONSOLIDATED($H$20,$H985),IF(_xll.TM1RPTELLEV($H$20,$H985)&lt;=5,_xll.TM1RPTELLEV($H$20,$H985),"Default"),"Leaf")</f>
        <v>Leaf</v>
      </c>
      <c r="C985" s="26" t="s">
        <v>14</v>
      </c>
      <c r="D985" s="24" t="str">
        <f>_xll.DBRW("TM1-S1_DEV:}ElementAttributes_SP_SKU",$F985,D$1)</f>
        <v>Primary</v>
      </c>
      <c r="E985" s="24" t="str">
        <f>_xll.DBRW("TM1-S1_DEV:}ElementAttributes_SP_SKU",$F985,E$1)</f>
        <v>PLATE</v>
      </c>
      <c r="F985" s="26" t="s">
        <v>139</v>
      </c>
      <c r="G985" s="26" t="s">
        <v>1074</v>
      </c>
      <c r="H985" s="26" t="s">
        <v>2773</v>
      </c>
      <c r="I985" s="54">
        <f>_xll.DBRW($A$1,$F$14,$F$15,$C985,$A$2,$F985,$G985,$H985,I$1)</f>
        <v>102</v>
      </c>
      <c r="J985" s="25">
        <f>_xll.DBRW($A$1,$F$14,$F$15,$C985,$A$2,$F985,$G985,$H985,J$19)</f>
        <v>178</v>
      </c>
    </row>
    <row r="986" spans="1:10" s="23" customFormat="1" outlineLevel="1" thickBot="1" x14ac:dyDescent="0.3">
      <c r="A986" s="44"/>
      <c r="B986" s="31" t="str">
        <f>IF(_xll.TM1RPTELISCONSOLIDATED($H$20,$H986),IF(_xll.TM1RPTELLEV($H$20,$H986)&lt;=5,_xll.TM1RPTELLEV($H$20,$H986),"Default"),"Leaf")</f>
        <v>Leaf</v>
      </c>
      <c r="C986" s="26" t="s">
        <v>14</v>
      </c>
      <c r="D986" s="24" t="str">
        <f>_xll.DBRW("TM1-S1_DEV:}ElementAttributes_SP_SKU",$F986,D$1)</f>
        <v>Primary</v>
      </c>
      <c r="E986" s="24" t="str">
        <f>_xll.DBRW("TM1-S1_DEV:}ElementAttributes_SP_SKU",$F986,E$1)</f>
        <v>BOWL</v>
      </c>
      <c r="F986" s="26" t="s">
        <v>140</v>
      </c>
      <c r="G986" s="26" t="s">
        <v>1075</v>
      </c>
      <c r="H986" s="26" t="s">
        <v>2773</v>
      </c>
      <c r="I986" s="54">
        <f>_xll.DBRW($A$1,$F$14,$F$15,$C986,$A$2,$F986,$G986,$H986,I$1)</f>
        <v>0</v>
      </c>
      <c r="J986" s="25">
        <f>_xll.DBRW($A$1,$F$14,$F$15,$C986,$A$2,$F986,$G986,$H986,J$19)</f>
        <v>20</v>
      </c>
    </row>
    <row r="987" spans="1:10" s="23" customFormat="1" outlineLevel="1" thickBot="1" x14ac:dyDescent="0.3">
      <c r="A987" s="44"/>
      <c r="B987" s="31" t="str">
        <f>IF(_xll.TM1RPTELISCONSOLIDATED($H$20,$H987),IF(_xll.TM1RPTELLEV($H$20,$H987)&lt;=5,_xll.TM1RPTELLEV($H$20,$H987),"Default"),"Leaf")</f>
        <v>Leaf</v>
      </c>
      <c r="C987" s="26" t="s">
        <v>14</v>
      </c>
      <c r="D987" s="24" t="str">
        <f>_xll.DBRW("TM1-S1_DEV:}ElementAttributes_SP_SKU",$F987,D$1)</f>
        <v>Primary</v>
      </c>
      <c r="E987" s="24" t="str">
        <f>_xll.DBRW("TM1-S1_DEV:}ElementAttributes_SP_SKU",$F987,E$1)</f>
        <v>BOWL</v>
      </c>
      <c r="F987" s="26" t="s">
        <v>141</v>
      </c>
      <c r="G987" s="26" t="s">
        <v>1076</v>
      </c>
      <c r="H987" s="26" t="s">
        <v>2773</v>
      </c>
      <c r="I987" s="54">
        <f>_xll.DBRW($A$1,$F$14,$F$15,$C987,$A$2,$F987,$G987,$H987,I$1)</f>
        <v>19</v>
      </c>
      <c r="J987" s="25">
        <f>_xll.DBRW($A$1,$F$14,$F$15,$C987,$A$2,$F987,$G987,$H987,J$19)</f>
        <v>23</v>
      </c>
    </row>
    <row r="988" spans="1:10" s="23" customFormat="1" outlineLevel="1" thickBot="1" x14ac:dyDescent="0.3">
      <c r="A988" s="44"/>
      <c r="B988" s="31" t="str">
        <f>IF(_xll.TM1RPTELISCONSOLIDATED($H$20,$H988),IF(_xll.TM1RPTELLEV($H$20,$H988)&lt;=5,_xll.TM1RPTELLEV($H$20,$H988),"Default"),"Leaf")</f>
        <v>Leaf</v>
      </c>
      <c r="C988" s="26" t="s">
        <v>14</v>
      </c>
      <c r="D988" s="24" t="str">
        <f>_xll.DBRW("TM1-S1_DEV:}ElementAttributes_SP_SKU",$F988,D$1)</f>
        <v>Primary</v>
      </c>
      <c r="E988" s="24" t="str">
        <f>_xll.DBRW("TM1-S1_DEV:}ElementAttributes_SP_SKU",$F988,E$1)</f>
        <v>UTENSIL</v>
      </c>
      <c r="F988" s="26" t="s">
        <v>142</v>
      </c>
      <c r="G988" s="26" t="s">
        <v>1077</v>
      </c>
      <c r="H988" s="26" t="s">
        <v>2773</v>
      </c>
      <c r="I988" s="54">
        <f>_xll.DBRW($A$1,$F$14,$F$15,$C988,$A$2,$F988,$G988,$H988,I$1)</f>
        <v>9</v>
      </c>
      <c r="J988" s="25">
        <f>_xll.DBRW($A$1,$F$14,$F$15,$C988,$A$2,$F988,$G988,$H988,J$19)</f>
        <v>46</v>
      </c>
    </row>
    <row r="989" spans="1:10" s="23" customFormat="1" outlineLevel="1" thickBot="1" x14ac:dyDescent="0.3">
      <c r="A989" s="44"/>
      <c r="B989" s="31" t="str">
        <f>IF(_xll.TM1RPTELISCONSOLIDATED($H$20,$H989),IF(_xll.TM1RPTELLEV($H$20,$H989)&lt;=5,_xll.TM1RPTELLEV($H$20,$H989),"Default"),"Leaf")</f>
        <v>Leaf</v>
      </c>
      <c r="C989" s="26" t="s">
        <v>14</v>
      </c>
      <c r="D989" s="24" t="str">
        <f>_xll.DBRW("TM1-S1_DEV:}ElementAttributes_SP_SKU",$F989,D$1)</f>
        <v>Primary</v>
      </c>
      <c r="E989" s="24" t="str">
        <f>_xll.DBRW("TM1-S1_DEV:}ElementAttributes_SP_SKU",$F989,E$1)</f>
        <v>UTENSIL</v>
      </c>
      <c r="F989" s="26" t="s">
        <v>143</v>
      </c>
      <c r="G989" s="26" t="s">
        <v>1078</v>
      </c>
      <c r="H989" s="26" t="s">
        <v>2773</v>
      </c>
      <c r="I989" s="54">
        <f>_xll.DBRW($A$1,$F$14,$F$15,$C989,$A$2,$F989,$G989,$H989,I$1)</f>
        <v>36</v>
      </c>
      <c r="J989" s="25">
        <f>_xll.DBRW($A$1,$F$14,$F$15,$C989,$A$2,$F989,$G989,$H989,J$19)</f>
        <v>51</v>
      </c>
    </row>
    <row r="990" spans="1:10" s="23" customFormat="1" outlineLevel="1" thickBot="1" x14ac:dyDescent="0.3">
      <c r="A990" s="44"/>
      <c r="B990" s="31" t="str">
        <f>IF(_xll.TM1RPTELISCONSOLIDATED($H$20,$H990),IF(_xll.TM1RPTELLEV($H$20,$H990)&lt;=5,_xll.TM1RPTELLEV($H$20,$H990),"Default"),"Leaf")</f>
        <v>Leaf</v>
      </c>
      <c r="C990" s="26" t="s">
        <v>14</v>
      </c>
      <c r="D990" s="24" t="str">
        <f>_xll.DBRW("TM1-S1_DEV:}ElementAttributes_SP_SKU",$F990,D$1)</f>
        <v>Primary</v>
      </c>
      <c r="E990" s="24" t="str">
        <f>_xll.DBRW("TM1-S1_DEV:}ElementAttributes_SP_SKU",$F990,E$1)</f>
        <v>PAPER</v>
      </c>
      <c r="F990" s="26" t="s">
        <v>144</v>
      </c>
      <c r="G990" s="26" t="s">
        <v>1079</v>
      </c>
      <c r="H990" s="26" t="s">
        <v>2774</v>
      </c>
      <c r="I990" s="54">
        <f>_xll.DBRW($A$1,$F$14,$F$15,$C990,$A$2,$F990,$G990,$H990,I$1)</f>
        <v>22</v>
      </c>
      <c r="J990" s="25">
        <f>_xll.DBRW($A$1,$F$14,$F$15,$C990,$A$2,$F990,$G990,$H990,J$19)</f>
        <v>20</v>
      </c>
    </row>
    <row r="991" spans="1:10" s="23" customFormat="1" outlineLevel="1" thickBot="1" x14ac:dyDescent="0.3">
      <c r="A991" s="44"/>
      <c r="B991" s="31" t="str">
        <f>IF(_xll.TM1RPTELISCONSOLIDATED($H$20,$H991),IF(_xll.TM1RPTELLEV($H$20,$H991)&lt;=5,_xll.TM1RPTELLEV($H$20,$H991),"Default"),"Leaf")</f>
        <v>Leaf</v>
      </c>
      <c r="C991" s="26" t="s">
        <v>14</v>
      </c>
      <c r="D991" s="24" t="str">
        <f>_xll.DBRW("TM1-S1_DEV:}ElementAttributes_SP_SKU",$F991,D$1)</f>
        <v>Primary</v>
      </c>
      <c r="E991" s="24" t="str">
        <f>_xll.DBRW("TM1-S1_DEV:}ElementAttributes_SP_SKU",$F991,E$1)</f>
        <v>PAPER</v>
      </c>
      <c r="F991" s="26" t="s">
        <v>145</v>
      </c>
      <c r="G991" s="26" t="s">
        <v>1080</v>
      </c>
      <c r="H991" s="26" t="s">
        <v>2774</v>
      </c>
      <c r="I991" s="54">
        <f>_xll.DBRW($A$1,$F$14,$F$15,$C991,$A$2,$F991,$G991,$H991,I$1)</f>
        <v>114</v>
      </c>
      <c r="J991" s="25">
        <f>_xll.DBRW($A$1,$F$14,$F$15,$C991,$A$2,$F991,$G991,$H991,J$19)</f>
        <v>132</v>
      </c>
    </row>
    <row r="992" spans="1:10" s="23" customFormat="1" outlineLevel="1" thickBot="1" x14ac:dyDescent="0.3">
      <c r="A992" s="44"/>
      <c r="B992" s="31" t="str">
        <f>IF(_xll.TM1RPTELISCONSOLIDATED($H$20,$H992),IF(_xll.TM1RPTELLEV($H$20,$H992)&lt;=5,_xll.TM1RPTELLEV($H$20,$H992),"Default"),"Leaf")</f>
        <v>Leaf</v>
      </c>
      <c r="C992" s="26" t="s">
        <v>14</v>
      </c>
      <c r="D992" s="24" t="str">
        <f>_xll.DBRW("TM1-S1_DEV:}ElementAttributes_SP_SKU",$F992,D$1)</f>
        <v>Primary</v>
      </c>
      <c r="E992" s="24" t="str">
        <f>_xll.DBRW("TM1-S1_DEV:}ElementAttributes_SP_SKU",$F992,E$1)</f>
        <v>INGREDIENT</v>
      </c>
      <c r="F992" s="26" t="s">
        <v>146</v>
      </c>
      <c r="G992" s="26" t="s">
        <v>1081</v>
      </c>
      <c r="H992" s="26" t="s">
        <v>2718</v>
      </c>
      <c r="I992" s="54">
        <f>_xll.DBRW($A$1,$F$14,$F$15,$C992,$A$2,$F992,$G992,$H992,I$1)</f>
        <v>6</v>
      </c>
      <c r="J992" s="25">
        <f>_xll.DBRW($A$1,$F$14,$F$15,$C992,$A$2,$F992,$G992,$H992,J$19)</f>
        <v>5</v>
      </c>
    </row>
    <row r="993" spans="1:10" s="23" customFormat="1" outlineLevel="1" thickBot="1" x14ac:dyDescent="0.3">
      <c r="A993" s="44"/>
      <c r="B993" s="31" t="str">
        <f>IF(_xll.TM1RPTELISCONSOLIDATED($H$20,$H993),IF(_xll.TM1RPTELLEV($H$20,$H993)&lt;=5,_xll.TM1RPTELLEV($H$20,$H993),"Default"),"Leaf")</f>
        <v>Leaf</v>
      </c>
      <c r="C993" s="26" t="s">
        <v>14</v>
      </c>
      <c r="D993" s="24" t="str">
        <f>_xll.DBRW("TM1-S1_DEV:}ElementAttributes_SP_SKU",$F993,D$1)</f>
        <v>Primary</v>
      </c>
      <c r="E993" s="24" t="str">
        <f>_xll.DBRW("TM1-S1_DEV:}ElementAttributes_SP_SKU",$F993,E$1)</f>
        <v>DRESSING</v>
      </c>
      <c r="F993" s="26" t="s">
        <v>264</v>
      </c>
      <c r="G993" s="26" t="s">
        <v>1251</v>
      </c>
      <c r="H993" s="26" t="s">
        <v>2743</v>
      </c>
      <c r="I993" s="54">
        <f>_xll.DBRW($A$1,$F$14,$F$15,$C993,$A$2,$F993,$G993,$H993,I$1)</f>
        <v>39</v>
      </c>
      <c r="J993" s="25">
        <f>_xll.DBRW($A$1,$F$14,$F$15,$C993,$A$2,$F993,$G993,$H993,J$19)</f>
        <v>37</v>
      </c>
    </row>
    <row r="994" spans="1:10" s="23" customFormat="1" outlineLevel="1" thickBot="1" x14ac:dyDescent="0.3">
      <c r="A994" s="44"/>
      <c r="B994" s="31" t="str">
        <f>IF(_xll.TM1RPTELISCONSOLIDATED($H$20,$H994),IF(_xll.TM1RPTELLEV($H$20,$H994)&lt;=5,_xll.TM1RPTELLEV($H$20,$H994),"Default"),"Leaf")</f>
        <v>Leaf</v>
      </c>
      <c r="C994" s="26" t="s">
        <v>14</v>
      </c>
      <c r="D994" s="24" t="str">
        <f>_xll.DBRW("TM1-S1_DEV:}ElementAttributes_SP_SKU",$F994,D$1)</f>
        <v>Primary</v>
      </c>
      <c r="E994" s="24" t="str">
        <f>_xll.DBRW("TM1-S1_DEV:}ElementAttributes_SP_SKU",$F994,E$1)</f>
        <v>BAG</v>
      </c>
      <c r="F994" s="26" t="s">
        <v>148</v>
      </c>
      <c r="G994" s="26" t="s">
        <v>1083</v>
      </c>
      <c r="H994" s="26" t="s">
        <v>2775</v>
      </c>
      <c r="I994" s="54">
        <f>_xll.DBRW($A$1,$F$14,$F$15,$C994,$A$2,$F994,$G994,$H994,I$1)</f>
        <v>67</v>
      </c>
      <c r="J994" s="25">
        <f>_xll.DBRW($A$1,$F$14,$F$15,$C994,$A$2,$F994,$G994,$H994,J$19)</f>
        <v>113</v>
      </c>
    </row>
    <row r="995" spans="1:10" s="23" customFormat="1" outlineLevel="1" thickBot="1" x14ac:dyDescent="0.3">
      <c r="A995" s="44"/>
      <c r="B995" s="31" t="str">
        <f>IF(_xll.TM1RPTELISCONSOLIDATED($H$20,$H995),IF(_xll.TM1RPTELLEV($H$20,$H995)&lt;=5,_xll.TM1RPTELLEV($H$20,$H995),"Default"),"Leaf")</f>
        <v>Leaf</v>
      </c>
      <c r="C995" s="26" t="s">
        <v>14</v>
      </c>
      <c r="D995" s="24" t="str">
        <f>_xll.DBRW("TM1-S1_DEV:}ElementAttributes_SP_SKU",$F995,D$1)</f>
        <v>Primary</v>
      </c>
      <c r="E995" s="24" t="str">
        <f>_xll.DBRW("TM1-S1_DEV:}ElementAttributes_SP_SKU",$F995,E$1)</f>
        <v>BAG</v>
      </c>
      <c r="F995" s="26" t="s">
        <v>265</v>
      </c>
      <c r="G995" s="26" t="s">
        <v>1252</v>
      </c>
      <c r="H995" s="26" t="s">
        <v>2822</v>
      </c>
      <c r="I995" s="54">
        <f>_xll.DBRW($A$1,$F$14,$F$15,$C995,$A$2,$F995,$G995,$H995,I$1)</f>
        <v>990</v>
      </c>
      <c r="J995" s="25">
        <f>_xll.DBRW($A$1,$F$14,$F$15,$C995,$A$2,$F995,$G995,$H995,J$19)</f>
        <v>986</v>
      </c>
    </row>
    <row r="996" spans="1:10" s="23" customFormat="1" outlineLevel="1" thickBot="1" x14ac:dyDescent="0.3">
      <c r="A996" s="44"/>
      <c r="B996" s="31" t="str">
        <f>IF(_xll.TM1RPTELISCONSOLIDATED($H$20,$H996),IF(_xll.TM1RPTELLEV($H$20,$H996)&lt;=5,_xll.TM1RPTELLEV($H$20,$H996),"Default"),"Leaf")</f>
        <v>Leaf</v>
      </c>
      <c r="C996" s="26" t="s">
        <v>14</v>
      </c>
      <c r="D996" s="24" t="str">
        <f>_xll.DBRW("TM1-S1_DEV:}ElementAttributes_SP_SKU",$F996,D$1)</f>
        <v>Primary</v>
      </c>
      <c r="E996" s="24" t="str">
        <f>_xll.DBRW("TM1-S1_DEV:}ElementAttributes_SP_SKU",$F996,E$1)</f>
        <v>BOWL</v>
      </c>
      <c r="F996" s="26" t="s">
        <v>266</v>
      </c>
      <c r="G996" s="26" t="s">
        <v>1253</v>
      </c>
      <c r="H996" s="26" t="s">
        <v>2708</v>
      </c>
      <c r="I996" s="54">
        <f>_xll.DBRW($A$1,$F$14,$F$15,$C996,$A$2,$F996,$G996,$H996,I$1)</f>
        <v>0</v>
      </c>
      <c r="J996" s="25">
        <f>_xll.DBRW($A$1,$F$14,$F$15,$C996,$A$2,$F996,$G996,$H996,J$19)</f>
        <v>-2</v>
      </c>
    </row>
    <row r="997" spans="1:10" s="23" customFormat="1" outlineLevel="1" thickBot="1" x14ac:dyDescent="0.3">
      <c r="A997" s="44"/>
      <c r="B997" s="31" t="str">
        <f>IF(_xll.TM1RPTELISCONSOLIDATED($H$20,$H997),IF(_xll.TM1RPTELLEV($H$20,$H997)&lt;=5,_xll.TM1RPTELLEV($H$20,$H997),"Default"),"Leaf")</f>
        <v>Leaf</v>
      </c>
      <c r="C997" s="26" t="s">
        <v>14</v>
      </c>
      <c r="D997" s="24" t="str">
        <f>_xll.DBRW("TM1-S1_DEV:}ElementAttributes_SP_SKU",$F997,D$1)</f>
        <v>Primary</v>
      </c>
      <c r="E997" s="24" t="str">
        <f>_xll.DBRW("TM1-S1_DEV:}ElementAttributes_SP_SKU",$F997,E$1)</f>
        <v>CHEESE</v>
      </c>
      <c r="F997" s="26" t="s">
        <v>150</v>
      </c>
      <c r="G997" s="26" t="s">
        <v>1085</v>
      </c>
      <c r="H997" s="26" t="s">
        <v>2777</v>
      </c>
      <c r="I997" s="54">
        <f>_xll.DBRW($A$1,$F$14,$F$15,$C997,$A$2,$F997,$G997,$H997,I$1)</f>
        <v>379</v>
      </c>
      <c r="J997" s="25">
        <f>_xll.DBRW($A$1,$F$14,$F$15,$C997,$A$2,$F997,$G997,$H997,J$19)</f>
        <v>463</v>
      </c>
    </row>
    <row r="998" spans="1:10" s="23" customFormat="1" outlineLevel="1" thickBot="1" x14ac:dyDescent="0.3">
      <c r="A998" s="44"/>
      <c r="B998" s="31" t="str">
        <f>IF(_xll.TM1RPTELISCONSOLIDATED($H$20,$H998),IF(_xll.TM1RPTELLEV($H$20,$H998)&lt;=5,_xll.TM1RPTELLEV($H$20,$H998),"Default"),"Leaf")</f>
        <v>Leaf</v>
      </c>
      <c r="C998" s="26" t="s">
        <v>14</v>
      </c>
      <c r="D998" s="24" t="str">
        <f>_xll.DBRW("TM1-S1_DEV:}ElementAttributes_SP_SKU",$F998,D$1)</f>
        <v>Primary</v>
      </c>
      <c r="E998" s="24" t="str">
        <f>_xll.DBRW("TM1-S1_DEV:}ElementAttributes_SP_SKU",$F998,E$1)</f>
        <v>PAPER</v>
      </c>
      <c r="F998" s="26" t="s">
        <v>151</v>
      </c>
      <c r="G998" s="26" t="s">
        <v>1086</v>
      </c>
      <c r="H998" s="26" t="s">
        <v>2778</v>
      </c>
      <c r="I998" s="54">
        <f>_xll.DBRW($A$1,$F$14,$F$15,$C998,$A$2,$F998,$G998,$H998,I$1)</f>
        <v>26</v>
      </c>
      <c r="J998" s="25">
        <f>_xll.DBRW($A$1,$F$14,$F$15,$C998,$A$2,$F998,$G998,$H998,J$19)</f>
        <v>24</v>
      </c>
    </row>
    <row r="999" spans="1:10" s="23" customFormat="1" outlineLevel="1" thickBot="1" x14ac:dyDescent="0.3">
      <c r="A999" s="44"/>
      <c r="B999" s="31" t="str">
        <f>IF(_xll.TM1RPTELISCONSOLIDATED($H$20,$H999),IF(_xll.TM1RPTELLEV($H$20,$H999)&lt;=5,_xll.TM1RPTELLEV($H$20,$H999),"Default"),"Leaf")</f>
        <v>Leaf</v>
      </c>
      <c r="C999" s="26" t="s">
        <v>14</v>
      </c>
      <c r="D999" s="24" t="str">
        <f>_xll.DBRW("TM1-S1_DEV:}ElementAttributes_SP_SKU",$F999,D$1)</f>
        <v>Primary</v>
      </c>
      <c r="E999" s="24" t="str">
        <f>_xll.DBRW("TM1-S1_DEV:}ElementAttributes_SP_SKU",$F999,E$1)</f>
        <v>BOWL</v>
      </c>
      <c r="F999" s="26" t="s">
        <v>267</v>
      </c>
      <c r="G999" s="26" t="s">
        <v>1243</v>
      </c>
      <c r="H999" s="26" t="s">
        <v>2745</v>
      </c>
      <c r="I999" s="54">
        <f>_xll.DBRW($A$1,$F$14,$F$15,$C999,$A$2,$F999,$G999,$H999,I$1)</f>
        <v>0</v>
      </c>
      <c r="J999" s="25">
        <f>_xll.DBRW($A$1,$F$14,$F$15,$C999,$A$2,$F999,$G999,$H999,J$19)</f>
        <v>-1</v>
      </c>
    </row>
    <row r="1000" spans="1:10" s="23" customFormat="1" outlineLevel="1" thickBot="1" x14ac:dyDescent="0.3">
      <c r="A1000" s="44"/>
      <c r="B1000" s="31" t="str">
        <f>IF(_xll.TM1RPTELISCONSOLIDATED($H$20,$H1000),IF(_xll.TM1RPTELLEV($H$20,$H1000)&lt;=5,_xll.TM1RPTELLEV($H$20,$H1000),"Default"),"Leaf")</f>
        <v>Leaf</v>
      </c>
      <c r="C1000" s="26" t="s">
        <v>14</v>
      </c>
      <c r="D1000" s="24" t="str">
        <f>_xll.DBRW("TM1-S1_DEV:}ElementAttributes_SP_SKU",$F1000,D$1)</f>
        <v>Primary</v>
      </c>
      <c r="E1000" s="24" t="str">
        <f>_xll.DBRW("TM1-S1_DEV:}ElementAttributes_SP_SKU",$F1000,E$1)</f>
        <v>CONTAINER</v>
      </c>
      <c r="F1000" s="26" t="s">
        <v>152</v>
      </c>
      <c r="G1000" s="26" t="s">
        <v>1087</v>
      </c>
      <c r="H1000" s="26" t="s">
        <v>2752</v>
      </c>
      <c r="I1000" s="54">
        <f>_xll.DBRW($A$1,$F$14,$F$15,$C1000,$A$2,$F1000,$G1000,$H1000,I$1)</f>
        <v>71</v>
      </c>
      <c r="J1000" s="25">
        <f>_xll.DBRW($A$1,$F$14,$F$15,$C1000,$A$2,$F1000,$G1000,$H1000,J$19)</f>
        <v>70</v>
      </c>
    </row>
    <row r="1001" spans="1:10" s="23" customFormat="1" outlineLevel="1" thickBot="1" x14ac:dyDescent="0.3">
      <c r="A1001" s="44"/>
      <c r="B1001" s="31" t="str">
        <f>IF(_xll.TM1RPTELISCONSOLIDATED($H$20,$H1001),IF(_xll.TM1RPTELLEV($H$20,$H1001)&lt;=5,_xll.TM1RPTELLEV($H$20,$H1001),"Default"),"Leaf")</f>
        <v>Leaf</v>
      </c>
      <c r="C1001" s="26" t="s">
        <v>14</v>
      </c>
      <c r="D1001" s="24" t="str">
        <f>_xll.DBRW("TM1-S1_DEV:}ElementAttributes_SP_SKU",$F1001,D$1)</f>
        <v>Primary</v>
      </c>
      <c r="E1001" s="24" t="str">
        <f>_xll.DBRW("TM1-S1_DEV:}ElementAttributes_SP_SKU",$F1001,E$1)</f>
        <v>TRAY</v>
      </c>
      <c r="F1001" s="26" t="s">
        <v>153</v>
      </c>
      <c r="G1001" s="26" t="s">
        <v>1088</v>
      </c>
      <c r="H1001" s="26" t="s">
        <v>2708</v>
      </c>
      <c r="I1001" s="54">
        <f>_xll.DBRW($A$1,$F$14,$F$15,$C1001,$A$2,$F1001,$G1001,$H1001,I$1)</f>
        <v>36</v>
      </c>
      <c r="J1001" s="25">
        <f>_xll.DBRW($A$1,$F$14,$F$15,$C1001,$A$2,$F1001,$G1001,$H1001,J$19)</f>
        <v>33</v>
      </c>
    </row>
    <row r="1002" spans="1:10" s="23" customFormat="1" outlineLevel="1" thickBot="1" x14ac:dyDescent="0.3">
      <c r="A1002" s="44"/>
      <c r="B1002" s="31" t="str">
        <f>IF(_xll.TM1RPTELISCONSOLIDATED($H$20,$H1002),IF(_xll.TM1RPTELLEV($H$20,$H1002)&lt;=5,_xll.TM1RPTELLEV($H$20,$H1002),"Default"),"Leaf")</f>
        <v>Leaf</v>
      </c>
      <c r="C1002" s="26" t="s">
        <v>14</v>
      </c>
      <c r="D1002" s="24" t="str">
        <f>_xll.DBRW("TM1-S1_DEV:}ElementAttributes_SP_SKU",$F1002,D$1)</f>
        <v>Primary</v>
      </c>
      <c r="E1002" s="24" t="str">
        <f>_xll.DBRW("TM1-S1_DEV:}ElementAttributes_SP_SKU",$F1002,E$1)</f>
        <v>TRAY</v>
      </c>
      <c r="F1002" s="26" t="s">
        <v>154</v>
      </c>
      <c r="G1002" s="26" t="s">
        <v>1089</v>
      </c>
      <c r="H1002" s="26" t="s">
        <v>2708</v>
      </c>
      <c r="I1002" s="54">
        <f>_xll.DBRW($A$1,$F$14,$F$15,$C1002,$A$2,$F1002,$G1002,$H1002,I$1)</f>
        <v>138</v>
      </c>
      <c r="J1002" s="25">
        <f>_xll.DBRW($A$1,$F$14,$F$15,$C1002,$A$2,$F1002,$G1002,$H1002,J$19)</f>
        <v>135</v>
      </c>
    </row>
    <row r="1003" spans="1:10" s="23" customFormat="1" outlineLevel="1" thickBot="1" x14ac:dyDescent="0.3">
      <c r="A1003" s="44"/>
      <c r="B1003" s="31" t="str">
        <f>IF(_xll.TM1RPTELISCONSOLIDATED($H$20,$H1003),IF(_xll.TM1RPTELLEV($H$20,$H1003)&lt;=5,_xll.TM1RPTELLEV($H$20,$H1003),"Default"),"Leaf")</f>
        <v>Leaf</v>
      </c>
      <c r="C1003" s="26" t="s">
        <v>14</v>
      </c>
      <c r="D1003" s="24" t="str">
        <f>_xll.DBRW("TM1-S1_DEV:}ElementAttributes_SP_SKU",$F1003,D$1)</f>
        <v>Primary</v>
      </c>
      <c r="E1003" s="24" t="str">
        <f>_xll.DBRW("TM1-S1_DEV:}ElementAttributes_SP_SKU",$F1003,E$1)</f>
        <v>TRAY</v>
      </c>
      <c r="F1003" s="26" t="s">
        <v>155</v>
      </c>
      <c r="G1003" s="26" t="s">
        <v>1090</v>
      </c>
      <c r="H1003" s="26" t="s">
        <v>2708</v>
      </c>
      <c r="I1003" s="54">
        <f>_xll.DBRW($A$1,$F$14,$F$15,$C1003,$A$2,$F1003,$G1003,$H1003,I$1)</f>
        <v>75</v>
      </c>
      <c r="J1003" s="25">
        <f>_xll.DBRW($A$1,$F$14,$F$15,$C1003,$A$2,$F1003,$G1003,$H1003,J$19)</f>
        <v>72</v>
      </c>
    </row>
    <row r="1004" spans="1:10" s="23" customFormat="1" outlineLevel="1" thickBot="1" x14ac:dyDescent="0.3">
      <c r="A1004" s="44"/>
      <c r="B1004" s="31" t="str">
        <f>IF(_xll.TM1RPTELISCONSOLIDATED($H$20,$H1004),IF(_xll.TM1RPTELLEV($H$20,$H1004)&lt;=5,_xll.TM1RPTELLEV($H$20,$H1004),"Default"),"Leaf")</f>
        <v>Leaf</v>
      </c>
      <c r="C1004" s="26" t="s">
        <v>14</v>
      </c>
      <c r="D1004" s="24" t="str">
        <f>_xll.DBRW("TM1-S1_DEV:}ElementAttributes_SP_SKU",$F1004,D$1)</f>
        <v>Primary</v>
      </c>
      <c r="E1004" s="24" t="str">
        <f>_xll.DBRW("TM1-S1_DEV:}ElementAttributes_SP_SKU",$F1004,E$1)</f>
        <v>DRESSING</v>
      </c>
      <c r="F1004" s="26" t="s">
        <v>156</v>
      </c>
      <c r="G1004" s="26" t="s">
        <v>1091</v>
      </c>
      <c r="H1004" s="26" t="s">
        <v>2743</v>
      </c>
      <c r="I1004" s="54">
        <f>_xll.DBRW($A$1,$F$14,$F$15,$C1004,$A$2,$F1004,$G1004,$H1004,I$1)</f>
        <v>60</v>
      </c>
      <c r="J1004" s="25">
        <f>_xll.DBRW($A$1,$F$14,$F$15,$C1004,$A$2,$F1004,$G1004,$H1004,J$19)</f>
        <v>60</v>
      </c>
    </row>
    <row r="1005" spans="1:10" s="23" customFormat="1" outlineLevel="1" thickBot="1" x14ac:dyDescent="0.3">
      <c r="A1005" s="44"/>
      <c r="B1005" s="31" t="str">
        <f>IF(_xll.TM1RPTELISCONSOLIDATED($H$20,$H1005),IF(_xll.TM1RPTELLEV($H$20,$H1005)&lt;=5,_xll.TM1RPTELLEV($H$20,$H1005),"Default"),"Leaf")</f>
        <v>Leaf</v>
      </c>
      <c r="C1005" s="26" t="s">
        <v>14</v>
      </c>
      <c r="D1005" s="24" t="str">
        <f>_xll.DBRW("TM1-S1_DEV:}ElementAttributes_SP_SKU",$F1005,D$1)</f>
        <v>Secondary</v>
      </c>
      <c r="E1005" s="24" t="str">
        <f>_xll.DBRW("TM1-S1_DEV:}ElementAttributes_SP_SKU",$F1005,E$1)</f>
        <v>DRESSING</v>
      </c>
      <c r="F1005" s="26" t="s">
        <v>157</v>
      </c>
      <c r="G1005" s="26" t="s">
        <v>1092</v>
      </c>
      <c r="H1005" s="26" t="s">
        <v>2720</v>
      </c>
      <c r="I1005" s="54">
        <f>_xll.DBRW($A$1,$F$14,$F$15,$C1005,$A$2,$F1005,$G1005,$H1005,I$1)</f>
        <v>60</v>
      </c>
      <c r="J1005" s="25">
        <f>_xll.DBRW($A$1,$F$14,$F$15,$C1005,$A$2,$F1005,$G1005,$H1005,J$19)</f>
        <v>60</v>
      </c>
    </row>
    <row r="1006" spans="1:10" s="23" customFormat="1" outlineLevel="1" thickBot="1" x14ac:dyDescent="0.3">
      <c r="A1006" s="44"/>
      <c r="B1006" s="31" t="str">
        <f>IF(_xll.TM1RPTELISCONSOLIDATED($H$20,$H1006),IF(_xll.TM1RPTELLEV($H$20,$H1006)&lt;=5,_xll.TM1RPTELLEV($H$20,$H1006),"Default"),"Leaf")</f>
        <v>Leaf</v>
      </c>
      <c r="C1006" s="26" t="s">
        <v>14</v>
      </c>
      <c r="D1006" s="24" t="str">
        <f>_xll.DBRW("TM1-S1_DEV:}ElementAttributes_SP_SKU",$F1006,D$1)</f>
        <v>Secondary</v>
      </c>
      <c r="E1006" s="24" t="str">
        <f>_xll.DBRW("TM1-S1_DEV:}ElementAttributes_SP_SKU",$F1006,E$1)</f>
        <v>PRODUCE</v>
      </c>
      <c r="F1006" s="26" t="s">
        <v>268</v>
      </c>
      <c r="G1006" s="26" t="s">
        <v>1254</v>
      </c>
      <c r="H1006" s="26" t="s">
        <v>2823</v>
      </c>
      <c r="I1006" s="54">
        <f>_xll.DBRW($A$1,$F$14,$F$15,$C1006,$A$2,$F1006,$G1006,$H1006,I$1)</f>
        <v>11</v>
      </c>
      <c r="J1006" s="25">
        <f>_xll.DBRW($A$1,$F$14,$F$15,$C1006,$A$2,$F1006,$G1006,$H1006,J$19)</f>
        <v>21</v>
      </c>
    </row>
    <row r="1007" spans="1:10" s="23" customFormat="1" outlineLevel="1" thickBot="1" x14ac:dyDescent="0.3">
      <c r="A1007" s="44"/>
      <c r="B1007" s="31" t="str">
        <f>IF(_xll.TM1RPTELISCONSOLIDATED($H$20,$H1007),IF(_xll.TM1RPTELLEV($H$20,$H1007)&lt;=5,_xll.TM1RPTELLEV($H$20,$H1007),"Default"),"Leaf")</f>
        <v>Leaf</v>
      </c>
      <c r="C1007" s="26" t="s">
        <v>14</v>
      </c>
      <c r="D1007" s="24" t="str">
        <f>_xll.DBRW("TM1-S1_DEV:}ElementAttributes_SP_SKU",$F1007,D$1)</f>
        <v>Secondary</v>
      </c>
      <c r="E1007" s="24" t="str">
        <f>_xll.DBRW("TM1-S1_DEV:}ElementAttributes_SP_SKU",$F1007,E$1)</f>
        <v>CHEESE</v>
      </c>
      <c r="F1007" s="26" t="s">
        <v>164</v>
      </c>
      <c r="G1007" s="26" t="s">
        <v>1099</v>
      </c>
      <c r="H1007" s="26" t="s">
        <v>2784</v>
      </c>
      <c r="I1007" s="54">
        <f>_xll.DBRW($A$1,$F$14,$F$15,$C1007,$A$2,$F1007,$G1007,$H1007,I$1)</f>
        <v>807</v>
      </c>
      <c r="J1007" s="25">
        <f>_xll.DBRW($A$1,$F$14,$F$15,$C1007,$A$2,$F1007,$G1007,$H1007,J$19)</f>
        <v>1239</v>
      </c>
    </row>
    <row r="1008" spans="1:10" s="23" customFormat="1" outlineLevel="1" thickBot="1" x14ac:dyDescent="0.3">
      <c r="A1008" s="44"/>
      <c r="B1008" s="31" t="str">
        <f>IF(_xll.TM1RPTELISCONSOLIDATED($H$20,$H1008),IF(_xll.TM1RPTELLEV($H$20,$H1008)&lt;=5,_xll.TM1RPTELLEV($H$20,$H1008),"Default"),"Leaf")</f>
        <v>Leaf</v>
      </c>
      <c r="C1008" s="26" t="s">
        <v>14</v>
      </c>
      <c r="D1008" s="24" t="str">
        <f>_xll.DBRW("TM1-S1_DEV:}ElementAttributes_SP_SKU",$F1008,D$1)</f>
        <v>Secondary</v>
      </c>
      <c r="E1008" s="24" t="str">
        <f>_xll.DBRW("TM1-S1_DEV:}ElementAttributes_SP_SKU",$F1008,E$1)</f>
        <v>DRINKS</v>
      </c>
      <c r="F1008" s="26" t="s">
        <v>270</v>
      </c>
      <c r="G1008" s="26" t="s">
        <v>1255</v>
      </c>
      <c r="H1008" s="26" t="s">
        <v>2746</v>
      </c>
      <c r="I1008" s="54">
        <f>_xll.DBRW($A$1,$F$14,$F$15,$C1008,$A$2,$F1008,$G1008,$H1008,I$1)</f>
        <v>67</v>
      </c>
      <c r="J1008" s="25">
        <f>_xll.DBRW($A$1,$F$14,$F$15,$C1008,$A$2,$F1008,$G1008,$H1008,J$19)</f>
        <v>67</v>
      </c>
    </row>
    <row r="1009" spans="1:10" s="23" customFormat="1" outlineLevel="1" thickBot="1" x14ac:dyDescent="0.3">
      <c r="A1009" s="44"/>
      <c r="B1009" s="31" t="str">
        <f>IF(_xll.TM1RPTELISCONSOLIDATED($H$20,$H1009),IF(_xll.TM1RPTELLEV($H$20,$H1009)&lt;=5,_xll.TM1RPTELLEV($H$20,$H1009),"Default"),"Leaf")</f>
        <v>Leaf</v>
      </c>
      <c r="C1009" s="26" t="s">
        <v>14</v>
      </c>
      <c r="D1009" s="24" t="str">
        <f>_xll.DBRW("TM1-S1_DEV:}ElementAttributes_SP_SKU",$F1009,D$1)</f>
        <v>Secondary</v>
      </c>
      <c r="E1009" s="24" t="str">
        <f>_xll.DBRW("TM1-S1_DEV:}ElementAttributes_SP_SKU",$F1009,E$1)</f>
        <v>PRODUCE</v>
      </c>
      <c r="F1009" s="26" t="s">
        <v>165</v>
      </c>
      <c r="G1009" s="26" t="s">
        <v>1100</v>
      </c>
      <c r="H1009" s="26" t="s">
        <v>2785</v>
      </c>
      <c r="I1009" s="54">
        <f>_xll.DBRW($A$1,$F$14,$F$15,$C1009,$A$2,$F1009,$G1009,$H1009,I$1)</f>
        <v>45</v>
      </c>
      <c r="J1009" s="25">
        <f>_xll.DBRW($A$1,$F$14,$F$15,$C1009,$A$2,$F1009,$G1009,$H1009,J$19)</f>
        <v>75</v>
      </c>
    </row>
    <row r="1010" spans="1:10" s="23" customFormat="1" outlineLevel="1" thickBot="1" x14ac:dyDescent="0.3">
      <c r="A1010" s="44"/>
      <c r="B1010" s="31" t="str">
        <f>IF(_xll.TM1RPTELISCONSOLIDATED($H$20,$H1010),IF(_xll.TM1RPTELLEV($H$20,$H1010)&lt;=5,_xll.TM1RPTELLEV($H$20,$H1010),"Default"),"Leaf")</f>
        <v>Leaf</v>
      </c>
      <c r="C1010" s="26" t="s">
        <v>14</v>
      </c>
      <c r="D1010" s="24" t="str">
        <f>_xll.DBRW("TM1-S1_DEV:}ElementAttributes_SP_SKU",$F1010,D$1)</f>
        <v>Secondary</v>
      </c>
      <c r="E1010" s="24" t="str">
        <f>_xll.DBRW("TM1-S1_DEV:}ElementAttributes_SP_SKU",$F1010,E$1)</f>
        <v>CONTAINER</v>
      </c>
      <c r="F1010" s="26" t="s">
        <v>273</v>
      </c>
      <c r="G1010" s="26" t="s">
        <v>1258</v>
      </c>
      <c r="H1010" s="26" t="s">
        <v>2758</v>
      </c>
      <c r="I1010" s="54">
        <f>_xll.DBRW($A$1,$F$14,$F$15,$C1010,$A$2,$F1010,$G1010,$H1010,I$1)</f>
        <v>18</v>
      </c>
      <c r="J1010" s="25">
        <f>_xll.DBRW($A$1,$F$14,$F$15,$C1010,$A$2,$F1010,$G1010,$H1010,J$19)</f>
        <v>18</v>
      </c>
    </row>
    <row r="1011" spans="1:10" s="23" customFormat="1" outlineLevel="1" thickBot="1" x14ac:dyDescent="0.3">
      <c r="A1011" s="44"/>
      <c r="B1011" s="31" t="str">
        <f>IF(_xll.TM1RPTELISCONSOLIDATED($H$20,$H1011),IF(_xll.TM1RPTELLEV($H$20,$H1011)&lt;=5,_xll.TM1RPTELLEV($H$20,$H1011),"Default"),"Leaf")</f>
        <v>Leaf</v>
      </c>
      <c r="C1011" s="26" t="s">
        <v>14</v>
      </c>
      <c r="D1011" s="24" t="str">
        <f>_xll.DBRW("TM1-S1_DEV:}ElementAttributes_SP_SKU",$F1011,D$1)</f>
        <v>Secondary</v>
      </c>
      <c r="E1011" s="24" t="str">
        <f>_xll.DBRW("TM1-S1_DEV:}ElementAttributes_SP_SKU",$F1011,E$1)</f>
        <v>DRINKS</v>
      </c>
      <c r="F1011" s="26" t="s">
        <v>166</v>
      </c>
      <c r="G1011" s="26" t="s">
        <v>1101</v>
      </c>
      <c r="H1011" s="26" t="s">
        <v>2746</v>
      </c>
      <c r="I1011" s="54">
        <f>_xll.DBRW($A$1,$F$14,$F$15,$C1011,$A$2,$F1011,$G1011,$H1011,I$1)</f>
        <v>66</v>
      </c>
      <c r="J1011" s="25">
        <f>_xll.DBRW($A$1,$F$14,$F$15,$C1011,$A$2,$F1011,$G1011,$H1011,J$19)</f>
        <v>66</v>
      </c>
    </row>
    <row r="1012" spans="1:10" s="23" customFormat="1" outlineLevel="1" thickBot="1" x14ac:dyDescent="0.3">
      <c r="A1012" s="44"/>
      <c r="B1012" s="31" t="str">
        <f>IF(_xll.TM1RPTELISCONSOLIDATED($H$20,$H1012),IF(_xll.TM1RPTELLEV($H$20,$H1012)&lt;=5,_xll.TM1RPTELLEV($H$20,$H1012),"Default"),"Leaf")</f>
        <v>Leaf</v>
      </c>
      <c r="C1012" s="26" t="s">
        <v>14</v>
      </c>
      <c r="D1012" s="24" t="str">
        <f>_xll.DBRW("TM1-S1_DEV:}ElementAttributes_SP_SKU",$F1012,D$1)</f>
        <v>Secondary</v>
      </c>
      <c r="E1012" s="24" t="str">
        <f>_xll.DBRW("TM1-S1_DEV:}ElementAttributes_SP_SKU",$F1012,E$1)</f>
        <v>PAPER</v>
      </c>
      <c r="F1012" s="26" t="s">
        <v>167</v>
      </c>
      <c r="G1012" s="26" t="s">
        <v>1102</v>
      </c>
      <c r="H1012" s="26" t="s">
        <v>2761</v>
      </c>
      <c r="I1012" s="54">
        <f>_xll.DBRW($A$1,$F$14,$F$15,$C1012,$A$2,$F1012,$G1012,$H1012,I$1)</f>
        <v>76</v>
      </c>
      <c r="J1012" s="25">
        <f>_xll.DBRW($A$1,$F$14,$F$15,$C1012,$A$2,$F1012,$G1012,$H1012,J$19)</f>
        <v>76</v>
      </c>
    </row>
    <row r="1013" spans="1:10" s="23" customFormat="1" outlineLevel="1" thickBot="1" x14ac:dyDescent="0.3">
      <c r="A1013" s="44"/>
      <c r="B1013" s="31" t="str">
        <f>IF(_xll.TM1RPTELISCONSOLIDATED($H$20,$H1013),IF(_xll.TM1RPTELLEV($H$20,$H1013)&lt;=5,_xll.TM1RPTELLEV($H$20,$H1013),"Default"),"Leaf")</f>
        <v>Leaf</v>
      </c>
      <c r="C1013" s="26" t="s">
        <v>14</v>
      </c>
      <c r="D1013" s="24" t="str">
        <f>_xll.DBRW("TM1-S1_DEV:}ElementAttributes_SP_SKU",$F1013,D$1)</f>
        <v>Secondary</v>
      </c>
      <c r="E1013" s="24" t="str">
        <f>_xll.DBRW("TM1-S1_DEV:}ElementAttributes_SP_SKU",$F1013,E$1)</f>
        <v>DRINKS</v>
      </c>
      <c r="F1013" s="26" t="s">
        <v>276</v>
      </c>
      <c r="G1013" s="26" t="s">
        <v>1261</v>
      </c>
      <c r="H1013" s="26" t="s">
        <v>2746</v>
      </c>
      <c r="I1013" s="54">
        <f>_xll.DBRW($A$1,$F$14,$F$15,$C1013,$A$2,$F1013,$G1013,$H1013,I$1)</f>
        <v>21</v>
      </c>
      <c r="J1013" s="25">
        <f>_xll.DBRW($A$1,$F$14,$F$15,$C1013,$A$2,$F1013,$G1013,$H1013,J$19)</f>
        <v>91</v>
      </c>
    </row>
    <row r="1014" spans="1:10" s="23" customFormat="1" outlineLevel="1" thickBot="1" x14ac:dyDescent="0.3">
      <c r="A1014" s="44"/>
      <c r="B1014" s="31" t="str">
        <f>IF(_xll.TM1RPTELISCONSOLIDATED($H$20,$H1014),IF(_xll.TM1RPTELLEV($H$20,$H1014)&lt;=5,_xll.TM1RPTELLEV($H$20,$H1014),"Default"),"Leaf")</f>
        <v>Leaf</v>
      </c>
      <c r="C1014" s="26" t="s">
        <v>14</v>
      </c>
      <c r="D1014" s="24" t="str">
        <f>_xll.DBRW("TM1-S1_DEV:}ElementAttributes_SP_SKU",$F1014,D$1)</f>
        <v>Secondary</v>
      </c>
      <c r="E1014" s="24" t="str">
        <f>_xll.DBRW("TM1-S1_DEV:}ElementAttributes_SP_SKU",$F1014,E$1)</f>
        <v>LABEL</v>
      </c>
      <c r="F1014" s="26" t="s">
        <v>168</v>
      </c>
      <c r="G1014" s="26" t="s">
        <v>1103</v>
      </c>
      <c r="H1014" s="26" t="s">
        <v>2763</v>
      </c>
      <c r="I1014" s="54">
        <f>_xll.DBRW($A$1,$F$14,$F$15,$C1014,$A$2,$F1014,$G1014,$H1014,I$1)</f>
        <v>433</v>
      </c>
      <c r="J1014" s="25">
        <f>_xll.DBRW($A$1,$F$14,$F$15,$C1014,$A$2,$F1014,$G1014,$H1014,J$19)</f>
        <v>433</v>
      </c>
    </row>
    <row r="1015" spans="1:10" s="23" customFormat="1" outlineLevel="1" thickBot="1" x14ac:dyDescent="0.3">
      <c r="A1015" s="44"/>
      <c r="B1015" s="31" t="str">
        <f>IF(_xll.TM1RPTELISCONSOLIDATED($H$20,$H1015),IF(_xll.TM1RPTELLEV($H$20,$H1015)&lt;=5,_xll.TM1RPTELLEV($H$20,$H1015),"Default"),"Leaf")</f>
        <v>Leaf</v>
      </c>
      <c r="C1015" s="26" t="s">
        <v>14</v>
      </c>
      <c r="D1015" s="24" t="str">
        <f>_xll.DBRW("TM1-S1_DEV:}ElementAttributes_SP_SKU",$F1015,D$1)</f>
        <v>Secondary</v>
      </c>
      <c r="E1015" s="24" t="str">
        <f>_xll.DBRW("TM1-S1_DEV:}ElementAttributes_SP_SKU",$F1015,E$1)</f>
        <v>CHEESE</v>
      </c>
      <c r="F1015" s="26" t="s">
        <v>169</v>
      </c>
      <c r="G1015" s="26" t="s">
        <v>1104</v>
      </c>
      <c r="H1015" s="26" t="s">
        <v>2784</v>
      </c>
      <c r="I1015" s="54">
        <f>_xll.DBRW($A$1,$F$14,$F$15,$C1015,$A$2,$F1015,$G1015,$H1015,I$1)</f>
        <v>680</v>
      </c>
      <c r="J1015" s="25">
        <f>_xll.DBRW($A$1,$F$14,$F$15,$C1015,$A$2,$F1015,$G1015,$H1015,J$19)</f>
        <v>1004</v>
      </c>
    </row>
    <row r="1016" spans="1:10" s="23" customFormat="1" outlineLevel="1" thickBot="1" x14ac:dyDescent="0.3">
      <c r="A1016" s="44"/>
      <c r="B1016" s="31" t="str">
        <f>IF(_xll.TM1RPTELISCONSOLIDATED($H$20,$H1016),IF(_xll.TM1RPTELLEV($H$20,$H1016)&lt;=5,_xll.TM1RPTELLEV($H$20,$H1016),"Default"),"Leaf")</f>
        <v>Leaf</v>
      </c>
      <c r="C1016" s="26" t="s">
        <v>14</v>
      </c>
      <c r="D1016" s="24" t="str">
        <f>_xll.DBRW("TM1-S1_DEV:}ElementAttributes_SP_SKU",$F1016,D$1)</f>
        <v>Secondary</v>
      </c>
      <c r="E1016" s="24" t="str">
        <f>_xll.DBRW("TM1-S1_DEV:}ElementAttributes_SP_SKU",$F1016,E$1)</f>
        <v>DRINKS</v>
      </c>
      <c r="F1016" s="26" t="s">
        <v>277</v>
      </c>
      <c r="G1016" s="26" t="s">
        <v>1262</v>
      </c>
      <c r="H1016" s="26" t="s">
        <v>2746</v>
      </c>
      <c r="I1016" s="54">
        <f>_xll.DBRW($A$1,$F$14,$F$15,$C1016,$A$2,$F1016,$G1016,$H1016,I$1)</f>
        <v>49</v>
      </c>
      <c r="J1016" s="25">
        <f>_xll.DBRW($A$1,$F$14,$F$15,$C1016,$A$2,$F1016,$G1016,$H1016,J$19)</f>
        <v>49</v>
      </c>
    </row>
    <row r="1017" spans="1:10" s="23" customFormat="1" outlineLevel="1" thickBot="1" x14ac:dyDescent="0.3">
      <c r="A1017" s="44"/>
      <c r="B1017" s="31" t="str">
        <f>IF(_xll.TM1RPTELISCONSOLIDATED($H$20,$H1017),IF(_xll.TM1RPTELLEV($H$20,$H1017)&lt;=5,_xll.TM1RPTELLEV($H$20,$H1017),"Default"),"Leaf")</f>
        <v>Leaf</v>
      </c>
      <c r="C1017" s="26" t="s">
        <v>14</v>
      </c>
      <c r="D1017" s="24" t="str">
        <f>_xll.DBRW("TM1-S1_DEV:}ElementAttributes_SP_SKU",$F1017,D$1)</f>
        <v>Secondary</v>
      </c>
      <c r="E1017" s="24" t="str">
        <f>_xll.DBRW("TM1-S1_DEV:}ElementAttributes_SP_SKU",$F1017,E$1)</f>
        <v>CLEANING</v>
      </c>
      <c r="F1017" s="26" t="s">
        <v>278</v>
      </c>
      <c r="G1017" s="26" t="s">
        <v>1263</v>
      </c>
      <c r="H1017" s="26" t="s">
        <v>2803</v>
      </c>
      <c r="I1017" s="54">
        <f>_xll.DBRW($A$1,$F$14,$F$15,$C1017,$A$2,$F1017,$G1017,$H1017,I$1)</f>
        <v>33</v>
      </c>
      <c r="J1017" s="25">
        <f>_xll.DBRW($A$1,$F$14,$F$15,$C1017,$A$2,$F1017,$G1017,$H1017,J$19)</f>
        <v>33</v>
      </c>
    </row>
    <row r="1018" spans="1:10" s="23" customFormat="1" outlineLevel="1" thickBot="1" x14ac:dyDescent="0.3">
      <c r="A1018" s="44"/>
      <c r="B1018" s="31" t="str">
        <f>IF(_xll.TM1RPTELISCONSOLIDATED($H$20,$H1018),IF(_xll.TM1RPTELLEV($H$20,$H1018)&lt;=5,_xll.TM1RPTELLEV($H$20,$H1018),"Default"),"Leaf")</f>
        <v>Leaf</v>
      </c>
      <c r="C1018" s="26" t="s">
        <v>14</v>
      </c>
      <c r="D1018" s="24" t="str">
        <f>_xll.DBRW("TM1-S1_DEV:}ElementAttributes_SP_SKU",$F1018,D$1)</f>
        <v>Secondary</v>
      </c>
      <c r="E1018" s="24" t="str">
        <f>_xll.DBRW("TM1-S1_DEV:}ElementAttributes_SP_SKU",$F1018,E$1)</f>
        <v>CLEANING</v>
      </c>
      <c r="F1018" s="26" t="s">
        <v>170</v>
      </c>
      <c r="G1018" s="26" t="s">
        <v>1105</v>
      </c>
      <c r="H1018" s="26" t="s">
        <v>2786</v>
      </c>
      <c r="I1018" s="54">
        <f>_xll.DBRW($A$1,$F$14,$F$15,$C1018,$A$2,$F1018,$G1018,$H1018,I$1)</f>
        <v>205</v>
      </c>
      <c r="J1018" s="25">
        <f>_xll.DBRW($A$1,$F$14,$F$15,$C1018,$A$2,$F1018,$G1018,$H1018,J$19)</f>
        <v>223</v>
      </c>
    </row>
    <row r="1019" spans="1:10" s="23" customFormat="1" outlineLevel="1" thickBot="1" x14ac:dyDescent="0.3">
      <c r="A1019" s="44"/>
      <c r="B1019" s="31" t="str">
        <f>IF(_xll.TM1RPTELISCONSOLIDATED($H$20,$H1019),IF(_xll.TM1RPTELLEV($H$20,$H1019)&lt;=5,_xll.TM1RPTELLEV($H$20,$H1019),"Default"),"Leaf")</f>
        <v>Leaf</v>
      </c>
      <c r="C1019" s="26" t="s">
        <v>14</v>
      </c>
      <c r="D1019" s="24" t="str">
        <f>_xll.DBRW("TM1-S1_DEV:}ElementAttributes_SP_SKU",$F1019,D$1)</f>
        <v>Secondary</v>
      </c>
      <c r="E1019" s="24" t="str">
        <f>_xll.DBRW("TM1-S1_DEV:}ElementAttributes_SP_SKU",$F1019,E$1)</f>
        <v>DRESSING</v>
      </c>
      <c r="F1019" s="26" t="s">
        <v>172</v>
      </c>
      <c r="G1019" s="26" t="s">
        <v>1107</v>
      </c>
      <c r="H1019" s="26" t="s">
        <v>2720</v>
      </c>
      <c r="I1019" s="54">
        <f>_xll.DBRW($A$1,$F$14,$F$15,$C1019,$A$2,$F1019,$G1019,$H1019,I$1)</f>
        <v>319</v>
      </c>
      <c r="J1019" s="25">
        <f>_xll.DBRW($A$1,$F$14,$F$15,$C1019,$A$2,$F1019,$G1019,$H1019,J$19)</f>
        <v>319</v>
      </c>
    </row>
    <row r="1020" spans="1:10" s="23" customFormat="1" outlineLevel="1" thickBot="1" x14ac:dyDescent="0.3">
      <c r="A1020" s="44"/>
      <c r="B1020" s="31" t="str">
        <f>IF(_xll.TM1RPTELISCONSOLIDATED($H$20,$H1020),IF(_xll.TM1RPTELLEV($H$20,$H1020)&lt;=5,_xll.TM1RPTELLEV($H$20,$H1020),"Default"),"Leaf")</f>
        <v>Leaf</v>
      </c>
      <c r="C1020" s="26" t="s">
        <v>14</v>
      </c>
      <c r="D1020" s="24" t="str">
        <f>_xll.DBRW("TM1-S1_DEV:}ElementAttributes_SP_SKU",$F1020,D$1)</f>
        <v>Secondary</v>
      </c>
      <c r="E1020" s="24" t="str">
        <f>_xll.DBRW("TM1-S1_DEV:}ElementAttributes_SP_SKU",$F1020,E$1)</f>
        <v>DRESSING</v>
      </c>
      <c r="F1020" s="26" t="s">
        <v>174</v>
      </c>
      <c r="G1020" s="26" t="s">
        <v>1109</v>
      </c>
      <c r="H1020" s="26" t="s">
        <v>2720</v>
      </c>
      <c r="I1020" s="54">
        <f>_xll.DBRW($A$1,$F$14,$F$15,$C1020,$A$2,$F1020,$G1020,$H1020,I$1)</f>
        <v>54</v>
      </c>
      <c r="J1020" s="25">
        <f>_xll.DBRW($A$1,$F$14,$F$15,$C1020,$A$2,$F1020,$G1020,$H1020,J$19)</f>
        <v>150</v>
      </c>
    </row>
    <row r="1021" spans="1:10" s="23" customFormat="1" outlineLevel="1" thickBot="1" x14ac:dyDescent="0.3">
      <c r="A1021" s="44"/>
      <c r="B1021" s="31" t="str">
        <f>IF(_xll.TM1RPTELISCONSOLIDATED($H$20,$H1021),IF(_xll.TM1RPTELLEV($H$20,$H1021)&lt;=5,_xll.TM1RPTELLEV($H$20,$H1021),"Default"),"Leaf")</f>
        <v>Leaf</v>
      </c>
      <c r="C1021" s="26" t="s">
        <v>14</v>
      </c>
      <c r="D1021" s="24" t="str">
        <f>_xll.DBRW("TM1-S1_DEV:}ElementAttributes_SP_SKU",$F1021,D$1)</f>
        <v>Secondary</v>
      </c>
      <c r="E1021" s="24" t="str">
        <f>_xll.DBRW("TM1-S1_DEV:}ElementAttributes_SP_SKU",$F1021,E$1)</f>
        <v>BAG</v>
      </c>
      <c r="F1021" s="26" t="s">
        <v>284</v>
      </c>
      <c r="G1021" s="26" t="s">
        <v>1269</v>
      </c>
      <c r="H1021" s="26" t="s">
        <v>2828</v>
      </c>
      <c r="I1021" s="54">
        <f>_xll.DBRW($A$1,$F$14,$F$15,$C1021,$A$2,$F1021,$G1021,$H1021,I$1)</f>
        <v>16</v>
      </c>
      <c r="J1021" s="25">
        <f>_xll.DBRW($A$1,$F$14,$F$15,$C1021,$A$2,$F1021,$G1021,$H1021,J$19)</f>
        <v>16</v>
      </c>
    </row>
    <row r="1022" spans="1:10" s="23" customFormat="1" outlineLevel="1" thickBot="1" x14ac:dyDescent="0.3">
      <c r="A1022" s="44"/>
      <c r="B1022" s="31" t="str">
        <f>IF(_xll.TM1RPTELISCONSOLIDATED($H$20,$H1022),IF(_xll.TM1RPTELLEV($H$20,$H1022)&lt;=5,_xll.TM1RPTELLEV($H$20,$H1022),"Default"),"Leaf")</f>
        <v>Leaf</v>
      </c>
      <c r="C1022" s="26" t="s">
        <v>14</v>
      </c>
      <c r="D1022" s="24" t="str">
        <f>_xll.DBRW("TM1-S1_DEV:}ElementAttributes_SP_SKU",$F1022,D$1)</f>
        <v>Primary</v>
      </c>
      <c r="E1022" s="24" t="str">
        <f>_xll.DBRW("TM1-S1_DEV:}ElementAttributes_SP_SKU",$F1022,E$1)</f>
        <v>TRAY</v>
      </c>
      <c r="F1022" s="26" t="s">
        <v>180</v>
      </c>
      <c r="G1022" s="26" t="s">
        <v>1115</v>
      </c>
      <c r="H1022" s="26" t="s">
        <v>2789</v>
      </c>
      <c r="I1022" s="54">
        <f>_xll.DBRW($A$1,$F$14,$F$15,$C1022,$A$2,$F1022,$G1022,$H1022,I$1)</f>
        <v>87</v>
      </c>
      <c r="J1022" s="25">
        <f>_xll.DBRW($A$1,$F$14,$F$15,$C1022,$A$2,$F1022,$G1022,$H1022,J$19)</f>
        <v>87</v>
      </c>
    </row>
    <row r="1023" spans="1:10" s="23" customFormat="1" outlineLevel="1" thickBot="1" x14ac:dyDescent="0.3">
      <c r="A1023" s="44"/>
      <c r="B1023" s="31" t="str">
        <f>IF(_xll.TM1RPTELISCONSOLIDATED($H$20,$H1023),IF(_xll.TM1RPTELLEV($H$20,$H1023)&lt;=5,_xll.TM1RPTELLEV($H$20,$H1023),"Default"),"Leaf")</f>
        <v>Leaf</v>
      </c>
      <c r="C1023" s="26" t="s">
        <v>14</v>
      </c>
      <c r="D1023" s="24" t="str">
        <f>_xll.DBRW("TM1-S1_DEV:}ElementAttributes_SP_SKU",$F1023,D$1)</f>
        <v>Primary</v>
      </c>
      <c r="E1023" s="24" t="str">
        <f>_xll.DBRW("TM1-S1_DEV:}ElementAttributes_SP_SKU",$F1023,E$1)</f>
        <v>TRAY</v>
      </c>
      <c r="F1023" s="26" t="s">
        <v>181</v>
      </c>
      <c r="G1023" s="26" t="s">
        <v>1116</v>
      </c>
      <c r="H1023" s="26" t="s">
        <v>2789</v>
      </c>
      <c r="I1023" s="54">
        <f>_xll.DBRW($A$1,$F$14,$F$15,$C1023,$A$2,$F1023,$G1023,$H1023,I$1)</f>
        <v>112</v>
      </c>
      <c r="J1023" s="25">
        <f>_xll.DBRW($A$1,$F$14,$F$15,$C1023,$A$2,$F1023,$G1023,$H1023,J$19)</f>
        <v>112</v>
      </c>
    </row>
    <row r="1024" spans="1:10" s="23" customFormat="1" outlineLevel="1" thickBot="1" x14ac:dyDescent="0.3">
      <c r="A1024" s="44"/>
      <c r="B1024" s="31" t="str">
        <f>IF(_xll.TM1RPTELISCONSOLIDATED($H$20,$H1024),IF(_xll.TM1RPTELLEV($H$20,$H1024)&lt;=5,_xll.TM1RPTELLEV($H$20,$H1024),"Default"),"Leaf")</f>
        <v>Leaf</v>
      </c>
      <c r="C1024" s="26" t="s">
        <v>14</v>
      </c>
      <c r="D1024" s="24" t="str">
        <f>_xll.DBRW("TM1-S1_DEV:}ElementAttributes_SP_SKU",$F1024,D$1)</f>
        <v>Primary</v>
      </c>
      <c r="E1024" s="24" t="str">
        <f>_xll.DBRW("TM1-S1_DEV:}ElementAttributes_SP_SKU",$F1024,E$1)</f>
        <v>TRAY</v>
      </c>
      <c r="F1024" s="26" t="s">
        <v>182</v>
      </c>
      <c r="G1024" s="26" t="s">
        <v>1117</v>
      </c>
      <c r="H1024" s="26" t="s">
        <v>2789</v>
      </c>
      <c r="I1024" s="54">
        <f>_xll.DBRW($A$1,$F$14,$F$15,$C1024,$A$2,$F1024,$G1024,$H1024,I$1)</f>
        <v>53</v>
      </c>
      <c r="J1024" s="25">
        <f>_xll.DBRW($A$1,$F$14,$F$15,$C1024,$A$2,$F1024,$G1024,$H1024,J$19)</f>
        <v>53</v>
      </c>
    </row>
    <row r="1025" spans="1:10" s="23" customFormat="1" outlineLevel="1" thickBot="1" x14ac:dyDescent="0.3">
      <c r="A1025" s="44"/>
      <c r="B1025" s="31" t="str">
        <f>IF(_xll.TM1RPTELISCONSOLIDATED($H$20,$H1025),IF(_xll.TM1RPTELLEV($H$20,$H1025)&lt;=5,_xll.TM1RPTELLEV($H$20,$H1025),"Default"),"Leaf")</f>
        <v>Leaf</v>
      </c>
      <c r="C1025" s="26" t="s">
        <v>14</v>
      </c>
      <c r="D1025" s="24" t="str">
        <f>_xll.DBRW("TM1-S1_DEV:}ElementAttributes_SP_SKU",$F1025,D$1)</f>
        <v>Secondary</v>
      </c>
      <c r="E1025" s="24" t="str">
        <f>_xll.DBRW("TM1-S1_DEV:}ElementAttributes_SP_SKU",$F1025,E$1)</f>
        <v>CLEANING</v>
      </c>
      <c r="F1025" s="26" t="s">
        <v>285</v>
      </c>
      <c r="G1025" s="26" t="s">
        <v>1270</v>
      </c>
      <c r="H1025" s="26" t="s">
        <v>2786</v>
      </c>
      <c r="I1025" s="54">
        <f>_xll.DBRW($A$1,$F$14,$F$15,$C1025,$A$2,$F1025,$G1025,$H1025,I$1)</f>
        <v>7</v>
      </c>
      <c r="J1025" s="25">
        <f>_xll.DBRW($A$1,$F$14,$F$15,$C1025,$A$2,$F1025,$G1025,$H1025,J$19)</f>
        <v>15</v>
      </c>
    </row>
    <row r="1026" spans="1:10" s="23" customFormat="1" outlineLevel="1" thickBot="1" x14ac:dyDescent="0.3">
      <c r="A1026" s="44"/>
      <c r="B1026" s="31" t="str">
        <f>IF(_xll.TM1RPTELISCONSOLIDATED($H$20,$H1026),IF(_xll.TM1RPTELLEV($H$20,$H1026)&lt;=5,_xll.TM1RPTELLEV($H$20,$H1026),"Default"),"Leaf")</f>
        <v>Leaf</v>
      </c>
      <c r="C1026" s="26" t="s">
        <v>14</v>
      </c>
      <c r="D1026" s="24" t="str">
        <f>_xll.DBRW("TM1-S1_DEV:}ElementAttributes_SP_SKU",$F1026,D$1)</f>
        <v>Secondary</v>
      </c>
      <c r="E1026" s="24" t="str">
        <f>_xll.DBRW("TM1-S1_DEV:}ElementAttributes_SP_SKU",$F1026,E$1)</f>
        <v>DRINKS</v>
      </c>
      <c r="F1026" s="26" t="s">
        <v>287</v>
      </c>
      <c r="G1026" s="26" t="s">
        <v>1276</v>
      </c>
      <c r="H1026" s="26" t="s">
        <v>2746</v>
      </c>
      <c r="I1026" s="54">
        <f>_xll.DBRW($A$1,$F$14,$F$15,$C1026,$A$2,$F1026,$G1026,$H1026,I$1)</f>
        <v>99</v>
      </c>
      <c r="J1026" s="25">
        <f>_xll.DBRW($A$1,$F$14,$F$15,$C1026,$A$2,$F1026,$G1026,$H1026,J$19)</f>
        <v>309</v>
      </c>
    </row>
    <row r="1027" spans="1:10" s="23" customFormat="1" outlineLevel="1" thickBot="1" x14ac:dyDescent="0.3">
      <c r="A1027" s="44"/>
      <c r="B1027" s="31" t="str">
        <f>IF(_xll.TM1RPTELISCONSOLIDATED($H$20,$H1027),IF(_xll.TM1RPTELLEV($H$20,$H1027)&lt;=5,_xll.TM1RPTELLEV($H$20,$H1027),"Default"),"Leaf")</f>
        <v>Leaf</v>
      </c>
      <c r="C1027" s="26" t="s">
        <v>14</v>
      </c>
      <c r="D1027" s="24" t="str">
        <f>_xll.DBRW("TM1-S1_DEV:}ElementAttributes_SP_SKU",$F1027,D$1)</f>
        <v>Secondary</v>
      </c>
      <c r="E1027" s="24" t="str">
        <f>_xll.DBRW("TM1-S1_DEV:}ElementAttributes_SP_SKU",$F1027,E$1)</f>
        <v>PAPER</v>
      </c>
      <c r="F1027" s="26" t="s">
        <v>288</v>
      </c>
      <c r="G1027" s="26" t="s">
        <v>1277</v>
      </c>
      <c r="H1027" s="26" t="s">
        <v>2808</v>
      </c>
      <c r="I1027" s="54">
        <f>_xll.DBRW($A$1,$F$14,$F$15,$C1027,$A$2,$F1027,$G1027,$H1027,I$1)</f>
        <v>187</v>
      </c>
      <c r="J1027" s="25">
        <f>_xll.DBRW($A$1,$F$14,$F$15,$C1027,$A$2,$F1027,$G1027,$H1027,J$19)</f>
        <v>247</v>
      </c>
    </row>
    <row r="1028" spans="1:10" s="23" customFormat="1" outlineLevel="1" thickBot="1" x14ac:dyDescent="0.3">
      <c r="A1028" s="44"/>
      <c r="B1028" s="31" t="str">
        <f>IF(_xll.TM1RPTELISCONSOLIDATED($H$20,$H1028),IF(_xll.TM1RPTELLEV($H$20,$H1028)&lt;=5,_xll.TM1RPTELLEV($H$20,$H1028),"Default"),"Leaf")</f>
        <v>Leaf</v>
      </c>
      <c r="C1028" s="26" t="s">
        <v>14</v>
      </c>
      <c r="D1028" s="24" t="str">
        <f>_xll.DBRW("TM1-S1_DEV:}ElementAttributes_SP_SKU",$F1028,D$1)</f>
        <v>Secondary</v>
      </c>
      <c r="E1028" s="24" t="str">
        <f>_xll.DBRW("TM1-S1_DEV:}ElementAttributes_SP_SKU",$F1028,E$1)</f>
        <v>PAPER</v>
      </c>
      <c r="F1028" s="26" t="s">
        <v>289</v>
      </c>
      <c r="G1028" s="26" t="s">
        <v>1278</v>
      </c>
      <c r="H1028" s="26" t="s">
        <v>2810</v>
      </c>
      <c r="I1028" s="54">
        <f>_xll.DBRW($A$1,$F$14,$F$15,$C1028,$A$2,$F1028,$G1028,$H1028,I$1)</f>
        <v>416</v>
      </c>
      <c r="J1028" s="25">
        <f>_xll.DBRW($A$1,$F$14,$F$15,$C1028,$A$2,$F1028,$G1028,$H1028,J$19)</f>
        <v>611</v>
      </c>
    </row>
    <row r="1029" spans="1:10" s="23" customFormat="1" outlineLevel="1" thickBot="1" x14ac:dyDescent="0.3">
      <c r="A1029" s="44"/>
      <c r="B1029" s="31" t="str">
        <f>IF(_xll.TM1RPTELISCONSOLIDATED($H$20,$H1029),IF(_xll.TM1RPTELLEV($H$20,$H1029)&lt;=5,_xll.TM1RPTELLEV($H$20,$H1029),"Default"),"Leaf")</f>
        <v>Leaf</v>
      </c>
      <c r="C1029" s="26" t="s">
        <v>14</v>
      </c>
      <c r="D1029" s="24" t="str">
        <f>_xll.DBRW("TM1-S1_DEV:}ElementAttributes_SP_SKU",$F1029,D$1)</f>
        <v>Secondary</v>
      </c>
      <c r="E1029" s="24" t="str">
        <f>_xll.DBRW("TM1-S1_DEV:}ElementAttributes_SP_SKU",$F1029,E$1)</f>
        <v>CONTAINER</v>
      </c>
      <c r="F1029" s="26" t="s">
        <v>183</v>
      </c>
      <c r="G1029" s="26" t="s">
        <v>1118</v>
      </c>
      <c r="H1029" s="26" t="s">
        <v>2787</v>
      </c>
      <c r="I1029" s="54">
        <f>_xll.DBRW($A$1,$F$14,$F$15,$C1029,$A$2,$F1029,$G1029,$H1029,I$1)</f>
        <v>17</v>
      </c>
      <c r="J1029" s="25">
        <f>_xll.DBRW($A$1,$F$14,$F$15,$C1029,$A$2,$F1029,$G1029,$H1029,J$19)</f>
        <v>32</v>
      </c>
    </row>
    <row r="1030" spans="1:10" s="23" customFormat="1" outlineLevel="1" thickBot="1" x14ac:dyDescent="0.3">
      <c r="A1030" s="44"/>
      <c r="B1030" s="31" t="str">
        <f>IF(_xll.TM1RPTELISCONSOLIDATED($H$20,$H1030),IF(_xll.TM1RPTELLEV($H$20,$H1030)&lt;=5,_xll.TM1RPTELLEV($H$20,$H1030),"Default"),"Leaf")</f>
        <v>Leaf</v>
      </c>
      <c r="C1030" s="26" t="s">
        <v>14</v>
      </c>
      <c r="D1030" s="24" t="str">
        <f>_xll.DBRW("TM1-S1_DEV:}ElementAttributes_SP_SKU",$F1030,D$1)</f>
        <v>Secondary</v>
      </c>
      <c r="E1030" s="24" t="str">
        <f>_xll.DBRW("TM1-S1_DEV:}ElementAttributes_SP_SKU",$F1030,E$1)</f>
        <v>DRINKS</v>
      </c>
      <c r="F1030" s="26" t="s">
        <v>290</v>
      </c>
      <c r="G1030" s="26" t="s">
        <v>1279</v>
      </c>
      <c r="H1030" s="26" t="s">
        <v>2746</v>
      </c>
      <c r="I1030" s="54">
        <f>_xll.DBRW($A$1,$F$14,$F$15,$C1030,$A$2,$F1030,$G1030,$H1030,I$1)</f>
        <v>32</v>
      </c>
      <c r="J1030" s="25">
        <f>_xll.DBRW($A$1,$F$14,$F$15,$C1030,$A$2,$F1030,$G1030,$H1030,J$19)</f>
        <v>52</v>
      </c>
    </row>
    <row r="1031" spans="1:10" s="23" customFormat="1" outlineLevel="1" thickBot="1" x14ac:dyDescent="0.3">
      <c r="A1031" s="44"/>
      <c r="B1031" s="31" t="str">
        <f>IF(_xll.TM1RPTELISCONSOLIDATED($H$20,$H1031),IF(_xll.TM1RPTELLEV($H$20,$H1031)&lt;=5,_xll.TM1RPTELLEV($H$20,$H1031),"Default"),"Leaf")</f>
        <v>Leaf</v>
      </c>
      <c r="C1031" s="26" t="s">
        <v>14</v>
      </c>
      <c r="D1031" s="24" t="str">
        <f>_xll.DBRW("TM1-S1_DEV:}ElementAttributes_SP_SKU",$F1031,D$1)</f>
        <v>Primary</v>
      </c>
      <c r="E1031" s="24" t="str">
        <f>_xll.DBRW("TM1-S1_DEV:}ElementAttributes_SP_SKU",$F1031,E$1)</f>
        <v>INGREDIENT</v>
      </c>
      <c r="F1031" s="26" t="s">
        <v>3240</v>
      </c>
      <c r="G1031" s="26" t="s">
        <v>1271</v>
      </c>
      <c r="H1031" s="26" t="s">
        <v>2728</v>
      </c>
      <c r="I1031" s="54">
        <f>_xll.DBRW($A$1,$F$14,$F$15,$C1031,$A$2,$F1031,$G1031,$H1031,I$1)</f>
        <v>16</v>
      </c>
      <c r="J1031" s="25">
        <f>_xll.DBRW($A$1,$F$14,$F$15,$C1031,$A$2,$F1031,$G1031,$H1031,J$19)</f>
        <v>6</v>
      </c>
    </row>
    <row r="1032" spans="1:10" s="23" customFormat="1" outlineLevel="1" thickBot="1" x14ac:dyDescent="0.3">
      <c r="A1032" s="44"/>
      <c r="B1032" s="31" t="str">
        <f>IF(_xll.TM1RPTELISCONSOLIDATED($H$20,$H1032),IF(_xll.TM1RPTELLEV($H$20,$H1032)&lt;=5,_xll.TM1RPTELLEV($H$20,$H1032),"Default"),"Leaf")</f>
        <v>Leaf</v>
      </c>
      <c r="C1032" s="26" t="s">
        <v>14</v>
      </c>
      <c r="D1032" s="24" t="str">
        <f>_xll.DBRW("TM1-S1_DEV:}ElementAttributes_SP_SKU",$F1032,D$1)</f>
        <v>Primary</v>
      </c>
      <c r="E1032" s="24" t="str">
        <f>_xll.DBRW("TM1-S1_DEV:}ElementAttributes_SP_SKU",$F1032,E$1)</f>
        <v>INGREDIENT</v>
      </c>
      <c r="F1032" s="26" t="s">
        <v>3241</v>
      </c>
      <c r="G1032" s="26" t="s">
        <v>1189</v>
      </c>
      <c r="H1032" s="26" t="s">
        <v>2729</v>
      </c>
      <c r="I1032" s="54">
        <f>_xll.DBRW($A$1,$F$14,$F$15,$C1032,$A$2,$F1032,$G1032,$H1032,I$1)</f>
        <v>0</v>
      </c>
      <c r="J1032" s="25">
        <f>_xll.DBRW($A$1,$F$14,$F$15,$C1032,$A$2,$F1032,$G1032,$H1032,J$19)</f>
        <v>-70</v>
      </c>
    </row>
    <row r="1033" spans="1:10" s="23" customFormat="1" outlineLevel="1" thickBot="1" x14ac:dyDescent="0.3">
      <c r="A1033" s="44"/>
      <c r="B1033" s="31" t="str">
        <f>IF(_xll.TM1RPTELISCONSOLIDATED($H$20,$H1033),IF(_xll.TM1RPTELLEV($H$20,$H1033)&lt;=5,_xll.TM1RPTELLEV($H$20,$H1033),"Default"),"Leaf")</f>
        <v>Leaf</v>
      </c>
      <c r="C1033" s="26" t="s">
        <v>14</v>
      </c>
      <c r="D1033" s="24" t="str">
        <f>_xll.DBRW("TM1-S1_DEV:}ElementAttributes_SP_SKU",$F1033,D$1)</f>
        <v>Primary</v>
      </c>
      <c r="E1033" s="24" t="str">
        <f>_xll.DBRW("TM1-S1_DEV:}ElementAttributes_SP_SKU",$F1033,E$1)</f>
        <v>INGREDIENT</v>
      </c>
      <c r="F1033" s="26" t="s">
        <v>3241</v>
      </c>
      <c r="G1033" s="26" t="s">
        <v>1190</v>
      </c>
      <c r="H1033" s="26" t="s">
        <v>2734</v>
      </c>
      <c r="I1033" s="54">
        <f>_xll.DBRW($A$1,$F$14,$F$15,$C1033,$A$2,$F1033,$G1033,$H1033,I$1)</f>
        <v>2817</v>
      </c>
      <c r="J1033" s="25">
        <f>_xll.DBRW($A$1,$F$14,$F$15,$C1033,$A$2,$F1033,$G1033,$H1033,J$19)</f>
        <v>3567</v>
      </c>
    </row>
    <row r="1034" spans="1:10" s="23" customFormat="1" outlineLevel="1" thickBot="1" x14ac:dyDescent="0.3">
      <c r="A1034" s="44"/>
      <c r="B1034" s="31" t="str">
        <f>IF(_xll.TM1RPTELISCONSOLIDATED($H$20,$H1034),IF(_xll.TM1RPTELLEV($H$20,$H1034)&lt;=5,_xll.TM1RPTELLEV($H$20,$H1034),"Default"),"Leaf")</f>
        <v>Leaf</v>
      </c>
      <c r="C1034" s="26" t="s">
        <v>14</v>
      </c>
      <c r="D1034" s="24" t="str">
        <f>_xll.DBRW("TM1-S1_DEV:}ElementAttributes_SP_SKU",$F1034,D$1)</f>
        <v>Unassigned PSP</v>
      </c>
      <c r="E1034" s="24" t="str">
        <f>_xll.DBRW("TM1-S1_DEV:}ElementAttributes_SP_SKU",$F1034,E$1)</f>
        <v>PAPER</v>
      </c>
      <c r="F1034" s="26" t="s">
        <v>258</v>
      </c>
      <c r="G1034" s="26" t="s">
        <v>1086</v>
      </c>
      <c r="H1034" s="26" t="s">
        <v>2820</v>
      </c>
      <c r="I1034" s="54">
        <f>_xll.DBRW($A$1,$F$14,$F$15,$C1034,$A$2,$F1034,$G1034,$H1034,I$1)</f>
        <v>26</v>
      </c>
      <c r="J1034" s="25">
        <f>_xll.DBRW($A$1,$F$14,$F$15,$C1034,$A$2,$F1034,$G1034,$H1034,J$19)</f>
        <v>26</v>
      </c>
    </row>
    <row r="1035" spans="1:10" s="23" customFormat="1" outlineLevel="1" thickBot="1" x14ac:dyDescent="0.3">
      <c r="A1035" s="44"/>
      <c r="B1035" s="31" t="str">
        <f>IF(_xll.TM1RPTELISCONSOLIDATED($H$20,$H1035),IF(_xll.TM1RPTELLEV($H$20,$H1035)&lt;=5,_xll.TM1RPTELLEV($H$20,$H1035),"Default"),"Leaf")</f>
        <v>Leaf</v>
      </c>
      <c r="C1035" s="26" t="s">
        <v>14</v>
      </c>
      <c r="D1035" s="24" t="str">
        <f>_xll.DBRW("TM1-S1_DEV:}ElementAttributes_SP_SKU",$F1035,D$1)</f>
        <v>Primary</v>
      </c>
      <c r="E1035" s="24" t="str">
        <f>_xll.DBRW("TM1-S1_DEV:}ElementAttributes_SP_SKU",$F1035,E$1)</f>
        <v>CONTAINER</v>
      </c>
      <c r="F1035" s="26" t="s">
        <v>3242</v>
      </c>
      <c r="G1035" s="26" t="s">
        <v>1192</v>
      </c>
      <c r="H1035" s="26" t="s">
        <v>2708</v>
      </c>
      <c r="I1035" s="54">
        <f>_xll.DBRW($A$1,$F$14,$F$15,$C1035,$A$2,$F1035,$G1035,$H1035,I$1)</f>
        <v>96</v>
      </c>
      <c r="J1035" s="25">
        <f>_xll.DBRW($A$1,$F$14,$F$15,$C1035,$A$2,$F1035,$G1035,$H1035,J$19)</f>
        <v>86</v>
      </c>
    </row>
    <row r="1036" spans="1:10" s="23" customFormat="1" outlineLevel="1" thickBot="1" x14ac:dyDescent="0.3">
      <c r="A1036" s="44"/>
      <c r="B1036" s="31" t="str">
        <f>IF(_xll.TM1RPTELISCONSOLIDATED($H$20,$H1036),IF(_xll.TM1RPTELLEV($H$20,$H1036)&lt;=5,_xll.TM1RPTELLEV($H$20,$H1036),"Default"),"Leaf")</f>
        <v>Leaf</v>
      </c>
      <c r="C1036" s="26" t="s">
        <v>14</v>
      </c>
      <c r="D1036" s="24" t="str">
        <f>_xll.DBRW("TM1-S1_DEV:}ElementAttributes_SP_SKU",$F1036,D$1)</f>
        <v>Primary</v>
      </c>
      <c r="E1036" s="24" t="str">
        <f>_xll.DBRW("TM1-S1_DEV:}ElementAttributes_SP_SKU",$F1036,E$1)</f>
        <v>PAPER</v>
      </c>
      <c r="F1036" s="26" t="s">
        <v>3243</v>
      </c>
      <c r="G1036" s="26" t="s">
        <v>1273</v>
      </c>
      <c r="H1036" s="26" t="s">
        <v>2730</v>
      </c>
      <c r="I1036" s="54">
        <f>_xll.DBRW($A$1,$F$14,$F$15,$C1036,$A$2,$F1036,$G1036,$H1036,I$1)</f>
        <v>0</v>
      </c>
      <c r="J1036" s="25">
        <f>_xll.DBRW($A$1,$F$14,$F$15,$C1036,$A$2,$F1036,$G1036,$H1036,J$19)</f>
        <v>-2</v>
      </c>
    </row>
    <row r="1037" spans="1:10" s="23" customFormat="1" outlineLevel="1" thickBot="1" x14ac:dyDescent="0.3">
      <c r="A1037" s="44"/>
      <c r="B1037" s="31" t="str">
        <f>IF(_xll.TM1RPTELISCONSOLIDATED($H$20,$H1037),IF(_xll.TM1RPTELLEV($H$20,$H1037)&lt;=5,_xll.TM1RPTELLEV($H$20,$H1037),"Default"),"Leaf")</f>
        <v>Leaf</v>
      </c>
      <c r="C1037" s="26" t="s">
        <v>14</v>
      </c>
      <c r="D1037" s="24" t="str">
        <f>_xll.DBRW("TM1-S1_DEV:}ElementAttributes_SP_SKU",$F1037,D$1)</f>
        <v>Primary</v>
      </c>
      <c r="E1037" s="24" t="str">
        <f>_xll.DBRW("TM1-S1_DEV:}ElementAttributes_SP_SKU",$F1037,E$1)</f>
        <v>PROTEIN</v>
      </c>
      <c r="F1037" s="26" t="s">
        <v>3244</v>
      </c>
      <c r="G1037" s="26" t="s">
        <v>1193</v>
      </c>
      <c r="H1037" s="26" t="s">
        <v>2670</v>
      </c>
      <c r="I1037" s="54">
        <f>_xll.DBRW($A$1,$F$14,$F$15,$C1037,$A$2,$F1037,$G1037,$H1037,I$1)</f>
        <v>18</v>
      </c>
      <c r="J1037" s="25">
        <f>_xll.DBRW($A$1,$F$14,$F$15,$C1037,$A$2,$F1037,$G1037,$H1037,J$19)</f>
        <v>30</v>
      </c>
    </row>
    <row r="1038" spans="1:10" s="23" customFormat="1" outlineLevel="1" thickBot="1" x14ac:dyDescent="0.3">
      <c r="A1038" s="44"/>
      <c r="B1038" s="31" t="str">
        <f>IF(_xll.TM1RPTELISCONSOLIDATED($H$20,$H1038),IF(_xll.TM1RPTELLEV($H$20,$H1038)&lt;=5,_xll.TM1RPTELLEV($H$20,$H1038),"Default"),"Leaf")</f>
        <v>Leaf</v>
      </c>
      <c r="C1038" s="26" t="s">
        <v>14</v>
      </c>
      <c r="D1038" s="24" t="str">
        <f>_xll.DBRW("TM1-S1_DEV:}ElementAttributes_SP_SKU",$F1038,D$1)</f>
        <v>Primary</v>
      </c>
      <c r="E1038" s="24" t="str">
        <f>_xll.DBRW("TM1-S1_DEV:}ElementAttributes_SP_SKU",$F1038,E$1)</f>
        <v>PAD</v>
      </c>
      <c r="F1038" s="26" t="s">
        <v>3245</v>
      </c>
      <c r="G1038" s="26" t="s">
        <v>1194</v>
      </c>
      <c r="H1038" s="26" t="s">
        <v>2731</v>
      </c>
      <c r="I1038" s="54">
        <f>_xll.DBRW($A$1,$F$14,$F$15,$C1038,$A$2,$F1038,$G1038,$H1038,I$1)</f>
        <v>14</v>
      </c>
      <c r="J1038" s="25">
        <f>_xll.DBRW($A$1,$F$14,$F$15,$C1038,$A$2,$F1038,$G1038,$H1038,J$19)</f>
        <v>8</v>
      </c>
    </row>
    <row r="1039" spans="1:10" s="23" customFormat="1" outlineLevel="1" thickBot="1" x14ac:dyDescent="0.3">
      <c r="A1039" s="44"/>
      <c r="B1039" s="31" t="str">
        <f>IF(_xll.TM1RPTELISCONSOLIDATED($H$20,$H1039),IF(_xll.TM1RPTELLEV($H$20,$H1039)&lt;=5,_xll.TM1RPTELLEV($H$20,$H1039),"Default"),"Leaf")</f>
        <v>Leaf</v>
      </c>
      <c r="C1039" s="26" t="s">
        <v>14</v>
      </c>
      <c r="D1039" s="24" t="str">
        <f>_xll.DBRW("TM1-S1_DEV:}ElementAttributes_SP_SKU",$F1039,D$1)</f>
        <v/>
      </c>
      <c r="E1039" s="24" t="str">
        <f>_xll.DBRW("TM1-S1_DEV:}ElementAttributes_SP_SKU",$F1039,E$1)</f>
        <v/>
      </c>
      <c r="F1039" s="26" t="s">
        <v>259</v>
      </c>
      <c r="G1039" s="26" t="s">
        <v>1195</v>
      </c>
      <c r="H1039" s="26" t="s">
        <v>2752</v>
      </c>
      <c r="I1039" s="54">
        <f>_xll.DBRW($A$1,$F$14,$F$15,$C1039,$A$2,$F1039,$G1039,$H1039,I$1)</f>
        <v>40</v>
      </c>
      <c r="J1039" s="25">
        <f>_xll.DBRW($A$1,$F$14,$F$15,$C1039,$A$2,$F1039,$G1039,$H1039,J$19)</f>
        <v>40</v>
      </c>
    </row>
    <row r="1040" spans="1:10" s="23" customFormat="1" outlineLevel="1" thickBot="1" x14ac:dyDescent="0.3">
      <c r="A1040" s="44"/>
      <c r="B1040" s="31" t="str">
        <f>IF(_xll.TM1RPTELISCONSOLIDATED($H$20,$H1040),IF(_xll.TM1RPTELLEV($H$20,$H1040)&lt;=5,_xll.TM1RPTELLEV($H$20,$H1040),"Default"),"Leaf")</f>
        <v>Leaf</v>
      </c>
      <c r="C1040" s="26" t="s">
        <v>15</v>
      </c>
      <c r="D1040" s="24" t="str">
        <f>_xll.DBRW("TM1-S1_DEV:}ElementAttributes_SP_SKU",$F1040,D$1)</f>
        <v>Primary</v>
      </c>
      <c r="E1040" s="24" t="str">
        <f>_xll.DBRW("TM1-S1_DEV:}ElementAttributes_SP_SKU",$F1040,E$1)</f>
        <v>PROTEIN</v>
      </c>
      <c r="F1040" s="26" t="s">
        <v>3270</v>
      </c>
      <c r="G1040" s="26" t="s">
        <v>1196</v>
      </c>
      <c r="H1040" s="26" t="s">
        <v>2670</v>
      </c>
      <c r="I1040" s="54">
        <f>_xll.DBRW($A$1,$F$14,$F$15,$C1040,$A$2,$F1040,$G1040,$H1040,I$1)</f>
        <v>596</v>
      </c>
      <c r="J1040" s="25">
        <f>_xll.DBRW($A$1,$F$14,$F$15,$C1040,$A$2,$F1040,$G1040,$H1040,J$19)</f>
        <v>1</v>
      </c>
    </row>
    <row r="1041" spans="1:10" s="23" customFormat="1" outlineLevel="1" thickBot="1" x14ac:dyDescent="0.3">
      <c r="A1041" s="44"/>
      <c r="B1041" s="31" t="str">
        <f>IF(_xll.TM1RPTELISCONSOLIDATED($H$20,$H1041),IF(_xll.TM1RPTELLEV($H$20,$H1041)&lt;=5,_xll.TM1RPTELLEV($H$20,$H1041),"Default"),"Leaf")</f>
        <v>Leaf</v>
      </c>
      <c r="C1041" s="26" t="s">
        <v>15</v>
      </c>
      <c r="D1041" s="24" t="str">
        <f>_xll.DBRW("TM1-S1_DEV:}ElementAttributes_SP_SKU",$F1041,D$1)</f>
        <v>Primary</v>
      </c>
      <c r="E1041" s="24" t="str">
        <f>_xll.DBRW("TM1-S1_DEV:}ElementAttributes_SP_SKU",$F1041,E$1)</f>
        <v>PROTEIN</v>
      </c>
      <c r="F1041" s="26" t="s">
        <v>3105</v>
      </c>
      <c r="G1041" s="26" t="s">
        <v>1197</v>
      </c>
      <c r="H1041" s="26" t="s">
        <v>2670</v>
      </c>
      <c r="I1041" s="54">
        <f>_xll.DBRW($A$1,$F$14,$F$15,$C1041,$A$2,$F1041,$G1041,$H1041,I$1)</f>
        <v>1822</v>
      </c>
      <c r="J1041" s="25">
        <f>_xll.DBRW($A$1,$F$14,$F$15,$C1041,$A$2,$F1041,$G1041,$H1041,J$19)</f>
        <v>29</v>
      </c>
    </row>
    <row r="1042" spans="1:10" s="23" customFormat="1" outlineLevel="1" thickBot="1" x14ac:dyDescent="0.3">
      <c r="A1042" s="44"/>
      <c r="B1042" s="31" t="str">
        <f>IF(_xll.TM1RPTELISCONSOLIDATED($H$20,$H1042),IF(_xll.TM1RPTELLEV($H$20,$H1042)&lt;=5,_xll.TM1RPTELLEV($H$20,$H1042),"Default"),"Leaf")</f>
        <v>Leaf</v>
      </c>
      <c r="C1042" s="26" t="s">
        <v>15</v>
      </c>
      <c r="D1042" s="24" t="str">
        <f>_xll.DBRW("TM1-S1_DEV:}ElementAttributes_SP_SKU",$F1042,D$1)</f>
        <v>Primary</v>
      </c>
      <c r="E1042" s="24" t="str">
        <f>_xll.DBRW("TM1-S1_DEV:}ElementAttributes_SP_SKU",$F1042,E$1)</f>
        <v>PROTEIN</v>
      </c>
      <c r="F1042" s="26" t="s">
        <v>3106</v>
      </c>
      <c r="G1042" s="26" t="s">
        <v>1198</v>
      </c>
      <c r="H1042" s="26" t="s">
        <v>2670</v>
      </c>
      <c r="I1042" s="54">
        <f>_xll.DBRW($A$1,$F$14,$F$15,$C1042,$A$2,$F1042,$G1042,$H1042,I$1)</f>
        <v>1821</v>
      </c>
      <c r="J1042" s="25">
        <f>_xll.DBRW($A$1,$F$14,$F$15,$C1042,$A$2,$F1042,$G1042,$H1042,J$19)</f>
        <v>5</v>
      </c>
    </row>
    <row r="1043" spans="1:10" s="23" customFormat="1" outlineLevel="1" thickBot="1" x14ac:dyDescent="0.3">
      <c r="A1043" s="44"/>
      <c r="B1043" s="31" t="str">
        <f>IF(_xll.TM1RPTELISCONSOLIDATED($H$20,$H1043),IF(_xll.TM1RPTELLEV($H$20,$H1043)&lt;=5,_xll.TM1RPTELLEV($H$20,$H1043),"Default"),"Leaf")</f>
        <v>Leaf</v>
      </c>
      <c r="C1043" s="26" t="s">
        <v>15</v>
      </c>
      <c r="D1043" s="24" t="str">
        <f>_xll.DBRW("TM1-S1_DEV:}ElementAttributes_SP_SKU",$F1043,D$1)</f>
        <v>Primary</v>
      </c>
      <c r="E1043" s="24" t="str">
        <f>_xll.DBRW("TM1-S1_DEV:}ElementAttributes_SP_SKU",$F1043,E$1)</f>
        <v>HAM</v>
      </c>
      <c r="F1043" s="26" t="s">
        <v>3107</v>
      </c>
      <c r="G1043" s="26" t="s">
        <v>1199</v>
      </c>
      <c r="H1043" s="26" t="s">
        <v>2670</v>
      </c>
      <c r="I1043" s="54">
        <f>_xll.DBRW($A$1,$F$14,$F$15,$C1043,$A$2,$F1043,$G1043,$H1043,I$1)</f>
        <v>265</v>
      </c>
      <c r="J1043" s="25">
        <f>_xll.DBRW($A$1,$F$14,$F$15,$C1043,$A$2,$F1043,$G1043,$H1043,J$19)</f>
        <v>0</v>
      </c>
    </row>
    <row r="1044" spans="1:10" s="23" customFormat="1" outlineLevel="1" thickBot="1" x14ac:dyDescent="0.3">
      <c r="A1044" s="44"/>
      <c r="B1044" s="31" t="str">
        <f>IF(_xll.TM1RPTELISCONSOLIDATED($H$20,$H1044),IF(_xll.TM1RPTELLEV($H$20,$H1044)&lt;=5,_xll.TM1RPTELLEV($H$20,$H1044),"Default"),"Leaf")</f>
        <v>Leaf</v>
      </c>
      <c r="C1044" s="26" t="s">
        <v>15</v>
      </c>
      <c r="D1044" s="24" t="str">
        <f>_xll.DBRW("TM1-S1_DEV:}ElementAttributes_SP_SKU",$F1044,D$1)</f>
        <v>Primary</v>
      </c>
      <c r="E1044" s="24" t="str">
        <f>_xll.DBRW("TM1-S1_DEV:}ElementAttributes_SP_SKU",$F1044,E$1)</f>
        <v>HAM</v>
      </c>
      <c r="F1044" s="26" t="s">
        <v>3108</v>
      </c>
      <c r="G1044" s="26" t="s">
        <v>1200</v>
      </c>
      <c r="H1044" s="26" t="s">
        <v>2670</v>
      </c>
      <c r="I1044" s="54">
        <f>_xll.DBRW($A$1,$F$14,$F$15,$C1044,$A$2,$F1044,$G1044,$H1044,I$1)</f>
        <v>471</v>
      </c>
      <c r="J1044" s="25">
        <f>_xll.DBRW($A$1,$F$14,$F$15,$C1044,$A$2,$F1044,$G1044,$H1044,J$19)</f>
        <v>1</v>
      </c>
    </row>
    <row r="1045" spans="1:10" s="23" customFormat="1" outlineLevel="1" thickBot="1" x14ac:dyDescent="0.3">
      <c r="A1045" s="44"/>
      <c r="B1045" s="31" t="str">
        <f>IF(_xll.TM1RPTELISCONSOLIDATED($H$20,$H1045),IF(_xll.TM1RPTELLEV($H$20,$H1045)&lt;=5,_xll.TM1RPTELLEV($H$20,$H1045),"Default"),"Leaf")</f>
        <v>Leaf</v>
      </c>
      <c r="C1045" s="26" t="s">
        <v>15</v>
      </c>
      <c r="D1045" s="24" t="str">
        <f>_xll.DBRW("TM1-S1_DEV:}ElementAttributes_SP_SKU",$F1045,D$1)</f>
        <v>Primary</v>
      </c>
      <c r="E1045" s="24" t="str">
        <f>_xll.DBRW("TM1-S1_DEV:}ElementAttributes_SP_SKU",$F1045,E$1)</f>
        <v>HAM</v>
      </c>
      <c r="F1045" s="26" t="s">
        <v>3109</v>
      </c>
      <c r="G1045" s="26" t="s">
        <v>1201</v>
      </c>
      <c r="H1045" s="26" t="s">
        <v>2670</v>
      </c>
      <c r="I1045" s="54">
        <f>_xll.DBRW($A$1,$F$14,$F$15,$C1045,$A$2,$F1045,$G1045,$H1045,I$1)</f>
        <v>1991</v>
      </c>
      <c r="J1045" s="25">
        <f>_xll.DBRW($A$1,$F$14,$F$15,$C1045,$A$2,$F1045,$G1045,$H1045,J$19)</f>
        <v>9</v>
      </c>
    </row>
    <row r="1046" spans="1:10" s="23" customFormat="1" outlineLevel="1" thickBot="1" x14ac:dyDescent="0.3">
      <c r="A1046" s="44"/>
      <c r="B1046" s="31" t="str">
        <f>IF(_xll.TM1RPTELISCONSOLIDATED($H$20,$H1046),IF(_xll.TM1RPTELLEV($H$20,$H1046)&lt;=5,_xll.TM1RPTELLEV($H$20,$H1046),"Default"),"Leaf")</f>
        <v>Leaf</v>
      </c>
      <c r="C1046" s="26" t="s">
        <v>15</v>
      </c>
      <c r="D1046" s="24" t="str">
        <f>_xll.DBRW("TM1-S1_DEV:}ElementAttributes_SP_SKU",$F1046,D$1)</f>
        <v>Primary</v>
      </c>
      <c r="E1046" s="24" t="str">
        <f>_xll.DBRW("TM1-S1_DEV:}ElementAttributes_SP_SKU",$F1046,E$1)</f>
        <v>TURKEY</v>
      </c>
      <c r="F1046" s="26" t="s">
        <v>3110</v>
      </c>
      <c r="G1046" s="26" t="s">
        <v>966</v>
      </c>
      <c r="H1046" s="26" t="s">
        <v>2671</v>
      </c>
      <c r="I1046" s="54">
        <f>_xll.DBRW($A$1,$F$14,$F$15,$C1046,$A$2,$F1046,$G1046,$H1046,I$1)</f>
        <v>711</v>
      </c>
      <c r="J1046" s="25">
        <f>_xll.DBRW($A$1,$F$14,$F$15,$C1046,$A$2,$F1046,$G1046,$H1046,J$19)</f>
        <v>251</v>
      </c>
    </row>
    <row r="1047" spans="1:10" s="23" customFormat="1" outlineLevel="1" thickBot="1" x14ac:dyDescent="0.3">
      <c r="A1047" s="44"/>
      <c r="B1047" s="31" t="str">
        <f>IF(_xll.TM1RPTELISCONSOLIDATED($H$20,$H1047),IF(_xll.TM1RPTELLEV($H$20,$H1047)&lt;=5,_xll.TM1RPTELLEV($H$20,$H1047),"Default"),"Leaf")</f>
        <v>Leaf</v>
      </c>
      <c r="C1047" s="26" t="s">
        <v>15</v>
      </c>
      <c r="D1047" s="24" t="str">
        <f>_xll.DBRW("TM1-S1_DEV:}ElementAttributes_SP_SKU",$F1047,D$1)</f>
        <v>Primary</v>
      </c>
      <c r="E1047" s="24" t="str">
        <f>_xll.DBRW("TM1-S1_DEV:}ElementAttributes_SP_SKU",$F1047,E$1)</f>
        <v>TURKEY</v>
      </c>
      <c r="F1047" s="26" t="s">
        <v>3111</v>
      </c>
      <c r="G1047" s="26" t="s">
        <v>967</v>
      </c>
      <c r="H1047" s="26" t="s">
        <v>2671</v>
      </c>
      <c r="I1047" s="54">
        <f>_xll.DBRW($A$1,$F$14,$F$15,$C1047,$A$2,$F1047,$G1047,$H1047,I$1)</f>
        <v>588</v>
      </c>
      <c r="J1047" s="25">
        <f>_xll.DBRW($A$1,$F$14,$F$15,$C1047,$A$2,$F1047,$G1047,$H1047,J$19)</f>
        <v>253</v>
      </c>
    </row>
    <row r="1048" spans="1:10" s="23" customFormat="1" outlineLevel="1" thickBot="1" x14ac:dyDescent="0.3">
      <c r="A1048" s="44"/>
      <c r="B1048" s="31" t="str">
        <f>IF(_xll.TM1RPTELISCONSOLIDATED($H$20,$H1048),IF(_xll.TM1RPTELLEV($H$20,$H1048)&lt;=5,_xll.TM1RPTELLEV($H$20,$H1048),"Default"),"Leaf")</f>
        <v>Leaf</v>
      </c>
      <c r="C1048" s="26" t="s">
        <v>15</v>
      </c>
      <c r="D1048" s="24" t="str">
        <f>_xll.DBRW("TM1-S1_DEV:}ElementAttributes_SP_SKU",$F1048,D$1)</f>
        <v>Primary</v>
      </c>
      <c r="E1048" s="24" t="str">
        <f>_xll.DBRW("TM1-S1_DEV:}ElementAttributes_SP_SKU",$F1048,E$1)</f>
        <v>PROTEIN</v>
      </c>
      <c r="F1048" s="26" t="s">
        <v>3112</v>
      </c>
      <c r="G1048" s="26" t="s">
        <v>968</v>
      </c>
      <c r="H1048" s="26" t="s">
        <v>2672</v>
      </c>
      <c r="I1048" s="54">
        <f>_xll.DBRW($A$1,$F$14,$F$15,$C1048,$A$2,$F1048,$G1048,$H1048,I$1)</f>
        <v>33</v>
      </c>
      <c r="J1048" s="25">
        <f>_xll.DBRW($A$1,$F$14,$F$15,$C1048,$A$2,$F1048,$G1048,$H1048,J$19)</f>
        <v>21</v>
      </c>
    </row>
    <row r="1049" spans="1:10" s="23" customFormat="1" outlineLevel="1" thickBot="1" x14ac:dyDescent="0.3">
      <c r="A1049" s="44"/>
      <c r="B1049" s="31" t="str">
        <f>IF(_xll.TM1RPTELISCONSOLIDATED($H$20,$H1049),IF(_xll.TM1RPTELLEV($H$20,$H1049)&lt;=5,_xll.TM1RPTELLEV($H$20,$H1049),"Default"),"Leaf")</f>
        <v>Leaf</v>
      </c>
      <c r="C1049" s="26" t="s">
        <v>15</v>
      </c>
      <c r="D1049" s="24" t="str">
        <f>_xll.DBRW("TM1-S1_DEV:}ElementAttributes_SP_SKU",$F1049,D$1)</f>
        <v>Primary</v>
      </c>
      <c r="E1049" s="24" t="str">
        <f>_xll.DBRW("TM1-S1_DEV:}ElementAttributes_SP_SKU",$F1049,E$1)</f>
        <v>PROTEIN</v>
      </c>
      <c r="F1049" s="26" t="s">
        <v>3113</v>
      </c>
      <c r="G1049" s="26" t="s">
        <v>1202</v>
      </c>
      <c r="H1049" s="26" t="s">
        <v>2673</v>
      </c>
      <c r="I1049" s="54">
        <f>_xll.DBRW($A$1,$F$14,$F$15,$C1049,$A$2,$F1049,$G1049,$H1049,I$1)</f>
        <v>61</v>
      </c>
      <c r="J1049" s="25">
        <f>_xll.DBRW($A$1,$F$14,$F$15,$C1049,$A$2,$F1049,$G1049,$H1049,J$19)</f>
        <v>61</v>
      </c>
    </row>
    <row r="1050" spans="1:10" s="23" customFormat="1" outlineLevel="1" thickBot="1" x14ac:dyDescent="0.3">
      <c r="A1050" s="44"/>
      <c r="B1050" s="31" t="str">
        <f>IF(_xll.TM1RPTELISCONSOLIDATED($H$20,$H1050),IF(_xll.TM1RPTELLEV($H$20,$H1050)&lt;=5,_xll.TM1RPTELLEV($H$20,$H1050),"Default"),"Leaf")</f>
        <v>Leaf</v>
      </c>
      <c r="C1050" s="26" t="s">
        <v>15</v>
      </c>
      <c r="D1050" s="24" t="str">
        <f>_xll.DBRW("TM1-S1_DEV:}ElementAttributes_SP_SKU",$F1050,D$1)</f>
        <v>Primary</v>
      </c>
      <c r="E1050" s="24" t="str">
        <f>_xll.DBRW("TM1-S1_DEV:}ElementAttributes_SP_SKU",$F1050,E$1)</f>
        <v>PROTEIN</v>
      </c>
      <c r="F1050" s="26" t="s">
        <v>3114</v>
      </c>
      <c r="G1050" s="26" t="s">
        <v>969</v>
      </c>
      <c r="H1050" s="26" t="s">
        <v>2672</v>
      </c>
      <c r="I1050" s="54">
        <f>_xll.DBRW($A$1,$F$14,$F$15,$C1050,$A$2,$F1050,$G1050,$H1050,I$1)</f>
        <v>65</v>
      </c>
      <c r="J1050" s="25">
        <f>_xll.DBRW($A$1,$F$14,$F$15,$C1050,$A$2,$F1050,$G1050,$H1050,J$19)</f>
        <v>29</v>
      </c>
    </row>
    <row r="1051" spans="1:10" s="23" customFormat="1" outlineLevel="1" thickBot="1" x14ac:dyDescent="0.3">
      <c r="A1051" s="44"/>
      <c r="B1051" s="31" t="str">
        <f>IF(_xll.TM1RPTELISCONSOLIDATED($H$20,$H1051),IF(_xll.TM1RPTELLEV($H$20,$H1051)&lt;=5,_xll.TM1RPTELLEV($H$20,$H1051),"Default"),"Leaf")</f>
        <v>Leaf</v>
      </c>
      <c r="C1051" s="26" t="s">
        <v>15</v>
      </c>
      <c r="D1051" s="24" t="str">
        <f>_xll.DBRW("TM1-S1_DEV:}ElementAttributes_SP_SKU",$F1051,D$1)</f>
        <v>Primary</v>
      </c>
      <c r="E1051" s="24" t="str">
        <f>_xll.DBRW("TM1-S1_DEV:}ElementAttributes_SP_SKU",$F1051,E$1)</f>
        <v>PROTEIN</v>
      </c>
      <c r="F1051" s="26" t="s">
        <v>3115</v>
      </c>
      <c r="G1051" s="26" t="s">
        <v>970</v>
      </c>
      <c r="H1051" s="26" t="s">
        <v>2672</v>
      </c>
      <c r="I1051" s="54">
        <f>_xll.DBRW($A$1,$F$14,$F$15,$C1051,$A$2,$F1051,$G1051,$H1051,I$1)</f>
        <v>53</v>
      </c>
      <c r="J1051" s="25">
        <f>_xll.DBRW($A$1,$F$14,$F$15,$C1051,$A$2,$F1051,$G1051,$H1051,J$19)</f>
        <v>26</v>
      </c>
    </row>
    <row r="1052" spans="1:10" s="23" customFormat="1" outlineLevel="1" thickBot="1" x14ac:dyDescent="0.3">
      <c r="A1052" s="44"/>
      <c r="B1052" s="31" t="str">
        <f>IF(_xll.TM1RPTELISCONSOLIDATED($H$20,$H1052),IF(_xll.TM1RPTELLEV($H$20,$H1052)&lt;=5,_xll.TM1RPTELLEV($H$20,$H1052),"Default"),"Leaf")</f>
        <v>Leaf</v>
      </c>
      <c r="C1052" s="26" t="s">
        <v>15</v>
      </c>
      <c r="D1052" s="24" t="str">
        <f>_xll.DBRW("TM1-S1_DEV:}ElementAttributes_SP_SKU",$F1052,D$1)</f>
        <v>Primary</v>
      </c>
      <c r="E1052" s="24" t="str">
        <f>_xll.DBRW("TM1-S1_DEV:}ElementAttributes_SP_SKU",$F1052,E$1)</f>
        <v>SOUP</v>
      </c>
      <c r="F1052" s="26" t="s">
        <v>3116</v>
      </c>
      <c r="G1052" s="26" t="s">
        <v>1203</v>
      </c>
      <c r="H1052" s="26" t="s">
        <v>2674</v>
      </c>
      <c r="I1052" s="54">
        <f>_xll.DBRW($A$1,$F$14,$F$15,$C1052,$A$2,$F1052,$G1052,$H1052,I$1)</f>
        <v>27</v>
      </c>
      <c r="J1052" s="25">
        <f>_xll.DBRW($A$1,$F$14,$F$15,$C1052,$A$2,$F1052,$G1052,$H1052,J$19)</f>
        <v>19</v>
      </c>
    </row>
    <row r="1053" spans="1:10" s="23" customFormat="1" outlineLevel="1" thickBot="1" x14ac:dyDescent="0.3">
      <c r="A1053" s="44"/>
      <c r="B1053" s="31" t="str">
        <f>IF(_xll.TM1RPTELISCONSOLIDATED($H$20,$H1053),IF(_xll.TM1RPTELLEV($H$20,$H1053)&lt;=5,_xll.TM1RPTELLEV($H$20,$H1053),"Default"),"Leaf")</f>
        <v>Leaf</v>
      </c>
      <c r="C1053" s="26" t="s">
        <v>15</v>
      </c>
      <c r="D1053" s="24" t="str">
        <f>_xll.DBRW("TM1-S1_DEV:}ElementAttributes_SP_SKU",$F1053,D$1)</f>
        <v>Primary</v>
      </c>
      <c r="E1053" s="24" t="str">
        <f>_xll.DBRW("TM1-S1_DEV:}ElementAttributes_SP_SKU",$F1053,E$1)</f>
        <v>SOUP</v>
      </c>
      <c r="F1053" s="26" t="s">
        <v>3117</v>
      </c>
      <c r="G1053" s="26" t="s">
        <v>971</v>
      </c>
      <c r="H1053" s="26" t="s">
        <v>2674</v>
      </c>
      <c r="I1053" s="54">
        <f>_xll.DBRW($A$1,$F$14,$F$15,$C1053,$A$2,$F1053,$G1053,$H1053,I$1)</f>
        <v>28</v>
      </c>
      <c r="J1053" s="25">
        <f>_xll.DBRW($A$1,$F$14,$F$15,$C1053,$A$2,$F1053,$G1053,$H1053,J$19)</f>
        <v>18</v>
      </c>
    </row>
    <row r="1054" spans="1:10" s="23" customFormat="1" outlineLevel="1" thickBot="1" x14ac:dyDescent="0.3">
      <c r="A1054" s="44"/>
      <c r="B1054" s="31" t="str">
        <f>IF(_xll.TM1RPTELISCONSOLIDATED($H$20,$H1054),IF(_xll.TM1RPTELLEV($H$20,$H1054)&lt;=5,_xll.TM1RPTELLEV($H$20,$H1054),"Default"),"Leaf")</f>
        <v>Leaf</v>
      </c>
      <c r="C1054" s="26" t="s">
        <v>15</v>
      </c>
      <c r="D1054" s="24" t="str">
        <f>_xll.DBRW("TM1-S1_DEV:}ElementAttributes_SP_SKU",$F1054,D$1)</f>
        <v>Primary</v>
      </c>
      <c r="E1054" s="24" t="str">
        <f>_xll.DBRW("TM1-S1_DEV:}ElementAttributes_SP_SKU",$F1054,E$1)</f>
        <v>SOUP</v>
      </c>
      <c r="F1054" s="26" t="s">
        <v>3118</v>
      </c>
      <c r="G1054" s="26" t="s">
        <v>1204</v>
      </c>
      <c r="H1054" s="26" t="s">
        <v>2674</v>
      </c>
      <c r="I1054" s="54">
        <f>_xll.DBRW($A$1,$F$14,$F$15,$C1054,$A$2,$F1054,$G1054,$H1054,I$1)</f>
        <v>36</v>
      </c>
      <c r="J1054" s="25">
        <f>_xll.DBRW($A$1,$F$14,$F$15,$C1054,$A$2,$F1054,$G1054,$H1054,J$19)</f>
        <v>23</v>
      </c>
    </row>
    <row r="1055" spans="1:10" s="23" customFormat="1" outlineLevel="1" thickBot="1" x14ac:dyDescent="0.3">
      <c r="A1055" s="44"/>
      <c r="B1055" s="31" t="str">
        <f>IF(_xll.TM1RPTELISCONSOLIDATED($H$20,$H1055),IF(_xll.TM1RPTELLEV($H$20,$H1055)&lt;=5,_xll.TM1RPTELLEV($H$20,$H1055),"Default"),"Leaf")</f>
        <v>Leaf</v>
      </c>
      <c r="C1055" s="26" t="s">
        <v>15</v>
      </c>
      <c r="D1055" s="24" t="str">
        <f>_xll.DBRW("TM1-S1_DEV:}ElementAttributes_SP_SKU",$F1055,D$1)</f>
        <v>Primary</v>
      </c>
      <c r="E1055" s="24" t="str">
        <f>_xll.DBRW("TM1-S1_DEV:}ElementAttributes_SP_SKU",$F1055,E$1)</f>
        <v>PROTEIN</v>
      </c>
      <c r="F1055" s="26" t="s">
        <v>3119</v>
      </c>
      <c r="G1055" s="26" t="s">
        <v>972</v>
      </c>
      <c r="H1055" s="26" t="s">
        <v>2670</v>
      </c>
      <c r="I1055" s="54">
        <f>_xll.DBRW($A$1,$F$14,$F$15,$C1055,$A$2,$F1055,$G1055,$H1055,I$1)</f>
        <v>21</v>
      </c>
      <c r="J1055" s="25">
        <f>_xll.DBRW($A$1,$F$14,$F$15,$C1055,$A$2,$F1055,$G1055,$H1055,J$19)</f>
        <v>13</v>
      </c>
    </row>
    <row r="1056" spans="1:10" s="23" customFormat="1" outlineLevel="1" thickBot="1" x14ac:dyDescent="0.3">
      <c r="A1056" s="44"/>
      <c r="B1056" s="31" t="str">
        <f>IF(_xll.TM1RPTELISCONSOLIDATED($H$20,$H1056),IF(_xll.TM1RPTELLEV($H$20,$H1056)&lt;=5,_xll.TM1RPTELLEV($H$20,$H1056),"Default"),"Leaf")</f>
        <v>Leaf</v>
      </c>
      <c r="C1056" s="26" t="s">
        <v>15</v>
      </c>
      <c r="D1056" s="24" t="str">
        <f>_xll.DBRW("TM1-S1_DEV:}ElementAttributes_SP_SKU",$F1056,D$1)</f>
        <v>Primary</v>
      </c>
      <c r="E1056" s="24" t="str">
        <f>_xll.DBRW("TM1-S1_DEV:}ElementAttributes_SP_SKU",$F1056,E$1)</f>
        <v>PROTEIN</v>
      </c>
      <c r="F1056" s="26" t="s">
        <v>3120</v>
      </c>
      <c r="G1056" s="26" t="s">
        <v>1205</v>
      </c>
      <c r="H1056" s="26" t="s">
        <v>2670</v>
      </c>
      <c r="I1056" s="54">
        <f>_xll.DBRW($A$1,$F$14,$F$15,$C1056,$A$2,$F1056,$G1056,$H1056,I$1)</f>
        <v>16</v>
      </c>
      <c r="J1056" s="25">
        <f>_xll.DBRW($A$1,$F$14,$F$15,$C1056,$A$2,$F1056,$G1056,$H1056,J$19)</f>
        <v>10</v>
      </c>
    </row>
    <row r="1057" spans="1:10" s="23" customFormat="1" outlineLevel="1" thickBot="1" x14ac:dyDescent="0.3">
      <c r="A1057" s="44"/>
      <c r="B1057" s="31" t="str">
        <f>IF(_xll.TM1RPTELISCONSOLIDATED($H$20,$H1057),IF(_xll.TM1RPTELLEV($H$20,$H1057)&lt;=5,_xll.TM1RPTELLEV($H$20,$H1057),"Default"),"Leaf")</f>
        <v>Leaf</v>
      </c>
      <c r="C1057" s="26" t="s">
        <v>15</v>
      </c>
      <c r="D1057" s="24" t="str">
        <f>_xll.DBRW("TM1-S1_DEV:}ElementAttributes_SP_SKU",$F1057,D$1)</f>
        <v>Unassigned PSP</v>
      </c>
      <c r="E1057" s="24" t="str">
        <f>_xll.DBRW("TM1-S1_DEV:}ElementAttributes_SP_SKU",$F1057,E$1)</f>
        <v>SIDES</v>
      </c>
      <c r="F1057" s="26" t="s">
        <v>62</v>
      </c>
      <c r="G1057" s="26" t="s">
        <v>973</v>
      </c>
      <c r="H1057" s="26" t="s">
        <v>2732</v>
      </c>
      <c r="I1057" s="54">
        <f>_xll.DBRW($A$1,$F$14,$F$15,$C1057,$A$2,$F1057,$G1057,$H1057,I$1)</f>
        <v>19</v>
      </c>
      <c r="J1057" s="25">
        <f>_xll.DBRW($A$1,$F$14,$F$15,$C1057,$A$2,$F1057,$G1057,$H1057,J$19)</f>
        <v>82</v>
      </c>
    </row>
    <row r="1058" spans="1:10" s="23" customFormat="1" outlineLevel="1" thickBot="1" x14ac:dyDescent="0.3">
      <c r="A1058" s="44"/>
      <c r="B1058" s="31" t="str">
        <f>IF(_xll.TM1RPTELISCONSOLIDATED($H$20,$H1058),IF(_xll.TM1RPTELLEV($H$20,$H1058)&lt;=5,_xll.TM1RPTELLEV($H$20,$H1058),"Default"),"Leaf")</f>
        <v>Leaf</v>
      </c>
      <c r="C1058" s="26" t="s">
        <v>15</v>
      </c>
      <c r="D1058" s="24" t="str">
        <f>_xll.DBRW("TM1-S1_DEV:}ElementAttributes_SP_SKU",$F1058,D$1)</f>
        <v>Primary</v>
      </c>
      <c r="E1058" s="24" t="str">
        <f>_xll.DBRW("TM1-S1_DEV:}ElementAttributes_SP_SKU",$F1058,E$1)</f>
        <v>SIDES</v>
      </c>
      <c r="F1058" s="26" t="s">
        <v>3123</v>
      </c>
      <c r="G1058" s="26" t="s">
        <v>1206</v>
      </c>
      <c r="H1058" s="26" t="s">
        <v>2676</v>
      </c>
      <c r="I1058" s="54">
        <f>_xll.DBRW($A$1,$F$14,$F$15,$C1058,$A$2,$F1058,$G1058,$H1058,I$1)</f>
        <v>93</v>
      </c>
      <c r="J1058" s="25">
        <f>_xll.DBRW($A$1,$F$14,$F$15,$C1058,$A$2,$F1058,$G1058,$H1058,J$19)</f>
        <v>32</v>
      </c>
    </row>
    <row r="1059" spans="1:10" s="23" customFormat="1" outlineLevel="1" thickBot="1" x14ac:dyDescent="0.3">
      <c r="A1059" s="44"/>
      <c r="B1059" s="31" t="str">
        <f>IF(_xll.TM1RPTELISCONSOLIDATED($H$20,$H1059),IF(_xll.TM1RPTELLEV($H$20,$H1059)&lt;=5,_xll.TM1RPTELLEV($H$20,$H1059),"Default"),"Leaf")</f>
        <v>Leaf</v>
      </c>
      <c r="C1059" s="26" t="s">
        <v>15</v>
      </c>
      <c r="D1059" s="24" t="str">
        <f>_xll.DBRW("TM1-S1_DEV:}ElementAttributes_SP_SKU",$F1059,D$1)</f>
        <v>Primary</v>
      </c>
      <c r="E1059" s="24" t="str">
        <f>_xll.DBRW("TM1-S1_DEV:}ElementAttributes_SP_SKU",$F1059,E$1)</f>
        <v>SIDES</v>
      </c>
      <c r="F1059" s="26" t="s">
        <v>3124</v>
      </c>
      <c r="G1059" s="26" t="s">
        <v>1207</v>
      </c>
      <c r="H1059" s="26" t="s">
        <v>2676</v>
      </c>
      <c r="I1059" s="54">
        <f>_xll.DBRW($A$1,$F$14,$F$15,$C1059,$A$2,$F1059,$G1059,$H1059,I$1)</f>
        <v>111</v>
      </c>
      <c r="J1059" s="25">
        <f>_xll.DBRW($A$1,$F$14,$F$15,$C1059,$A$2,$F1059,$G1059,$H1059,J$19)</f>
        <v>35</v>
      </c>
    </row>
    <row r="1060" spans="1:10" s="23" customFormat="1" outlineLevel="1" thickBot="1" x14ac:dyDescent="0.3">
      <c r="A1060" s="44"/>
      <c r="B1060" s="31" t="str">
        <f>IF(_xll.TM1RPTELISCONSOLIDATED($H$20,$H1060),IF(_xll.TM1RPTELLEV($H$20,$H1060)&lt;=5,_xll.TM1RPTELLEV($H$20,$H1060),"Default"),"Leaf")</f>
        <v>Leaf</v>
      </c>
      <c r="C1060" s="26" t="s">
        <v>15</v>
      </c>
      <c r="D1060" s="24" t="str">
        <f>_xll.DBRW("TM1-S1_DEV:}ElementAttributes_SP_SKU",$F1060,D$1)</f>
        <v>Primary</v>
      </c>
      <c r="E1060" s="24" t="str">
        <f>_xll.DBRW("TM1-S1_DEV:}ElementAttributes_SP_SKU",$F1060,E$1)</f>
        <v>SIDES</v>
      </c>
      <c r="F1060" s="26" t="s">
        <v>3125</v>
      </c>
      <c r="G1060" s="26" t="s">
        <v>1208</v>
      </c>
      <c r="H1060" s="26" t="s">
        <v>2676</v>
      </c>
      <c r="I1060" s="54">
        <f>_xll.DBRW($A$1,$F$14,$F$15,$C1060,$A$2,$F1060,$G1060,$H1060,I$1)</f>
        <v>76</v>
      </c>
      <c r="J1060" s="25">
        <f>_xll.DBRW($A$1,$F$14,$F$15,$C1060,$A$2,$F1060,$G1060,$H1060,J$19)</f>
        <v>51</v>
      </c>
    </row>
    <row r="1061" spans="1:10" s="23" customFormat="1" outlineLevel="1" thickBot="1" x14ac:dyDescent="0.3">
      <c r="A1061" s="44"/>
      <c r="B1061" s="31" t="str">
        <f>IF(_xll.TM1RPTELISCONSOLIDATED($H$20,$H1061),IF(_xll.TM1RPTELLEV($H$20,$H1061)&lt;=5,_xll.TM1RPTELLEV($H$20,$H1061),"Default"),"Leaf")</f>
        <v>Leaf</v>
      </c>
      <c r="C1061" s="26" t="s">
        <v>15</v>
      </c>
      <c r="D1061" s="24" t="str">
        <f>_xll.DBRW("TM1-S1_DEV:}ElementAttributes_SP_SKU",$F1061,D$1)</f>
        <v>Primary</v>
      </c>
      <c r="E1061" s="24" t="str">
        <f>_xll.DBRW("TM1-S1_DEV:}ElementAttributes_SP_SKU",$F1061,E$1)</f>
        <v>SIDES</v>
      </c>
      <c r="F1061" s="26" t="s">
        <v>3126</v>
      </c>
      <c r="G1061" s="26" t="s">
        <v>1209</v>
      </c>
      <c r="H1061" s="26" t="s">
        <v>2676</v>
      </c>
      <c r="I1061" s="54">
        <f>_xll.DBRW($A$1,$F$14,$F$15,$C1061,$A$2,$F1061,$G1061,$H1061,I$1)</f>
        <v>161</v>
      </c>
      <c r="J1061" s="25">
        <f>_xll.DBRW($A$1,$F$14,$F$15,$C1061,$A$2,$F1061,$G1061,$H1061,J$19)</f>
        <v>83</v>
      </c>
    </row>
    <row r="1062" spans="1:10" s="23" customFormat="1" outlineLevel="1" thickBot="1" x14ac:dyDescent="0.3">
      <c r="A1062" s="44"/>
      <c r="B1062" s="31" t="str">
        <f>IF(_xll.TM1RPTELISCONSOLIDATED($H$20,$H1062),IF(_xll.TM1RPTELLEV($H$20,$H1062)&lt;=5,_xll.TM1RPTELLEV($H$20,$H1062),"Default"),"Leaf")</f>
        <v>Leaf</v>
      </c>
      <c r="C1062" s="26" t="s">
        <v>15</v>
      </c>
      <c r="D1062" s="24" t="str">
        <f>_xll.DBRW("TM1-S1_DEV:}ElementAttributes_SP_SKU",$F1062,D$1)</f>
        <v>Primary</v>
      </c>
      <c r="E1062" s="24" t="str">
        <f>_xll.DBRW("TM1-S1_DEV:}ElementAttributes_SP_SKU",$F1062,E$1)</f>
        <v>SIDES</v>
      </c>
      <c r="F1062" s="26" t="s">
        <v>3127</v>
      </c>
      <c r="G1062" s="26" t="s">
        <v>1210</v>
      </c>
      <c r="H1062" s="26" t="s">
        <v>2676</v>
      </c>
      <c r="I1062" s="54">
        <f>_xll.DBRW($A$1,$F$14,$F$15,$C1062,$A$2,$F1062,$G1062,$H1062,I$1)</f>
        <v>179</v>
      </c>
      <c r="J1062" s="25">
        <f>_xll.DBRW($A$1,$F$14,$F$15,$C1062,$A$2,$F1062,$G1062,$H1062,J$19)</f>
        <v>40</v>
      </c>
    </row>
    <row r="1063" spans="1:10" s="23" customFormat="1" outlineLevel="1" thickBot="1" x14ac:dyDescent="0.3">
      <c r="A1063" s="44"/>
      <c r="B1063" s="31" t="str">
        <f>IF(_xll.TM1RPTELISCONSOLIDATED($H$20,$H1063),IF(_xll.TM1RPTELLEV($H$20,$H1063)&lt;=5,_xll.TM1RPTELLEV($H$20,$H1063),"Default"),"Leaf")</f>
        <v>Leaf</v>
      </c>
      <c r="C1063" s="26" t="s">
        <v>15</v>
      </c>
      <c r="D1063" s="24" t="str">
        <f>_xll.DBRW("TM1-S1_DEV:}ElementAttributes_SP_SKU",$F1063,D$1)</f>
        <v>Primary</v>
      </c>
      <c r="E1063" s="24" t="str">
        <f>_xll.DBRW("TM1-S1_DEV:}ElementAttributes_SP_SKU",$F1063,E$1)</f>
        <v>SIDES</v>
      </c>
      <c r="F1063" s="26" t="s">
        <v>3128</v>
      </c>
      <c r="G1063" s="26" t="s">
        <v>1211</v>
      </c>
      <c r="H1063" s="26" t="s">
        <v>2676</v>
      </c>
      <c r="I1063" s="54">
        <f>_xll.DBRW($A$1,$F$14,$F$15,$C1063,$A$2,$F1063,$G1063,$H1063,I$1)</f>
        <v>163</v>
      </c>
      <c r="J1063" s="25">
        <f>_xll.DBRW($A$1,$F$14,$F$15,$C1063,$A$2,$F1063,$G1063,$H1063,J$19)</f>
        <v>34</v>
      </c>
    </row>
    <row r="1064" spans="1:10" s="23" customFormat="1" outlineLevel="1" thickBot="1" x14ac:dyDescent="0.3">
      <c r="A1064" s="44"/>
      <c r="B1064" s="31" t="str">
        <f>IF(_xll.TM1RPTELISCONSOLIDATED($H$20,$H1064),IF(_xll.TM1RPTELLEV($H$20,$H1064)&lt;=5,_xll.TM1RPTELLEV($H$20,$H1064),"Default"),"Leaf")</f>
        <v>Leaf</v>
      </c>
      <c r="C1064" s="26" t="s">
        <v>15</v>
      </c>
      <c r="D1064" s="24" t="str">
        <f>_xll.DBRW("TM1-S1_DEV:}ElementAttributes_SP_SKU",$F1064,D$1)</f>
        <v>Primary</v>
      </c>
      <c r="E1064" s="24" t="str">
        <f>_xll.DBRW("TM1-S1_DEV:}ElementAttributes_SP_SKU",$F1064,E$1)</f>
        <v>SIDES</v>
      </c>
      <c r="F1064" s="26" t="s">
        <v>3129</v>
      </c>
      <c r="G1064" s="26" t="s">
        <v>1212</v>
      </c>
      <c r="H1064" s="26" t="s">
        <v>2676</v>
      </c>
      <c r="I1064" s="54">
        <f>_xll.DBRW($A$1,$F$14,$F$15,$C1064,$A$2,$F1064,$G1064,$H1064,I$1)</f>
        <v>87</v>
      </c>
      <c r="J1064" s="25">
        <f>_xll.DBRW($A$1,$F$14,$F$15,$C1064,$A$2,$F1064,$G1064,$H1064,J$19)</f>
        <v>37</v>
      </c>
    </row>
    <row r="1065" spans="1:10" s="23" customFormat="1" outlineLevel="1" thickBot="1" x14ac:dyDescent="0.3">
      <c r="A1065" s="44"/>
      <c r="B1065" s="31" t="str">
        <f>IF(_xll.TM1RPTELISCONSOLIDATED($H$20,$H1065),IF(_xll.TM1RPTELLEV($H$20,$H1065)&lt;=5,_xll.TM1RPTELLEV($H$20,$H1065),"Default"),"Leaf")</f>
        <v>Leaf</v>
      </c>
      <c r="C1065" s="26" t="s">
        <v>15</v>
      </c>
      <c r="D1065" s="24" t="str">
        <f>_xll.DBRW("TM1-S1_DEV:}ElementAttributes_SP_SKU",$F1065,D$1)</f>
        <v>Primary</v>
      </c>
      <c r="E1065" s="24" t="str">
        <f>_xll.DBRW("TM1-S1_DEV:}ElementAttributes_SP_SKU",$F1065,E$1)</f>
        <v>SIDES</v>
      </c>
      <c r="F1065" s="26" t="s">
        <v>3130</v>
      </c>
      <c r="G1065" s="26" t="s">
        <v>1213</v>
      </c>
      <c r="H1065" s="26" t="s">
        <v>2676</v>
      </c>
      <c r="I1065" s="54">
        <f>_xll.DBRW($A$1,$F$14,$F$15,$C1065,$A$2,$F1065,$G1065,$H1065,I$1)</f>
        <v>60</v>
      </c>
      <c r="J1065" s="25">
        <f>_xll.DBRW($A$1,$F$14,$F$15,$C1065,$A$2,$F1065,$G1065,$H1065,J$19)</f>
        <v>48</v>
      </c>
    </row>
    <row r="1066" spans="1:10" s="23" customFormat="1" outlineLevel="1" thickBot="1" x14ac:dyDescent="0.3">
      <c r="A1066" s="44"/>
      <c r="B1066" s="31" t="str">
        <f>IF(_xll.TM1RPTELISCONSOLIDATED($H$20,$H1066),IF(_xll.TM1RPTELLEV($H$20,$H1066)&lt;=5,_xll.TM1RPTELLEV($H$20,$H1066),"Default"),"Leaf")</f>
        <v>Leaf</v>
      </c>
      <c r="C1066" s="26" t="s">
        <v>15</v>
      </c>
      <c r="D1066" s="24" t="str">
        <f>_xll.DBRW("TM1-S1_DEV:}ElementAttributes_SP_SKU",$F1066,D$1)</f>
        <v>Primary</v>
      </c>
      <c r="E1066" s="24" t="str">
        <f>_xll.DBRW("TM1-S1_DEV:}ElementAttributes_SP_SKU",$F1066,E$1)</f>
        <v>SIDES</v>
      </c>
      <c r="F1066" s="26" t="s">
        <v>3131</v>
      </c>
      <c r="G1066" s="26" t="s">
        <v>1214</v>
      </c>
      <c r="H1066" s="26" t="s">
        <v>2676</v>
      </c>
      <c r="I1066" s="54">
        <f>_xll.DBRW($A$1,$F$14,$F$15,$C1066,$A$2,$F1066,$G1066,$H1066,I$1)</f>
        <v>49</v>
      </c>
      <c r="J1066" s="25">
        <f>_xll.DBRW($A$1,$F$14,$F$15,$C1066,$A$2,$F1066,$G1066,$H1066,J$19)</f>
        <v>17</v>
      </c>
    </row>
    <row r="1067" spans="1:10" s="23" customFormat="1" outlineLevel="1" thickBot="1" x14ac:dyDescent="0.3">
      <c r="A1067" s="44"/>
      <c r="B1067" s="31" t="str">
        <f>IF(_xll.TM1RPTELISCONSOLIDATED($H$20,$H1067),IF(_xll.TM1RPTELLEV($H$20,$H1067)&lt;=5,_xll.TM1RPTELLEV($H$20,$H1067),"Default"),"Leaf")</f>
        <v>Leaf</v>
      </c>
      <c r="C1067" s="26" t="s">
        <v>15</v>
      </c>
      <c r="D1067" s="24" t="str">
        <f>_xll.DBRW("TM1-S1_DEV:}ElementAttributes_SP_SKU",$F1067,D$1)</f>
        <v>Primary</v>
      </c>
      <c r="E1067" s="24" t="str">
        <f>_xll.DBRW("TM1-S1_DEV:}ElementAttributes_SP_SKU",$F1067,E$1)</f>
        <v>SIDES</v>
      </c>
      <c r="F1067" s="26" t="s">
        <v>3132</v>
      </c>
      <c r="G1067" s="26" t="s">
        <v>1215</v>
      </c>
      <c r="H1067" s="26" t="s">
        <v>2676</v>
      </c>
      <c r="I1067" s="54">
        <f>_xll.DBRW($A$1,$F$14,$F$15,$C1067,$A$2,$F1067,$G1067,$H1067,I$1)</f>
        <v>248</v>
      </c>
      <c r="J1067" s="25">
        <f>_xll.DBRW($A$1,$F$14,$F$15,$C1067,$A$2,$F1067,$G1067,$H1067,J$19)</f>
        <v>58</v>
      </c>
    </row>
    <row r="1068" spans="1:10" s="23" customFormat="1" outlineLevel="1" thickBot="1" x14ac:dyDescent="0.3">
      <c r="A1068" s="44"/>
      <c r="B1068" s="31" t="str">
        <f>IF(_xll.TM1RPTELISCONSOLIDATED($H$20,$H1068),IF(_xll.TM1RPTELLEV($H$20,$H1068)&lt;=5,_xll.TM1RPTELLEV($H$20,$H1068),"Default"),"Leaf")</f>
        <v>Leaf</v>
      </c>
      <c r="C1068" s="26" t="s">
        <v>15</v>
      </c>
      <c r="D1068" s="24" t="str">
        <f>_xll.DBRW("TM1-S1_DEV:}ElementAttributes_SP_SKU",$F1068,D$1)</f>
        <v>Primary</v>
      </c>
      <c r="E1068" s="24" t="str">
        <f>_xll.DBRW("TM1-S1_DEV:}ElementAttributes_SP_SKU",$F1068,E$1)</f>
        <v>DESSERT</v>
      </c>
      <c r="F1068" s="26" t="s">
        <v>29</v>
      </c>
      <c r="G1068" s="26" t="s">
        <v>974</v>
      </c>
      <c r="H1068" s="26" t="s">
        <v>2677</v>
      </c>
      <c r="I1068" s="54">
        <f>_xll.DBRW($A$1,$F$14,$F$15,$C1068,$A$2,$F1068,$G1068,$H1068,I$1)</f>
        <v>139</v>
      </c>
      <c r="J1068" s="25">
        <f>_xll.DBRW($A$1,$F$14,$F$15,$C1068,$A$2,$F1068,$G1068,$H1068,J$19)</f>
        <v>131</v>
      </c>
    </row>
    <row r="1069" spans="1:10" s="23" customFormat="1" outlineLevel="1" thickBot="1" x14ac:dyDescent="0.3">
      <c r="A1069" s="44"/>
      <c r="B1069" s="31" t="str">
        <f>IF(_xll.TM1RPTELISCONSOLIDATED($H$20,$H1069),IF(_xll.TM1RPTELLEV($H$20,$H1069)&lt;=5,_xll.TM1RPTELLEV($H$20,$H1069),"Default"),"Leaf")</f>
        <v>Leaf</v>
      </c>
      <c r="C1069" s="26" t="s">
        <v>15</v>
      </c>
      <c r="D1069" s="24" t="str">
        <f>_xll.DBRW("TM1-S1_DEV:}ElementAttributes_SP_SKU",$F1069,D$1)</f>
        <v>Primary</v>
      </c>
      <c r="E1069" s="24" t="str">
        <f>_xll.DBRW("TM1-S1_DEV:}ElementAttributes_SP_SKU",$F1069,E$1)</f>
        <v>PIE</v>
      </c>
      <c r="F1069" s="26" t="s">
        <v>3133</v>
      </c>
      <c r="G1069" s="26" t="s">
        <v>975</v>
      </c>
      <c r="H1069" s="26" t="s">
        <v>2678</v>
      </c>
      <c r="I1069" s="54">
        <f>_xll.DBRW($A$1,$F$14,$F$15,$C1069,$A$2,$F1069,$G1069,$H1069,I$1)</f>
        <v>42</v>
      </c>
      <c r="J1069" s="25">
        <f>_xll.DBRW($A$1,$F$14,$F$15,$C1069,$A$2,$F1069,$G1069,$H1069,J$19)</f>
        <v>17</v>
      </c>
    </row>
    <row r="1070" spans="1:10" s="23" customFormat="1" outlineLevel="1" thickBot="1" x14ac:dyDescent="0.3">
      <c r="A1070" s="44"/>
      <c r="B1070" s="31" t="str">
        <f>IF(_xll.TM1RPTELISCONSOLIDATED($H$20,$H1070),IF(_xll.TM1RPTELLEV($H$20,$H1070)&lt;=5,_xll.TM1RPTELLEV($H$20,$H1070),"Default"),"Leaf")</f>
        <v>Leaf</v>
      </c>
      <c r="C1070" s="26" t="s">
        <v>15</v>
      </c>
      <c r="D1070" s="24" t="str">
        <f>_xll.DBRW("TM1-S1_DEV:}ElementAttributes_SP_SKU",$F1070,D$1)</f>
        <v>Primary</v>
      </c>
      <c r="E1070" s="24" t="str">
        <f>_xll.DBRW("TM1-S1_DEV:}ElementAttributes_SP_SKU",$F1070,E$1)</f>
        <v>PIE</v>
      </c>
      <c r="F1070" s="26" t="s">
        <v>3134</v>
      </c>
      <c r="G1070" s="26" t="s">
        <v>976</v>
      </c>
      <c r="H1070" s="26" t="s">
        <v>2678</v>
      </c>
      <c r="I1070" s="54">
        <f>_xll.DBRW($A$1,$F$14,$F$15,$C1070,$A$2,$F1070,$G1070,$H1070,I$1)</f>
        <v>37</v>
      </c>
      <c r="J1070" s="25">
        <f>_xll.DBRW($A$1,$F$14,$F$15,$C1070,$A$2,$F1070,$G1070,$H1070,J$19)</f>
        <v>11</v>
      </c>
    </row>
    <row r="1071" spans="1:10" s="23" customFormat="1" outlineLevel="1" thickBot="1" x14ac:dyDescent="0.3">
      <c r="A1071" s="44"/>
      <c r="B1071" s="31" t="str">
        <f>IF(_xll.TM1RPTELISCONSOLIDATED($H$20,$H1071),IF(_xll.TM1RPTELLEV($H$20,$H1071)&lt;=5,_xll.TM1RPTELLEV($H$20,$H1071),"Default"),"Leaf")</f>
        <v>Leaf</v>
      </c>
      <c r="C1071" s="26" t="s">
        <v>15</v>
      </c>
      <c r="D1071" s="24" t="str">
        <f>_xll.DBRW("TM1-S1_DEV:}ElementAttributes_SP_SKU",$F1071,D$1)</f>
        <v>Primary</v>
      </c>
      <c r="E1071" s="24" t="str">
        <f>_xll.DBRW("TM1-S1_DEV:}ElementAttributes_SP_SKU",$F1071,E$1)</f>
        <v>CAKE</v>
      </c>
      <c r="F1071" s="26" t="s">
        <v>3135</v>
      </c>
      <c r="G1071" s="26" t="s">
        <v>977</v>
      </c>
      <c r="H1071" s="26" t="s">
        <v>2679</v>
      </c>
      <c r="I1071" s="54">
        <f>_xll.DBRW($A$1,$F$14,$F$15,$C1071,$A$2,$F1071,$G1071,$H1071,I$1)</f>
        <v>86</v>
      </c>
      <c r="J1071" s="25">
        <f>_xll.DBRW($A$1,$F$14,$F$15,$C1071,$A$2,$F1071,$G1071,$H1071,J$19)</f>
        <v>40</v>
      </c>
    </row>
    <row r="1072" spans="1:10" s="23" customFormat="1" outlineLevel="1" thickBot="1" x14ac:dyDescent="0.3">
      <c r="A1072" s="44"/>
      <c r="B1072" s="31" t="str">
        <f>IF(_xll.TM1RPTELISCONSOLIDATED($H$20,$H1072),IF(_xll.TM1RPTELLEV($H$20,$H1072)&lt;=5,_xll.TM1RPTELLEV($H$20,$H1072),"Default"),"Leaf")</f>
        <v>Leaf</v>
      </c>
      <c r="C1072" s="26" t="s">
        <v>15</v>
      </c>
      <c r="D1072" s="24" t="str">
        <f>_xll.DBRW("TM1-S1_DEV:}ElementAttributes_SP_SKU",$F1072,D$1)</f>
        <v>Primary</v>
      </c>
      <c r="E1072" s="24" t="str">
        <f>_xll.DBRW("TM1-S1_DEV:}ElementAttributes_SP_SKU",$F1072,E$1)</f>
        <v>CAKE</v>
      </c>
      <c r="F1072" s="26" t="s">
        <v>3136</v>
      </c>
      <c r="G1072" s="26" t="s">
        <v>978</v>
      </c>
      <c r="H1072" s="26" t="s">
        <v>2679</v>
      </c>
      <c r="I1072" s="54">
        <f>_xll.DBRW($A$1,$F$14,$F$15,$C1072,$A$2,$F1072,$G1072,$H1072,I$1)</f>
        <v>55</v>
      </c>
      <c r="J1072" s="25">
        <f>_xll.DBRW($A$1,$F$14,$F$15,$C1072,$A$2,$F1072,$G1072,$H1072,J$19)</f>
        <v>30</v>
      </c>
    </row>
    <row r="1073" spans="1:10" s="23" customFormat="1" outlineLevel="1" thickBot="1" x14ac:dyDescent="0.3">
      <c r="A1073" s="44"/>
      <c r="B1073" s="31" t="str">
        <f>IF(_xll.TM1RPTELISCONSOLIDATED($H$20,$H1073),IF(_xll.TM1RPTELLEV($H$20,$H1073)&lt;=5,_xll.TM1RPTELLEV($H$20,$H1073),"Default"),"Leaf")</f>
        <v>Leaf</v>
      </c>
      <c r="C1073" s="26" t="s">
        <v>15</v>
      </c>
      <c r="D1073" s="24" t="str">
        <f>_xll.DBRW("TM1-S1_DEV:}ElementAttributes_SP_SKU",$F1073,D$1)</f>
        <v>Primary</v>
      </c>
      <c r="E1073" s="24" t="str">
        <f>_xll.DBRW("TM1-S1_DEV:}ElementAttributes_SP_SKU",$F1073,E$1)</f>
        <v>CAKE</v>
      </c>
      <c r="F1073" s="26" t="s">
        <v>3137</v>
      </c>
      <c r="G1073" s="26" t="s">
        <v>1216</v>
      </c>
      <c r="H1073" s="26" t="s">
        <v>2679</v>
      </c>
      <c r="I1073" s="54">
        <f>_xll.DBRW($A$1,$F$14,$F$15,$C1073,$A$2,$F1073,$G1073,$H1073,I$1)</f>
        <v>107</v>
      </c>
      <c r="J1073" s="25">
        <f>_xll.DBRW($A$1,$F$14,$F$15,$C1073,$A$2,$F1073,$G1073,$H1073,J$19)</f>
        <v>33</v>
      </c>
    </row>
    <row r="1074" spans="1:10" s="23" customFormat="1" outlineLevel="1" thickBot="1" x14ac:dyDescent="0.3">
      <c r="A1074" s="44"/>
      <c r="B1074" s="31" t="str">
        <f>IF(_xll.TM1RPTELISCONSOLIDATED($H$20,$H1074),IF(_xll.TM1RPTELLEV($H$20,$H1074)&lt;=5,_xll.TM1RPTELLEV($H$20,$H1074),"Default"),"Leaf")</f>
        <v>Leaf</v>
      </c>
      <c r="C1074" s="26" t="s">
        <v>15</v>
      </c>
      <c r="D1074" s="24" t="str">
        <f>_xll.DBRW("TM1-S1_DEV:}ElementAttributes_SP_SKU",$F1074,D$1)</f>
        <v>Primary</v>
      </c>
      <c r="E1074" s="24" t="str">
        <f>_xll.DBRW("TM1-S1_DEV:}ElementAttributes_SP_SKU",$F1074,E$1)</f>
        <v>CAKE</v>
      </c>
      <c r="F1074" s="26" t="s">
        <v>3138</v>
      </c>
      <c r="G1074" s="26" t="s">
        <v>1217</v>
      </c>
      <c r="H1074" s="26" t="s">
        <v>2680</v>
      </c>
      <c r="I1074" s="54">
        <f>_xll.DBRW($A$1,$F$14,$F$15,$C1074,$A$2,$F1074,$G1074,$H1074,I$1)</f>
        <v>38</v>
      </c>
      <c r="J1074" s="25">
        <f>_xll.DBRW($A$1,$F$14,$F$15,$C1074,$A$2,$F1074,$G1074,$H1074,J$19)</f>
        <v>25</v>
      </c>
    </row>
    <row r="1075" spans="1:10" s="23" customFormat="1" outlineLevel="1" thickBot="1" x14ac:dyDescent="0.3">
      <c r="A1075" s="44"/>
      <c r="B1075" s="31" t="str">
        <f>IF(_xll.TM1RPTELISCONSOLIDATED($H$20,$H1075),IF(_xll.TM1RPTELLEV($H$20,$H1075)&lt;=5,_xll.TM1RPTELLEV($H$20,$H1075),"Default"),"Leaf")</f>
        <v>Leaf</v>
      </c>
      <c r="C1075" s="26" t="s">
        <v>15</v>
      </c>
      <c r="D1075" s="24" t="str">
        <f>_xll.DBRW("TM1-S1_DEV:}ElementAttributes_SP_SKU",$F1075,D$1)</f>
        <v>Primary</v>
      </c>
      <c r="E1075" s="24" t="str">
        <f>_xll.DBRW("TM1-S1_DEV:}ElementAttributes_SP_SKU",$F1075,E$1)</f>
        <v>DESSERT</v>
      </c>
      <c r="F1075" s="26" t="s">
        <v>3139</v>
      </c>
      <c r="G1075" s="26" t="s">
        <v>979</v>
      </c>
      <c r="H1075" s="26" t="s">
        <v>2681</v>
      </c>
      <c r="I1075" s="54">
        <f>_xll.DBRW($A$1,$F$14,$F$15,$C1075,$A$2,$F1075,$G1075,$H1075,I$1)</f>
        <v>67</v>
      </c>
      <c r="J1075" s="25">
        <f>_xll.DBRW($A$1,$F$14,$F$15,$C1075,$A$2,$F1075,$G1075,$H1075,J$19)</f>
        <v>35</v>
      </c>
    </row>
    <row r="1076" spans="1:10" s="23" customFormat="1" outlineLevel="1" thickBot="1" x14ac:dyDescent="0.3">
      <c r="A1076" s="44"/>
      <c r="B1076" s="31" t="str">
        <f>IF(_xll.TM1RPTELISCONSOLIDATED($H$20,$H1076),IF(_xll.TM1RPTELLEV($H$20,$H1076)&lt;=5,_xll.TM1RPTELLEV($H$20,$H1076),"Default"),"Leaf")</f>
        <v>Leaf</v>
      </c>
      <c r="C1076" s="26" t="s">
        <v>15</v>
      </c>
      <c r="D1076" s="24" t="str">
        <f>_xll.DBRW("TM1-S1_DEV:}ElementAttributes_SP_SKU",$F1076,D$1)</f>
        <v>Primary</v>
      </c>
      <c r="E1076" s="24" t="str">
        <f>_xll.DBRW("TM1-S1_DEV:}ElementAttributes_SP_SKU",$F1076,E$1)</f>
        <v>DESSERT</v>
      </c>
      <c r="F1076" s="26" t="s">
        <v>3140</v>
      </c>
      <c r="G1076" s="26" t="s">
        <v>980</v>
      </c>
      <c r="H1076" s="26" t="s">
        <v>2681</v>
      </c>
      <c r="I1076" s="54">
        <f>_xll.DBRW($A$1,$F$14,$F$15,$C1076,$A$2,$F1076,$G1076,$H1076,I$1)</f>
        <v>68</v>
      </c>
      <c r="J1076" s="25">
        <f>_xll.DBRW($A$1,$F$14,$F$15,$C1076,$A$2,$F1076,$G1076,$H1076,J$19)</f>
        <v>23</v>
      </c>
    </row>
    <row r="1077" spans="1:10" s="23" customFormat="1" outlineLevel="1" thickBot="1" x14ac:dyDescent="0.3">
      <c r="A1077" s="44"/>
      <c r="B1077" s="31" t="str">
        <f>IF(_xll.TM1RPTELISCONSOLIDATED($H$20,$H1077),IF(_xll.TM1RPTELLEV($H$20,$H1077)&lt;=5,_xll.TM1RPTELLEV($H$20,$H1077),"Default"),"Leaf")</f>
        <v>Leaf</v>
      </c>
      <c r="C1077" s="26" t="s">
        <v>15</v>
      </c>
      <c r="D1077" s="24" t="str">
        <f>_xll.DBRW("TM1-S1_DEV:}ElementAttributes_SP_SKU",$F1077,D$1)</f>
        <v>Primary</v>
      </c>
      <c r="E1077" s="24" t="str">
        <f>_xll.DBRW("TM1-S1_DEV:}ElementAttributes_SP_SKU",$F1077,E$1)</f>
        <v>CAKE</v>
      </c>
      <c r="F1077" s="26" t="s">
        <v>3142</v>
      </c>
      <c r="G1077" s="26" t="s">
        <v>981</v>
      </c>
      <c r="H1077" s="26" t="s">
        <v>2682</v>
      </c>
      <c r="I1077" s="54">
        <f>_xll.DBRW($A$1,$F$14,$F$15,$C1077,$A$2,$F1077,$G1077,$H1077,I$1)</f>
        <v>46</v>
      </c>
      <c r="J1077" s="25">
        <f>_xll.DBRW($A$1,$F$14,$F$15,$C1077,$A$2,$F1077,$G1077,$H1077,J$19)</f>
        <v>22</v>
      </c>
    </row>
    <row r="1078" spans="1:10" s="23" customFormat="1" outlineLevel="1" thickBot="1" x14ac:dyDescent="0.3">
      <c r="A1078" s="44"/>
      <c r="B1078" s="31" t="str">
        <f>IF(_xll.TM1RPTELISCONSOLIDATED($H$20,$H1078),IF(_xll.TM1RPTELLEV($H$20,$H1078)&lt;=5,_xll.TM1RPTELLEV($H$20,$H1078),"Default"),"Leaf")</f>
        <v>Leaf</v>
      </c>
      <c r="C1078" s="26" t="s">
        <v>15</v>
      </c>
      <c r="D1078" s="24" t="str">
        <f>_xll.DBRW("TM1-S1_DEV:}ElementAttributes_SP_SKU",$F1078,D$1)</f>
        <v>Primary</v>
      </c>
      <c r="E1078" s="24" t="str">
        <f>_xll.DBRW("TM1-S1_DEV:}ElementAttributes_SP_SKU",$F1078,E$1)</f>
        <v>CAKE</v>
      </c>
      <c r="F1078" s="26" t="s">
        <v>3143</v>
      </c>
      <c r="G1078" s="26" t="s">
        <v>1218</v>
      </c>
      <c r="H1078" s="26" t="s">
        <v>2682</v>
      </c>
      <c r="I1078" s="54">
        <f>_xll.DBRW($A$1,$F$14,$F$15,$C1078,$A$2,$F1078,$G1078,$H1078,I$1)</f>
        <v>42</v>
      </c>
      <c r="J1078" s="25">
        <f>_xll.DBRW($A$1,$F$14,$F$15,$C1078,$A$2,$F1078,$G1078,$H1078,J$19)</f>
        <v>25</v>
      </c>
    </row>
    <row r="1079" spans="1:10" s="23" customFormat="1" outlineLevel="1" thickBot="1" x14ac:dyDescent="0.3">
      <c r="A1079" s="44"/>
      <c r="B1079" s="31" t="str">
        <f>IF(_xll.TM1RPTELISCONSOLIDATED($H$20,$H1079),IF(_xll.TM1RPTELLEV($H$20,$H1079)&lt;=5,_xll.TM1RPTELLEV($H$20,$H1079),"Default"),"Leaf")</f>
        <v>Leaf</v>
      </c>
      <c r="C1079" s="26" t="s">
        <v>15</v>
      </c>
      <c r="D1079" s="24" t="str">
        <f>_xll.DBRW("TM1-S1_DEV:}ElementAttributes_SP_SKU",$F1079,D$1)</f>
        <v>Primary</v>
      </c>
      <c r="E1079" s="24" t="str">
        <f>_xll.DBRW("TM1-S1_DEV:}ElementAttributes_SP_SKU",$F1079,E$1)</f>
        <v>CAKE</v>
      </c>
      <c r="F1079" s="26" t="s">
        <v>3146</v>
      </c>
      <c r="G1079" s="26" t="s">
        <v>1221</v>
      </c>
      <c r="H1079" s="26" t="s">
        <v>2680</v>
      </c>
      <c r="I1079" s="54">
        <f>_xll.DBRW($A$1,$F$14,$F$15,$C1079,$A$2,$F1079,$G1079,$H1079,I$1)</f>
        <v>24</v>
      </c>
      <c r="J1079" s="25">
        <f>_xll.DBRW($A$1,$F$14,$F$15,$C1079,$A$2,$F1079,$G1079,$H1079,J$19)</f>
        <v>3</v>
      </c>
    </row>
    <row r="1080" spans="1:10" s="23" customFormat="1" outlineLevel="1" thickBot="1" x14ac:dyDescent="0.3">
      <c r="A1080" s="44"/>
      <c r="B1080" s="31" t="str">
        <f>IF(_xll.TM1RPTELISCONSOLIDATED($H$20,$H1080),IF(_xll.TM1RPTELLEV($H$20,$H1080)&lt;=5,_xll.TM1RPTELLEV($H$20,$H1080),"Default"),"Leaf")</f>
        <v>Leaf</v>
      </c>
      <c r="C1080" s="26" t="s">
        <v>15</v>
      </c>
      <c r="D1080" s="24" t="str">
        <f>_xll.DBRW("TM1-S1_DEV:}ElementAttributes_SP_SKU",$F1080,D$1)</f>
        <v>Primary</v>
      </c>
      <c r="E1080" s="24" t="str">
        <f>_xll.DBRW("TM1-S1_DEV:}ElementAttributes_SP_SKU",$F1080,E$1)</f>
        <v>CONDIMENT</v>
      </c>
      <c r="F1080" s="26" t="s">
        <v>3147</v>
      </c>
      <c r="G1080" s="26" t="s">
        <v>1222</v>
      </c>
      <c r="H1080" s="26" t="s">
        <v>2683</v>
      </c>
      <c r="I1080" s="54">
        <f>_xll.DBRW($A$1,$F$14,$F$15,$C1080,$A$2,$F1080,$G1080,$H1080,I$1)</f>
        <v>42</v>
      </c>
      <c r="J1080" s="25">
        <f>_xll.DBRW($A$1,$F$14,$F$15,$C1080,$A$2,$F1080,$G1080,$H1080,J$19)</f>
        <v>24</v>
      </c>
    </row>
    <row r="1081" spans="1:10" s="23" customFormat="1" outlineLevel="1" thickBot="1" x14ac:dyDescent="0.3">
      <c r="A1081" s="44"/>
      <c r="B1081" s="31" t="str">
        <f>IF(_xll.TM1RPTELISCONSOLIDATED($H$20,$H1081),IF(_xll.TM1RPTELLEV($H$20,$H1081)&lt;=5,_xll.TM1RPTELLEV($H$20,$H1081),"Default"),"Leaf")</f>
        <v>Leaf</v>
      </c>
      <c r="C1081" s="26" t="s">
        <v>15</v>
      </c>
      <c r="D1081" s="24" t="str">
        <f>_xll.DBRW("TM1-S1_DEV:}ElementAttributes_SP_SKU",$F1081,D$1)</f>
        <v>Primary</v>
      </c>
      <c r="E1081" s="24" t="str">
        <f>_xll.DBRW("TM1-S1_DEV:}ElementAttributes_SP_SKU",$F1081,E$1)</f>
        <v>CONDIMENT</v>
      </c>
      <c r="F1081" s="26" t="s">
        <v>3148</v>
      </c>
      <c r="G1081" s="26" t="s">
        <v>982</v>
      </c>
      <c r="H1081" s="26" t="s">
        <v>2684</v>
      </c>
      <c r="I1081" s="54">
        <f>_xll.DBRW($A$1,$F$14,$F$15,$C1081,$A$2,$F1081,$G1081,$H1081,I$1)</f>
        <v>21</v>
      </c>
      <c r="J1081" s="25">
        <f>_xll.DBRW($A$1,$F$14,$F$15,$C1081,$A$2,$F1081,$G1081,$H1081,J$19)</f>
        <v>13</v>
      </c>
    </row>
    <row r="1082" spans="1:10" s="23" customFormat="1" outlineLevel="1" thickBot="1" x14ac:dyDescent="0.3">
      <c r="A1082" s="44"/>
      <c r="B1082" s="31" t="str">
        <f>IF(_xll.TM1RPTELISCONSOLIDATED($H$20,$H1082),IF(_xll.TM1RPTELLEV($H$20,$H1082)&lt;=5,_xll.TM1RPTELLEV($H$20,$H1082),"Default"),"Leaf")</f>
        <v>Leaf</v>
      </c>
      <c r="C1082" s="26" t="s">
        <v>15</v>
      </c>
      <c r="D1082" s="24" t="str">
        <f>_xll.DBRW("TM1-S1_DEV:}ElementAttributes_SP_SKU",$F1082,D$1)</f>
        <v>Primary</v>
      </c>
      <c r="E1082" s="24" t="str">
        <f>_xll.DBRW("TM1-S1_DEV:}ElementAttributes_SP_SKU",$F1082,E$1)</f>
        <v>CONDIMENT</v>
      </c>
      <c r="F1082" s="26" t="s">
        <v>3149</v>
      </c>
      <c r="G1082" s="26" t="s">
        <v>1223</v>
      </c>
      <c r="H1082" s="26" t="s">
        <v>2684</v>
      </c>
      <c r="I1082" s="54">
        <f>_xll.DBRW($A$1,$F$14,$F$15,$C1082,$A$2,$F1082,$G1082,$H1082,I$1)</f>
        <v>42</v>
      </c>
      <c r="J1082" s="25">
        <f>_xll.DBRW($A$1,$F$14,$F$15,$C1082,$A$2,$F1082,$G1082,$H1082,J$19)</f>
        <v>23</v>
      </c>
    </row>
    <row r="1083" spans="1:10" s="23" customFormat="1" outlineLevel="1" thickBot="1" x14ac:dyDescent="0.3">
      <c r="A1083" s="44"/>
      <c r="B1083" s="31" t="str">
        <f>IF(_xll.TM1RPTELISCONSOLIDATED($H$20,$H1083),IF(_xll.TM1RPTELLEV($H$20,$H1083)&lt;=5,_xll.TM1RPTELLEV($H$20,$H1083),"Default"),"Leaf")</f>
        <v>Leaf</v>
      </c>
      <c r="C1083" s="26" t="s">
        <v>15</v>
      </c>
      <c r="D1083" s="24" t="str">
        <f>_xll.DBRW("TM1-S1_DEV:}ElementAttributes_SP_SKU",$F1083,D$1)</f>
        <v>Primary</v>
      </c>
      <c r="E1083" s="24" t="str">
        <f>_xll.DBRW("TM1-S1_DEV:}ElementAttributes_SP_SKU",$F1083,E$1)</f>
        <v>CONDIMENT</v>
      </c>
      <c r="F1083" s="26" t="s">
        <v>3150</v>
      </c>
      <c r="G1083" s="26" t="s">
        <v>983</v>
      </c>
      <c r="H1083" s="26" t="s">
        <v>2684</v>
      </c>
      <c r="I1083" s="54">
        <f>_xll.DBRW($A$1,$F$14,$F$15,$C1083,$A$2,$F1083,$G1083,$H1083,I$1)</f>
        <v>25</v>
      </c>
      <c r="J1083" s="25">
        <f>_xll.DBRW($A$1,$F$14,$F$15,$C1083,$A$2,$F1083,$G1083,$H1083,J$19)</f>
        <v>11</v>
      </c>
    </row>
    <row r="1084" spans="1:10" s="23" customFormat="1" outlineLevel="1" thickBot="1" x14ac:dyDescent="0.3">
      <c r="A1084" s="44"/>
      <c r="B1084" s="31" t="str">
        <f>IF(_xll.TM1RPTELISCONSOLIDATED($H$20,$H1084),IF(_xll.TM1RPTELLEV($H$20,$H1084)&lt;=5,_xll.TM1RPTELLEV($H$20,$H1084),"Default"),"Leaf")</f>
        <v>Leaf</v>
      </c>
      <c r="C1084" s="26" t="s">
        <v>15</v>
      </c>
      <c r="D1084" s="24" t="str">
        <f>_xll.DBRW("TM1-S1_DEV:}ElementAttributes_SP_SKU",$F1084,D$1)</f>
        <v>Primary</v>
      </c>
      <c r="E1084" s="24" t="str">
        <f>_xll.DBRW("TM1-S1_DEV:}ElementAttributes_SP_SKU",$F1084,E$1)</f>
        <v>CONDIMENT</v>
      </c>
      <c r="F1084" s="26" t="s">
        <v>3151</v>
      </c>
      <c r="G1084" s="26" t="s">
        <v>1224</v>
      </c>
      <c r="H1084" s="26" t="s">
        <v>2684</v>
      </c>
      <c r="I1084" s="54">
        <f>_xll.DBRW($A$1,$F$14,$F$15,$C1084,$A$2,$F1084,$G1084,$H1084,I$1)</f>
        <v>13</v>
      </c>
      <c r="J1084" s="25">
        <f>_xll.DBRW($A$1,$F$14,$F$15,$C1084,$A$2,$F1084,$G1084,$H1084,J$19)</f>
        <v>5</v>
      </c>
    </row>
    <row r="1085" spans="1:10" s="23" customFormat="1" outlineLevel="1" thickBot="1" x14ac:dyDescent="0.3">
      <c r="A1085" s="44"/>
      <c r="B1085" s="31" t="str">
        <f>IF(_xll.TM1RPTELISCONSOLIDATED($H$20,$H1085),IF(_xll.TM1RPTELLEV($H$20,$H1085)&lt;=5,_xll.TM1RPTELLEV($H$20,$H1085),"Default"),"Leaf")</f>
        <v>Leaf</v>
      </c>
      <c r="C1085" s="26" t="s">
        <v>15</v>
      </c>
      <c r="D1085" s="24" t="str">
        <f>_xll.DBRW("TM1-S1_DEV:}ElementAttributes_SP_SKU",$F1085,D$1)</f>
        <v>Primary</v>
      </c>
      <c r="E1085" s="24" t="str">
        <f>_xll.DBRW("TM1-S1_DEV:}ElementAttributes_SP_SKU",$F1085,E$1)</f>
        <v>CONDIMENT</v>
      </c>
      <c r="F1085" s="26" t="s">
        <v>3152</v>
      </c>
      <c r="G1085" s="26" t="s">
        <v>984</v>
      </c>
      <c r="H1085" s="26" t="s">
        <v>2684</v>
      </c>
      <c r="I1085" s="54">
        <f>_xll.DBRW($A$1,$F$14,$F$15,$C1085,$A$2,$F1085,$G1085,$H1085,I$1)</f>
        <v>28</v>
      </c>
      <c r="J1085" s="25">
        <f>_xll.DBRW($A$1,$F$14,$F$15,$C1085,$A$2,$F1085,$G1085,$H1085,J$19)</f>
        <v>18</v>
      </c>
    </row>
    <row r="1086" spans="1:10" s="23" customFormat="1" outlineLevel="1" thickBot="1" x14ac:dyDescent="0.3">
      <c r="A1086" s="44"/>
      <c r="B1086" s="31" t="str">
        <f>IF(_xll.TM1RPTELISCONSOLIDATED($H$20,$H1086),IF(_xll.TM1RPTELLEV($H$20,$H1086)&lt;=5,_xll.TM1RPTELLEV($H$20,$H1086),"Default"),"Leaf")</f>
        <v>Leaf</v>
      </c>
      <c r="C1086" s="26" t="s">
        <v>15</v>
      </c>
      <c r="D1086" s="24" t="str">
        <f>_xll.DBRW("TM1-S1_DEV:}ElementAttributes_SP_SKU",$F1086,D$1)</f>
        <v>Primary</v>
      </c>
      <c r="E1086" s="24" t="str">
        <f>_xll.DBRW("TM1-S1_DEV:}ElementAttributes_SP_SKU",$F1086,E$1)</f>
        <v>CONDIMENT</v>
      </c>
      <c r="F1086" s="26" t="s">
        <v>3153</v>
      </c>
      <c r="G1086" s="26" t="s">
        <v>1225</v>
      </c>
      <c r="H1086" s="26" t="s">
        <v>2684</v>
      </c>
      <c r="I1086" s="54">
        <f>_xll.DBRW($A$1,$F$14,$F$15,$C1086,$A$2,$F1086,$G1086,$H1086,I$1)</f>
        <v>30</v>
      </c>
      <c r="J1086" s="25">
        <f>_xll.DBRW($A$1,$F$14,$F$15,$C1086,$A$2,$F1086,$G1086,$H1086,J$19)</f>
        <v>18</v>
      </c>
    </row>
    <row r="1087" spans="1:10" s="23" customFormat="1" outlineLevel="1" thickBot="1" x14ac:dyDescent="0.3">
      <c r="A1087" s="44"/>
      <c r="B1087" s="31" t="str">
        <f>IF(_xll.TM1RPTELISCONSOLIDATED($H$20,$H1087),IF(_xll.TM1RPTELLEV($H$20,$H1087)&lt;=5,_xll.TM1RPTELLEV($H$20,$H1087),"Default"),"Leaf")</f>
        <v>Leaf</v>
      </c>
      <c r="C1087" s="26" t="s">
        <v>15</v>
      </c>
      <c r="D1087" s="24" t="str">
        <f>_xll.DBRW("TM1-S1_DEV:}ElementAttributes_SP_SKU",$F1087,D$1)</f>
        <v>Primary</v>
      </c>
      <c r="E1087" s="24" t="str">
        <f>_xll.DBRW("TM1-S1_DEV:}ElementAttributes_SP_SKU",$F1087,E$1)</f>
        <v>CONDIMENT</v>
      </c>
      <c r="F1087" s="26" t="s">
        <v>3154</v>
      </c>
      <c r="G1087" s="26" t="s">
        <v>985</v>
      </c>
      <c r="H1087" s="26" t="s">
        <v>2684</v>
      </c>
      <c r="I1087" s="54">
        <f>_xll.DBRW($A$1,$F$14,$F$15,$C1087,$A$2,$F1087,$G1087,$H1087,I$1)</f>
        <v>108</v>
      </c>
      <c r="J1087" s="25">
        <f>_xll.DBRW($A$1,$F$14,$F$15,$C1087,$A$2,$F1087,$G1087,$H1087,J$19)</f>
        <v>36</v>
      </c>
    </row>
    <row r="1088" spans="1:10" s="23" customFormat="1" outlineLevel="1" thickBot="1" x14ac:dyDescent="0.3">
      <c r="A1088" s="44"/>
      <c r="B1088" s="31" t="str">
        <f>IF(_xll.TM1RPTELISCONSOLIDATED($H$20,$H1088),IF(_xll.TM1RPTELLEV($H$20,$H1088)&lt;=5,_xll.TM1RPTELLEV($H$20,$H1088),"Default"),"Leaf")</f>
        <v>Leaf</v>
      </c>
      <c r="C1088" s="26" t="s">
        <v>15</v>
      </c>
      <c r="D1088" s="24" t="str">
        <f>_xll.DBRW("TM1-S1_DEV:}ElementAttributes_SP_SKU",$F1088,D$1)</f>
        <v>Primary</v>
      </c>
      <c r="E1088" s="24" t="str">
        <f>_xll.DBRW("TM1-S1_DEV:}ElementAttributes_SP_SKU",$F1088,E$1)</f>
        <v>BREAD</v>
      </c>
      <c r="F1088" s="26" t="s">
        <v>3163</v>
      </c>
      <c r="G1088" s="26" t="s">
        <v>986</v>
      </c>
      <c r="H1088" s="26" t="s">
        <v>2687</v>
      </c>
      <c r="I1088" s="54">
        <f>_xll.DBRW($A$1,$F$14,$F$15,$C1088,$A$2,$F1088,$G1088,$H1088,I$1)</f>
        <v>204</v>
      </c>
      <c r="J1088" s="25">
        <f>_xll.DBRW($A$1,$F$14,$F$15,$C1088,$A$2,$F1088,$G1088,$H1088,J$19)</f>
        <v>308</v>
      </c>
    </row>
    <row r="1089" spans="1:10" s="23" customFormat="1" outlineLevel="1" thickBot="1" x14ac:dyDescent="0.3">
      <c r="A1089" s="44"/>
      <c r="B1089" s="31" t="str">
        <f>IF(_xll.TM1RPTELISCONSOLIDATED($H$20,$H1089),IF(_xll.TM1RPTELLEV($H$20,$H1089)&lt;=5,_xll.TM1RPTELLEV($H$20,$H1089),"Default"),"Leaf")</f>
        <v>Leaf</v>
      </c>
      <c r="C1089" s="26" t="s">
        <v>15</v>
      </c>
      <c r="D1089" s="24" t="str">
        <f>_xll.DBRW("TM1-S1_DEV:}ElementAttributes_SP_SKU",$F1089,D$1)</f>
        <v>Primary</v>
      </c>
      <c r="E1089" s="24" t="str">
        <f>_xll.DBRW("TM1-S1_DEV:}ElementAttributes_SP_SKU",$F1089,E$1)</f>
        <v>BREAD</v>
      </c>
      <c r="F1089" s="26" t="s">
        <v>3164</v>
      </c>
      <c r="G1089" s="26" t="s">
        <v>987</v>
      </c>
      <c r="H1089" s="26" t="s">
        <v>2687</v>
      </c>
      <c r="I1089" s="54">
        <f>_xll.DBRW($A$1,$F$14,$F$15,$C1089,$A$2,$F1089,$G1089,$H1089,I$1)</f>
        <v>227</v>
      </c>
      <c r="J1089" s="25">
        <f>_xll.DBRW($A$1,$F$14,$F$15,$C1089,$A$2,$F1089,$G1089,$H1089,J$19)</f>
        <v>424</v>
      </c>
    </row>
    <row r="1090" spans="1:10" s="23" customFormat="1" outlineLevel="1" thickBot="1" x14ac:dyDescent="0.3">
      <c r="A1090" s="44"/>
      <c r="B1090" s="31" t="str">
        <f>IF(_xll.TM1RPTELISCONSOLIDATED($H$20,$H1090),IF(_xll.TM1RPTELLEV($H$20,$H1090)&lt;=5,_xll.TM1RPTELLEV($H$20,$H1090),"Default"),"Leaf")</f>
        <v>Leaf</v>
      </c>
      <c r="C1090" s="26" t="s">
        <v>15</v>
      </c>
      <c r="D1090" s="24" t="str">
        <f>_xll.DBRW("TM1-S1_DEV:}ElementAttributes_SP_SKU",$F1090,D$1)</f>
        <v>Primary</v>
      </c>
      <c r="E1090" s="24" t="str">
        <f>_xll.DBRW("TM1-S1_DEV:}ElementAttributes_SP_SKU",$F1090,E$1)</f>
        <v>BREAD</v>
      </c>
      <c r="F1090" s="26" t="s">
        <v>3165</v>
      </c>
      <c r="G1090" s="26" t="s">
        <v>988</v>
      </c>
      <c r="H1090" s="26" t="s">
        <v>2688</v>
      </c>
      <c r="I1090" s="54">
        <f>_xll.DBRW($A$1,$F$14,$F$15,$C1090,$A$2,$F1090,$G1090,$H1090,I$1)</f>
        <v>212</v>
      </c>
      <c r="J1090" s="25">
        <f>_xll.DBRW($A$1,$F$14,$F$15,$C1090,$A$2,$F1090,$G1090,$H1090,J$19)</f>
        <v>100</v>
      </c>
    </row>
    <row r="1091" spans="1:10" s="23" customFormat="1" outlineLevel="1" thickBot="1" x14ac:dyDescent="0.3">
      <c r="A1091" s="44"/>
      <c r="B1091" s="31" t="str">
        <f>IF(_xll.TM1RPTELISCONSOLIDATED($H$20,$H1091),IF(_xll.TM1RPTELLEV($H$20,$H1091)&lt;=5,_xll.TM1RPTELLEV($H$20,$H1091),"Default"),"Leaf")</f>
        <v>Leaf</v>
      </c>
      <c r="C1091" s="26" t="s">
        <v>15</v>
      </c>
      <c r="D1091" s="24" t="str">
        <f>_xll.DBRW("TM1-S1_DEV:}ElementAttributes_SP_SKU",$F1091,D$1)</f>
        <v>Primary</v>
      </c>
      <c r="E1091" s="24" t="str">
        <f>_xll.DBRW("TM1-S1_DEV:}ElementAttributes_SP_SKU",$F1091,E$1)</f>
        <v>BREAD</v>
      </c>
      <c r="F1091" s="26" t="s">
        <v>3166</v>
      </c>
      <c r="G1091" s="26" t="s">
        <v>989</v>
      </c>
      <c r="H1091" s="26" t="s">
        <v>2689</v>
      </c>
      <c r="I1091" s="54">
        <f>_xll.DBRW($A$1,$F$14,$F$15,$C1091,$A$2,$F1091,$G1091,$H1091,I$1)</f>
        <v>119</v>
      </c>
      <c r="J1091" s="25">
        <f>_xll.DBRW($A$1,$F$14,$F$15,$C1091,$A$2,$F1091,$G1091,$H1091,J$19)</f>
        <v>252</v>
      </c>
    </row>
    <row r="1092" spans="1:10" s="23" customFormat="1" outlineLevel="1" thickBot="1" x14ac:dyDescent="0.3">
      <c r="A1092" s="44"/>
      <c r="B1092" s="31" t="str">
        <f>IF(_xll.TM1RPTELISCONSOLIDATED($H$20,$H1092),IF(_xll.TM1RPTELLEV($H$20,$H1092)&lt;=5,_xll.TM1RPTELLEV($H$20,$H1092),"Default"),"Leaf")</f>
        <v>Leaf</v>
      </c>
      <c r="C1092" s="26" t="s">
        <v>15</v>
      </c>
      <c r="D1092" s="24" t="str">
        <f>_xll.DBRW("TM1-S1_DEV:}ElementAttributes_SP_SKU",$F1092,D$1)</f>
        <v>Primary</v>
      </c>
      <c r="E1092" s="24" t="str">
        <f>_xll.DBRW("TM1-S1_DEV:}ElementAttributes_SP_SKU",$F1092,E$1)</f>
        <v>BREAD</v>
      </c>
      <c r="F1092" s="26" t="s">
        <v>3167</v>
      </c>
      <c r="G1092" s="26" t="s">
        <v>990</v>
      </c>
      <c r="H1092" s="26" t="s">
        <v>2688</v>
      </c>
      <c r="I1092" s="54">
        <f>_xll.DBRW($A$1,$F$14,$F$15,$C1092,$A$2,$F1092,$G1092,$H1092,I$1)</f>
        <v>59</v>
      </c>
      <c r="J1092" s="25">
        <f>_xll.DBRW($A$1,$F$14,$F$15,$C1092,$A$2,$F1092,$G1092,$H1092,J$19)</f>
        <v>182</v>
      </c>
    </row>
    <row r="1093" spans="1:10" s="23" customFormat="1" outlineLevel="1" thickBot="1" x14ac:dyDescent="0.3">
      <c r="A1093" s="44"/>
      <c r="B1093" s="31" t="str">
        <f>IF(_xll.TM1RPTELISCONSOLIDATED($H$20,$H1093),IF(_xll.TM1RPTELLEV($H$20,$H1093)&lt;=5,_xll.TM1RPTELLEV($H$20,$H1093),"Default"),"Leaf")</f>
        <v>Leaf</v>
      </c>
      <c r="C1093" s="26" t="s">
        <v>15</v>
      </c>
      <c r="D1093" s="24" t="str">
        <f>_xll.DBRW("TM1-S1_DEV:}ElementAttributes_SP_SKU",$F1093,D$1)</f>
        <v>Primary</v>
      </c>
      <c r="E1093" s="24" t="str">
        <f>_xll.DBRW("TM1-S1_DEV:}ElementAttributes_SP_SKU",$F1093,E$1)</f>
        <v>BREAD</v>
      </c>
      <c r="F1093" s="26" t="s">
        <v>3168</v>
      </c>
      <c r="G1093" s="26" t="s">
        <v>991</v>
      </c>
      <c r="H1093" s="26" t="s">
        <v>2688</v>
      </c>
      <c r="I1093" s="54">
        <f>_xll.DBRW($A$1,$F$14,$F$15,$C1093,$A$2,$F1093,$G1093,$H1093,I$1)</f>
        <v>80</v>
      </c>
      <c r="J1093" s="25">
        <f>_xll.DBRW($A$1,$F$14,$F$15,$C1093,$A$2,$F1093,$G1093,$H1093,J$19)</f>
        <v>58</v>
      </c>
    </row>
    <row r="1094" spans="1:10" s="23" customFormat="1" outlineLevel="1" thickBot="1" x14ac:dyDescent="0.3">
      <c r="A1094" s="44"/>
      <c r="B1094" s="31" t="str">
        <f>IF(_xll.TM1RPTELISCONSOLIDATED($H$20,$H1094),IF(_xll.TM1RPTELLEV($H$20,$H1094)&lt;=5,_xll.TM1RPTELLEV($H$20,$H1094),"Default"),"Leaf")</f>
        <v>Leaf</v>
      </c>
      <c r="C1094" s="26" t="s">
        <v>15</v>
      </c>
      <c r="D1094" s="24" t="str">
        <f>_xll.DBRW("TM1-S1_DEV:}ElementAttributes_SP_SKU",$F1094,D$1)</f>
        <v>Primary</v>
      </c>
      <c r="E1094" s="24" t="str">
        <f>_xll.DBRW("TM1-S1_DEV:}ElementAttributes_SP_SKU",$F1094,E$1)</f>
        <v>BREAD</v>
      </c>
      <c r="F1094" s="26" t="s">
        <v>3169</v>
      </c>
      <c r="G1094" s="26" t="s">
        <v>992</v>
      </c>
      <c r="H1094" s="26" t="s">
        <v>2690</v>
      </c>
      <c r="I1094" s="54">
        <f>_xll.DBRW($A$1,$F$14,$F$15,$C1094,$A$2,$F1094,$G1094,$H1094,I$1)</f>
        <v>585</v>
      </c>
      <c r="J1094" s="25">
        <f>_xll.DBRW($A$1,$F$14,$F$15,$C1094,$A$2,$F1094,$G1094,$H1094,J$19)</f>
        <v>454</v>
      </c>
    </row>
    <row r="1095" spans="1:10" s="23" customFormat="1" outlineLevel="1" thickBot="1" x14ac:dyDescent="0.3">
      <c r="A1095" s="44"/>
      <c r="B1095" s="31" t="str">
        <f>IF(_xll.TM1RPTELISCONSOLIDATED($H$20,$H1095),IF(_xll.TM1RPTELLEV($H$20,$H1095)&lt;=5,_xll.TM1RPTELLEV($H$20,$H1095),"Default"),"Leaf")</f>
        <v>Leaf</v>
      </c>
      <c r="C1095" s="26" t="s">
        <v>15</v>
      </c>
      <c r="D1095" s="24" t="str">
        <f>_xll.DBRW("TM1-S1_DEV:}ElementAttributes_SP_SKU",$F1095,D$1)</f>
        <v>Primary</v>
      </c>
      <c r="E1095" s="24" t="str">
        <f>_xll.DBRW("TM1-S1_DEV:}ElementAttributes_SP_SKU",$F1095,E$1)</f>
        <v>BREAD</v>
      </c>
      <c r="F1095" s="26" t="s">
        <v>3170</v>
      </c>
      <c r="G1095" s="26" t="s">
        <v>1226</v>
      </c>
      <c r="H1095" s="26" t="s">
        <v>2690</v>
      </c>
      <c r="I1095" s="54">
        <f>_xll.DBRW($A$1,$F$14,$F$15,$C1095,$A$2,$F1095,$G1095,$H1095,I$1)</f>
        <v>9</v>
      </c>
      <c r="J1095" s="25">
        <f>_xll.DBRW($A$1,$F$14,$F$15,$C1095,$A$2,$F1095,$G1095,$H1095,J$19)</f>
        <v>6</v>
      </c>
    </row>
    <row r="1096" spans="1:10" s="23" customFormat="1" outlineLevel="1" thickBot="1" x14ac:dyDescent="0.3">
      <c r="A1096" s="44"/>
      <c r="B1096" s="31" t="str">
        <f>IF(_xll.TM1RPTELISCONSOLIDATED($H$20,$H1096),IF(_xll.TM1RPTELLEV($H$20,$H1096)&lt;=5,_xll.TM1RPTELLEV($H$20,$H1096),"Default"),"Leaf")</f>
        <v>Leaf</v>
      </c>
      <c r="C1096" s="26" t="s">
        <v>15</v>
      </c>
      <c r="D1096" s="24" t="str">
        <f>_xll.DBRW("TM1-S1_DEV:}ElementAttributes_SP_SKU",$F1096,D$1)</f>
        <v>Primary</v>
      </c>
      <c r="E1096" s="24" t="str">
        <f>_xll.DBRW("TM1-S1_DEV:}ElementAttributes_SP_SKU",$F1096,E$1)</f>
        <v>BREAD</v>
      </c>
      <c r="F1096" s="26" t="s">
        <v>3171</v>
      </c>
      <c r="G1096" s="26" t="s">
        <v>1227</v>
      </c>
      <c r="H1096" s="26" t="s">
        <v>2690</v>
      </c>
      <c r="I1096" s="54">
        <f>_xll.DBRW($A$1,$F$14,$F$15,$C1096,$A$2,$F1096,$G1096,$H1096,I$1)</f>
        <v>48</v>
      </c>
      <c r="J1096" s="25">
        <f>_xll.DBRW($A$1,$F$14,$F$15,$C1096,$A$2,$F1096,$G1096,$H1096,J$19)</f>
        <v>40</v>
      </c>
    </row>
    <row r="1097" spans="1:10" s="23" customFormat="1" outlineLevel="1" thickBot="1" x14ac:dyDescent="0.3">
      <c r="A1097" s="44"/>
      <c r="B1097" s="31" t="str">
        <f>IF(_xll.TM1RPTELISCONSOLIDATED($H$20,$H1097),IF(_xll.TM1RPTELLEV($H$20,$H1097)&lt;=5,_xll.TM1RPTELLEV($H$20,$H1097),"Default"),"Leaf")</f>
        <v>Leaf</v>
      </c>
      <c r="C1097" s="26" t="s">
        <v>15</v>
      </c>
      <c r="D1097" s="24" t="str">
        <f>_xll.DBRW("TM1-S1_DEV:}ElementAttributes_SP_SKU",$F1097,D$1)</f>
        <v>Primary</v>
      </c>
      <c r="E1097" s="24" t="str">
        <f>_xll.DBRW("TM1-S1_DEV:}ElementAttributes_SP_SKU",$F1097,E$1)</f>
        <v>BREAD</v>
      </c>
      <c r="F1097" s="26" t="s">
        <v>3172</v>
      </c>
      <c r="G1097" s="26" t="s">
        <v>1228</v>
      </c>
      <c r="H1097" s="26" t="s">
        <v>2690</v>
      </c>
      <c r="I1097" s="54">
        <f>_xll.DBRW($A$1,$F$14,$F$15,$C1097,$A$2,$F1097,$G1097,$H1097,I$1)</f>
        <v>450</v>
      </c>
      <c r="J1097" s="25">
        <f>_xll.DBRW($A$1,$F$14,$F$15,$C1097,$A$2,$F1097,$G1097,$H1097,J$19)</f>
        <v>435</v>
      </c>
    </row>
    <row r="1098" spans="1:10" s="23" customFormat="1" outlineLevel="1" thickBot="1" x14ac:dyDescent="0.3">
      <c r="A1098" s="44"/>
      <c r="B1098" s="31" t="str">
        <f>IF(_xll.TM1RPTELISCONSOLIDATED($H$20,$H1098),IF(_xll.TM1RPTELLEV($H$20,$H1098)&lt;=5,_xll.TM1RPTELLEV($H$20,$H1098),"Default"),"Leaf")</f>
        <v>Leaf</v>
      </c>
      <c r="C1098" s="26" t="s">
        <v>15</v>
      </c>
      <c r="D1098" s="24" t="str">
        <f>_xll.DBRW("TM1-S1_DEV:}ElementAttributes_SP_SKU",$F1098,D$1)</f>
        <v>Primary</v>
      </c>
      <c r="E1098" s="24" t="str">
        <f>_xll.DBRW("TM1-S1_DEV:}ElementAttributes_SP_SKU",$F1098,E$1)</f>
        <v>BREAD</v>
      </c>
      <c r="F1098" s="26" t="s">
        <v>3252</v>
      </c>
      <c r="G1098" s="26" t="s">
        <v>1229</v>
      </c>
      <c r="H1098" s="26" t="s">
        <v>2691</v>
      </c>
      <c r="I1098" s="54">
        <f>_xll.DBRW($A$1,$F$14,$F$15,$C1098,$A$2,$F1098,$G1098,$H1098,I$1)</f>
        <v>27</v>
      </c>
      <c r="J1098" s="25">
        <f>_xll.DBRW($A$1,$F$14,$F$15,$C1098,$A$2,$F1098,$G1098,$H1098,J$19)</f>
        <v>22</v>
      </c>
    </row>
    <row r="1099" spans="1:10" s="23" customFormat="1" outlineLevel="1" thickBot="1" x14ac:dyDescent="0.3">
      <c r="A1099" s="44"/>
      <c r="B1099" s="31" t="str">
        <f>IF(_xll.TM1RPTELISCONSOLIDATED($H$20,$H1099),IF(_xll.TM1RPTELLEV($H$20,$H1099)&lt;=5,_xll.TM1RPTELLEV($H$20,$H1099),"Default"),"Leaf")</f>
        <v>Leaf</v>
      </c>
      <c r="C1099" s="26" t="s">
        <v>15</v>
      </c>
      <c r="D1099" s="24" t="str">
        <f>_xll.DBRW("TM1-S1_DEV:}ElementAttributes_SP_SKU",$F1099,D$1)</f>
        <v>Primary</v>
      </c>
      <c r="E1099" s="24" t="str">
        <f>_xll.DBRW("TM1-S1_DEV:}ElementAttributes_SP_SKU",$F1099,E$1)</f>
        <v>CHEESE</v>
      </c>
      <c r="F1099" s="26" t="s">
        <v>3173</v>
      </c>
      <c r="G1099" s="26" t="s">
        <v>993</v>
      </c>
      <c r="H1099" s="26" t="s">
        <v>2692</v>
      </c>
      <c r="I1099" s="54">
        <f>_xll.DBRW($A$1,$F$14,$F$15,$C1099,$A$2,$F1099,$G1099,$H1099,I$1)</f>
        <v>49</v>
      </c>
      <c r="J1099" s="25">
        <f>_xll.DBRW($A$1,$F$14,$F$15,$C1099,$A$2,$F1099,$G1099,$H1099,J$19)</f>
        <v>114</v>
      </c>
    </row>
    <row r="1100" spans="1:10" s="23" customFormat="1" outlineLevel="1" thickBot="1" x14ac:dyDescent="0.3">
      <c r="A1100" s="44"/>
      <c r="B1100" s="31" t="str">
        <f>IF(_xll.TM1RPTELISCONSOLIDATED($H$20,$H1100),IF(_xll.TM1RPTELLEV($H$20,$H1100)&lt;=5,_xll.TM1RPTELLEV($H$20,$H1100),"Default"),"Leaf")</f>
        <v>Leaf</v>
      </c>
      <c r="C1100" s="26" t="s">
        <v>15</v>
      </c>
      <c r="D1100" s="24" t="str">
        <f>_xll.DBRW("TM1-S1_DEV:}ElementAttributes_SP_SKU",$F1100,D$1)</f>
        <v>Primary</v>
      </c>
      <c r="E1100" s="24" t="str">
        <f>_xll.DBRW("TM1-S1_DEV:}ElementAttributes_SP_SKU",$F1100,E$1)</f>
        <v>CONDIMENT</v>
      </c>
      <c r="F1100" s="26" t="s">
        <v>3174</v>
      </c>
      <c r="G1100" s="26" t="s">
        <v>994</v>
      </c>
      <c r="H1100" s="26" t="s">
        <v>2684</v>
      </c>
      <c r="I1100" s="54">
        <f>_xll.DBRW($A$1,$F$14,$F$15,$C1100,$A$2,$F1100,$G1100,$H1100,I$1)</f>
        <v>42</v>
      </c>
      <c r="J1100" s="25">
        <f>_xll.DBRW($A$1,$F$14,$F$15,$C1100,$A$2,$F1100,$G1100,$H1100,J$19)</f>
        <v>26</v>
      </c>
    </row>
    <row r="1101" spans="1:10" s="23" customFormat="1" outlineLevel="1" thickBot="1" x14ac:dyDescent="0.3">
      <c r="A1101" s="44"/>
      <c r="B1101" s="31" t="str">
        <f>IF(_xll.TM1RPTELISCONSOLIDATED($H$20,$H1101),IF(_xll.TM1RPTELLEV($H$20,$H1101)&lt;=5,_xll.TM1RPTELLEV($H$20,$H1101),"Default"),"Leaf")</f>
        <v>Leaf</v>
      </c>
      <c r="C1101" s="26" t="s">
        <v>15</v>
      </c>
      <c r="D1101" s="24" t="str">
        <f>_xll.DBRW("TM1-S1_DEV:}ElementAttributes_SP_SKU",$F1101,D$1)</f>
        <v>Primary</v>
      </c>
      <c r="E1101" s="24" t="str">
        <f>_xll.DBRW("TM1-S1_DEV:}ElementAttributes_SP_SKU",$F1101,E$1)</f>
        <v>CHEESE</v>
      </c>
      <c r="F1101" s="26" t="s">
        <v>3175</v>
      </c>
      <c r="G1101" s="26" t="s">
        <v>995</v>
      </c>
      <c r="H1101" s="26" t="s">
        <v>2692</v>
      </c>
      <c r="I1101" s="54">
        <f>_xll.DBRW($A$1,$F$14,$F$15,$C1101,$A$2,$F1101,$G1101,$H1101,I$1)</f>
        <v>232</v>
      </c>
      <c r="J1101" s="25">
        <f>_xll.DBRW($A$1,$F$14,$F$15,$C1101,$A$2,$F1101,$G1101,$H1101,J$19)</f>
        <v>466</v>
      </c>
    </row>
    <row r="1102" spans="1:10" s="23" customFormat="1" outlineLevel="1" thickBot="1" x14ac:dyDescent="0.3">
      <c r="A1102" s="44"/>
      <c r="B1102" s="31" t="str">
        <f>IF(_xll.TM1RPTELISCONSOLIDATED($H$20,$H1102),IF(_xll.TM1RPTELLEV($H$20,$H1102)&lt;=5,_xll.TM1RPTELLEV($H$20,$H1102),"Default"),"Leaf")</f>
        <v>Leaf</v>
      </c>
      <c r="C1102" s="26" t="s">
        <v>15</v>
      </c>
      <c r="D1102" s="24" t="str">
        <f>_xll.DBRW("TM1-S1_DEV:}ElementAttributes_SP_SKU",$F1102,D$1)</f>
        <v>Primary</v>
      </c>
      <c r="E1102" s="24" t="str">
        <f>_xll.DBRW("TM1-S1_DEV:}ElementAttributes_SP_SKU",$F1102,E$1)</f>
        <v>CONDIMENT</v>
      </c>
      <c r="F1102" s="26" t="s">
        <v>3176</v>
      </c>
      <c r="G1102" s="26" t="s">
        <v>996</v>
      </c>
      <c r="H1102" s="26" t="s">
        <v>2684</v>
      </c>
      <c r="I1102" s="54">
        <f>_xll.DBRW($A$1,$F$14,$F$15,$C1102,$A$2,$F1102,$G1102,$H1102,I$1)</f>
        <v>34</v>
      </c>
      <c r="J1102" s="25">
        <f>_xll.DBRW($A$1,$F$14,$F$15,$C1102,$A$2,$F1102,$G1102,$H1102,J$19)</f>
        <v>17</v>
      </c>
    </row>
    <row r="1103" spans="1:10" s="23" customFormat="1" outlineLevel="1" thickBot="1" x14ac:dyDescent="0.3">
      <c r="A1103" s="44"/>
      <c r="B1103" s="31" t="str">
        <f>IF(_xll.TM1RPTELISCONSOLIDATED($H$20,$H1103),IF(_xll.TM1RPTELLEV($H$20,$H1103)&lt;=5,_xll.TM1RPTELLEV($H$20,$H1103),"Default"),"Leaf")</f>
        <v>Leaf</v>
      </c>
      <c r="C1103" s="26" t="s">
        <v>15</v>
      </c>
      <c r="D1103" s="24" t="str">
        <f>_xll.DBRW("TM1-S1_DEV:}ElementAttributes_SP_SKU",$F1103,D$1)</f>
        <v>Primary</v>
      </c>
      <c r="E1103" s="24" t="str">
        <f>_xll.DBRW("TM1-S1_DEV:}ElementAttributes_SP_SKU",$F1103,E$1)</f>
        <v>CONDIMENT</v>
      </c>
      <c r="F1103" s="26" t="s">
        <v>3253</v>
      </c>
      <c r="G1103" s="26" t="s">
        <v>997</v>
      </c>
      <c r="H1103" s="26" t="s">
        <v>2686</v>
      </c>
      <c r="I1103" s="54">
        <f>_xll.DBRW($A$1,$F$14,$F$15,$C1103,$A$2,$F1103,$G1103,$H1103,I$1)</f>
        <v>55</v>
      </c>
      <c r="J1103" s="25">
        <f>_xll.DBRW($A$1,$F$14,$F$15,$C1103,$A$2,$F1103,$G1103,$H1103,J$19)</f>
        <v>121</v>
      </c>
    </row>
    <row r="1104" spans="1:10" s="23" customFormat="1" outlineLevel="1" thickBot="1" x14ac:dyDescent="0.3">
      <c r="A1104" s="44"/>
      <c r="B1104" s="31" t="str">
        <f>IF(_xll.TM1RPTELISCONSOLIDATED($H$20,$H1104),IF(_xll.TM1RPTELLEV($H$20,$H1104)&lt;=5,_xll.TM1RPTELLEV($H$20,$H1104),"Default"),"Leaf")</f>
        <v>Leaf</v>
      </c>
      <c r="C1104" s="26" t="s">
        <v>15</v>
      </c>
      <c r="D1104" s="24" t="str">
        <f>_xll.DBRW("TM1-S1_DEV:}ElementAttributes_SP_SKU",$F1104,D$1)</f>
        <v>Primary</v>
      </c>
      <c r="E1104" s="24" t="str">
        <f>_xll.DBRW("TM1-S1_DEV:}ElementAttributes_SP_SKU",$F1104,E$1)</f>
        <v>CONDIMENT</v>
      </c>
      <c r="F1104" s="26" t="s">
        <v>3178</v>
      </c>
      <c r="G1104" s="26" t="s">
        <v>998</v>
      </c>
      <c r="H1104" s="26" t="s">
        <v>2684</v>
      </c>
      <c r="I1104" s="54">
        <f>_xll.DBRW($A$1,$F$14,$F$15,$C1104,$A$2,$F1104,$G1104,$H1104,I$1)</f>
        <v>18</v>
      </c>
      <c r="J1104" s="25">
        <f>_xll.DBRW($A$1,$F$14,$F$15,$C1104,$A$2,$F1104,$G1104,$H1104,J$19)</f>
        <v>16</v>
      </c>
    </row>
    <row r="1105" spans="1:10" s="23" customFormat="1" outlineLevel="1" thickBot="1" x14ac:dyDescent="0.3">
      <c r="A1105" s="44"/>
      <c r="B1105" s="31" t="str">
        <f>IF(_xll.TM1RPTELISCONSOLIDATED($H$20,$H1105),IF(_xll.TM1RPTELLEV($H$20,$H1105)&lt;=5,_xll.TM1RPTELLEV($H$20,$H1105),"Default"),"Leaf")</f>
        <v>Leaf</v>
      </c>
      <c r="C1105" s="26" t="s">
        <v>15</v>
      </c>
      <c r="D1105" s="24" t="str">
        <f>_xll.DBRW("TM1-S1_DEV:}ElementAttributes_SP_SKU",$F1105,D$1)</f>
        <v>Primary</v>
      </c>
      <c r="E1105" s="24" t="str">
        <f>_xll.DBRW("TM1-S1_DEV:}ElementAttributes_SP_SKU",$F1105,E$1)</f>
        <v>CONDIMENT</v>
      </c>
      <c r="F1105" s="26" t="s">
        <v>3179</v>
      </c>
      <c r="G1105" s="26" t="s">
        <v>999</v>
      </c>
      <c r="H1105" s="26" t="s">
        <v>2684</v>
      </c>
      <c r="I1105" s="54">
        <f>_xll.DBRW($A$1,$F$14,$F$15,$C1105,$A$2,$F1105,$G1105,$H1105,I$1)</f>
        <v>14</v>
      </c>
      <c r="J1105" s="25">
        <f>_xll.DBRW($A$1,$F$14,$F$15,$C1105,$A$2,$F1105,$G1105,$H1105,J$19)</f>
        <v>13</v>
      </c>
    </row>
    <row r="1106" spans="1:10" s="23" customFormat="1" outlineLevel="1" thickBot="1" x14ac:dyDescent="0.3">
      <c r="A1106" s="44"/>
      <c r="B1106" s="31" t="str">
        <f>IF(_xll.TM1RPTELISCONSOLIDATED($H$20,$H1106),IF(_xll.TM1RPTELLEV($H$20,$H1106)&lt;=5,_xll.TM1RPTELLEV($H$20,$H1106),"Default"),"Leaf")</f>
        <v>Leaf</v>
      </c>
      <c r="C1106" s="26" t="s">
        <v>15</v>
      </c>
      <c r="D1106" s="24" t="str">
        <f>_xll.DBRW("TM1-S1_DEV:}ElementAttributes_SP_SKU",$F1106,D$1)</f>
        <v>Primary</v>
      </c>
      <c r="E1106" s="24" t="str">
        <f>_xll.DBRW("TM1-S1_DEV:}ElementAttributes_SP_SKU",$F1106,E$1)</f>
        <v>COOKIE</v>
      </c>
      <c r="F1106" s="26" t="s">
        <v>3180</v>
      </c>
      <c r="G1106" s="26" t="s">
        <v>1000</v>
      </c>
      <c r="H1106" s="26" t="s">
        <v>2691</v>
      </c>
      <c r="I1106" s="54">
        <f>_xll.DBRW($A$1,$F$14,$F$15,$C1106,$A$2,$F1106,$G1106,$H1106,I$1)</f>
        <v>186</v>
      </c>
      <c r="J1106" s="25">
        <f>_xll.DBRW($A$1,$F$14,$F$15,$C1106,$A$2,$F1106,$G1106,$H1106,J$19)</f>
        <v>258</v>
      </c>
    </row>
    <row r="1107" spans="1:10" s="23" customFormat="1" outlineLevel="1" thickBot="1" x14ac:dyDescent="0.3">
      <c r="A1107" s="44"/>
      <c r="B1107" s="31" t="str">
        <f>IF(_xll.TM1RPTELISCONSOLIDATED($H$20,$H1107),IF(_xll.TM1RPTELLEV($H$20,$H1107)&lt;=5,_xll.TM1RPTELLEV($H$20,$H1107),"Default"),"Leaf")</f>
        <v>Leaf</v>
      </c>
      <c r="C1107" s="26" t="s">
        <v>15</v>
      </c>
      <c r="D1107" s="24" t="str">
        <f>_xll.DBRW("TM1-S1_DEV:}ElementAttributes_SP_SKU",$F1107,D$1)</f>
        <v>Primary</v>
      </c>
      <c r="E1107" s="24" t="str">
        <f>_xll.DBRW("TM1-S1_DEV:}ElementAttributes_SP_SKU",$F1107,E$1)</f>
        <v>COOKIE</v>
      </c>
      <c r="F1107" s="26" t="s">
        <v>3181</v>
      </c>
      <c r="G1107" s="26" t="s">
        <v>1001</v>
      </c>
      <c r="H1107" s="26" t="s">
        <v>2691</v>
      </c>
      <c r="I1107" s="54">
        <f>_xll.DBRW($A$1,$F$14,$F$15,$C1107,$A$2,$F1107,$G1107,$H1107,I$1)</f>
        <v>113</v>
      </c>
      <c r="J1107" s="25">
        <f>_xll.DBRW($A$1,$F$14,$F$15,$C1107,$A$2,$F1107,$G1107,$H1107,J$19)</f>
        <v>234</v>
      </c>
    </row>
    <row r="1108" spans="1:10" s="23" customFormat="1" outlineLevel="1" thickBot="1" x14ac:dyDescent="0.3">
      <c r="A1108" s="44"/>
      <c r="B1108" s="31" t="str">
        <f>IF(_xll.TM1RPTELISCONSOLIDATED($H$20,$H1108),IF(_xll.TM1RPTELLEV($H$20,$H1108)&lt;=5,_xll.TM1RPTELLEV($H$20,$H1108),"Default"),"Leaf")</f>
        <v>Leaf</v>
      </c>
      <c r="C1108" s="26" t="s">
        <v>15</v>
      </c>
      <c r="D1108" s="24" t="str">
        <f>_xll.DBRW("TM1-S1_DEV:}ElementAttributes_SP_SKU",$F1108,D$1)</f>
        <v>Primary</v>
      </c>
      <c r="E1108" s="24" t="str">
        <f>_xll.DBRW("TM1-S1_DEV:}ElementAttributes_SP_SKU",$F1108,E$1)</f>
        <v>COOKIE</v>
      </c>
      <c r="F1108" s="26" t="s">
        <v>3182</v>
      </c>
      <c r="G1108" s="26" t="s">
        <v>1002</v>
      </c>
      <c r="H1108" s="26" t="s">
        <v>2691</v>
      </c>
      <c r="I1108" s="54">
        <f>_xll.DBRW($A$1,$F$14,$F$15,$C1108,$A$2,$F1108,$G1108,$H1108,I$1)</f>
        <v>99</v>
      </c>
      <c r="J1108" s="25">
        <f>_xll.DBRW($A$1,$F$14,$F$15,$C1108,$A$2,$F1108,$G1108,$H1108,J$19)</f>
        <v>318</v>
      </c>
    </row>
    <row r="1109" spans="1:10" s="23" customFormat="1" outlineLevel="1" thickBot="1" x14ac:dyDescent="0.3">
      <c r="A1109" s="44"/>
      <c r="B1109" s="31" t="str">
        <f>IF(_xll.TM1RPTELISCONSOLIDATED($H$20,$H1109),IF(_xll.TM1RPTELLEV($H$20,$H1109)&lt;=5,_xll.TM1RPTELLEV($H$20,$H1109),"Default"),"Leaf")</f>
        <v>Leaf</v>
      </c>
      <c r="C1109" s="26" t="s">
        <v>15</v>
      </c>
      <c r="D1109" s="24" t="str">
        <f>_xll.DBRW("TM1-S1_DEV:}ElementAttributes_SP_SKU",$F1109,D$1)</f>
        <v>Primary</v>
      </c>
      <c r="E1109" s="24" t="str">
        <f>_xll.DBRW("TM1-S1_DEV:}ElementAttributes_SP_SKU",$F1109,E$1)</f>
        <v>COOKIE</v>
      </c>
      <c r="F1109" s="26" t="s">
        <v>3183</v>
      </c>
      <c r="G1109" s="26" t="s">
        <v>1003</v>
      </c>
      <c r="H1109" s="26" t="s">
        <v>2691</v>
      </c>
      <c r="I1109" s="54">
        <f>_xll.DBRW($A$1,$F$14,$F$15,$C1109,$A$2,$F1109,$G1109,$H1109,I$1)</f>
        <v>210</v>
      </c>
      <c r="J1109" s="25">
        <f>_xll.DBRW($A$1,$F$14,$F$15,$C1109,$A$2,$F1109,$G1109,$H1109,J$19)</f>
        <v>362</v>
      </c>
    </row>
    <row r="1110" spans="1:10" s="23" customFormat="1" outlineLevel="1" thickBot="1" x14ac:dyDescent="0.3">
      <c r="A1110" s="44"/>
      <c r="B1110" s="31" t="str">
        <f>IF(_xll.TM1RPTELISCONSOLIDATED($H$20,$H1110),IF(_xll.TM1RPTELLEV($H$20,$H1110)&lt;=5,_xll.TM1RPTELLEV($H$20,$H1110),"Default"),"Leaf")</f>
        <v>Leaf</v>
      </c>
      <c r="C1110" s="26" t="s">
        <v>15</v>
      </c>
      <c r="D1110" s="24" t="str">
        <f>_xll.DBRW("TM1-S1_DEV:}ElementAttributes_SP_SKU",$F1110,D$1)</f>
        <v>Primary</v>
      </c>
      <c r="E1110" s="24" t="str">
        <f>_xll.DBRW("TM1-S1_DEV:}ElementAttributes_SP_SKU",$F1110,E$1)</f>
        <v>INGREDIENT</v>
      </c>
      <c r="F1110" s="26" t="s">
        <v>3185</v>
      </c>
      <c r="G1110" s="26" t="s">
        <v>1004</v>
      </c>
      <c r="H1110" s="26" t="s">
        <v>2693</v>
      </c>
      <c r="I1110" s="54">
        <f>_xll.DBRW($A$1,$F$14,$F$15,$C1110,$A$2,$F1110,$G1110,$H1110,I$1)</f>
        <v>39</v>
      </c>
      <c r="J1110" s="25">
        <f>_xll.DBRW($A$1,$F$14,$F$15,$C1110,$A$2,$F1110,$G1110,$H1110,J$19)</f>
        <v>82</v>
      </c>
    </row>
    <row r="1111" spans="1:10" s="23" customFormat="1" outlineLevel="1" thickBot="1" x14ac:dyDescent="0.3">
      <c r="A1111" s="44"/>
      <c r="B1111" s="31" t="str">
        <f>IF(_xll.TM1RPTELISCONSOLIDATED($H$20,$H1111),IF(_xll.TM1RPTELLEV($H$20,$H1111)&lt;=5,_xll.TM1RPTELLEV($H$20,$H1111),"Default"),"Leaf")</f>
        <v>Leaf</v>
      </c>
      <c r="C1111" s="26" t="s">
        <v>15</v>
      </c>
      <c r="D1111" s="24" t="str">
        <f>_xll.DBRW("TM1-S1_DEV:}ElementAttributes_SP_SKU",$F1111,D$1)</f>
        <v>Primary</v>
      </c>
      <c r="E1111" s="24" t="str">
        <f>_xll.DBRW("TM1-S1_DEV:}ElementAttributes_SP_SKU",$F1111,E$1)</f>
        <v>INGREDIENT</v>
      </c>
      <c r="F1111" s="26" t="s">
        <v>3254</v>
      </c>
      <c r="G1111" s="26" t="s">
        <v>1005</v>
      </c>
      <c r="H1111" s="26" t="s">
        <v>2735</v>
      </c>
      <c r="I1111" s="54">
        <f>_xll.DBRW($A$1,$F$14,$F$15,$C1111,$A$2,$F1111,$G1111,$H1111,I$1)</f>
        <v>50</v>
      </c>
      <c r="J1111" s="25">
        <f>_xll.DBRW($A$1,$F$14,$F$15,$C1111,$A$2,$F1111,$G1111,$H1111,J$19)</f>
        <v>79</v>
      </c>
    </row>
    <row r="1112" spans="1:10" s="23" customFormat="1" outlineLevel="1" thickBot="1" x14ac:dyDescent="0.3">
      <c r="A1112" s="44"/>
      <c r="B1112" s="31" t="str">
        <f>IF(_xll.TM1RPTELISCONSOLIDATED($H$20,$H1112),IF(_xll.TM1RPTELLEV($H$20,$H1112)&lt;=5,_xll.TM1RPTELLEV($H$20,$H1112),"Default"),"Leaf")</f>
        <v>Leaf</v>
      </c>
      <c r="C1112" s="26" t="s">
        <v>15</v>
      </c>
      <c r="D1112" s="24" t="str">
        <f>_xll.DBRW("TM1-S1_DEV:}ElementAttributes_SP_SKU",$F1112,D$1)</f>
        <v>Primary</v>
      </c>
      <c r="E1112" s="24" t="str">
        <f>_xll.DBRW("TM1-S1_DEV:}ElementAttributes_SP_SKU",$F1112,E$1)</f>
        <v>INGREDIENT</v>
      </c>
      <c r="F1112" s="26" t="s">
        <v>3187</v>
      </c>
      <c r="G1112" s="26" t="s">
        <v>1006</v>
      </c>
      <c r="H1112" s="26" t="s">
        <v>2695</v>
      </c>
      <c r="I1112" s="54">
        <f>_xll.DBRW($A$1,$F$14,$F$15,$C1112,$A$2,$F1112,$G1112,$H1112,I$1)</f>
        <v>134</v>
      </c>
      <c r="J1112" s="25">
        <f>_xll.DBRW($A$1,$F$14,$F$15,$C1112,$A$2,$F1112,$G1112,$H1112,J$19)</f>
        <v>158</v>
      </c>
    </row>
    <row r="1113" spans="1:10" s="23" customFormat="1" outlineLevel="1" thickBot="1" x14ac:dyDescent="0.3">
      <c r="A1113" s="44"/>
      <c r="B1113" s="31" t="str">
        <f>IF(_xll.TM1RPTELISCONSOLIDATED($H$20,$H1113),IF(_xll.TM1RPTELLEV($H$20,$H1113)&lt;=5,_xll.TM1RPTELLEV($H$20,$H1113),"Default"),"Leaf")</f>
        <v>Leaf</v>
      </c>
      <c r="C1113" s="26" t="s">
        <v>15</v>
      </c>
      <c r="D1113" s="24" t="str">
        <f>_xll.DBRW("TM1-S1_DEV:}ElementAttributes_SP_SKU",$F1113,D$1)</f>
        <v>Primary</v>
      </c>
      <c r="E1113" s="24" t="str">
        <f>_xll.DBRW("TM1-S1_DEV:}ElementAttributes_SP_SKU",$F1113,E$1)</f>
        <v>CHIPS</v>
      </c>
      <c r="F1113" s="26" t="s">
        <v>3255</v>
      </c>
      <c r="G1113" s="26" t="s">
        <v>1007</v>
      </c>
      <c r="H1113" s="26" t="s">
        <v>2736</v>
      </c>
      <c r="I1113" s="54">
        <f>_xll.DBRW($A$1,$F$14,$F$15,$C1113,$A$2,$F1113,$G1113,$H1113,I$1)</f>
        <v>437</v>
      </c>
      <c r="J1113" s="25">
        <f>_xll.DBRW($A$1,$F$14,$F$15,$C1113,$A$2,$F1113,$G1113,$H1113,J$19)</f>
        <v>364</v>
      </c>
    </row>
    <row r="1114" spans="1:10" s="23" customFormat="1" outlineLevel="1" thickBot="1" x14ac:dyDescent="0.3">
      <c r="A1114" s="44"/>
      <c r="B1114" s="31" t="str">
        <f>IF(_xll.TM1RPTELISCONSOLIDATED($H$20,$H1114),IF(_xll.TM1RPTELLEV($H$20,$H1114)&lt;=5,_xll.TM1RPTELLEV($H$20,$H1114),"Default"),"Leaf")</f>
        <v>Leaf</v>
      </c>
      <c r="C1114" s="26" t="s">
        <v>15</v>
      </c>
      <c r="D1114" s="24" t="str">
        <f>_xll.DBRW("TM1-S1_DEV:}ElementAttributes_SP_SKU",$F1114,D$1)</f>
        <v>Primary</v>
      </c>
      <c r="E1114" s="24" t="str">
        <f>_xll.DBRW("TM1-S1_DEV:}ElementAttributes_SP_SKU",$F1114,E$1)</f>
        <v>CHIPS</v>
      </c>
      <c r="F1114" s="26" t="s">
        <v>3256</v>
      </c>
      <c r="G1114" s="26" t="s">
        <v>1008</v>
      </c>
      <c r="H1114" s="26" t="s">
        <v>2736</v>
      </c>
      <c r="I1114" s="54">
        <f>_xll.DBRW($A$1,$F$14,$F$15,$C1114,$A$2,$F1114,$G1114,$H1114,I$1)</f>
        <v>128</v>
      </c>
      <c r="J1114" s="25">
        <f>_xll.DBRW($A$1,$F$14,$F$15,$C1114,$A$2,$F1114,$G1114,$H1114,J$19)</f>
        <v>97</v>
      </c>
    </row>
    <row r="1115" spans="1:10" s="23" customFormat="1" outlineLevel="1" thickBot="1" x14ac:dyDescent="0.3">
      <c r="A1115" s="44"/>
      <c r="B1115" s="31" t="str">
        <f>IF(_xll.TM1RPTELISCONSOLIDATED($H$20,$H1115),IF(_xll.TM1RPTELLEV($H$20,$H1115)&lt;=5,_xll.TM1RPTELLEV($H$20,$H1115),"Default"),"Leaf")</f>
        <v>Leaf</v>
      </c>
      <c r="C1115" s="26" t="s">
        <v>15</v>
      </c>
      <c r="D1115" s="24" t="str">
        <f>_xll.DBRW("TM1-S1_DEV:}ElementAttributes_SP_SKU",$F1115,D$1)</f>
        <v>Primary</v>
      </c>
      <c r="E1115" s="24" t="str">
        <f>_xll.DBRW("TM1-S1_DEV:}ElementAttributes_SP_SKU",$F1115,E$1)</f>
        <v>CHIPS</v>
      </c>
      <c r="F1115" s="26" t="s">
        <v>3257</v>
      </c>
      <c r="G1115" s="26" t="s">
        <v>1009</v>
      </c>
      <c r="H1115" s="26" t="s">
        <v>2736</v>
      </c>
      <c r="I1115" s="54">
        <f>_xll.DBRW($A$1,$F$14,$F$15,$C1115,$A$2,$F1115,$G1115,$H1115,I$1)</f>
        <v>682</v>
      </c>
      <c r="J1115" s="25">
        <f>_xll.DBRW($A$1,$F$14,$F$15,$C1115,$A$2,$F1115,$G1115,$H1115,J$19)</f>
        <v>589</v>
      </c>
    </row>
    <row r="1116" spans="1:10" s="23" customFormat="1" outlineLevel="1" thickBot="1" x14ac:dyDescent="0.3">
      <c r="A1116" s="44"/>
      <c r="B1116" s="31" t="str">
        <f>IF(_xll.TM1RPTELISCONSOLIDATED($H$20,$H1116),IF(_xll.TM1RPTELLEV($H$20,$H1116)&lt;=5,_xll.TM1RPTELLEV($H$20,$H1116),"Default"),"Leaf")</f>
        <v>Leaf</v>
      </c>
      <c r="C1116" s="26" t="s">
        <v>15</v>
      </c>
      <c r="D1116" s="24" t="str">
        <f>_xll.DBRW("TM1-S1_DEV:}ElementAttributes_SP_SKU",$F1116,D$1)</f>
        <v>Primary</v>
      </c>
      <c r="E1116" s="24" t="str">
        <f>_xll.DBRW("TM1-S1_DEV:}ElementAttributes_SP_SKU",$F1116,E$1)</f>
        <v>CHIPS</v>
      </c>
      <c r="F1116" s="26" t="s">
        <v>3258</v>
      </c>
      <c r="G1116" s="26" t="s">
        <v>1010</v>
      </c>
      <c r="H1116" s="26" t="s">
        <v>2736</v>
      </c>
      <c r="I1116" s="54">
        <f>_xll.DBRW($A$1,$F$14,$F$15,$C1116,$A$2,$F1116,$G1116,$H1116,I$1)</f>
        <v>184</v>
      </c>
      <c r="J1116" s="25">
        <f>_xll.DBRW($A$1,$F$14,$F$15,$C1116,$A$2,$F1116,$G1116,$H1116,J$19)</f>
        <v>128</v>
      </c>
    </row>
    <row r="1117" spans="1:10" s="23" customFormat="1" outlineLevel="1" thickBot="1" x14ac:dyDescent="0.3">
      <c r="A1117" s="44"/>
      <c r="B1117" s="31" t="str">
        <f>IF(_xll.TM1RPTELISCONSOLIDATED($H$20,$H1117),IF(_xll.TM1RPTELLEV($H$20,$H1117)&lt;=5,_xll.TM1RPTELLEV($H$20,$H1117),"Default"),"Leaf")</f>
        <v>Leaf</v>
      </c>
      <c r="C1117" s="26" t="s">
        <v>15</v>
      </c>
      <c r="D1117" s="24" t="str">
        <f>_xll.DBRW("TM1-S1_DEV:}ElementAttributes_SP_SKU",$F1117,D$1)</f>
        <v>Primary</v>
      </c>
      <c r="E1117" s="24" t="str">
        <f>_xll.DBRW("TM1-S1_DEV:}ElementAttributes_SP_SKU",$F1117,E$1)</f>
        <v>SIDES</v>
      </c>
      <c r="F1117" s="26" t="s">
        <v>3188</v>
      </c>
      <c r="G1117" s="26" t="s">
        <v>1011</v>
      </c>
      <c r="H1117" s="26" t="s">
        <v>2686</v>
      </c>
      <c r="I1117" s="54">
        <f>_xll.DBRW($A$1,$F$14,$F$15,$C1117,$A$2,$F1117,$G1117,$H1117,I$1)</f>
        <v>147</v>
      </c>
      <c r="J1117" s="25">
        <f>_xll.DBRW($A$1,$F$14,$F$15,$C1117,$A$2,$F1117,$G1117,$H1117,J$19)</f>
        <v>125</v>
      </c>
    </row>
    <row r="1118" spans="1:10" s="23" customFormat="1" outlineLevel="1" thickBot="1" x14ac:dyDescent="0.3">
      <c r="A1118" s="44"/>
      <c r="B1118" s="31" t="str">
        <f>IF(_xll.TM1RPTELISCONSOLIDATED($H$20,$H1118),IF(_xll.TM1RPTELLEV($H$20,$H1118)&lt;=5,_xll.TM1RPTELLEV($H$20,$H1118),"Default"),"Leaf")</f>
        <v>Leaf</v>
      </c>
      <c r="C1118" s="26" t="s">
        <v>15</v>
      </c>
      <c r="D1118" s="24" t="str">
        <f>_xll.DBRW("TM1-S1_DEV:}ElementAttributes_SP_SKU",$F1118,D$1)</f>
        <v>Primary</v>
      </c>
      <c r="E1118" s="24" t="str">
        <f>_xll.DBRW("TM1-S1_DEV:}ElementAttributes_SP_SKU",$F1118,E$1)</f>
        <v>CONDIMENT</v>
      </c>
      <c r="F1118" s="26" t="s">
        <v>3189</v>
      </c>
      <c r="G1118" s="26" t="s">
        <v>1012</v>
      </c>
      <c r="H1118" s="26" t="s">
        <v>2686</v>
      </c>
      <c r="I1118" s="54">
        <f>_xll.DBRW($A$1,$F$14,$F$15,$C1118,$A$2,$F1118,$G1118,$H1118,I$1)</f>
        <v>1225</v>
      </c>
      <c r="J1118" s="25">
        <f>_xll.DBRW($A$1,$F$14,$F$15,$C1118,$A$2,$F1118,$G1118,$H1118,J$19)</f>
        <v>1200</v>
      </c>
    </row>
    <row r="1119" spans="1:10" s="23" customFormat="1" outlineLevel="1" thickBot="1" x14ac:dyDescent="0.3">
      <c r="A1119" s="44"/>
      <c r="B1119" s="31" t="str">
        <f>IF(_xll.TM1RPTELISCONSOLIDATED($H$20,$H1119),IF(_xll.TM1RPTELLEV($H$20,$H1119)&lt;=5,_xll.TM1RPTELLEV($H$20,$H1119),"Default"),"Leaf")</f>
        <v>Leaf</v>
      </c>
      <c r="C1119" s="26" t="s">
        <v>15</v>
      </c>
      <c r="D1119" s="24" t="str">
        <f>_xll.DBRW("TM1-S1_DEV:}ElementAttributes_SP_SKU",$F1119,D$1)</f>
        <v>Primary</v>
      </c>
      <c r="E1119" s="24" t="str">
        <f>_xll.DBRW("TM1-S1_DEV:}ElementAttributes_SP_SKU",$F1119,E$1)</f>
        <v>INGREDIENT</v>
      </c>
      <c r="F1119" s="26" t="s">
        <v>3190</v>
      </c>
      <c r="G1119" s="26" t="s">
        <v>1013</v>
      </c>
      <c r="H1119" s="26" t="s">
        <v>2696</v>
      </c>
      <c r="I1119" s="54">
        <f>_xll.DBRW($A$1,$F$14,$F$15,$C1119,$A$2,$F1119,$G1119,$H1119,I$1)</f>
        <v>95</v>
      </c>
      <c r="J1119" s="25">
        <f>_xll.DBRW($A$1,$F$14,$F$15,$C1119,$A$2,$F1119,$G1119,$H1119,J$19)</f>
        <v>89</v>
      </c>
    </row>
    <row r="1120" spans="1:10" s="23" customFormat="1" outlineLevel="1" thickBot="1" x14ac:dyDescent="0.3">
      <c r="A1120" s="44"/>
      <c r="B1120" s="31" t="str">
        <f>IF(_xll.TM1RPTELISCONSOLIDATED($H$20,$H1120),IF(_xll.TM1RPTELLEV($H$20,$H1120)&lt;=5,_xll.TM1RPTELLEV($H$20,$H1120),"Default"),"Leaf")</f>
        <v>Leaf</v>
      </c>
      <c r="C1120" s="26" t="s">
        <v>15</v>
      </c>
      <c r="D1120" s="24" t="str">
        <f>_xll.DBRW("TM1-S1_DEV:}ElementAttributes_SP_SKU",$F1120,D$1)</f>
        <v>Primary</v>
      </c>
      <c r="E1120" s="24" t="str">
        <f>_xll.DBRW("TM1-S1_DEV:}ElementAttributes_SP_SKU",$F1120,E$1)</f>
        <v>INGREDIENT</v>
      </c>
      <c r="F1120" s="26" t="s">
        <v>3191</v>
      </c>
      <c r="G1120" s="26" t="s">
        <v>1014</v>
      </c>
      <c r="H1120" s="26" t="s">
        <v>2697</v>
      </c>
      <c r="I1120" s="54">
        <f>_xll.DBRW($A$1,$F$14,$F$15,$C1120,$A$2,$F1120,$G1120,$H1120,I$1)</f>
        <v>308</v>
      </c>
      <c r="J1120" s="25">
        <f>_xll.DBRW($A$1,$F$14,$F$15,$C1120,$A$2,$F1120,$G1120,$H1120,J$19)</f>
        <v>345</v>
      </c>
    </row>
    <row r="1121" spans="1:10" s="23" customFormat="1" outlineLevel="1" thickBot="1" x14ac:dyDescent="0.3">
      <c r="A1121" s="44"/>
      <c r="B1121" s="31" t="str">
        <f>IF(_xll.TM1RPTELISCONSOLIDATED($H$20,$H1121),IF(_xll.TM1RPTELLEV($H$20,$H1121)&lt;=5,_xll.TM1RPTELLEV($H$20,$H1121),"Default"),"Leaf")</f>
        <v>Leaf</v>
      </c>
      <c r="C1121" s="26" t="s">
        <v>15</v>
      </c>
      <c r="D1121" s="24" t="str">
        <f>_xll.DBRW("TM1-S1_DEV:}ElementAttributes_SP_SKU",$F1121,D$1)</f>
        <v>Primary</v>
      </c>
      <c r="E1121" s="24" t="str">
        <f>_xll.DBRW("TM1-S1_DEV:}ElementAttributes_SP_SKU",$F1121,E$1)</f>
        <v>INGREDIENT</v>
      </c>
      <c r="F1121" s="26" t="s">
        <v>3192</v>
      </c>
      <c r="G1121" s="26" t="s">
        <v>1015</v>
      </c>
      <c r="H1121" s="26" t="s">
        <v>2698</v>
      </c>
      <c r="I1121" s="54">
        <f>_xll.DBRW($A$1,$F$14,$F$15,$C1121,$A$2,$F1121,$G1121,$H1121,I$1)</f>
        <v>17</v>
      </c>
      <c r="J1121" s="25">
        <f>_xll.DBRW($A$1,$F$14,$F$15,$C1121,$A$2,$F1121,$G1121,$H1121,J$19)</f>
        <v>23</v>
      </c>
    </row>
    <row r="1122" spans="1:10" s="23" customFormat="1" outlineLevel="1" thickBot="1" x14ac:dyDescent="0.3">
      <c r="A1122" s="44"/>
      <c r="B1122" s="31" t="str">
        <f>IF(_xll.TM1RPTELISCONSOLIDATED($H$20,$H1122),IF(_xll.TM1RPTELLEV($H$20,$H1122)&lt;=5,_xll.TM1RPTELLEV($H$20,$H1122),"Default"),"Leaf")</f>
        <v>Leaf</v>
      </c>
      <c r="C1122" s="26" t="s">
        <v>15</v>
      </c>
      <c r="D1122" s="24" t="str">
        <f>_xll.DBRW("TM1-S1_DEV:}ElementAttributes_SP_SKU",$F1122,D$1)</f>
        <v>Primary</v>
      </c>
      <c r="E1122" s="24" t="str">
        <f>_xll.DBRW("TM1-S1_DEV:}ElementAttributes_SP_SKU",$F1122,E$1)</f>
        <v>INGREDIENT</v>
      </c>
      <c r="F1122" s="26" t="s">
        <v>3193</v>
      </c>
      <c r="G1122" s="26" t="s">
        <v>1016</v>
      </c>
      <c r="H1122" s="26" t="s">
        <v>2699</v>
      </c>
      <c r="I1122" s="54">
        <f>_xll.DBRW($A$1,$F$14,$F$15,$C1122,$A$2,$F1122,$G1122,$H1122,I$1)</f>
        <v>103</v>
      </c>
      <c r="J1122" s="25">
        <f>_xll.DBRW($A$1,$F$14,$F$15,$C1122,$A$2,$F1122,$G1122,$H1122,J$19)</f>
        <v>149</v>
      </c>
    </row>
    <row r="1123" spans="1:10" s="23" customFormat="1" outlineLevel="1" thickBot="1" x14ac:dyDescent="0.3">
      <c r="A1123" s="44"/>
      <c r="B1123" s="31" t="str">
        <f>IF(_xll.TM1RPTELISCONSOLIDATED($H$20,$H1123),IF(_xll.TM1RPTELLEV($H$20,$H1123)&lt;=5,_xll.TM1RPTELLEV($H$20,$H1123),"Default"),"Leaf")</f>
        <v>Leaf</v>
      </c>
      <c r="C1123" s="26" t="s">
        <v>15</v>
      </c>
      <c r="D1123" s="24" t="str">
        <f>_xll.DBRW("TM1-S1_DEV:}ElementAttributes_SP_SKU",$F1123,D$1)</f>
        <v>Primary</v>
      </c>
      <c r="E1123" s="24" t="str">
        <f>_xll.DBRW("TM1-S1_DEV:}ElementAttributes_SP_SKU",$F1123,E$1)</f>
        <v>COOKIE</v>
      </c>
      <c r="F1123" s="26" t="s">
        <v>3194</v>
      </c>
      <c r="G1123" s="26" t="s">
        <v>1017</v>
      </c>
      <c r="H1123" s="26" t="s">
        <v>2691</v>
      </c>
      <c r="I1123" s="54">
        <f>_xll.DBRW($A$1,$F$14,$F$15,$C1123,$A$2,$F1123,$G1123,$H1123,I$1)</f>
        <v>74</v>
      </c>
      <c r="J1123" s="25">
        <f>_xll.DBRW($A$1,$F$14,$F$15,$C1123,$A$2,$F1123,$G1123,$H1123,J$19)</f>
        <v>73</v>
      </c>
    </row>
    <row r="1124" spans="1:10" s="23" customFormat="1" outlineLevel="1" thickBot="1" x14ac:dyDescent="0.3">
      <c r="A1124" s="44"/>
      <c r="B1124" s="31" t="str">
        <f>IF(_xll.TM1RPTELISCONSOLIDATED($H$20,$H1124),IF(_xll.TM1RPTELLEV($H$20,$H1124)&lt;=5,_xll.TM1RPTELLEV($H$20,$H1124),"Default"),"Leaf")</f>
        <v>Leaf</v>
      </c>
      <c r="C1124" s="26" t="s">
        <v>15</v>
      </c>
      <c r="D1124" s="24" t="str">
        <f>_xll.DBRW("TM1-S1_DEV:}ElementAttributes_SP_SKU",$F1124,D$1)</f>
        <v>Primary</v>
      </c>
      <c r="E1124" s="24" t="str">
        <f>_xll.DBRW("TM1-S1_DEV:}ElementAttributes_SP_SKU",$F1124,E$1)</f>
        <v>COOKIE</v>
      </c>
      <c r="F1124" s="26" t="s">
        <v>3195</v>
      </c>
      <c r="G1124" s="26" t="s">
        <v>1018</v>
      </c>
      <c r="H1124" s="26" t="s">
        <v>2691</v>
      </c>
      <c r="I1124" s="54">
        <f>_xll.DBRW($A$1,$F$14,$F$15,$C1124,$A$2,$F1124,$G1124,$H1124,I$1)</f>
        <v>37</v>
      </c>
      <c r="J1124" s="25">
        <f>_xll.DBRW($A$1,$F$14,$F$15,$C1124,$A$2,$F1124,$G1124,$H1124,J$19)</f>
        <v>36</v>
      </c>
    </row>
    <row r="1125" spans="1:10" s="23" customFormat="1" outlineLevel="1" thickBot="1" x14ac:dyDescent="0.3">
      <c r="A1125" s="44"/>
      <c r="B1125" s="31" t="str">
        <f>IF(_xll.TM1RPTELISCONSOLIDATED($H$20,$H1125),IF(_xll.TM1RPTELLEV($H$20,$H1125)&lt;=5,_xll.TM1RPTELLEV($H$20,$H1125),"Default"),"Leaf")</f>
        <v>Leaf</v>
      </c>
      <c r="C1125" s="26" t="s">
        <v>15</v>
      </c>
      <c r="D1125" s="24" t="str">
        <f>_xll.DBRW("TM1-S1_DEV:}ElementAttributes_SP_SKU",$F1125,D$1)</f>
        <v>Primary</v>
      </c>
      <c r="E1125" s="24" t="str">
        <f>_xll.DBRW("TM1-S1_DEV:}ElementAttributes_SP_SKU",$F1125,E$1)</f>
        <v>COOKIE</v>
      </c>
      <c r="F1125" s="26" t="s">
        <v>3196</v>
      </c>
      <c r="G1125" s="26" t="s">
        <v>1019</v>
      </c>
      <c r="H1125" s="26" t="s">
        <v>2691</v>
      </c>
      <c r="I1125" s="54">
        <f>_xll.DBRW($A$1,$F$14,$F$15,$C1125,$A$2,$F1125,$G1125,$H1125,I$1)</f>
        <v>42</v>
      </c>
      <c r="J1125" s="25">
        <f>_xll.DBRW($A$1,$F$14,$F$15,$C1125,$A$2,$F1125,$G1125,$H1125,J$19)</f>
        <v>40</v>
      </c>
    </row>
    <row r="1126" spans="1:10" s="23" customFormat="1" outlineLevel="1" thickBot="1" x14ac:dyDescent="0.3">
      <c r="A1126" s="44"/>
      <c r="B1126" s="31" t="str">
        <f>IF(_xll.TM1RPTELISCONSOLIDATED($H$20,$H1126),IF(_xll.TM1RPTELLEV($H$20,$H1126)&lt;=5,_xll.TM1RPTELLEV($H$20,$H1126),"Default"),"Leaf")</f>
        <v>Leaf</v>
      </c>
      <c r="C1126" s="26" t="s">
        <v>15</v>
      </c>
      <c r="D1126" s="24" t="str">
        <f>_xll.DBRW("TM1-S1_DEV:}ElementAttributes_SP_SKU",$F1126,D$1)</f>
        <v>Primary</v>
      </c>
      <c r="E1126" s="24" t="str">
        <f>_xll.DBRW("TM1-S1_DEV:}ElementAttributes_SP_SKU",$F1126,E$1)</f>
        <v>INGREDIENT</v>
      </c>
      <c r="F1126" s="26" t="s">
        <v>3197</v>
      </c>
      <c r="G1126" s="26" t="s">
        <v>1280</v>
      </c>
      <c r="H1126" s="26" t="s">
        <v>2686</v>
      </c>
      <c r="I1126" s="54">
        <f>_xll.DBRW($A$1,$F$14,$F$15,$C1126,$A$2,$F1126,$G1126,$H1126,I$1)</f>
        <v>11</v>
      </c>
      <c r="J1126" s="25">
        <f>_xll.DBRW($A$1,$F$14,$F$15,$C1126,$A$2,$F1126,$G1126,$H1126,J$19)</f>
        <v>6</v>
      </c>
    </row>
    <row r="1127" spans="1:10" s="23" customFormat="1" outlineLevel="1" thickBot="1" x14ac:dyDescent="0.3">
      <c r="A1127" s="44"/>
      <c r="B1127" s="31" t="str">
        <f>IF(_xll.TM1RPTELISCONSOLIDATED($H$20,$H1127),IF(_xll.TM1RPTELLEV($H$20,$H1127)&lt;=5,_xll.TM1RPTELLEV($H$20,$H1127),"Default"),"Leaf")</f>
        <v>Leaf</v>
      </c>
      <c r="C1127" s="26" t="s">
        <v>15</v>
      </c>
      <c r="D1127" s="24" t="str">
        <f>_xll.DBRW("TM1-S1_DEV:}ElementAttributes_SP_SKU",$F1127,D$1)</f>
        <v>Primary</v>
      </c>
      <c r="E1127" s="24" t="str">
        <f>_xll.DBRW("TM1-S1_DEV:}ElementAttributes_SP_SKU",$F1127,E$1)</f>
        <v>DRINKS</v>
      </c>
      <c r="F1127" s="26" t="s">
        <v>3269</v>
      </c>
      <c r="G1127" s="26" t="s">
        <v>1020</v>
      </c>
      <c r="H1127" s="26" t="s">
        <v>2764</v>
      </c>
      <c r="I1127" s="54">
        <f>_xll.DBRW($A$1,$F$14,$F$15,$C1127,$A$2,$F1127,$G1127,$H1127,I$1)</f>
        <v>424</v>
      </c>
      <c r="J1127" s="25">
        <f>_xll.DBRW($A$1,$F$14,$F$15,$C1127,$A$2,$F1127,$G1127,$H1127,J$19)</f>
        <v>624</v>
      </c>
    </row>
    <row r="1128" spans="1:10" s="23" customFormat="1" outlineLevel="1" thickBot="1" x14ac:dyDescent="0.3">
      <c r="A1128" s="44"/>
      <c r="B1128" s="31" t="str">
        <f>IF(_xll.TM1RPTELISCONSOLIDATED($H$20,$H1128),IF(_xll.TM1RPTELLEV($H$20,$H1128)&lt;=5,_xll.TM1RPTELLEV($H$20,$H1128),"Default"),"Leaf")</f>
        <v>Leaf</v>
      </c>
      <c r="C1128" s="26" t="s">
        <v>15</v>
      </c>
      <c r="D1128" s="24" t="str">
        <f>_xll.DBRW("TM1-S1_DEV:}ElementAttributes_SP_SKU",$F1128,D$1)</f>
        <v>Primary</v>
      </c>
      <c r="E1128" s="24" t="str">
        <f>_xll.DBRW("TM1-S1_DEV:}ElementAttributes_SP_SKU",$F1128,E$1)</f>
        <v>INGREDIENT</v>
      </c>
      <c r="F1128" s="26" t="s">
        <v>30</v>
      </c>
      <c r="G1128" s="26" t="s">
        <v>1021</v>
      </c>
      <c r="H1128" s="26" t="s">
        <v>2700</v>
      </c>
      <c r="I1128" s="54">
        <f>_xll.DBRW($A$1,$F$14,$F$15,$C1128,$A$2,$F1128,$G1128,$H1128,I$1)</f>
        <v>104</v>
      </c>
      <c r="J1128" s="25">
        <f>_xll.DBRW($A$1,$F$14,$F$15,$C1128,$A$2,$F1128,$G1128,$H1128,J$19)</f>
        <v>95</v>
      </c>
    </row>
    <row r="1129" spans="1:10" s="23" customFormat="1" outlineLevel="1" thickBot="1" x14ac:dyDescent="0.3">
      <c r="A1129" s="44"/>
      <c r="B1129" s="31" t="str">
        <f>IF(_xll.TM1RPTELISCONSOLIDATED($H$20,$H1129),IF(_xll.TM1RPTELLEV($H$20,$H1129)&lt;=5,_xll.TM1RPTELLEV($H$20,$H1129),"Default"),"Leaf")</f>
        <v>Leaf</v>
      </c>
      <c r="C1129" s="26" t="s">
        <v>15</v>
      </c>
      <c r="D1129" s="24" t="str">
        <f>_xll.DBRW("TM1-S1_DEV:}ElementAttributes_SP_SKU",$F1129,D$1)</f>
        <v>Unassigned PSP</v>
      </c>
      <c r="E1129" s="24" t="str">
        <f>_xll.DBRW("TM1-S1_DEV:}ElementAttributes_SP_SKU",$F1129,E$1)</f>
        <v>SOUP</v>
      </c>
      <c r="F1129" s="26" t="s">
        <v>100</v>
      </c>
      <c r="G1129" s="26" t="s">
        <v>1022</v>
      </c>
      <c r="H1129" s="26" t="s">
        <v>2675</v>
      </c>
      <c r="I1129" s="54">
        <f>_xll.DBRW($A$1,$F$14,$F$15,$C1129,$A$2,$F1129,$G1129,$H1129,I$1)</f>
        <v>116</v>
      </c>
      <c r="J1129" s="25">
        <f>_xll.DBRW($A$1,$F$14,$F$15,$C1129,$A$2,$F1129,$G1129,$H1129,J$19)</f>
        <v>134</v>
      </c>
    </row>
    <row r="1130" spans="1:10" s="23" customFormat="1" outlineLevel="1" thickBot="1" x14ac:dyDescent="0.3">
      <c r="A1130" s="44"/>
      <c r="B1130" s="31" t="str">
        <f>IF(_xll.TM1RPTELISCONSOLIDATED($H$20,$H1130),IF(_xll.TM1RPTELLEV($H$20,$H1130)&lt;=5,_xll.TM1RPTELLEV($H$20,$H1130),"Default"),"Leaf")</f>
        <v>Leaf</v>
      </c>
      <c r="C1130" s="26" t="s">
        <v>15</v>
      </c>
      <c r="D1130" s="24" t="str">
        <f>_xll.DBRW("TM1-S1_DEV:}ElementAttributes_SP_SKU",$F1130,D$1)</f>
        <v>Secondary</v>
      </c>
      <c r="E1130" s="24" t="str">
        <f>_xll.DBRW("TM1-S1_DEV:}ElementAttributes_SP_SKU",$F1130,E$1)</f>
        <v>SOUP</v>
      </c>
      <c r="F1130" s="26" t="s">
        <v>101</v>
      </c>
      <c r="G1130" s="26" t="s">
        <v>1023</v>
      </c>
      <c r="H1130" s="26" t="s">
        <v>2675</v>
      </c>
      <c r="I1130" s="54">
        <f>_xll.DBRW($A$1,$F$14,$F$15,$C1130,$A$2,$F1130,$G1130,$H1130,I$1)</f>
        <v>189</v>
      </c>
      <c r="J1130" s="25">
        <f>_xll.DBRW($A$1,$F$14,$F$15,$C1130,$A$2,$F1130,$G1130,$H1130,J$19)</f>
        <v>243</v>
      </c>
    </row>
    <row r="1131" spans="1:10" s="23" customFormat="1" outlineLevel="1" thickBot="1" x14ac:dyDescent="0.3">
      <c r="A1131" s="44"/>
      <c r="B1131" s="31" t="str">
        <f>IF(_xll.TM1RPTELISCONSOLIDATED($H$20,$H1131),IF(_xll.TM1RPTELLEV($H$20,$H1131)&lt;=5,_xll.TM1RPTELLEV($H$20,$H1131),"Default"),"Leaf")</f>
        <v>Leaf</v>
      </c>
      <c r="C1131" s="26" t="s">
        <v>15</v>
      </c>
      <c r="D1131" s="24" t="str">
        <f>_xll.DBRW("TM1-S1_DEV:}ElementAttributes_SP_SKU",$F1131,D$1)</f>
        <v>Secondary</v>
      </c>
      <c r="E1131" s="24" t="str">
        <f>_xll.DBRW("TM1-S1_DEV:}ElementAttributes_SP_SKU",$F1131,E$1)</f>
        <v>SOUP</v>
      </c>
      <c r="F1131" s="26" t="s">
        <v>102</v>
      </c>
      <c r="G1131" s="26" t="s">
        <v>1024</v>
      </c>
      <c r="H1131" s="26" t="s">
        <v>2675</v>
      </c>
      <c r="I1131" s="54">
        <f>_xll.DBRW($A$1,$F$14,$F$15,$C1131,$A$2,$F1131,$G1131,$H1131,I$1)</f>
        <v>307</v>
      </c>
      <c r="J1131" s="25">
        <f>_xll.DBRW($A$1,$F$14,$F$15,$C1131,$A$2,$F1131,$G1131,$H1131,J$19)</f>
        <v>307</v>
      </c>
    </row>
    <row r="1132" spans="1:10" s="23" customFormat="1" outlineLevel="1" thickBot="1" x14ac:dyDescent="0.3">
      <c r="A1132" s="44"/>
      <c r="B1132" s="31" t="str">
        <f>IF(_xll.TM1RPTELISCONSOLIDATED($H$20,$H1132),IF(_xll.TM1RPTELLEV($H$20,$H1132)&lt;=5,_xll.TM1RPTELLEV($H$20,$H1132),"Default"),"Leaf")</f>
        <v>Leaf</v>
      </c>
      <c r="C1132" s="26" t="s">
        <v>15</v>
      </c>
      <c r="D1132" s="24" t="str">
        <f>_xll.DBRW("TM1-S1_DEV:}ElementAttributes_SP_SKU",$F1132,D$1)</f>
        <v>Project</v>
      </c>
      <c r="E1132" s="24" t="str">
        <f>_xll.DBRW("TM1-S1_DEV:}ElementAttributes_SP_SKU",$F1132,E$1)</f>
        <v>CHEESE</v>
      </c>
      <c r="F1132" s="26" t="s">
        <v>103</v>
      </c>
      <c r="G1132" s="26" t="s">
        <v>1025</v>
      </c>
      <c r="H1132" s="26" t="s">
        <v>2765</v>
      </c>
      <c r="I1132" s="54">
        <f>_xll.DBRW($A$1,$F$14,$F$15,$C1132,$A$2,$F1132,$G1132,$H1132,I$1)</f>
        <v>88</v>
      </c>
      <c r="J1132" s="25">
        <f>_xll.DBRW($A$1,$F$14,$F$15,$C1132,$A$2,$F1132,$G1132,$H1132,J$19)</f>
        <v>412</v>
      </c>
    </row>
    <row r="1133" spans="1:10" s="23" customFormat="1" outlineLevel="1" thickBot="1" x14ac:dyDescent="0.3">
      <c r="A1133" s="44"/>
      <c r="B1133" s="31" t="str">
        <f>IF(_xll.TM1RPTELISCONSOLIDATED($H$20,$H1133),IF(_xll.TM1RPTELLEV($H$20,$H1133)&lt;=5,_xll.TM1RPTELLEV($H$20,$H1133),"Default"),"Leaf")</f>
        <v>Leaf</v>
      </c>
      <c r="C1133" s="26" t="s">
        <v>15</v>
      </c>
      <c r="D1133" s="24" t="str">
        <f>_xll.DBRW("TM1-S1_DEV:}ElementAttributes_SP_SKU",$F1133,D$1)</f>
        <v>Project</v>
      </c>
      <c r="E1133" s="24" t="str">
        <f>_xll.DBRW("TM1-S1_DEV:}ElementAttributes_SP_SKU",$F1133,E$1)</f>
        <v>INGREDIENT</v>
      </c>
      <c r="F1133" s="26" t="s">
        <v>104</v>
      </c>
      <c r="G1133" s="26" t="s">
        <v>1026</v>
      </c>
      <c r="H1133" s="26" t="s">
        <v>2765</v>
      </c>
      <c r="I1133" s="54">
        <f>_xll.DBRW($A$1,$F$14,$F$15,$C1133,$A$2,$F1133,$G1133,$H1133,I$1)</f>
        <v>51</v>
      </c>
      <c r="J1133" s="25">
        <f>_xll.DBRW($A$1,$F$14,$F$15,$C1133,$A$2,$F1133,$G1133,$H1133,J$19)</f>
        <v>147</v>
      </c>
    </row>
    <row r="1134" spans="1:10" s="23" customFormat="1" outlineLevel="1" thickBot="1" x14ac:dyDescent="0.3">
      <c r="A1134" s="44"/>
      <c r="B1134" s="31" t="str">
        <f>IF(_xll.TM1RPTELISCONSOLIDATED($H$20,$H1134),IF(_xll.TM1RPTELLEV($H$20,$H1134)&lt;=5,_xll.TM1RPTELLEV($H$20,$H1134),"Default"),"Leaf")</f>
        <v>Leaf</v>
      </c>
      <c r="C1134" s="26" t="s">
        <v>15</v>
      </c>
      <c r="D1134" s="24" t="str">
        <f>_xll.DBRW("TM1-S1_DEV:}ElementAttributes_SP_SKU",$F1134,D$1)</f>
        <v>Project</v>
      </c>
      <c r="E1134" s="24" t="str">
        <f>_xll.DBRW("TM1-S1_DEV:}ElementAttributes_SP_SKU",$F1134,E$1)</f>
        <v>CHEESE</v>
      </c>
      <c r="F1134" s="26" t="s">
        <v>105</v>
      </c>
      <c r="G1134" s="26" t="s">
        <v>1027</v>
      </c>
      <c r="H1134" s="26" t="s">
        <v>2765</v>
      </c>
      <c r="I1134" s="54">
        <f>_xll.DBRW($A$1,$F$14,$F$15,$C1134,$A$2,$F1134,$G1134,$H1134,I$1)</f>
        <v>13</v>
      </c>
      <c r="J1134" s="25">
        <f>_xll.DBRW($A$1,$F$14,$F$15,$C1134,$A$2,$F1134,$G1134,$H1134,J$19)</f>
        <v>157</v>
      </c>
    </row>
    <row r="1135" spans="1:10" s="23" customFormat="1" outlineLevel="1" thickBot="1" x14ac:dyDescent="0.3">
      <c r="A1135" s="44"/>
      <c r="B1135" s="31" t="str">
        <f>IF(_xll.TM1RPTELISCONSOLIDATED($H$20,$H1135),IF(_xll.TM1RPTELLEV($H$20,$H1135)&lt;=5,_xll.TM1RPTELLEV($H$20,$H1135),"Default"),"Leaf")</f>
        <v>Leaf</v>
      </c>
      <c r="C1135" s="26" t="s">
        <v>15</v>
      </c>
      <c r="D1135" s="24" t="str">
        <f>_xll.DBRW("TM1-S1_DEV:}ElementAttributes_SP_SKU",$F1135,D$1)</f>
        <v>Project</v>
      </c>
      <c r="E1135" s="24" t="str">
        <f>_xll.DBRW("TM1-S1_DEV:}ElementAttributes_SP_SKU",$F1135,E$1)</f>
        <v>INGREDIENT</v>
      </c>
      <c r="F1135" s="26" t="s">
        <v>106</v>
      </c>
      <c r="G1135" s="26" t="s">
        <v>1028</v>
      </c>
      <c r="H1135" s="26" t="s">
        <v>2743</v>
      </c>
      <c r="I1135" s="54">
        <f>_xll.DBRW($A$1,$F$14,$F$15,$C1135,$A$2,$F1135,$G1135,$H1135,I$1)</f>
        <v>224</v>
      </c>
      <c r="J1135" s="25">
        <f>_xll.DBRW($A$1,$F$14,$F$15,$C1135,$A$2,$F1135,$G1135,$H1135,J$19)</f>
        <v>272</v>
      </c>
    </row>
    <row r="1136" spans="1:10" s="23" customFormat="1" outlineLevel="1" thickBot="1" x14ac:dyDescent="0.3">
      <c r="A1136" s="44"/>
      <c r="B1136" s="31" t="str">
        <f>IF(_xll.TM1RPTELISCONSOLIDATED($H$20,$H1136),IF(_xll.TM1RPTELLEV($H$20,$H1136)&lt;=5,_xll.TM1RPTELLEV($H$20,$H1136),"Default"),"Leaf")</f>
        <v>Leaf</v>
      </c>
      <c r="C1136" s="26" t="s">
        <v>15</v>
      </c>
      <c r="D1136" s="24" t="str">
        <f>_xll.DBRW("TM1-S1_DEV:}ElementAttributes_SP_SKU",$F1136,D$1)</f>
        <v>Project</v>
      </c>
      <c r="E1136" s="24" t="str">
        <f>_xll.DBRW("TM1-S1_DEV:}ElementAttributes_SP_SKU",$F1136,E$1)</f>
        <v>INGREDIENT</v>
      </c>
      <c r="F1136" s="26" t="s">
        <v>107</v>
      </c>
      <c r="G1136" s="26" t="s">
        <v>1029</v>
      </c>
      <c r="H1136" s="26" t="s">
        <v>2766</v>
      </c>
      <c r="I1136" s="54">
        <f>_xll.DBRW($A$1,$F$14,$F$15,$C1136,$A$2,$F1136,$G1136,$H1136,I$1)</f>
        <v>169</v>
      </c>
      <c r="J1136" s="25">
        <f>_xll.DBRW($A$1,$F$14,$F$15,$C1136,$A$2,$F1136,$G1136,$H1136,J$19)</f>
        <v>169</v>
      </c>
    </row>
    <row r="1137" spans="1:10" s="23" customFormat="1" outlineLevel="1" thickBot="1" x14ac:dyDescent="0.3">
      <c r="A1137" s="44"/>
      <c r="B1137" s="31" t="str">
        <f>IF(_xll.TM1RPTELISCONSOLIDATED($H$20,$H1137),IF(_xll.TM1RPTELLEV($H$20,$H1137)&lt;=5,_xll.TM1RPTELLEV($H$20,$H1137),"Default"),"Leaf")</f>
        <v>Leaf</v>
      </c>
      <c r="C1137" s="26" t="s">
        <v>15</v>
      </c>
      <c r="D1137" s="24" t="str">
        <f>_xll.DBRW("TM1-S1_DEV:}ElementAttributes_SP_SKU",$F1137,D$1)</f>
        <v>Project</v>
      </c>
      <c r="E1137" s="24" t="str">
        <f>_xll.DBRW("TM1-S1_DEV:}ElementAttributes_SP_SKU",$F1137,E$1)</f>
        <v>INGREDIENT</v>
      </c>
      <c r="F1137" s="26" t="s">
        <v>108</v>
      </c>
      <c r="G1137" s="26" t="s">
        <v>1030</v>
      </c>
      <c r="H1137" s="26" t="s">
        <v>2767</v>
      </c>
      <c r="I1137" s="54">
        <f>_xll.DBRW($A$1,$F$14,$F$15,$C1137,$A$2,$F1137,$G1137,$H1137,I$1)</f>
        <v>517</v>
      </c>
      <c r="J1137" s="25">
        <f>_xll.DBRW($A$1,$F$14,$F$15,$C1137,$A$2,$F1137,$G1137,$H1137,J$19)</f>
        <v>699</v>
      </c>
    </row>
    <row r="1138" spans="1:10" s="23" customFormat="1" outlineLevel="1" thickBot="1" x14ac:dyDescent="0.3">
      <c r="A1138" s="44"/>
      <c r="B1138" s="31" t="str">
        <f>IF(_xll.TM1RPTELISCONSOLIDATED($H$20,$H1138),IF(_xll.TM1RPTELLEV($H$20,$H1138)&lt;=5,_xll.TM1RPTELLEV($H$20,$H1138),"Default"),"Leaf")</f>
        <v>Leaf</v>
      </c>
      <c r="C1138" s="26" t="s">
        <v>15</v>
      </c>
      <c r="D1138" s="24" t="str">
        <f>_xll.DBRW("TM1-S1_DEV:}ElementAttributes_SP_SKU",$F1138,D$1)</f>
        <v>Project</v>
      </c>
      <c r="E1138" s="24" t="str">
        <f>_xll.DBRW("TM1-S1_DEV:}ElementAttributes_SP_SKU",$F1138,E$1)</f>
        <v>CONDIMENT</v>
      </c>
      <c r="F1138" s="26" t="s">
        <v>109</v>
      </c>
      <c r="G1138" s="26" t="s">
        <v>1031</v>
      </c>
      <c r="H1138" s="26" t="s">
        <v>2768</v>
      </c>
      <c r="I1138" s="54">
        <f>_xll.DBRW($A$1,$F$14,$F$15,$C1138,$A$2,$F1138,$G1138,$H1138,I$1)</f>
        <v>349</v>
      </c>
      <c r="J1138" s="25">
        <f>_xll.DBRW($A$1,$F$14,$F$15,$C1138,$A$2,$F1138,$G1138,$H1138,J$19)</f>
        <v>541</v>
      </c>
    </row>
    <row r="1139" spans="1:10" s="23" customFormat="1" outlineLevel="1" thickBot="1" x14ac:dyDescent="0.3">
      <c r="A1139" s="44"/>
      <c r="B1139" s="31" t="str">
        <f>IF(_xll.TM1RPTELISCONSOLIDATED($H$20,$H1139),IF(_xll.TM1RPTELLEV($H$20,$H1139)&lt;=5,_xll.TM1RPTELLEV($H$20,$H1139),"Default"),"Leaf")</f>
        <v>Leaf</v>
      </c>
      <c r="C1139" s="26" t="s">
        <v>15</v>
      </c>
      <c r="D1139" s="24" t="str">
        <f>_xll.DBRW("TM1-S1_DEV:}ElementAttributes_SP_SKU",$F1139,D$1)</f>
        <v>Project</v>
      </c>
      <c r="E1139" s="24" t="str">
        <f>_xll.DBRW("TM1-S1_DEV:}ElementAttributes_SP_SKU",$F1139,E$1)</f>
        <v>SIDES</v>
      </c>
      <c r="F1139" s="26" t="s">
        <v>2985</v>
      </c>
      <c r="G1139" s="26" t="s">
        <v>3041</v>
      </c>
      <c r="H1139" s="26" t="s">
        <v>2732</v>
      </c>
      <c r="I1139" s="54">
        <f>_xll.DBRW($A$1,$F$14,$F$15,$C1139,$A$2,$F1139,$G1139,$H1139,I$1)</f>
        <v>6</v>
      </c>
      <c r="J1139" s="25">
        <f>_xll.DBRW($A$1,$F$14,$F$15,$C1139,$A$2,$F1139,$G1139,$H1139,J$19)</f>
        <v>26</v>
      </c>
    </row>
    <row r="1140" spans="1:10" s="23" customFormat="1" outlineLevel="1" thickBot="1" x14ac:dyDescent="0.3">
      <c r="A1140" s="44"/>
      <c r="B1140" s="31" t="str">
        <f>IF(_xll.TM1RPTELISCONSOLIDATED($H$20,$H1140),IF(_xll.TM1RPTELLEV($H$20,$H1140)&lt;=5,_xll.TM1RPTELLEV($H$20,$H1140),"Default"),"Leaf")</f>
        <v>Leaf</v>
      </c>
      <c r="C1140" s="26" t="s">
        <v>15</v>
      </c>
      <c r="D1140" s="24" t="str">
        <f>_xll.DBRW("TM1-S1_DEV:}ElementAttributes_SP_SKU",$F1140,D$1)</f>
        <v>Project</v>
      </c>
      <c r="E1140" s="24" t="str">
        <f>_xll.DBRW("TM1-S1_DEV:}ElementAttributes_SP_SKU",$F1140,E$1)</f>
        <v>INGREDIENT</v>
      </c>
      <c r="F1140" s="26" t="s">
        <v>110</v>
      </c>
      <c r="G1140" s="26" t="s">
        <v>1032</v>
      </c>
      <c r="H1140" s="26" t="s">
        <v>2694</v>
      </c>
      <c r="I1140" s="54">
        <f>_xll.DBRW($A$1,$F$14,$F$15,$C1140,$A$2,$F1140,$G1140,$H1140,I$1)</f>
        <v>36</v>
      </c>
      <c r="J1140" s="25">
        <f>_xll.DBRW($A$1,$F$14,$F$15,$C1140,$A$2,$F1140,$G1140,$H1140,J$19)</f>
        <v>36</v>
      </c>
    </row>
    <row r="1141" spans="1:10" s="23" customFormat="1" outlineLevel="1" thickBot="1" x14ac:dyDescent="0.3">
      <c r="A1141" s="44"/>
      <c r="B1141" s="31" t="str">
        <f>IF(_xll.TM1RPTELISCONSOLIDATED($H$20,$H1141),IF(_xll.TM1RPTELLEV($H$20,$H1141)&lt;=5,_xll.TM1RPTELLEV($H$20,$H1141),"Default"),"Leaf")</f>
        <v>Leaf</v>
      </c>
      <c r="C1141" s="26" t="s">
        <v>15</v>
      </c>
      <c r="D1141" s="24" t="str">
        <f>_xll.DBRW("TM1-S1_DEV:}ElementAttributes_SP_SKU",$F1141,D$1)</f>
        <v>Project</v>
      </c>
      <c r="E1141" s="24" t="str">
        <f>_xll.DBRW("TM1-S1_DEV:}ElementAttributes_SP_SKU",$F1141,E$1)</f>
        <v>INGREDIENT</v>
      </c>
      <c r="F1141" s="26" t="s">
        <v>111</v>
      </c>
      <c r="G1141" s="26" t="s">
        <v>1033</v>
      </c>
      <c r="H1141" s="26" t="s">
        <v>2742</v>
      </c>
      <c r="I1141" s="54">
        <f>_xll.DBRW($A$1,$F$14,$F$15,$C1141,$A$2,$F1141,$G1141,$H1141,I$1)</f>
        <v>24</v>
      </c>
      <c r="J1141" s="25">
        <f>_xll.DBRW($A$1,$F$14,$F$15,$C1141,$A$2,$F1141,$G1141,$H1141,J$19)</f>
        <v>24</v>
      </c>
    </row>
    <row r="1142" spans="1:10" s="23" customFormat="1" outlineLevel="1" thickBot="1" x14ac:dyDescent="0.3">
      <c r="A1142" s="44"/>
      <c r="B1142" s="31" t="str">
        <f>IF(_xll.TM1RPTELISCONSOLIDATED($H$20,$H1142),IF(_xll.TM1RPTELLEV($H$20,$H1142)&lt;=5,_xll.TM1RPTELLEV($H$20,$H1142),"Default"),"Leaf")</f>
        <v>Leaf</v>
      </c>
      <c r="C1142" s="26" t="s">
        <v>15</v>
      </c>
      <c r="D1142" s="24" t="str">
        <f>_xll.DBRW("TM1-S1_DEV:}ElementAttributes_SP_SKU",$F1142,D$1)</f>
        <v>Project</v>
      </c>
      <c r="E1142" s="24" t="str">
        <f>_xll.DBRW("TM1-S1_DEV:}ElementAttributes_SP_SKU",$F1142,E$1)</f>
        <v>CONDIMENT</v>
      </c>
      <c r="F1142" s="26" t="s">
        <v>112</v>
      </c>
      <c r="G1142" s="26" t="s">
        <v>1034</v>
      </c>
      <c r="H1142" s="26" t="s">
        <v>2743</v>
      </c>
      <c r="I1142" s="54">
        <f>_xll.DBRW($A$1,$F$14,$F$15,$C1142,$A$2,$F1142,$G1142,$H1142,I$1)</f>
        <v>383</v>
      </c>
      <c r="J1142" s="25">
        <f>_xll.DBRW($A$1,$F$14,$F$15,$C1142,$A$2,$F1142,$G1142,$H1142,J$19)</f>
        <v>383</v>
      </c>
    </row>
    <row r="1143" spans="1:10" s="23" customFormat="1" outlineLevel="1" thickBot="1" x14ac:dyDescent="0.3">
      <c r="A1143" s="44"/>
      <c r="B1143" s="31" t="str">
        <f>IF(_xll.TM1RPTELISCONSOLIDATED($H$20,$H1143),IF(_xll.TM1RPTELLEV($H$20,$H1143)&lt;=5,_xll.TM1RPTELLEV($H$20,$H1143),"Default"),"Leaf")</f>
        <v>Leaf</v>
      </c>
      <c r="C1143" s="26" t="s">
        <v>15</v>
      </c>
      <c r="D1143" s="24" t="str">
        <f>_xll.DBRW("TM1-S1_DEV:}ElementAttributes_SP_SKU",$F1143,D$1)</f>
        <v>Project</v>
      </c>
      <c r="E1143" s="24" t="str">
        <f>_xll.DBRW("TM1-S1_DEV:}ElementAttributes_SP_SKU",$F1143,E$1)</f>
        <v>CONDIMENT</v>
      </c>
      <c r="F1143" s="26" t="s">
        <v>113</v>
      </c>
      <c r="G1143" s="26" t="s">
        <v>1035</v>
      </c>
      <c r="H1143" s="26" t="s">
        <v>2769</v>
      </c>
      <c r="I1143" s="54">
        <f>_xll.DBRW($A$1,$F$14,$F$15,$C1143,$A$2,$F1143,$G1143,$H1143,I$1)</f>
        <v>16</v>
      </c>
      <c r="J1143" s="25">
        <f>_xll.DBRW($A$1,$F$14,$F$15,$C1143,$A$2,$F1143,$G1143,$H1143,J$19)</f>
        <v>16</v>
      </c>
    </row>
    <row r="1144" spans="1:10" s="23" customFormat="1" outlineLevel="1" thickBot="1" x14ac:dyDescent="0.3">
      <c r="A1144" s="44"/>
      <c r="B1144" s="31" t="str">
        <f>IF(_xll.TM1RPTELISCONSOLIDATED($H$20,$H1144),IF(_xll.TM1RPTELLEV($H$20,$H1144)&lt;=5,_xll.TM1RPTELLEV($H$20,$H1144),"Default"),"Leaf")</f>
        <v>Leaf</v>
      </c>
      <c r="C1144" s="26" t="s">
        <v>15</v>
      </c>
      <c r="D1144" s="24" t="str">
        <f>_xll.DBRW("TM1-S1_DEV:}ElementAttributes_SP_SKU",$F1144,D$1)</f>
        <v>Project</v>
      </c>
      <c r="E1144" s="24" t="str">
        <f>_xll.DBRW("TM1-S1_DEV:}ElementAttributes_SP_SKU",$F1144,E$1)</f>
        <v>INGREDIENT</v>
      </c>
      <c r="F1144" s="26" t="s">
        <v>114</v>
      </c>
      <c r="G1144" s="26" t="s">
        <v>1036</v>
      </c>
      <c r="H1144" s="26" t="s">
        <v>2765</v>
      </c>
      <c r="I1144" s="54">
        <f>_xll.DBRW($A$1,$F$14,$F$15,$C1144,$A$2,$F1144,$G1144,$H1144,I$1)</f>
        <v>265</v>
      </c>
      <c r="J1144" s="25">
        <f>_xll.DBRW($A$1,$F$14,$F$15,$C1144,$A$2,$F1144,$G1144,$H1144,J$19)</f>
        <v>265</v>
      </c>
    </row>
    <row r="1145" spans="1:10" s="23" customFormat="1" outlineLevel="1" thickBot="1" x14ac:dyDescent="0.3">
      <c r="A1145" s="44"/>
      <c r="B1145" s="31" t="str">
        <f>IF(_xll.TM1RPTELISCONSOLIDATED($H$20,$H1145),IF(_xll.TM1RPTELLEV($H$20,$H1145)&lt;=5,_xll.TM1RPTELLEV($H$20,$H1145),"Default"),"Leaf")</f>
        <v>Leaf</v>
      </c>
      <c r="C1145" s="26" t="s">
        <v>15</v>
      </c>
      <c r="D1145" s="24" t="str">
        <f>_xll.DBRW("TM1-S1_DEV:}ElementAttributes_SP_SKU",$F1145,D$1)</f>
        <v>Primary</v>
      </c>
      <c r="E1145" s="24" t="str">
        <f>_xll.DBRW("TM1-S1_DEV:}ElementAttributes_SP_SKU",$F1145,E$1)</f>
        <v>INGREDIENT</v>
      </c>
      <c r="F1145" s="26" t="s">
        <v>3198</v>
      </c>
      <c r="G1145" s="26" t="s">
        <v>1230</v>
      </c>
      <c r="H1145" s="26" t="s">
        <v>2701</v>
      </c>
      <c r="I1145" s="54">
        <f>_xll.DBRW($A$1,$F$14,$F$15,$C1145,$A$2,$F1145,$G1145,$H1145,I$1)</f>
        <v>54</v>
      </c>
      <c r="J1145" s="25">
        <f>_xll.DBRW($A$1,$F$14,$F$15,$C1145,$A$2,$F1145,$G1145,$H1145,J$19)</f>
        <v>42</v>
      </c>
    </row>
    <row r="1146" spans="1:10" s="23" customFormat="1" outlineLevel="1" thickBot="1" x14ac:dyDescent="0.3">
      <c r="A1146" s="44"/>
      <c r="B1146" s="31" t="str">
        <f>IF(_xll.TM1RPTELISCONSOLIDATED($H$20,$H1146),IF(_xll.TM1RPTELLEV($H$20,$H1146)&lt;=5,_xll.TM1RPTELLEV($H$20,$H1146),"Default"),"Leaf")</f>
        <v>Leaf</v>
      </c>
      <c r="C1146" s="26" t="s">
        <v>15</v>
      </c>
      <c r="D1146" s="24" t="str">
        <f>_xll.DBRW("TM1-S1_DEV:}ElementAttributes_SP_SKU",$F1146,D$1)</f>
        <v>Primary</v>
      </c>
      <c r="E1146" s="24" t="str">
        <f>_xll.DBRW("TM1-S1_DEV:}ElementAttributes_SP_SKU",$F1146,E$1)</f>
        <v>PLATE</v>
      </c>
      <c r="F1146" s="26" t="s">
        <v>291</v>
      </c>
      <c r="G1146" s="26" t="s">
        <v>1281</v>
      </c>
      <c r="H1146" s="26" t="s">
        <v>2829</v>
      </c>
      <c r="I1146" s="54">
        <f>_xll.DBRW($A$1,$F$14,$F$15,$C1146,$A$2,$F1146,$G1146,$H1146,I$1)</f>
        <v>52</v>
      </c>
      <c r="J1146" s="25">
        <f>_xll.DBRW($A$1,$F$14,$F$15,$C1146,$A$2,$F1146,$G1146,$H1146,J$19)</f>
        <v>52</v>
      </c>
    </row>
    <row r="1147" spans="1:10" s="23" customFormat="1" outlineLevel="1" thickBot="1" x14ac:dyDescent="0.3">
      <c r="A1147" s="44"/>
      <c r="B1147" s="31" t="str">
        <f>IF(_xll.TM1RPTELISCONSOLIDATED($H$20,$H1147),IF(_xll.TM1RPTELLEV($H$20,$H1147)&lt;=5,_xll.TM1RPTELLEV($H$20,$H1147),"Default"),"Leaf")</f>
        <v>Leaf</v>
      </c>
      <c r="C1147" s="26" t="s">
        <v>15</v>
      </c>
      <c r="D1147" s="24" t="str">
        <f>_xll.DBRW("TM1-S1_DEV:}ElementAttributes_SP_SKU",$F1147,D$1)</f>
        <v>Primary</v>
      </c>
      <c r="E1147" s="24" t="str">
        <f>_xll.DBRW("TM1-S1_DEV:}ElementAttributes_SP_SKU",$F1147,E$1)</f>
        <v>BOX</v>
      </c>
      <c r="F1147" s="26" t="s">
        <v>3199</v>
      </c>
      <c r="G1147" s="26" t="s">
        <v>1231</v>
      </c>
      <c r="H1147" s="26" t="s">
        <v>2702</v>
      </c>
      <c r="I1147" s="54">
        <f>_xll.DBRW($A$1,$F$14,$F$15,$C1147,$A$2,$F1147,$G1147,$H1147,I$1)</f>
        <v>7</v>
      </c>
      <c r="J1147" s="25">
        <f>_xll.DBRW($A$1,$F$14,$F$15,$C1147,$A$2,$F1147,$G1147,$H1147,J$19)</f>
        <v>7</v>
      </c>
    </row>
    <row r="1148" spans="1:10" s="23" customFormat="1" outlineLevel="1" thickBot="1" x14ac:dyDescent="0.3">
      <c r="A1148" s="44"/>
      <c r="B1148" s="31" t="str">
        <f>IF(_xll.TM1RPTELISCONSOLIDATED($H$20,$H1148),IF(_xll.TM1RPTELLEV($H$20,$H1148)&lt;=5,_xll.TM1RPTELLEV($H$20,$H1148),"Default"),"Leaf")</f>
        <v>Leaf</v>
      </c>
      <c r="C1148" s="26" t="s">
        <v>15</v>
      </c>
      <c r="D1148" s="24" t="str">
        <f>_xll.DBRW("TM1-S1_DEV:}ElementAttributes_SP_SKU",$F1148,D$1)</f>
        <v>Primary</v>
      </c>
      <c r="E1148" s="24" t="str">
        <f>_xll.DBRW("TM1-S1_DEV:}ElementAttributes_SP_SKU",$F1148,E$1)</f>
        <v>FOIL</v>
      </c>
      <c r="F1148" s="26" t="s">
        <v>3204</v>
      </c>
      <c r="G1148" s="26" t="s">
        <v>1232</v>
      </c>
      <c r="H1148" s="26" t="s">
        <v>2704</v>
      </c>
      <c r="I1148" s="54">
        <f>_xll.DBRW($A$1,$F$14,$F$15,$C1148,$A$2,$F1148,$G1148,$H1148,I$1)</f>
        <v>96</v>
      </c>
      <c r="J1148" s="25">
        <f>_xll.DBRW($A$1,$F$14,$F$15,$C1148,$A$2,$F1148,$G1148,$H1148,J$19)</f>
        <v>59</v>
      </c>
    </row>
    <row r="1149" spans="1:10" s="23" customFormat="1" outlineLevel="1" thickBot="1" x14ac:dyDescent="0.3">
      <c r="A1149" s="44"/>
      <c r="B1149" s="31" t="str">
        <f>IF(_xll.TM1RPTELISCONSOLIDATED($H$20,$H1149),IF(_xll.TM1RPTELLEV($H$20,$H1149)&lt;=5,_xll.TM1RPTELLEV($H$20,$H1149),"Default"),"Leaf")</f>
        <v>Leaf</v>
      </c>
      <c r="C1149" s="26" t="s">
        <v>15</v>
      </c>
      <c r="D1149" s="24" t="str">
        <f>_xll.DBRW("TM1-S1_DEV:}ElementAttributes_SP_SKU",$F1149,D$1)</f>
        <v>Primary</v>
      </c>
      <c r="E1149" s="24" t="str">
        <f>_xll.DBRW("TM1-S1_DEV:}ElementAttributes_SP_SKU",$F1149,E$1)</f>
        <v>BAG</v>
      </c>
      <c r="F1149" s="26" t="s">
        <v>3205</v>
      </c>
      <c r="G1149" s="26" t="s">
        <v>1037</v>
      </c>
      <c r="H1149" s="26" t="s">
        <v>2705</v>
      </c>
      <c r="I1149" s="54">
        <f>_xll.DBRW($A$1,$F$14,$F$15,$C1149,$A$2,$F1149,$G1149,$H1149,I$1)</f>
        <v>27</v>
      </c>
      <c r="J1149" s="25">
        <f>_xll.DBRW($A$1,$F$14,$F$15,$C1149,$A$2,$F1149,$G1149,$H1149,J$19)</f>
        <v>21</v>
      </c>
    </row>
    <row r="1150" spans="1:10" s="23" customFormat="1" outlineLevel="1" thickBot="1" x14ac:dyDescent="0.3">
      <c r="A1150" s="44"/>
      <c r="B1150" s="31" t="str">
        <f>IF(_xll.TM1RPTELISCONSOLIDATED($H$20,$H1150),IF(_xll.TM1RPTELLEV($H$20,$H1150)&lt;=5,_xll.TM1RPTELLEV($H$20,$H1150),"Default"),"Leaf")</f>
        <v>Leaf</v>
      </c>
      <c r="C1150" s="26" t="s">
        <v>15</v>
      </c>
      <c r="D1150" s="24" t="str">
        <f>_xll.DBRW("TM1-S1_DEV:}ElementAttributes_SP_SKU",$F1150,D$1)</f>
        <v>Primary</v>
      </c>
      <c r="E1150" s="24" t="str">
        <f>_xll.DBRW("TM1-S1_DEV:}ElementAttributes_SP_SKU",$F1150,E$1)</f>
        <v>FOIL</v>
      </c>
      <c r="F1150" s="26" t="s">
        <v>3206</v>
      </c>
      <c r="G1150" s="26" t="s">
        <v>1038</v>
      </c>
      <c r="H1150" s="26" t="s">
        <v>2704</v>
      </c>
      <c r="I1150" s="54">
        <f>_xll.DBRW($A$1,$F$14,$F$15,$C1150,$A$2,$F1150,$G1150,$H1150,I$1)</f>
        <v>88</v>
      </c>
      <c r="J1150" s="25">
        <f>_xll.DBRW($A$1,$F$14,$F$15,$C1150,$A$2,$F1150,$G1150,$H1150,J$19)</f>
        <v>64</v>
      </c>
    </row>
    <row r="1151" spans="1:10" s="23" customFormat="1" outlineLevel="1" thickBot="1" x14ac:dyDescent="0.3">
      <c r="A1151" s="44"/>
      <c r="B1151" s="31" t="str">
        <f>IF(_xll.TM1RPTELISCONSOLIDATED($H$20,$H1151),IF(_xll.TM1RPTELLEV($H$20,$H1151)&lt;=5,_xll.TM1RPTELLEV($H$20,$H1151),"Default"),"Leaf")</f>
        <v>Leaf</v>
      </c>
      <c r="C1151" s="26" t="s">
        <v>15</v>
      </c>
      <c r="D1151" s="24" t="str">
        <f>_xll.DBRW("TM1-S1_DEV:}ElementAttributes_SP_SKU",$F1151,D$1)</f>
        <v>Primary</v>
      </c>
      <c r="E1151" s="24" t="str">
        <f>_xll.DBRW("TM1-S1_DEV:}ElementAttributes_SP_SKU",$F1151,E$1)</f>
        <v>BAG</v>
      </c>
      <c r="F1151" s="26" t="s">
        <v>3208</v>
      </c>
      <c r="G1151" s="26" t="s">
        <v>1233</v>
      </c>
      <c r="H1151" s="26" t="s">
        <v>2705</v>
      </c>
      <c r="I1151" s="54">
        <f>_xll.DBRW($A$1,$F$14,$F$15,$C1151,$A$2,$F1151,$G1151,$H1151,I$1)</f>
        <v>45</v>
      </c>
      <c r="J1151" s="25">
        <f>_xll.DBRW($A$1,$F$14,$F$15,$C1151,$A$2,$F1151,$G1151,$H1151,J$19)</f>
        <v>40</v>
      </c>
    </row>
    <row r="1152" spans="1:10" s="23" customFormat="1" outlineLevel="1" thickBot="1" x14ac:dyDescent="0.3">
      <c r="A1152" s="44"/>
      <c r="B1152" s="31" t="str">
        <f>IF(_xll.TM1RPTELISCONSOLIDATED($H$20,$H1152),IF(_xll.TM1RPTELLEV($H$20,$H1152)&lt;=5,_xll.TM1RPTELLEV($H$20,$H1152),"Default"),"Leaf")</f>
        <v>Leaf</v>
      </c>
      <c r="C1152" s="26" t="s">
        <v>15</v>
      </c>
      <c r="D1152" s="24" t="str">
        <f>_xll.DBRW("TM1-S1_DEV:}ElementAttributes_SP_SKU",$F1152,D$1)</f>
        <v>Primary</v>
      </c>
      <c r="E1152" s="24" t="str">
        <f>_xll.DBRW("TM1-S1_DEV:}ElementAttributes_SP_SKU",$F1152,E$1)</f>
        <v>BAG</v>
      </c>
      <c r="F1152" s="26" t="s">
        <v>3209</v>
      </c>
      <c r="G1152" s="26" t="s">
        <v>1234</v>
      </c>
      <c r="H1152" s="26" t="s">
        <v>2705</v>
      </c>
      <c r="I1152" s="54">
        <f>_xll.DBRW($A$1,$F$14,$F$15,$C1152,$A$2,$F1152,$G1152,$H1152,I$1)</f>
        <v>82</v>
      </c>
      <c r="J1152" s="25">
        <f>_xll.DBRW($A$1,$F$14,$F$15,$C1152,$A$2,$F1152,$G1152,$H1152,J$19)</f>
        <v>49</v>
      </c>
    </row>
    <row r="1153" spans="1:10" s="23" customFormat="1" outlineLevel="1" thickBot="1" x14ac:dyDescent="0.3">
      <c r="A1153" s="44"/>
      <c r="B1153" s="31" t="str">
        <f>IF(_xll.TM1RPTELISCONSOLIDATED($H$20,$H1153),IF(_xll.TM1RPTELLEV($H$20,$H1153)&lt;=5,_xll.TM1RPTELLEV($H$20,$H1153),"Default"),"Leaf")</f>
        <v>Leaf</v>
      </c>
      <c r="C1153" s="26" t="s">
        <v>15</v>
      </c>
      <c r="D1153" s="24" t="str">
        <f>_xll.DBRW("TM1-S1_DEV:}ElementAttributes_SP_SKU",$F1153,D$1)</f>
        <v>Primary</v>
      </c>
      <c r="E1153" s="24" t="str">
        <f>_xll.DBRW("TM1-S1_DEV:}ElementAttributes_SP_SKU",$F1153,E$1)</f>
        <v>BAG</v>
      </c>
      <c r="F1153" s="26" t="s">
        <v>3210</v>
      </c>
      <c r="G1153" s="26" t="s">
        <v>1039</v>
      </c>
      <c r="H1153" s="26" t="s">
        <v>2705</v>
      </c>
      <c r="I1153" s="54">
        <f>_xll.DBRW($A$1,$F$14,$F$15,$C1153,$A$2,$F1153,$G1153,$H1153,I$1)</f>
        <v>40</v>
      </c>
      <c r="J1153" s="25">
        <f>_xll.DBRW($A$1,$F$14,$F$15,$C1153,$A$2,$F1153,$G1153,$H1153,J$19)</f>
        <v>25</v>
      </c>
    </row>
    <row r="1154" spans="1:10" s="23" customFormat="1" outlineLevel="1" thickBot="1" x14ac:dyDescent="0.3">
      <c r="A1154" s="44"/>
      <c r="B1154" s="31" t="str">
        <f>IF(_xll.TM1RPTELISCONSOLIDATED($H$20,$H1154),IF(_xll.TM1RPTELLEV($H$20,$H1154)&lt;=5,_xll.TM1RPTELLEV($H$20,$H1154),"Default"),"Leaf")</f>
        <v>Leaf</v>
      </c>
      <c r="C1154" s="26" t="s">
        <v>15</v>
      </c>
      <c r="D1154" s="24" t="str">
        <f>_xll.DBRW("TM1-S1_DEV:}ElementAttributes_SP_SKU",$F1154,D$1)</f>
        <v>Primary</v>
      </c>
      <c r="E1154" s="24" t="str">
        <f>_xll.DBRW("TM1-S1_DEV:}ElementAttributes_SP_SKU",$F1154,E$1)</f>
        <v>BOX</v>
      </c>
      <c r="F1154" s="26" t="s">
        <v>3211</v>
      </c>
      <c r="G1154" s="26" t="s">
        <v>1040</v>
      </c>
      <c r="H1154" s="26" t="s">
        <v>2706</v>
      </c>
      <c r="I1154" s="54">
        <f>_xll.DBRW($A$1,$F$14,$F$15,$C1154,$A$2,$F1154,$G1154,$H1154,I$1)</f>
        <v>523</v>
      </c>
      <c r="J1154" s="25">
        <f>_xll.DBRW($A$1,$F$14,$F$15,$C1154,$A$2,$F1154,$G1154,$H1154,J$19)</f>
        <v>506</v>
      </c>
    </row>
    <row r="1155" spans="1:10" s="23" customFormat="1" outlineLevel="1" thickBot="1" x14ac:dyDescent="0.3">
      <c r="A1155" s="44"/>
      <c r="B1155" s="31" t="str">
        <f>IF(_xll.TM1RPTELISCONSOLIDATED($H$20,$H1155),IF(_xll.TM1RPTELLEV($H$20,$H1155)&lt;=5,_xll.TM1RPTELLEV($H$20,$H1155),"Default"),"Leaf")</f>
        <v>Leaf</v>
      </c>
      <c r="C1155" s="26" t="s">
        <v>15</v>
      </c>
      <c r="D1155" s="24" t="str">
        <f>_xll.DBRW("TM1-S1_DEV:}ElementAttributes_SP_SKU",$F1155,D$1)</f>
        <v>Primary</v>
      </c>
      <c r="E1155" s="24" t="str">
        <f>_xll.DBRW("TM1-S1_DEV:}ElementAttributes_SP_SKU",$F1155,E$1)</f>
        <v>FOIL</v>
      </c>
      <c r="F1155" s="26" t="s">
        <v>3212</v>
      </c>
      <c r="G1155" s="26" t="s">
        <v>1235</v>
      </c>
      <c r="H1155" s="26" t="s">
        <v>2704</v>
      </c>
      <c r="I1155" s="54">
        <f>_xll.DBRW($A$1,$F$14,$F$15,$C1155,$A$2,$F1155,$G1155,$H1155,I$1)</f>
        <v>38</v>
      </c>
      <c r="J1155" s="25">
        <f>_xll.DBRW($A$1,$F$14,$F$15,$C1155,$A$2,$F1155,$G1155,$H1155,J$19)</f>
        <v>20</v>
      </c>
    </row>
    <row r="1156" spans="1:10" s="23" customFormat="1" outlineLevel="1" thickBot="1" x14ac:dyDescent="0.3">
      <c r="A1156" s="44"/>
      <c r="B1156" s="31" t="str">
        <f>IF(_xll.TM1RPTELISCONSOLIDATED($H$20,$H1156),IF(_xll.TM1RPTELLEV($H$20,$H1156)&lt;=5,_xll.TM1RPTELLEV($H$20,$H1156),"Default"),"Leaf")</f>
        <v>Leaf</v>
      </c>
      <c r="C1156" s="26" t="s">
        <v>15</v>
      </c>
      <c r="D1156" s="24" t="str">
        <f>_xll.DBRW("TM1-S1_DEV:}ElementAttributes_SP_SKU",$F1156,D$1)</f>
        <v>Primary</v>
      </c>
      <c r="E1156" s="24" t="str">
        <f>_xll.DBRW("TM1-S1_DEV:}ElementAttributes_SP_SKU",$F1156,E$1)</f>
        <v>BAG</v>
      </c>
      <c r="F1156" s="26" t="s">
        <v>3219</v>
      </c>
      <c r="G1156" s="26" t="s">
        <v>1236</v>
      </c>
      <c r="H1156" s="26" t="s">
        <v>2705</v>
      </c>
      <c r="I1156" s="54">
        <f>_xll.DBRW($A$1,$F$14,$F$15,$C1156,$A$2,$F1156,$G1156,$H1156,I$1)</f>
        <v>24</v>
      </c>
      <c r="J1156" s="25">
        <f>_xll.DBRW($A$1,$F$14,$F$15,$C1156,$A$2,$F1156,$G1156,$H1156,J$19)</f>
        <v>13</v>
      </c>
    </row>
    <row r="1157" spans="1:10" s="23" customFormat="1" outlineLevel="1" thickBot="1" x14ac:dyDescent="0.3">
      <c r="A1157" s="44"/>
      <c r="B1157" s="31" t="str">
        <f>IF(_xll.TM1RPTELISCONSOLIDATED($H$20,$H1157),IF(_xll.TM1RPTELLEV($H$20,$H1157)&lt;=5,_xll.TM1RPTELLEV($H$20,$H1157),"Default"),"Leaf")</f>
        <v>Leaf</v>
      </c>
      <c r="C1157" s="26" t="s">
        <v>15</v>
      </c>
      <c r="D1157" s="24" t="str">
        <f>_xll.DBRW("TM1-S1_DEV:}ElementAttributes_SP_SKU",$F1157,D$1)</f>
        <v>Primary</v>
      </c>
      <c r="E1157" s="24" t="str">
        <f>_xll.DBRW("TM1-S1_DEV:}ElementAttributes_SP_SKU",$F1157,E$1)</f>
        <v>BOX</v>
      </c>
      <c r="F1157" s="26" t="s">
        <v>3220</v>
      </c>
      <c r="G1157" s="26" t="s">
        <v>1237</v>
      </c>
      <c r="H1157" s="26" t="s">
        <v>2702</v>
      </c>
      <c r="I1157" s="54">
        <f>_xll.DBRW($A$1,$F$14,$F$15,$C1157,$A$2,$F1157,$G1157,$H1157,I$1)</f>
        <v>14</v>
      </c>
      <c r="J1157" s="25">
        <f>_xll.DBRW($A$1,$F$14,$F$15,$C1157,$A$2,$F1157,$G1157,$H1157,J$19)</f>
        <v>11</v>
      </c>
    </row>
    <row r="1158" spans="1:10" s="23" customFormat="1" outlineLevel="1" thickBot="1" x14ac:dyDescent="0.3">
      <c r="A1158" s="44"/>
      <c r="B1158" s="31" t="str">
        <f>IF(_xll.TM1RPTELISCONSOLIDATED($H$20,$H1158),IF(_xll.TM1RPTELLEV($H$20,$H1158)&lt;=5,_xll.TM1RPTELLEV($H$20,$H1158),"Default"),"Leaf")</f>
        <v>Leaf</v>
      </c>
      <c r="C1158" s="26" t="s">
        <v>15</v>
      </c>
      <c r="D1158" s="24" t="str">
        <f>_xll.DBRW("TM1-S1_DEV:}ElementAttributes_SP_SKU",$F1158,D$1)</f>
        <v>Primary</v>
      </c>
      <c r="E1158" s="24" t="str">
        <f>_xll.DBRW("TM1-S1_DEV:}ElementAttributes_SP_SKU",$F1158,E$1)</f>
        <v>BOX</v>
      </c>
      <c r="F1158" s="26" t="s">
        <v>3221</v>
      </c>
      <c r="G1158" s="26" t="s">
        <v>1238</v>
      </c>
      <c r="H1158" s="26" t="s">
        <v>2702</v>
      </c>
      <c r="I1158" s="54">
        <f>_xll.DBRW($A$1,$F$14,$F$15,$C1158,$A$2,$F1158,$G1158,$H1158,I$1)</f>
        <v>6</v>
      </c>
      <c r="J1158" s="25">
        <f>_xll.DBRW($A$1,$F$14,$F$15,$C1158,$A$2,$F1158,$G1158,$H1158,J$19)</f>
        <v>4</v>
      </c>
    </row>
    <row r="1159" spans="1:10" s="23" customFormat="1" outlineLevel="1" thickBot="1" x14ac:dyDescent="0.3">
      <c r="A1159" s="44"/>
      <c r="B1159" s="31" t="str">
        <f>IF(_xll.TM1RPTELISCONSOLIDATED($H$20,$H1159),IF(_xll.TM1RPTELLEV($H$20,$H1159)&lt;=5,_xll.TM1RPTELLEV($H$20,$H1159),"Default"),"Leaf")</f>
        <v>Leaf</v>
      </c>
      <c r="C1159" s="26" t="s">
        <v>15</v>
      </c>
      <c r="D1159" s="24" t="str">
        <f>_xll.DBRW("TM1-S1_DEV:}ElementAttributes_SP_SKU",$F1159,D$1)</f>
        <v>Primary</v>
      </c>
      <c r="E1159" s="24" t="str">
        <f>_xll.DBRW("TM1-S1_DEV:}ElementAttributes_SP_SKU",$F1159,E$1)</f>
        <v>BOX</v>
      </c>
      <c r="F1159" s="26" t="s">
        <v>3222</v>
      </c>
      <c r="G1159" s="26" t="s">
        <v>1239</v>
      </c>
      <c r="H1159" s="26" t="s">
        <v>2702</v>
      </c>
      <c r="I1159" s="54">
        <f>_xll.DBRW($A$1,$F$14,$F$15,$C1159,$A$2,$F1159,$G1159,$H1159,I$1)</f>
        <v>12</v>
      </c>
      <c r="J1159" s="25">
        <f>_xll.DBRW($A$1,$F$14,$F$15,$C1159,$A$2,$F1159,$G1159,$H1159,J$19)</f>
        <v>10</v>
      </c>
    </row>
    <row r="1160" spans="1:10" s="23" customFormat="1" outlineLevel="1" thickBot="1" x14ac:dyDescent="0.3">
      <c r="A1160" s="44"/>
      <c r="B1160" s="31" t="str">
        <f>IF(_xll.TM1RPTELISCONSOLIDATED($H$20,$H1160),IF(_xll.TM1RPTELLEV($H$20,$H1160)&lt;=5,_xll.TM1RPTELLEV($H$20,$H1160),"Default"),"Leaf")</f>
        <v>Leaf</v>
      </c>
      <c r="C1160" s="26" t="s">
        <v>15</v>
      </c>
      <c r="D1160" s="24" t="str">
        <f>_xll.DBRW("TM1-S1_DEV:}ElementAttributes_SP_SKU",$F1160,D$1)</f>
        <v>Unassigned PSP</v>
      </c>
      <c r="E1160" s="24" t="str">
        <f>_xll.DBRW("TM1-S1_DEV:}ElementAttributes_SP_SKU",$F1160,E$1)</f>
        <v>BOWL</v>
      </c>
      <c r="F1160" s="26" t="s">
        <v>75</v>
      </c>
      <c r="G1160" s="26" t="s">
        <v>1282</v>
      </c>
      <c r="H1160" s="26" t="s">
        <v>2745</v>
      </c>
      <c r="I1160" s="54">
        <f>_xll.DBRW($A$1,$F$14,$F$15,$C1160,$A$2,$F1160,$G1160,$H1160,I$1)</f>
        <v>5</v>
      </c>
      <c r="J1160" s="25">
        <f>_xll.DBRW($A$1,$F$14,$F$15,$C1160,$A$2,$F1160,$G1160,$H1160,J$19)</f>
        <v>5</v>
      </c>
    </row>
    <row r="1161" spans="1:10" s="23" customFormat="1" outlineLevel="1" thickBot="1" x14ac:dyDescent="0.3">
      <c r="A1161" s="44"/>
      <c r="B1161" s="31" t="str">
        <f>IF(_xll.TM1RPTELISCONSOLIDATED($H$20,$H1161),IF(_xll.TM1RPTELLEV($H$20,$H1161)&lt;=5,_xll.TM1RPTELLEV($H$20,$H1161),"Default"),"Leaf")</f>
        <v>Leaf</v>
      </c>
      <c r="C1161" s="26" t="s">
        <v>15</v>
      </c>
      <c r="D1161" s="24" t="str">
        <f>_xll.DBRW("TM1-S1_DEV:}ElementAttributes_SP_SKU",$F1161,D$1)</f>
        <v>Unassigned PSP</v>
      </c>
      <c r="E1161" s="24" t="str">
        <f>_xll.DBRW("TM1-S1_DEV:}ElementAttributes_SP_SKU",$F1161,E$1)</f>
        <v>LID</v>
      </c>
      <c r="F1161" s="26" t="s">
        <v>76</v>
      </c>
      <c r="G1161" s="26" t="s">
        <v>1283</v>
      </c>
      <c r="H1161" s="26" t="s">
        <v>2745</v>
      </c>
      <c r="I1161" s="54">
        <f>_xll.DBRW($A$1,$F$14,$F$15,$C1161,$A$2,$F1161,$G1161,$H1161,I$1)</f>
        <v>6</v>
      </c>
      <c r="J1161" s="25">
        <f>_xll.DBRW($A$1,$F$14,$F$15,$C1161,$A$2,$F1161,$G1161,$H1161,J$19)</f>
        <v>6</v>
      </c>
    </row>
    <row r="1162" spans="1:10" s="23" customFormat="1" outlineLevel="1" thickBot="1" x14ac:dyDescent="0.3">
      <c r="A1162" s="44"/>
      <c r="B1162" s="31" t="str">
        <f>IF(_xll.TM1RPTELISCONSOLIDATED($H$20,$H1162),IF(_xll.TM1RPTELLEV($H$20,$H1162)&lt;=5,_xll.TM1RPTELLEV($H$20,$H1162),"Default"),"Leaf")</f>
        <v>Leaf</v>
      </c>
      <c r="C1162" s="26" t="s">
        <v>15</v>
      </c>
      <c r="D1162" s="24" t="str">
        <f>_xll.DBRW("TM1-S1_DEV:}ElementAttributes_SP_SKU",$F1162,D$1)</f>
        <v>Primary</v>
      </c>
      <c r="E1162" s="24" t="str">
        <f>_xll.DBRW("TM1-S1_DEV:}ElementAttributes_SP_SKU",$F1162,E$1)</f>
        <v>BAG</v>
      </c>
      <c r="F1162" s="26" t="s">
        <v>3224</v>
      </c>
      <c r="G1162" s="26" t="s">
        <v>1240</v>
      </c>
      <c r="H1162" s="26" t="s">
        <v>2705</v>
      </c>
      <c r="I1162" s="54">
        <f>_xll.DBRW($A$1,$F$14,$F$15,$C1162,$A$2,$F1162,$G1162,$H1162,I$1)</f>
        <v>39</v>
      </c>
      <c r="J1162" s="25">
        <f>_xll.DBRW($A$1,$F$14,$F$15,$C1162,$A$2,$F1162,$G1162,$H1162,J$19)</f>
        <v>25</v>
      </c>
    </row>
    <row r="1163" spans="1:10" s="23" customFormat="1" outlineLevel="1" thickBot="1" x14ac:dyDescent="0.3">
      <c r="A1163" s="44"/>
      <c r="B1163" s="31" t="str">
        <f>IF(_xll.TM1RPTELISCONSOLIDATED($H$20,$H1163),IF(_xll.TM1RPTELLEV($H$20,$H1163)&lt;=5,_xll.TM1RPTELLEV($H$20,$H1163),"Default"),"Leaf")</f>
        <v>Leaf</v>
      </c>
      <c r="C1163" s="26" t="s">
        <v>15</v>
      </c>
      <c r="D1163" s="24" t="str">
        <f>_xll.DBRW("TM1-S1_DEV:}ElementAttributes_SP_SKU",$F1163,D$1)</f>
        <v>Primary</v>
      </c>
      <c r="E1163" s="24" t="str">
        <f>_xll.DBRW("TM1-S1_DEV:}ElementAttributes_SP_SKU",$F1163,E$1)</f>
        <v>CUP</v>
      </c>
      <c r="F1163" s="26" t="s">
        <v>3225</v>
      </c>
      <c r="G1163" s="26" t="s">
        <v>1041</v>
      </c>
      <c r="H1163" s="26" t="s">
        <v>2707</v>
      </c>
      <c r="I1163" s="54">
        <f>_xll.DBRW($A$1,$F$14,$F$15,$C1163,$A$2,$F1163,$G1163,$H1163,I$1)</f>
        <v>57</v>
      </c>
      <c r="J1163" s="25">
        <f>_xll.DBRW($A$1,$F$14,$F$15,$C1163,$A$2,$F1163,$G1163,$H1163,J$19)</f>
        <v>64</v>
      </c>
    </row>
    <row r="1164" spans="1:10" s="23" customFormat="1" outlineLevel="1" thickBot="1" x14ac:dyDescent="0.3">
      <c r="A1164" s="44"/>
      <c r="B1164" s="31" t="str">
        <f>IF(_xll.TM1RPTELISCONSOLIDATED($H$20,$H1164),IF(_xll.TM1RPTELLEV($H$20,$H1164)&lt;=5,_xll.TM1RPTELLEV($H$20,$H1164),"Default"),"Leaf")</f>
        <v>Leaf</v>
      </c>
      <c r="C1164" s="26" t="s">
        <v>15</v>
      </c>
      <c r="D1164" s="24" t="str">
        <f>_xll.DBRW("TM1-S1_DEV:}ElementAttributes_SP_SKU",$F1164,D$1)</f>
        <v>Primary</v>
      </c>
      <c r="E1164" s="24" t="str">
        <f>_xll.DBRW("TM1-S1_DEV:}ElementAttributes_SP_SKU",$F1164,E$1)</f>
        <v>CUP</v>
      </c>
      <c r="F1164" s="26" t="s">
        <v>3226</v>
      </c>
      <c r="G1164" s="26" t="s">
        <v>1042</v>
      </c>
      <c r="H1164" s="26" t="s">
        <v>2707</v>
      </c>
      <c r="I1164" s="54">
        <f>_xll.DBRW($A$1,$F$14,$F$15,$C1164,$A$2,$F1164,$G1164,$H1164,I$1)</f>
        <v>43</v>
      </c>
      <c r="J1164" s="25">
        <f>_xll.DBRW($A$1,$F$14,$F$15,$C1164,$A$2,$F1164,$G1164,$H1164,J$19)</f>
        <v>29</v>
      </c>
    </row>
    <row r="1165" spans="1:10" s="23" customFormat="1" outlineLevel="1" thickBot="1" x14ac:dyDescent="0.3">
      <c r="A1165" s="44"/>
      <c r="B1165" s="31" t="str">
        <f>IF(_xll.TM1RPTELISCONSOLIDATED($H$20,$H1165),IF(_xll.TM1RPTELLEV($H$20,$H1165)&lt;=5,_xll.TM1RPTELLEV($H$20,$H1165),"Default"),"Leaf")</f>
        <v>Leaf</v>
      </c>
      <c r="C1165" s="26" t="s">
        <v>15</v>
      </c>
      <c r="D1165" s="24" t="str">
        <f>_xll.DBRW("TM1-S1_DEV:}ElementAttributes_SP_SKU",$F1165,D$1)</f>
        <v>Primary</v>
      </c>
      <c r="E1165" s="24" t="str">
        <f>_xll.DBRW("TM1-S1_DEV:}ElementAttributes_SP_SKU",$F1165,E$1)</f>
        <v>PROTEIN</v>
      </c>
      <c r="F1165" s="26" t="s">
        <v>3227</v>
      </c>
      <c r="G1165" s="26" t="s">
        <v>1043</v>
      </c>
      <c r="H1165" s="26" t="s">
        <v>2673</v>
      </c>
      <c r="I1165" s="54">
        <f>_xll.DBRW($A$1,$F$14,$F$15,$C1165,$A$2,$F1165,$G1165,$H1165,I$1)</f>
        <v>592</v>
      </c>
      <c r="J1165" s="25">
        <f>_xll.DBRW($A$1,$F$14,$F$15,$C1165,$A$2,$F1165,$G1165,$H1165,J$19)</f>
        <v>430</v>
      </c>
    </row>
    <row r="1166" spans="1:10" s="23" customFormat="1" outlineLevel="1" thickBot="1" x14ac:dyDescent="0.3">
      <c r="A1166" s="44"/>
      <c r="B1166" s="31" t="str">
        <f>IF(_xll.TM1RPTELISCONSOLIDATED($H$20,$H1166),IF(_xll.TM1RPTELLEV($H$20,$H1166)&lt;=5,_xll.TM1RPTELLEV($H$20,$H1166),"Default"),"Leaf")</f>
        <v>Leaf</v>
      </c>
      <c r="C1166" s="26" t="s">
        <v>15</v>
      </c>
      <c r="D1166" s="24" t="str">
        <f>_xll.DBRW("TM1-S1_DEV:}ElementAttributes_SP_SKU",$F1166,D$1)</f>
        <v>Primary</v>
      </c>
      <c r="E1166" s="24" t="str">
        <f>_xll.DBRW("TM1-S1_DEV:}ElementAttributes_SP_SKU",$F1166,E$1)</f>
        <v>TRAY</v>
      </c>
      <c r="F1166" s="26" t="s">
        <v>3228</v>
      </c>
      <c r="G1166" s="26" t="s">
        <v>1241</v>
      </c>
      <c r="H1166" s="26" t="s">
        <v>2708</v>
      </c>
      <c r="I1166" s="54">
        <f>_xll.DBRW($A$1,$F$14,$F$15,$C1166,$A$2,$F1166,$G1166,$H1166,I$1)</f>
        <v>11</v>
      </c>
      <c r="J1166" s="25">
        <f>_xll.DBRW($A$1,$F$14,$F$15,$C1166,$A$2,$F1166,$G1166,$H1166,J$19)</f>
        <v>28</v>
      </c>
    </row>
    <row r="1167" spans="1:10" s="23" customFormat="1" outlineLevel="1" thickBot="1" x14ac:dyDescent="0.3">
      <c r="A1167" s="44"/>
      <c r="B1167" s="31" t="str">
        <f>IF(_xll.TM1RPTELISCONSOLIDATED($H$20,$H1167),IF(_xll.TM1RPTELLEV($H$20,$H1167)&lt;=5,_xll.TM1RPTELLEV($H$20,$H1167),"Default"),"Leaf")</f>
        <v>Leaf</v>
      </c>
      <c r="C1167" s="26" t="s">
        <v>15</v>
      </c>
      <c r="D1167" s="24" t="str">
        <f>_xll.DBRW("TM1-S1_DEV:}ElementAttributes_SP_SKU",$F1167,D$1)</f>
        <v>Primary</v>
      </c>
      <c r="E1167" s="24" t="str">
        <f>_xll.DBRW("TM1-S1_DEV:}ElementAttributes_SP_SKU",$F1167,E$1)</f>
        <v>TRAY</v>
      </c>
      <c r="F1167" s="26" t="s">
        <v>3229</v>
      </c>
      <c r="G1167" s="26" t="s">
        <v>1242</v>
      </c>
      <c r="H1167" s="26" t="s">
        <v>2708</v>
      </c>
      <c r="I1167" s="54">
        <f>_xll.DBRW($A$1,$F$14,$F$15,$C1167,$A$2,$F1167,$G1167,$H1167,I$1)</f>
        <v>9</v>
      </c>
      <c r="J1167" s="25">
        <f>_xll.DBRW($A$1,$F$14,$F$15,$C1167,$A$2,$F1167,$G1167,$H1167,J$19)</f>
        <v>11</v>
      </c>
    </row>
    <row r="1168" spans="1:10" s="23" customFormat="1" outlineLevel="1" thickBot="1" x14ac:dyDescent="0.3">
      <c r="A1168" s="44"/>
      <c r="B1168" s="31" t="str">
        <f>IF(_xll.TM1RPTELISCONSOLIDATED($H$20,$H1168),IF(_xll.TM1RPTELLEV($H$20,$H1168)&lt;=5,_xll.TM1RPTELLEV($H$20,$H1168),"Default"),"Leaf")</f>
        <v>Leaf</v>
      </c>
      <c r="C1168" s="26" t="s">
        <v>15</v>
      </c>
      <c r="D1168" s="24" t="str">
        <f>_xll.DBRW("TM1-S1_DEV:}ElementAttributes_SP_SKU",$F1168,D$1)</f>
        <v>Unassigned PSP</v>
      </c>
      <c r="E1168" s="24" t="str">
        <f>_xll.DBRW("TM1-S1_DEV:}ElementAttributes_SP_SKU",$F1168,E$1)</f>
        <v>BOWL</v>
      </c>
      <c r="F1168" s="26" t="s">
        <v>115</v>
      </c>
      <c r="G1168" s="26" t="s">
        <v>1044</v>
      </c>
      <c r="H1168" s="26" t="s">
        <v>2745</v>
      </c>
      <c r="I1168" s="54">
        <f>_xll.DBRW($A$1,$F$14,$F$15,$C1168,$A$2,$F1168,$G1168,$H1168,I$1)</f>
        <v>21</v>
      </c>
      <c r="J1168" s="25">
        <f>_xll.DBRW($A$1,$F$14,$F$15,$C1168,$A$2,$F1168,$G1168,$H1168,J$19)</f>
        <v>51</v>
      </c>
    </row>
    <row r="1169" spans="1:10" s="23" customFormat="1" outlineLevel="1" thickBot="1" x14ac:dyDescent="0.3">
      <c r="A1169" s="44"/>
      <c r="B1169" s="31" t="str">
        <f>IF(_xll.TM1RPTELISCONSOLIDATED($H$20,$H1169),IF(_xll.TM1RPTELLEV($H$20,$H1169)&lt;=5,_xll.TM1RPTELLEV($H$20,$H1169),"Default"),"Leaf")</f>
        <v>Leaf</v>
      </c>
      <c r="C1169" s="26" t="s">
        <v>15</v>
      </c>
      <c r="D1169" s="24" t="str">
        <f>_xll.DBRW("TM1-S1_DEV:}ElementAttributes_SP_SKU",$F1169,D$1)</f>
        <v>Unassigned PSP</v>
      </c>
      <c r="E1169" s="24" t="str">
        <f>_xll.DBRW("TM1-S1_DEV:}ElementAttributes_SP_SKU",$F1169,E$1)</f>
        <v>LID</v>
      </c>
      <c r="F1169" s="26" t="s">
        <v>116</v>
      </c>
      <c r="G1169" s="26" t="s">
        <v>1045</v>
      </c>
      <c r="H1169" s="26" t="s">
        <v>2745</v>
      </c>
      <c r="I1169" s="54">
        <f>_xll.DBRW($A$1,$F$14,$F$15,$C1169,$A$2,$F1169,$G1169,$H1169,I$1)</f>
        <v>22</v>
      </c>
      <c r="J1169" s="25">
        <f>_xll.DBRW($A$1,$F$14,$F$15,$C1169,$A$2,$F1169,$G1169,$H1169,J$19)</f>
        <v>46</v>
      </c>
    </row>
    <row r="1170" spans="1:10" s="23" customFormat="1" outlineLevel="1" thickBot="1" x14ac:dyDescent="0.3">
      <c r="A1170" s="44"/>
      <c r="B1170" s="31" t="str">
        <f>IF(_xll.TM1RPTELISCONSOLIDATED($H$20,$H1170),IF(_xll.TM1RPTELLEV($H$20,$H1170)&lt;=5,_xll.TM1RPTELLEV($H$20,$H1170),"Default"),"Leaf")</f>
        <v>Leaf</v>
      </c>
      <c r="C1170" s="26" t="s">
        <v>15</v>
      </c>
      <c r="D1170" s="24" t="str">
        <f>_xll.DBRW("TM1-S1_DEV:}ElementAttributes_SP_SKU",$F1170,D$1)</f>
        <v>Primary</v>
      </c>
      <c r="E1170" s="24" t="str">
        <f>_xll.DBRW("TM1-S1_DEV:}ElementAttributes_SP_SKU",$F1170,E$1)</f>
        <v>BREAD</v>
      </c>
      <c r="F1170" s="26" t="s">
        <v>3260</v>
      </c>
      <c r="G1170" s="26" t="s">
        <v>1046</v>
      </c>
      <c r="H1170" s="26" t="s">
        <v>2710</v>
      </c>
      <c r="I1170" s="54">
        <f>_xll.DBRW($A$1,$F$14,$F$15,$C1170,$A$2,$F1170,$G1170,$H1170,I$1)</f>
        <v>14</v>
      </c>
      <c r="J1170" s="25">
        <f>_xll.DBRW($A$1,$F$14,$F$15,$C1170,$A$2,$F1170,$G1170,$H1170,J$19)</f>
        <v>81</v>
      </c>
    </row>
    <row r="1171" spans="1:10" s="23" customFormat="1" outlineLevel="1" thickBot="1" x14ac:dyDescent="0.3">
      <c r="A1171" s="44"/>
      <c r="B1171" s="31" t="str">
        <f>IF(_xll.TM1RPTELISCONSOLIDATED($H$20,$H1171),IF(_xll.TM1RPTELLEV($H$20,$H1171)&lt;=5,_xll.TM1RPTELLEV($H$20,$H1171),"Default"),"Leaf")</f>
        <v>Leaf</v>
      </c>
      <c r="C1171" s="26" t="s">
        <v>15</v>
      </c>
      <c r="D1171" s="24" t="str">
        <f>_xll.DBRW("TM1-S1_DEV:}ElementAttributes_SP_SKU",$F1171,D$1)</f>
        <v>Primary</v>
      </c>
      <c r="E1171" s="24" t="str">
        <f>_xll.DBRW("TM1-S1_DEV:}ElementAttributes_SP_SKU",$F1171,E$1)</f>
        <v>TRAY</v>
      </c>
      <c r="F1171" s="26" t="s">
        <v>3231</v>
      </c>
      <c r="G1171" s="26" t="s">
        <v>1047</v>
      </c>
      <c r="H1171" s="26" t="s">
        <v>2711</v>
      </c>
      <c r="I1171" s="54">
        <f>_xll.DBRW($A$1,$F$14,$F$15,$C1171,$A$2,$F1171,$G1171,$H1171,I$1)</f>
        <v>26</v>
      </c>
      <c r="J1171" s="25">
        <f>_xll.DBRW($A$1,$F$14,$F$15,$C1171,$A$2,$F1171,$G1171,$H1171,J$19)</f>
        <v>29</v>
      </c>
    </row>
    <row r="1172" spans="1:10" s="23" customFormat="1" outlineLevel="1" thickBot="1" x14ac:dyDescent="0.3">
      <c r="A1172" s="44"/>
      <c r="B1172" s="31" t="str">
        <f>IF(_xll.TM1RPTELISCONSOLIDATED($H$20,$H1172),IF(_xll.TM1RPTELLEV($H$20,$H1172)&lt;=5,_xll.TM1RPTELLEV($H$20,$H1172),"Default"),"Leaf")</f>
        <v>Leaf</v>
      </c>
      <c r="C1172" s="26" t="s">
        <v>15</v>
      </c>
      <c r="D1172" s="24" t="str">
        <f>_xll.DBRW("TM1-S1_DEV:}ElementAttributes_SP_SKU",$F1172,D$1)</f>
        <v>Primary</v>
      </c>
      <c r="E1172" s="24" t="str">
        <f>_xll.DBRW("TM1-S1_DEV:}ElementAttributes_SP_SKU",$F1172,E$1)</f>
        <v>PAPER</v>
      </c>
      <c r="F1172" s="26" t="s">
        <v>3261</v>
      </c>
      <c r="G1172" s="26" t="s">
        <v>1048</v>
      </c>
      <c r="H1172" s="26" t="s">
        <v>2716</v>
      </c>
      <c r="I1172" s="54">
        <f>_xll.DBRW($A$1,$F$14,$F$15,$C1172,$A$2,$F1172,$G1172,$H1172,I$1)</f>
        <v>56</v>
      </c>
      <c r="J1172" s="25">
        <f>_xll.DBRW($A$1,$F$14,$F$15,$C1172,$A$2,$F1172,$G1172,$H1172,J$19)</f>
        <v>56</v>
      </c>
    </row>
    <row r="1173" spans="1:10" s="23" customFormat="1" outlineLevel="1" thickBot="1" x14ac:dyDescent="0.3">
      <c r="A1173" s="44"/>
      <c r="B1173" s="31" t="str">
        <f>IF(_xll.TM1RPTELISCONSOLIDATED($H$20,$H1173),IF(_xll.TM1RPTELLEV($H$20,$H1173)&lt;=5,_xll.TM1RPTELLEV($H$20,$H1173),"Default"),"Leaf")</f>
        <v>Leaf</v>
      </c>
      <c r="C1173" s="26" t="s">
        <v>15</v>
      </c>
      <c r="D1173" s="24" t="str">
        <f>_xll.DBRW("TM1-S1_DEV:}ElementAttributes_SP_SKU",$F1173,D$1)</f>
        <v>Primary</v>
      </c>
      <c r="E1173" s="24" t="str">
        <f>_xll.DBRW("TM1-S1_DEV:}ElementAttributes_SP_SKU",$F1173,E$1)</f>
        <v>BREAD</v>
      </c>
      <c r="F1173" s="26" t="s">
        <v>31</v>
      </c>
      <c r="G1173" s="26" t="s">
        <v>1049</v>
      </c>
      <c r="H1173" s="26" t="s">
        <v>2689</v>
      </c>
      <c r="I1173" s="54">
        <f>_xll.DBRW($A$1,$F$14,$F$15,$C1173,$A$2,$F1173,$G1173,$H1173,I$1)</f>
        <v>204</v>
      </c>
      <c r="J1173" s="25">
        <f>_xll.DBRW($A$1,$F$14,$F$15,$C1173,$A$2,$F1173,$G1173,$H1173,J$19)</f>
        <v>184</v>
      </c>
    </row>
    <row r="1174" spans="1:10" s="23" customFormat="1" outlineLevel="1" thickBot="1" x14ac:dyDescent="0.3">
      <c r="A1174" s="44"/>
      <c r="B1174" s="31" t="str">
        <f>IF(_xll.TM1RPTELISCONSOLIDATED($H$20,$H1174),IF(_xll.TM1RPTELLEV($H$20,$H1174)&lt;=5,_xll.TM1RPTELLEV($H$20,$H1174),"Default"),"Leaf")</f>
        <v>Leaf</v>
      </c>
      <c r="C1174" s="26" t="s">
        <v>15</v>
      </c>
      <c r="D1174" s="24" t="str">
        <f>_xll.DBRW("TM1-S1_DEV:}ElementAttributes_SP_SKU",$F1174,D$1)</f>
        <v>Primary</v>
      </c>
      <c r="E1174" s="24" t="str">
        <f>_xll.DBRW("TM1-S1_DEV:}ElementAttributes_SP_SKU",$F1174,E$1)</f>
        <v>BREAD</v>
      </c>
      <c r="F1174" s="26" t="s">
        <v>3236</v>
      </c>
      <c r="G1174" s="26" t="s">
        <v>1050</v>
      </c>
      <c r="H1174" s="26" t="s">
        <v>2689</v>
      </c>
      <c r="I1174" s="54">
        <f>_xll.DBRW($A$1,$F$14,$F$15,$C1174,$A$2,$F1174,$G1174,$H1174,I$1)</f>
        <v>27</v>
      </c>
      <c r="J1174" s="25">
        <f>_xll.DBRW($A$1,$F$14,$F$15,$C1174,$A$2,$F1174,$G1174,$H1174,J$19)</f>
        <v>27</v>
      </c>
    </row>
    <row r="1175" spans="1:10" s="23" customFormat="1" outlineLevel="1" thickBot="1" x14ac:dyDescent="0.3">
      <c r="A1175" s="44"/>
      <c r="B1175" s="31" t="str">
        <f>IF(_xll.TM1RPTELISCONSOLIDATED($H$20,$H1175),IF(_xll.TM1RPTELLEV($H$20,$H1175)&lt;=5,_xll.TM1RPTELLEV($H$20,$H1175),"Default"),"Leaf")</f>
        <v>Leaf</v>
      </c>
      <c r="C1175" s="26" t="s">
        <v>15</v>
      </c>
      <c r="D1175" s="24" t="str">
        <f>_xll.DBRW("TM1-S1_DEV:}ElementAttributes_SP_SKU",$F1175,D$1)</f>
        <v>Primary</v>
      </c>
      <c r="E1175" s="24" t="str">
        <f>_xll.DBRW("TM1-S1_DEV:}ElementAttributes_SP_SKU",$F1175,E$1)</f>
        <v>PAPER</v>
      </c>
      <c r="F1175" s="26" t="s">
        <v>3239</v>
      </c>
      <c r="G1175" s="26" t="s">
        <v>1244</v>
      </c>
      <c r="H1175" s="26" t="s">
        <v>2715</v>
      </c>
      <c r="I1175" s="54">
        <f>_xll.DBRW($A$1,$F$14,$F$15,$C1175,$A$2,$F1175,$G1175,$H1175,I$1)</f>
        <v>83</v>
      </c>
      <c r="J1175" s="25">
        <f>_xll.DBRW($A$1,$F$14,$F$15,$C1175,$A$2,$F1175,$G1175,$H1175,J$19)</f>
        <v>75</v>
      </c>
    </row>
    <row r="1176" spans="1:10" s="23" customFormat="1" outlineLevel="1" thickBot="1" x14ac:dyDescent="0.3">
      <c r="A1176" s="44"/>
      <c r="B1176" s="31" t="str">
        <f>IF(_xll.TM1RPTELISCONSOLIDATED($H$20,$H1176),IF(_xll.TM1RPTELLEV($H$20,$H1176)&lt;=5,_xll.TM1RPTELLEV($H$20,$H1176),"Default"),"Leaf")</f>
        <v>Leaf</v>
      </c>
      <c r="C1176" s="26" t="s">
        <v>15</v>
      </c>
      <c r="D1176" s="24" t="str">
        <f>_xll.DBRW("TM1-S1_DEV:}ElementAttributes_SP_SKU",$F1176,D$1)</f>
        <v>Unassigned PSP</v>
      </c>
      <c r="E1176" s="24" t="str">
        <f>_xll.DBRW("TM1-S1_DEV:}ElementAttributes_SP_SKU",$F1176,E$1)</f>
        <v>LID</v>
      </c>
      <c r="F1176" s="26" t="s">
        <v>260</v>
      </c>
      <c r="G1176" s="26" t="s">
        <v>1245</v>
      </c>
      <c r="H1176" s="26" t="s">
        <v>2708</v>
      </c>
      <c r="I1176" s="54">
        <f>_xll.DBRW($A$1,$F$14,$F$15,$C1176,$A$2,$F1176,$G1176,$H1176,I$1)</f>
        <v>6</v>
      </c>
      <c r="J1176" s="25">
        <f>_xll.DBRW($A$1,$F$14,$F$15,$C1176,$A$2,$F1176,$G1176,$H1176,J$19)</f>
        <v>21</v>
      </c>
    </row>
    <row r="1177" spans="1:10" s="23" customFormat="1" outlineLevel="1" thickBot="1" x14ac:dyDescent="0.3">
      <c r="A1177" s="44"/>
      <c r="B1177" s="31" t="str">
        <f>IF(_xll.TM1RPTELISCONSOLIDATED($H$20,$H1177),IF(_xll.TM1RPTELLEV($H$20,$H1177)&lt;=5,_xll.TM1RPTELLEV($H$20,$H1177),"Default"),"Leaf")</f>
        <v>Leaf</v>
      </c>
      <c r="C1177" s="26" t="s">
        <v>15</v>
      </c>
      <c r="D1177" s="24" t="str">
        <f>_xll.DBRW("TM1-S1_DEV:}ElementAttributes_SP_SKU",$F1177,D$1)</f>
        <v>Primary</v>
      </c>
      <c r="E1177" s="24" t="str">
        <f>_xll.DBRW("TM1-S1_DEV:}ElementAttributes_SP_SKU",$F1177,E$1)</f>
        <v>BOWL</v>
      </c>
      <c r="F1177" s="26" t="s">
        <v>32</v>
      </c>
      <c r="G1177" s="26" t="s">
        <v>1246</v>
      </c>
      <c r="H1177" s="26" t="s">
        <v>2708</v>
      </c>
      <c r="I1177" s="54">
        <f>_xll.DBRW($A$1,$F$14,$F$15,$C1177,$A$2,$F1177,$G1177,$H1177,I$1)</f>
        <v>6</v>
      </c>
      <c r="J1177" s="25">
        <f>_xll.DBRW($A$1,$F$14,$F$15,$C1177,$A$2,$F1177,$G1177,$H1177,J$19)</f>
        <v>8</v>
      </c>
    </row>
    <row r="1178" spans="1:10" s="23" customFormat="1" outlineLevel="1" thickBot="1" x14ac:dyDescent="0.3">
      <c r="A1178" s="44"/>
      <c r="B1178" s="31" t="str">
        <f>IF(_xll.TM1RPTELISCONSOLIDATED($H$20,$H1178),IF(_xll.TM1RPTELLEV($H$20,$H1178)&lt;=5,_xll.TM1RPTELLEV($H$20,$H1178),"Default"),"Leaf")</f>
        <v>Leaf</v>
      </c>
      <c r="C1178" s="26" t="s">
        <v>15</v>
      </c>
      <c r="D1178" s="24" t="str">
        <f>_xll.DBRW("TM1-S1_DEV:}ElementAttributes_SP_SKU",$F1178,D$1)</f>
        <v>Primary</v>
      </c>
      <c r="E1178" s="24" t="str">
        <f>_xll.DBRW("TM1-S1_DEV:}ElementAttributes_SP_SKU",$F1178,E$1)</f>
        <v>BOWL</v>
      </c>
      <c r="F1178" s="26" t="s">
        <v>33</v>
      </c>
      <c r="G1178" s="26" t="s">
        <v>1247</v>
      </c>
      <c r="H1178" s="26" t="s">
        <v>2708</v>
      </c>
      <c r="I1178" s="54">
        <f>_xll.DBRW($A$1,$F$14,$F$15,$C1178,$A$2,$F1178,$G1178,$H1178,I$1)</f>
        <v>9</v>
      </c>
      <c r="J1178" s="25">
        <f>_xll.DBRW($A$1,$F$14,$F$15,$C1178,$A$2,$F1178,$G1178,$H1178,J$19)</f>
        <v>21</v>
      </c>
    </row>
    <row r="1179" spans="1:10" s="23" customFormat="1" outlineLevel="1" thickBot="1" x14ac:dyDescent="0.3">
      <c r="A1179" s="44"/>
      <c r="B1179" s="31" t="str">
        <f>IF(_xll.TM1RPTELISCONSOLIDATED($H$20,$H1179),IF(_xll.TM1RPTELLEV($H$20,$H1179)&lt;=5,_xll.TM1RPTELLEV($H$20,$H1179),"Default"),"Leaf")</f>
        <v>Leaf</v>
      </c>
      <c r="C1179" s="26" t="s">
        <v>15</v>
      </c>
      <c r="D1179" s="24" t="str">
        <f>_xll.DBRW("TM1-S1_DEV:}ElementAttributes_SP_SKU",$F1179,D$1)</f>
        <v>Primary</v>
      </c>
      <c r="E1179" s="24" t="str">
        <f>_xll.DBRW("TM1-S1_DEV:}ElementAttributes_SP_SKU",$F1179,E$1)</f>
        <v>BAG</v>
      </c>
      <c r="F1179" s="26" t="s">
        <v>117</v>
      </c>
      <c r="G1179" s="26" t="s">
        <v>1051</v>
      </c>
      <c r="H1179" s="26" t="s">
        <v>2708</v>
      </c>
      <c r="I1179" s="54">
        <f>_xll.DBRW($A$1,$F$14,$F$15,$C1179,$A$2,$F1179,$G1179,$H1179,I$1)</f>
        <v>200</v>
      </c>
      <c r="J1179" s="25">
        <f>_xll.DBRW($A$1,$F$14,$F$15,$C1179,$A$2,$F1179,$G1179,$H1179,J$19)</f>
        <v>252</v>
      </c>
    </row>
    <row r="1180" spans="1:10" s="23" customFormat="1" outlineLevel="1" thickBot="1" x14ac:dyDescent="0.3">
      <c r="A1180" s="44"/>
      <c r="B1180" s="31" t="str">
        <f>IF(_xll.TM1RPTELISCONSOLIDATED($H$20,$H1180),IF(_xll.TM1RPTELLEV($H$20,$H1180)&lt;=5,_xll.TM1RPTELLEV($H$20,$H1180),"Default"),"Leaf")</f>
        <v>Leaf</v>
      </c>
      <c r="C1180" s="26" t="s">
        <v>15</v>
      </c>
      <c r="D1180" s="24" t="str">
        <f>_xll.DBRW("TM1-S1_DEV:}ElementAttributes_SP_SKU",$F1180,D$1)</f>
        <v>Primary</v>
      </c>
      <c r="E1180" s="24" t="str">
        <f>_xll.DBRW("TM1-S1_DEV:}ElementAttributes_SP_SKU",$F1180,E$1)</f>
        <v>BAG</v>
      </c>
      <c r="F1180" s="26" t="s">
        <v>85</v>
      </c>
      <c r="G1180" s="26" t="s">
        <v>1052</v>
      </c>
      <c r="H1180" s="26" t="s">
        <v>2708</v>
      </c>
      <c r="I1180" s="54">
        <f>_xll.DBRW($A$1,$F$14,$F$15,$C1180,$A$2,$F1180,$G1180,$H1180,I$1)</f>
        <v>565</v>
      </c>
      <c r="J1180" s="25">
        <f>_xll.DBRW($A$1,$F$14,$F$15,$C1180,$A$2,$F1180,$G1180,$H1180,J$19)</f>
        <v>655</v>
      </c>
    </row>
    <row r="1181" spans="1:10" s="23" customFormat="1" outlineLevel="1" thickBot="1" x14ac:dyDescent="0.3">
      <c r="A1181" s="44"/>
      <c r="B1181" s="31" t="str">
        <f>IF(_xll.TM1RPTELISCONSOLIDATED($H$20,$H1181),IF(_xll.TM1RPTELLEV($H$20,$H1181)&lt;=5,_xll.TM1RPTELLEV($H$20,$H1181),"Default"),"Leaf")</f>
        <v>Leaf</v>
      </c>
      <c r="C1181" s="26" t="s">
        <v>15</v>
      </c>
      <c r="D1181" s="24" t="str">
        <f>_xll.DBRW("TM1-S1_DEV:}ElementAttributes_SP_SKU",$F1181,D$1)</f>
        <v>Primary</v>
      </c>
      <c r="E1181" s="24" t="str">
        <f>_xll.DBRW("TM1-S1_DEV:}ElementAttributes_SP_SKU",$F1181,E$1)</f>
        <v>CONTAINER</v>
      </c>
      <c r="F1181" s="26" t="s">
        <v>118</v>
      </c>
      <c r="G1181" s="26" t="s">
        <v>1053</v>
      </c>
      <c r="H1181" s="26" t="s">
        <v>2757</v>
      </c>
      <c r="I1181" s="54">
        <f>_xll.DBRW($A$1,$F$14,$F$15,$C1181,$A$2,$F1181,$G1181,$H1181,I$1)</f>
        <v>56</v>
      </c>
      <c r="J1181" s="25">
        <f>_xll.DBRW($A$1,$F$14,$F$15,$C1181,$A$2,$F1181,$G1181,$H1181,J$19)</f>
        <v>104</v>
      </c>
    </row>
    <row r="1182" spans="1:10" s="23" customFormat="1" outlineLevel="1" thickBot="1" x14ac:dyDescent="0.3">
      <c r="A1182" s="44"/>
      <c r="B1182" s="31" t="str">
        <f>IF(_xll.TM1RPTELISCONSOLIDATED($H$20,$H1182),IF(_xll.TM1RPTELLEV($H$20,$H1182)&lt;=5,_xll.TM1RPTELLEV($H$20,$H1182),"Default"),"Leaf")</f>
        <v>Leaf</v>
      </c>
      <c r="C1182" s="26" t="s">
        <v>15</v>
      </c>
      <c r="D1182" s="24" t="str">
        <f>_xll.DBRW("TM1-S1_DEV:}ElementAttributes_SP_SKU",$F1182,D$1)</f>
        <v>Primary</v>
      </c>
      <c r="E1182" s="24" t="str">
        <f>_xll.DBRW("TM1-S1_DEV:}ElementAttributes_SP_SKU",$F1182,E$1)</f>
        <v>CONTAINER</v>
      </c>
      <c r="F1182" s="26" t="s">
        <v>119</v>
      </c>
      <c r="G1182" s="26" t="s">
        <v>1054</v>
      </c>
      <c r="H1182" s="26" t="s">
        <v>2757</v>
      </c>
      <c r="I1182" s="54">
        <f>_xll.DBRW($A$1,$F$14,$F$15,$C1182,$A$2,$F1182,$G1182,$H1182,I$1)</f>
        <v>76</v>
      </c>
      <c r="J1182" s="25">
        <f>_xll.DBRW($A$1,$F$14,$F$15,$C1182,$A$2,$F1182,$G1182,$H1182,J$19)</f>
        <v>76</v>
      </c>
    </row>
    <row r="1183" spans="1:10" s="23" customFormat="1" outlineLevel="1" thickBot="1" x14ac:dyDescent="0.3">
      <c r="A1183" s="44"/>
      <c r="B1183" s="31" t="str">
        <f>IF(_xll.TM1RPTELISCONSOLIDATED($H$20,$H1183),IF(_xll.TM1RPTELLEV($H$20,$H1183)&lt;=5,_xll.TM1RPTELLEV($H$20,$H1183),"Default"),"Leaf")</f>
        <v>Leaf</v>
      </c>
      <c r="C1183" s="26" t="s">
        <v>15</v>
      </c>
      <c r="D1183" s="24" t="str">
        <f>_xll.DBRW("TM1-S1_DEV:}ElementAttributes_SP_SKU",$F1183,D$1)</f>
        <v>Primary</v>
      </c>
      <c r="E1183" s="24" t="str">
        <f>_xll.DBRW("TM1-S1_DEV:}ElementAttributes_SP_SKU",$F1183,E$1)</f>
        <v>CONDIMENT</v>
      </c>
      <c r="F1183" s="26" t="s">
        <v>3272</v>
      </c>
      <c r="G1183" s="26" t="s">
        <v>3322</v>
      </c>
      <c r="H1183" s="26" t="s">
        <v>2718</v>
      </c>
      <c r="I1183" s="54">
        <f>_xll.DBRW($A$1,$F$14,$F$15,$C1183,$A$2,$F1183,$G1183,$H1183,I$1)</f>
        <v>0</v>
      </c>
      <c r="J1183" s="25">
        <f>_xll.DBRW($A$1,$F$14,$F$15,$C1183,$A$2,$F1183,$G1183,$H1183,J$19)</f>
        <v>-1</v>
      </c>
    </row>
    <row r="1184" spans="1:10" s="23" customFormat="1" outlineLevel="1" thickBot="1" x14ac:dyDescent="0.3">
      <c r="A1184" s="44"/>
      <c r="B1184" s="31" t="str">
        <f>IF(_xll.TM1RPTELISCONSOLIDATED($H$20,$H1184),IF(_xll.TM1RPTELLEV($H$20,$H1184)&lt;=5,_xll.TM1RPTELLEV($H$20,$H1184),"Default"),"Leaf")</f>
        <v>Leaf</v>
      </c>
      <c r="C1184" s="26" t="s">
        <v>15</v>
      </c>
      <c r="D1184" s="24" t="str">
        <f>_xll.DBRW("TM1-S1_DEV:}ElementAttributes_SP_SKU",$F1184,D$1)</f>
        <v>Primary</v>
      </c>
      <c r="E1184" s="24" t="str">
        <f>_xll.DBRW("TM1-S1_DEV:}ElementAttributes_SP_SKU",$F1184,E$1)</f>
        <v>DRESSING</v>
      </c>
      <c r="F1184" s="26" t="s">
        <v>120</v>
      </c>
      <c r="G1184" s="26" t="s">
        <v>1055</v>
      </c>
      <c r="H1184" s="26" t="s">
        <v>2743</v>
      </c>
      <c r="I1184" s="54">
        <f>_xll.DBRW($A$1,$F$14,$F$15,$C1184,$A$2,$F1184,$G1184,$H1184,I$1)</f>
        <v>416</v>
      </c>
      <c r="J1184" s="25">
        <f>_xll.DBRW($A$1,$F$14,$F$15,$C1184,$A$2,$F1184,$G1184,$H1184,J$19)</f>
        <v>409</v>
      </c>
    </row>
    <row r="1185" spans="1:10" s="23" customFormat="1" outlineLevel="1" thickBot="1" x14ac:dyDescent="0.3">
      <c r="A1185" s="44"/>
      <c r="B1185" s="31" t="str">
        <f>IF(_xll.TM1RPTELISCONSOLIDATED($H$20,$H1185),IF(_xll.TM1RPTELLEV($H$20,$H1185)&lt;=5,_xll.TM1RPTELLEV($H$20,$H1185),"Default"),"Leaf")</f>
        <v>Leaf</v>
      </c>
      <c r="C1185" s="26" t="s">
        <v>15</v>
      </c>
      <c r="D1185" s="24" t="str">
        <f>_xll.DBRW("TM1-S1_DEV:}ElementAttributes_SP_SKU",$F1185,D$1)</f>
        <v>Primary</v>
      </c>
      <c r="E1185" s="24" t="str">
        <f>_xll.DBRW("TM1-S1_DEV:}ElementAttributes_SP_SKU",$F1185,E$1)</f>
        <v>DRESSING</v>
      </c>
      <c r="F1185" s="26" t="s">
        <v>121</v>
      </c>
      <c r="G1185" s="26" t="s">
        <v>1056</v>
      </c>
      <c r="H1185" s="26" t="s">
        <v>2743</v>
      </c>
      <c r="I1185" s="54">
        <f>_xll.DBRW($A$1,$F$14,$F$15,$C1185,$A$2,$F1185,$G1185,$H1185,I$1)</f>
        <v>112</v>
      </c>
      <c r="J1185" s="25">
        <f>_xll.DBRW($A$1,$F$14,$F$15,$C1185,$A$2,$F1185,$G1185,$H1185,J$19)</f>
        <v>111</v>
      </c>
    </row>
    <row r="1186" spans="1:10" s="23" customFormat="1" outlineLevel="1" thickBot="1" x14ac:dyDescent="0.3">
      <c r="A1186" s="44"/>
      <c r="B1186" s="31" t="str">
        <f>IF(_xll.TM1RPTELISCONSOLIDATED($H$20,$H1186),IF(_xll.TM1RPTELLEV($H$20,$H1186)&lt;=5,_xll.TM1RPTELLEV($H$20,$H1186),"Default"),"Leaf")</f>
        <v>Leaf</v>
      </c>
      <c r="C1186" s="26" t="s">
        <v>15</v>
      </c>
      <c r="D1186" s="24" t="str">
        <f>_xll.DBRW("TM1-S1_DEV:}ElementAttributes_SP_SKU",$F1186,D$1)</f>
        <v>Primary</v>
      </c>
      <c r="E1186" s="24" t="str">
        <f>_xll.DBRW("TM1-S1_DEV:}ElementAttributes_SP_SKU",$F1186,E$1)</f>
        <v>PAPER</v>
      </c>
      <c r="F1186" s="26" t="s">
        <v>122</v>
      </c>
      <c r="G1186" s="26" t="s">
        <v>1057</v>
      </c>
      <c r="H1186" s="26" t="s">
        <v>2770</v>
      </c>
      <c r="I1186" s="54">
        <f>_xll.DBRW($A$1,$F$14,$F$15,$C1186,$A$2,$F1186,$G1186,$H1186,I$1)</f>
        <v>106</v>
      </c>
      <c r="J1186" s="25">
        <f>_xll.DBRW($A$1,$F$14,$F$15,$C1186,$A$2,$F1186,$G1186,$H1186,J$19)</f>
        <v>128</v>
      </c>
    </row>
    <row r="1187" spans="1:10" s="23" customFormat="1" outlineLevel="1" thickBot="1" x14ac:dyDescent="0.3">
      <c r="A1187" s="44"/>
      <c r="B1187" s="31" t="str">
        <f>IF(_xll.TM1RPTELISCONSOLIDATED($H$20,$H1187),IF(_xll.TM1RPTELLEV($H$20,$H1187)&lt;=5,_xll.TM1RPTELLEV($H$20,$H1187),"Default"),"Leaf")</f>
        <v>Leaf</v>
      </c>
      <c r="C1187" s="26" t="s">
        <v>15</v>
      </c>
      <c r="D1187" s="24" t="str">
        <f>_xll.DBRW("TM1-S1_DEV:}ElementAttributes_SP_SKU",$F1187,D$1)</f>
        <v>Primary</v>
      </c>
      <c r="E1187" s="24" t="str">
        <f>_xll.DBRW("TM1-S1_DEV:}ElementAttributes_SP_SKU",$F1187,E$1)</f>
        <v>BOWL</v>
      </c>
      <c r="F1187" s="26" t="s">
        <v>292</v>
      </c>
      <c r="G1187" s="26" t="s">
        <v>1282</v>
      </c>
      <c r="H1187" s="26" t="s">
        <v>2745</v>
      </c>
      <c r="I1187" s="54">
        <f>_xll.DBRW($A$1,$F$14,$F$15,$C1187,$A$2,$F1187,$G1187,$H1187,I$1)</f>
        <v>5</v>
      </c>
      <c r="J1187" s="25">
        <f>_xll.DBRW($A$1,$F$14,$F$15,$C1187,$A$2,$F1187,$G1187,$H1187,J$19)</f>
        <v>4</v>
      </c>
    </row>
    <row r="1188" spans="1:10" s="23" customFormat="1" outlineLevel="1" thickBot="1" x14ac:dyDescent="0.3">
      <c r="A1188" s="44"/>
      <c r="B1188" s="31" t="str">
        <f>IF(_xll.TM1RPTELISCONSOLIDATED($H$20,$H1188),IF(_xll.TM1RPTELLEV($H$20,$H1188)&lt;=5,_xll.TM1RPTELLEV($H$20,$H1188),"Default"),"Leaf")</f>
        <v>Leaf</v>
      </c>
      <c r="C1188" s="26" t="s">
        <v>15</v>
      </c>
      <c r="D1188" s="24" t="str">
        <f>_xll.DBRW("TM1-S1_DEV:}ElementAttributes_SP_SKU",$F1188,D$1)</f>
        <v>Primary</v>
      </c>
      <c r="E1188" s="24" t="str">
        <f>_xll.DBRW("TM1-S1_DEV:}ElementAttributes_SP_SKU",$F1188,E$1)</f>
        <v>UTENSIL</v>
      </c>
      <c r="F1188" s="26" t="s">
        <v>123</v>
      </c>
      <c r="G1188" s="26" t="s">
        <v>1058</v>
      </c>
      <c r="H1188" s="26" t="s">
        <v>2771</v>
      </c>
      <c r="I1188" s="54">
        <f>_xll.DBRW($A$1,$F$14,$F$15,$C1188,$A$2,$F1188,$G1188,$H1188,I$1)</f>
        <v>40</v>
      </c>
      <c r="J1188" s="25">
        <f>_xll.DBRW($A$1,$F$14,$F$15,$C1188,$A$2,$F1188,$G1188,$H1188,J$19)</f>
        <v>33</v>
      </c>
    </row>
    <row r="1189" spans="1:10" s="23" customFormat="1" outlineLevel="1" thickBot="1" x14ac:dyDescent="0.3">
      <c r="A1189" s="44"/>
      <c r="B1189" s="31" t="str">
        <f>IF(_xll.TM1RPTELISCONSOLIDATED($H$20,$H1189),IF(_xll.TM1RPTELLEV($H$20,$H1189)&lt;=5,_xll.TM1RPTELLEV($H$20,$H1189),"Default"),"Leaf")</f>
        <v>Leaf</v>
      </c>
      <c r="C1189" s="26" t="s">
        <v>15</v>
      </c>
      <c r="D1189" s="24" t="str">
        <f>_xll.DBRW("TM1-S1_DEV:}ElementAttributes_SP_SKU",$F1189,D$1)</f>
        <v>Primary</v>
      </c>
      <c r="E1189" s="24" t="str">
        <f>_xll.DBRW("TM1-S1_DEV:}ElementAttributes_SP_SKU",$F1189,E$1)</f>
        <v>UTENSIL</v>
      </c>
      <c r="F1189" s="26" t="s">
        <v>124</v>
      </c>
      <c r="G1189" s="26" t="s">
        <v>1059</v>
      </c>
      <c r="H1189" s="26" t="s">
        <v>2771</v>
      </c>
      <c r="I1189" s="54">
        <f>_xll.DBRW($A$1,$F$14,$F$15,$C1189,$A$2,$F1189,$G1189,$H1189,I$1)</f>
        <v>70</v>
      </c>
      <c r="J1189" s="25">
        <f>_xll.DBRW($A$1,$F$14,$F$15,$C1189,$A$2,$F1189,$G1189,$H1189,J$19)</f>
        <v>120</v>
      </c>
    </row>
    <row r="1190" spans="1:10" s="23" customFormat="1" outlineLevel="1" thickBot="1" x14ac:dyDescent="0.3">
      <c r="A1190" s="44"/>
      <c r="B1190" s="31" t="str">
        <f>IF(_xll.TM1RPTELISCONSOLIDATED($H$20,$H1190),IF(_xll.TM1RPTELLEV($H$20,$H1190)&lt;=5,_xll.TM1RPTELLEV($H$20,$H1190),"Default"),"Leaf")</f>
        <v>Leaf</v>
      </c>
      <c r="C1190" s="26" t="s">
        <v>15</v>
      </c>
      <c r="D1190" s="24" t="str">
        <f>_xll.DBRW("TM1-S1_DEV:}ElementAttributes_SP_SKU",$F1190,D$1)</f>
        <v>Primary</v>
      </c>
      <c r="E1190" s="24" t="str">
        <f>_xll.DBRW("TM1-S1_DEV:}ElementAttributes_SP_SKU",$F1190,E$1)</f>
        <v>UTENSIL</v>
      </c>
      <c r="F1190" s="26" t="s">
        <v>261</v>
      </c>
      <c r="G1190" s="26" t="s">
        <v>1248</v>
      </c>
      <c r="H1190" s="26" t="s">
        <v>2771</v>
      </c>
      <c r="I1190" s="54">
        <f>_xll.DBRW($A$1,$F$14,$F$15,$C1190,$A$2,$F1190,$G1190,$H1190,I$1)</f>
        <v>11</v>
      </c>
      <c r="J1190" s="25">
        <f>_xll.DBRW($A$1,$F$14,$F$15,$C1190,$A$2,$F1190,$G1190,$H1190,J$19)</f>
        <v>11</v>
      </c>
    </row>
    <row r="1191" spans="1:10" s="23" customFormat="1" outlineLevel="1" thickBot="1" x14ac:dyDescent="0.3">
      <c r="A1191" s="44"/>
      <c r="B1191" s="31" t="str">
        <f>IF(_xll.TM1RPTELISCONSOLIDATED($H$20,$H1191),IF(_xll.TM1RPTELLEV($H$20,$H1191)&lt;=5,_xll.TM1RPTELLEV($H$20,$H1191),"Default"),"Leaf")</f>
        <v>Leaf</v>
      </c>
      <c r="C1191" s="26" t="s">
        <v>15</v>
      </c>
      <c r="D1191" s="24" t="str">
        <f>_xll.DBRW("TM1-S1_DEV:}ElementAttributes_SP_SKU",$F1191,D$1)</f>
        <v>Primary</v>
      </c>
      <c r="E1191" s="24" t="str">
        <f>_xll.DBRW("TM1-S1_DEV:}ElementAttributes_SP_SKU",$F1191,E$1)</f>
        <v>UTENSIL</v>
      </c>
      <c r="F1191" s="26" t="s">
        <v>125</v>
      </c>
      <c r="G1191" s="26" t="s">
        <v>1060</v>
      </c>
      <c r="H1191" s="26" t="s">
        <v>2772</v>
      </c>
      <c r="I1191" s="54">
        <f>_xll.DBRW($A$1,$F$14,$F$15,$C1191,$A$2,$F1191,$G1191,$H1191,I$1)</f>
        <v>102</v>
      </c>
      <c r="J1191" s="25">
        <f>_xll.DBRW($A$1,$F$14,$F$15,$C1191,$A$2,$F1191,$G1191,$H1191,J$19)</f>
        <v>119</v>
      </c>
    </row>
    <row r="1192" spans="1:10" s="23" customFormat="1" outlineLevel="1" thickBot="1" x14ac:dyDescent="0.3">
      <c r="A1192" s="44"/>
      <c r="B1192" s="31" t="str">
        <f>IF(_xll.TM1RPTELISCONSOLIDATED($H$20,$H1192),IF(_xll.TM1RPTELLEV($H$20,$H1192)&lt;=5,_xll.TM1RPTELLEV($H$20,$H1192),"Default"),"Leaf")</f>
        <v>Leaf</v>
      </c>
      <c r="C1192" s="26" t="s">
        <v>15</v>
      </c>
      <c r="D1192" s="24" t="str">
        <f>_xll.DBRW("TM1-S1_DEV:}ElementAttributes_SP_SKU",$F1192,D$1)</f>
        <v>Primary</v>
      </c>
      <c r="E1192" s="24" t="str">
        <f>_xll.DBRW("TM1-S1_DEV:}ElementAttributes_SP_SKU",$F1192,E$1)</f>
        <v>GLOVES</v>
      </c>
      <c r="F1192" s="26" t="s">
        <v>126</v>
      </c>
      <c r="G1192" s="26" t="s">
        <v>1061</v>
      </c>
      <c r="H1192" s="26" t="s">
        <v>2765</v>
      </c>
      <c r="I1192" s="54">
        <f>_xll.DBRW($A$1,$F$14,$F$15,$C1192,$A$2,$F1192,$G1192,$H1192,I$1)</f>
        <v>480</v>
      </c>
      <c r="J1192" s="25">
        <f>_xll.DBRW($A$1,$F$14,$F$15,$C1192,$A$2,$F1192,$G1192,$H1192,J$19)</f>
        <v>717</v>
      </c>
    </row>
    <row r="1193" spans="1:10" s="23" customFormat="1" outlineLevel="1" thickBot="1" x14ac:dyDescent="0.3">
      <c r="A1193" s="44"/>
      <c r="B1193" s="31" t="str">
        <f>IF(_xll.TM1RPTELISCONSOLIDATED($H$20,$H1193),IF(_xll.TM1RPTELLEV($H$20,$H1193)&lt;=5,_xll.TM1RPTELLEV($H$20,$H1193),"Default"),"Leaf")</f>
        <v>Leaf</v>
      </c>
      <c r="C1193" s="26" t="s">
        <v>15</v>
      </c>
      <c r="D1193" s="24" t="str">
        <f>_xll.DBRW("TM1-S1_DEV:}ElementAttributes_SP_SKU",$F1193,D$1)</f>
        <v>Primary</v>
      </c>
      <c r="E1193" s="24" t="str">
        <f>_xll.DBRW("TM1-S1_DEV:}ElementAttributes_SP_SKU",$F1193,E$1)</f>
        <v>GLOVES</v>
      </c>
      <c r="F1193" s="26" t="s">
        <v>127</v>
      </c>
      <c r="G1193" s="26" t="s">
        <v>1062</v>
      </c>
      <c r="H1193" s="26" t="s">
        <v>2765</v>
      </c>
      <c r="I1193" s="54">
        <f>_xll.DBRW($A$1,$F$14,$F$15,$C1193,$A$2,$F1193,$G1193,$H1193,I$1)</f>
        <v>376</v>
      </c>
      <c r="J1193" s="25">
        <f>_xll.DBRW($A$1,$F$14,$F$15,$C1193,$A$2,$F1193,$G1193,$H1193,J$19)</f>
        <v>361</v>
      </c>
    </row>
    <row r="1194" spans="1:10" s="23" customFormat="1" outlineLevel="1" thickBot="1" x14ac:dyDescent="0.3">
      <c r="A1194" s="44"/>
      <c r="B1194" s="31" t="str">
        <f>IF(_xll.TM1RPTELISCONSOLIDATED($H$20,$H1194),IF(_xll.TM1RPTELLEV($H$20,$H1194)&lt;=5,_xll.TM1RPTELLEV($H$20,$H1194),"Default"),"Leaf")</f>
        <v>Leaf</v>
      </c>
      <c r="C1194" s="26" t="s">
        <v>15</v>
      </c>
      <c r="D1194" s="24" t="str">
        <f>_xll.DBRW("TM1-S1_DEV:}ElementAttributes_SP_SKU",$F1194,D$1)</f>
        <v>Primary</v>
      </c>
      <c r="E1194" s="24" t="str">
        <f>_xll.DBRW("TM1-S1_DEV:}ElementAttributes_SP_SKU",$F1194,E$1)</f>
        <v>GLOVES</v>
      </c>
      <c r="F1194" s="26" t="s">
        <v>128</v>
      </c>
      <c r="G1194" s="26" t="s">
        <v>1063</v>
      </c>
      <c r="H1194" s="26" t="s">
        <v>2765</v>
      </c>
      <c r="I1194" s="54">
        <f>_xll.DBRW($A$1,$F$14,$F$15,$C1194,$A$2,$F1194,$G1194,$H1194,I$1)</f>
        <v>87</v>
      </c>
      <c r="J1194" s="25">
        <f>_xll.DBRW($A$1,$F$14,$F$15,$C1194,$A$2,$F1194,$G1194,$H1194,J$19)</f>
        <v>86</v>
      </c>
    </row>
    <row r="1195" spans="1:10" s="23" customFormat="1" outlineLevel="1" thickBot="1" x14ac:dyDescent="0.3">
      <c r="A1195" s="44"/>
      <c r="B1195" s="31" t="str">
        <f>IF(_xll.TM1RPTELISCONSOLIDATED($H$20,$H1195),IF(_xll.TM1RPTELLEV($H$20,$H1195)&lt;=5,_xll.TM1RPTELLEV($H$20,$H1195),"Default"),"Leaf")</f>
        <v>Leaf</v>
      </c>
      <c r="C1195" s="26" t="s">
        <v>15</v>
      </c>
      <c r="D1195" s="24" t="str">
        <f>_xll.DBRW("TM1-S1_DEV:}ElementAttributes_SP_SKU",$F1195,D$1)</f>
        <v>Primary</v>
      </c>
      <c r="E1195" s="24" t="str">
        <f>_xll.DBRW("TM1-S1_DEV:}ElementAttributes_SP_SKU",$F1195,E$1)</f>
        <v>GLOVES</v>
      </c>
      <c r="F1195" s="26" t="s">
        <v>129</v>
      </c>
      <c r="G1195" s="26" t="s">
        <v>1064</v>
      </c>
      <c r="H1195" s="26" t="s">
        <v>2765</v>
      </c>
      <c r="I1195" s="54">
        <f>_xll.DBRW($A$1,$F$14,$F$15,$C1195,$A$2,$F1195,$G1195,$H1195,I$1)</f>
        <v>795</v>
      </c>
      <c r="J1195" s="25">
        <f>_xll.DBRW($A$1,$F$14,$F$15,$C1195,$A$2,$F1195,$G1195,$H1195,J$19)</f>
        <v>1401</v>
      </c>
    </row>
    <row r="1196" spans="1:10" s="23" customFormat="1" outlineLevel="1" thickBot="1" x14ac:dyDescent="0.3">
      <c r="A1196" s="44"/>
      <c r="B1196" s="31" t="str">
        <f>IF(_xll.TM1RPTELISCONSOLIDATED($H$20,$H1196),IF(_xll.TM1RPTELLEV($H$20,$H1196)&lt;=5,_xll.TM1RPTELLEV($H$20,$H1196),"Default"),"Leaf")</f>
        <v>Leaf</v>
      </c>
      <c r="C1196" s="26" t="s">
        <v>15</v>
      </c>
      <c r="D1196" s="24" t="str">
        <f>_xll.DBRW("TM1-S1_DEV:}ElementAttributes_SP_SKU",$F1196,D$1)</f>
        <v>Primary</v>
      </c>
      <c r="E1196" s="24" t="str">
        <f>_xll.DBRW("TM1-S1_DEV:}ElementAttributes_SP_SKU",$F1196,E$1)</f>
        <v>FILM</v>
      </c>
      <c r="F1196" s="26" t="s">
        <v>130</v>
      </c>
      <c r="G1196" s="26" t="s">
        <v>1065</v>
      </c>
      <c r="H1196" s="26" t="s">
        <v>2765</v>
      </c>
      <c r="I1196" s="54">
        <f>_xll.DBRW($A$1,$F$14,$F$15,$C1196,$A$2,$F1196,$G1196,$H1196,I$1)</f>
        <v>1118</v>
      </c>
      <c r="J1196" s="25">
        <f>_xll.DBRW($A$1,$F$14,$F$15,$C1196,$A$2,$F1196,$G1196,$H1196,J$19)</f>
        <v>1111</v>
      </c>
    </row>
    <row r="1197" spans="1:10" s="23" customFormat="1" outlineLevel="1" thickBot="1" x14ac:dyDescent="0.3">
      <c r="A1197" s="44"/>
      <c r="B1197" s="31" t="str">
        <f>IF(_xll.TM1RPTELISCONSOLIDATED($H$20,$H1197),IF(_xll.TM1RPTELLEV($H$20,$H1197)&lt;=5,_xll.TM1RPTELLEV($H$20,$H1197),"Default"),"Leaf")</f>
        <v>Leaf</v>
      </c>
      <c r="C1197" s="26" t="s">
        <v>15</v>
      </c>
      <c r="D1197" s="24" t="str">
        <f>_xll.DBRW("TM1-S1_DEV:}ElementAttributes_SP_SKU",$F1197,D$1)</f>
        <v>Primary</v>
      </c>
      <c r="E1197" s="24" t="str">
        <f>_xll.DBRW("TM1-S1_DEV:}ElementAttributes_SP_SKU",$F1197,E$1)</f>
        <v>FILM</v>
      </c>
      <c r="F1197" s="26" t="s">
        <v>131</v>
      </c>
      <c r="G1197" s="26" t="s">
        <v>1066</v>
      </c>
      <c r="H1197" s="26" t="s">
        <v>2765</v>
      </c>
      <c r="I1197" s="54">
        <f>_xll.DBRW($A$1,$F$14,$F$15,$C1197,$A$2,$F1197,$G1197,$H1197,I$1)</f>
        <v>2099</v>
      </c>
      <c r="J1197" s="25">
        <f>_xll.DBRW($A$1,$F$14,$F$15,$C1197,$A$2,$F1197,$G1197,$H1197,J$19)</f>
        <v>2095</v>
      </c>
    </row>
    <row r="1198" spans="1:10" s="23" customFormat="1" outlineLevel="1" thickBot="1" x14ac:dyDescent="0.3">
      <c r="A1198" s="44"/>
      <c r="B1198" s="31" t="str">
        <f>IF(_xll.TM1RPTELISCONSOLIDATED($H$20,$H1198),IF(_xll.TM1RPTELLEV($H$20,$H1198)&lt;=5,_xll.TM1RPTELLEV($H$20,$H1198),"Default"),"Leaf")</f>
        <v>Leaf</v>
      </c>
      <c r="C1198" s="26" t="s">
        <v>15</v>
      </c>
      <c r="D1198" s="24" t="str">
        <f>_xll.DBRW("TM1-S1_DEV:}ElementAttributes_SP_SKU",$F1198,D$1)</f>
        <v>Primary</v>
      </c>
      <c r="E1198" s="24" t="str">
        <f>_xll.DBRW("TM1-S1_DEV:}ElementAttributes_SP_SKU",$F1198,E$1)</f>
        <v>PRODUCE</v>
      </c>
      <c r="F1198" s="26" t="s">
        <v>132</v>
      </c>
      <c r="G1198" s="26" t="s">
        <v>1067</v>
      </c>
      <c r="H1198" s="26" t="s">
        <v>2765</v>
      </c>
      <c r="I1198" s="54">
        <f>_xll.DBRW($A$1,$F$14,$F$15,$C1198,$A$2,$F1198,$G1198,$H1198,I$1)</f>
        <v>120</v>
      </c>
      <c r="J1198" s="25">
        <f>_xll.DBRW($A$1,$F$14,$F$15,$C1198,$A$2,$F1198,$G1198,$H1198,J$19)</f>
        <v>158</v>
      </c>
    </row>
    <row r="1199" spans="1:10" s="23" customFormat="1" outlineLevel="1" thickBot="1" x14ac:dyDescent="0.3">
      <c r="A1199" s="44"/>
      <c r="B1199" s="31" t="str">
        <f>IF(_xll.TM1RPTELISCONSOLIDATED($H$20,$H1199),IF(_xll.TM1RPTELLEV($H$20,$H1199)&lt;=5,_xll.TM1RPTELLEV($H$20,$H1199),"Default"),"Leaf")</f>
        <v>Leaf</v>
      </c>
      <c r="C1199" s="26" t="s">
        <v>15</v>
      </c>
      <c r="D1199" s="24" t="str">
        <f>_xll.DBRW("TM1-S1_DEV:}ElementAttributes_SP_SKU",$F1199,D$1)</f>
        <v>Primary</v>
      </c>
      <c r="E1199" s="24" t="str">
        <f>_xll.DBRW("TM1-S1_DEV:}ElementAttributes_SP_SKU",$F1199,E$1)</f>
        <v>PRODUCE</v>
      </c>
      <c r="F1199" s="26" t="s">
        <v>133</v>
      </c>
      <c r="G1199" s="26" t="s">
        <v>1068</v>
      </c>
      <c r="H1199" s="26" t="s">
        <v>2765</v>
      </c>
      <c r="I1199" s="54">
        <f>_xll.DBRW($A$1,$F$14,$F$15,$C1199,$A$2,$F1199,$G1199,$H1199,I$1)</f>
        <v>175</v>
      </c>
      <c r="J1199" s="25">
        <f>_xll.DBRW($A$1,$F$14,$F$15,$C1199,$A$2,$F1199,$G1199,$H1199,J$19)</f>
        <v>289</v>
      </c>
    </row>
    <row r="1200" spans="1:10" s="23" customFormat="1" outlineLevel="1" thickBot="1" x14ac:dyDescent="0.3">
      <c r="A1200" s="44"/>
      <c r="B1200" s="31" t="str">
        <f>IF(_xll.TM1RPTELISCONSOLIDATED($H$20,$H1200),IF(_xll.TM1RPTELLEV($H$20,$H1200)&lt;=5,_xll.TM1RPTELLEV($H$20,$H1200),"Default"),"Leaf")</f>
        <v>Leaf</v>
      </c>
      <c r="C1200" s="26" t="s">
        <v>15</v>
      </c>
      <c r="D1200" s="24" t="str">
        <f>_xll.DBRW("TM1-S1_DEV:}ElementAttributes_SP_SKU",$F1200,D$1)</f>
        <v>Primary</v>
      </c>
      <c r="E1200" s="24" t="str">
        <f>_xll.DBRW("TM1-S1_DEV:}ElementAttributes_SP_SKU",$F1200,E$1)</f>
        <v>PRODUCE</v>
      </c>
      <c r="F1200" s="26" t="s">
        <v>134</v>
      </c>
      <c r="G1200" s="26" t="s">
        <v>1069</v>
      </c>
      <c r="H1200" s="26" t="s">
        <v>2765</v>
      </c>
      <c r="I1200" s="54">
        <f>_xll.DBRW($A$1,$F$14,$F$15,$C1200,$A$2,$F1200,$G1200,$H1200,I$1)</f>
        <v>119</v>
      </c>
      <c r="J1200" s="25">
        <f>_xll.DBRW($A$1,$F$14,$F$15,$C1200,$A$2,$F1200,$G1200,$H1200,J$19)</f>
        <v>196</v>
      </c>
    </row>
    <row r="1201" spans="1:10" s="23" customFormat="1" outlineLevel="1" thickBot="1" x14ac:dyDescent="0.3">
      <c r="A1201" s="44"/>
      <c r="B1201" s="31" t="str">
        <f>IF(_xll.TM1RPTELISCONSOLIDATED($H$20,$H1201),IF(_xll.TM1RPTELLEV($H$20,$H1201)&lt;=5,_xll.TM1RPTELLEV($H$20,$H1201),"Default"),"Leaf")</f>
        <v>Leaf</v>
      </c>
      <c r="C1201" s="26" t="s">
        <v>15</v>
      </c>
      <c r="D1201" s="24" t="str">
        <f>_xll.DBRW("TM1-S1_DEV:}ElementAttributes_SP_SKU",$F1201,D$1)</f>
        <v>Primary</v>
      </c>
      <c r="E1201" s="24" t="str">
        <f>_xll.DBRW("TM1-S1_DEV:}ElementAttributes_SP_SKU",$F1201,E$1)</f>
        <v>PRODUCE</v>
      </c>
      <c r="F1201" s="26" t="s">
        <v>135</v>
      </c>
      <c r="G1201" s="26" t="s">
        <v>1070</v>
      </c>
      <c r="H1201" s="26" t="s">
        <v>2765</v>
      </c>
      <c r="I1201" s="54">
        <f>_xll.DBRW($A$1,$F$14,$F$15,$C1201,$A$2,$F1201,$G1201,$H1201,I$1)</f>
        <v>448</v>
      </c>
      <c r="J1201" s="25">
        <f>_xll.DBRW($A$1,$F$14,$F$15,$C1201,$A$2,$F1201,$G1201,$H1201,J$19)</f>
        <v>847</v>
      </c>
    </row>
    <row r="1202" spans="1:10" s="23" customFormat="1" outlineLevel="1" thickBot="1" x14ac:dyDescent="0.3">
      <c r="A1202" s="44"/>
      <c r="B1202" s="31" t="str">
        <f>IF(_xll.TM1RPTELISCONSOLIDATED($H$20,$H1202),IF(_xll.TM1RPTELLEV($H$20,$H1202)&lt;=5,_xll.TM1RPTELLEV($H$20,$H1202),"Default"),"Leaf")</f>
        <v>Leaf</v>
      </c>
      <c r="C1202" s="26" t="s">
        <v>15</v>
      </c>
      <c r="D1202" s="24" t="str">
        <f>_xll.DBRW("TM1-S1_DEV:}ElementAttributes_SP_SKU",$F1202,D$1)</f>
        <v>Primary</v>
      </c>
      <c r="E1202" s="24" t="str">
        <f>_xll.DBRW("TM1-S1_DEV:}ElementAttributes_SP_SKU",$F1202,E$1)</f>
        <v>PRODUCE</v>
      </c>
      <c r="F1202" s="26" t="s">
        <v>136</v>
      </c>
      <c r="G1202" s="26" t="s">
        <v>1071</v>
      </c>
      <c r="H1202" s="26" t="s">
        <v>2765</v>
      </c>
      <c r="I1202" s="54">
        <f>_xll.DBRW($A$1,$F$14,$F$15,$C1202,$A$2,$F1202,$G1202,$H1202,I$1)</f>
        <v>205</v>
      </c>
      <c r="J1202" s="25">
        <f>_xll.DBRW($A$1,$F$14,$F$15,$C1202,$A$2,$F1202,$G1202,$H1202,J$19)</f>
        <v>591</v>
      </c>
    </row>
    <row r="1203" spans="1:10" s="23" customFormat="1" outlineLevel="1" thickBot="1" x14ac:dyDescent="0.3">
      <c r="A1203" s="44"/>
      <c r="B1203" s="31" t="str">
        <f>IF(_xll.TM1RPTELISCONSOLIDATED($H$20,$H1203),IF(_xll.TM1RPTELLEV($H$20,$H1203)&lt;=5,_xll.TM1RPTELLEV($H$20,$H1203),"Default"),"Leaf")</f>
        <v>Leaf</v>
      </c>
      <c r="C1203" s="26" t="s">
        <v>15</v>
      </c>
      <c r="D1203" s="24" t="str">
        <f>_xll.DBRW("TM1-S1_DEV:}ElementAttributes_SP_SKU",$F1203,D$1)</f>
        <v>Primary</v>
      </c>
      <c r="E1203" s="24" t="str">
        <f>_xll.DBRW("TM1-S1_DEV:}ElementAttributes_SP_SKU",$F1203,E$1)</f>
        <v>PRODUCE</v>
      </c>
      <c r="F1203" s="26" t="s">
        <v>137</v>
      </c>
      <c r="G1203" s="26" t="s">
        <v>1072</v>
      </c>
      <c r="H1203" s="26" t="s">
        <v>2765</v>
      </c>
      <c r="I1203" s="54">
        <f>_xll.DBRW($A$1,$F$14,$F$15,$C1203,$A$2,$F1203,$G1203,$H1203,I$1)</f>
        <v>25</v>
      </c>
      <c r="J1203" s="25">
        <f>_xll.DBRW($A$1,$F$14,$F$15,$C1203,$A$2,$F1203,$G1203,$H1203,J$19)</f>
        <v>210</v>
      </c>
    </row>
    <row r="1204" spans="1:10" s="23" customFormat="1" outlineLevel="1" thickBot="1" x14ac:dyDescent="0.3">
      <c r="A1204" s="44"/>
      <c r="B1204" s="31" t="str">
        <f>IF(_xll.TM1RPTELISCONSOLIDATED($H$20,$H1204),IF(_xll.TM1RPTELLEV($H$20,$H1204)&lt;=5,_xll.TM1RPTELLEV($H$20,$H1204),"Default"),"Leaf")</f>
        <v>Leaf</v>
      </c>
      <c r="C1204" s="26" t="s">
        <v>15</v>
      </c>
      <c r="D1204" s="24" t="str">
        <f>_xll.DBRW("TM1-S1_DEV:}ElementAttributes_SP_SKU",$F1204,D$1)</f>
        <v>Primary</v>
      </c>
      <c r="E1204" s="24" t="str">
        <f>_xll.DBRW("TM1-S1_DEV:}ElementAttributes_SP_SKU",$F1204,E$1)</f>
        <v>LID</v>
      </c>
      <c r="F1204" s="26" t="s">
        <v>138</v>
      </c>
      <c r="G1204" s="26" t="s">
        <v>1073</v>
      </c>
      <c r="H1204" s="26" t="s">
        <v>2757</v>
      </c>
      <c r="I1204" s="54">
        <f>_xll.DBRW($A$1,$F$14,$F$15,$C1204,$A$2,$F1204,$G1204,$H1204,I$1)</f>
        <v>104</v>
      </c>
      <c r="J1204" s="25">
        <f>_xll.DBRW($A$1,$F$14,$F$15,$C1204,$A$2,$F1204,$G1204,$H1204,J$19)</f>
        <v>104</v>
      </c>
    </row>
    <row r="1205" spans="1:10" s="23" customFormat="1" outlineLevel="1" thickBot="1" x14ac:dyDescent="0.3">
      <c r="A1205" s="44"/>
      <c r="B1205" s="31" t="str">
        <f>IF(_xll.TM1RPTELISCONSOLIDATED($H$20,$H1205),IF(_xll.TM1RPTELLEV($H$20,$H1205)&lt;=5,_xll.TM1RPTELLEV($H$20,$H1205),"Default"),"Leaf")</f>
        <v>Leaf</v>
      </c>
      <c r="C1205" s="26" t="s">
        <v>15</v>
      </c>
      <c r="D1205" s="24" t="str">
        <f>_xll.DBRW("TM1-S1_DEV:}ElementAttributes_SP_SKU",$F1205,D$1)</f>
        <v>Primary</v>
      </c>
      <c r="E1205" s="24" t="str">
        <f>_xll.DBRW("TM1-S1_DEV:}ElementAttributes_SP_SKU",$F1205,E$1)</f>
        <v>PLATE</v>
      </c>
      <c r="F1205" s="26" t="s">
        <v>139</v>
      </c>
      <c r="G1205" s="26" t="s">
        <v>1074</v>
      </c>
      <c r="H1205" s="26" t="s">
        <v>2773</v>
      </c>
      <c r="I1205" s="54">
        <f>_xll.DBRW($A$1,$F$14,$F$15,$C1205,$A$2,$F1205,$G1205,$H1205,I$1)</f>
        <v>145</v>
      </c>
      <c r="J1205" s="25">
        <f>_xll.DBRW($A$1,$F$14,$F$15,$C1205,$A$2,$F1205,$G1205,$H1205,J$19)</f>
        <v>143</v>
      </c>
    </row>
    <row r="1206" spans="1:10" s="23" customFormat="1" outlineLevel="1" thickBot="1" x14ac:dyDescent="0.3">
      <c r="A1206" s="44"/>
      <c r="B1206" s="31" t="str">
        <f>IF(_xll.TM1RPTELISCONSOLIDATED($H$20,$H1206),IF(_xll.TM1RPTELLEV($H$20,$H1206)&lt;=5,_xll.TM1RPTELLEV($H$20,$H1206),"Default"),"Leaf")</f>
        <v>Leaf</v>
      </c>
      <c r="C1206" s="26" t="s">
        <v>15</v>
      </c>
      <c r="D1206" s="24" t="str">
        <f>_xll.DBRW("TM1-S1_DEV:}ElementAttributes_SP_SKU",$F1206,D$1)</f>
        <v>Primary</v>
      </c>
      <c r="E1206" s="24" t="str">
        <f>_xll.DBRW("TM1-S1_DEV:}ElementAttributes_SP_SKU",$F1206,E$1)</f>
        <v>BOWL</v>
      </c>
      <c r="F1206" s="26" t="s">
        <v>140</v>
      </c>
      <c r="G1206" s="26" t="s">
        <v>1075</v>
      </c>
      <c r="H1206" s="26" t="s">
        <v>2773</v>
      </c>
      <c r="I1206" s="54">
        <f>_xll.DBRW($A$1,$F$14,$F$15,$C1206,$A$2,$F1206,$G1206,$H1206,I$1)</f>
        <v>40</v>
      </c>
      <c r="J1206" s="25">
        <f>_xll.DBRW($A$1,$F$14,$F$15,$C1206,$A$2,$F1206,$G1206,$H1206,J$19)</f>
        <v>36</v>
      </c>
    </row>
    <row r="1207" spans="1:10" s="23" customFormat="1" outlineLevel="1" thickBot="1" x14ac:dyDescent="0.3">
      <c r="A1207" s="44"/>
      <c r="B1207" s="31" t="str">
        <f>IF(_xll.TM1RPTELISCONSOLIDATED($H$20,$H1207),IF(_xll.TM1RPTELLEV($H$20,$H1207)&lt;=5,_xll.TM1RPTELLEV($H$20,$H1207),"Default"),"Leaf")</f>
        <v>Leaf</v>
      </c>
      <c r="C1207" s="26" t="s">
        <v>15</v>
      </c>
      <c r="D1207" s="24" t="str">
        <f>_xll.DBRW("TM1-S1_DEV:}ElementAttributes_SP_SKU",$F1207,D$1)</f>
        <v>Primary</v>
      </c>
      <c r="E1207" s="24" t="str">
        <f>_xll.DBRW("TM1-S1_DEV:}ElementAttributes_SP_SKU",$F1207,E$1)</f>
        <v>BOWL</v>
      </c>
      <c r="F1207" s="26" t="s">
        <v>141</v>
      </c>
      <c r="G1207" s="26" t="s">
        <v>1076</v>
      </c>
      <c r="H1207" s="26" t="s">
        <v>2773</v>
      </c>
      <c r="I1207" s="54">
        <f>_xll.DBRW($A$1,$F$14,$F$15,$C1207,$A$2,$F1207,$G1207,$H1207,I$1)</f>
        <v>47</v>
      </c>
      <c r="J1207" s="25">
        <f>_xll.DBRW($A$1,$F$14,$F$15,$C1207,$A$2,$F1207,$G1207,$H1207,J$19)</f>
        <v>44</v>
      </c>
    </row>
    <row r="1208" spans="1:10" s="23" customFormat="1" outlineLevel="1" thickBot="1" x14ac:dyDescent="0.3">
      <c r="A1208" s="44"/>
      <c r="B1208" s="31" t="str">
        <f>IF(_xll.TM1RPTELISCONSOLIDATED($H$20,$H1208),IF(_xll.TM1RPTELLEV($H$20,$H1208)&lt;=5,_xll.TM1RPTELLEV($H$20,$H1208),"Default"),"Leaf")</f>
        <v>Leaf</v>
      </c>
      <c r="C1208" s="26" t="s">
        <v>15</v>
      </c>
      <c r="D1208" s="24" t="str">
        <f>_xll.DBRW("TM1-S1_DEV:}ElementAttributes_SP_SKU",$F1208,D$1)</f>
        <v>Primary</v>
      </c>
      <c r="E1208" s="24" t="str">
        <f>_xll.DBRW("TM1-S1_DEV:}ElementAttributes_SP_SKU",$F1208,E$1)</f>
        <v>UTENSIL</v>
      </c>
      <c r="F1208" s="26" t="s">
        <v>142</v>
      </c>
      <c r="G1208" s="26" t="s">
        <v>1077</v>
      </c>
      <c r="H1208" s="26" t="s">
        <v>2773</v>
      </c>
      <c r="I1208" s="54">
        <f>_xll.DBRW($A$1,$F$14,$F$15,$C1208,$A$2,$F1208,$G1208,$H1208,I$1)</f>
        <v>48</v>
      </c>
      <c r="J1208" s="25">
        <f>_xll.DBRW($A$1,$F$14,$F$15,$C1208,$A$2,$F1208,$G1208,$H1208,J$19)</f>
        <v>106</v>
      </c>
    </row>
    <row r="1209" spans="1:10" s="23" customFormat="1" outlineLevel="1" thickBot="1" x14ac:dyDescent="0.3">
      <c r="A1209" s="44"/>
      <c r="B1209" s="31" t="str">
        <f>IF(_xll.TM1RPTELISCONSOLIDATED($H$20,$H1209),IF(_xll.TM1RPTELLEV($H$20,$H1209)&lt;=5,_xll.TM1RPTELLEV($H$20,$H1209),"Default"),"Leaf")</f>
        <v>Leaf</v>
      </c>
      <c r="C1209" s="26" t="s">
        <v>15</v>
      </c>
      <c r="D1209" s="24" t="str">
        <f>_xll.DBRW("TM1-S1_DEV:}ElementAttributes_SP_SKU",$F1209,D$1)</f>
        <v>Primary</v>
      </c>
      <c r="E1209" s="24" t="str">
        <f>_xll.DBRW("TM1-S1_DEV:}ElementAttributes_SP_SKU",$F1209,E$1)</f>
        <v>UTENSIL</v>
      </c>
      <c r="F1209" s="26" t="s">
        <v>143</v>
      </c>
      <c r="G1209" s="26" t="s">
        <v>1078</v>
      </c>
      <c r="H1209" s="26" t="s">
        <v>2773</v>
      </c>
      <c r="I1209" s="54">
        <f>_xll.DBRW($A$1,$F$14,$F$15,$C1209,$A$2,$F1209,$G1209,$H1209,I$1)</f>
        <v>53</v>
      </c>
      <c r="J1209" s="25">
        <f>_xll.DBRW($A$1,$F$14,$F$15,$C1209,$A$2,$F1209,$G1209,$H1209,J$19)</f>
        <v>157</v>
      </c>
    </row>
    <row r="1210" spans="1:10" s="23" customFormat="1" outlineLevel="1" thickBot="1" x14ac:dyDescent="0.3">
      <c r="A1210" s="44"/>
      <c r="B1210" s="31" t="str">
        <f>IF(_xll.TM1RPTELISCONSOLIDATED($H$20,$H1210),IF(_xll.TM1RPTELLEV($H$20,$H1210)&lt;=5,_xll.TM1RPTELLEV($H$20,$H1210),"Default"),"Leaf")</f>
        <v>Leaf</v>
      </c>
      <c r="C1210" s="26" t="s">
        <v>15</v>
      </c>
      <c r="D1210" s="24" t="str">
        <f>_xll.DBRW("TM1-S1_DEV:}ElementAttributes_SP_SKU",$F1210,D$1)</f>
        <v>Primary</v>
      </c>
      <c r="E1210" s="24" t="str">
        <f>_xll.DBRW("TM1-S1_DEV:}ElementAttributes_SP_SKU",$F1210,E$1)</f>
        <v>PAPER</v>
      </c>
      <c r="F1210" s="26" t="s">
        <v>144</v>
      </c>
      <c r="G1210" s="26" t="s">
        <v>1079</v>
      </c>
      <c r="H1210" s="26" t="s">
        <v>2774</v>
      </c>
      <c r="I1210" s="54">
        <f>_xll.DBRW($A$1,$F$14,$F$15,$C1210,$A$2,$F1210,$G1210,$H1210,I$1)</f>
        <v>135</v>
      </c>
      <c r="J1210" s="25">
        <f>_xll.DBRW($A$1,$F$14,$F$15,$C1210,$A$2,$F1210,$G1210,$H1210,J$19)</f>
        <v>134</v>
      </c>
    </row>
    <row r="1211" spans="1:10" s="23" customFormat="1" outlineLevel="1" thickBot="1" x14ac:dyDescent="0.3">
      <c r="A1211" s="44"/>
      <c r="B1211" s="31" t="str">
        <f>IF(_xll.TM1RPTELISCONSOLIDATED($H$20,$H1211),IF(_xll.TM1RPTELLEV($H$20,$H1211)&lt;=5,_xll.TM1RPTELLEV($H$20,$H1211),"Default"),"Leaf")</f>
        <v>Leaf</v>
      </c>
      <c r="C1211" s="26" t="s">
        <v>15</v>
      </c>
      <c r="D1211" s="24" t="str">
        <f>_xll.DBRW("TM1-S1_DEV:}ElementAttributes_SP_SKU",$F1211,D$1)</f>
        <v>Primary</v>
      </c>
      <c r="E1211" s="24" t="str">
        <f>_xll.DBRW("TM1-S1_DEV:}ElementAttributes_SP_SKU",$F1211,E$1)</f>
        <v>PAPER</v>
      </c>
      <c r="F1211" s="26" t="s">
        <v>145</v>
      </c>
      <c r="G1211" s="26" t="s">
        <v>1080</v>
      </c>
      <c r="H1211" s="26" t="s">
        <v>2774</v>
      </c>
      <c r="I1211" s="54">
        <f>_xll.DBRW($A$1,$F$14,$F$15,$C1211,$A$2,$F1211,$G1211,$H1211,I$1)</f>
        <v>134</v>
      </c>
      <c r="J1211" s="25">
        <f>_xll.DBRW($A$1,$F$14,$F$15,$C1211,$A$2,$F1211,$G1211,$H1211,J$19)</f>
        <v>134</v>
      </c>
    </row>
    <row r="1212" spans="1:10" s="23" customFormat="1" outlineLevel="1" thickBot="1" x14ac:dyDescent="0.3">
      <c r="A1212" s="44"/>
      <c r="B1212" s="31" t="str">
        <f>IF(_xll.TM1RPTELISCONSOLIDATED($H$20,$H1212),IF(_xll.TM1RPTELLEV($H$20,$H1212)&lt;=5,_xll.TM1RPTELLEV($H$20,$H1212),"Default"),"Leaf")</f>
        <v>Leaf</v>
      </c>
      <c r="C1212" s="26" t="s">
        <v>15</v>
      </c>
      <c r="D1212" s="24" t="str">
        <f>_xll.DBRW("TM1-S1_DEV:}ElementAttributes_SP_SKU",$F1212,D$1)</f>
        <v>Primary</v>
      </c>
      <c r="E1212" s="24" t="str">
        <f>_xll.DBRW("TM1-S1_DEV:}ElementAttributes_SP_SKU",$F1212,E$1)</f>
        <v>INGREDIENT</v>
      </c>
      <c r="F1212" s="26" t="s">
        <v>146</v>
      </c>
      <c r="G1212" s="26" t="s">
        <v>1081</v>
      </c>
      <c r="H1212" s="26" t="s">
        <v>2718</v>
      </c>
      <c r="I1212" s="54">
        <f>_xll.DBRW($A$1,$F$14,$F$15,$C1212,$A$2,$F1212,$G1212,$H1212,I$1)</f>
        <v>31</v>
      </c>
      <c r="J1212" s="25">
        <f>_xll.DBRW($A$1,$F$14,$F$15,$C1212,$A$2,$F1212,$G1212,$H1212,J$19)</f>
        <v>45</v>
      </c>
    </row>
    <row r="1213" spans="1:10" s="23" customFormat="1" outlineLevel="1" thickBot="1" x14ac:dyDescent="0.3">
      <c r="A1213" s="44"/>
      <c r="B1213" s="31" t="str">
        <f>IF(_xll.TM1RPTELISCONSOLIDATED($H$20,$H1213),IF(_xll.TM1RPTELLEV($H$20,$H1213)&lt;=5,_xll.TM1RPTELLEV($H$20,$H1213),"Default"),"Leaf")</f>
        <v>Leaf</v>
      </c>
      <c r="C1213" s="26" t="s">
        <v>15</v>
      </c>
      <c r="D1213" s="24" t="str">
        <f>_xll.DBRW("TM1-S1_DEV:}ElementAttributes_SP_SKU",$F1213,D$1)</f>
        <v>Primary</v>
      </c>
      <c r="E1213" s="24" t="str">
        <f>_xll.DBRW("TM1-S1_DEV:}ElementAttributes_SP_SKU",$F1213,E$1)</f>
        <v>DRESSING</v>
      </c>
      <c r="F1213" s="26" t="s">
        <v>147</v>
      </c>
      <c r="G1213" s="26" t="s">
        <v>1082</v>
      </c>
      <c r="H1213" s="26" t="s">
        <v>2743</v>
      </c>
      <c r="I1213" s="54">
        <f>_xll.DBRW($A$1,$F$14,$F$15,$C1213,$A$2,$F1213,$G1213,$H1213,I$1)</f>
        <v>32</v>
      </c>
      <c r="J1213" s="25">
        <f>_xll.DBRW($A$1,$F$14,$F$15,$C1213,$A$2,$F1213,$G1213,$H1213,J$19)</f>
        <v>29</v>
      </c>
    </row>
    <row r="1214" spans="1:10" s="23" customFormat="1" outlineLevel="1" thickBot="1" x14ac:dyDescent="0.3">
      <c r="A1214" s="44"/>
      <c r="B1214" s="31" t="str">
        <f>IF(_xll.TM1RPTELISCONSOLIDATED($H$20,$H1214),IF(_xll.TM1RPTELLEV($H$20,$H1214)&lt;=5,_xll.TM1RPTELLEV($H$20,$H1214),"Default"),"Leaf")</f>
        <v>Leaf</v>
      </c>
      <c r="C1214" s="26" t="s">
        <v>15</v>
      </c>
      <c r="D1214" s="24" t="str">
        <f>_xll.DBRW("TM1-S1_DEV:}ElementAttributes_SP_SKU",$F1214,D$1)</f>
        <v>Primary</v>
      </c>
      <c r="E1214" s="24" t="str">
        <f>_xll.DBRW("TM1-S1_DEV:}ElementAttributes_SP_SKU",$F1214,E$1)</f>
        <v>BAG</v>
      </c>
      <c r="F1214" s="26" t="s">
        <v>148</v>
      </c>
      <c r="G1214" s="26" t="s">
        <v>1083</v>
      </c>
      <c r="H1214" s="26" t="s">
        <v>2775</v>
      </c>
      <c r="I1214" s="54">
        <f>_xll.DBRW($A$1,$F$14,$F$15,$C1214,$A$2,$F1214,$G1214,$H1214,I$1)</f>
        <v>183</v>
      </c>
      <c r="J1214" s="25">
        <f>_xll.DBRW($A$1,$F$14,$F$15,$C1214,$A$2,$F1214,$G1214,$H1214,J$19)</f>
        <v>225</v>
      </c>
    </row>
    <row r="1215" spans="1:10" s="23" customFormat="1" outlineLevel="1" thickBot="1" x14ac:dyDescent="0.3">
      <c r="A1215" s="44"/>
      <c r="B1215" s="31" t="str">
        <f>IF(_xll.TM1RPTELISCONSOLIDATED($H$20,$H1215),IF(_xll.TM1RPTELLEV($H$20,$H1215)&lt;=5,_xll.TM1RPTELLEV($H$20,$H1215),"Default"),"Leaf")</f>
        <v>Leaf</v>
      </c>
      <c r="C1215" s="26" t="s">
        <v>15</v>
      </c>
      <c r="D1215" s="24" t="str">
        <f>_xll.DBRW("TM1-S1_DEV:}ElementAttributes_SP_SKU",$F1215,D$1)</f>
        <v>Primary</v>
      </c>
      <c r="E1215" s="24" t="str">
        <f>_xll.DBRW("TM1-S1_DEV:}ElementAttributes_SP_SKU",$F1215,E$1)</f>
        <v>BOWL</v>
      </c>
      <c r="F1215" s="26" t="s">
        <v>266</v>
      </c>
      <c r="G1215" s="26" t="s">
        <v>1253</v>
      </c>
      <c r="H1215" s="26" t="s">
        <v>2708</v>
      </c>
      <c r="I1215" s="54">
        <f>_xll.DBRW($A$1,$F$14,$F$15,$C1215,$A$2,$F1215,$G1215,$H1215,I$1)</f>
        <v>13</v>
      </c>
      <c r="J1215" s="25">
        <f>_xll.DBRW($A$1,$F$14,$F$15,$C1215,$A$2,$F1215,$G1215,$H1215,J$19)</f>
        <v>12</v>
      </c>
    </row>
    <row r="1216" spans="1:10" s="23" customFormat="1" outlineLevel="1" thickBot="1" x14ac:dyDescent="0.3">
      <c r="A1216" s="44"/>
      <c r="B1216" s="31" t="str">
        <f>IF(_xll.TM1RPTELISCONSOLIDATED($H$20,$H1216),IF(_xll.TM1RPTELLEV($H$20,$H1216)&lt;=5,_xll.TM1RPTELLEV($H$20,$H1216),"Default"),"Leaf")</f>
        <v>Leaf</v>
      </c>
      <c r="C1216" s="26" t="s">
        <v>15</v>
      </c>
      <c r="D1216" s="24" t="str">
        <f>_xll.DBRW("TM1-S1_DEV:}ElementAttributes_SP_SKU",$F1216,D$1)</f>
        <v>Primary</v>
      </c>
      <c r="E1216" s="24" t="str">
        <f>_xll.DBRW("TM1-S1_DEV:}ElementAttributes_SP_SKU",$F1216,E$1)</f>
        <v>CHEESE</v>
      </c>
      <c r="F1216" s="26" t="s">
        <v>150</v>
      </c>
      <c r="G1216" s="26" t="s">
        <v>1085</v>
      </c>
      <c r="H1216" s="26" t="s">
        <v>2777</v>
      </c>
      <c r="I1216" s="54">
        <f>_xll.DBRW($A$1,$F$14,$F$15,$C1216,$A$2,$F1216,$G1216,$H1216,I$1)</f>
        <v>233</v>
      </c>
      <c r="J1216" s="25">
        <f>_xll.DBRW($A$1,$F$14,$F$15,$C1216,$A$2,$F1216,$G1216,$H1216,J$19)</f>
        <v>226</v>
      </c>
    </row>
    <row r="1217" spans="1:10" s="23" customFormat="1" outlineLevel="1" thickBot="1" x14ac:dyDescent="0.3">
      <c r="A1217" s="44"/>
      <c r="B1217" s="31" t="str">
        <f>IF(_xll.TM1RPTELISCONSOLIDATED($H$20,$H1217),IF(_xll.TM1RPTELLEV($H$20,$H1217)&lt;=5,_xll.TM1RPTELLEV($H$20,$H1217),"Default"),"Leaf")</f>
        <v>Leaf</v>
      </c>
      <c r="C1217" s="26" t="s">
        <v>15</v>
      </c>
      <c r="D1217" s="24" t="str">
        <f>_xll.DBRW("TM1-S1_DEV:}ElementAttributes_SP_SKU",$F1217,D$1)</f>
        <v>Primary</v>
      </c>
      <c r="E1217" s="24" t="str">
        <f>_xll.DBRW("TM1-S1_DEV:}ElementAttributes_SP_SKU",$F1217,E$1)</f>
        <v>PAPER</v>
      </c>
      <c r="F1217" s="26" t="s">
        <v>151</v>
      </c>
      <c r="G1217" s="26" t="s">
        <v>1086</v>
      </c>
      <c r="H1217" s="26" t="s">
        <v>2778</v>
      </c>
      <c r="I1217" s="54">
        <f>_xll.DBRW($A$1,$F$14,$F$15,$C1217,$A$2,$F1217,$G1217,$H1217,I$1)</f>
        <v>35</v>
      </c>
      <c r="J1217" s="25">
        <f>_xll.DBRW($A$1,$F$14,$F$15,$C1217,$A$2,$F1217,$G1217,$H1217,J$19)</f>
        <v>33</v>
      </c>
    </row>
    <row r="1218" spans="1:10" s="23" customFormat="1" outlineLevel="1" thickBot="1" x14ac:dyDescent="0.3">
      <c r="A1218" s="44"/>
      <c r="B1218" s="31" t="str">
        <f>IF(_xll.TM1RPTELISCONSOLIDATED($H$20,$H1218),IF(_xll.TM1RPTELLEV($H$20,$H1218)&lt;=5,_xll.TM1RPTELLEV($H$20,$H1218),"Default"),"Leaf")</f>
        <v>Leaf</v>
      </c>
      <c r="C1218" s="26" t="s">
        <v>15</v>
      </c>
      <c r="D1218" s="24" t="str">
        <f>_xll.DBRW("TM1-S1_DEV:}ElementAttributes_SP_SKU",$F1218,D$1)</f>
        <v>Primary</v>
      </c>
      <c r="E1218" s="24" t="str">
        <f>_xll.DBRW("TM1-S1_DEV:}ElementAttributes_SP_SKU",$F1218,E$1)</f>
        <v>CONTAINER</v>
      </c>
      <c r="F1218" s="26" t="s">
        <v>152</v>
      </c>
      <c r="G1218" s="26" t="s">
        <v>1087</v>
      </c>
      <c r="H1218" s="26" t="s">
        <v>2752</v>
      </c>
      <c r="I1218" s="54">
        <f>_xll.DBRW($A$1,$F$14,$F$15,$C1218,$A$2,$F1218,$G1218,$H1218,I$1)</f>
        <v>38</v>
      </c>
      <c r="J1218" s="25">
        <f>_xll.DBRW($A$1,$F$14,$F$15,$C1218,$A$2,$F1218,$G1218,$H1218,J$19)</f>
        <v>96</v>
      </c>
    </row>
    <row r="1219" spans="1:10" s="23" customFormat="1" outlineLevel="1" thickBot="1" x14ac:dyDescent="0.3">
      <c r="A1219" s="44"/>
      <c r="B1219" s="31" t="str">
        <f>IF(_xll.TM1RPTELISCONSOLIDATED($H$20,$H1219),IF(_xll.TM1RPTELLEV($H$20,$H1219)&lt;=5,_xll.TM1RPTELLEV($H$20,$H1219),"Default"),"Leaf")</f>
        <v>Leaf</v>
      </c>
      <c r="C1219" s="26" t="s">
        <v>15</v>
      </c>
      <c r="D1219" s="24" t="str">
        <f>_xll.DBRW("TM1-S1_DEV:}ElementAttributes_SP_SKU",$F1219,D$1)</f>
        <v>Primary</v>
      </c>
      <c r="E1219" s="24" t="str">
        <f>_xll.DBRW("TM1-S1_DEV:}ElementAttributes_SP_SKU",$F1219,E$1)</f>
        <v>TRAY</v>
      </c>
      <c r="F1219" s="26" t="s">
        <v>153</v>
      </c>
      <c r="G1219" s="26" t="s">
        <v>1088</v>
      </c>
      <c r="H1219" s="26" t="s">
        <v>2708</v>
      </c>
      <c r="I1219" s="54">
        <f>_xll.DBRW($A$1,$F$14,$F$15,$C1219,$A$2,$F1219,$G1219,$H1219,I$1)</f>
        <v>46</v>
      </c>
      <c r="J1219" s="25">
        <f>_xll.DBRW($A$1,$F$14,$F$15,$C1219,$A$2,$F1219,$G1219,$H1219,J$19)</f>
        <v>48</v>
      </c>
    </row>
    <row r="1220" spans="1:10" s="23" customFormat="1" outlineLevel="1" thickBot="1" x14ac:dyDescent="0.3">
      <c r="A1220" s="44"/>
      <c r="B1220" s="31" t="str">
        <f>IF(_xll.TM1RPTELISCONSOLIDATED($H$20,$H1220),IF(_xll.TM1RPTELLEV($H$20,$H1220)&lt;=5,_xll.TM1RPTELLEV($H$20,$H1220),"Default"),"Leaf")</f>
        <v>Leaf</v>
      </c>
      <c r="C1220" s="26" t="s">
        <v>15</v>
      </c>
      <c r="D1220" s="24" t="str">
        <f>_xll.DBRW("TM1-S1_DEV:}ElementAttributes_SP_SKU",$F1220,D$1)</f>
        <v>Primary</v>
      </c>
      <c r="E1220" s="24" t="str">
        <f>_xll.DBRW("TM1-S1_DEV:}ElementAttributes_SP_SKU",$F1220,E$1)</f>
        <v>TRAY</v>
      </c>
      <c r="F1220" s="26" t="s">
        <v>154</v>
      </c>
      <c r="G1220" s="26" t="s">
        <v>1089</v>
      </c>
      <c r="H1220" s="26" t="s">
        <v>2708</v>
      </c>
      <c r="I1220" s="54">
        <f>_xll.DBRW($A$1,$F$14,$F$15,$C1220,$A$2,$F1220,$G1220,$H1220,I$1)</f>
        <v>60</v>
      </c>
      <c r="J1220" s="25">
        <f>_xll.DBRW($A$1,$F$14,$F$15,$C1220,$A$2,$F1220,$G1220,$H1220,J$19)</f>
        <v>96</v>
      </c>
    </row>
    <row r="1221" spans="1:10" s="23" customFormat="1" outlineLevel="1" thickBot="1" x14ac:dyDescent="0.3">
      <c r="A1221" s="44"/>
      <c r="B1221" s="31" t="str">
        <f>IF(_xll.TM1RPTELISCONSOLIDATED($H$20,$H1221),IF(_xll.TM1RPTELLEV($H$20,$H1221)&lt;=5,_xll.TM1RPTELLEV($H$20,$H1221),"Default"),"Leaf")</f>
        <v>Leaf</v>
      </c>
      <c r="C1221" s="26" t="s">
        <v>15</v>
      </c>
      <c r="D1221" s="24" t="str">
        <f>_xll.DBRW("TM1-S1_DEV:}ElementAttributes_SP_SKU",$F1221,D$1)</f>
        <v>Primary</v>
      </c>
      <c r="E1221" s="24" t="str">
        <f>_xll.DBRW("TM1-S1_DEV:}ElementAttributes_SP_SKU",$F1221,E$1)</f>
        <v>TRAY</v>
      </c>
      <c r="F1221" s="26" t="s">
        <v>155</v>
      </c>
      <c r="G1221" s="26" t="s">
        <v>1090</v>
      </c>
      <c r="H1221" s="26" t="s">
        <v>2708</v>
      </c>
      <c r="I1221" s="54">
        <f>_xll.DBRW($A$1,$F$14,$F$15,$C1221,$A$2,$F1221,$G1221,$H1221,I$1)</f>
        <v>47</v>
      </c>
      <c r="J1221" s="25">
        <f>_xll.DBRW($A$1,$F$14,$F$15,$C1221,$A$2,$F1221,$G1221,$H1221,J$19)</f>
        <v>53</v>
      </c>
    </row>
    <row r="1222" spans="1:10" s="23" customFormat="1" outlineLevel="1" thickBot="1" x14ac:dyDescent="0.3">
      <c r="A1222" s="44"/>
      <c r="B1222" s="31" t="str">
        <f>IF(_xll.TM1RPTELISCONSOLIDATED($H$20,$H1222),IF(_xll.TM1RPTELLEV($H$20,$H1222)&lt;=5,_xll.TM1RPTELLEV($H$20,$H1222),"Default"),"Leaf")</f>
        <v>Leaf</v>
      </c>
      <c r="C1222" s="26" t="s">
        <v>15</v>
      </c>
      <c r="D1222" s="24" t="str">
        <f>_xll.DBRW("TM1-S1_DEV:}ElementAttributes_SP_SKU",$F1222,D$1)</f>
        <v>Primary</v>
      </c>
      <c r="E1222" s="24" t="str">
        <f>_xll.DBRW("TM1-S1_DEV:}ElementAttributes_SP_SKU",$F1222,E$1)</f>
        <v>FOIL</v>
      </c>
      <c r="F1222" s="26" t="s">
        <v>34</v>
      </c>
      <c r="G1222" s="26" t="s">
        <v>1284</v>
      </c>
      <c r="H1222" s="26" t="s">
        <v>2716</v>
      </c>
      <c r="I1222" s="54">
        <f>_xll.DBRW($A$1,$F$14,$F$15,$C1222,$A$2,$F1222,$G1222,$H1222,I$1)</f>
        <v>7</v>
      </c>
      <c r="J1222" s="25">
        <f>_xll.DBRW($A$1,$F$14,$F$15,$C1222,$A$2,$F1222,$G1222,$H1222,J$19)</f>
        <v>7</v>
      </c>
    </row>
    <row r="1223" spans="1:10" s="23" customFormat="1" outlineLevel="1" thickBot="1" x14ac:dyDescent="0.3">
      <c r="A1223" s="44"/>
      <c r="B1223" s="31" t="str">
        <f>IF(_xll.TM1RPTELISCONSOLIDATED($H$20,$H1223),IF(_xll.TM1RPTELLEV($H$20,$H1223)&lt;=5,_xll.TM1RPTELLEV($H$20,$H1223),"Default"),"Leaf")</f>
        <v>Leaf</v>
      </c>
      <c r="C1223" s="26" t="s">
        <v>15</v>
      </c>
      <c r="D1223" s="24" t="str">
        <f>_xll.DBRW("TM1-S1_DEV:}ElementAttributes_SP_SKU",$F1223,D$1)</f>
        <v>Primary</v>
      </c>
      <c r="E1223" s="24" t="str">
        <f>_xll.DBRW("TM1-S1_DEV:}ElementAttributes_SP_SKU",$F1223,E$1)</f>
        <v>DRESSING</v>
      </c>
      <c r="F1223" s="26" t="s">
        <v>156</v>
      </c>
      <c r="G1223" s="26" t="s">
        <v>1091</v>
      </c>
      <c r="H1223" s="26" t="s">
        <v>2743</v>
      </c>
      <c r="I1223" s="54">
        <f>_xll.DBRW($A$1,$F$14,$F$15,$C1223,$A$2,$F1223,$G1223,$H1223,I$1)</f>
        <v>81</v>
      </c>
      <c r="J1223" s="25">
        <f>_xll.DBRW($A$1,$F$14,$F$15,$C1223,$A$2,$F1223,$G1223,$H1223,J$19)</f>
        <v>125</v>
      </c>
    </row>
    <row r="1224" spans="1:10" s="23" customFormat="1" outlineLevel="1" thickBot="1" x14ac:dyDescent="0.3">
      <c r="A1224" s="44"/>
      <c r="B1224" s="31" t="str">
        <f>IF(_xll.TM1RPTELISCONSOLIDATED($H$20,$H1224),IF(_xll.TM1RPTELLEV($H$20,$H1224)&lt;=5,_xll.TM1RPTELLEV($H$20,$H1224),"Default"),"Leaf")</f>
        <v>Leaf</v>
      </c>
      <c r="C1224" s="26" t="s">
        <v>15</v>
      </c>
      <c r="D1224" s="24" t="str">
        <f>_xll.DBRW("TM1-S1_DEV:}ElementAttributes_SP_SKU",$F1224,D$1)</f>
        <v>Secondary</v>
      </c>
      <c r="E1224" s="24" t="str">
        <f>_xll.DBRW("TM1-S1_DEV:}ElementAttributes_SP_SKU",$F1224,E$1)</f>
        <v>DRESSING</v>
      </c>
      <c r="F1224" s="26" t="s">
        <v>157</v>
      </c>
      <c r="G1224" s="26" t="s">
        <v>1092</v>
      </c>
      <c r="H1224" s="26" t="s">
        <v>2720</v>
      </c>
      <c r="I1224" s="54">
        <f>_xll.DBRW($A$1,$F$14,$F$15,$C1224,$A$2,$F1224,$G1224,$H1224,I$1)</f>
        <v>148</v>
      </c>
      <c r="J1224" s="25">
        <f>_xll.DBRW($A$1,$F$14,$F$15,$C1224,$A$2,$F1224,$G1224,$H1224,J$19)</f>
        <v>148</v>
      </c>
    </row>
    <row r="1225" spans="1:10" s="23" customFormat="1" outlineLevel="1" thickBot="1" x14ac:dyDescent="0.3">
      <c r="A1225" s="44"/>
      <c r="B1225" s="31" t="str">
        <f>IF(_xll.TM1RPTELISCONSOLIDATED($H$20,$H1225),IF(_xll.TM1RPTELLEV($H$20,$H1225)&lt;=5,_xll.TM1RPTELLEV($H$20,$H1225),"Default"),"Leaf")</f>
        <v>Leaf</v>
      </c>
      <c r="C1225" s="26" t="s">
        <v>15</v>
      </c>
      <c r="D1225" s="24" t="str">
        <f>_xll.DBRW("TM1-S1_DEV:}ElementAttributes_SP_SKU",$F1225,D$1)</f>
        <v>Secondary</v>
      </c>
      <c r="E1225" s="24" t="str">
        <f>_xll.DBRW("TM1-S1_DEV:}ElementAttributes_SP_SKU",$F1225,E$1)</f>
        <v>CONTAINER</v>
      </c>
      <c r="F1225" s="26" t="s">
        <v>158</v>
      </c>
      <c r="G1225" s="26" t="s">
        <v>1093</v>
      </c>
      <c r="H1225" s="26" t="s">
        <v>2779</v>
      </c>
      <c r="I1225" s="54">
        <f>_xll.DBRW($A$1,$F$14,$F$15,$C1225,$A$2,$F1225,$G1225,$H1225,I$1)</f>
        <v>177</v>
      </c>
      <c r="J1225" s="25">
        <f>_xll.DBRW($A$1,$F$14,$F$15,$C1225,$A$2,$F1225,$G1225,$H1225,J$19)</f>
        <v>273</v>
      </c>
    </row>
    <row r="1226" spans="1:10" s="23" customFormat="1" outlineLevel="1" thickBot="1" x14ac:dyDescent="0.3">
      <c r="A1226" s="44"/>
      <c r="B1226" s="31" t="str">
        <f>IF(_xll.TM1RPTELISCONSOLIDATED($H$20,$H1226),IF(_xll.TM1RPTELLEV($H$20,$H1226)&lt;=5,_xll.TM1RPTELLEV($H$20,$H1226),"Default"),"Leaf")</f>
        <v>Leaf</v>
      </c>
      <c r="C1226" s="26" t="s">
        <v>15</v>
      </c>
      <c r="D1226" s="24" t="str">
        <f>_xll.DBRW("TM1-S1_DEV:}ElementAttributes_SP_SKU",$F1226,D$1)</f>
        <v>Secondary</v>
      </c>
      <c r="E1226" s="24" t="str">
        <f>_xll.DBRW("TM1-S1_DEV:}ElementAttributes_SP_SKU",$F1226,E$1)</f>
        <v>GLOVES</v>
      </c>
      <c r="F1226" s="26" t="s">
        <v>159</v>
      </c>
      <c r="G1226" s="26" t="s">
        <v>1094</v>
      </c>
      <c r="H1226" s="26" t="s">
        <v>2780</v>
      </c>
      <c r="I1226" s="54">
        <f>_xll.DBRW($A$1,$F$14,$F$15,$C1226,$A$2,$F1226,$G1226,$H1226,I$1)</f>
        <v>1568</v>
      </c>
      <c r="J1226" s="25">
        <f>_xll.DBRW($A$1,$F$14,$F$15,$C1226,$A$2,$F1226,$G1226,$H1226,J$19)</f>
        <v>2018</v>
      </c>
    </row>
    <row r="1227" spans="1:10" s="23" customFormat="1" outlineLevel="1" thickBot="1" x14ac:dyDescent="0.3">
      <c r="A1227" s="44"/>
      <c r="B1227" s="31" t="str">
        <f>IF(_xll.TM1RPTELISCONSOLIDATED($H$20,$H1227),IF(_xll.TM1RPTELLEV($H$20,$H1227)&lt;=5,_xll.TM1RPTELLEV($H$20,$H1227),"Default"),"Leaf")</f>
        <v>Leaf</v>
      </c>
      <c r="C1227" s="26" t="s">
        <v>15</v>
      </c>
      <c r="D1227" s="24" t="str">
        <f>_xll.DBRW("TM1-S1_DEV:}ElementAttributes_SP_SKU",$F1227,D$1)</f>
        <v>Secondary</v>
      </c>
      <c r="E1227" s="24" t="str">
        <f>_xll.DBRW("TM1-S1_DEV:}ElementAttributes_SP_SKU",$F1227,E$1)</f>
        <v>CUP</v>
      </c>
      <c r="F1227" s="26" t="s">
        <v>160</v>
      </c>
      <c r="G1227" s="26" t="s">
        <v>1095</v>
      </c>
      <c r="H1227" s="26" t="s">
        <v>2781</v>
      </c>
      <c r="I1227" s="54">
        <f>_xll.DBRW($A$1,$F$14,$F$15,$C1227,$A$2,$F1227,$G1227,$H1227,I$1)</f>
        <v>991</v>
      </c>
      <c r="J1227" s="25">
        <f>_xll.DBRW($A$1,$F$14,$F$15,$C1227,$A$2,$F1227,$G1227,$H1227,J$19)</f>
        <v>991</v>
      </c>
    </row>
    <row r="1228" spans="1:10" s="23" customFormat="1" outlineLevel="1" thickBot="1" x14ac:dyDescent="0.3">
      <c r="A1228" s="44"/>
      <c r="B1228" s="31" t="str">
        <f>IF(_xll.TM1RPTELISCONSOLIDATED($H$20,$H1228),IF(_xll.TM1RPTELLEV($H$20,$H1228)&lt;=5,_xll.TM1RPTELLEV($H$20,$H1228),"Default"),"Leaf")</f>
        <v>Leaf</v>
      </c>
      <c r="C1228" s="26" t="s">
        <v>15</v>
      </c>
      <c r="D1228" s="24" t="str">
        <f>_xll.DBRW("TM1-S1_DEV:}ElementAttributes_SP_SKU",$F1228,D$1)</f>
        <v>Secondary</v>
      </c>
      <c r="E1228" s="24" t="str">
        <f>_xll.DBRW("TM1-S1_DEV:}ElementAttributes_SP_SKU",$F1228,E$1)</f>
        <v>INGREDIENT</v>
      </c>
      <c r="F1228" s="26" t="s">
        <v>161</v>
      </c>
      <c r="G1228" s="26" t="s">
        <v>1096</v>
      </c>
      <c r="H1228" s="26" t="s">
        <v>2782</v>
      </c>
      <c r="I1228" s="54">
        <f>_xll.DBRW($A$1,$F$14,$F$15,$C1228,$A$2,$F1228,$G1228,$H1228,I$1)</f>
        <v>193</v>
      </c>
      <c r="J1228" s="25">
        <f>_xll.DBRW($A$1,$F$14,$F$15,$C1228,$A$2,$F1228,$G1228,$H1228,J$19)</f>
        <v>193</v>
      </c>
    </row>
    <row r="1229" spans="1:10" s="23" customFormat="1" outlineLevel="1" thickBot="1" x14ac:dyDescent="0.3">
      <c r="A1229" s="44"/>
      <c r="B1229" s="31" t="str">
        <f>IF(_xll.TM1RPTELISCONSOLIDATED($H$20,$H1229),IF(_xll.TM1RPTELLEV($H$20,$H1229)&lt;=5,_xll.TM1RPTELLEV($H$20,$H1229),"Default"),"Leaf")</f>
        <v>Leaf</v>
      </c>
      <c r="C1229" s="26" t="s">
        <v>15</v>
      </c>
      <c r="D1229" s="24" t="str">
        <f>_xll.DBRW("TM1-S1_DEV:}ElementAttributes_SP_SKU",$F1229,D$1)</f>
        <v>Secondary</v>
      </c>
      <c r="E1229" s="24" t="str">
        <f>_xll.DBRW("TM1-S1_DEV:}ElementAttributes_SP_SKU",$F1229,E$1)</f>
        <v>CHEMICAL</v>
      </c>
      <c r="F1229" s="26" t="s">
        <v>162</v>
      </c>
      <c r="G1229" s="26" t="s">
        <v>1097</v>
      </c>
      <c r="H1229" s="26" t="s">
        <v>2783</v>
      </c>
      <c r="I1229" s="54">
        <f>_xll.DBRW($A$1,$F$14,$F$15,$C1229,$A$2,$F1229,$G1229,$H1229,I$1)</f>
        <v>361</v>
      </c>
      <c r="J1229" s="25">
        <f>_xll.DBRW($A$1,$F$14,$F$15,$C1229,$A$2,$F1229,$G1229,$H1229,J$19)</f>
        <v>409</v>
      </c>
    </row>
    <row r="1230" spans="1:10" s="23" customFormat="1" outlineLevel="1" thickBot="1" x14ac:dyDescent="0.3">
      <c r="A1230" s="44"/>
      <c r="B1230" s="31" t="str">
        <f>IF(_xll.TM1RPTELISCONSOLIDATED($H$20,$H1230),IF(_xll.TM1RPTELLEV($H$20,$H1230)&lt;=5,_xll.TM1RPTELLEV($H$20,$H1230),"Default"),"Leaf")</f>
        <v>Leaf</v>
      </c>
      <c r="C1230" s="26" t="s">
        <v>15</v>
      </c>
      <c r="D1230" s="24" t="str">
        <f>_xll.DBRW("TM1-S1_DEV:}ElementAttributes_SP_SKU",$F1230,D$1)</f>
        <v>Secondary</v>
      </c>
      <c r="E1230" s="24" t="str">
        <f>_xll.DBRW("TM1-S1_DEV:}ElementAttributes_SP_SKU",$F1230,E$1)</f>
        <v>CONTAINER</v>
      </c>
      <c r="F1230" s="26" t="s">
        <v>269</v>
      </c>
      <c r="G1230" s="26" t="s">
        <v>1245</v>
      </c>
      <c r="H1230" s="26" t="s">
        <v>2789</v>
      </c>
      <c r="I1230" s="54">
        <f>_xll.DBRW($A$1,$F$14,$F$15,$C1230,$A$2,$F1230,$G1230,$H1230,I$1)</f>
        <v>6</v>
      </c>
      <c r="J1230" s="25">
        <f>_xll.DBRW($A$1,$F$14,$F$15,$C1230,$A$2,$F1230,$G1230,$H1230,J$19)</f>
        <v>21</v>
      </c>
    </row>
    <row r="1231" spans="1:10" s="23" customFormat="1" outlineLevel="1" thickBot="1" x14ac:dyDescent="0.3">
      <c r="A1231" s="44"/>
      <c r="B1231" s="31" t="str">
        <f>IF(_xll.TM1RPTELISCONSOLIDATED($H$20,$H1231),IF(_xll.TM1RPTELLEV($H$20,$H1231)&lt;=5,_xll.TM1RPTELLEV($H$20,$H1231),"Default"),"Leaf")</f>
        <v>Leaf</v>
      </c>
      <c r="C1231" s="26" t="s">
        <v>15</v>
      </c>
      <c r="D1231" s="24" t="str">
        <f>_xll.DBRW("TM1-S1_DEV:}ElementAttributes_SP_SKU",$F1231,D$1)</f>
        <v>Secondary</v>
      </c>
      <c r="E1231" s="24" t="str">
        <f>_xll.DBRW("TM1-S1_DEV:}ElementAttributes_SP_SKU",$F1231,E$1)</f>
        <v>DRINKS</v>
      </c>
      <c r="F1231" s="26" t="s">
        <v>163</v>
      </c>
      <c r="G1231" s="26" t="s">
        <v>1098</v>
      </c>
      <c r="H1231" s="26" t="s">
        <v>2746</v>
      </c>
      <c r="I1231" s="54">
        <f>_xll.DBRW($A$1,$F$14,$F$15,$C1231,$A$2,$F1231,$G1231,$H1231,I$1)</f>
        <v>271</v>
      </c>
      <c r="J1231" s="25">
        <f>_xll.DBRW($A$1,$F$14,$F$15,$C1231,$A$2,$F1231,$G1231,$H1231,J$19)</f>
        <v>271</v>
      </c>
    </row>
    <row r="1232" spans="1:10" s="23" customFormat="1" outlineLevel="1" thickBot="1" x14ac:dyDescent="0.3">
      <c r="A1232" s="44"/>
      <c r="B1232" s="31" t="str">
        <f>IF(_xll.TM1RPTELISCONSOLIDATED($H$20,$H1232),IF(_xll.TM1RPTELLEV($H$20,$H1232)&lt;=5,_xll.TM1RPTELLEV($H$20,$H1232),"Default"),"Leaf")</f>
        <v>Leaf</v>
      </c>
      <c r="C1232" s="26" t="s">
        <v>15</v>
      </c>
      <c r="D1232" s="24" t="str">
        <f>_xll.DBRW("TM1-S1_DEV:}ElementAttributes_SP_SKU",$F1232,D$1)</f>
        <v>Secondary</v>
      </c>
      <c r="E1232" s="24" t="str">
        <f>_xll.DBRW("TM1-S1_DEV:}ElementAttributes_SP_SKU",$F1232,E$1)</f>
        <v>CHEESE</v>
      </c>
      <c r="F1232" s="26" t="s">
        <v>164</v>
      </c>
      <c r="G1232" s="26" t="s">
        <v>1099</v>
      </c>
      <c r="H1232" s="26" t="s">
        <v>2784</v>
      </c>
      <c r="I1232" s="54">
        <f>_xll.DBRW($A$1,$F$14,$F$15,$C1232,$A$2,$F1232,$G1232,$H1232,I$1)</f>
        <v>62</v>
      </c>
      <c r="J1232" s="25">
        <f>_xll.DBRW($A$1,$F$14,$F$15,$C1232,$A$2,$F1232,$G1232,$H1232,J$19)</f>
        <v>818</v>
      </c>
    </row>
    <row r="1233" spans="1:10" s="23" customFormat="1" outlineLevel="1" thickBot="1" x14ac:dyDescent="0.3">
      <c r="A1233" s="44"/>
      <c r="B1233" s="31" t="str">
        <f>IF(_xll.TM1RPTELISCONSOLIDATED($H$20,$H1233),IF(_xll.TM1RPTELLEV($H$20,$H1233)&lt;=5,_xll.TM1RPTELLEV($H$20,$H1233),"Default"),"Leaf")</f>
        <v>Leaf</v>
      </c>
      <c r="C1233" s="26" t="s">
        <v>15</v>
      </c>
      <c r="D1233" s="24" t="str">
        <f>_xll.DBRW("TM1-S1_DEV:}ElementAttributes_SP_SKU",$F1233,D$1)</f>
        <v>Secondary</v>
      </c>
      <c r="E1233" s="24" t="str">
        <f>_xll.DBRW("TM1-S1_DEV:}ElementAttributes_SP_SKU",$F1233,E$1)</f>
        <v>PRODUCE</v>
      </c>
      <c r="F1233" s="26" t="s">
        <v>165</v>
      </c>
      <c r="G1233" s="26" t="s">
        <v>1100</v>
      </c>
      <c r="H1233" s="26" t="s">
        <v>2785</v>
      </c>
      <c r="I1233" s="54">
        <f>_xll.DBRW($A$1,$F$14,$F$15,$C1233,$A$2,$F1233,$G1233,$H1233,I$1)</f>
        <v>81</v>
      </c>
      <c r="J1233" s="25">
        <f>_xll.DBRW($A$1,$F$14,$F$15,$C1233,$A$2,$F1233,$G1233,$H1233,J$19)</f>
        <v>211</v>
      </c>
    </row>
    <row r="1234" spans="1:10" s="23" customFormat="1" outlineLevel="1" thickBot="1" x14ac:dyDescent="0.3">
      <c r="A1234" s="44"/>
      <c r="B1234" s="31" t="str">
        <f>IF(_xll.TM1RPTELISCONSOLIDATED($H$20,$H1234),IF(_xll.TM1RPTELLEV($H$20,$H1234)&lt;=5,_xll.TM1RPTELLEV($H$20,$H1234),"Default"),"Leaf")</f>
        <v>Leaf</v>
      </c>
      <c r="C1234" s="26" t="s">
        <v>15</v>
      </c>
      <c r="D1234" s="24" t="str">
        <f>_xll.DBRW("TM1-S1_DEV:}ElementAttributes_SP_SKU",$F1234,D$1)</f>
        <v>Secondary</v>
      </c>
      <c r="E1234" s="24" t="str">
        <f>_xll.DBRW("TM1-S1_DEV:}ElementAttributes_SP_SKU",$F1234,E$1)</f>
        <v>DRINKS</v>
      </c>
      <c r="F1234" s="26" t="s">
        <v>166</v>
      </c>
      <c r="G1234" s="26" t="s">
        <v>1101</v>
      </c>
      <c r="H1234" s="26" t="s">
        <v>2746</v>
      </c>
      <c r="I1234" s="54">
        <f>_xll.DBRW($A$1,$F$14,$F$15,$C1234,$A$2,$F1234,$G1234,$H1234,I$1)</f>
        <v>43</v>
      </c>
      <c r="J1234" s="25">
        <f>_xll.DBRW($A$1,$F$14,$F$15,$C1234,$A$2,$F1234,$G1234,$H1234,J$19)</f>
        <v>73</v>
      </c>
    </row>
    <row r="1235" spans="1:10" s="23" customFormat="1" outlineLevel="1" thickBot="1" x14ac:dyDescent="0.3">
      <c r="A1235" s="44"/>
      <c r="B1235" s="31" t="str">
        <f>IF(_xll.TM1RPTELISCONSOLIDATED($H$20,$H1235),IF(_xll.TM1RPTELLEV($H$20,$H1235)&lt;=5,_xll.TM1RPTELLEV($H$20,$H1235),"Default"),"Leaf")</f>
        <v>Leaf</v>
      </c>
      <c r="C1235" s="26" t="s">
        <v>15</v>
      </c>
      <c r="D1235" s="24" t="str">
        <f>_xll.DBRW("TM1-S1_DEV:}ElementAttributes_SP_SKU",$F1235,D$1)</f>
        <v>Secondary</v>
      </c>
      <c r="E1235" s="24" t="str">
        <f>_xll.DBRW("TM1-S1_DEV:}ElementAttributes_SP_SKU",$F1235,E$1)</f>
        <v>PAPER</v>
      </c>
      <c r="F1235" s="26" t="s">
        <v>167</v>
      </c>
      <c r="G1235" s="26" t="s">
        <v>1102</v>
      </c>
      <c r="H1235" s="26" t="s">
        <v>2761</v>
      </c>
      <c r="I1235" s="54">
        <f>_xll.DBRW($A$1,$F$14,$F$15,$C1235,$A$2,$F1235,$G1235,$H1235,I$1)</f>
        <v>80</v>
      </c>
      <c r="J1235" s="25">
        <f>_xll.DBRW($A$1,$F$14,$F$15,$C1235,$A$2,$F1235,$G1235,$H1235,J$19)</f>
        <v>80</v>
      </c>
    </row>
    <row r="1236" spans="1:10" s="23" customFormat="1" outlineLevel="1" thickBot="1" x14ac:dyDescent="0.3">
      <c r="A1236" s="44"/>
      <c r="B1236" s="31" t="str">
        <f>IF(_xll.TM1RPTELISCONSOLIDATED($H$20,$H1236),IF(_xll.TM1RPTELLEV($H$20,$H1236)&lt;=5,_xll.TM1RPTELLEV($H$20,$H1236),"Default"),"Leaf")</f>
        <v>Leaf</v>
      </c>
      <c r="C1236" s="26" t="s">
        <v>15</v>
      </c>
      <c r="D1236" s="24" t="str">
        <f>_xll.DBRW("TM1-S1_DEV:}ElementAttributes_SP_SKU",$F1236,D$1)</f>
        <v>Secondary</v>
      </c>
      <c r="E1236" s="24" t="str">
        <f>_xll.DBRW("TM1-S1_DEV:}ElementAttributes_SP_SKU",$F1236,E$1)</f>
        <v>LABEL</v>
      </c>
      <c r="F1236" s="26" t="s">
        <v>168</v>
      </c>
      <c r="G1236" s="26" t="s">
        <v>1103</v>
      </c>
      <c r="H1236" s="26" t="s">
        <v>2763</v>
      </c>
      <c r="I1236" s="54">
        <f>_xll.DBRW($A$1,$F$14,$F$15,$C1236,$A$2,$F1236,$G1236,$H1236,I$1)</f>
        <v>337</v>
      </c>
      <c r="J1236" s="25">
        <f>_xll.DBRW($A$1,$F$14,$F$15,$C1236,$A$2,$F1236,$G1236,$H1236,J$19)</f>
        <v>337</v>
      </c>
    </row>
    <row r="1237" spans="1:10" s="23" customFormat="1" outlineLevel="1" thickBot="1" x14ac:dyDescent="0.3">
      <c r="A1237" s="44"/>
      <c r="B1237" s="31" t="str">
        <f>IF(_xll.TM1RPTELISCONSOLIDATED($H$20,$H1237),IF(_xll.TM1RPTELLEV($H$20,$H1237)&lt;=5,_xll.TM1RPTELLEV($H$20,$H1237),"Default"),"Leaf")</f>
        <v>Leaf</v>
      </c>
      <c r="C1237" s="26" t="s">
        <v>15</v>
      </c>
      <c r="D1237" s="24" t="str">
        <f>_xll.DBRW("TM1-S1_DEV:}ElementAttributes_SP_SKU",$F1237,D$1)</f>
        <v>Secondary</v>
      </c>
      <c r="E1237" s="24" t="str">
        <f>_xll.DBRW("TM1-S1_DEV:}ElementAttributes_SP_SKU",$F1237,E$1)</f>
        <v>CHEESE</v>
      </c>
      <c r="F1237" s="26" t="s">
        <v>169</v>
      </c>
      <c r="G1237" s="26" t="s">
        <v>1104</v>
      </c>
      <c r="H1237" s="26" t="s">
        <v>2784</v>
      </c>
      <c r="I1237" s="54">
        <f>_xll.DBRW($A$1,$F$14,$F$15,$C1237,$A$2,$F1237,$G1237,$H1237,I$1)</f>
        <v>58</v>
      </c>
      <c r="J1237" s="25">
        <f>_xll.DBRW($A$1,$F$14,$F$15,$C1237,$A$2,$F1237,$G1237,$H1237,J$19)</f>
        <v>922</v>
      </c>
    </row>
    <row r="1238" spans="1:10" s="23" customFormat="1" outlineLevel="1" thickBot="1" x14ac:dyDescent="0.3">
      <c r="A1238" s="44"/>
      <c r="B1238" s="31" t="str">
        <f>IF(_xll.TM1RPTELISCONSOLIDATED($H$20,$H1238),IF(_xll.TM1RPTELLEV($H$20,$H1238)&lt;=5,_xll.TM1RPTELLEV($H$20,$H1238),"Default"),"Leaf")</f>
        <v>Leaf</v>
      </c>
      <c r="C1238" s="26" t="s">
        <v>15</v>
      </c>
      <c r="D1238" s="24" t="str">
        <f>_xll.DBRW("TM1-S1_DEV:}ElementAttributes_SP_SKU",$F1238,D$1)</f>
        <v>Secondary</v>
      </c>
      <c r="E1238" s="24" t="str">
        <f>_xll.DBRW("TM1-S1_DEV:}ElementAttributes_SP_SKU",$F1238,E$1)</f>
        <v>CLEANING</v>
      </c>
      <c r="F1238" s="26" t="s">
        <v>170</v>
      </c>
      <c r="G1238" s="26" t="s">
        <v>1105</v>
      </c>
      <c r="H1238" s="26" t="s">
        <v>2786</v>
      </c>
      <c r="I1238" s="54">
        <f>_xll.DBRW($A$1,$F$14,$F$15,$C1238,$A$2,$F1238,$G1238,$H1238,I$1)</f>
        <v>126</v>
      </c>
      <c r="J1238" s="25">
        <f>_xll.DBRW($A$1,$F$14,$F$15,$C1238,$A$2,$F1238,$G1238,$H1238,J$19)</f>
        <v>162</v>
      </c>
    </row>
    <row r="1239" spans="1:10" s="23" customFormat="1" outlineLevel="1" thickBot="1" x14ac:dyDescent="0.3">
      <c r="A1239" s="44"/>
      <c r="B1239" s="31" t="str">
        <f>IF(_xll.TM1RPTELISCONSOLIDATED($H$20,$H1239),IF(_xll.TM1RPTELLEV($H$20,$H1239)&lt;=5,_xll.TM1RPTELLEV($H$20,$H1239),"Default"),"Leaf")</f>
        <v>Leaf</v>
      </c>
      <c r="C1239" s="26" t="s">
        <v>15</v>
      </c>
      <c r="D1239" s="24" t="str">
        <f>_xll.DBRW("TM1-S1_DEV:}ElementAttributes_SP_SKU",$F1239,D$1)</f>
        <v>Secondary</v>
      </c>
      <c r="E1239" s="24" t="str">
        <f>_xll.DBRW("TM1-S1_DEV:}ElementAttributes_SP_SKU",$F1239,E$1)</f>
        <v>GLOVES</v>
      </c>
      <c r="F1239" s="26" t="s">
        <v>171</v>
      </c>
      <c r="G1239" s="26" t="s">
        <v>1106</v>
      </c>
      <c r="H1239" s="26" t="s">
        <v>2780</v>
      </c>
      <c r="I1239" s="54">
        <f>_xll.DBRW($A$1,$F$14,$F$15,$C1239,$A$2,$F1239,$G1239,$H1239,I$1)</f>
        <v>90</v>
      </c>
      <c r="J1239" s="25">
        <f>_xll.DBRW($A$1,$F$14,$F$15,$C1239,$A$2,$F1239,$G1239,$H1239,J$19)</f>
        <v>114</v>
      </c>
    </row>
    <row r="1240" spans="1:10" s="23" customFormat="1" outlineLevel="1" thickBot="1" x14ac:dyDescent="0.3">
      <c r="A1240" s="44"/>
      <c r="B1240" s="31" t="str">
        <f>IF(_xll.TM1RPTELISCONSOLIDATED($H$20,$H1240),IF(_xll.TM1RPTELLEV($H$20,$H1240)&lt;=5,_xll.TM1RPTELLEV($H$20,$H1240),"Default"),"Leaf")</f>
        <v>Leaf</v>
      </c>
      <c r="C1240" s="26" t="s">
        <v>15</v>
      </c>
      <c r="D1240" s="24" t="str">
        <f>_xll.DBRW("TM1-S1_DEV:}ElementAttributes_SP_SKU",$F1240,D$1)</f>
        <v>Secondary</v>
      </c>
      <c r="E1240" s="24" t="str">
        <f>_xll.DBRW("TM1-S1_DEV:}ElementAttributes_SP_SKU",$F1240,E$1)</f>
        <v>DRESSING</v>
      </c>
      <c r="F1240" s="26" t="s">
        <v>172</v>
      </c>
      <c r="G1240" s="26" t="s">
        <v>1107</v>
      </c>
      <c r="H1240" s="26" t="s">
        <v>2720</v>
      </c>
      <c r="I1240" s="54">
        <f>_xll.DBRW($A$1,$F$14,$F$15,$C1240,$A$2,$F1240,$G1240,$H1240,I$1)</f>
        <v>670</v>
      </c>
      <c r="J1240" s="25">
        <f>_xll.DBRW($A$1,$F$14,$F$15,$C1240,$A$2,$F1240,$G1240,$H1240,J$19)</f>
        <v>670</v>
      </c>
    </row>
    <row r="1241" spans="1:10" s="23" customFormat="1" outlineLevel="1" thickBot="1" x14ac:dyDescent="0.3">
      <c r="A1241" s="44"/>
      <c r="B1241" s="31" t="str">
        <f>IF(_xll.TM1RPTELISCONSOLIDATED($H$20,$H1241),IF(_xll.TM1RPTELLEV($H$20,$H1241)&lt;=5,_xll.TM1RPTELLEV($H$20,$H1241),"Default"),"Leaf")</f>
        <v>Leaf</v>
      </c>
      <c r="C1241" s="26" t="s">
        <v>15</v>
      </c>
      <c r="D1241" s="24" t="str">
        <f>_xll.DBRW("TM1-S1_DEV:}ElementAttributes_SP_SKU",$F1241,D$1)</f>
        <v>Secondary</v>
      </c>
      <c r="E1241" s="24" t="str">
        <f>_xll.DBRW("TM1-S1_DEV:}ElementAttributes_SP_SKU",$F1241,E$1)</f>
        <v>DRINKS</v>
      </c>
      <c r="F1241" s="26" t="s">
        <v>173</v>
      </c>
      <c r="G1241" s="26" t="s">
        <v>1108</v>
      </c>
      <c r="H1241" s="26" t="s">
        <v>2746</v>
      </c>
      <c r="I1241" s="54">
        <f>_xll.DBRW($A$1,$F$14,$F$15,$C1241,$A$2,$F1241,$G1241,$H1241,I$1)</f>
        <v>205</v>
      </c>
      <c r="J1241" s="25">
        <f>_xll.DBRW($A$1,$F$14,$F$15,$C1241,$A$2,$F1241,$G1241,$H1241,J$19)</f>
        <v>205</v>
      </c>
    </row>
    <row r="1242" spans="1:10" s="23" customFormat="1" outlineLevel="1" thickBot="1" x14ac:dyDescent="0.3">
      <c r="A1242" s="44"/>
      <c r="B1242" s="31" t="str">
        <f>IF(_xll.TM1RPTELISCONSOLIDATED($H$20,$H1242),IF(_xll.TM1RPTELLEV($H$20,$H1242)&lt;=5,_xll.TM1RPTELLEV($H$20,$H1242),"Default"),"Leaf")</f>
        <v>Leaf</v>
      </c>
      <c r="C1242" s="26" t="s">
        <v>15</v>
      </c>
      <c r="D1242" s="24" t="str">
        <f>_xll.DBRW("TM1-S1_DEV:}ElementAttributes_SP_SKU",$F1242,D$1)</f>
        <v>Secondary</v>
      </c>
      <c r="E1242" s="24" t="str">
        <f>_xll.DBRW("TM1-S1_DEV:}ElementAttributes_SP_SKU",$F1242,E$1)</f>
        <v>DRESSING</v>
      </c>
      <c r="F1242" s="26" t="s">
        <v>174</v>
      </c>
      <c r="G1242" s="26" t="s">
        <v>1109</v>
      </c>
      <c r="H1242" s="26" t="s">
        <v>2720</v>
      </c>
      <c r="I1242" s="54">
        <f>_xll.DBRW($A$1,$F$14,$F$15,$C1242,$A$2,$F1242,$G1242,$H1242,I$1)</f>
        <v>44</v>
      </c>
      <c r="J1242" s="25">
        <f>_xll.DBRW($A$1,$F$14,$F$15,$C1242,$A$2,$F1242,$G1242,$H1242,J$19)</f>
        <v>68</v>
      </c>
    </row>
    <row r="1243" spans="1:10" s="23" customFormat="1" outlineLevel="1" thickBot="1" x14ac:dyDescent="0.3">
      <c r="A1243" s="44"/>
      <c r="B1243" s="31" t="str">
        <f>IF(_xll.TM1RPTELISCONSOLIDATED($H$20,$H1243),IF(_xll.TM1RPTELLEV($H$20,$H1243)&lt;=5,_xll.TM1RPTELLEV($H$20,$H1243),"Default"),"Leaf")</f>
        <v>Leaf</v>
      </c>
      <c r="C1243" s="26" t="s">
        <v>15</v>
      </c>
      <c r="D1243" s="24" t="str">
        <f>_xll.DBRW("TM1-S1_DEV:}ElementAttributes_SP_SKU",$F1243,D$1)</f>
        <v>Secondary</v>
      </c>
      <c r="E1243" s="24" t="str">
        <f>_xll.DBRW("TM1-S1_DEV:}ElementAttributes_SP_SKU",$F1243,E$1)</f>
        <v>CONTAINER</v>
      </c>
      <c r="F1243" s="26" t="s">
        <v>175</v>
      </c>
      <c r="G1243" s="26" t="s">
        <v>1110</v>
      </c>
      <c r="H1243" s="26" t="s">
        <v>2787</v>
      </c>
      <c r="I1243" s="54">
        <f>_xll.DBRW($A$1,$F$14,$F$15,$C1243,$A$2,$F1243,$G1243,$H1243,I$1)</f>
        <v>13</v>
      </c>
      <c r="J1243" s="25">
        <f>_xll.DBRW($A$1,$F$14,$F$15,$C1243,$A$2,$F1243,$G1243,$H1243,J$19)</f>
        <v>13</v>
      </c>
    </row>
    <row r="1244" spans="1:10" s="23" customFormat="1" outlineLevel="1" thickBot="1" x14ac:dyDescent="0.3">
      <c r="A1244" s="44"/>
      <c r="B1244" s="31" t="str">
        <f>IF(_xll.TM1RPTELISCONSOLIDATED($H$20,$H1244),IF(_xll.TM1RPTELLEV($H$20,$H1244)&lt;=5,_xll.TM1RPTELLEV($H$20,$H1244),"Default"),"Leaf")</f>
        <v>Leaf</v>
      </c>
      <c r="C1244" s="26" t="s">
        <v>15</v>
      </c>
      <c r="D1244" s="24" t="str">
        <f>_xll.DBRW("TM1-S1_DEV:}ElementAttributes_SP_SKU",$F1244,D$1)</f>
        <v>Secondary</v>
      </c>
      <c r="E1244" s="24" t="str">
        <f>_xll.DBRW("TM1-S1_DEV:}ElementAttributes_SP_SKU",$F1244,E$1)</f>
        <v>UTENSIL</v>
      </c>
      <c r="F1244" s="26" t="s">
        <v>176</v>
      </c>
      <c r="G1244" s="26" t="s">
        <v>1111</v>
      </c>
      <c r="H1244" s="26" t="s">
        <v>2788</v>
      </c>
      <c r="I1244" s="54">
        <f>_xll.DBRW($A$1,$F$14,$F$15,$C1244,$A$2,$F1244,$G1244,$H1244,I$1)</f>
        <v>43</v>
      </c>
      <c r="J1244" s="25">
        <f>_xll.DBRW($A$1,$F$14,$F$15,$C1244,$A$2,$F1244,$G1244,$H1244,J$19)</f>
        <v>113</v>
      </c>
    </row>
    <row r="1245" spans="1:10" s="23" customFormat="1" outlineLevel="1" thickBot="1" x14ac:dyDescent="0.3">
      <c r="A1245" s="44"/>
      <c r="B1245" s="31" t="str">
        <f>IF(_xll.TM1RPTELISCONSOLIDATED($H$20,$H1245),IF(_xll.TM1RPTELLEV($H$20,$H1245)&lt;=5,_xll.TM1RPTELLEV($H$20,$H1245),"Default"),"Leaf")</f>
        <v>Leaf</v>
      </c>
      <c r="C1245" s="26" t="s">
        <v>15</v>
      </c>
      <c r="D1245" s="24" t="str">
        <f>_xll.DBRW("TM1-S1_DEV:}ElementAttributes_SP_SKU",$F1245,D$1)</f>
        <v>Secondary</v>
      </c>
      <c r="E1245" s="24" t="str">
        <f>_xll.DBRW("TM1-S1_DEV:}ElementAttributes_SP_SKU",$F1245,E$1)</f>
        <v>CONTAINER</v>
      </c>
      <c r="F1245" s="26" t="s">
        <v>177</v>
      </c>
      <c r="G1245" s="26" t="s">
        <v>1112</v>
      </c>
      <c r="H1245" s="26" t="s">
        <v>2781</v>
      </c>
      <c r="I1245" s="54">
        <f>_xll.DBRW($A$1,$F$14,$F$15,$C1245,$A$2,$F1245,$G1245,$H1245,I$1)</f>
        <v>776</v>
      </c>
      <c r="J1245" s="25">
        <f>_xll.DBRW($A$1,$F$14,$F$15,$C1245,$A$2,$F1245,$G1245,$H1245,J$19)</f>
        <v>776</v>
      </c>
    </row>
    <row r="1246" spans="1:10" s="23" customFormat="1" outlineLevel="1" thickBot="1" x14ac:dyDescent="0.3">
      <c r="A1246" s="44"/>
      <c r="B1246" s="31" t="str">
        <f>IF(_xll.TM1RPTELISCONSOLIDATED($H$20,$H1246),IF(_xll.TM1RPTELLEV($H$20,$H1246)&lt;=5,_xll.TM1RPTELLEV($H$20,$H1246),"Default"),"Leaf")</f>
        <v>Leaf</v>
      </c>
      <c r="C1246" s="26" t="s">
        <v>15</v>
      </c>
      <c r="D1246" s="24" t="str">
        <f>_xll.DBRW("TM1-S1_DEV:}ElementAttributes_SP_SKU",$F1246,D$1)</f>
        <v>Secondary</v>
      </c>
      <c r="E1246" s="24" t="str">
        <f>_xll.DBRW("TM1-S1_DEV:}ElementAttributes_SP_SKU",$F1246,E$1)</f>
        <v>GLOVES</v>
      </c>
      <c r="F1246" s="26" t="s">
        <v>178</v>
      </c>
      <c r="G1246" s="26" t="s">
        <v>1113</v>
      </c>
      <c r="H1246" s="26" t="s">
        <v>2780</v>
      </c>
      <c r="I1246" s="54">
        <f>_xll.DBRW($A$1,$F$14,$F$15,$C1246,$A$2,$F1246,$G1246,$H1246,I$1)</f>
        <v>2665</v>
      </c>
      <c r="J1246" s="25">
        <f>_xll.DBRW($A$1,$F$14,$F$15,$C1246,$A$2,$F1246,$G1246,$H1246,J$19)</f>
        <v>3205</v>
      </c>
    </row>
    <row r="1247" spans="1:10" s="23" customFormat="1" outlineLevel="1" thickBot="1" x14ac:dyDescent="0.3">
      <c r="A1247" s="44"/>
      <c r="B1247" s="31" t="str">
        <f>IF(_xll.TM1RPTELISCONSOLIDATED($H$20,$H1247),IF(_xll.TM1RPTELLEV($H$20,$H1247)&lt;=5,_xll.TM1RPTELLEV($H$20,$H1247),"Default"),"Leaf")</f>
        <v>Leaf</v>
      </c>
      <c r="C1247" s="26" t="s">
        <v>15</v>
      </c>
      <c r="D1247" s="24" t="str">
        <f>_xll.DBRW("TM1-S1_DEV:}ElementAttributes_SP_SKU",$F1247,D$1)</f>
        <v>Secondary</v>
      </c>
      <c r="E1247" s="24" t="str">
        <f>_xll.DBRW("TM1-S1_DEV:}ElementAttributes_SP_SKU",$F1247,E$1)</f>
        <v>GLOVES</v>
      </c>
      <c r="F1247" s="26" t="s">
        <v>179</v>
      </c>
      <c r="G1247" s="26" t="s">
        <v>1114</v>
      </c>
      <c r="H1247" s="26" t="s">
        <v>2780</v>
      </c>
      <c r="I1247" s="54">
        <f>_xll.DBRW($A$1,$F$14,$F$15,$C1247,$A$2,$F1247,$G1247,$H1247,I$1)</f>
        <v>1150</v>
      </c>
      <c r="J1247" s="25">
        <f>_xll.DBRW($A$1,$F$14,$F$15,$C1247,$A$2,$F1247,$G1247,$H1247,J$19)</f>
        <v>1150</v>
      </c>
    </row>
    <row r="1248" spans="1:10" s="23" customFormat="1" outlineLevel="1" thickBot="1" x14ac:dyDescent="0.3">
      <c r="A1248" s="44"/>
      <c r="B1248" s="31" t="str">
        <f>IF(_xll.TM1RPTELISCONSOLIDATED($H$20,$H1248),IF(_xll.TM1RPTELLEV($H$20,$H1248)&lt;=5,_xll.TM1RPTELLEV($H$20,$H1248),"Default"),"Leaf")</f>
        <v>Leaf</v>
      </c>
      <c r="C1248" s="26" t="s">
        <v>15</v>
      </c>
      <c r="D1248" s="24" t="str">
        <f>_xll.DBRW("TM1-S1_DEV:}ElementAttributes_SP_SKU",$F1248,D$1)</f>
        <v>Primary</v>
      </c>
      <c r="E1248" s="24" t="str">
        <f>_xll.DBRW("TM1-S1_DEV:}ElementAttributes_SP_SKU",$F1248,E$1)</f>
        <v>TRAY</v>
      </c>
      <c r="F1248" s="26" t="s">
        <v>180</v>
      </c>
      <c r="G1248" s="26" t="s">
        <v>1115</v>
      </c>
      <c r="H1248" s="26" t="s">
        <v>2789</v>
      </c>
      <c r="I1248" s="54">
        <f>_xll.DBRW($A$1,$F$14,$F$15,$C1248,$A$2,$F1248,$G1248,$H1248,I$1)</f>
        <v>22</v>
      </c>
      <c r="J1248" s="25">
        <f>_xll.DBRW($A$1,$F$14,$F$15,$C1248,$A$2,$F1248,$G1248,$H1248,J$19)</f>
        <v>58</v>
      </c>
    </row>
    <row r="1249" spans="1:10" s="23" customFormat="1" outlineLevel="1" thickBot="1" x14ac:dyDescent="0.3">
      <c r="A1249" s="44"/>
      <c r="B1249" s="31" t="str">
        <f>IF(_xll.TM1RPTELISCONSOLIDATED($H$20,$H1249),IF(_xll.TM1RPTELLEV($H$20,$H1249)&lt;=5,_xll.TM1RPTELLEV($H$20,$H1249),"Default"),"Leaf")</f>
        <v>Leaf</v>
      </c>
      <c r="C1249" s="26" t="s">
        <v>15</v>
      </c>
      <c r="D1249" s="24" t="str">
        <f>_xll.DBRW("TM1-S1_DEV:}ElementAttributes_SP_SKU",$F1249,D$1)</f>
        <v>Primary</v>
      </c>
      <c r="E1249" s="24" t="str">
        <f>_xll.DBRW("TM1-S1_DEV:}ElementAttributes_SP_SKU",$F1249,E$1)</f>
        <v>TRAY</v>
      </c>
      <c r="F1249" s="26" t="s">
        <v>181</v>
      </c>
      <c r="G1249" s="26" t="s">
        <v>1116</v>
      </c>
      <c r="H1249" s="26" t="s">
        <v>2789</v>
      </c>
      <c r="I1249" s="54">
        <f>_xll.DBRW($A$1,$F$14,$F$15,$C1249,$A$2,$F1249,$G1249,$H1249,I$1)</f>
        <v>32</v>
      </c>
      <c r="J1249" s="25">
        <f>_xll.DBRW($A$1,$F$14,$F$15,$C1249,$A$2,$F1249,$G1249,$H1249,J$19)</f>
        <v>92</v>
      </c>
    </row>
    <row r="1250" spans="1:10" s="23" customFormat="1" outlineLevel="1" thickBot="1" x14ac:dyDescent="0.3">
      <c r="A1250" s="44"/>
      <c r="B1250" s="31" t="str">
        <f>IF(_xll.TM1RPTELISCONSOLIDATED($H$20,$H1250),IF(_xll.TM1RPTELLEV($H$20,$H1250)&lt;=5,_xll.TM1RPTELLEV($H$20,$H1250),"Default"),"Leaf")</f>
        <v>Leaf</v>
      </c>
      <c r="C1250" s="26" t="s">
        <v>15</v>
      </c>
      <c r="D1250" s="24" t="str">
        <f>_xll.DBRW("TM1-S1_DEV:}ElementAttributes_SP_SKU",$F1250,D$1)</f>
        <v>Primary</v>
      </c>
      <c r="E1250" s="24" t="str">
        <f>_xll.DBRW("TM1-S1_DEV:}ElementAttributes_SP_SKU",$F1250,E$1)</f>
        <v>TRAY</v>
      </c>
      <c r="F1250" s="26" t="s">
        <v>182</v>
      </c>
      <c r="G1250" s="26" t="s">
        <v>1117</v>
      </c>
      <c r="H1250" s="26" t="s">
        <v>2789</v>
      </c>
      <c r="I1250" s="54">
        <f>_xll.DBRW($A$1,$F$14,$F$15,$C1250,$A$2,$F1250,$G1250,$H1250,I$1)</f>
        <v>67</v>
      </c>
      <c r="J1250" s="25">
        <f>_xll.DBRW($A$1,$F$14,$F$15,$C1250,$A$2,$F1250,$G1250,$H1250,J$19)</f>
        <v>67</v>
      </c>
    </row>
    <row r="1251" spans="1:10" s="23" customFormat="1" outlineLevel="1" thickBot="1" x14ac:dyDescent="0.3">
      <c r="A1251" s="44"/>
      <c r="B1251" s="31" t="str">
        <f>IF(_xll.TM1RPTELISCONSOLIDATED($H$20,$H1251),IF(_xll.TM1RPTELLEV($H$20,$H1251)&lt;=5,_xll.TM1RPTELLEV($H$20,$H1251),"Default"),"Leaf")</f>
        <v>Leaf</v>
      </c>
      <c r="C1251" s="26" t="s">
        <v>15</v>
      </c>
      <c r="D1251" s="24" t="str">
        <f>_xll.DBRW("TM1-S1_DEV:}ElementAttributes_SP_SKU",$F1251,D$1)</f>
        <v>Secondary</v>
      </c>
      <c r="E1251" s="24" t="str">
        <f>_xll.DBRW("TM1-S1_DEV:}ElementAttributes_SP_SKU",$F1251,E$1)</f>
        <v>CONTAINER</v>
      </c>
      <c r="F1251" s="26" t="s">
        <v>183</v>
      </c>
      <c r="G1251" s="26" t="s">
        <v>1118</v>
      </c>
      <c r="H1251" s="26" t="s">
        <v>2787</v>
      </c>
      <c r="I1251" s="54">
        <f>_xll.DBRW($A$1,$F$14,$F$15,$C1251,$A$2,$F1251,$G1251,$H1251,I$1)</f>
        <v>36</v>
      </c>
      <c r="J1251" s="25">
        <f>_xll.DBRW($A$1,$F$14,$F$15,$C1251,$A$2,$F1251,$G1251,$H1251,J$19)</f>
        <v>106</v>
      </c>
    </row>
    <row r="1252" spans="1:10" s="23" customFormat="1" outlineLevel="1" thickBot="1" x14ac:dyDescent="0.3">
      <c r="A1252" s="44"/>
      <c r="B1252" s="31" t="str">
        <f>IF(_xll.TM1RPTELISCONSOLIDATED($H$20,$H1252),IF(_xll.TM1RPTELLEV($H$20,$H1252)&lt;=5,_xll.TM1RPTELLEV($H$20,$H1252),"Default"),"Leaf")</f>
        <v>Leaf</v>
      </c>
      <c r="C1252" s="26" t="s">
        <v>15</v>
      </c>
      <c r="D1252" s="24" t="str">
        <f>_xll.DBRW("TM1-S1_DEV:}ElementAttributes_SP_SKU",$F1252,D$1)</f>
        <v>Secondary</v>
      </c>
      <c r="E1252" s="24" t="str">
        <f>_xll.DBRW("TM1-S1_DEV:}ElementAttributes_SP_SKU",$F1252,E$1)</f>
        <v>DRESSING</v>
      </c>
      <c r="F1252" s="26" t="s">
        <v>184</v>
      </c>
      <c r="G1252" s="26" t="s">
        <v>1119</v>
      </c>
      <c r="H1252" s="26" t="s">
        <v>2720</v>
      </c>
      <c r="I1252" s="54">
        <f>_xll.DBRW($A$1,$F$14,$F$15,$C1252,$A$2,$F1252,$G1252,$H1252,I$1)</f>
        <v>73</v>
      </c>
      <c r="J1252" s="25">
        <f>_xll.DBRW($A$1,$F$14,$F$15,$C1252,$A$2,$F1252,$G1252,$H1252,J$19)</f>
        <v>73</v>
      </c>
    </row>
    <row r="1253" spans="1:10" s="23" customFormat="1" outlineLevel="1" thickBot="1" x14ac:dyDescent="0.3">
      <c r="A1253" s="44"/>
      <c r="B1253" s="31" t="str">
        <f>IF(_xll.TM1RPTELISCONSOLIDATED($H$20,$H1253),IF(_xll.TM1RPTELLEV($H$20,$H1253)&lt;=5,_xll.TM1RPTELLEV($H$20,$H1253),"Default"),"Leaf")</f>
        <v>Leaf</v>
      </c>
      <c r="C1253" s="26" t="s">
        <v>15</v>
      </c>
      <c r="D1253" s="24" t="str">
        <f>_xll.DBRW("TM1-S1_DEV:}ElementAttributes_SP_SKU",$F1253,D$1)</f>
        <v>Secondary</v>
      </c>
      <c r="E1253" s="24" t="str">
        <f>_xll.DBRW("TM1-S1_DEV:}ElementAttributes_SP_SKU",$F1253,E$1)</f>
        <v>EQUIP</v>
      </c>
      <c r="F1253" s="26" t="s">
        <v>185</v>
      </c>
      <c r="G1253" s="26" t="s">
        <v>1120</v>
      </c>
      <c r="H1253" s="26" t="s">
        <v>2790</v>
      </c>
      <c r="I1253" s="54">
        <f>_xll.DBRW($A$1,$F$14,$F$15,$C1253,$A$2,$F1253,$G1253,$H1253,I$1)</f>
        <v>190</v>
      </c>
      <c r="J1253" s="25">
        <f>_xll.DBRW($A$1,$F$14,$F$15,$C1253,$A$2,$F1253,$G1253,$H1253,J$19)</f>
        <v>190</v>
      </c>
    </row>
    <row r="1254" spans="1:10" s="23" customFormat="1" outlineLevel="1" thickBot="1" x14ac:dyDescent="0.3">
      <c r="A1254" s="44"/>
      <c r="B1254" s="31" t="str">
        <f>IF(_xll.TM1RPTELISCONSOLIDATED($H$20,$H1254),IF(_xll.TM1RPTELLEV($H$20,$H1254)&lt;=5,_xll.TM1RPTELLEV($H$20,$H1254),"Default"),"Leaf")</f>
        <v>Leaf</v>
      </c>
      <c r="C1254" s="26" t="s">
        <v>15</v>
      </c>
      <c r="D1254" s="24" t="str">
        <f>_xll.DBRW("TM1-S1_DEV:}ElementAttributes_SP_SKU",$F1254,D$1)</f>
        <v>Secondary</v>
      </c>
      <c r="E1254" s="24" t="str">
        <f>_xll.DBRW("TM1-S1_DEV:}ElementAttributes_SP_SKU",$F1254,E$1)</f>
        <v>INGREDIENT</v>
      </c>
      <c r="F1254" s="26" t="s">
        <v>186</v>
      </c>
      <c r="G1254" s="26" t="s">
        <v>1121</v>
      </c>
      <c r="H1254" s="26" t="s">
        <v>2733</v>
      </c>
      <c r="I1254" s="54">
        <f>_xll.DBRW($A$1,$F$14,$F$15,$C1254,$A$2,$F1254,$G1254,$H1254,I$1)</f>
        <v>37</v>
      </c>
      <c r="J1254" s="25">
        <f>_xll.DBRW($A$1,$F$14,$F$15,$C1254,$A$2,$F1254,$G1254,$H1254,J$19)</f>
        <v>83</v>
      </c>
    </row>
    <row r="1255" spans="1:10" s="23" customFormat="1" outlineLevel="1" thickBot="1" x14ac:dyDescent="0.3">
      <c r="A1255" s="44"/>
      <c r="B1255" s="31" t="str">
        <f>IF(_xll.TM1RPTELISCONSOLIDATED($H$20,$H1255),IF(_xll.TM1RPTELLEV($H$20,$H1255)&lt;=5,_xll.TM1RPTELLEV($H$20,$H1255),"Default"),"Leaf")</f>
        <v>Leaf</v>
      </c>
      <c r="C1255" s="26" t="s">
        <v>15</v>
      </c>
      <c r="D1255" s="24" t="str">
        <f>_xll.DBRW("TM1-S1_DEV:}ElementAttributes_SP_SKU",$F1255,D$1)</f>
        <v>Secondary</v>
      </c>
      <c r="E1255" s="24" t="str">
        <f>_xll.DBRW("TM1-S1_DEV:}ElementAttributes_SP_SKU",$F1255,E$1)</f>
        <v>CLEANING</v>
      </c>
      <c r="F1255" s="26" t="s">
        <v>187</v>
      </c>
      <c r="G1255" s="26" t="s">
        <v>1122</v>
      </c>
      <c r="H1255" s="26" t="s">
        <v>2791</v>
      </c>
      <c r="I1255" s="54">
        <f>_xll.DBRW($A$1,$F$14,$F$15,$C1255,$A$2,$F1255,$G1255,$H1255,I$1)</f>
        <v>7</v>
      </c>
      <c r="J1255" s="25">
        <f>_xll.DBRW($A$1,$F$14,$F$15,$C1255,$A$2,$F1255,$G1255,$H1255,J$19)</f>
        <v>7</v>
      </c>
    </row>
    <row r="1256" spans="1:10" s="23" customFormat="1" outlineLevel="1" thickBot="1" x14ac:dyDescent="0.3">
      <c r="A1256" s="44"/>
      <c r="B1256" s="31" t="str">
        <f>IF(_xll.TM1RPTELISCONSOLIDATED($H$20,$H1256),IF(_xll.TM1RPTELLEV($H$20,$H1256)&lt;=5,_xll.TM1RPTELLEV($H$20,$H1256),"Default"),"Leaf")</f>
        <v>Leaf</v>
      </c>
      <c r="C1256" s="26" t="s">
        <v>15</v>
      </c>
      <c r="D1256" s="24" t="str">
        <f>_xll.DBRW("TM1-S1_DEV:}ElementAttributes_SP_SKU",$F1256,D$1)</f>
        <v>Secondary</v>
      </c>
      <c r="E1256" s="24" t="str">
        <f>_xll.DBRW("TM1-S1_DEV:}ElementAttributes_SP_SKU",$F1256,E$1)</f>
        <v>CLEANING</v>
      </c>
      <c r="F1256" s="26" t="s">
        <v>188</v>
      </c>
      <c r="G1256" s="26" t="s">
        <v>1123</v>
      </c>
      <c r="H1256" s="26" t="s">
        <v>2792</v>
      </c>
      <c r="I1256" s="54">
        <f>_xll.DBRW($A$1,$F$14,$F$15,$C1256,$A$2,$F1256,$G1256,$H1256,I$1)</f>
        <v>56</v>
      </c>
      <c r="J1256" s="25">
        <f>_xll.DBRW($A$1,$F$14,$F$15,$C1256,$A$2,$F1256,$G1256,$H1256,J$19)</f>
        <v>56</v>
      </c>
    </row>
    <row r="1257" spans="1:10" s="23" customFormat="1" outlineLevel="1" thickBot="1" x14ac:dyDescent="0.3">
      <c r="A1257" s="44"/>
      <c r="B1257" s="31" t="str">
        <f>IF(_xll.TM1RPTELISCONSOLIDATED($H$20,$H1257),IF(_xll.TM1RPTELLEV($H$20,$H1257)&lt;=5,_xll.TM1RPTELLEV($H$20,$H1257),"Default"),"Leaf")</f>
        <v>Leaf</v>
      </c>
      <c r="C1257" s="26" t="s">
        <v>15</v>
      </c>
      <c r="D1257" s="24" t="str">
        <f>_xll.DBRW("TM1-S1_DEV:}ElementAttributes_SP_SKU",$F1257,D$1)</f>
        <v>Secondary</v>
      </c>
      <c r="E1257" s="24" t="str">
        <f>_xll.DBRW("TM1-S1_DEV:}ElementAttributes_SP_SKU",$F1257,E$1)</f>
        <v>DRINKS</v>
      </c>
      <c r="F1257" s="26" t="s">
        <v>189</v>
      </c>
      <c r="G1257" s="26" t="s">
        <v>1124</v>
      </c>
      <c r="H1257" s="26" t="s">
        <v>2746</v>
      </c>
      <c r="I1257" s="54">
        <f>_xll.DBRW($A$1,$F$14,$F$15,$C1257,$A$2,$F1257,$G1257,$H1257,I$1)</f>
        <v>178</v>
      </c>
      <c r="J1257" s="25">
        <f>_xll.DBRW($A$1,$F$14,$F$15,$C1257,$A$2,$F1257,$G1257,$H1257,J$19)</f>
        <v>258</v>
      </c>
    </row>
    <row r="1258" spans="1:10" s="23" customFormat="1" outlineLevel="1" thickBot="1" x14ac:dyDescent="0.3">
      <c r="A1258" s="44"/>
      <c r="B1258" s="31" t="str">
        <f>IF(_xll.TM1RPTELISCONSOLIDATED($H$20,$H1258),IF(_xll.TM1RPTELLEV($H$20,$H1258)&lt;=5,_xll.TM1RPTELLEV($H$20,$H1258),"Default"),"Leaf")</f>
        <v>Leaf</v>
      </c>
      <c r="C1258" s="26" t="s">
        <v>15</v>
      </c>
      <c r="D1258" s="24" t="str">
        <f>_xll.DBRW("TM1-S1_DEV:}ElementAttributes_SP_SKU",$F1258,D$1)</f>
        <v>Secondary</v>
      </c>
      <c r="E1258" s="24" t="str">
        <f>_xll.DBRW("TM1-S1_DEV:}ElementAttributes_SP_SKU",$F1258,E$1)</f>
        <v>PAPER</v>
      </c>
      <c r="F1258" s="26" t="s">
        <v>190</v>
      </c>
      <c r="G1258" s="26" t="s">
        <v>1125</v>
      </c>
      <c r="H1258" s="26" t="s">
        <v>2793</v>
      </c>
      <c r="I1258" s="54">
        <f>_xll.DBRW($A$1,$F$14,$F$15,$C1258,$A$2,$F1258,$G1258,$H1258,I$1)</f>
        <v>392</v>
      </c>
      <c r="J1258" s="25">
        <f>_xll.DBRW($A$1,$F$14,$F$15,$C1258,$A$2,$F1258,$G1258,$H1258,J$19)</f>
        <v>392</v>
      </c>
    </row>
    <row r="1259" spans="1:10" s="23" customFormat="1" outlineLevel="1" thickBot="1" x14ac:dyDescent="0.3">
      <c r="A1259" s="44"/>
      <c r="B1259" s="31" t="str">
        <f>IF(_xll.TM1RPTELISCONSOLIDATED($H$20,$H1259),IF(_xll.TM1RPTELLEV($H$20,$H1259)&lt;=5,_xll.TM1RPTELLEV($H$20,$H1259),"Default"),"Leaf")</f>
        <v>Leaf</v>
      </c>
      <c r="C1259" s="26" t="s">
        <v>15</v>
      </c>
      <c r="D1259" s="24" t="str">
        <f>_xll.DBRW("TM1-S1_DEV:}ElementAttributes_SP_SKU",$F1259,D$1)</f>
        <v>Secondary</v>
      </c>
      <c r="E1259" s="24" t="str">
        <f>_xll.DBRW("TM1-S1_DEV:}ElementAttributes_SP_SKU",$F1259,E$1)</f>
        <v>CHEMICAL</v>
      </c>
      <c r="F1259" s="26" t="s">
        <v>191</v>
      </c>
      <c r="G1259" s="26" t="s">
        <v>1126</v>
      </c>
      <c r="H1259" s="26" t="s">
        <v>2794</v>
      </c>
      <c r="I1259" s="54">
        <f>_xll.DBRW($A$1,$F$14,$F$15,$C1259,$A$2,$F1259,$G1259,$H1259,I$1)</f>
        <v>161</v>
      </c>
      <c r="J1259" s="25">
        <f>_xll.DBRW($A$1,$F$14,$F$15,$C1259,$A$2,$F1259,$G1259,$H1259,J$19)</f>
        <v>161</v>
      </c>
    </row>
    <row r="1260" spans="1:10" s="23" customFormat="1" outlineLevel="1" thickBot="1" x14ac:dyDescent="0.3">
      <c r="A1260" s="44"/>
      <c r="B1260" s="31" t="str">
        <f>IF(_xll.TM1RPTELISCONSOLIDATED($H$20,$H1260),IF(_xll.TM1RPTELLEV($H$20,$H1260)&lt;=5,_xll.TM1RPTELLEV($H$20,$H1260),"Default"),"Leaf")</f>
        <v>Leaf</v>
      </c>
      <c r="C1260" s="26" t="s">
        <v>15</v>
      </c>
      <c r="D1260" s="24" t="str">
        <f>_xll.DBRW("TM1-S1_DEV:}ElementAttributes_SP_SKU",$F1260,D$1)</f>
        <v>Secondary</v>
      </c>
      <c r="E1260" s="24" t="str">
        <f>_xll.DBRW("TM1-S1_DEV:}ElementAttributes_SP_SKU",$F1260,E$1)</f>
        <v>DRINKS</v>
      </c>
      <c r="F1260" s="26" t="s">
        <v>192</v>
      </c>
      <c r="G1260" s="26" t="s">
        <v>1127</v>
      </c>
      <c r="H1260" s="26" t="s">
        <v>2795</v>
      </c>
      <c r="I1260" s="54">
        <f>_xll.DBRW($A$1,$F$14,$F$15,$C1260,$A$2,$F1260,$G1260,$H1260,I$1)</f>
        <v>378</v>
      </c>
      <c r="J1260" s="25">
        <f>_xll.DBRW($A$1,$F$14,$F$15,$C1260,$A$2,$F1260,$G1260,$H1260,J$19)</f>
        <v>450</v>
      </c>
    </row>
    <row r="1261" spans="1:10" s="23" customFormat="1" outlineLevel="1" thickBot="1" x14ac:dyDescent="0.3">
      <c r="A1261" s="44"/>
      <c r="B1261" s="31" t="str">
        <f>IF(_xll.TM1RPTELISCONSOLIDATED($H$20,$H1261),IF(_xll.TM1RPTELLEV($H$20,$H1261)&lt;=5,_xll.TM1RPTELLEV($H$20,$H1261),"Default"),"Leaf")</f>
        <v>Leaf</v>
      </c>
      <c r="C1261" s="26" t="s">
        <v>15</v>
      </c>
      <c r="D1261" s="24" t="str">
        <f>_xll.DBRW("TM1-S1_DEV:}ElementAttributes_SP_SKU",$F1261,D$1)</f>
        <v>Secondary</v>
      </c>
      <c r="E1261" s="24" t="str">
        <f>_xll.DBRW("TM1-S1_DEV:}ElementAttributes_SP_SKU",$F1261,E$1)</f>
        <v>DRINKS</v>
      </c>
      <c r="F1261" s="26" t="s">
        <v>193</v>
      </c>
      <c r="G1261" s="26" t="s">
        <v>1128</v>
      </c>
      <c r="H1261" s="26" t="s">
        <v>2733</v>
      </c>
      <c r="I1261" s="54">
        <f>_xll.DBRW($A$1,$F$14,$F$15,$C1261,$A$2,$F1261,$G1261,$H1261,I$1)</f>
        <v>149</v>
      </c>
      <c r="J1261" s="25">
        <f>_xll.DBRW($A$1,$F$14,$F$15,$C1261,$A$2,$F1261,$G1261,$H1261,J$19)</f>
        <v>239</v>
      </c>
    </row>
    <row r="1262" spans="1:10" s="23" customFormat="1" outlineLevel="1" thickBot="1" x14ac:dyDescent="0.3">
      <c r="A1262" s="44"/>
      <c r="B1262" s="31" t="str">
        <f>IF(_xll.TM1RPTELISCONSOLIDATED($H$20,$H1262),IF(_xll.TM1RPTELLEV($H$20,$H1262)&lt;=5,_xll.TM1RPTELLEV($H$20,$H1262),"Default"),"Leaf")</f>
        <v>Leaf</v>
      </c>
      <c r="C1262" s="26" t="s">
        <v>15</v>
      </c>
      <c r="D1262" s="24" t="str">
        <f>_xll.DBRW("TM1-S1_DEV:}ElementAttributes_SP_SKU",$F1262,D$1)</f>
        <v>Secondary</v>
      </c>
      <c r="E1262" s="24" t="str">
        <f>_xll.DBRW("TM1-S1_DEV:}ElementAttributes_SP_SKU",$F1262,E$1)</f>
        <v>CLEANING</v>
      </c>
      <c r="F1262" s="26" t="s">
        <v>293</v>
      </c>
      <c r="G1262" s="26" t="s">
        <v>1285</v>
      </c>
      <c r="H1262" s="26" t="s">
        <v>2803</v>
      </c>
      <c r="I1262" s="54">
        <f>_xll.DBRW($A$1,$F$14,$F$15,$C1262,$A$2,$F1262,$G1262,$H1262,I$1)</f>
        <v>33</v>
      </c>
      <c r="J1262" s="25">
        <f>_xll.DBRW($A$1,$F$14,$F$15,$C1262,$A$2,$F1262,$G1262,$H1262,J$19)</f>
        <v>33</v>
      </c>
    </row>
    <row r="1263" spans="1:10" s="23" customFormat="1" outlineLevel="1" thickBot="1" x14ac:dyDescent="0.3">
      <c r="A1263" s="44"/>
      <c r="B1263" s="31" t="str">
        <f>IF(_xll.TM1RPTELISCONSOLIDATED($H$20,$H1263),IF(_xll.TM1RPTELLEV($H$20,$H1263)&lt;=5,_xll.TM1RPTELLEV($H$20,$H1263),"Default"),"Leaf")</f>
        <v>Leaf</v>
      </c>
      <c r="C1263" s="26" t="s">
        <v>15</v>
      </c>
      <c r="D1263" s="24" t="str">
        <f>_xll.DBRW("TM1-S1_DEV:}ElementAttributes_SP_SKU",$F1263,D$1)</f>
        <v>Secondary</v>
      </c>
      <c r="E1263" s="24" t="str">
        <f>_xll.DBRW("TM1-S1_DEV:}ElementAttributes_SP_SKU",$F1263,E$1)</f>
        <v>CHEMICAL</v>
      </c>
      <c r="F1263" s="26" t="s">
        <v>194</v>
      </c>
      <c r="G1263" s="26" t="s">
        <v>1129</v>
      </c>
      <c r="H1263" s="26" t="s">
        <v>2796</v>
      </c>
      <c r="I1263" s="54">
        <f>_xll.DBRW($A$1,$F$14,$F$15,$C1263,$A$2,$F1263,$G1263,$H1263,I$1)</f>
        <v>95</v>
      </c>
      <c r="J1263" s="25">
        <f>_xll.DBRW($A$1,$F$14,$F$15,$C1263,$A$2,$F1263,$G1263,$H1263,J$19)</f>
        <v>191</v>
      </c>
    </row>
    <row r="1264" spans="1:10" s="23" customFormat="1" outlineLevel="1" thickBot="1" x14ac:dyDescent="0.3">
      <c r="A1264" s="44"/>
      <c r="B1264" s="31" t="str">
        <f>IF(_xll.TM1RPTELISCONSOLIDATED($H$20,$H1264),IF(_xll.TM1RPTELLEV($H$20,$H1264)&lt;=5,_xll.TM1RPTELLEV($H$20,$H1264),"Default"),"Leaf")</f>
        <v>Leaf</v>
      </c>
      <c r="C1264" s="26" t="s">
        <v>15</v>
      </c>
      <c r="D1264" s="24" t="str">
        <f>_xll.DBRW("TM1-S1_DEV:}ElementAttributes_SP_SKU",$F1264,D$1)</f>
        <v>Secondary</v>
      </c>
      <c r="E1264" s="24" t="str">
        <f>_xll.DBRW("TM1-S1_DEV:}ElementAttributes_SP_SKU",$F1264,E$1)</f>
        <v>CONDIMENT</v>
      </c>
      <c r="F1264" s="26" t="s">
        <v>195</v>
      </c>
      <c r="G1264" s="26" t="s">
        <v>1130</v>
      </c>
      <c r="H1264" s="26" t="s">
        <v>2782</v>
      </c>
      <c r="I1264" s="54">
        <f>_xll.DBRW($A$1,$F$14,$F$15,$C1264,$A$2,$F1264,$G1264,$H1264,I$1)</f>
        <v>36</v>
      </c>
      <c r="J1264" s="25">
        <f>_xll.DBRW($A$1,$F$14,$F$15,$C1264,$A$2,$F1264,$G1264,$H1264,J$19)</f>
        <v>36</v>
      </c>
    </row>
    <row r="1265" spans="1:10" s="23" customFormat="1" outlineLevel="1" thickBot="1" x14ac:dyDescent="0.3">
      <c r="A1265" s="44"/>
      <c r="B1265" s="31" t="str">
        <f>IF(_xll.TM1RPTELISCONSOLIDATED($H$20,$H1265),IF(_xll.TM1RPTELLEV($H$20,$H1265)&lt;=5,_xll.TM1RPTELLEV($H$20,$H1265),"Default"),"Leaf")</f>
        <v>Leaf</v>
      </c>
      <c r="C1265" s="26" t="s">
        <v>15</v>
      </c>
      <c r="D1265" s="24" t="str">
        <f>_xll.DBRW("TM1-S1_DEV:}ElementAttributes_SP_SKU",$F1265,D$1)</f>
        <v>Secondary</v>
      </c>
      <c r="E1265" s="24" t="str">
        <f>_xll.DBRW("TM1-S1_DEV:}ElementAttributes_SP_SKU",$F1265,E$1)</f>
        <v>INGREDIENT</v>
      </c>
      <c r="F1265" s="26" t="s">
        <v>196</v>
      </c>
      <c r="G1265" s="26" t="s">
        <v>1131</v>
      </c>
      <c r="H1265" s="26" t="s">
        <v>2797</v>
      </c>
      <c r="I1265" s="54">
        <f>_xll.DBRW($A$1,$F$14,$F$15,$C1265,$A$2,$F1265,$G1265,$H1265,I$1)</f>
        <v>530</v>
      </c>
      <c r="J1265" s="25">
        <f>_xll.DBRW($A$1,$F$14,$F$15,$C1265,$A$2,$F1265,$G1265,$H1265,J$19)</f>
        <v>818</v>
      </c>
    </row>
    <row r="1266" spans="1:10" s="23" customFormat="1" outlineLevel="1" thickBot="1" x14ac:dyDescent="0.3">
      <c r="A1266" s="44"/>
      <c r="B1266" s="31" t="str">
        <f>IF(_xll.TM1RPTELISCONSOLIDATED($H$20,$H1266),IF(_xll.TM1RPTELLEV($H$20,$H1266)&lt;=5,_xll.TM1RPTELLEV($H$20,$H1266),"Default"),"Leaf")</f>
        <v>Leaf</v>
      </c>
      <c r="C1266" s="26" t="s">
        <v>15</v>
      </c>
      <c r="D1266" s="24" t="str">
        <f>_xll.DBRW("TM1-S1_DEV:}ElementAttributes_SP_SKU",$F1266,D$1)</f>
        <v>Secondary</v>
      </c>
      <c r="E1266" s="24" t="str">
        <f>_xll.DBRW("TM1-S1_DEV:}ElementAttributes_SP_SKU",$F1266,E$1)</f>
        <v>PROTEIN</v>
      </c>
      <c r="F1266" s="26" t="s">
        <v>197</v>
      </c>
      <c r="G1266" s="26" t="s">
        <v>1132</v>
      </c>
      <c r="H1266" s="26" t="s">
        <v>2798</v>
      </c>
      <c r="I1266" s="54">
        <f>_xll.DBRW($A$1,$F$14,$F$15,$C1266,$A$2,$F1266,$G1266,$H1266,I$1)</f>
        <v>229</v>
      </c>
      <c r="J1266" s="25">
        <f>_xll.DBRW($A$1,$F$14,$F$15,$C1266,$A$2,$F1266,$G1266,$H1266,J$19)</f>
        <v>251</v>
      </c>
    </row>
    <row r="1267" spans="1:10" s="23" customFormat="1" outlineLevel="1" thickBot="1" x14ac:dyDescent="0.3">
      <c r="A1267" s="44"/>
      <c r="B1267" s="31" t="str">
        <f>IF(_xll.TM1RPTELISCONSOLIDATED($H$20,$H1267),IF(_xll.TM1RPTELLEV($H$20,$H1267)&lt;=5,_xll.TM1RPTELLEV($H$20,$H1267),"Default"),"Leaf")</f>
        <v>Leaf</v>
      </c>
      <c r="C1267" s="26" t="s">
        <v>15</v>
      </c>
      <c r="D1267" s="24" t="str">
        <f>_xll.DBRW("TM1-S1_DEV:}ElementAttributes_SP_SKU",$F1267,D$1)</f>
        <v>Secondary</v>
      </c>
      <c r="E1267" s="24" t="str">
        <f>_xll.DBRW("TM1-S1_DEV:}ElementAttributes_SP_SKU",$F1267,E$1)</f>
        <v>INGREDIENT</v>
      </c>
      <c r="F1267" s="26" t="s">
        <v>198</v>
      </c>
      <c r="G1267" s="26" t="s">
        <v>1133</v>
      </c>
      <c r="H1267" s="26" t="s">
        <v>2799</v>
      </c>
      <c r="I1267" s="54">
        <f>_xll.DBRW($A$1,$F$14,$F$15,$C1267,$A$2,$F1267,$G1267,$H1267,I$1)</f>
        <v>32</v>
      </c>
      <c r="J1267" s="25">
        <f>_xll.DBRW($A$1,$F$14,$F$15,$C1267,$A$2,$F1267,$G1267,$H1267,J$19)</f>
        <v>32</v>
      </c>
    </row>
    <row r="1268" spans="1:10" s="23" customFormat="1" outlineLevel="1" thickBot="1" x14ac:dyDescent="0.3">
      <c r="A1268" s="44"/>
      <c r="B1268" s="31" t="str">
        <f>IF(_xll.TM1RPTELISCONSOLIDATED($H$20,$H1268),IF(_xll.TM1RPTELLEV($H$20,$H1268)&lt;=5,_xll.TM1RPTELLEV($H$20,$H1268),"Default"),"Leaf")</f>
        <v>Leaf</v>
      </c>
      <c r="C1268" s="26" t="s">
        <v>15</v>
      </c>
      <c r="D1268" s="24" t="str">
        <f>_xll.DBRW("TM1-S1_DEV:}ElementAttributes_SP_SKU",$F1268,D$1)</f>
        <v>Secondary</v>
      </c>
      <c r="E1268" s="24" t="str">
        <f>_xll.DBRW("TM1-S1_DEV:}ElementAttributes_SP_SKU",$F1268,E$1)</f>
        <v>CHEMICAL</v>
      </c>
      <c r="F1268" s="26" t="s">
        <v>294</v>
      </c>
      <c r="G1268" s="26" t="s">
        <v>1286</v>
      </c>
      <c r="H1268" s="26" t="s">
        <v>2794</v>
      </c>
      <c r="I1268" s="54">
        <f>_xll.DBRW($A$1,$F$14,$F$15,$C1268,$A$2,$F1268,$G1268,$H1268,I$1)</f>
        <v>13</v>
      </c>
      <c r="J1268" s="25">
        <f>_xll.DBRW($A$1,$F$14,$F$15,$C1268,$A$2,$F1268,$G1268,$H1268,J$19)</f>
        <v>13</v>
      </c>
    </row>
    <row r="1269" spans="1:10" s="23" customFormat="1" outlineLevel="1" thickBot="1" x14ac:dyDescent="0.3">
      <c r="A1269" s="44"/>
      <c r="B1269" s="31" t="str">
        <f>IF(_xll.TM1RPTELISCONSOLIDATED($H$20,$H1269),IF(_xll.TM1RPTELLEV($H$20,$H1269)&lt;=5,_xll.TM1RPTELLEV($H$20,$H1269),"Default"),"Leaf")</f>
        <v>Leaf</v>
      </c>
      <c r="C1269" s="26" t="s">
        <v>15</v>
      </c>
      <c r="D1269" s="24" t="str">
        <f>_xll.DBRW("TM1-S1_DEV:}ElementAttributes_SP_SKU",$F1269,D$1)</f>
        <v>Secondary</v>
      </c>
      <c r="E1269" s="24" t="str">
        <f>_xll.DBRW("TM1-S1_DEV:}ElementAttributes_SP_SKU",$F1269,E$1)</f>
        <v>CONTAINER</v>
      </c>
      <c r="F1269" s="26" t="s">
        <v>199</v>
      </c>
      <c r="G1269" s="26" t="s">
        <v>1134</v>
      </c>
      <c r="H1269" s="26" t="s">
        <v>2787</v>
      </c>
      <c r="I1269" s="54">
        <f>_xll.DBRW($A$1,$F$14,$F$15,$C1269,$A$2,$F1269,$G1269,$H1269,I$1)</f>
        <v>311</v>
      </c>
      <c r="J1269" s="25">
        <f>_xll.DBRW($A$1,$F$14,$F$15,$C1269,$A$2,$F1269,$G1269,$H1269,J$19)</f>
        <v>383</v>
      </c>
    </row>
    <row r="1270" spans="1:10" s="23" customFormat="1" outlineLevel="1" thickBot="1" x14ac:dyDescent="0.3">
      <c r="A1270" s="44"/>
      <c r="B1270" s="31" t="str">
        <f>IF(_xll.TM1RPTELISCONSOLIDATED($H$20,$H1270),IF(_xll.TM1RPTELLEV($H$20,$H1270)&lt;=5,_xll.TM1RPTELLEV($H$20,$H1270),"Default"),"Leaf")</f>
        <v>Leaf</v>
      </c>
      <c r="C1270" s="26" t="s">
        <v>15</v>
      </c>
      <c r="D1270" s="24" t="str">
        <f>_xll.DBRW("TM1-S1_DEV:}ElementAttributes_SP_SKU",$F1270,D$1)</f>
        <v>Secondary</v>
      </c>
      <c r="E1270" s="24" t="str">
        <f>_xll.DBRW("TM1-S1_DEV:}ElementAttributes_SP_SKU",$F1270,E$1)</f>
        <v>UTENSIL</v>
      </c>
      <c r="F1270" s="26" t="s">
        <v>200</v>
      </c>
      <c r="G1270" s="26" t="s">
        <v>1051</v>
      </c>
      <c r="H1270" s="26" t="s">
        <v>2789</v>
      </c>
      <c r="I1270" s="54">
        <f>_xll.DBRW($A$1,$F$14,$F$15,$C1270,$A$2,$F1270,$G1270,$H1270,I$1)</f>
        <v>200</v>
      </c>
      <c r="J1270" s="25">
        <f>_xll.DBRW($A$1,$F$14,$F$15,$C1270,$A$2,$F1270,$G1270,$H1270,J$19)</f>
        <v>252</v>
      </c>
    </row>
    <row r="1271" spans="1:10" s="23" customFormat="1" outlineLevel="1" thickBot="1" x14ac:dyDescent="0.3">
      <c r="A1271" s="44"/>
      <c r="B1271" s="31" t="str">
        <f>IF(_xll.TM1RPTELISCONSOLIDATED($H$20,$H1271),IF(_xll.TM1RPTELLEV($H$20,$H1271)&lt;=5,_xll.TM1RPTELLEV($H$20,$H1271),"Default"),"Leaf")</f>
        <v>Leaf</v>
      </c>
      <c r="C1271" s="26" t="s">
        <v>15</v>
      </c>
      <c r="D1271" s="24" t="str">
        <f>_xll.DBRW("TM1-S1_DEV:}ElementAttributes_SP_SKU",$F1271,D$1)</f>
        <v>Secondary</v>
      </c>
      <c r="E1271" s="24" t="str">
        <f>_xll.DBRW("TM1-S1_DEV:}ElementAttributes_SP_SKU",$F1271,E$1)</f>
        <v>UTENSIL</v>
      </c>
      <c r="F1271" s="26" t="s">
        <v>295</v>
      </c>
      <c r="G1271" s="26" t="s">
        <v>1287</v>
      </c>
      <c r="H1271" s="26" t="s">
        <v>2789</v>
      </c>
      <c r="I1271" s="54">
        <f>_xll.DBRW($A$1,$F$14,$F$15,$C1271,$A$2,$F1271,$G1271,$H1271,I$1)</f>
        <v>11</v>
      </c>
      <c r="J1271" s="25">
        <f>_xll.DBRW($A$1,$F$14,$F$15,$C1271,$A$2,$F1271,$G1271,$H1271,J$19)</f>
        <v>21</v>
      </c>
    </row>
    <row r="1272" spans="1:10" s="23" customFormat="1" outlineLevel="1" thickBot="1" x14ac:dyDescent="0.3">
      <c r="A1272" s="44"/>
      <c r="B1272" s="31" t="str">
        <f>IF(_xll.TM1RPTELISCONSOLIDATED($H$20,$H1272),IF(_xll.TM1RPTELLEV($H$20,$H1272)&lt;=5,_xll.TM1RPTELLEV($H$20,$H1272),"Default"),"Leaf")</f>
        <v>Leaf</v>
      </c>
      <c r="C1272" s="26" t="s">
        <v>15</v>
      </c>
      <c r="D1272" s="24" t="str">
        <f>_xll.DBRW("TM1-S1_DEV:}ElementAttributes_SP_SKU",$F1272,D$1)</f>
        <v>Secondary</v>
      </c>
      <c r="E1272" s="24" t="str">
        <f>_xll.DBRW("TM1-S1_DEV:}ElementAttributes_SP_SKU",$F1272,E$1)</f>
        <v>UTENSIL</v>
      </c>
      <c r="F1272" s="26" t="s">
        <v>296</v>
      </c>
      <c r="G1272" s="26" t="s">
        <v>1288</v>
      </c>
      <c r="H1272" s="26" t="s">
        <v>2830</v>
      </c>
      <c r="I1272" s="54">
        <f>_xll.DBRW($A$1,$F$14,$F$15,$C1272,$A$2,$F1272,$G1272,$H1272,I$1)</f>
        <v>51</v>
      </c>
      <c r="J1272" s="25">
        <f>_xll.DBRW($A$1,$F$14,$F$15,$C1272,$A$2,$F1272,$G1272,$H1272,J$19)</f>
        <v>51</v>
      </c>
    </row>
    <row r="1273" spans="1:10" s="23" customFormat="1" outlineLevel="1" thickBot="1" x14ac:dyDescent="0.3">
      <c r="A1273" s="44"/>
      <c r="B1273" s="31" t="str">
        <f>IF(_xll.TM1RPTELISCONSOLIDATED($H$20,$H1273),IF(_xll.TM1RPTELLEV($H$20,$H1273)&lt;=5,_xll.TM1RPTELLEV($H$20,$H1273),"Default"),"Leaf")</f>
        <v>Leaf</v>
      </c>
      <c r="C1273" s="26" t="s">
        <v>15</v>
      </c>
      <c r="D1273" s="24" t="str">
        <f>_xll.DBRW("TM1-S1_DEV:}ElementAttributes_SP_SKU",$F1273,D$1)</f>
        <v>Secondary</v>
      </c>
      <c r="E1273" s="24" t="str">
        <f>_xll.DBRW("TM1-S1_DEV:}ElementAttributes_SP_SKU",$F1273,E$1)</f>
        <v>CLEANING</v>
      </c>
      <c r="F1273" s="26" t="s">
        <v>201</v>
      </c>
      <c r="G1273" s="26" t="s">
        <v>1135</v>
      </c>
      <c r="H1273" s="26" t="s">
        <v>2800</v>
      </c>
      <c r="I1273" s="54">
        <f>_xll.DBRW($A$1,$F$14,$F$15,$C1273,$A$2,$F1273,$G1273,$H1273,I$1)</f>
        <v>21</v>
      </c>
      <c r="J1273" s="25">
        <f>_xll.DBRW($A$1,$F$14,$F$15,$C1273,$A$2,$F1273,$G1273,$H1273,J$19)</f>
        <v>21</v>
      </c>
    </row>
    <row r="1274" spans="1:10" s="23" customFormat="1" outlineLevel="1" thickBot="1" x14ac:dyDescent="0.3">
      <c r="A1274" s="44"/>
      <c r="B1274" s="31" t="str">
        <f>IF(_xll.TM1RPTELISCONSOLIDATED($H$20,$H1274),IF(_xll.TM1RPTELLEV($H$20,$H1274)&lt;=5,_xll.TM1RPTELLEV($H$20,$H1274),"Default"),"Leaf")</f>
        <v>Leaf</v>
      </c>
      <c r="C1274" s="26" t="s">
        <v>15</v>
      </c>
      <c r="D1274" s="24" t="str">
        <f>_xll.DBRW("TM1-S1_DEV:}ElementAttributes_SP_SKU",$F1274,D$1)</f>
        <v>Secondary</v>
      </c>
      <c r="E1274" s="24" t="str">
        <f>_xll.DBRW("TM1-S1_DEV:}ElementAttributes_SP_SKU",$F1274,E$1)</f>
        <v>CONTAINER</v>
      </c>
      <c r="F1274" s="26" t="s">
        <v>297</v>
      </c>
      <c r="G1274" s="26" t="s">
        <v>1283</v>
      </c>
      <c r="H1274" s="26" t="s">
        <v>2758</v>
      </c>
      <c r="I1274" s="54">
        <f>_xll.DBRW($A$1,$F$14,$F$15,$C1274,$A$2,$F1274,$G1274,$H1274,I$1)</f>
        <v>6</v>
      </c>
      <c r="J1274" s="25">
        <f>_xll.DBRW($A$1,$F$14,$F$15,$C1274,$A$2,$F1274,$G1274,$H1274,J$19)</f>
        <v>6</v>
      </c>
    </row>
    <row r="1275" spans="1:10" s="23" customFormat="1" outlineLevel="1" thickBot="1" x14ac:dyDescent="0.3">
      <c r="A1275" s="44"/>
      <c r="B1275" s="31" t="str">
        <f>IF(_xll.TM1RPTELISCONSOLIDATED($H$20,$H1275),IF(_xll.TM1RPTELLEV($H$20,$H1275)&lt;=5,_xll.TM1RPTELLEV($H$20,$H1275),"Default"),"Leaf")</f>
        <v>Leaf</v>
      </c>
      <c r="C1275" s="26" t="s">
        <v>15</v>
      </c>
      <c r="D1275" s="24" t="str">
        <f>_xll.DBRW("TM1-S1_DEV:}ElementAttributes_SP_SKU",$F1275,D$1)</f>
        <v>Secondary</v>
      </c>
      <c r="E1275" s="24" t="str">
        <f>_xll.DBRW("TM1-S1_DEV:}ElementAttributes_SP_SKU",$F1275,E$1)</f>
        <v>PAPER</v>
      </c>
      <c r="F1275" s="26" t="s">
        <v>202</v>
      </c>
      <c r="G1275" s="26" t="s">
        <v>1136</v>
      </c>
      <c r="H1275" s="26" t="s">
        <v>2763</v>
      </c>
      <c r="I1275" s="54">
        <f>_xll.DBRW($A$1,$F$14,$F$15,$C1275,$A$2,$F1275,$G1275,$H1275,I$1)</f>
        <v>43</v>
      </c>
      <c r="J1275" s="25">
        <f>_xll.DBRW($A$1,$F$14,$F$15,$C1275,$A$2,$F1275,$G1275,$H1275,J$19)</f>
        <v>81</v>
      </c>
    </row>
    <row r="1276" spans="1:10" s="23" customFormat="1" outlineLevel="1" thickBot="1" x14ac:dyDescent="0.3">
      <c r="A1276" s="44"/>
      <c r="B1276" s="31" t="str">
        <f>IF(_xll.TM1RPTELISCONSOLIDATED($H$20,$H1276),IF(_xll.TM1RPTELLEV($H$20,$H1276)&lt;=5,_xll.TM1RPTELLEV($H$20,$H1276),"Default"),"Leaf")</f>
        <v>Leaf</v>
      </c>
      <c r="C1276" s="26" t="s">
        <v>15</v>
      </c>
      <c r="D1276" s="24" t="str">
        <f>_xll.DBRW("TM1-S1_DEV:}ElementAttributes_SP_SKU",$F1276,D$1)</f>
        <v>Secondary</v>
      </c>
      <c r="E1276" s="24" t="str">
        <f>_xll.DBRW("TM1-S1_DEV:}ElementAttributes_SP_SKU",$F1276,E$1)</f>
        <v>CONTAINER</v>
      </c>
      <c r="F1276" s="26" t="s">
        <v>203</v>
      </c>
      <c r="G1276" s="26" t="s">
        <v>1137</v>
      </c>
      <c r="H1276" s="26" t="s">
        <v>2781</v>
      </c>
      <c r="I1276" s="54">
        <f>_xll.DBRW($A$1,$F$14,$F$15,$C1276,$A$2,$F1276,$G1276,$H1276,I$1)</f>
        <v>157</v>
      </c>
      <c r="J1276" s="25">
        <f>_xll.DBRW($A$1,$F$14,$F$15,$C1276,$A$2,$F1276,$G1276,$H1276,J$19)</f>
        <v>349</v>
      </c>
    </row>
    <row r="1277" spans="1:10" s="23" customFormat="1" outlineLevel="1" thickBot="1" x14ac:dyDescent="0.3">
      <c r="A1277" s="44"/>
      <c r="B1277" s="31" t="str">
        <f>IF(_xll.TM1RPTELISCONSOLIDATED($H$20,$H1277),IF(_xll.TM1RPTELLEV($H$20,$H1277)&lt;=5,_xll.TM1RPTELLEV($H$20,$H1277),"Default"),"Leaf")</f>
        <v>Leaf</v>
      </c>
      <c r="C1277" s="26" t="s">
        <v>15</v>
      </c>
      <c r="D1277" s="24" t="str">
        <f>_xll.DBRW("TM1-S1_DEV:}ElementAttributes_SP_SKU",$F1277,D$1)</f>
        <v>Secondary</v>
      </c>
      <c r="E1277" s="24" t="str">
        <f>_xll.DBRW("TM1-S1_DEV:}ElementAttributes_SP_SKU",$F1277,E$1)</f>
        <v>PAPER</v>
      </c>
      <c r="F1277" s="26" t="s">
        <v>204</v>
      </c>
      <c r="G1277" s="26" t="s">
        <v>1138</v>
      </c>
      <c r="H1277" s="26" t="s">
        <v>2801</v>
      </c>
      <c r="I1277" s="54">
        <f>_xll.DBRW($A$1,$F$14,$F$15,$C1277,$A$2,$F1277,$G1277,$H1277,I$1)</f>
        <v>125</v>
      </c>
      <c r="J1277" s="25">
        <f>_xll.DBRW($A$1,$F$14,$F$15,$C1277,$A$2,$F1277,$G1277,$H1277,J$19)</f>
        <v>125</v>
      </c>
    </row>
    <row r="1278" spans="1:10" s="23" customFormat="1" outlineLevel="1" thickBot="1" x14ac:dyDescent="0.3">
      <c r="A1278" s="44"/>
      <c r="B1278" s="31" t="str">
        <f>IF(_xll.TM1RPTELISCONSOLIDATED($H$20,$H1278),IF(_xll.TM1RPTELLEV($H$20,$H1278)&lt;=5,_xll.TM1RPTELLEV($H$20,$H1278),"Default"),"Leaf")</f>
        <v>Leaf</v>
      </c>
      <c r="C1278" s="26" t="s">
        <v>15</v>
      </c>
      <c r="D1278" s="24" t="str">
        <f>_xll.DBRW("TM1-S1_DEV:}ElementAttributes_SP_SKU",$F1278,D$1)</f>
        <v>Secondary</v>
      </c>
      <c r="E1278" s="24" t="str">
        <f>_xll.DBRW("TM1-S1_DEV:}ElementAttributes_SP_SKU",$F1278,E$1)</f>
        <v>CLEANING</v>
      </c>
      <c r="F1278" s="26" t="s">
        <v>205</v>
      </c>
      <c r="G1278" s="26" t="s">
        <v>1139</v>
      </c>
      <c r="H1278" s="26" t="s">
        <v>2793</v>
      </c>
      <c r="I1278" s="54">
        <f>_xll.DBRW($A$1,$F$14,$F$15,$C1278,$A$2,$F1278,$G1278,$H1278,I$1)</f>
        <v>51</v>
      </c>
      <c r="J1278" s="25">
        <f>_xll.DBRW($A$1,$F$14,$F$15,$C1278,$A$2,$F1278,$G1278,$H1278,J$19)</f>
        <v>71</v>
      </c>
    </row>
    <row r="1279" spans="1:10" s="23" customFormat="1" outlineLevel="1" thickBot="1" x14ac:dyDescent="0.3">
      <c r="A1279" s="44"/>
      <c r="B1279" s="31" t="str">
        <f>IF(_xll.TM1RPTELISCONSOLIDATED($H$20,$H1279),IF(_xll.TM1RPTELLEV($H$20,$H1279)&lt;=5,_xll.TM1RPTELLEV($H$20,$H1279),"Default"),"Leaf")</f>
        <v>Leaf</v>
      </c>
      <c r="C1279" s="26" t="s">
        <v>15</v>
      </c>
      <c r="D1279" s="24" t="str">
        <f>_xll.DBRW("TM1-S1_DEV:}ElementAttributes_SP_SKU",$F1279,D$1)</f>
        <v>Secondary</v>
      </c>
      <c r="E1279" s="24" t="str">
        <f>_xll.DBRW("TM1-S1_DEV:}ElementAttributes_SP_SKU",$F1279,E$1)</f>
        <v>DRINKS</v>
      </c>
      <c r="F1279" s="26" t="s">
        <v>206</v>
      </c>
      <c r="G1279" s="26" t="s">
        <v>1140</v>
      </c>
      <c r="H1279" s="26" t="s">
        <v>2746</v>
      </c>
      <c r="I1279" s="54">
        <f>_xll.DBRW($A$1,$F$14,$F$15,$C1279,$A$2,$F1279,$G1279,$H1279,I$1)</f>
        <v>25</v>
      </c>
      <c r="J1279" s="25">
        <f>_xll.DBRW($A$1,$F$14,$F$15,$C1279,$A$2,$F1279,$G1279,$H1279,J$19)</f>
        <v>45</v>
      </c>
    </row>
    <row r="1280" spans="1:10" s="23" customFormat="1" outlineLevel="1" thickBot="1" x14ac:dyDescent="0.3">
      <c r="A1280" s="44"/>
      <c r="B1280" s="31" t="str">
        <f>IF(_xll.TM1RPTELISCONSOLIDATED($H$20,$H1280),IF(_xll.TM1RPTELLEV($H$20,$H1280)&lt;=5,_xll.TM1RPTELLEV($H$20,$H1280),"Default"),"Leaf")</f>
        <v>Leaf</v>
      </c>
      <c r="C1280" s="26" t="s">
        <v>15</v>
      </c>
      <c r="D1280" s="24" t="str">
        <f>_xll.DBRW("TM1-S1_DEV:}ElementAttributes_SP_SKU",$F1280,D$1)</f>
        <v>Secondary</v>
      </c>
      <c r="E1280" s="24" t="str">
        <f>_xll.DBRW("TM1-S1_DEV:}ElementAttributes_SP_SKU",$F1280,E$1)</f>
        <v>BAG</v>
      </c>
      <c r="F1280" s="26" t="s">
        <v>207</v>
      </c>
      <c r="G1280" s="26" t="s">
        <v>1141</v>
      </c>
      <c r="H1280" s="26" t="s">
        <v>2802</v>
      </c>
      <c r="I1280" s="54">
        <f>_xll.DBRW($A$1,$F$14,$F$15,$C1280,$A$2,$F1280,$G1280,$H1280,I$1)</f>
        <v>403</v>
      </c>
      <c r="J1280" s="25">
        <f>_xll.DBRW($A$1,$F$14,$F$15,$C1280,$A$2,$F1280,$G1280,$H1280,J$19)</f>
        <v>459</v>
      </c>
    </row>
    <row r="1281" spans="1:10" s="23" customFormat="1" outlineLevel="1" thickBot="1" x14ac:dyDescent="0.3">
      <c r="A1281" s="44"/>
      <c r="B1281" s="31" t="str">
        <f>IF(_xll.TM1RPTELISCONSOLIDATED($H$20,$H1281),IF(_xll.TM1RPTELLEV($H$20,$H1281)&lt;=5,_xll.TM1RPTELLEV($H$20,$H1281),"Default"),"Leaf")</f>
        <v>Leaf</v>
      </c>
      <c r="C1281" s="26" t="s">
        <v>15</v>
      </c>
      <c r="D1281" s="24" t="str">
        <f>_xll.DBRW("TM1-S1_DEV:}ElementAttributes_SP_SKU",$F1281,D$1)</f>
        <v>Secondary</v>
      </c>
      <c r="E1281" s="24" t="str">
        <f>_xll.DBRW("TM1-S1_DEV:}ElementAttributes_SP_SKU",$F1281,E$1)</f>
        <v>PRODUCE</v>
      </c>
      <c r="F1281" s="26" t="s">
        <v>208</v>
      </c>
      <c r="G1281" s="26" t="s">
        <v>1142</v>
      </c>
      <c r="H1281" s="26" t="s">
        <v>2803</v>
      </c>
      <c r="I1281" s="54">
        <f>_xll.DBRW($A$1,$F$14,$F$15,$C1281,$A$2,$F1281,$G1281,$H1281,I$1)</f>
        <v>44</v>
      </c>
      <c r="J1281" s="25">
        <f>_xll.DBRW($A$1,$F$14,$F$15,$C1281,$A$2,$F1281,$G1281,$H1281,J$19)</f>
        <v>114</v>
      </c>
    </row>
    <row r="1282" spans="1:10" s="23" customFormat="1" outlineLevel="1" thickBot="1" x14ac:dyDescent="0.3">
      <c r="A1282" s="44"/>
      <c r="B1282" s="31" t="str">
        <f>IF(_xll.TM1RPTELISCONSOLIDATED($H$20,$H1282),IF(_xll.TM1RPTELLEV($H$20,$H1282)&lt;=5,_xll.TM1RPTELLEV($H$20,$H1282),"Default"),"Leaf")</f>
        <v>Leaf</v>
      </c>
      <c r="C1282" s="26" t="s">
        <v>15</v>
      </c>
      <c r="D1282" s="24" t="str">
        <f>_xll.DBRW("TM1-S1_DEV:}ElementAttributes_SP_SKU",$F1282,D$1)</f>
        <v>Secondary</v>
      </c>
      <c r="E1282" s="24" t="str">
        <f>_xll.DBRW("TM1-S1_DEV:}ElementAttributes_SP_SKU",$F1282,E$1)</f>
        <v>GLOVES</v>
      </c>
      <c r="F1282" s="26" t="s">
        <v>209</v>
      </c>
      <c r="G1282" s="26" t="s">
        <v>1143</v>
      </c>
      <c r="H1282" s="26" t="s">
        <v>2780</v>
      </c>
      <c r="I1282" s="54">
        <f>_xll.DBRW($A$1,$F$14,$F$15,$C1282,$A$2,$F1282,$G1282,$H1282,I$1)</f>
        <v>30</v>
      </c>
      <c r="J1282" s="25">
        <f>_xll.DBRW($A$1,$F$14,$F$15,$C1282,$A$2,$F1282,$G1282,$H1282,J$19)</f>
        <v>66</v>
      </c>
    </row>
    <row r="1283" spans="1:10" s="23" customFormat="1" outlineLevel="1" thickBot="1" x14ac:dyDescent="0.3">
      <c r="A1283" s="44"/>
      <c r="B1283" s="31" t="str">
        <f>IF(_xll.TM1RPTELISCONSOLIDATED($H$20,$H1283),IF(_xll.TM1RPTELLEV($H$20,$H1283)&lt;=5,_xll.TM1RPTELLEV($H$20,$H1283),"Default"),"Leaf")</f>
        <v>Leaf</v>
      </c>
      <c r="C1283" s="26" t="s">
        <v>15</v>
      </c>
      <c r="D1283" s="24" t="str">
        <f>_xll.DBRW("TM1-S1_DEV:}ElementAttributes_SP_SKU",$F1283,D$1)</f>
        <v>Secondary</v>
      </c>
      <c r="E1283" s="24" t="str">
        <f>_xll.DBRW("TM1-S1_DEV:}ElementAttributes_SP_SKU",$F1283,E$1)</f>
        <v>CHEMICAL</v>
      </c>
      <c r="F1283" s="26" t="s">
        <v>210</v>
      </c>
      <c r="G1283" s="26" t="s">
        <v>1144</v>
      </c>
      <c r="H1283" s="26" t="s">
        <v>2804</v>
      </c>
      <c r="I1283" s="54">
        <f>_xll.DBRW($A$1,$F$14,$F$15,$C1283,$A$2,$F1283,$G1283,$H1283,I$1)</f>
        <v>103</v>
      </c>
      <c r="J1283" s="25">
        <f>_xll.DBRW($A$1,$F$14,$F$15,$C1283,$A$2,$F1283,$G1283,$H1283,J$19)</f>
        <v>103</v>
      </c>
    </row>
    <row r="1284" spans="1:10" s="23" customFormat="1" outlineLevel="1" thickBot="1" x14ac:dyDescent="0.3">
      <c r="A1284" s="44"/>
      <c r="B1284" s="31" t="str">
        <f>IF(_xll.TM1RPTELISCONSOLIDATED($H$20,$H1284),IF(_xll.TM1RPTELLEV($H$20,$H1284)&lt;=5,_xll.TM1RPTELLEV($H$20,$H1284),"Default"),"Leaf")</f>
        <v>Leaf</v>
      </c>
      <c r="C1284" s="26" t="s">
        <v>15</v>
      </c>
      <c r="D1284" s="24" t="str">
        <f>_xll.DBRW("TM1-S1_DEV:}ElementAttributes_SP_SKU",$F1284,D$1)</f>
        <v>Secondary</v>
      </c>
      <c r="E1284" s="24" t="str">
        <f>_xll.DBRW("TM1-S1_DEV:}ElementAttributes_SP_SKU",$F1284,E$1)</f>
        <v>INGREDIENT</v>
      </c>
      <c r="F1284" s="26" t="s">
        <v>211</v>
      </c>
      <c r="G1284" s="26" t="s">
        <v>1145</v>
      </c>
      <c r="H1284" s="26" t="s">
        <v>2805</v>
      </c>
      <c r="I1284" s="54">
        <f>_xll.DBRW($A$1,$F$14,$F$15,$C1284,$A$2,$F1284,$G1284,$H1284,I$1)</f>
        <v>50</v>
      </c>
      <c r="J1284" s="25">
        <f>_xll.DBRW($A$1,$F$14,$F$15,$C1284,$A$2,$F1284,$G1284,$H1284,J$19)</f>
        <v>90</v>
      </c>
    </row>
    <row r="1285" spans="1:10" s="23" customFormat="1" outlineLevel="1" thickBot="1" x14ac:dyDescent="0.3">
      <c r="A1285" s="44"/>
      <c r="B1285" s="31" t="str">
        <f>IF(_xll.TM1RPTELISCONSOLIDATED($H$20,$H1285),IF(_xll.TM1RPTELLEV($H$20,$H1285)&lt;=5,_xll.TM1RPTELLEV($H$20,$H1285),"Default"),"Leaf")</f>
        <v>Leaf</v>
      </c>
      <c r="C1285" s="26" t="s">
        <v>15</v>
      </c>
      <c r="D1285" s="24" t="str">
        <f>_xll.DBRW("TM1-S1_DEV:}ElementAttributes_SP_SKU",$F1285,D$1)</f>
        <v>Secondary</v>
      </c>
      <c r="E1285" s="24" t="str">
        <f>_xll.DBRW("TM1-S1_DEV:}ElementAttributes_SP_SKU",$F1285,E$1)</f>
        <v>INGREDIENT</v>
      </c>
      <c r="F1285" s="26" t="s">
        <v>212</v>
      </c>
      <c r="G1285" s="26" t="s">
        <v>1146</v>
      </c>
      <c r="H1285" s="26" t="s">
        <v>2806</v>
      </c>
      <c r="I1285" s="54">
        <f>_xll.DBRW($A$1,$F$14,$F$15,$C1285,$A$2,$F1285,$G1285,$H1285,I$1)</f>
        <v>130</v>
      </c>
      <c r="J1285" s="25">
        <f>_xll.DBRW($A$1,$F$14,$F$15,$C1285,$A$2,$F1285,$G1285,$H1285,J$19)</f>
        <v>130</v>
      </c>
    </row>
    <row r="1286" spans="1:10" s="23" customFormat="1" outlineLevel="1" thickBot="1" x14ac:dyDescent="0.3">
      <c r="A1286" s="44"/>
      <c r="B1286" s="31" t="str">
        <f>IF(_xll.TM1RPTELISCONSOLIDATED($H$20,$H1286),IF(_xll.TM1RPTELLEV($H$20,$H1286)&lt;=5,_xll.TM1RPTELLEV($H$20,$H1286),"Default"),"Leaf")</f>
        <v>Leaf</v>
      </c>
      <c r="C1286" s="26" t="s">
        <v>15</v>
      </c>
      <c r="D1286" s="24" t="str">
        <f>_xll.DBRW("TM1-S1_DEV:}ElementAttributes_SP_SKU",$F1286,D$1)</f>
        <v>Secondary</v>
      </c>
      <c r="E1286" s="24" t="str">
        <f>_xll.DBRW("TM1-S1_DEV:}ElementAttributes_SP_SKU",$F1286,E$1)</f>
        <v>CONTAINER</v>
      </c>
      <c r="F1286" s="26" t="s">
        <v>213</v>
      </c>
      <c r="G1286" s="26" t="s">
        <v>1147</v>
      </c>
      <c r="H1286" s="26" t="s">
        <v>2781</v>
      </c>
      <c r="I1286" s="54">
        <f>_xll.DBRW($A$1,$F$14,$F$15,$C1286,$A$2,$F1286,$G1286,$H1286,I$1)</f>
        <v>48</v>
      </c>
      <c r="J1286" s="25">
        <f>_xll.DBRW($A$1,$F$14,$F$15,$C1286,$A$2,$F1286,$G1286,$H1286,J$19)</f>
        <v>184</v>
      </c>
    </row>
    <row r="1287" spans="1:10" s="23" customFormat="1" outlineLevel="1" thickBot="1" x14ac:dyDescent="0.3">
      <c r="A1287" s="44"/>
      <c r="B1287" s="31" t="str">
        <f>IF(_xll.TM1RPTELISCONSOLIDATED($H$20,$H1287),IF(_xll.TM1RPTELLEV($H$20,$H1287)&lt;=5,_xll.TM1RPTELLEV($H$20,$H1287),"Default"),"Leaf")</f>
        <v>Leaf</v>
      </c>
      <c r="C1287" s="26" t="s">
        <v>15</v>
      </c>
      <c r="D1287" s="24" t="str">
        <f>_xll.DBRW("TM1-S1_DEV:}ElementAttributes_SP_SKU",$F1287,D$1)</f>
        <v>Secondary</v>
      </c>
      <c r="E1287" s="24" t="str">
        <f>_xll.DBRW("TM1-S1_DEV:}ElementAttributes_SP_SKU",$F1287,E$1)</f>
        <v>DRINKS</v>
      </c>
      <c r="F1287" s="26" t="s">
        <v>214</v>
      </c>
      <c r="G1287" s="26" t="s">
        <v>1148</v>
      </c>
      <c r="H1287" s="26" t="s">
        <v>2746</v>
      </c>
      <c r="I1287" s="54">
        <f>_xll.DBRW($A$1,$F$14,$F$15,$C1287,$A$2,$F1287,$G1287,$H1287,I$1)</f>
        <v>183</v>
      </c>
      <c r="J1287" s="25">
        <f>_xll.DBRW($A$1,$F$14,$F$15,$C1287,$A$2,$F1287,$G1287,$H1287,J$19)</f>
        <v>283</v>
      </c>
    </row>
    <row r="1288" spans="1:10" s="23" customFormat="1" outlineLevel="1" thickBot="1" x14ac:dyDescent="0.3">
      <c r="A1288" s="44"/>
      <c r="B1288" s="31" t="str">
        <f>IF(_xll.TM1RPTELISCONSOLIDATED($H$20,$H1288),IF(_xll.TM1RPTELLEV($H$20,$H1288)&lt;=5,_xll.TM1RPTELLEV($H$20,$H1288),"Default"),"Leaf")</f>
        <v>Leaf</v>
      </c>
      <c r="C1288" s="26" t="s">
        <v>15</v>
      </c>
      <c r="D1288" s="24" t="str">
        <f>_xll.DBRW("TM1-S1_DEV:}ElementAttributes_SP_SKU",$F1288,D$1)</f>
        <v>Secondary</v>
      </c>
      <c r="E1288" s="24" t="str">
        <f>_xll.DBRW("TM1-S1_DEV:}ElementAttributes_SP_SKU",$F1288,E$1)</f>
        <v>PAPER</v>
      </c>
      <c r="F1288" s="26" t="s">
        <v>215</v>
      </c>
      <c r="G1288" s="26" t="s">
        <v>1149</v>
      </c>
      <c r="H1288" s="26" t="s">
        <v>2807</v>
      </c>
      <c r="I1288" s="54">
        <f>_xll.DBRW($A$1,$F$14,$F$15,$C1288,$A$2,$F1288,$G1288,$H1288,I$1)</f>
        <v>216</v>
      </c>
      <c r="J1288" s="25">
        <f>_xll.DBRW($A$1,$F$14,$F$15,$C1288,$A$2,$F1288,$G1288,$H1288,J$19)</f>
        <v>216</v>
      </c>
    </row>
    <row r="1289" spans="1:10" s="23" customFormat="1" outlineLevel="1" thickBot="1" x14ac:dyDescent="0.3">
      <c r="A1289" s="44"/>
      <c r="B1289" s="31" t="str">
        <f>IF(_xll.TM1RPTELISCONSOLIDATED($H$20,$H1289),IF(_xll.TM1RPTELLEV($H$20,$H1289)&lt;=5,_xll.TM1RPTELLEV($H$20,$H1289),"Default"),"Leaf")</f>
        <v>Leaf</v>
      </c>
      <c r="C1289" s="26" t="s">
        <v>15</v>
      </c>
      <c r="D1289" s="24" t="str">
        <f>_xll.DBRW("TM1-S1_DEV:}ElementAttributes_SP_SKU",$F1289,D$1)</f>
        <v>Secondary</v>
      </c>
      <c r="E1289" s="24" t="str">
        <f>_xll.DBRW("TM1-S1_DEV:}ElementAttributes_SP_SKU",$F1289,E$1)</f>
        <v>DRINKS</v>
      </c>
      <c r="F1289" s="26" t="s">
        <v>216</v>
      </c>
      <c r="G1289" s="26" t="s">
        <v>1150</v>
      </c>
      <c r="H1289" s="26" t="s">
        <v>2746</v>
      </c>
      <c r="I1289" s="54">
        <f>_xll.DBRW($A$1,$F$14,$F$15,$C1289,$A$2,$F1289,$G1289,$H1289,I$1)</f>
        <v>177</v>
      </c>
      <c r="J1289" s="25">
        <f>_xll.DBRW($A$1,$F$14,$F$15,$C1289,$A$2,$F1289,$G1289,$H1289,J$19)</f>
        <v>231</v>
      </c>
    </row>
    <row r="1290" spans="1:10" s="23" customFormat="1" outlineLevel="1" thickBot="1" x14ac:dyDescent="0.3">
      <c r="A1290" s="44"/>
      <c r="B1290" s="31" t="str">
        <f>IF(_xll.TM1RPTELISCONSOLIDATED($H$20,$H1290),IF(_xll.TM1RPTELLEV($H$20,$H1290)&lt;=5,_xll.TM1RPTELLEV($H$20,$H1290),"Default"),"Leaf")</f>
        <v>Leaf</v>
      </c>
      <c r="C1290" s="26" t="s">
        <v>15</v>
      </c>
      <c r="D1290" s="24" t="str">
        <f>_xll.DBRW("TM1-S1_DEV:}ElementAttributes_SP_SKU",$F1290,D$1)</f>
        <v>Secondary</v>
      </c>
      <c r="E1290" s="24" t="str">
        <f>_xll.DBRW("TM1-S1_DEV:}ElementAttributes_SP_SKU",$F1290,E$1)</f>
        <v>BOWL</v>
      </c>
      <c r="F1290" s="26" t="s">
        <v>217</v>
      </c>
      <c r="G1290" s="26" t="s">
        <v>1044</v>
      </c>
      <c r="H1290" s="26" t="s">
        <v>2758</v>
      </c>
      <c r="I1290" s="54">
        <f>_xll.DBRW($A$1,$F$14,$F$15,$C1290,$A$2,$F1290,$G1290,$H1290,I$1)</f>
        <v>21</v>
      </c>
      <c r="J1290" s="25">
        <f>_xll.DBRW($A$1,$F$14,$F$15,$C1290,$A$2,$F1290,$G1290,$H1290,J$19)</f>
        <v>51</v>
      </c>
    </row>
    <row r="1291" spans="1:10" s="23" customFormat="1" outlineLevel="1" thickBot="1" x14ac:dyDescent="0.3">
      <c r="A1291" s="44"/>
      <c r="B1291" s="31" t="str">
        <f>IF(_xll.TM1RPTELISCONSOLIDATED($H$20,$H1291),IF(_xll.TM1RPTELLEV($H$20,$H1291)&lt;=5,_xll.TM1RPTELLEV($H$20,$H1291),"Default"),"Leaf")</f>
        <v>Leaf</v>
      </c>
      <c r="C1291" s="26" t="s">
        <v>15</v>
      </c>
      <c r="D1291" s="24" t="str">
        <f>_xll.DBRW("TM1-S1_DEV:}ElementAttributes_SP_SKU",$F1291,D$1)</f>
        <v>Secondary</v>
      </c>
      <c r="E1291" s="24" t="str">
        <f>_xll.DBRW("TM1-S1_DEV:}ElementAttributes_SP_SKU",$F1291,E$1)</f>
        <v>DRINKS</v>
      </c>
      <c r="F1291" s="26" t="s">
        <v>218</v>
      </c>
      <c r="G1291" s="26" t="s">
        <v>1151</v>
      </c>
      <c r="H1291" s="26" t="s">
        <v>2746</v>
      </c>
      <c r="I1291" s="54">
        <f>_xll.DBRW($A$1,$F$14,$F$15,$C1291,$A$2,$F1291,$G1291,$H1291,I$1)</f>
        <v>349</v>
      </c>
      <c r="J1291" s="25">
        <f>_xll.DBRW($A$1,$F$14,$F$15,$C1291,$A$2,$F1291,$G1291,$H1291,J$19)</f>
        <v>499</v>
      </c>
    </row>
    <row r="1292" spans="1:10" s="23" customFormat="1" outlineLevel="1" thickBot="1" x14ac:dyDescent="0.3">
      <c r="A1292" s="44"/>
      <c r="B1292" s="31" t="str">
        <f>IF(_xll.TM1RPTELISCONSOLIDATED($H$20,$H1292),IF(_xll.TM1RPTELLEV($H$20,$H1292)&lt;=5,_xll.TM1RPTELLEV($H$20,$H1292),"Default"),"Leaf")</f>
        <v>Leaf</v>
      </c>
      <c r="C1292" s="26" t="s">
        <v>15</v>
      </c>
      <c r="D1292" s="24" t="str">
        <f>_xll.DBRW("TM1-S1_DEV:}ElementAttributes_SP_SKU",$F1292,D$1)</f>
        <v>Secondary</v>
      </c>
      <c r="E1292" s="24" t="str">
        <f>_xll.DBRW("TM1-S1_DEV:}ElementAttributes_SP_SKU",$F1292,E$1)</f>
        <v>CONTAINER</v>
      </c>
      <c r="F1292" s="26" t="s">
        <v>219</v>
      </c>
      <c r="G1292" s="26" t="s">
        <v>1152</v>
      </c>
      <c r="H1292" s="26" t="s">
        <v>2781</v>
      </c>
      <c r="I1292" s="54">
        <f>_xll.DBRW($A$1,$F$14,$F$15,$C1292,$A$2,$F1292,$G1292,$H1292,I$1)</f>
        <v>96</v>
      </c>
      <c r="J1292" s="25">
        <f>_xll.DBRW($A$1,$F$14,$F$15,$C1292,$A$2,$F1292,$G1292,$H1292,J$19)</f>
        <v>104</v>
      </c>
    </row>
    <row r="1293" spans="1:10" s="23" customFormat="1" outlineLevel="1" thickBot="1" x14ac:dyDescent="0.3">
      <c r="A1293" s="44"/>
      <c r="B1293" s="31" t="str">
        <f>IF(_xll.TM1RPTELISCONSOLIDATED($H$20,$H1293),IF(_xll.TM1RPTELLEV($H$20,$H1293)&lt;=5,_xll.TM1RPTELLEV($H$20,$H1293),"Default"),"Leaf")</f>
        <v>Leaf</v>
      </c>
      <c r="C1293" s="26" t="s">
        <v>15</v>
      </c>
      <c r="D1293" s="24" t="str">
        <f>_xll.DBRW("TM1-S1_DEV:}ElementAttributes_SP_SKU",$F1293,D$1)</f>
        <v>Secondary</v>
      </c>
      <c r="E1293" s="24" t="str">
        <f>_xll.DBRW("TM1-S1_DEV:}ElementAttributes_SP_SKU",$F1293,E$1)</f>
        <v>CONTAINER</v>
      </c>
      <c r="F1293" s="26" t="s">
        <v>220</v>
      </c>
      <c r="G1293" s="26" t="s">
        <v>1045</v>
      </c>
      <c r="H1293" s="26" t="s">
        <v>2758</v>
      </c>
      <c r="I1293" s="54">
        <f>_xll.DBRW($A$1,$F$14,$F$15,$C1293,$A$2,$F1293,$G1293,$H1293,I$1)</f>
        <v>22</v>
      </c>
      <c r="J1293" s="25">
        <f>_xll.DBRW($A$1,$F$14,$F$15,$C1293,$A$2,$F1293,$G1293,$H1293,J$19)</f>
        <v>46</v>
      </c>
    </row>
    <row r="1294" spans="1:10" s="23" customFormat="1" outlineLevel="1" thickBot="1" x14ac:dyDescent="0.3">
      <c r="A1294" s="44"/>
      <c r="B1294" s="31" t="str">
        <f>IF(_xll.TM1RPTELISCONSOLIDATED($H$20,$H1294),IF(_xll.TM1RPTELLEV($H$20,$H1294)&lt;=5,_xll.TM1RPTELLEV($H$20,$H1294),"Default"),"Leaf")</f>
        <v>Leaf</v>
      </c>
      <c r="C1294" s="26" t="s">
        <v>15</v>
      </c>
      <c r="D1294" s="24" t="str">
        <f>_xll.DBRW("TM1-S1_DEV:}ElementAttributes_SP_SKU",$F1294,D$1)</f>
        <v>Secondary</v>
      </c>
      <c r="E1294" s="24" t="str">
        <f>_xll.DBRW("TM1-S1_DEV:}ElementAttributes_SP_SKU",$F1294,E$1)</f>
        <v>PAPER</v>
      </c>
      <c r="F1294" s="26" t="s">
        <v>221</v>
      </c>
      <c r="G1294" s="26" t="s">
        <v>1153</v>
      </c>
      <c r="H1294" s="26" t="s">
        <v>2808</v>
      </c>
      <c r="I1294" s="54">
        <f>_xll.DBRW($A$1,$F$14,$F$15,$C1294,$A$2,$F1294,$G1294,$H1294,I$1)</f>
        <v>100</v>
      </c>
      <c r="J1294" s="25">
        <f>_xll.DBRW($A$1,$F$14,$F$15,$C1294,$A$2,$F1294,$G1294,$H1294,J$19)</f>
        <v>148</v>
      </c>
    </row>
    <row r="1295" spans="1:10" s="23" customFormat="1" outlineLevel="1" thickBot="1" x14ac:dyDescent="0.3">
      <c r="A1295" s="44"/>
      <c r="B1295" s="31" t="str">
        <f>IF(_xll.TM1RPTELISCONSOLIDATED($H$20,$H1295),IF(_xll.TM1RPTELLEV($H$20,$H1295)&lt;=5,_xll.TM1RPTELLEV($H$20,$H1295),"Default"),"Leaf")</f>
        <v>Leaf</v>
      </c>
      <c r="C1295" s="26" t="s">
        <v>15</v>
      </c>
      <c r="D1295" s="24" t="str">
        <f>_xll.DBRW("TM1-S1_DEV:}ElementAttributes_SP_SKU",$F1295,D$1)</f>
        <v>Secondary</v>
      </c>
      <c r="E1295" s="24" t="str">
        <f>_xll.DBRW("TM1-S1_DEV:}ElementAttributes_SP_SKU",$F1295,E$1)</f>
        <v>PAPER</v>
      </c>
      <c r="F1295" s="26" t="s">
        <v>222</v>
      </c>
      <c r="G1295" s="26" t="s">
        <v>1154</v>
      </c>
      <c r="H1295" s="26" t="s">
        <v>2808</v>
      </c>
      <c r="I1295" s="54">
        <f>_xll.DBRW($A$1,$F$14,$F$15,$C1295,$A$2,$F1295,$G1295,$H1295,I$1)</f>
        <v>168</v>
      </c>
      <c r="J1295" s="25">
        <f>_xll.DBRW($A$1,$F$14,$F$15,$C1295,$A$2,$F1295,$G1295,$H1295,J$19)</f>
        <v>168</v>
      </c>
    </row>
    <row r="1296" spans="1:10" s="23" customFormat="1" outlineLevel="1" thickBot="1" x14ac:dyDescent="0.3">
      <c r="A1296" s="44"/>
      <c r="B1296" s="31" t="str">
        <f>IF(_xll.TM1RPTELISCONSOLIDATED($H$20,$H1296),IF(_xll.TM1RPTELLEV($H$20,$H1296)&lt;=5,_xll.TM1RPTELLEV($H$20,$H1296),"Default"),"Leaf")</f>
        <v>Leaf</v>
      </c>
      <c r="C1296" s="26" t="s">
        <v>15</v>
      </c>
      <c r="D1296" s="24" t="str">
        <f>_xll.DBRW("TM1-S1_DEV:}ElementAttributes_SP_SKU",$F1296,D$1)</f>
        <v>Secondary</v>
      </c>
      <c r="E1296" s="24" t="str">
        <f>_xll.DBRW("TM1-S1_DEV:}ElementAttributes_SP_SKU",$F1296,E$1)</f>
        <v>CUP</v>
      </c>
      <c r="F1296" s="26" t="s">
        <v>223</v>
      </c>
      <c r="G1296" s="26" t="s">
        <v>1155</v>
      </c>
      <c r="H1296" s="26" t="s">
        <v>2787</v>
      </c>
      <c r="I1296" s="54">
        <f>_xll.DBRW($A$1,$F$14,$F$15,$C1296,$A$2,$F1296,$G1296,$H1296,I$1)</f>
        <v>24</v>
      </c>
      <c r="J1296" s="25">
        <f>_xll.DBRW($A$1,$F$14,$F$15,$C1296,$A$2,$F1296,$G1296,$H1296,J$19)</f>
        <v>24</v>
      </c>
    </row>
    <row r="1297" spans="1:10" s="23" customFormat="1" outlineLevel="1" thickBot="1" x14ac:dyDescent="0.3">
      <c r="A1297" s="44"/>
      <c r="B1297" s="31" t="str">
        <f>IF(_xll.TM1RPTELISCONSOLIDATED($H$20,$H1297),IF(_xll.TM1RPTELLEV($H$20,$H1297)&lt;=5,_xll.TM1RPTELLEV($H$20,$H1297),"Default"),"Leaf")</f>
        <v>Leaf</v>
      </c>
      <c r="C1297" s="26" t="s">
        <v>15</v>
      </c>
      <c r="D1297" s="24" t="str">
        <f>_xll.DBRW("TM1-S1_DEV:}ElementAttributes_SP_SKU",$F1297,D$1)</f>
        <v>Secondary</v>
      </c>
      <c r="E1297" s="24" t="str">
        <f>_xll.DBRW("TM1-S1_DEV:}ElementAttributes_SP_SKU",$F1297,E$1)</f>
        <v>PAPER</v>
      </c>
      <c r="F1297" s="26" t="s">
        <v>224</v>
      </c>
      <c r="G1297" s="26" t="s">
        <v>1156</v>
      </c>
      <c r="H1297" s="26" t="s">
        <v>2809</v>
      </c>
      <c r="I1297" s="54">
        <f>_xll.DBRW($A$1,$F$14,$F$15,$C1297,$A$2,$F1297,$G1297,$H1297,I$1)</f>
        <v>13</v>
      </c>
      <c r="J1297" s="25">
        <f>_xll.DBRW($A$1,$F$14,$F$15,$C1297,$A$2,$F1297,$G1297,$H1297,J$19)</f>
        <v>149</v>
      </c>
    </row>
    <row r="1298" spans="1:10" s="23" customFormat="1" outlineLevel="1" thickBot="1" x14ac:dyDescent="0.3">
      <c r="A1298" s="44"/>
      <c r="B1298" s="31" t="str">
        <f>IF(_xll.TM1RPTELISCONSOLIDATED($H$20,$H1298),IF(_xll.TM1RPTELLEV($H$20,$H1298)&lt;=5,_xll.TM1RPTELLEV($H$20,$H1298),"Default"),"Leaf")</f>
        <v>Leaf</v>
      </c>
      <c r="C1298" s="26" t="s">
        <v>15</v>
      </c>
      <c r="D1298" s="24" t="str">
        <f>_xll.DBRW("TM1-S1_DEV:}ElementAttributes_SP_SKU",$F1298,D$1)</f>
        <v>Secondary</v>
      </c>
      <c r="E1298" s="24" t="str">
        <f>_xll.DBRW("TM1-S1_DEV:}ElementAttributes_SP_SKU",$F1298,E$1)</f>
        <v>PAPER</v>
      </c>
      <c r="F1298" s="26" t="s">
        <v>225</v>
      </c>
      <c r="G1298" s="26" t="s">
        <v>1157</v>
      </c>
      <c r="H1298" s="26" t="s">
        <v>2793</v>
      </c>
      <c r="I1298" s="54">
        <f>_xll.DBRW($A$1,$F$14,$F$15,$C1298,$A$2,$F1298,$G1298,$H1298,I$1)</f>
        <v>263</v>
      </c>
      <c r="J1298" s="25">
        <f>_xll.DBRW($A$1,$F$14,$F$15,$C1298,$A$2,$F1298,$G1298,$H1298,J$19)</f>
        <v>263</v>
      </c>
    </row>
    <row r="1299" spans="1:10" s="23" customFormat="1" outlineLevel="1" thickBot="1" x14ac:dyDescent="0.3">
      <c r="A1299" s="44"/>
      <c r="B1299" s="31" t="str">
        <f>IF(_xll.TM1RPTELISCONSOLIDATED($H$20,$H1299),IF(_xll.TM1RPTELLEV($H$20,$H1299)&lt;=5,_xll.TM1RPTELLEV($H$20,$H1299),"Default"),"Leaf")</f>
        <v>Leaf</v>
      </c>
      <c r="C1299" s="26" t="s">
        <v>15</v>
      </c>
      <c r="D1299" s="24" t="str">
        <f>_xll.DBRW("TM1-S1_DEV:}ElementAttributes_SP_SKU",$F1299,D$1)</f>
        <v>Secondary</v>
      </c>
      <c r="E1299" s="24" t="str">
        <f>_xll.DBRW("TM1-S1_DEV:}ElementAttributes_SP_SKU",$F1299,E$1)</f>
        <v>FOIL</v>
      </c>
      <c r="F1299" s="26" t="s">
        <v>226</v>
      </c>
      <c r="G1299" s="26" t="s">
        <v>1158</v>
      </c>
      <c r="H1299" s="26" t="s">
        <v>2727</v>
      </c>
      <c r="I1299" s="54">
        <f>_xll.DBRW($A$1,$F$14,$F$15,$C1299,$A$2,$F1299,$G1299,$H1299,I$1)</f>
        <v>139</v>
      </c>
      <c r="J1299" s="25">
        <f>_xll.DBRW($A$1,$F$14,$F$15,$C1299,$A$2,$F1299,$G1299,$H1299,J$19)</f>
        <v>139</v>
      </c>
    </row>
    <row r="1300" spans="1:10" s="23" customFormat="1" outlineLevel="1" thickBot="1" x14ac:dyDescent="0.3">
      <c r="A1300" s="44"/>
      <c r="B1300" s="31" t="str">
        <f>IF(_xll.TM1RPTELISCONSOLIDATED($H$20,$H1300),IF(_xll.TM1RPTELLEV($H$20,$H1300)&lt;=5,_xll.TM1RPTELLEV($H$20,$H1300),"Default"),"Leaf")</f>
        <v>Leaf</v>
      </c>
      <c r="C1300" s="26" t="s">
        <v>15</v>
      </c>
      <c r="D1300" s="24" t="str">
        <f>_xll.DBRW("TM1-S1_DEV:}ElementAttributes_SP_SKU",$F1300,D$1)</f>
        <v>Secondary</v>
      </c>
      <c r="E1300" s="24" t="str">
        <f>_xll.DBRW("TM1-S1_DEV:}ElementAttributes_SP_SKU",$F1300,E$1)</f>
        <v>PAPER</v>
      </c>
      <c r="F1300" s="26" t="s">
        <v>227</v>
      </c>
      <c r="G1300" s="26" t="s">
        <v>1159</v>
      </c>
      <c r="H1300" s="26" t="s">
        <v>2810</v>
      </c>
      <c r="I1300" s="54">
        <f>_xll.DBRW($A$1,$F$14,$F$15,$C1300,$A$2,$F1300,$G1300,$H1300,I$1)</f>
        <v>480</v>
      </c>
      <c r="J1300" s="25">
        <f>_xll.DBRW($A$1,$F$14,$F$15,$C1300,$A$2,$F1300,$G1300,$H1300,J$19)</f>
        <v>480</v>
      </c>
    </row>
    <row r="1301" spans="1:10" s="23" customFormat="1" outlineLevel="1" thickBot="1" x14ac:dyDescent="0.3">
      <c r="A1301" s="44"/>
      <c r="B1301" s="31" t="str">
        <f>IF(_xll.TM1RPTELISCONSOLIDATED($H$20,$H1301),IF(_xll.TM1RPTELLEV($H$20,$H1301)&lt;=5,_xll.TM1RPTELLEV($H$20,$H1301),"Default"),"Leaf")</f>
        <v>Leaf</v>
      </c>
      <c r="C1301" s="26" t="s">
        <v>15</v>
      </c>
      <c r="D1301" s="24" t="str">
        <f>_xll.DBRW("TM1-S1_DEV:}ElementAttributes_SP_SKU",$F1301,D$1)</f>
        <v>Secondary</v>
      </c>
      <c r="E1301" s="24" t="str">
        <f>_xll.DBRW("TM1-S1_DEV:}ElementAttributes_SP_SKU",$F1301,E$1)</f>
        <v>CUP</v>
      </c>
      <c r="F1301" s="26" t="s">
        <v>228</v>
      </c>
      <c r="G1301" s="26" t="s">
        <v>1160</v>
      </c>
      <c r="H1301" s="26" t="s">
        <v>2793</v>
      </c>
      <c r="I1301" s="54">
        <f>_xll.DBRW($A$1,$F$14,$F$15,$C1301,$A$2,$F1301,$G1301,$H1301,I$1)</f>
        <v>150</v>
      </c>
      <c r="J1301" s="25">
        <f>_xll.DBRW($A$1,$F$14,$F$15,$C1301,$A$2,$F1301,$G1301,$H1301,J$19)</f>
        <v>210</v>
      </c>
    </row>
    <row r="1302" spans="1:10" s="23" customFormat="1" outlineLevel="1" thickBot="1" x14ac:dyDescent="0.3">
      <c r="A1302" s="44"/>
      <c r="B1302" s="31" t="str">
        <f>IF(_xll.TM1RPTELISCONSOLIDATED($H$20,$H1302),IF(_xll.TM1RPTELLEV($H$20,$H1302)&lt;=5,_xll.TM1RPTELLEV($H$20,$H1302),"Default"),"Leaf")</f>
        <v>Leaf</v>
      </c>
      <c r="C1302" s="26" t="s">
        <v>15</v>
      </c>
      <c r="D1302" s="24" t="str">
        <f>_xll.DBRW("TM1-S1_DEV:}ElementAttributes_SP_SKU",$F1302,D$1)</f>
        <v>Secondary</v>
      </c>
      <c r="E1302" s="24" t="str">
        <f>_xll.DBRW("TM1-S1_DEV:}ElementAttributes_SP_SKU",$F1302,E$1)</f>
        <v>PRODUCE</v>
      </c>
      <c r="F1302" s="26" t="s">
        <v>229</v>
      </c>
      <c r="G1302" s="26" t="s">
        <v>1161</v>
      </c>
      <c r="H1302" s="26" t="s">
        <v>2803</v>
      </c>
      <c r="I1302" s="54">
        <f>_xll.DBRW($A$1,$F$14,$F$15,$C1302,$A$2,$F1302,$G1302,$H1302,I$1)</f>
        <v>35</v>
      </c>
      <c r="J1302" s="25">
        <f>_xll.DBRW($A$1,$F$14,$F$15,$C1302,$A$2,$F1302,$G1302,$H1302,J$19)</f>
        <v>120</v>
      </c>
    </row>
    <row r="1303" spans="1:10" s="23" customFormat="1" outlineLevel="1" thickBot="1" x14ac:dyDescent="0.3">
      <c r="A1303" s="44"/>
      <c r="B1303" s="31" t="str">
        <f>IF(_xll.TM1RPTELISCONSOLIDATED($H$20,$H1303),IF(_xll.TM1RPTELLEV($H$20,$H1303)&lt;=5,_xll.TM1RPTELLEV($H$20,$H1303),"Default"),"Leaf")</f>
        <v>Leaf</v>
      </c>
      <c r="C1303" s="26" t="s">
        <v>15</v>
      </c>
      <c r="D1303" s="24" t="str">
        <f>_xll.DBRW("TM1-S1_DEV:}ElementAttributes_SP_SKU",$F1303,D$1)</f>
        <v>Secondary</v>
      </c>
      <c r="E1303" s="24" t="str">
        <f>_xll.DBRW("TM1-S1_DEV:}ElementAttributes_SP_SKU",$F1303,E$1)</f>
        <v>PAPER</v>
      </c>
      <c r="F1303" s="26" t="s">
        <v>230</v>
      </c>
      <c r="G1303" s="26" t="s">
        <v>1162</v>
      </c>
      <c r="H1303" s="26" t="s">
        <v>2808</v>
      </c>
      <c r="I1303" s="54">
        <f>_xll.DBRW($A$1,$F$14,$F$15,$C1303,$A$2,$F1303,$G1303,$H1303,I$1)</f>
        <v>61</v>
      </c>
      <c r="J1303" s="25">
        <f>_xll.DBRW($A$1,$F$14,$F$15,$C1303,$A$2,$F1303,$G1303,$H1303,J$19)</f>
        <v>61</v>
      </c>
    </row>
    <row r="1304" spans="1:10" s="23" customFormat="1" outlineLevel="1" thickBot="1" x14ac:dyDescent="0.3">
      <c r="A1304" s="44"/>
      <c r="B1304" s="31" t="str">
        <f>IF(_xll.TM1RPTELISCONSOLIDATED($H$20,$H1304),IF(_xll.TM1RPTELLEV($H$20,$H1304)&lt;=5,_xll.TM1RPTELLEV($H$20,$H1304),"Default"),"Leaf")</f>
        <v>Leaf</v>
      </c>
      <c r="C1304" s="26" t="s">
        <v>15</v>
      </c>
      <c r="D1304" s="24" t="str">
        <f>_xll.DBRW("TM1-S1_DEV:}ElementAttributes_SP_SKU",$F1304,D$1)</f>
        <v>Secondary</v>
      </c>
      <c r="E1304" s="24" t="str">
        <f>_xll.DBRW("TM1-S1_DEV:}ElementAttributes_SP_SKU",$F1304,E$1)</f>
        <v>DRINKS</v>
      </c>
      <c r="F1304" s="26" t="s">
        <v>231</v>
      </c>
      <c r="G1304" s="26" t="s">
        <v>1163</v>
      </c>
      <c r="H1304" s="26" t="s">
        <v>2746</v>
      </c>
      <c r="I1304" s="54">
        <f>_xll.DBRW($A$1,$F$14,$F$15,$C1304,$A$2,$F1304,$G1304,$H1304,I$1)</f>
        <v>514</v>
      </c>
      <c r="J1304" s="25">
        <f>_xll.DBRW($A$1,$F$14,$F$15,$C1304,$A$2,$F1304,$G1304,$H1304,J$19)</f>
        <v>714</v>
      </c>
    </row>
    <row r="1305" spans="1:10" s="23" customFormat="1" outlineLevel="1" thickBot="1" x14ac:dyDescent="0.3">
      <c r="A1305" s="44"/>
      <c r="B1305" s="31" t="str">
        <f>IF(_xll.TM1RPTELISCONSOLIDATED($H$20,$H1305),IF(_xll.TM1RPTELLEV($H$20,$H1305)&lt;=5,_xll.TM1RPTELLEV($H$20,$H1305),"Default"),"Leaf")</f>
        <v>Leaf</v>
      </c>
      <c r="C1305" s="26" t="s">
        <v>15</v>
      </c>
      <c r="D1305" s="24" t="str">
        <f>_xll.DBRW("TM1-S1_DEV:}ElementAttributes_SP_SKU",$F1305,D$1)</f>
        <v>Secondary</v>
      </c>
      <c r="E1305" s="24" t="str">
        <f>_xll.DBRW("TM1-S1_DEV:}ElementAttributes_SP_SKU",$F1305,E$1)</f>
        <v>PLATE</v>
      </c>
      <c r="F1305" s="26" t="s">
        <v>232</v>
      </c>
      <c r="G1305" s="26" t="s">
        <v>1164</v>
      </c>
      <c r="H1305" s="26" t="s">
        <v>2779</v>
      </c>
      <c r="I1305" s="54">
        <f>_xll.DBRW($A$1,$F$14,$F$15,$C1305,$A$2,$F1305,$G1305,$H1305,I$1)</f>
        <v>31</v>
      </c>
      <c r="J1305" s="25">
        <f>_xll.DBRW($A$1,$F$14,$F$15,$C1305,$A$2,$F1305,$G1305,$H1305,J$19)</f>
        <v>41</v>
      </c>
    </row>
    <row r="1306" spans="1:10" s="23" customFormat="1" outlineLevel="1" thickBot="1" x14ac:dyDescent="0.3">
      <c r="A1306" s="44"/>
      <c r="B1306" s="31" t="str">
        <f>IF(_xll.TM1RPTELISCONSOLIDATED($H$20,$H1306),IF(_xll.TM1RPTELLEV($H$20,$H1306)&lt;=5,_xll.TM1RPTELLEV($H$20,$H1306),"Default"),"Leaf")</f>
        <v>Leaf</v>
      </c>
      <c r="C1306" s="26" t="s">
        <v>15</v>
      </c>
      <c r="D1306" s="24" t="str">
        <f>_xll.DBRW("TM1-S1_DEV:}ElementAttributes_SP_SKU",$F1306,D$1)</f>
        <v>Secondary</v>
      </c>
      <c r="E1306" s="24" t="str">
        <f>_xll.DBRW("TM1-S1_DEV:}ElementAttributes_SP_SKU",$F1306,E$1)</f>
        <v>DRINKS</v>
      </c>
      <c r="F1306" s="26" t="s">
        <v>233</v>
      </c>
      <c r="G1306" s="26" t="s">
        <v>1165</v>
      </c>
      <c r="H1306" s="26" t="s">
        <v>2811</v>
      </c>
      <c r="I1306" s="54">
        <f>_xll.DBRW($A$1,$F$14,$F$15,$C1306,$A$2,$F1306,$G1306,$H1306,I$1)</f>
        <v>229</v>
      </c>
      <c r="J1306" s="25">
        <f>_xll.DBRW($A$1,$F$14,$F$15,$C1306,$A$2,$F1306,$G1306,$H1306,J$19)</f>
        <v>229</v>
      </c>
    </row>
    <row r="1307" spans="1:10" s="23" customFormat="1" outlineLevel="1" thickBot="1" x14ac:dyDescent="0.3">
      <c r="A1307" s="44"/>
      <c r="B1307" s="31" t="str">
        <f>IF(_xll.TM1RPTELISCONSOLIDATED($H$20,$H1307),IF(_xll.TM1RPTELLEV($H$20,$H1307)&lt;=5,_xll.TM1RPTELLEV($H$20,$H1307),"Default"),"Leaf")</f>
        <v>Leaf</v>
      </c>
      <c r="C1307" s="26" t="s">
        <v>15</v>
      </c>
      <c r="D1307" s="24" t="str">
        <f>_xll.DBRW("TM1-S1_DEV:}ElementAttributes_SP_SKU",$F1307,D$1)</f>
        <v>Secondary</v>
      </c>
      <c r="E1307" s="24" t="str">
        <f>_xll.DBRW("TM1-S1_DEV:}ElementAttributes_SP_SKU",$F1307,E$1)</f>
        <v>CRACKERS</v>
      </c>
      <c r="F1307" s="26" t="s">
        <v>234</v>
      </c>
      <c r="G1307" s="26" t="s">
        <v>1166</v>
      </c>
      <c r="H1307" s="26" t="s">
        <v>2812</v>
      </c>
      <c r="I1307" s="54">
        <f>_xll.DBRW($A$1,$F$14,$F$15,$C1307,$A$2,$F1307,$G1307,$H1307,I$1)</f>
        <v>755</v>
      </c>
      <c r="J1307" s="25">
        <f>_xll.DBRW($A$1,$F$14,$F$15,$C1307,$A$2,$F1307,$G1307,$H1307,J$19)</f>
        <v>755</v>
      </c>
    </row>
    <row r="1308" spans="1:10" s="23" customFormat="1" outlineLevel="1" thickBot="1" x14ac:dyDescent="0.3">
      <c r="A1308" s="44"/>
      <c r="B1308" s="31" t="str">
        <f>IF(_xll.TM1RPTELISCONSOLIDATED($H$20,$H1308),IF(_xll.TM1RPTELLEV($H$20,$H1308)&lt;=5,_xll.TM1RPTELLEV($H$20,$H1308),"Default"),"Leaf")</f>
        <v>Leaf</v>
      </c>
      <c r="C1308" s="26" t="s">
        <v>15</v>
      </c>
      <c r="D1308" s="24" t="str">
        <f>_xll.DBRW("TM1-S1_DEV:}ElementAttributes_SP_SKU",$F1308,D$1)</f>
        <v>Secondary</v>
      </c>
      <c r="E1308" s="24" t="str">
        <f>_xll.DBRW("TM1-S1_DEV:}ElementAttributes_SP_SKU",$F1308,E$1)</f>
        <v>MINT</v>
      </c>
      <c r="F1308" s="26" t="s">
        <v>235</v>
      </c>
      <c r="G1308" s="26" t="s">
        <v>1167</v>
      </c>
      <c r="H1308" s="26" t="s">
        <v>2813</v>
      </c>
      <c r="I1308" s="54">
        <f>_xll.DBRW($A$1,$F$14,$F$15,$C1308,$A$2,$F1308,$G1308,$H1308,I$1)</f>
        <v>45</v>
      </c>
      <c r="J1308" s="25">
        <f>_xll.DBRW($A$1,$F$14,$F$15,$C1308,$A$2,$F1308,$G1308,$H1308,J$19)</f>
        <v>45</v>
      </c>
    </row>
    <row r="1309" spans="1:10" s="23" customFormat="1" outlineLevel="1" thickBot="1" x14ac:dyDescent="0.3">
      <c r="A1309" s="44"/>
      <c r="B1309" s="31" t="str">
        <f>IF(_xll.TM1RPTELISCONSOLIDATED($H$20,$H1309),IF(_xll.TM1RPTELLEV($H$20,$H1309)&lt;=5,_xll.TM1RPTELLEV($H$20,$H1309),"Default"),"Leaf")</f>
        <v>Leaf</v>
      </c>
      <c r="C1309" s="26" t="s">
        <v>15</v>
      </c>
      <c r="D1309" s="24" t="str">
        <f>_xll.DBRW("TM1-S1_DEV:}ElementAttributes_SP_SKU",$F1309,D$1)</f>
        <v>Secondary</v>
      </c>
      <c r="E1309" s="24" t="str">
        <f>_xll.DBRW("TM1-S1_DEV:}ElementAttributes_SP_SKU",$F1309,E$1)</f>
        <v>DRINKS</v>
      </c>
      <c r="F1309" s="26" t="s">
        <v>236</v>
      </c>
      <c r="G1309" s="26" t="s">
        <v>1168</v>
      </c>
      <c r="H1309" s="26" t="s">
        <v>2746</v>
      </c>
      <c r="I1309" s="54">
        <f>_xll.DBRW($A$1,$F$14,$F$15,$C1309,$A$2,$F1309,$G1309,$H1309,I$1)</f>
        <v>61</v>
      </c>
      <c r="J1309" s="25">
        <f>_xll.DBRW($A$1,$F$14,$F$15,$C1309,$A$2,$F1309,$G1309,$H1309,J$19)</f>
        <v>121</v>
      </c>
    </row>
    <row r="1310" spans="1:10" s="23" customFormat="1" outlineLevel="1" thickBot="1" x14ac:dyDescent="0.3">
      <c r="A1310" s="44"/>
      <c r="B1310" s="31" t="str">
        <f>IF(_xll.TM1RPTELISCONSOLIDATED($H$20,$H1310),IF(_xll.TM1RPTELLEV($H$20,$H1310)&lt;=5,_xll.TM1RPTELLEV($H$20,$H1310),"Default"),"Leaf")</f>
        <v>Leaf</v>
      </c>
      <c r="C1310" s="26" t="s">
        <v>15</v>
      </c>
      <c r="D1310" s="24" t="str">
        <f>_xll.DBRW("TM1-S1_DEV:}ElementAttributes_SP_SKU",$F1310,D$1)</f>
        <v>Secondary</v>
      </c>
      <c r="E1310" s="24" t="str">
        <f>_xll.DBRW("TM1-S1_DEV:}ElementAttributes_SP_SKU",$F1310,E$1)</f>
        <v>TOOTHPICK</v>
      </c>
      <c r="F1310" s="26" t="s">
        <v>237</v>
      </c>
      <c r="G1310" s="26" t="s">
        <v>1169</v>
      </c>
      <c r="H1310" s="26" t="s">
        <v>2814</v>
      </c>
      <c r="I1310" s="54">
        <f>_xll.DBRW($A$1,$F$14,$F$15,$C1310,$A$2,$F1310,$G1310,$H1310,I$1)</f>
        <v>48</v>
      </c>
      <c r="J1310" s="25">
        <f>_xll.DBRW($A$1,$F$14,$F$15,$C1310,$A$2,$F1310,$G1310,$H1310,J$19)</f>
        <v>48</v>
      </c>
    </row>
    <row r="1311" spans="1:10" s="23" customFormat="1" outlineLevel="1" thickBot="1" x14ac:dyDescent="0.3">
      <c r="A1311" s="44"/>
      <c r="B1311" s="31" t="str">
        <f>IF(_xll.TM1RPTELISCONSOLIDATED($H$20,$H1311),IF(_xll.TM1RPTELLEV($H$20,$H1311)&lt;=5,_xll.TM1RPTELLEV($H$20,$H1311),"Default"),"Leaf")</f>
        <v>Leaf</v>
      </c>
      <c r="C1311" s="26" t="s">
        <v>15</v>
      </c>
      <c r="D1311" s="24" t="str">
        <f>_xll.DBRW("TM1-S1_DEV:}ElementAttributes_SP_SKU",$F1311,D$1)</f>
        <v>Secondary</v>
      </c>
      <c r="E1311" s="24" t="str">
        <f>_xll.DBRW("TM1-S1_DEV:}ElementAttributes_SP_SKU",$F1311,E$1)</f>
        <v>BAG</v>
      </c>
      <c r="F1311" s="26" t="s">
        <v>238</v>
      </c>
      <c r="G1311" s="26" t="s">
        <v>1170</v>
      </c>
      <c r="H1311" s="26" t="s">
        <v>2815</v>
      </c>
      <c r="I1311" s="54">
        <f>_xll.DBRW($A$1,$F$14,$F$15,$C1311,$A$2,$F1311,$G1311,$H1311,I$1)</f>
        <v>275</v>
      </c>
      <c r="J1311" s="25">
        <f>_xll.DBRW($A$1,$F$14,$F$15,$C1311,$A$2,$F1311,$G1311,$H1311,J$19)</f>
        <v>520</v>
      </c>
    </row>
    <row r="1312" spans="1:10" s="23" customFormat="1" outlineLevel="1" thickBot="1" x14ac:dyDescent="0.3">
      <c r="A1312" s="44"/>
      <c r="B1312" s="31" t="str">
        <f>IF(_xll.TM1RPTELISCONSOLIDATED($H$20,$H1312),IF(_xll.TM1RPTELLEV($H$20,$H1312)&lt;=5,_xll.TM1RPTELLEV($H$20,$H1312),"Default"),"Leaf")</f>
        <v>Leaf</v>
      </c>
      <c r="C1312" s="26" t="s">
        <v>15</v>
      </c>
      <c r="D1312" s="24" t="str">
        <f>_xll.DBRW("TM1-S1_DEV:}ElementAttributes_SP_SKU",$F1312,D$1)</f>
        <v>Secondary</v>
      </c>
      <c r="E1312" s="24" t="str">
        <f>_xll.DBRW("TM1-S1_DEV:}ElementAttributes_SP_SKU",$F1312,E$1)</f>
        <v>EQUIP</v>
      </c>
      <c r="F1312" s="26" t="s">
        <v>239</v>
      </c>
      <c r="G1312" s="26" t="s">
        <v>1171</v>
      </c>
      <c r="H1312" s="26" t="s">
        <v>2727</v>
      </c>
      <c r="I1312" s="54">
        <f>_xll.DBRW($A$1,$F$14,$F$15,$C1312,$A$2,$F1312,$G1312,$H1312,I$1)</f>
        <v>161</v>
      </c>
      <c r="J1312" s="25">
        <f>_xll.DBRW($A$1,$F$14,$F$15,$C1312,$A$2,$F1312,$G1312,$H1312,J$19)</f>
        <v>161</v>
      </c>
    </row>
    <row r="1313" spans="1:10" s="23" customFormat="1" outlineLevel="1" thickBot="1" x14ac:dyDescent="0.3">
      <c r="A1313" s="44"/>
      <c r="B1313" s="31" t="str">
        <f>IF(_xll.TM1RPTELISCONSOLIDATED($H$20,$H1313),IF(_xll.TM1RPTELLEV($H$20,$H1313)&lt;=5,_xll.TM1RPTELLEV($H$20,$H1313),"Default"),"Leaf")</f>
        <v>Leaf</v>
      </c>
      <c r="C1313" s="26" t="s">
        <v>15</v>
      </c>
      <c r="D1313" s="24" t="str">
        <f>_xll.DBRW("TM1-S1_DEV:}ElementAttributes_SP_SKU",$F1313,D$1)</f>
        <v>Secondary</v>
      </c>
      <c r="E1313" s="24" t="str">
        <f>_xll.DBRW("TM1-S1_DEV:}ElementAttributes_SP_SKU",$F1313,E$1)</f>
        <v>PAPER</v>
      </c>
      <c r="F1313" s="26" t="s">
        <v>240</v>
      </c>
      <c r="G1313" s="26" t="s">
        <v>1172</v>
      </c>
      <c r="H1313" s="26" t="s">
        <v>2816</v>
      </c>
      <c r="I1313" s="54">
        <f>_xll.DBRW($A$1,$F$14,$F$15,$C1313,$A$2,$F1313,$G1313,$H1313,I$1)</f>
        <v>384</v>
      </c>
      <c r="J1313" s="25">
        <f>_xll.DBRW($A$1,$F$14,$F$15,$C1313,$A$2,$F1313,$G1313,$H1313,J$19)</f>
        <v>384</v>
      </c>
    </row>
    <row r="1314" spans="1:10" s="23" customFormat="1" outlineLevel="1" thickBot="1" x14ac:dyDescent="0.3">
      <c r="A1314" s="44"/>
      <c r="B1314" s="31" t="str">
        <f>IF(_xll.TM1RPTELISCONSOLIDATED($H$20,$H1314),IF(_xll.TM1RPTELLEV($H$20,$H1314)&lt;=5,_xll.TM1RPTELLEV($H$20,$H1314),"Default"),"Leaf")</f>
        <v>Leaf</v>
      </c>
      <c r="C1314" s="26" t="s">
        <v>15</v>
      </c>
      <c r="D1314" s="24" t="str">
        <f>_xll.DBRW("TM1-S1_DEV:}ElementAttributes_SP_SKU",$F1314,D$1)</f>
        <v>Secondary</v>
      </c>
      <c r="E1314" s="24" t="str">
        <f>_xll.DBRW("TM1-S1_DEV:}ElementAttributes_SP_SKU",$F1314,E$1)</f>
        <v>PAPER</v>
      </c>
      <c r="F1314" s="26" t="s">
        <v>241</v>
      </c>
      <c r="G1314" s="26" t="s">
        <v>1173</v>
      </c>
      <c r="H1314" s="26" t="s">
        <v>2816</v>
      </c>
      <c r="I1314" s="54">
        <f>_xll.DBRW($A$1,$F$14,$F$15,$C1314,$A$2,$F1314,$G1314,$H1314,I$1)</f>
        <v>17</v>
      </c>
      <c r="J1314" s="25">
        <f>_xll.DBRW($A$1,$F$14,$F$15,$C1314,$A$2,$F1314,$G1314,$H1314,J$19)</f>
        <v>17</v>
      </c>
    </row>
    <row r="1315" spans="1:10" s="23" customFormat="1" outlineLevel="1" thickBot="1" x14ac:dyDescent="0.3">
      <c r="A1315" s="44"/>
      <c r="B1315" s="31" t="str">
        <f>IF(_xll.TM1RPTELISCONSOLIDATED($H$20,$H1315),IF(_xll.TM1RPTELLEV($H$20,$H1315)&lt;=5,_xll.TM1RPTELLEV($H$20,$H1315),"Default"),"Leaf")</f>
        <v>Leaf</v>
      </c>
      <c r="C1315" s="26" t="s">
        <v>15</v>
      </c>
      <c r="D1315" s="24" t="str">
        <f>_xll.DBRW("TM1-S1_DEV:}ElementAttributes_SP_SKU",$F1315,D$1)</f>
        <v>Secondary</v>
      </c>
      <c r="E1315" s="24" t="str">
        <f>_xll.DBRW("TM1-S1_DEV:}ElementAttributes_SP_SKU",$F1315,E$1)</f>
        <v>BAG</v>
      </c>
      <c r="F1315" s="26" t="s">
        <v>242</v>
      </c>
      <c r="G1315" s="26" t="s">
        <v>1174</v>
      </c>
      <c r="H1315" s="26" t="s">
        <v>2817</v>
      </c>
      <c r="I1315" s="54">
        <f>_xll.DBRW($A$1,$F$14,$F$15,$C1315,$A$2,$F1315,$G1315,$H1315,I$1)</f>
        <v>212</v>
      </c>
      <c r="J1315" s="25">
        <f>_xll.DBRW($A$1,$F$14,$F$15,$C1315,$A$2,$F1315,$G1315,$H1315,J$19)</f>
        <v>284</v>
      </c>
    </row>
    <row r="1316" spans="1:10" s="23" customFormat="1" outlineLevel="1" thickBot="1" x14ac:dyDescent="0.3">
      <c r="A1316" s="44"/>
      <c r="B1316" s="31" t="str">
        <f>IF(_xll.TM1RPTELISCONSOLIDATED($H$20,$H1316),IF(_xll.TM1RPTELLEV($H$20,$H1316)&lt;=5,_xll.TM1RPTELLEV($H$20,$H1316),"Default"),"Leaf")</f>
        <v>Leaf</v>
      </c>
      <c r="C1316" s="26" t="s">
        <v>15</v>
      </c>
      <c r="D1316" s="24" t="str">
        <f>_xll.DBRW("TM1-S1_DEV:}ElementAttributes_SP_SKU",$F1316,D$1)</f>
        <v>Secondary</v>
      </c>
      <c r="E1316" s="24" t="str">
        <f>_xll.DBRW("TM1-S1_DEV:}ElementAttributes_SP_SKU",$F1316,E$1)</f>
        <v>CRACKERS</v>
      </c>
      <c r="F1316" s="26" t="s">
        <v>243</v>
      </c>
      <c r="G1316" s="26" t="s">
        <v>1175</v>
      </c>
      <c r="H1316" s="26" t="s">
        <v>2812</v>
      </c>
      <c r="I1316" s="54">
        <f>_xll.DBRW($A$1,$F$14,$F$15,$C1316,$A$2,$F1316,$G1316,$H1316,I$1)</f>
        <v>373</v>
      </c>
      <c r="J1316" s="25">
        <f>_xll.DBRW($A$1,$F$14,$F$15,$C1316,$A$2,$F1316,$G1316,$H1316,J$19)</f>
        <v>373</v>
      </c>
    </row>
    <row r="1317" spans="1:10" s="23" customFormat="1" outlineLevel="1" thickBot="1" x14ac:dyDescent="0.3">
      <c r="A1317" s="44"/>
      <c r="B1317" s="31" t="str">
        <f>IF(_xll.TM1RPTELISCONSOLIDATED($H$20,$H1317),IF(_xll.TM1RPTELLEV($H$20,$H1317)&lt;=5,_xll.TM1RPTELLEV($H$20,$H1317),"Default"),"Leaf")</f>
        <v>Leaf</v>
      </c>
      <c r="C1317" s="26" t="s">
        <v>15</v>
      </c>
      <c r="D1317" s="24" t="str">
        <f>_xll.DBRW("TM1-S1_DEV:}ElementAttributes_SP_SKU",$F1317,D$1)</f>
        <v>Secondary</v>
      </c>
      <c r="E1317" s="24" t="str">
        <f>_xll.DBRW("TM1-S1_DEV:}ElementAttributes_SP_SKU",$F1317,E$1)</f>
        <v>EQUIP</v>
      </c>
      <c r="F1317" s="26" t="s">
        <v>244</v>
      </c>
      <c r="G1317" s="26" t="s">
        <v>1176</v>
      </c>
      <c r="H1317" s="26" t="s">
        <v>2727</v>
      </c>
      <c r="I1317" s="54">
        <f>_xll.DBRW($A$1,$F$14,$F$15,$C1317,$A$2,$F1317,$G1317,$H1317,I$1)</f>
        <v>316</v>
      </c>
      <c r="J1317" s="25">
        <f>_xll.DBRW($A$1,$F$14,$F$15,$C1317,$A$2,$F1317,$G1317,$H1317,J$19)</f>
        <v>316</v>
      </c>
    </row>
    <row r="1318" spans="1:10" s="23" customFormat="1" outlineLevel="1" thickBot="1" x14ac:dyDescent="0.3">
      <c r="A1318" s="44"/>
      <c r="B1318" s="31" t="str">
        <f>IF(_xll.TM1RPTELISCONSOLIDATED($H$20,$H1318),IF(_xll.TM1RPTELLEV($H$20,$H1318)&lt;=5,_xll.TM1RPTELLEV($H$20,$H1318),"Default"),"Leaf")</f>
        <v>Leaf</v>
      </c>
      <c r="C1318" s="26" t="s">
        <v>15</v>
      </c>
      <c r="D1318" s="24" t="str">
        <f>_xll.DBRW("TM1-S1_DEV:}ElementAttributes_SP_SKU",$F1318,D$1)</f>
        <v>Secondary</v>
      </c>
      <c r="E1318" s="24" t="str">
        <f>_xll.DBRW("TM1-S1_DEV:}ElementAttributes_SP_SKU",$F1318,E$1)</f>
        <v>BAG</v>
      </c>
      <c r="F1318" s="26" t="s">
        <v>298</v>
      </c>
      <c r="G1318" s="26" t="s">
        <v>1289</v>
      </c>
      <c r="H1318" s="26" t="s">
        <v>2818</v>
      </c>
      <c r="I1318" s="54">
        <f>_xll.DBRW($A$1,$F$14,$F$15,$C1318,$A$2,$F1318,$G1318,$H1318,I$1)</f>
        <v>55</v>
      </c>
      <c r="J1318" s="25">
        <f>_xll.DBRW($A$1,$F$14,$F$15,$C1318,$A$2,$F1318,$G1318,$H1318,J$19)</f>
        <v>55</v>
      </c>
    </row>
    <row r="1319" spans="1:10" s="23" customFormat="1" outlineLevel="1" thickBot="1" x14ac:dyDescent="0.3">
      <c r="A1319" s="44"/>
      <c r="B1319" s="31" t="str">
        <f>IF(_xll.TM1RPTELISCONSOLIDATED($H$20,$H1319),IF(_xll.TM1RPTELLEV($H$20,$H1319)&lt;=5,_xll.TM1RPTELLEV($H$20,$H1319),"Default"),"Leaf")</f>
        <v>Leaf</v>
      </c>
      <c r="C1319" s="26" t="s">
        <v>15</v>
      </c>
      <c r="D1319" s="24" t="str">
        <f>_xll.DBRW("TM1-S1_DEV:}ElementAttributes_SP_SKU",$F1319,D$1)</f>
        <v>Secondary</v>
      </c>
      <c r="E1319" s="24" t="str">
        <f>_xll.DBRW("TM1-S1_DEV:}ElementAttributes_SP_SKU",$F1319,E$1)</f>
        <v>PAPER</v>
      </c>
      <c r="F1319" s="26" t="s">
        <v>245</v>
      </c>
      <c r="G1319" s="26" t="s">
        <v>1177</v>
      </c>
      <c r="H1319" s="26" t="s">
        <v>2807</v>
      </c>
      <c r="I1319" s="54">
        <f>_xll.DBRW($A$1,$F$14,$F$15,$C1319,$A$2,$F1319,$G1319,$H1319,I$1)</f>
        <v>24</v>
      </c>
      <c r="J1319" s="25">
        <f>_xll.DBRW($A$1,$F$14,$F$15,$C1319,$A$2,$F1319,$G1319,$H1319,J$19)</f>
        <v>34</v>
      </c>
    </row>
    <row r="1320" spans="1:10" s="23" customFormat="1" outlineLevel="1" thickBot="1" x14ac:dyDescent="0.3">
      <c r="A1320" s="44"/>
      <c r="B1320" s="31" t="str">
        <f>IF(_xll.TM1RPTELISCONSOLIDATED($H$20,$H1320),IF(_xll.TM1RPTELLEV($H$20,$H1320)&lt;=5,_xll.TM1RPTELLEV($H$20,$H1320),"Default"),"Leaf")</f>
        <v>Leaf</v>
      </c>
      <c r="C1320" s="26" t="s">
        <v>15</v>
      </c>
      <c r="D1320" s="24" t="str">
        <f>_xll.DBRW("TM1-S1_DEV:}ElementAttributes_SP_SKU",$F1320,D$1)</f>
        <v>Secondary</v>
      </c>
      <c r="E1320" s="24" t="str">
        <f>_xll.DBRW("TM1-S1_DEV:}ElementAttributes_SP_SKU",$F1320,E$1)</f>
        <v>BAG</v>
      </c>
      <c r="F1320" s="26" t="s">
        <v>246</v>
      </c>
      <c r="G1320" s="26" t="s">
        <v>1178</v>
      </c>
      <c r="H1320" s="26" t="s">
        <v>2818</v>
      </c>
      <c r="I1320" s="54">
        <f>_xll.DBRW($A$1,$F$14,$F$15,$C1320,$A$2,$F1320,$G1320,$H1320,I$1)</f>
        <v>30</v>
      </c>
      <c r="J1320" s="25">
        <f>_xll.DBRW($A$1,$F$14,$F$15,$C1320,$A$2,$F1320,$G1320,$H1320,J$19)</f>
        <v>30</v>
      </c>
    </row>
    <row r="1321" spans="1:10" s="23" customFormat="1" outlineLevel="1" thickBot="1" x14ac:dyDescent="0.3">
      <c r="A1321" s="44"/>
      <c r="B1321" s="31" t="str">
        <f>IF(_xll.TM1RPTELISCONSOLIDATED($H$20,$H1321),IF(_xll.TM1RPTELLEV($H$20,$H1321)&lt;=5,_xll.TM1RPTELLEV($H$20,$H1321),"Default"),"Leaf")</f>
        <v>Leaf</v>
      </c>
      <c r="C1321" s="26" t="s">
        <v>15</v>
      </c>
      <c r="D1321" s="24" t="str">
        <f>_xll.DBRW("TM1-S1_DEV:}ElementAttributes_SP_SKU",$F1321,D$1)</f>
        <v>Secondary</v>
      </c>
      <c r="E1321" s="24" t="str">
        <f>_xll.DBRW("TM1-S1_DEV:}ElementAttributes_SP_SKU",$F1321,E$1)</f>
        <v>BAG</v>
      </c>
      <c r="F1321" s="26" t="s">
        <v>247</v>
      </c>
      <c r="G1321" s="26" t="s">
        <v>1179</v>
      </c>
      <c r="H1321" s="26" t="s">
        <v>2818</v>
      </c>
      <c r="I1321" s="54">
        <f>_xll.DBRW($A$1,$F$14,$F$15,$C1321,$A$2,$F1321,$G1321,$H1321,I$1)</f>
        <v>71</v>
      </c>
      <c r="J1321" s="25">
        <f>_xll.DBRW($A$1,$F$14,$F$15,$C1321,$A$2,$F1321,$G1321,$H1321,J$19)</f>
        <v>71</v>
      </c>
    </row>
    <row r="1322" spans="1:10" s="23" customFormat="1" outlineLevel="1" thickBot="1" x14ac:dyDescent="0.3">
      <c r="A1322" s="44"/>
      <c r="B1322" s="31" t="str">
        <f>IF(_xll.TM1RPTELISCONSOLIDATED($H$20,$H1322),IF(_xll.TM1RPTELLEV($H$20,$H1322)&lt;=5,_xll.TM1RPTELLEV($H$20,$H1322),"Default"),"Leaf")</f>
        <v>Leaf</v>
      </c>
      <c r="C1322" s="26" t="s">
        <v>15</v>
      </c>
      <c r="D1322" s="24" t="str">
        <f>_xll.DBRW("TM1-S1_DEV:}ElementAttributes_SP_SKU",$F1322,D$1)</f>
        <v>Secondary</v>
      </c>
      <c r="E1322" s="24" t="str">
        <f>_xll.DBRW("TM1-S1_DEV:}ElementAttributes_SP_SKU",$F1322,E$1)</f>
        <v>DRINKS</v>
      </c>
      <c r="F1322" s="26" t="s">
        <v>248</v>
      </c>
      <c r="G1322" s="26" t="s">
        <v>1180</v>
      </c>
      <c r="H1322" s="26" t="s">
        <v>2746</v>
      </c>
      <c r="I1322" s="54">
        <f>_xll.DBRW($A$1,$F$14,$F$15,$C1322,$A$2,$F1322,$G1322,$H1322,I$1)</f>
        <v>119</v>
      </c>
      <c r="J1322" s="25">
        <f>_xll.DBRW($A$1,$F$14,$F$15,$C1322,$A$2,$F1322,$G1322,$H1322,J$19)</f>
        <v>219</v>
      </c>
    </row>
    <row r="1323" spans="1:10" s="23" customFormat="1" outlineLevel="1" thickBot="1" x14ac:dyDescent="0.3">
      <c r="A1323" s="44"/>
      <c r="B1323" s="31" t="str">
        <f>IF(_xll.TM1RPTELISCONSOLIDATED($H$20,$H1323),IF(_xll.TM1RPTELLEV($H$20,$H1323)&lt;=5,_xll.TM1RPTELLEV($H$20,$H1323),"Default"),"Leaf")</f>
        <v>Leaf</v>
      </c>
      <c r="C1323" s="26" t="s">
        <v>15</v>
      </c>
      <c r="D1323" s="24" t="str">
        <f>_xll.DBRW("TM1-S1_DEV:}ElementAttributes_SP_SKU",$F1323,D$1)</f>
        <v>Secondary</v>
      </c>
      <c r="E1323" s="24" t="str">
        <f>_xll.DBRW("TM1-S1_DEV:}ElementAttributes_SP_SKU",$F1323,E$1)</f>
        <v>BAG</v>
      </c>
      <c r="F1323" s="26" t="s">
        <v>249</v>
      </c>
      <c r="G1323" s="26" t="s">
        <v>1181</v>
      </c>
      <c r="H1323" s="26" t="s">
        <v>2818</v>
      </c>
      <c r="I1323" s="54">
        <f>_xll.DBRW($A$1,$F$14,$F$15,$C1323,$A$2,$F1323,$G1323,$H1323,I$1)</f>
        <v>109</v>
      </c>
      <c r="J1323" s="25">
        <f>_xll.DBRW($A$1,$F$14,$F$15,$C1323,$A$2,$F1323,$G1323,$H1323,J$19)</f>
        <v>109</v>
      </c>
    </row>
    <row r="1324" spans="1:10" s="23" customFormat="1" outlineLevel="1" thickBot="1" x14ac:dyDescent="0.3">
      <c r="A1324" s="44"/>
      <c r="B1324" s="31" t="str">
        <f>IF(_xll.TM1RPTELISCONSOLIDATED($H$20,$H1324),IF(_xll.TM1RPTELLEV($H$20,$H1324)&lt;=5,_xll.TM1RPTELLEV($H$20,$H1324),"Default"),"Leaf")</f>
        <v>Leaf</v>
      </c>
      <c r="C1324" s="26" t="s">
        <v>15</v>
      </c>
      <c r="D1324" s="24" t="str">
        <f>_xll.DBRW("TM1-S1_DEV:}ElementAttributes_SP_SKU",$F1324,D$1)</f>
        <v>Secondary</v>
      </c>
      <c r="E1324" s="24" t="str">
        <f>_xll.DBRW("TM1-S1_DEV:}ElementAttributes_SP_SKU",$F1324,E$1)</f>
        <v>CONTAINER</v>
      </c>
      <c r="F1324" s="26" t="s">
        <v>250</v>
      </c>
      <c r="G1324" s="26" t="s">
        <v>1052</v>
      </c>
      <c r="H1324" s="26" t="s">
        <v>2789</v>
      </c>
      <c r="I1324" s="54">
        <f>_xll.DBRW($A$1,$F$14,$F$15,$C1324,$A$2,$F1324,$G1324,$H1324,I$1)</f>
        <v>565</v>
      </c>
      <c r="J1324" s="25">
        <f>_xll.DBRW($A$1,$F$14,$F$15,$C1324,$A$2,$F1324,$G1324,$H1324,J$19)</f>
        <v>655</v>
      </c>
    </row>
    <row r="1325" spans="1:10" s="23" customFormat="1" outlineLevel="1" thickBot="1" x14ac:dyDescent="0.3">
      <c r="A1325" s="44"/>
      <c r="B1325" s="31" t="str">
        <f>IF(_xll.TM1RPTELISCONSOLIDATED($H$20,$H1325),IF(_xll.TM1RPTELLEV($H$20,$H1325)&lt;=5,_xll.TM1RPTELLEV($H$20,$H1325),"Default"),"Leaf")</f>
        <v>Leaf</v>
      </c>
      <c r="C1325" s="26" t="s">
        <v>15</v>
      </c>
      <c r="D1325" s="24" t="str">
        <f>_xll.DBRW("TM1-S1_DEV:}ElementAttributes_SP_SKU",$F1325,D$1)</f>
        <v>Secondary</v>
      </c>
      <c r="E1325" s="24" t="str">
        <f>_xll.DBRW("TM1-S1_DEV:}ElementAttributes_SP_SKU",$F1325,E$1)</f>
        <v>CONTAINER</v>
      </c>
      <c r="F1325" s="26" t="s">
        <v>251</v>
      </c>
      <c r="G1325" s="26" t="s">
        <v>1182</v>
      </c>
      <c r="H1325" s="26" t="s">
        <v>2781</v>
      </c>
      <c r="I1325" s="54">
        <f>_xll.DBRW($A$1,$F$14,$F$15,$C1325,$A$2,$F1325,$G1325,$H1325,I$1)</f>
        <v>26</v>
      </c>
      <c r="J1325" s="25">
        <f>_xll.DBRW($A$1,$F$14,$F$15,$C1325,$A$2,$F1325,$G1325,$H1325,J$19)</f>
        <v>35</v>
      </c>
    </row>
    <row r="1326" spans="1:10" s="23" customFormat="1" outlineLevel="1" thickBot="1" x14ac:dyDescent="0.3">
      <c r="A1326" s="44"/>
      <c r="B1326" s="31" t="str">
        <f>IF(_xll.TM1RPTELISCONSOLIDATED($H$20,$H1326),IF(_xll.TM1RPTELLEV($H$20,$H1326)&lt;=5,_xll.TM1RPTELLEV($H$20,$H1326),"Default"),"Leaf")</f>
        <v>Leaf</v>
      </c>
      <c r="C1326" s="26" t="s">
        <v>15</v>
      </c>
      <c r="D1326" s="24" t="str">
        <f>_xll.DBRW("TM1-S1_DEV:}ElementAttributes_SP_SKU",$F1326,D$1)</f>
        <v>Secondary</v>
      </c>
      <c r="E1326" s="24" t="str">
        <f>_xll.DBRW("TM1-S1_DEV:}ElementAttributes_SP_SKU",$F1326,E$1)</f>
        <v>PRODUCE</v>
      </c>
      <c r="F1326" s="26" t="s">
        <v>252</v>
      </c>
      <c r="G1326" s="26" t="s">
        <v>1183</v>
      </c>
      <c r="H1326" s="26" t="s">
        <v>2819</v>
      </c>
      <c r="I1326" s="54">
        <f>_xll.DBRW($A$1,$F$14,$F$15,$C1326,$A$2,$F1326,$G1326,$H1326,I$1)</f>
        <v>109</v>
      </c>
      <c r="J1326" s="25">
        <f>_xll.DBRW($A$1,$F$14,$F$15,$C1326,$A$2,$F1326,$G1326,$H1326,J$19)</f>
        <v>185</v>
      </c>
    </row>
    <row r="1327" spans="1:10" s="23" customFormat="1" outlineLevel="1" thickBot="1" x14ac:dyDescent="0.3">
      <c r="A1327" s="44"/>
      <c r="B1327" s="31" t="str">
        <f>IF(_xll.TM1RPTELISCONSOLIDATED($H$20,$H1327),IF(_xll.TM1RPTELLEV($H$20,$H1327)&lt;=5,_xll.TM1RPTELLEV($H$20,$H1327),"Default"),"Leaf")</f>
        <v>Leaf</v>
      </c>
      <c r="C1327" s="26" t="s">
        <v>15</v>
      </c>
      <c r="D1327" s="24" t="str">
        <f>_xll.DBRW("TM1-S1_DEV:}ElementAttributes_SP_SKU",$F1327,D$1)</f>
        <v>Secondary</v>
      </c>
      <c r="E1327" s="24" t="str">
        <f>_xll.DBRW("TM1-S1_DEV:}ElementAttributes_SP_SKU",$F1327,E$1)</f>
        <v>CUP</v>
      </c>
      <c r="F1327" s="26" t="s">
        <v>253</v>
      </c>
      <c r="G1327" s="26" t="s">
        <v>1184</v>
      </c>
      <c r="H1327" s="26" t="s">
        <v>2787</v>
      </c>
      <c r="I1327" s="54">
        <f>_xll.DBRW($A$1,$F$14,$F$15,$C1327,$A$2,$F1327,$G1327,$H1327,I$1)</f>
        <v>308</v>
      </c>
      <c r="J1327" s="25">
        <f>_xll.DBRW($A$1,$F$14,$F$15,$C1327,$A$2,$F1327,$G1327,$H1327,J$19)</f>
        <v>443</v>
      </c>
    </row>
    <row r="1328" spans="1:10" s="23" customFormat="1" outlineLevel="1" thickBot="1" x14ac:dyDescent="0.3">
      <c r="A1328" s="44"/>
      <c r="B1328" s="31" t="str">
        <f>IF(_xll.TM1RPTELISCONSOLIDATED($H$20,$H1328),IF(_xll.TM1RPTELLEV($H$20,$H1328)&lt;=5,_xll.TM1RPTELLEV($H$20,$H1328),"Default"),"Leaf")</f>
        <v>Leaf</v>
      </c>
      <c r="C1328" s="26" t="s">
        <v>15</v>
      </c>
      <c r="D1328" s="24" t="str">
        <f>_xll.DBRW("TM1-S1_DEV:}ElementAttributes_SP_SKU",$F1328,D$1)</f>
        <v>Secondary</v>
      </c>
      <c r="E1328" s="24" t="str">
        <f>_xll.DBRW("TM1-S1_DEV:}ElementAttributes_SP_SKU",$F1328,E$1)</f>
        <v>BAG</v>
      </c>
      <c r="F1328" s="26" t="s">
        <v>254</v>
      </c>
      <c r="G1328" s="26" t="s">
        <v>1185</v>
      </c>
      <c r="H1328" s="26" t="s">
        <v>2818</v>
      </c>
      <c r="I1328" s="54">
        <f>_xll.DBRW($A$1,$F$14,$F$15,$C1328,$A$2,$F1328,$G1328,$H1328,I$1)</f>
        <v>154</v>
      </c>
      <c r="J1328" s="25">
        <f>_xll.DBRW($A$1,$F$14,$F$15,$C1328,$A$2,$F1328,$G1328,$H1328,J$19)</f>
        <v>154</v>
      </c>
    </row>
    <row r="1329" spans="1:10" s="23" customFormat="1" outlineLevel="1" thickBot="1" x14ac:dyDescent="0.3">
      <c r="A1329" s="44"/>
      <c r="B1329" s="31" t="str">
        <f>IF(_xll.TM1RPTELISCONSOLIDATED($H$20,$H1329),IF(_xll.TM1RPTELLEV($H$20,$H1329)&lt;=5,_xll.TM1RPTELLEV($H$20,$H1329),"Default"),"Leaf")</f>
        <v>Leaf</v>
      </c>
      <c r="C1329" s="26" t="s">
        <v>15</v>
      </c>
      <c r="D1329" s="24" t="str">
        <f>_xll.DBRW("TM1-S1_DEV:}ElementAttributes_SP_SKU",$F1329,D$1)</f>
        <v>Secondary</v>
      </c>
      <c r="E1329" s="24" t="str">
        <f>_xll.DBRW("TM1-S1_DEV:}ElementAttributes_SP_SKU",$F1329,E$1)</f>
        <v>CUP</v>
      </c>
      <c r="F1329" s="26" t="s">
        <v>299</v>
      </c>
      <c r="G1329" s="26" t="s">
        <v>1290</v>
      </c>
      <c r="H1329" s="26" t="s">
        <v>2787</v>
      </c>
      <c r="I1329" s="54">
        <f>_xll.DBRW($A$1,$F$14,$F$15,$C1329,$A$2,$F1329,$G1329,$H1329,I$1)</f>
        <v>3</v>
      </c>
      <c r="J1329" s="25">
        <f>_xll.DBRW($A$1,$F$14,$F$15,$C1329,$A$2,$F1329,$G1329,$H1329,J$19)</f>
        <v>3</v>
      </c>
    </row>
    <row r="1330" spans="1:10" s="23" customFormat="1" outlineLevel="1" thickBot="1" x14ac:dyDescent="0.3">
      <c r="A1330" s="44"/>
      <c r="B1330" s="31" t="str">
        <f>IF(_xll.TM1RPTELISCONSOLIDATED($H$20,$H1330),IF(_xll.TM1RPTELLEV($H$20,$H1330)&lt;=5,_xll.TM1RPTELLEV($H$20,$H1330),"Default"),"Leaf")</f>
        <v>Leaf</v>
      </c>
      <c r="C1330" s="26" t="s">
        <v>15</v>
      </c>
      <c r="D1330" s="24" t="str">
        <f>_xll.DBRW("TM1-S1_DEV:}ElementAttributes_SP_SKU",$F1330,D$1)</f>
        <v>Secondary</v>
      </c>
      <c r="E1330" s="24" t="str">
        <f>_xll.DBRW("TM1-S1_DEV:}ElementAttributes_SP_SKU",$F1330,E$1)</f>
        <v>EQUIP</v>
      </c>
      <c r="F1330" s="26" t="s">
        <v>255</v>
      </c>
      <c r="G1330" s="26" t="s">
        <v>1186</v>
      </c>
      <c r="H1330" s="26" t="s">
        <v>2727</v>
      </c>
      <c r="I1330" s="54">
        <f>_xll.DBRW($A$1,$F$14,$F$15,$C1330,$A$2,$F1330,$G1330,$H1330,I$1)</f>
        <v>200</v>
      </c>
      <c r="J1330" s="25">
        <f>_xll.DBRW($A$1,$F$14,$F$15,$C1330,$A$2,$F1330,$G1330,$H1330,J$19)</f>
        <v>284</v>
      </c>
    </row>
    <row r="1331" spans="1:10" s="23" customFormat="1" outlineLevel="1" thickBot="1" x14ac:dyDescent="0.3">
      <c r="A1331" s="44"/>
      <c r="B1331" s="31" t="str">
        <f>IF(_xll.TM1RPTELISCONSOLIDATED($H$20,$H1331),IF(_xll.TM1RPTELLEV($H$20,$H1331)&lt;=5,_xll.TM1RPTELLEV($H$20,$H1331),"Default"),"Leaf")</f>
        <v>Leaf</v>
      </c>
      <c r="C1331" s="26" t="s">
        <v>15</v>
      </c>
      <c r="D1331" s="24" t="str">
        <f>_xll.DBRW("TM1-S1_DEV:}ElementAttributes_SP_SKU",$F1331,D$1)</f>
        <v>Secondary</v>
      </c>
      <c r="E1331" s="24" t="str">
        <f>_xll.DBRW("TM1-S1_DEV:}ElementAttributes_SP_SKU",$F1331,E$1)</f>
        <v>CUP</v>
      </c>
      <c r="F1331" s="26" t="s">
        <v>256</v>
      </c>
      <c r="G1331" s="26" t="s">
        <v>1187</v>
      </c>
      <c r="H1331" s="26" t="s">
        <v>2787</v>
      </c>
      <c r="I1331" s="54">
        <f>_xll.DBRW($A$1,$F$14,$F$15,$C1331,$A$2,$F1331,$G1331,$H1331,I$1)</f>
        <v>477</v>
      </c>
      <c r="J1331" s="25">
        <f>_xll.DBRW($A$1,$F$14,$F$15,$C1331,$A$2,$F1331,$G1331,$H1331,J$19)</f>
        <v>645</v>
      </c>
    </row>
    <row r="1332" spans="1:10" s="23" customFormat="1" outlineLevel="1" thickBot="1" x14ac:dyDescent="0.3">
      <c r="A1332" s="44"/>
      <c r="B1332" s="31" t="str">
        <f>IF(_xll.TM1RPTELISCONSOLIDATED($H$20,$H1332),IF(_xll.TM1RPTELLEV($H$20,$H1332)&lt;=5,_xll.TM1RPTELLEV($H$20,$H1332),"Default"),"Leaf")</f>
        <v>Leaf</v>
      </c>
      <c r="C1332" s="26" t="s">
        <v>15</v>
      </c>
      <c r="D1332" s="24" t="str">
        <f>_xll.DBRW("TM1-S1_DEV:}ElementAttributes_SP_SKU",$F1332,D$1)</f>
        <v>Secondary</v>
      </c>
      <c r="E1332" s="24" t="str">
        <f>_xll.DBRW("TM1-S1_DEV:}ElementAttributes_SP_SKU",$F1332,E$1)</f>
        <v>FOIL</v>
      </c>
      <c r="F1332" s="26" t="s">
        <v>257</v>
      </c>
      <c r="G1332" s="26" t="s">
        <v>1188</v>
      </c>
      <c r="H1332" s="26" t="s">
        <v>2727</v>
      </c>
      <c r="I1332" s="54">
        <f>_xll.DBRW($A$1,$F$14,$F$15,$C1332,$A$2,$F1332,$G1332,$H1332,I$1)</f>
        <v>47</v>
      </c>
      <c r="J1332" s="25">
        <f>_xll.DBRW($A$1,$F$14,$F$15,$C1332,$A$2,$F1332,$G1332,$H1332,J$19)</f>
        <v>125</v>
      </c>
    </row>
    <row r="1333" spans="1:10" s="23" customFormat="1" outlineLevel="1" thickBot="1" x14ac:dyDescent="0.3">
      <c r="A1333" s="44"/>
      <c r="B1333" s="31" t="str">
        <f>IF(_xll.TM1RPTELISCONSOLIDATED($H$20,$H1333),IF(_xll.TM1RPTELLEV($H$20,$H1333)&lt;=5,_xll.TM1RPTELLEV($H$20,$H1333),"Default"),"Leaf")</f>
        <v>Leaf</v>
      </c>
      <c r="C1333" s="26" t="s">
        <v>15</v>
      </c>
      <c r="D1333" s="24" t="str">
        <f>_xll.DBRW("TM1-S1_DEV:}ElementAttributes_SP_SKU",$F1333,D$1)</f>
        <v>Primary</v>
      </c>
      <c r="E1333" s="24" t="str">
        <f>_xll.DBRW("TM1-S1_DEV:}ElementAttributes_SP_SKU",$F1333,E$1)</f>
        <v>INGREDIENT</v>
      </c>
      <c r="F1333" s="26" t="s">
        <v>3240</v>
      </c>
      <c r="G1333" s="26" t="s">
        <v>1271</v>
      </c>
      <c r="H1333" s="26" t="s">
        <v>2728</v>
      </c>
      <c r="I1333" s="54">
        <f>_xll.DBRW($A$1,$F$14,$F$15,$C1333,$A$2,$F1333,$G1333,$H1333,I$1)</f>
        <v>106</v>
      </c>
      <c r="J1333" s="25">
        <f>_xll.DBRW($A$1,$F$14,$F$15,$C1333,$A$2,$F1333,$G1333,$H1333,J$19)</f>
        <v>64</v>
      </c>
    </row>
    <row r="1334" spans="1:10" s="23" customFormat="1" outlineLevel="1" thickBot="1" x14ac:dyDescent="0.3">
      <c r="A1334" s="44"/>
      <c r="B1334" s="31" t="str">
        <f>IF(_xll.TM1RPTELISCONSOLIDATED($H$20,$H1334),IF(_xll.TM1RPTELLEV($H$20,$H1334)&lt;=5,_xll.TM1RPTELLEV($H$20,$H1334),"Default"),"Leaf")</f>
        <v>Leaf</v>
      </c>
      <c r="C1334" s="26" t="s">
        <v>15</v>
      </c>
      <c r="D1334" s="24" t="str">
        <f>_xll.DBRW("TM1-S1_DEV:}ElementAttributes_SP_SKU",$F1334,D$1)</f>
        <v>Primary</v>
      </c>
      <c r="E1334" s="24" t="str">
        <f>_xll.DBRW("TM1-S1_DEV:}ElementAttributes_SP_SKU",$F1334,E$1)</f>
        <v>INGREDIENT</v>
      </c>
      <c r="F1334" s="26" t="s">
        <v>3241</v>
      </c>
      <c r="G1334" s="26" t="s">
        <v>1189</v>
      </c>
      <c r="H1334" s="26" t="s">
        <v>2729</v>
      </c>
      <c r="I1334" s="54">
        <f>_xll.DBRW($A$1,$F$14,$F$15,$C1334,$A$2,$F1334,$G1334,$H1334,I$1)</f>
        <v>465</v>
      </c>
      <c r="J1334" s="25">
        <f>_xll.DBRW($A$1,$F$14,$F$15,$C1334,$A$2,$F1334,$G1334,$H1334,J$19)</f>
        <v>42</v>
      </c>
    </row>
    <row r="1335" spans="1:10" s="23" customFormat="1" outlineLevel="1" thickBot="1" x14ac:dyDescent="0.3">
      <c r="A1335" s="44"/>
      <c r="B1335" s="31" t="str">
        <f>IF(_xll.TM1RPTELISCONSOLIDATED($H$20,$H1335),IF(_xll.TM1RPTELLEV($H$20,$H1335)&lt;=5,_xll.TM1RPTELLEV($H$20,$H1335),"Default"),"Leaf")</f>
        <v>Leaf</v>
      </c>
      <c r="C1335" s="26" t="s">
        <v>15</v>
      </c>
      <c r="D1335" s="24" t="str">
        <f>_xll.DBRW("TM1-S1_DEV:}ElementAttributes_SP_SKU",$F1335,D$1)</f>
        <v>Primary</v>
      </c>
      <c r="E1335" s="24" t="str">
        <f>_xll.DBRW("TM1-S1_DEV:}ElementAttributes_SP_SKU",$F1335,E$1)</f>
        <v>INGREDIENT</v>
      </c>
      <c r="F1335" s="26" t="s">
        <v>3241</v>
      </c>
      <c r="G1335" s="26" t="s">
        <v>1190</v>
      </c>
      <c r="H1335" s="26" t="s">
        <v>2734</v>
      </c>
      <c r="I1335" s="54">
        <f>_xll.DBRW($A$1,$F$14,$F$15,$C1335,$A$2,$F1335,$G1335,$H1335,I$1)</f>
        <v>3411</v>
      </c>
      <c r="J1335" s="25">
        <f>_xll.DBRW($A$1,$F$14,$F$15,$C1335,$A$2,$F1335,$G1335,$H1335,J$19)</f>
        <v>4261</v>
      </c>
    </row>
    <row r="1336" spans="1:10" s="23" customFormat="1" outlineLevel="1" thickBot="1" x14ac:dyDescent="0.3">
      <c r="A1336" s="44"/>
      <c r="B1336" s="31" t="str">
        <f>IF(_xll.TM1RPTELISCONSOLIDATED($H$20,$H1336),IF(_xll.TM1RPTELLEV($H$20,$H1336)&lt;=5,_xll.TM1RPTELLEV($H$20,$H1336),"Default"),"Leaf")</f>
        <v>Leaf</v>
      </c>
      <c r="C1336" s="26" t="s">
        <v>15</v>
      </c>
      <c r="D1336" s="24" t="str">
        <f>_xll.DBRW("TM1-S1_DEV:}ElementAttributes_SP_SKU",$F1336,D$1)</f>
        <v>Primary</v>
      </c>
      <c r="E1336" s="24" t="str">
        <f>_xll.DBRW("TM1-S1_DEV:}ElementAttributes_SP_SKU",$F1336,E$1)</f>
        <v>GEL</v>
      </c>
      <c r="F1336" s="26" t="s">
        <v>98</v>
      </c>
      <c r="G1336" s="26" t="s">
        <v>1272</v>
      </c>
      <c r="H1336" s="26" t="s">
        <v>2762</v>
      </c>
      <c r="I1336" s="54">
        <f>_xll.DBRW($A$1,$F$14,$F$15,$C1336,$A$2,$F1336,$G1336,$H1336,I$1)</f>
        <v>27</v>
      </c>
      <c r="J1336" s="25">
        <f>_xll.DBRW($A$1,$F$14,$F$15,$C1336,$A$2,$F1336,$G1336,$H1336,J$19)</f>
        <v>27</v>
      </c>
    </row>
    <row r="1337" spans="1:10" s="23" customFormat="1" outlineLevel="1" thickBot="1" x14ac:dyDescent="0.3">
      <c r="A1337" s="44"/>
      <c r="B1337" s="31" t="str">
        <f>IF(_xll.TM1RPTELISCONSOLIDATED($H$20,$H1337),IF(_xll.TM1RPTELLEV($H$20,$H1337)&lt;=5,_xll.TM1RPTELLEV($H$20,$H1337),"Default"),"Leaf")</f>
        <v>Leaf</v>
      </c>
      <c r="C1337" s="26" t="s">
        <v>15</v>
      </c>
      <c r="D1337" s="24" t="str">
        <f>_xll.DBRW("TM1-S1_DEV:}ElementAttributes_SP_SKU",$F1337,D$1)</f>
        <v>Unassigned PSP</v>
      </c>
      <c r="E1337" s="24" t="str">
        <f>_xll.DBRW("TM1-S1_DEV:}ElementAttributes_SP_SKU",$F1337,E$1)</f>
        <v>PAPER</v>
      </c>
      <c r="F1337" s="26" t="s">
        <v>258</v>
      </c>
      <c r="G1337" s="26" t="s">
        <v>1086</v>
      </c>
      <c r="H1337" s="26" t="s">
        <v>2820</v>
      </c>
      <c r="I1337" s="54">
        <f>_xll.DBRW($A$1,$F$14,$F$15,$C1337,$A$2,$F1337,$G1337,$H1337,I$1)</f>
        <v>35</v>
      </c>
      <c r="J1337" s="25">
        <f>_xll.DBRW($A$1,$F$14,$F$15,$C1337,$A$2,$F1337,$G1337,$H1337,J$19)</f>
        <v>35</v>
      </c>
    </row>
    <row r="1338" spans="1:10" s="23" customFormat="1" outlineLevel="1" thickBot="1" x14ac:dyDescent="0.3">
      <c r="A1338" s="44"/>
      <c r="B1338" s="31" t="str">
        <f>IF(_xll.TM1RPTELISCONSOLIDATED($H$20,$H1338),IF(_xll.TM1RPTELLEV($H$20,$H1338)&lt;=5,_xll.TM1RPTELLEV($H$20,$H1338),"Default"),"Leaf")</f>
        <v>Leaf</v>
      </c>
      <c r="C1338" s="26" t="s">
        <v>15</v>
      </c>
      <c r="D1338" s="24" t="str">
        <f>_xll.DBRW("TM1-S1_DEV:}ElementAttributes_SP_SKU",$F1338,D$1)</f>
        <v>Primary</v>
      </c>
      <c r="E1338" s="24" t="str">
        <f>_xll.DBRW("TM1-S1_DEV:}ElementAttributes_SP_SKU",$F1338,E$1)</f>
        <v>DRINKS</v>
      </c>
      <c r="F1338" s="26" t="s">
        <v>3267</v>
      </c>
      <c r="G1338" s="26" t="s">
        <v>1191</v>
      </c>
      <c r="H1338" s="26" t="s">
        <v>2764</v>
      </c>
      <c r="I1338" s="54">
        <f>_xll.DBRW($A$1,$F$14,$F$15,$C1338,$A$2,$F1338,$G1338,$H1338,I$1)</f>
        <v>14</v>
      </c>
      <c r="J1338" s="25">
        <f>_xll.DBRW($A$1,$F$14,$F$15,$C1338,$A$2,$F1338,$G1338,$H1338,J$19)</f>
        <v>22</v>
      </c>
    </row>
    <row r="1339" spans="1:10" s="23" customFormat="1" outlineLevel="1" thickBot="1" x14ac:dyDescent="0.3">
      <c r="A1339" s="44"/>
      <c r="B1339" s="31" t="str">
        <f>IF(_xll.TM1RPTELISCONSOLIDATED($H$20,$H1339),IF(_xll.TM1RPTELLEV($H$20,$H1339)&lt;=5,_xll.TM1RPTELLEV($H$20,$H1339),"Default"),"Leaf")</f>
        <v>Leaf</v>
      </c>
      <c r="C1339" s="26" t="s">
        <v>15</v>
      </c>
      <c r="D1339" s="24" t="str">
        <f>_xll.DBRW("TM1-S1_DEV:}ElementAttributes_SP_SKU",$F1339,D$1)</f>
        <v>Primary</v>
      </c>
      <c r="E1339" s="24" t="str">
        <f>_xll.DBRW("TM1-S1_DEV:}ElementAttributes_SP_SKU",$F1339,E$1)</f>
        <v>CONTAINER</v>
      </c>
      <c r="F1339" s="26" t="s">
        <v>3242</v>
      </c>
      <c r="G1339" s="26" t="s">
        <v>1192</v>
      </c>
      <c r="H1339" s="26" t="s">
        <v>2708</v>
      </c>
      <c r="I1339" s="54">
        <f>_xll.DBRW($A$1,$F$14,$F$15,$C1339,$A$2,$F1339,$G1339,$H1339,I$1)</f>
        <v>435</v>
      </c>
      <c r="J1339" s="25">
        <f>_xll.DBRW($A$1,$F$14,$F$15,$C1339,$A$2,$F1339,$G1339,$H1339,J$19)</f>
        <v>557</v>
      </c>
    </row>
    <row r="1340" spans="1:10" s="23" customFormat="1" outlineLevel="1" thickBot="1" x14ac:dyDescent="0.3">
      <c r="A1340" s="44"/>
      <c r="B1340" s="31" t="str">
        <f>IF(_xll.TM1RPTELISCONSOLIDATED($H$20,$H1340),IF(_xll.TM1RPTELLEV($H$20,$H1340)&lt;=5,_xll.TM1RPTELLEV($H$20,$H1340),"Default"),"Leaf")</f>
        <v>Leaf</v>
      </c>
      <c r="C1340" s="26" t="s">
        <v>15</v>
      </c>
      <c r="D1340" s="24" t="str">
        <f>_xll.DBRW("TM1-S1_DEV:}ElementAttributes_SP_SKU",$F1340,D$1)</f>
        <v>Primary</v>
      </c>
      <c r="E1340" s="24" t="str">
        <f>_xll.DBRW("TM1-S1_DEV:}ElementAttributes_SP_SKU",$F1340,E$1)</f>
        <v>PAPER</v>
      </c>
      <c r="F1340" s="26" t="s">
        <v>3243</v>
      </c>
      <c r="G1340" s="26" t="s">
        <v>1273</v>
      </c>
      <c r="H1340" s="26" t="s">
        <v>2730</v>
      </c>
      <c r="I1340" s="54">
        <f>_xll.DBRW($A$1,$F$14,$F$15,$C1340,$A$2,$F1340,$G1340,$H1340,I$1)</f>
        <v>23</v>
      </c>
      <c r="J1340" s="25">
        <f>_xll.DBRW($A$1,$F$14,$F$15,$C1340,$A$2,$F1340,$G1340,$H1340,J$19)</f>
        <v>15</v>
      </c>
    </row>
    <row r="1341" spans="1:10" s="23" customFormat="1" outlineLevel="1" thickBot="1" x14ac:dyDescent="0.3">
      <c r="A1341" s="44"/>
      <c r="B1341" s="31" t="str">
        <f>IF(_xll.TM1RPTELISCONSOLIDATED($H$20,$H1341),IF(_xll.TM1RPTELLEV($H$20,$H1341)&lt;=5,_xll.TM1RPTELLEV($H$20,$H1341),"Default"),"Leaf")</f>
        <v>Leaf</v>
      </c>
      <c r="C1341" s="26" t="s">
        <v>15</v>
      </c>
      <c r="D1341" s="24" t="str">
        <f>_xll.DBRW("TM1-S1_DEV:}ElementAttributes_SP_SKU",$F1341,D$1)</f>
        <v>Primary</v>
      </c>
      <c r="E1341" s="24" t="str">
        <f>_xll.DBRW("TM1-S1_DEV:}ElementAttributes_SP_SKU",$F1341,E$1)</f>
        <v>PROTEIN</v>
      </c>
      <c r="F1341" s="26" t="s">
        <v>3244</v>
      </c>
      <c r="G1341" s="26" t="s">
        <v>1193</v>
      </c>
      <c r="H1341" s="26" t="s">
        <v>2670</v>
      </c>
      <c r="I1341" s="54">
        <f>_xll.DBRW($A$1,$F$14,$F$15,$C1341,$A$2,$F1341,$G1341,$H1341,I$1)</f>
        <v>36</v>
      </c>
      <c r="J1341" s="25">
        <f>_xll.DBRW($A$1,$F$14,$F$15,$C1341,$A$2,$F1341,$G1341,$H1341,J$19)</f>
        <v>29</v>
      </c>
    </row>
    <row r="1342" spans="1:10" s="23" customFormat="1" outlineLevel="1" thickBot="1" x14ac:dyDescent="0.3">
      <c r="A1342" s="44"/>
      <c r="B1342" s="31" t="str">
        <f>IF(_xll.TM1RPTELISCONSOLIDATED($H$20,$H1342),IF(_xll.TM1RPTELLEV($H$20,$H1342)&lt;=5,_xll.TM1RPTELLEV($H$20,$H1342),"Default"),"Leaf")</f>
        <v>Leaf</v>
      </c>
      <c r="C1342" s="26" t="s">
        <v>15</v>
      </c>
      <c r="D1342" s="24" t="str">
        <f>_xll.DBRW("TM1-S1_DEV:}ElementAttributes_SP_SKU",$F1342,D$1)</f>
        <v>Primary</v>
      </c>
      <c r="E1342" s="24" t="str">
        <f>_xll.DBRW("TM1-S1_DEV:}ElementAttributes_SP_SKU",$F1342,E$1)</f>
        <v>PAD</v>
      </c>
      <c r="F1342" s="26" t="s">
        <v>3245</v>
      </c>
      <c r="G1342" s="26" t="s">
        <v>1194</v>
      </c>
      <c r="H1342" s="26" t="s">
        <v>2731</v>
      </c>
      <c r="I1342" s="54">
        <f>_xll.DBRW($A$1,$F$14,$F$15,$C1342,$A$2,$F1342,$G1342,$H1342,I$1)</f>
        <v>68</v>
      </c>
      <c r="J1342" s="25">
        <f>_xll.DBRW($A$1,$F$14,$F$15,$C1342,$A$2,$F1342,$G1342,$H1342,J$19)</f>
        <v>49</v>
      </c>
    </row>
    <row r="1343" spans="1:10" s="23" customFormat="1" outlineLevel="1" thickBot="1" x14ac:dyDescent="0.3">
      <c r="A1343" s="44"/>
      <c r="B1343" s="31" t="str">
        <f>IF(_xll.TM1RPTELISCONSOLIDATED($H$20,$H1343),IF(_xll.TM1RPTELLEV($H$20,$H1343)&lt;=5,_xll.TM1RPTELLEV($H$20,$H1343),"Default"),"Leaf")</f>
        <v>Leaf</v>
      </c>
      <c r="C1343" s="26" t="s">
        <v>15</v>
      </c>
      <c r="D1343" s="24" t="str">
        <f>_xll.DBRW("TM1-S1_DEV:}ElementAttributes_SP_SKU",$F1343,D$1)</f>
        <v/>
      </c>
      <c r="E1343" s="24" t="str">
        <f>_xll.DBRW("TM1-S1_DEV:}ElementAttributes_SP_SKU",$F1343,E$1)</f>
        <v/>
      </c>
      <c r="F1343" s="26" t="s">
        <v>259</v>
      </c>
      <c r="G1343" s="26" t="s">
        <v>1195</v>
      </c>
      <c r="H1343" s="26" t="s">
        <v>2752</v>
      </c>
      <c r="I1343" s="54">
        <f>_xll.DBRW($A$1,$F$14,$F$15,$C1343,$A$2,$F1343,$G1343,$H1343,I$1)</f>
        <v>0</v>
      </c>
      <c r="J1343" s="25">
        <f>_xll.DBRW($A$1,$F$14,$F$15,$C1343,$A$2,$F1343,$G1343,$H1343,J$19)</f>
        <v>16</v>
      </c>
    </row>
    <row r="1344" spans="1:10" s="23" customFormat="1" outlineLevel="1" thickBot="1" x14ac:dyDescent="0.3">
      <c r="A1344" s="44"/>
      <c r="B1344" s="31" t="str">
        <f>IF(_xll.TM1RPTELISCONSOLIDATED($H$20,$H1344),IF(_xll.TM1RPTELLEV($H$20,$H1344)&lt;=5,_xll.TM1RPTELLEV($H$20,$H1344),"Default"),"Leaf")</f>
        <v>Leaf</v>
      </c>
      <c r="C1344" s="26" t="s">
        <v>15</v>
      </c>
      <c r="D1344" s="24" t="str">
        <f>_xll.DBRW("TM1-S1_DEV:}ElementAttributes_SP_SKU",$F1344,D$1)</f>
        <v>Unassigned PSP</v>
      </c>
      <c r="E1344" s="24" t="str">
        <f>_xll.DBRW("TM1-S1_DEV:}ElementAttributes_SP_SKU",$F1344,E$1)</f>
        <v>PAPER</v>
      </c>
      <c r="F1344" s="26" t="s">
        <v>300</v>
      </c>
      <c r="G1344" s="26" t="s">
        <v>1291</v>
      </c>
      <c r="H1344" s="26" t="s">
        <v>2763</v>
      </c>
      <c r="I1344" s="54">
        <f>_xll.DBRW($A$1,$F$14,$F$15,$C1344,$A$2,$F1344,$G1344,$H1344,I$1)</f>
        <v>87</v>
      </c>
      <c r="J1344" s="25">
        <f>_xll.DBRW($A$1,$F$14,$F$15,$C1344,$A$2,$F1344,$G1344,$H1344,J$19)</f>
        <v>135</v>
      </c>
    </row>
    <row r="1345" spans="1:10" s="23" customFormat="1" outlineLevel="1" thickBot="1" x14ac:dyDescent="0.3">
      <c r="A1345" s="44"/>
      <c r="B1345" s="31" t="str">
        <f>IF(_xll.TM1RPTELISCONSOLIDATED($H$20,$H1345),IF(_xll.TM1RPTELLEV($H$20,$H1345)&lt;=5,_xll.TM1RPTELLEV($H$20,$H1345),"Default"),"Leaf")</f>
        <v>Leaf</v>
      </c>
      <c r="C1345" s="26" t="s">
        <v>16</v>
      </c>
      <c r="D1345" s="24" t="str">
        <f>_xll.DBRW("TM1-S1_DEV:}ElementAttributes_SP_SKU",$F1345,D$1)</f>
        <v>Primary</v>
      </c>
      <c r="E1345" s="24" t="str">
        <f>_xll.DBRW("TM1-S1_DEV:}ElementAttributes_SP_SKU",$F1345,E$1)</f>
        <v>TURKEY</v>
      </c>
      <c r="F1345" s="26" t="s">
        <v>3110</v>
      </c>
      <c r="G1345" s="26" t="s">
        <v>1292</v>
      </c>
      <c r="H1345" s="26" t="s">
        <v>2671</v>
      </c>
      <c r="I1345" s="54">
        <f>_xll.DBRW($A$1,$F$14,$F$15,$C1345,$A$2,$F1345,$G1345,$H1345,I$1)</f>
        <v>359</v>
      </c>
      <c r="J1345" s="25">
        <f>_xll.DBRW($A$1,$F$14,$F$15,$C1345,$A$2,$F1345,$G1345,$H1345,J$19)</f>
        <v>359</v>
      </c>
    </row>
    <row r="1346" spans="1:10" s="23" customFormat="1" outlineLevel="1" thickBot="1" x14ac:dyDescent="0.3">
      <c r="A1346" s="44"/>
      <c r="B1346" s="31" t="str">
        <f>IF(_xll.TM1RPTELISCONSOLIDATED($H$20,$H1346),IF(_xll.TM1RPTELLEV($H$20,$H1346)&lt;=5,_xll.TM1RPTELLEV($H$20,$H1346),"Default"),"Leaf")</f>
        <v>Leaf</v>
      </c>
      <c r="C1346" s="26" t="s">
        <v>16</v>
      </c>
      <c r="D1346" s="24" t="str">
        <f>_xll.DBRW("TM1-S1_DEV:}ElementAttributes_SP_SKU",$F1346,D$1)</f>
        <v>Primary</v>
      </c>
      <c r="E1346" s="24" t="str">
        <f>_xll.DBRW("TM1-S1_DEV:}ElementAttributes_SP_SKU",$F1346,E$1)</f>
        <v>TURKEY</v>
      </c>
      <c r="F1346" s="26" t="s">
        <v>3111</v>
      </c>
      <c r="G1346" s="26" t="s">
        <v>1293</v>
      </c>
      <c r="H1346" s="26" t="s">
        <v>2671</v>
      </c>
      <c r="I1346" s="54">
        <f>_xll.DBRW($A$1,$F$14,$F$15,$C1346,$A$2,$F1346,$G1346,$H1346,I$1)</f>
        <v>322</v>
      </c>
      <c r="J1346" s="25">
        <f>_xll.DBRW($A$1,$F$14,$F$15,$C1346,$A$2,$F1346,$G1346,$H1346,J$19)</f>
        <v>322</v>
      </c>
    </row>
    <row r="1347" spans="1:10" s="23" customFormat="1" outlineLevel="1" thickBot="1" x14ac:dyDescent="0.3">
      <c r="A1347" s="44"/>
      <c r="B1347" s="31" t="str">
        <f>IF(_xll.TM1RPTELISCONSOLIDATED($H$20,$H1347),IF(_xll.TM1RPTELLEV($H$20,$H1347)&lt;=5,_xll.TM1RPTELLEV($H$20,$H1347),"Default"),"Leaf")</f>
        <v>Leaf</v>
      </c>
      <c r="C1347" s="26" t="s">
        <v>16</v>
      </c>
      <c r="D1347" s="24" t="str">
        <f>_xll.DBRW("TM1-S1_DEV:}ElementAttributes_SP_SKU",$F1347,D$1)</f>
        <v>Primary</v>
      </c>
      <c r="E1347" s="24" t="str">
        <f>_xll.DBRW("TM1-S1_DEV:}ElementAttributes_SP_SKU",$F1347,E$1)</f>
        <v>PROTEIN</v>
      </c>
      <c r="F1347" s="26" t="s">
        <v>3112</v>
      </c>
      <c r="G1347" s="26" t="s">
        <v>1294</v>
      </c>
      <c r="H1347" s="26" t="s">
        <v>2672</v>
      </c>
      <c r="I1347" s="54">
        <f>_xll.DBRW($A$1,$F$14,$F$15,$C1347,$A$2,$F1347,$G1347,$H1347,I$1)</f>
        <v>177</v>
      </c>
      <c r="J1347" s="25">
        <f>_xll.DBRW($A$1,$F$14,$F$15,$C1347,$A$2,$F1347,$G1347,$H1347,J$19)</f>
        <v>177</v>
      </c>
    </row>
    <row r="1348" spans="1:10" s="23" customFormat="1" outlineLevel="1" thickBot="1" x14ac:dyDescent="0.3">
      <c r="A1348" s="44"/>
      <c r="B1348" s="31" t="str">
        <f>IF(_xll.TM1RPTELISCONSOLIDATED($H$20,$H1348),IF(_xll.TM1RPTELLEV($H$20,$H1348)&lt;=5,_xll.TM1RPTELLEV($H$20,$H1348),"Default"),"Leaf")</f>
        <v>Leaf</v>
      </c>
      <c r="C1348" s="26" t="s">
        <v>16</v>
      </c>
      <c r="D1348" s="24" t="str">
        <f>_xll.DBRW("TM1-S1_DEV:}ElementAttributes_SP_SKU",$F1348,D$1)</f>
        <v>Primary</v>
      </c>
      <c r="E1348" s="24" t="str">
        <f>_xll.DBRW("TM1-S1_DEV:}ElementAttributes_SP_SKU",$F1348,E$1)</f>
        <v>PROTEIN</v>
      </c>
      <c r="F1348" s="26" t="s">
        <v>3114</v>
      </c>
      <c r="G1348" s="26" t="s">
        <v>1295</v>
      </c>
      <c r="H1348" s="26" t="s">
        <v>2672</v>
      </c>
      <c r="I1348" s="54">
        <f>_xll.DBRW($A$1,$F$14,$F$15,$C1348,$A$2,$F1348,$G1348,$H1348,I$1)</f>
        <v>98</v>
      </c>
      <c r="J1348" s="25">
        <f>_xll.DBRW($A$1,$F$14,$F$15,$C1348,$A$2,$F1348,$G1348,$H1348,J$19)</f>
        <v>98</v>
      </c>
    </row>
    <row r="1349" spans="1:10" s="23" customFormat="1" outlineLevel="1" thickBot="1" x14ac:dyDescent="0.3">
      <c r="A1349" s="44"/>
      <c r="B1349" s="31" t="str">
        <f>IF(_xll.TM1RPTELISCONSOLIDATED($H$20,$H1349),IF(_xll.TM1RPTELLEV($H$20,$H1349)&lt;=5,_xll.TM1RPTELLEV($H$20,$H1349),"Default"),"Leaf")</f>
        <v>Leaf</v>
      </c>
      <c r="C1349" s="26" t="s">
        <v>16</v>
      </c>
      <c r="D1349" s="24" t="str">
        <f>_xll.DBRW("TM1-S1_DEV:}ElementAttributes_SP_SKU",$F1349,D$1)</f>
        <v>Primary</v>
      </c>
      <c r="E1349" s="24" t="str">
        <f>_xll.DBRW("TM1-S1_DEV:}ElementAttributes_SP_SKU",$F1349,E$1)</f>
        <v>PROTEIN</v>
      </c>
      <c r="F1349" s="26" t="s">
        <v>3115</v>
      </c>
      <c r="G1349" s="26" t="s">
        <v>1296</v>
      </c>
      <c r="H1349" s="26" t="s">
        <v>2672</v>
      </c>
      <c r="I1349" s="54">
        <f>_xll.DBRW($A$1,$F$14,$F$15,$C1349,$A$2,$F1349,$G1349,$H1349,I$1)</f>
        <v>141</v>
      </c>
      <c r="J1349" s="25">
        <f>_xll.DBRW($A$1,$F$14,$F$15,$C1349,$A$2,$F1349,$G1349,$H1349,J$19)</f>
        <v>141</v>
      </c>
    </row>
    <row r="1350" spans="1:10" s="23" customFormat="1" outlineLevel="1" thickBot="1" x14ac:dyDescent="0.3">
      <c r="A1350" s="44"/>
      <c r="B1350" s="31" t="str">
        <f>IF(_xll.TM1RPTELISCONSOLIDATED($H$20,$H1350),IF(_xll.TM1RPTELLEV($H$20,$H1350)&lt;=5,_xll.TM1RPTELLEV($H$20,$H1350),"Default"),"Leaf")</f>
        <v>Leaf</v>
      </c>
      <c r="C1350" s="26" t="s">
        <v>16</v>
      </c>
      <c r="D1350" s="24" t="str">
        <f>_xll.DBRW("TM1-S1_DEV:}ElementAttributes_SP_SKU",$F1350,D$1)</f>
        <v>Primary</v>
      </c>
      <c r="E1350" s="24" t="str">
        <f>_xll.DBRW("TM1-S1_DEV:}ElementAttributes_SP_SKU",$F1350,E$1)</f>
        <v>SOUP</v>
      </c>
      <c r="F1350" s="26" t="s">
        <v>3116</v>
      </c>
      <c r="G1350" s="26" t="s">
        <v>1297</v>
      </c>
      <c r="H1350" s="26" t="s">
        <v>2674</v>
      </c>
      <c r="I1350" s="54">
        <f>_xll.DBRW($A$1,$F$14,$F$15,$C1350,$A$2,$F1350,$G1350,$H1350,I$1)</f>
        <v>109</v>
      </c>
      <c r="J1350" s="25">
        <f>_xll.DBRW($A$1,$F$14,$F$15,$C1350,$A$2,$F1350,$G1350,$H1350,J$19)</f>
        <v>109</v>
      </c>
    </row>
    <row r="1351" spans="1:10" s="23" customFormat="1" outlineLevel="1" thickBot="1" x14ac:dyDescent="0.3">
      <c r="A1351" s="44"/>
      <c r="B1351" s="31" t="str">
        <f>IF(_xll.TM1RPTELISCONSOLIDATED($H$20,$H1351),IF(_xll.TM1RPTELLEV($H$20,$H1351)&lt;=5,_xll.TM1RPTELLEV($H$20,$H1351),"Default"),"Leaf")</f>
        <v>Leaf</v>
      </c>
      <c r="C1351" s="26" t="s">
        <v>16</v>
      </c>
      <c r="D1351" s="24" t="str">
        <f>_xll.DBRW("TM1-S1_DEV:}ElementAttributes_SP_SKU",$F1351,D$1)</f>
        <v>Primary</v>
      </c>
      <c r="E1351" s="24" t="str">
        <f>_xll.DBRW("TM1-S1_DEV:}ElementAttributes_SP_SKU",$F1351,E$1)</f>
        <v>SOUP</v>
      </c>
      <c r="F1351" s="26" t="s">
        <v>3117</v>
      </c>
      <c r="G1351" s="26" t="s">
        <v>1298</v>
      </c>
      <c r="H1351" s="26" t="s">
        <v>2674</v>
      </c>
      <c r="I1351" s="54">
        <f>_xll.DBRW($A$1,$F$14,$F$15,$C1351,$A$2,$F1351,$G1351,$H1351,I$1)</f>
        <v>66</v>
      </c>
      <c r="J1351" s="25">
        <f>_xll.DBRW($A$1,$F$14,$F$15,$C1351,$A$2,$F1351,$G1351,$H1351,J$19)</f>
        <v>66</v>
      </c>
    </row>
    <row r="1352" spans="1:10" s="23" customFormat="1" outlineLevel="1" thickBot="1" x14ac:dyDescent="0.3">
      <c r="A1352" s="44"/>
      <c r="B1352" s="31" t="str">
        <f>IF(_xll.TM1RPTELISCONSOLIDATED($H$20,$H1352),IF(_xll.TM1RPTELLEV($H$20,$H1352)&lt;=5,_xll.TM1RPTELLEV($H$20,$H1352),"Default"),"Leaf")</f>
        <v>Leaf</v>
      </c>
      <c r="C1352" s="26" t="s">
        <v>16</v>
      </c>
      <c r="D1352" s="24" t="str">
        <f>_xll.DBRW("TM1-S1_DEV:}ElementAttributes_SP_SKU",$F1352,D$1)</f>
        <v>Primary</v>
      </c>
      <c r="E1352" s="24" t="str">
        <f>_xll.DBRW("TM1-S1_DEV:}ElementAttributes_SP_SKU",$F1352,E$1)</f>
        <v>SOUP</v>
      </c>
      <c r="F1352" s="26" t="s">
        <v>3118</v>
      </c>
      <c r="G1352" s="26" t="s">
        <v>1299</v>
      </c>
      <c r="H1352" s="26" t="s">
        <v>2674</v>
      </c>
      <c r="I1352" s="54">
        <f>_xll.DBRW($A$1,$F$14,$F$15,$C1352,$A$2,$F1352,$G1352,$H1352,I$1)</f>
        <v>88</v>
      </c>
      <c r="J1352" s="25">
        <f>_xll.DBRW($A$1,$F$14,$F$15,$C1352,$A$2,$F1352,$G1352,$H1352,J$19)</f>
        <v>88</v>
      </c>
    </row>
    <row r="1353" spans="1:10" s="23" customFormat="1" outlineLevel="1" thickBot="1" x14ac:dyDescent="0.3">
      <c r="A1353" s="44"/>
      <c r="B1353" s="31" t="str">
        <f>IF(_xll.TM1RPTELISCONSOLIDATED($H$20,$H1353),IF(_xll.TM1RPTELLEV($H$20,$H1353)&lt;=5,_xll.TM1RPTELLEV($H$20,$H1353),"Default"),"Leaf")</f>
        <v>Leaf</v>
      </c>
      <c r="C1353" s="26" t="s">
        <v>16</v>
      </c>
      <c r="D1353" s="24" t="str">
        <f>_xll.DBRW("TM1-S1_DEV:}ElementAttributes_SP_SKU",$F1353,D$1)</f>
        <v>Primary</v>
      </c>
      <c r="E1353" s="24" t="str">
        <f>_xll.DBRW("TM1-S1_DEV:}ElementAttributes_SP_SKU",$F1353,E$1)</f>
        <v>PROTEIN</v>
      </c>
      <c r="F1353" s="26" t="s">
        <v>3119</v>
      </c>
      <c r="G1353" s="26" t="s">
        <v>1300</v>
      </c>
      <c r="H1353" s="26" t="s">
        <v>2670</v>
      </c>
      <c r="I1353" s="54">
        <f>_xll.DBRW($A$1,$F$14,$F$15,$C1353,$A$2,$F1353,$G1353,$H1353,I$1)</f>
        <v>157</v>
      </c>
      <c r="J1353" s="25">
        <f>_xll.DBRW($A$1,$F$14,$F$15,$C1353,$A$2,$F1353,$G1353,$H1353,J$19)</f>
        <v>157</v>
      </c>
    </row>
    <row r="1354" spans="1:10" s="23" customFormat="1" outlineLevel="1" thickBot="1" x14ac:dyDescent="0.3">
      <c r="A1354" s="44"/>
      <c r="B1354" s="31" t="str">
        <f>IF(_xll.TM1RPTELISCONSOLIDATED($H$20,$H1354),IF(_xll.TM1RPTELLEV($H$20,$H1354)&lt;=5,_xll.TM1RPTELLEV($H$20,$H1354),"Default"),"Leaf")</f>
        <v>Leaf</v>
      </c>
      <c r="C1354" s="26" t="s">
        <v>16</v>
      </c>
      <c r="D1354" s="24" t="str">
        <f>_xll.DBRW("TM1-S1_DEV:}ElementAttributes_SP_SKU",$F1354,D$1)</f>
        <v>Primary</v>
      </c>
      <c r="E1354" s="24" t="str">
        <f>_xll.DBRW("TM1-S1_DEV:}ElementAttributes_SP_SKU",$F1354,E$1)</f>
        <v>PROTEIN</v>
      </c>
      <c r="F1354" s="26" t="s">
        <v>3120</v>
      </c>
      <c r="G1354" s="26" t="s">
        <v>1301</v>
      </c>
      <c r="H1354" s="26" t="s">
        <v>2670</v>
      </c>
      <c r="I1354" s="54">
        <f>_xll.DBRW($A$1,$F$14,$F$15,$C1354,$A$2,$F1354,$G1354,$H1354,I$1)</f>
        <v>115</v>
      </c>
      <c r="J1354" s="25">
        <f>_xll.DBRW($A$1,$F$14,$F$15,$C1354,$A$2,$F1354,$G1354,$H1354,J$19)</f>
        <v>115</v>
      </c>
    </row>
    <row r="1355" spans="1:10" s="23" customFormat="1" outlineLevel="1" thickBot="1" x14ac:dyDescent="0.3">
      <c r="A1355" s="44"/>
      <c r="B1355" s="31" t="str">
        <f>IF(_xll.TM1RPTELISCONSOLIDATED($H$20,$H1355),IF(_xll.TM1RPTELLEV($H$20,$H1355)&lt;=5,_xll.TM1RPTELLEV($H$20,$H1355),"Default"),"Leaf")</f>
        <v>Leaf</v>
      </c>
      <c r="C1355" s="26" t="s">
        <v>16</v>
      </c>
      <c r="D1355" s="24" t="str">
        <f>_xll.DBRW("TM1-S1_DEV:}ElementAttributes_SP_SKU",$F1355,D$1)</f>
        <v>Primary</v>
      </c>
      <c r="E1355" s="24" t="str">
        <f>_xll.DBRW("TM1-S1_DEV:}ElementAttributes_SP_SKU",$F1355,E$1)</f>
        <v>SIDES</v>
      </c>
      <c r="F1355" s="26" t="s">
        <v>3123</v>
      </c>
      <c r="G1355" s="26" t="s">
        <v>1302</v>
      </c>
      <c r="H1355" s="26" t="s">
        <v>2676</v>
      </c>
      <c r="I1355" s="54">
        <f>_xll.DBRW($A$1,$F$14,$F$15,$C1355,$A$2,$F1355,$G1355,$H1355,I$1)</f>
        <v>385</v>
      </c>
      <c r="J1355" s="25">
        <f>_xll.DBRW($A$1,$F$14,$F$15,$C1355,$A$2,$F1355,$G1355,$H1355,J$19)</f>
        <v>385</v>
      </c>
    </row>
    <row r="1356" spans="1:10" s="23" customFormat="1" outlineLevel="1" thickBot="1" x14ac:dyDescent="0.3">
      <c r="A1356" s="44"/>
      <c r="B1356" s="31" t="str">
        <f>IF(_xll.TM1RPTELISCONSOLIDATED($H$20,$H1356),IF(_xll.TM1RPTELLEV($H$20,$H1356)&lt;=5,_xll.TM1RPTELLEV($H$20,$H1356),"Default"),"Leaf")</f>
        <v>Leaf</v>
      </c>
      <c r="C1356" s="26" t="s">
        <v>16</v>
      </c>
      <c r="D1356" s="24" t="str">
        <f>_xll.DBRW("TM1-S1_DEV:}ElementAttributes_SP_SKU",$F1356,D$1)</f>
        <v>Primary</v>
      </c>
      <c r="E1356" s="24" t="str">
        <f>_xll.DBRW("TM1-S1_DEV:}ElementAttributes_SP_SKU",$F1356,E$1)</f>
        <v>SIDES</v>
      </c>
      <c r="F1356" s="26" t="s">
        <v>3124</v>
      </c>
      <c r="G1356" s="26" t="s">
        <v>1303</v>
      </c>
      <c r="H1356" s="26" t="s">
        <v>2676</v>
      </c>
      <c r="I1356" s="54">
        <f>_xll.DBRW($A$1,$F$14,$F$15,$C1356,$A$2,$F1356,$G1356,$H1356,I$1)</f>
        <v>387</v>
      </c>
      <c r="J1356" s="25">
        <f>_xll.DBRW($A$1,$F$14,$F$15,$C1356,$A$2,$F1356,$G1356,$H1356,J$19)</f>
        <v>387</v>
      </c>
    </row>
    <row r="1357" spans="1:10" s="23" customFormat="1" outlineLevel="1" thickBot="1" x14ac:dyDescent="0.3">
      <c r="A1357" s="44"/>
      <c r="B1357" s="31" t="str">
        <f>IF(_xll.TM1RPTELISCONSOLIDATED($H$20,$H1357),IF(_xll.TM1RPTELLEV($H$20,$H1357)&lt;=5,_xll.TM1RPTELLEV($H$20,$H1357),"Default"),"Leaf")</f>
        <v>Leaf</v>
      </c>
      <c r="C1357" s="26" t="s">
        <v>16</v>
      </c>
      <c r="D1357" s="24" t="str">
        <f>_xll.DBRW("TM1-S1_DEV:}ElementAttributes_SP_SKU",$F1357,D$1)</f>
        <v>Primary</v>
      </c>
      <c r="E1357" s="24" t="str">
        <f>_xll.DBRW("TM1-S1_DEV:}ElementAttributes_SP_SKU",$F1357,E$1)</f>
        <v>SIDES</v>
      </c>
      <c r="F1357" s="26" t="s">
        <v>3125</v>
      </c>
      <c r="G1357" s="26" t="s">
        <v>1304</v>
      </c>
      <c r="H1357" s="26" t="s">
        <v>2676</v>
      </c>
      <c r="I1357" s="54">
        <f>_xll.DBRW($A$1,$F$14,$F$15,$C1357,$A$2,$F1357,$G1357,$H1357,I$1)</f>
        <v>373</v>
      </c>
      <c r="J1357" s="25">
        <f>_xll.DBRW($A$1,$F$14,$F$15,$C1357,$A$2,$F1357,$G1357,$H1357,J$19)</f>
        <v>373</v>
      </c>
    </row>
    <row r="1358" spans="1:10" s="23" customFormat="1" outlineLevel="1" thickBot="1" x14ac:dyDescent="0.3">
      <c r="A1358" s="44"/>
      <c r="B1358" s="31" t="str">
        <f>IF(_xll.TM1RPTELISCONSOLIDATED($H$20,$H1358),IF(_xll.TM1RPTELLEV($H$20,$H1358)&lt;=5,_xll.TM1RPTELLEV($H$20,$H1358),"Default"),"Leaf")</f>
        <v>Leaf</v>
      </c>
      <c r="C1358" s="26" t="s">
        <v>16</v>
      </c>
      <c r="D1358" s="24" t="str">
        <f>_xll.DBRW("TM1-S1_DEV:}ElementAttributes_SP_SKU",$F1358,D$1)</f>
        <v>Primary</v>
      </c>
      <c r="E1358" s="24" t="str">
        <f>_xll.DBRW("TM1-S1_DEV:}ElementAttributes_SP_SKU",$F1358,E$1)</f>
        <v>SIDES</v>
      </c>
      <c r="F1358" s="26" t="s">
        <v>3126</v>
      </c>
      <c r="G1358" s="26" t="s">
        <v>1305</v>
      </c>
      <c r="H1358" s="26" t="s">
        <v>2676</v>
      </c>
      <c r="I1358" s="54">
        <f>_xll.DBRW($A$1,$F$14,$F$15,$C1358,$A$2,$F1358,$G1358,$H1358,I$1)</f>
        <v>366</v>
      </c>
      <c r="J1358" s="25">
        <f>_xll.DBRW($A$1,$F$14,$F$15,$C1358,$A$2,$F1358,$G1358,$H1358,J$19)</f>
        <v>366</v>
      </c>
    </row>
    <row r="1359" spans="1:10" s="23" customFormat="1" outlineLevel="1" thickBot="1" x14ac:dyDescent="0.3">
      <c r="A1359" s="44"/>
      <c r="B1359" s="31" t="str">
        <f>IF(_xll.TM1RPTELISCONSOLIDATED($H$20,$H1359),IF(_xll.TM1RPTELLEV($H$20,$H1359)&lt;=5,_xll.TM1RPTELLEV($H$20,$H1359),"Default"),"Leaf")</f>
        <v>Leaf</v>
      </c>
      <c r="C1359" s="26" t="s">
        <v>16</v>
      </c>
      <c r="D1359" s="24" t="str">
        <f>_xll.DBRW("TM1-S1_DEV:}ElementAttributes_SP_SKU",$F1359,D$1)</f>
        <v>Primary</v>
      </c>
      <c r="E1359" s="24" t="str">
        <f>_xll.DBRW("TM1-S1_DEV:}ElementAttributes_SP_SKU",$F1359,E$1)</f>
        <v>SIDES</v>
      </c>
      <c r="F1359" s="26" t="s">
        <v>3127</v>
      </c>
      <c r="G1359" s="26" t="s">
        <v>1306</v>
      </c>
      <c r="H1359" s="26" t="s">
        <v>2676</v>
      </c>
      <c r="I1359" s="54">
        <f>_xll.DBRW($A$1,$F$14,$F$15,$C1359,$A$2,$F1359,$G1359,$H1359,I$1)</f>
        <v>375</v>
      </c>
      <c r="J1359" s="25">
        <f>_xll.DBRW($A$1,$F$14,$F$15,$C1359,$A$2,$F1359,$G1359,$H1359,J$19)</f>
        <v>375</v>
      </c>
    </row>
    <row r="1360" spans="1:10" s="23" customFormat="1" outlineLevel="1" thickBot="1" x14ac:dyDescent="0.3">
      <c r="A1360" s="44"/>
      <c r="B1360" s="31" t="str">
        <f>IF(_xll.TM1RPTELISCONSOLIDATED($H$20,$H1360),IF(_xll.TM1RPTELLEV($H$20,$H1360)&lt;=5,_xll.TM1RPTELLEV($H$20,$H1360),"Default"),"Leaf")</f>
        <v>Leaf</v>
      </c>
      <c r="C1360" s="26" t="s">
        <v>16</v>
      </c>
      <c r="D1360" s="24" t="str">
        <f>_xll.DBRW("TM1-S1_DEV:}ElementAttributes_SP_SKU",$F1360,D$1)</f>
        <v>Primary</v>
      </c>
      <c r="E1360" s="24" t="str">
        <f>_xll.DBRW("TM1-S1_DEV:}ElementAttributes_SP_SKU",$F1360,E$1)</f>
        <v>SIDES</v>
      </c>
      <c r="F1360" s="26" t="s">
        <v>3128</v>
      </c>
      <c r="G1360" s="26" t="s">
        <v>1307</v>
      </c>
      <c r="H1360" s="26" t="s">
        <v>2676</v>
      </c>
      <c r="I1360" s="54">
        <f>_xll.DBRW($A$1,$F$14,$F$15,$C1360,$A$2,$F1360,$G1360,$H1360,I$1)</f>
        <v>354</v>
      </c>
      <c r="J1360" s="25">
        <f>_xll.DBRW($A$1,$F$14,$F$15,$C1360,$A$2,$F1360,$G1360,$H1360,J$19)</f>
        <v>354</v>
      </c>
    </row>
    <row r="1361" spans="1:10" s="23" customFormat="1" outlineLevel="1" thickBot="1" x14ac:dyDescent="0.3">
      <c r="A1361" s="44"/>
      <c r="B1361" s="31" t="str">
        <f>IF(_xll.TM1RPTELISCONSOLIDATED($H$20,$H1361),IF(_xll.TM1RPTELLEV($H$20,$H1361)&lt;=5,_xll.TM1RPTELLEV($H$20,$H1361),"Default"),"Leaf")</f>
        <v>Leaf</v>
      </c>
      <c r="C1361" s="26" t="s">
        <v>16</v>
      </c>
      <c r="D1361" s="24" t="str">
        <f>_xll.DBRW("TM1-S1_DEV:}ElementAttributes_SP_SKU",$F1361,D$1)</f>
        <v>Primary</v>
      </c>
      <c r="E1361" s="24" t="str">
        <f>_xll.DBRW("TM1-S1_DEV:}ElementAttributes_SP_SKU",$F1361,E$1)</f>
        <v>SIDES</v>
      </c>
      <c r="F1361" s="26" t="s">
        <v>3129</v>
      </c>
      <c r="G1361" s="26" t="s">
        <v>1308</v>
      </c>
      <c r="H1361" s="26" t="s">
        <v>2676</v>
      </c>
      <c r="I1361" s="54">
        <f>_xll.DBRW($A$1,$F$14,$F$15,$C1361,$A$2,$F1361,$G1361,$H1361,I$1)</f>
        <v>378</v>
      </c>
      <c r="J1361" s="25">
        <f>_xll.DBRW($A$1,$F$14,$F$15,$C1361,$A$2,$F1361,$G1361,$H1361,J$19)</f>
        <v>378</v>
      </c>
    </row>
    <row r="1362" spans="1:10" s="23" customFormat="1" outlineLevel="1" thickBot="1" x14ac:dyDescent="0.3">
      <c r="A1362" s="44"/>
      <c r="B1362" s="31" t="str">
        <f>IF(_xll.TM1RPTELISCONSOLIDATED($H$20,$H1362),IF(_xll.TM1RPTELLEV($H$20,$H1362)&lt;=5,_xll.TM1RPTELLEV($H$20,$H1362),"Default"),"Leaf")</f>
        <v>Leaf</v>
      </c>
      <c r="C1362" s="26" t="s">
        <v>16</v>
      </c>
      <c r="D1362" s="24" t="str">
        <f>_xll.DBRW("TM1-S1_DEV:}ElementAttributes_SP_SKU",$F1362,D$1)</f>
        <v>Primary</v>
      </c>
      <c r="E1362" s="24" t="str">
        <f>_xll.DBRW("TM1-S1_DEV:}ElementAttributes_SP_SKU",$F1362,E$1)</f>
        <v>SIDES</v>
      </c>
      <c r="F1362" s="26" t="s">
        <v>3130</v>
      </c>
      <c r="G1362" s="26" t="s">
        <v>1309</v>
      </c>
      <c r="H1362" s="26" t="s">
        <v>2676</v>
      </c>
      <c r="I1362" s="54">
        <f>_xll.DBRW($A$1,$F$14,$F$15,$C1362,$A$2,$F1362,$G1362,$H1362,I$1)</f>
        <v>222</v>
      </c>
      <c r="J1362" s="25">
        <f>_xll.DBRW($A$1,$F$14,$F$15,$C1362,$A$2,$F1362,$G1362,$H1362,J$19)</f>
        <v>222</v>
      </c>
    </row>
    <row r="1363" spans="1:10" s="23" customFormat="1" outlineLevel="1" thickBot="1" x14ac:dyDescent="0.3">
      <c r="A1363" s="44"/>
      <c r="B1363" s="31" t="str">
        <f>IF(_xll.TM1RPTELISCONSOLIDATED($H$20,$H1363),IF(_xll.TM1RPTELLEV($H$20,$H1363)&lt;=5,_xll.TM1RPTELLEV($H$20,$H1363),"Default"),"Leaf")</f>
        <v>Leaf</v>
      </c>
      <c r="C1363" s="26" t="s">
        <v>16</v>
      </c>
      <c r="D1363" s="24" t="str">
        <f>_xll.DBRW("TM1-S1_DEV:}ElementAttributes_SP_SKU",$F1363,D$1)</f>
        <v>Primary</v>
      </c>
      <c r="E1363" s="24" t="str">
        <f>_xll.DBRW("TM1-S1_DEV:}ElementAttributes_SP_SKU",$F1363,E$1)</f>
        <v>SIDES</v>
      </c>
      <c r="F1363" s="26" t="s">
        <v>3131</v>
      </c>
      <c r="G1363" s="26" t="s">
        <v>1310</v>
      </c>
      <c r="H1363" s="26" t="s">
        <v>2676</v>
      </c>
      <c r="I1363" s="54">
        <f>_xll.DBRW($A$1,$F$14,$F$15,$C1363,$A$2,$F1363,$G1363,$H1363,I$1)</f>
        <v>422</v>
      </c>
      <c r="J1363" s="25">
        <f>_xll.DBRW($A$1,$F$14,$F$15,$C1363,$A$2,$F1363,$G1363,$H1363,J$19)</f>
        <v>422</v>
      </c>
    </row>
    <row r="1364" spans="1:10" s="23" customFormat="1" outlineLevel="1" thickBot="1" x14ac:dyDescent="0.3">
      <c r="A1364" s="44"/>
      <c r="B1364" s="31" t="str">
        <f>IF(_xll.TM1RPTELISCONSOLIDATED($H$20,$H1364),IF(_xll.TM1RPTELLEV($H$20,$H1364)&lt;=5,_xll.TM1RPTELLEV($H$20,$H1364),"Default"),"Leaf")</f>
        <v>Leaf</v>
      </c>
      <c r="C1364" s="26" t="s">
        <v>16</v>
      </c>
      <c r="D1364" s="24" t="str">
        <f>_xll.DBRW("TM1-S1_DEV:}ElementAttributes_SP_SKU",$F1364,D$1)</f>
        <v>Primary</v>
      </c>
      <c r="E1364" s="24" t="str">
        <f>_xll.DBRW("TM1-S1_DEV:}ElementAttributes_SP_SKU",$F1364,E$1)</f>
        <v>SIDES</v>
      </c>
      <c r="F1364" s="26" t="s">
        <v>3132</v>
      </c>
      <c r="G1364" s="26" t="s">
        <v>1311</v>
      </c>
      <c r="H1364" s="26" t="s">
        <v>2676</v>
      </c>
      <c r="I1364" s="54">
        <f>_xll.DBRW($A$1,$F$14,$F$15,$C1364,$A$2,$F1364,$G1364,$H1364,I$1)</f>
        <v>1119</v>
      </c>
      <c r="J1364" s="25">
        <f>_xll.DBRW($A$1,$F$14,$F$15,$C1364,$A$2,$F1364,$G1364,$H1364,J$19)</f>
        <v>1119</v>
      </c>
    </row>
    <row r="1365" spans="1:10" s="23" customFormat="1" outlineLevel="1" thickBot="1" x14ac:dyDescent="0.3">
      <c r="A1365" s="44"/>
      <c r="B1365" s="31" t="str">
        <f>IF(_xll.TM1RPTELISCONSOLIDATED($H$20,$H1365),IF(_xll.TM1RPTELLEV($H$20,$H1365)&lt;=5,_xll.TM1RPTELLEV($H$20,$H1365),"Default"),"Leaf")</f>
        <v>Leaf</v>
      </c>
      <c r="C1365" s="26" t="s">
        <v>16</v>
      </c>
      <c r="D1365" s="24" t="str">
        <f>_xll.DBRW("TM1-S1_DEV:}ElementAttributes_SP_SKU",$F1365,D$1)</f>
        <v>Primary</v>
      </c>
      <c r="E1365" s="24" t="str">
        <f>_xll.DBRW("TM1-S1_DEV:}ElementAttributes_SP_SKU",$F1365,E$1)</f>
        <v>PIE</v>
      </c>
      <c r="F1365" s="26" t="s">
        <v>3133</v>
      </c>
      <c r="G1365" s="26" t="s">
        <v>1312</v>
      </c>
      <c r="H1365" s="26" t="s">
        <v>2678</v>
      </c>
      <c r="I1365" s="54">
        <f>_xll.DBRW($A$1,$F$14,$F$15,$C1365,$A$2,$F1365,$G1365,$H1365,I$1)</f>
        <v>117</v>
      </c>
      <c r="J1365" s="25">
        <f>_xll.DBRW($A$1,$F$14,$F$15,$C1365,$A$2,$F1365,$G1365,$H1365,J$19)</f>
        <v>117</v>
      </c>
    </row>
    <row r="1366" spans="1:10" s="23" customFormat="1" outlineLevel="1" thickBot="1" x14ac:dyDescent="0.3">
      <c r="A1366" s="44"/>
      <c r="B1366" s="31" t="str">
        <f>IF(_xll.TM1RPTELISCONSOLIDATED($H$20,$H1366),IF(_xll.TM1RPTELLEV($H$20,$H1366)&lt;=5,_xll.TM1RPTELLEV($H$20,$H1366),"Default"),"Leaf")</f>
        <v>Leaf</v>
      </c>
      <c r="C1366" s="26" t="s">
        <v>16</v>
      </c>
      <c r="D1366" s="24" t="str">
        <f>_xll.DBRW("TM1-S1_DEV:}ElementAttributes_SP_SKU",$F1366,D$1)</f>
        <v>Primary</v>
      </c>
      <c r="E1366" s="24" t="str">
        <f>_xll.DBRW("TM1-S1_DEV:}ElementAttributes_SP_SKU",$F1366,E$1)</f>
        <v>PIE</v>
      </c>
      <c r="F1366" s="26" t="s">
        <v>3134</v>
      </c>
      <c r="G1366" s="26" t="s">
        <v>1313</v>
      </c>
      <c r="H1366" s="26" t="s">
        <v>2678</v>
      </c>
      <c r="I1366" s="54">
        <f>_xll.DBRW($A$1,$F$14,$F$15,$C1366,$A$2,$F1366,$G1366,$H1366,I$1)</f>
        <v>104</v>
      </c>
      <c r="J1366" s="25">
        <f>_xll.DBRW($A$1,$F$14,$F$15,$C1366,$A$2,$F1366,$G1366,$H1366,J$19)</f>
        <v>104</v>
      </c>
    </row>
    <row r="1367" spans="1:10" s="23" customFormat="1" outlineLevel="1" thickBot="1" x14ac:dyDescent="0.3">
      <c r="A1367" s="44"/>
      <c r="B1367" s="31" t="str">
        <f>IF(_xll.TM1RPTELISCONSOLIDATED($H$20,$H1367),IF(_xll.TM1RPTELLEV($H$20,$H1367)&lt;=5,_xll.TM1RPTELLEV($H$20,$H1367),"Default"),"Leaf")</f>
        <v>Leaf</v>
      </c>
      <c r="C1367" s="26" t="s">
        <v>16</v>
      </c>
      <c r="D1367" s="24" t="str">
        <f>_xll.DBRW("TM1-S1_DEV:}ElementAttributes_SP_SKU",$F1367,D$1)</f>
        <v>Primary</v>
      </c>
      <c r="E1367" s="24" t="str">
        <f>_xll.DBRW("TM1-S1_DEV:}ElementAttributes_SP_SKU",$F1367,E$1)</f>
        <v>CAKE</v>
      </c>
      <c r="F1367" s="26" t="s">
        <v>3135</v>
      </c>
      <c r="G1367" s="26" t="s">
        <v>1314</v>
      </c>
      <c r="H1367" s="26" t="s">
        <v>2679</v>
      </c>
      <c r="I1367" s="54">
        <f>_xll.DBRW($A$1,$F$14,$F$15,$C1367,$A$2,$F1367,$G1367,$H1367,I$1)</f>
        <v>168</v>
      </c>
      <c r="J1367" s="25">
        <f>_xll.DBRW($A$1,$F$14,$F$15,$C1367,$A$2,$F1367,$G1367,$H1367,J$19)</f>
        <v>168</v>
      </c>
    </row>
    <row r="1368" spans="1:10" s="23" customFormat="1" outlineLevel="1" thickBot="1" x14ac:dyDescent="0.3">
      <c r="A1368" s="44"/>
      <c r="B1368" s="31" t="str">
        <f>IF(_xll.TM1RPTELISCONSOLIDATED($H$20,$H1368),IF(_xll.TM1RPTELLEV($H$20,$H1368)&lt;=5,_xll.TM1RPTELLEV($H$20,$H1368),"Default"),"Leaf")</f>
        <v>Leaf</v>
      </c>
      <c r="C1368" s="26" t="s">
        <v>16</v>
      </c>
      <c r="D1368" s="24" t="str">
        <f>_xll.DBRW("TM1-S1_DEV:}ElementAttributes_SP_SKU",$F1368,D$1)</f>
        <v>Primary</v>
      </c>
      <c r="E1368" s="24" t="str">
        <f>_xll.DBRW("TM1-S1_DEV:}ElementAttributes_SP_SKU",$F1368,E$1)</f>
        <v>CAKE</v>
      </c>
      <c r="F1368" s="26" t="s">
        <v>3136</v>
      </c>
      <c r="G1368" s="26" t="s">
        <v>1315</v>
      </c>
      <c r="H1368" s="26" t="s">
        <v>2679</v>
      </c>
      <c r="I1368" s="54">
        <f>_xll.DBRW($A$1,$F$14,$F$15,$C1368,$A$2,$F1368,$G1368,$H1368,I$1)</f>
        <v>169</v>
      </c>
      <c r="J1368" s="25">
        <f>_xll.DBRW($A$1,$F$14,$F$15,$C1368,$A$2,$F1368,$G1368,$H1368,J$19)</f>
        <v>169</v>
      </c>
    </row>
    <row r="1369" spans="1:10" s="23" customFormat="1" outlineLevel="1" thickBot="1" x14ac:dyDescent="0.3">
      <c r="A1369" s="44"/>
      <c r="B1369" s="31" t="str">
        <f>IF(_xll.TM1RPTELISCONSOLIDATED($H$20,$H1369),IF(_xll.TM1RPTELLEV($H$20,$H1369)&lt;=5,_xll.TM1RPTELLEV($H$20,$H1369),"Default"),"Leaf")</f>
        <v>Leaf</v>
      </c>
      <c r="C1369" s="26" t="s">
        <v>16</v>
      </c>
      <c r="D1369" s="24" t="str">
        <f>_xll.DBRW("TM1-S1_DEV:}ElementAttributes_SP_SKU",$F1369,D$1)</f>
        <v>Primary</v>
      </c>
      <c r="E1369" s="24" t="str">
        <f>_xll.DBRW("TM1-S1_DEV:}ElementAttributes_SP_SKU",$F1369,E$1)</f>
        <v>DESSERT</v>
      </c>
      <c r="F1369" s="26" t="s">
        <v>3139</v>
      </c>
      <c r="G1369" s="26" t="s">
        <v>1317</v>
      </c>
      <c r="H1369" s="26" t="s">
        <v>2681</v>
      </c>
      <c r="I1369" s="54">
        <f>_xll.DBRW($A$1,$F$14,$F$15,$C1369,$A$2,$F1369,$G1369,$H1369,I$1)</f>
        <v>105</v>
      </c>
      <c r="J1369" s="25">
        <f>_xll.DBRW($A$1,$F$14,$F$15,$C1369,$A$2,$F1369,$G1369,$H1369,J$19)</f>
        <v>105</v>
      </c>
    </row>
    <row r="1370" spans="1:10" s="23" customFormat="1" outlineLevel="1" thickBot="1" x14ac:dyDescent="0.3">
      <c r="A1370" s="44"/>
      <c r="B1370" s="31" t="str">
        <f>IF(_xll.TM1RPTELISCONSOLIDATED($H$20,$H1370),IF(_xll.TM1RPTELLEV($H$20,$H1370)&lt;=5,_xll.TM1RPTELLEV($H$20,$H1370),"Default"),"Leaf")</f>
        <v>Leaf</v>
      </c>
      <c r="C1370" s="26" t="s">
        <v>16</v>
      </c>
      <c r="D1370" s="24" t="str">
        <f>_xll.DBRW("TM1-S1_DEV:}ElementAttributes_SP_SKU",$F1370,D$1)</f>
        <v>Primary</v>
      </c>
      <c r="E1370" s="24" t="str">
        <f>_xll.DBRW("TM1-S1_DEV:}ElementAttributes_SP_SKU",$F1370,E$1)</f>
        <v>DESSERT</v>
      </c>
      <c r="F1370" s="26" t="s">
        <v>3140</v>
      </c>
      <c r="G1370" s="26" t="s">
        <v>1318</v>
      </c>
      <c r="H1370" s="26" t="s">
        <v>2681</v>
      </c>
      <c r="I1370" s="54">
        <f>_xll.DBRW($A$1,$F$14,$F$15,$C1370,$A$2,$F1370,$G1370,$H1370,I$1)</f>
        <v>169</v>
      </c>
      <c r="J1370" s="25">
        <f>_xll.DBRW($A$1,$F$14,$F$15,$C1370,$A$2,$F1370,$G1370,$H1370,J$19)</f>
        <v>169</v>
      </c>
    </row>
    <row r="1371" spans="1:10" s="23" customFormat="1" outlineLevel="1" thickBot="1" x14ac:dyDescent="0.3">
      <c r="A1371" s="44"/>
      <c r="B1371" s="31" t="str">
        <f>IF(_xll.TM1RPTELISCONSOLIDATED($H$20,$H1371),IF(_xll.TM1RPTELLEV($H$20,$H1371)&lt;=5,_xll.TM1RPTELLEV($H$20,$H1371),"Default"),"Leaf")</f>
        <v>Leaf</v>
      </c>
      <c r="C1371" s="26" t="s">
        <v>16</v>
      </c>
      <c r="D1371" s="24" t="str">
        <f>_xll.DBRW("TM1-S1_DEV:}ElementAttributes_SP_SKU",$F1371,D$1)</f>
        <v>Primary</v>
      </c>
      <c r="E1371" s="24" t="str">
        <f>_xll.DBRW("TM1-S1_DEV:}ElementAttributes_SP_SKU",$F1371,E$1)</f>
        <v>CAKE</v>
      </c>
      <c r="F1371" s="26" t="s">
        <v>3142</v>
      </c>
      <c r="G1371" s="26" t="s">
        <v>1319</v>
      </c>
      <c r="H1371" s="26" t="s">
        <v>2682</v>
      </c>
      <c r="I1371" s="54">
        <f>_xll.DBRW($A$1,$F$14,$F$15,$C1371,$A$2,$F1371,$G1371,$H1371,I$1)</f>
        <v>125</v>
      </c>
      <c r="J1371" s="25">
        <f>_xll.DBRW($A$1,$F$14,$F$15,$C1371,$A$2,$F1371,$G1371,$H1371,J$19)</f>
        <v>125</v>
      </c>
    </row>
    <row r="1372" spans="1:10" s="23" customFormat="1" outlineLevel="1" thickBot="1" x14ac:dyDescent="0.3">
      <c r="A1372" s="44"/>
      <c r="B1372" s="31" t="str">
        <f>IF(_xll.TM1RPTELISCONSOLIDATED($H$20,$H1372),IF(_xll.TM1RPTELLEV($H$20,$H1372)&lt;=5,_xll.TM1RPTELLEV($H$20,$H1372),"Default"),"Leaf")</f>
        <v>Leaf</v>
      </c>
      <c r="C1372" s="26" t="s">
        <v>16</v>
      </c>
      <c r="D1372" s="24" t="str">
        <f>_xll.DBRW("TM1-S1_DEV:}ElementAttributes_SP_SKU",$F1372,D$1)</f>
        <v>Primary</v>
      </c>
      <c r="E1372" s="24" t="str">
        <f>_xll.DBRW("TM1-S1_DEV:}ElementAttributes_SP_SKU",$F1372,E$1)</f>
        <v>CAKE</v>
      </c>
      <c r="F1372" s="26" t="s">
        <v>3143</v>
      </c>
      <c r="G1372" s="26" t="s">
        <v>1320</v>
      </c>
      <c r="H1372" s="26" t="s">
        <v>2682</v>
      </c>
      <c r="I1372" s="54">
        <f>_xll.DBRW($A$1,$F$14,$F$15,$C1372,$A$2,$F1372,$G1372,$H1372,I$1)</f>
        <v>150</v>
      </c>
      <c r="J1372" s="25">
        <f>_xll.DBRW($A$1,$F$14,$F$15,$C1372,$A$2,$F1372,$G1372,$H1372,J$19)</f>
        <v>150</v>
      </c>
    </row>
    <row r="1373" spans="1:10" s="23" customFormat="1" outlineLevel="1" thickBot="1" x14ac:dyDescent="0.3">
      <c r="A1373" s="44"/>
      <c r="B1373" s="31" t="str">
        <f>IF(_xll.TM1RPTELISCONSOLIDATED($H$20,$H1373),IF(_xll.TM1RPTELLEV($H$20,$H1373)&lt;=5,_xll.TM1RPTELLEV($H$20,$H1373),"Default"),"Leaf")</f>
        <v>Leaf</v>
      </c>
      <c r="C1373" s="26" t="s">
        <v>16</v>
      </c>
      <c r="D1373" s="24" t="str">
        <f>_xll.DBRW("TM1-S1_DEV:}ElementAttributes_SP_SKU",$F1373,D$1)</f>
        <v>Primary</v>
      </c>
      <c r="E1373" s="24" t="str">
        <f>_xll.DBRW("TM1-S1_DEV:}ElementAttributes_SP_SKU",$F1373,E$1)</f>
        <v>CONDIMENT</v>
      </c>
      <c r="F1373" s="26" t="s">
        <v>3147</v>
      </c>
      <c r="G1373" s="26" t="s">
        <v>1321</v>
      </c>
      <c r="H1373" s="26" t="s">
        <v>2683</v>
      </c>
      <c r="I1373" s="54">
        <f>_xll.DBRW($A$1,$F$14,$F$15,$C1373,$A$2,$F1373,$G1373,$H1373,I$1)</f>
        <v>257</v>
      </c>
      <c r="J1373" s="25">
        <f>_xll.DBRW($A$1,$F$14,$F$15,$C1373,$A$2,$F1373,$G1373,$H1373,J$19)</f>
        <v>257</v>
      </c>
    </row>
    <row r="1374" spans="1:10" s="23" customFormat="1" outlineLevel="1" thickBot="1" x14ac:dyDescent="0.3">
      <c r="A1374" s="44"/>
      <c r="B1374" s="31" t="str">
        <f>IF(_xll.TM1RPTELISCONSOLIDATED($H$20,$H1374),IF(_xll.TM1RPTELLEV($H$20,$H1374)&lt;=5,_xll.TM1RPTELLEV($H$20,$H1374),"Default"),"Leaf")</f>
        <v>Leaf</v>
      </c>
      <c r="C1374" s="26" t="s">
        <v>16</v>
      </c>
      <c r="D1374" s="24" t="str">
        <f>_xll.DBRW("TM1-S1_DEV:}ElementAttributes_SP_SKU",$F1374,D$1)</f>
        <v>Primary</v>
      </c>
      <c r="E1374" s="24" t="str">
        <f>_xll.DBRW("TM1-S1_DEV:}ElementAttributes_SP_SKU",$F1374,E$1)</f>
        <v>CONDIMENT</v>
      </c>
      <c r="F1374" s="26" t="s">
        <v>3148</v>
      </c>
      <c r="G1374" s="26" t="s">
        <v>1322</v>
      </c>
      <c r="H1374" s="26" t="s">
        <v>2684</v>
      </c>
      <c r="I1374" s="54">
        <f>_xll.DBRW($A$1,$F$14,$F$15,$C1374,$A$2,$F1374,$G1374,$H1374,I$1)</f>
        <v>120</v>
      </c>
      <c r="J1374" s="25">
        <f>_xll.DBRW($A$1,$F$14,$F$15,$C1374,$A$2,$F1374,$G1374,$H1374,J$19)</f>
        <v>120</v>
      </c>
    </row>
    <row r="1375" spans="1:10" s="23" customFormat="1" outlineLevel="1" thickBot="1" x14ac:dyDescent="0.3">
      <c r="A1375" s="44"/>
      <c r="B1375" s="31" t="str">
        <f>IF(_xll.TM1RPTELISCONSOLIDATED($H$20,$H1375),IF(_xll.TM1RPTELLEV($H$20,$H1375)&lt;=5,_xll.TM1RPTELLEV($H$20,$H1375),"Default"),"Leaf")</f>
        <v>Leaf</v>
      </c>
      <c r="C1375" s="26" t="s">
        <v>16</v>
      </c>
      <c r="D1375" s="24" t="str">
        <f>_xll.DBRW("TM1-S1_DEV:}ElementAttributes_SP_SKU",$F1375,D$1)</f>
        <v>Primary</v>
      </c>
      <c r="E1375" s="24" t="str">
        <f>_xll.DBRW("TM1-S1_DEV:}ElementAttributes_SP_SKU",$F1375,E$1)</f>
        <v>CONDIMENT</v>
      </c>
      <c r="F1375" s="26" t="s">
        <v>3149</v>
      </c>
      <c r="G1375" s="26" t="s">
        <v>1323</v>
      </c>
      <c r="H1375" s="26" t="s">
        <v>2684</v>
      </c>
      <c r="I1375" s="54">
        <f>_xll.DBRW($A$1,$F$14,$F$15,$C1375,$A$2,$F1375,$G1375,$H1375,I$1)</f>
        <v>192</v>
      </c>
      <c r="J1375" s="25">
        <f>_xll.DBRW($A$1,$F$14,$F$15,$C1375,$A$2,$F1375,$G1375,$H1375,J$19)</f>
        <v>192</v>
      </c>
    </row>
    <row r="1376" spans="1:10" s="23" customFormat="1" outlineLevel="1" thickBot="1" x14ac:dyDescent="0.3">
      <c r="A1376" s="44"/>
      <c r="B1376" s="31" t="str">
        <f>IF(_xll.TM1RPTELISCONSOLIDATED($H$20,$H1376),IF(_xll.TM1RPTELLEV($H$20,$H1376)&lt;=5,_xll.TM1RPTELLEV($H$20,$H1376),"Default"),"Leaf")</f>
        <v>Leaf</v>
      </c>
      <c r="C1376" s="26" t="s">
        <v>16</v>
      </c>
      <c r="D1376" s="24" t="str">
        <f>_xll.DBRW("TM1-S1_DEV:}ElementAttributes_SP_SKU",$F1376,D$1)</f>
        <v>Primary</v>
      </c>
      <c r="E1376" s="24" t="str">
        <f>_xll.DBRW("TM1-S1_DEV:}ElementAttributes_SP_SKU",$F1376,E$1)</f>
        <v>CONDIMENT</v>
      </c>
      <c r="F1376" s="26" t="s">
        <v>3150</v>
      </c>
      <c r="G1376" s="26" t="s">
        <v>1324</v>
      </c>
      <c r="H1376" s="26" t="s">
        <v>2684</v>
      </c>
      <c r="I1376" s="54">
        <f>_xll.DBRW($A$1,$F$14,$F$15,$C1376,$A$2,$F1376,$G1376,$H1376,I$1)</f>
        <v>211</v>
      </c>
      <c r="J1376" s="25">
        <f>_xll.DBRW($A$1,$F$14,$F$15,$C1376,$A$2,$F1376,$G1376,$H1376,J$19)</f>
        <v>211</v>
      </c>
    </row>
    <row r="1377" spans="1:10" s="23" customFormat="1" outlineLevel="1" thickBot="1" x14ac:dyDescent="0.3">
      <c r="A1377" s="44"/>
      <c r="B1377" s="31" t="str">
        <f>IF(_xll.TM1RPTELISCONSOLIDATED($H$20,$H1377),IF(_xll.TM1RPTELLEV($H$20,$H1377)&lt;=5,_xll.TM1RPTELLEV($H$20,$H1377),"Default"),"Leaf")</f>
        <v>Leaf</v>
      </c>
      <c r="C1377" s="26" t="s">
        <v>16</v>
      </c>
      <c r="D1377" s="24" t="str">
        <f>_xll.DBRW("TM1-S1_DEV:}ElementAttributes_SP_SKU",$F1377,D$1)</f>
        <v>Primary</v>
      </c>
      <c r="E1377" s="24" t="str">
        <f>_xll.DBRW("TM1-S1_DEV:}ElementAttributes_SP_SKU",$F1377,E$1)</f>
        <v>CONDIMENT</v>
      </c>
      <c r="F1377" s="26" t="s">
        <v>3151</v>
      </c>
      <c r="G1377" s="26" t="s">
        <v>1325</v>
      </c>
      <c r="H1377" s="26" t="s">
        <v>2684</v>
      </c>
      <c r="I1377" s="54">
        <f>_xll.DBRW($A$1,$F$14,$F$15,$C1377,$A$2,$F1377,$G1377,$H1377,I$1)</f>
        <v>258</v>
      </c>
      <c r="J1377" s="25">
        <f>_xll.DBRW($A$1,$F$14,$F$15,$C1377,$A$2,$F1377,$G1377,$H1377,J$19)</f>
        <v>258</v>
      </c>
    </row>
    <row r="1378" spans="1:10" s="23" customFormat="1" outlineLevel="1" thickBot="1" x14ac:dyDescent="0.3">
      <c r="A1378" s="44"/>
      <c r="B1378" s="31" t="str">
        <f>IF(_xll.TM1RPTELISCONSOLIDATED($H$20,$H1378),IF(_xll.TM1RPTELLEV($H$20,$H1378)&lt;=5,_xll.TM1RPTELLEV($H$20,$H1378),"Default"),"Leaf")</f>
        <v>Leaf</v>
      </c>
      <c r="C1378" s="26" t="s">
        <v>16</v>
      </c>
      <c r="D1378" s="24" t="str">
        <f>_xll.DBRW("TM1-S1_DEV:}ElementAttributes_SP_SKU",$F1378,D$1)</f>
        <v>Primary</v>
      </c>
      <c r="E1378" s="24" t="str">
        <f>_xll.DBRW("TM1-S1_DEV:}ElementAttributes_SP_SKU",$F1378,E$1)</f>
        <v>CONDIMENT</v>
      </c>
      <c r="F1378" s="26" t="s">
        <v>3152</v>
      </c>
      <c r="G1378" s="26" t="s">
        <v>1326</v>
      </c>
      <c r="H1378" s="26" t="s">
        <v>2684</v>
      </c>
      <c r="I1378" s="54">
        <f>_xll.DBRW($A$1,$F$14,$F$15,$C1378,$A$2,$F1378,$G1378,$H1378,I$1)</f>
        <v>250</v>
      </c>
      <c r="J1378" s="25">
        <f>_xll.DBRW($A$1,$F$14,$F$15,$C1378,$A$2,$F1378,$G1378,$H1378,J$19)</f>
        <v>250</v>
      </c>
    </row>
    <row r="1379" spans="1:10" s="23" customFormat="1" outlineLevel="1" thickBot="1" x14ac:dyDescent="0.3">
      <c r="A1379" s="44"/>
      <c r="B1379" s="31" t="str">
        <f>IF(_xll.TM1RPTELISCONSOLIDATED($H$20,$H1379),IF(_xll.TM1RPTELLEV($H$20,$H1379)&lt;=5,_xll.TM1RPTELLEV($H$20,$H1379),"Default"),"Leaf")</f>
        <v>Leaf</v>
      </c>
      <c r="C1379" s="26" t="s">
        <v>16</v>
      </c>
      <c r="D1379" s="24" t="str">
        <f>_xll.DBRW("TM1-S1_DEV:}ElementAttributes_SP_SKU",$F1379,D$1)</f>
        <v>Primary</v>
      </c>
      <c r="E1379" s="24" t="str">
        <f>_xll.DBRW("TM1-S1_DEV:}ElementAttributes_SP_SKU",$F1379,E$1)</f>
        <v>CONDIMENT</v>
      </c>
      <c r="F1379" s="26" t="s">
        <v>3153</v>
      </c>
      <c r="G1379" s="26" t="s">
        <v>1327</v>
      </c>
      <c r="H1379" s="26" t="s">
        <v>2684</v>
      </c>
      <c r="I1379" s="54">
        <f>_xll.DBRW($A$1,$F$14,$F$15,$C1379,$A$2,$F1379,$G1379,$H1379,I$1)</f>
        <v>262</v>
      </c>
      <c r="J1379" s="25">
        <f>_xll.DBRW($A$1,$F$14,$F$15,$C1379,$A$2,$F1379,$G1379,$H1379,J$19)</f>
        <v>262</v>
      </c>
    </row>
    <row r="1380" spans="1:10" s="23" customFormat="1" outlineLevel="1" thickBot="1" x14ac:dyDescent="0.3">
      <c r="A1380" s="44"/>
      <c r="B1380" s="31" t="str">
        <f>IF(_xll.TM1RPTELISCONSOLIDATED($H$20,$H1380),IF(_xll.TM1RPTELLEV($H$20,$H1380)&lt;=5,_xll.TM1RPTELLEV($H$20,$H1380),"Default"),"Leaf")</f>
        <v>Leaf</v>
      </c>
      <c r="C1380" s="26" t="s">
        <v>16</v>
      </c>
      <c r="D1380" s="24" t="str">
        <f>_xll.DBRW("TM1-S1_DEV:}ElementAttributes_SP_SKU",$F1380,D$1)</f>
        <v>Primary</v>
      </c>
      <c r="E1380" s="24" t="str">
        <f>_xll.DBRW("TM1-S1_DEV:}ElementAttributes_SP_SKU",$F1380,E$1)</f>
        <v>CONDIMENT</v>
      </c>
      <c r="F1380" s="26" t="s">
        <v>3154</v>
      </c>
      <c r="G1380" s="26" t="s">
        <v>1328</v>
      </c>
      <c r="H1380" s="26" t="s">
        <v>2684</v>
      </c>
      <c r="I1380" s="54">
        <f>_xll.DBRW($A$1,$F$14,$F$15,$C1380,$A$2,$F1380,$G1380,$H1380,I$1)</f>
        <v>165</v>
      </c>
      <c r="J1380" s="25">
        <f>_xll.DBRW($A$1,$F$14,$F$15,$C1380,$A$2,$F1380,$G1380,$H1380,J$19)</f>
        <v>165</v>
      </c>
    </row>
    <row r="1381" spans="1:10" s="23" customFormat="1" outlineLevel="1" thickBot="1" x14ac:dyDescent="0.3">
      <c r="A1381" s="44"/>
      <c r="B1381" s="31" t="str">
        <f>IF(_xll.TM1RPTELISCONSOLIDATED($H$20,$H1381),IF(_xll.TM1RPTELLEV($H$20,$H1381)&lt;=5,_xll.TM1RPTELLEV($H$20,$H1381),"Default"),"Leaf")</f>
        <v>Leaf</v>
      </c>
      <c r="C1381" s="26" t="s">
        <v>16</v>
      </c>
      <c r="D1381" s="24" t="str">
        <f>_xll.DBRW("TM1-S1_DEV:}ElementAttributes_SP_SKU",$F1381,D$1)</f>
        <v>Primary</v>
      </c>
      <c r="E1381" s="24" t="str">
        <f>_xll.DBRW("TM1-S1_DEV:}ElementAttributes_SP_SKU",$F1381,E$1)</f>
        <v>INGREDIENT</v>
      </c>
      <c r="F1381" s="26" t="s">
        <v>3273</v>
      </c>
      <c r="G1381" s="26" t="s">
        <v>1329</v>
      </c>
      <c r="H1381" s="26" t="s">
        <v>2684</v>
      </c>
      <c r="I1381" s="54">
        <f>_xll.DBRW($A$1,$F$14,$F$15,$C1381,$A$2,$F1381,$G1381,$H1381,I$1)</f>
        <v>156</v>
      </c>
      <c r="J1381" s="25">
        <f>_xll.DBRW($A$1,$F$14,$F$15,$C1381,$A$2,$F1381,$G1381,$H1381,J$19)</f>
        <v>156</v>
      </c>
    </row>
    <row r="1382" spans="1:10" s="23" customFormat="1" outlineLevel="1" thickBot="1" x14ac:dyDescent="0.3">
      <c r="A1382" s="44"/>
      <c r="B1382" s="31" t="str">
        <f>IF(_xll.TM1RPTELISCONSOLIDATED($H$20,$H1382),IF(_xll.TM1RPTELLEV($H$20,$H1382)&lt;=5,_xll.TM1RPTELLEV($H$20,$H1382),"Default"),"Leaf")</f>
        <v>Leaf</v>
      </c>
      <c r="C1382" s="26" t="s">
        <v>16</v>
      </c>
      <c r="D1382" s="24" t="str">
        <f>_xll.DBRW("TM1-S1_DEV:}ElementAttributes_SP_SKU",$F1382,D$1)</f>
        <v>Primary</v>
      </c>
      <c r="E1382" s="24" t="str">
        <f>_xll.DBRW("TM1-S1_DEV:}ElementAttributes_SP_SKU",$F1382,E$1)</f>
        <v>BREAD</v>
      </c>
      <c r="F1382" s="26" t="s">
        <v>3163</v>
      </c>
      <c r="G1382" s="26" t="s">
        <v>1330</v>
      </c>
      <c r="H1382" s="26" t="s">
        <v>2687</v>
      </c>
      <c r="I1382" s="54">
        <f>_xll.DBRW($A$1,$F$14,$F$15,$C1382,$A$2,$F1382,$G1382,$H1382,I$1)</f>
        <v>654</v>
      </c>
      <c r="J1382" s="25">
        <f>_xll.DBRW($A$1,$F$14,$F$15,$C1382,$A$2,$F1382,$G1382,$H1382,J$19)</f>
        <v>654</v>
      </c>
    </row>
    <row r="1383" spans="1:10" s="23" customFormat="1" outlineLevel="1" thickBot="1" x14ac:dyDescent="0.3">
      <c r="A1383" s="44"/>
      <c r="B1383" s="31" t="str">
        <f>IF(_xll.TM1RPTELISCONSOLIDATED($H$20,$H1383),IF(_xll.TM1RPTELLEV($H$20,$H1383)&lt;=5,_xll.TM1RPTELLEV($H$20,$H1383),"Default"),"Leaf")</f>
        <v>Leaf</v>
      </c>
      <c r="C1383" s="26" t="s">
        <v>16</v>
      </c>
      <c r="D1383" s="24" t="str">
        <f>_xll.DBRW("TM1-S1_DEV:}ElementAttributes_SP_SKU",$F1383,D$1)</f>
        <v>Primary</v>
      </c>
      <c r="E1383" s="24" t="str">
        <f>_xll.DBRW("TM1-S1_DEV:}ElementAttributes_SP_SKU",$F1383,E$1)</f>
        <v>BREAD</v>
      </c>
      <c r="F1383" s="26" t="s">
        <v>3164</v>
      </c>
      <c r="G1383" s="26" t="s">
        <v>1331</v>
      </c>
      <c r="H1383" s="26" t="s">
        <v>2687</v>
      </c>
      <c r="I1383" s="54">
        <f>_xll.DBRW($A$1,$F$14,$F$15,$C1383,$A$2,$F1383,$G1383,$H1383,I$1)</f>
        <v>1281</v>
      </c>
      <c r="J1383" s="25">
        <f>_xll.DBRW($A$1,$F$14,$F$15,$C1383,$A$2,$F1383,$G1383,$H1383,J$19)</f>
        <v>1281</v>
      </c>
    </row>
    <row r="1384" spans="1:10" s="23" customFormat="1" outlineLevel="1" thickBot="1" x14ac:dyDescent="0.3">
      <c r="A1384" s="44"/>
      <c r="B1384" s="31" t="str">
        <f>IF(_xll.TM1RPTELISCONSOLIDATED($H$20,$H1384),IF(_xll.TM1RPTELLEV($H$20,$H1384)&lt;=5,_xll.TM1RPTELLEV($H$20,$H1384),"Default"),"Leaf")</f>
        <v>Leaf</v>
      </c>
      <c r="C1384" s="26" t="s">
        <v>16</v>
      </c>
      <c r="D1384" s="24" t="str">
        <f>_xll.DBRW("TM1-S1_DEV:}ElementAttributes_SP_SKU",$F1384,D$1)</f>
        <v>Primary</v>
      </c>
      <c r="E1384" s="24" t="str">
        <f>_xll.DBRW("TM1-S1_DEV:}ElementAttributes_SP_SKU",$F1384,E$1)</f>
        <v>BREAD</v>
      </c>
      <c r="F1384" s="26" t="s">
        <v>3169</v>
      </c>
      <c r="G1384" s="26" t="s">
        <v>1332</v>
      </c>
      <c r="H1384" s="26" t="s">
        <v>2690</v>
      </c>
      <c r="I1384" s="54">
        <f>_xll.DBRW($A$1,$F$14,$F$15,$C1384,$A$2,$F1384,$G1384,$H1384,I$1)</f>
        <v>2209</v>
      </c>
      <c r="J1384" s="25">
        <f>_xll.DBRW($A$1,$F$14,$F$15,$C1384,$A$2,$F1384,$G1384,$H1384,J$19)</f>
        <v>2209</v>
      </c>
    </row>
    <row r="1385" spans="1:10" s="23" customFormat="1" outlineLevel="1" thickBot="1" x14ac:dyDescent="0.3">
      <c r="A1385" s="44"/>
      <c r="B1385" s="31" t="str">
        <f>IF(_xll.TM1RPTELISCONSOLIDATED($H$20,$H1385),IF(_xll.TM1RPTELLEV($H$20,$H1385)&lt;=5,_xll.TM1RPTELLEV($H$20,$H1385),"Default"),"Leaf")</f>
        <v>Leaf</v>
      </c>
      <c r="C1385" s="26" t="s">
        <v>16</v>
      </c>
      <c r="D1385" s="24" t="str">
        <f>_xll.DBRW("TM1-S1_DEV:}ElementAttributes_SP_SKU",$F1385,D$1)</f>
        <v>Primary</v>
      </c>
      <c r="E1385" s="24" t="str">
        <f>_xll.DBRW("TM1-S1_DEV:}ElementAttributes_SP_SKU",$F1385,E$1)</f>
        <v>CONDIMENT</v>
      </c>
      <c r="F1385" s="26" t="s">
        <v>3174</v>
      </c>
      <c r="G1385" s="26" t="s">
        <v>2263</v>
      </c>
      <c r="H1385" s="26" t="s">
        <v>2684</v>
      </c>
      <c r="I1385" s="54">
        <f>_xll.DBRW($A$1,$F$14,$F$15,$C1385,$A$2,$F1385,$G1385,$H1385,I$1)</f>
        <v>286</v>
      </c>
      <c r="J1385" s="25">
        <f>_xll.DBRW($A$1,$F$14,$F$15,$C1385,$A$2,$F1385,$G1385,$H1385,J$19)</f>
        <v>286</v>
      </c>
    </row>
    <row r="1386" spans="1:10" s="23" customFormat="1" outlineLevel="1" thickBot="1" x14ac:dyDescent="0.3">
      <c r="A1386" s="44"/>
      <c r="B1386" s="31" t="str">
        <f>IF(_xll.TM1RPTELISCONSOLIDATED($H$20,$H1386),IF(_xll.TM1RPTELLEV($H$20,$H1386)&lt;=5,_xll.TM1RPTELLEV($H$20,$H1386),"Default"),"Leaf")</f>
        <v>Leaf</v>
      </c>
      <c r="C1386" s="26" t="s">
        <v>16</v>
      </c>
      <c r="D1386" s="24" t="str">
        <f>_xll.DBRW("TM1-S1_DEV:}ElementAttributes_SP_SKU",$F1386,D$1)</f>
        <v>Primary</v>
      </c>
      <c r="E1386" s="24" t="str">
        <f>_xll.DBRW("TM1-S1_DEV:}ElementAttributes_SP_SKU",$F1386,E$1)</f>
        <v>CONDIMENT</v>
      </c>
      <c r="F1386" s="26" t="s">
        <v>3176</v>
      </c>
      <c r="G1386" s="26" t="s">
        <v>1333</v>
      </c>
      <c r="H1386" s="26" t="s">
        <v>2684</v>
      </c>
      <c r="I1386" s="54">
        <f>_xll.DBRW($A$1,$F$14,$F$15,$C1386,$A$2,$F1386,$G1386,$H1386,I$1)</f>
        <v>158</v>
      </c>
      <c r="J1386" s="25">
        <f>_xll.DBRW($A$1,$F$14,$F$15,$C1386,$A$2,$F1386,$G1386,$H1386,J$19)</f>
        <v>158</v>
      </c>
    </row>
    <row r="1387" spans="1:10" s="23" customFormat="1" outlineLevel="1" thickBot="1" x14ac:dyDescent="0.3">
      <c r="A1387" s="44"/>
      <c r="B1387" s="31" t="str">
        <f>IF(_xll.TM1RPTELISCONSOLIDATED($H$20,$H1387),IF(_xll.TM1RPTELLEV($H$20,$H1387)&lt;=5,_xll.TM1RPTELLEV($H$20,$H1387),"Default"),"Leaf")</f>
        <v>Leaf</v>
      </c>
      <c r="C1387" s="26" t="s">
        <v>16</v>
      </c>
      <c r="D1387" s="24" t="str">
        <f>_xll.DBRW("TM1-S1_DEV:}ElementAttributes_SP_SKU",$F1387,D$1)</f>
        <v>Primary</v>
      </c>
      <c r="E1387" s="24" t="str">
        <f>_xll.DBRW("TM1-S1_DEV:}ElementAttributes_SP_SKU",$F1387,E$1)</f>
        <v>CONDIMENT</v>
      </c>
      <c r="F1387" s="26" t="s">
        <v>3178</v>
      </c>
      <c r="G1387" s="26" t="s">
        <v>1334</v>
      </c>
      <c r="H1387" s="26" t="s">
        <v>2684</v>
      </c>
      <c r="I1387" s="54">
        <f>_xll.DBRW($A$1,$F$14,$F$15,$C1387,$A$2,$F1387,$G1387,$H1387,I$1)</f>
        <v>234</v>
      </c>
      <c r="J1387" s="25">
        <f>_xll.DBRW($A$1,$F$14,$F$15,$C1387,$A$2,$F1387,$G1387,$H1387,J$19)</f>
        <v>234</v>
      </c>
    </row>
    <row r="1388" spans="1:10" s="23" customFormat="1" outlineLevel="1" thickBot="1" x14ac:dyDescent="0.3">
      <c r="A1388" s="44"/>
      <c r="B1388" s="31" t="str">
        <f>IF(_xll.TM1RPTELISCONSOLIDATED($H$20,$H1388),IF(_xll.TM1RPTELLEV($H$20,$H1388)&lt;=5,_xll.TM1RPTELLEV($H$20,$H1388),"Default"),"Leaf")</f>
        <v>Leaf</v>
      </c>
      <c r="C1388" s="26" t="s">
        <v>16</v>
      </c>
      <c r="D1388" s="24" t="str">
        <f>_xll.DBRW("TM1-S1_DEV:}ElementAttributes_SP_SKU",$F1388,D$1)</f>
        <v>Primary</v>
      </c>
      <c r="E1388" s="24" t="str">
        <f>_xll.DBRW("TM1-S1_DEV:}ElementAttributes_SP_SKU",$F1388,E$1)</f>
        <v>CONDIMENT</v>
      </c>
      <c r="F1388" s="26" t="s">
        <v>3179</v>
      </c>
      <c r="G1388" s="26" t="s">
        <v>1335</v>
      </c>
      <c r="H1388" s="26" t="s">
        <v>2684</v>
      </c>
      <c r="I1388" s="54">
        <f>_xll.DBRW($A$1,$F$14,$F$15,$C1388,$A$2,$F1388,$G1388,$H1388,I$1)</f>
        <v>335</v>
      </c>
      <c r="J1388" s="25">
        <f>_xll.DBRW($A$1,$F$14,$F$15,$C1388,$A$2,$F1388,$G1388,$H1388,J$19)</f>
        <v>335</v>
      </c>
    </row>
    <row r="1389" spans="1:10" s="23" customFormat="1" outlineLevel="1" thickBot="1" x14ac:dyDescent="0.3">
      <c r="A1389" s="44"/>
      <c r="B1389" s="31" t="str">
        <f>IF(_xll.TM1RPTELISCONSOLIDATED($H$20,$H1389),IF(_xll.TM1RPTELLEV($H$20,$H1389)&lt;=5,_xll.TM1RPTELLEV($H$20,$H1389),"Default"),"Leaf")</f>
        <v>Leaf</v>
      </c>
      <c r="C1389" s="26" t="s">
        <v>16</v>
      </c>
      <c r="D1389" s="24" t="str">
        <f>_xll.DBRW("TM1-S1_DEV:}ElementAttributes_SP_SKU",$F1389,D$1)</f>
        <v>Primary</v>
      </c>
      <c r="E1389" s="24" t="str">
        <f>_xll.DBRW("TM1-S1_DEV:}ElementAttributes_SP_SKU",$F1389,E$1)</f>
        <v>INGREDIENT</v>
      </c>
      <c r="F1389" s="26" t="s">
        <v>3198</v>
      </c>
      <c r="G1389" s="26" t="s">
        <v>2290</v>
      </c>
      <c r="H1389" s="26" t="s">
        <v>2701</v>
      </c>
      <c r="I1389" s="54">
        <f>_xll.DBRW($A$1,$F$14,$F$15,$C1389,$A$2,$F1389,$G1389,$H1389,I$1)</f>
        <v>225</v>
      </c>
      <c r="J1389" s="25">
        <f>_xll.DBRW($A$1,$F$14,$F$15,$C1389,$A$2,$F1389,$G1389,$H1389,J$19)</f>
        <v>225</v>
      </c>
    </row>
    <row r="1390" spans="1:10" s="23" customFormat="1" outlineLevel="1" thickBot="1" x14ac:dyDescent="0.3">
      <c r="A1390" s="44"/>
      <c r="B1390" s="31" t="str">
        <f>IF(_xll.TM1RPTELISCONSOLIDATED($H$20,$H1390),IF(_xll.TM1RPTELLEV($H$20,$H1390)&lt;=5,_xll.TM1RPTELLEV($H$20,$H1390),"Default"),"Leaf")</f>
        <v>Leaf</v>
      </c>
      <c r="C1390" s="26" t="s">
        <v>16</v>
      </c>
      <c r="D1390" s="24" t="str">
        <f>_xll.DBRW("TM1-S1_DEV:}ElementAttributes_SP_SKU",$F1390,D$1)</f>
        <v>Primary</v>
      </c>
      <c r="E1390" s="24" t="str">
        <f>_xll.DBRW("TM1-S1_DEV:}ElementAttributes_SP_SKU",$F1390,E$1)</f>
        <v>BOX</v>
      </c>
      <c r="F1390" s="26" t="s">
        <v>3199</v>
      </c>
      <c r="G1390" s="26" t="s">
        <v>1336</v>
      </c>
      <c r="H1390" s="26" t="s">
        <v>2702</v>
      </c>
      <c r="I1390" s="54">
        <f>_xll.DBRW($A$1,$F$14,$F$15,$C1390,$A$2,$F1390,$G1390,$H1390,I$1)</f>
        <v>283</v>
      </c>
      <c r="J1390" s="25">
        <f>_xll.DBRW($A$1,$F$14,$F$15,$C1390,$A$2,$F1390,$G1390,$H1390,J$19)</f>
        <v>283</v>
      </c>
    </row>
    <row r="1391" spans="1:10" s="23" customFormat="1" outlineLevel="1" thickBot="1" x14ac:dyDescent="0.3">
      <c r="A1391" s="44"/>
      <c r="B1391" s="31" t="str">
        <f>IF(_xll.TM1RPTELISCONSOLIDATED($H$20,$H1391),IF(_xll.TM1RPTELLEV($H$20,$H1391)&lt;=5,_xll.TM1RPTELLEV($H$20,$H1391),"Default"),"Leaf")</f>
        <v>Leaf</v>
      </c>
      <c r="C1391" s="26" t="s">
        <v>16</v>
      </c>
      <c r="D1391" s="24" t="str">
        <f>_xll.DBRW("TM1-S1_DEV:}ElementAttributes_SP_SKU",$F1391,D$1)</f>
        <v>Primary</v>
      </c>
      <c r="E1391" s="24" t="str">
        <f>_xll.DBRW("TM1-S1_DEV:}ElementAttributes_SP_SKU",$F1391,E$1)</f>
        <v>FOIL</v>
      </c>
      <c r="F1391" s="26" t="s">
        <v>3204</v>
      </c>
      <c r="G1391" s="26" t="s">
        <v>1337</v>
      </c>
      <c r="H1391" s="26" t="s">
        <v>2704</v>
      </c>
      <c r="I1391" s="54">
        <f>_xll.DBRW($A$1,$F$14,$F$15,$C1391,$A$2,$F1391,$G1391,$H1391,I$1)</f>
        <v>361</v>
      </c>
      <c r="J1391" s="25">
        <f>_xll.DBRW($A$1,$F$14,$F$15,$C1391,$A$2,$F1391,$G1391,$H1391,J$19)</f>
        <v>361</v>
      </c>
    </row>
    <row r="1392" spans="1:10" s="23" customFormat="1" outlineLevel="1" thickBot="1" x14ac:dyDescent="0.3">
      <c r="A1392" s="44"/>
      <c r="B1392" s="31" t="str">
        <f>IF(_xll.TM1RPTELISCONSOLIDATED($H$20,$H1392),IF(_xll.TM1RPTELLEV($H$20,$H1392)&lt;=5,_xll.TM1RPTELLEV($H$20,$H1392),"Default"),"Leaf")</f>
        <v>Leaf</v>
      </c>
      <c r="C1392" s="26" t="s">
        <v>16</v>
      </c>
      <c r="D1392" s="24" t="str">
        <f>_xll.DBRW("TM1-S1_DEV:}ElementAttributes_SP_SKU",$F1392,D$1)</f>
        <v>Primary</v>
      </c>
      <c r="E1392" s="24" t="str">
        <f>_xll.DBRW("TM1-S1_DEV:}ElementAttributes_SP_SKU",$F1392,E$1)</f>
        <v>BAG</v>
      </c>
      <c r="F1392" s="26" t="s">
        <v>3205</v>
      </c>
      <c r="G1392" s="26" t="s">
        <v>1338</v>
      </c>
      <c r="H1392" s="26" t="s">
        <v>2705</v>
      </c>
      <c r="I1392" s="54">
        <f>_xll.DBRW($A$1,$F$14,$F$15,$C1392,$A$2,$F1392,$G1392,$H1392,I$1)</f>
        <v>176</v>
      </c>
      <c r="J1392" s="25">
        <f>_xll.DBRW($A$1,$F$14,$F$15,$C1392,$A$2,$F1392,$G1392,$H1392,J$19)</f>
        <v>176</v>
      </c>
    </row>
    <row r="1393" spans="1:10" s="23" customFormat="1" outlineLevel="1" thickBot="1" x14ac:dyDescent="0.3">
      <c r="A1393" s="44"/>
      <c r="B1393" s="31" t="str">
        <f>IF(_xll.TM1RPTELISCONSOLIDATED($H$20,$H1393),IF(_xll.TM1RPTELLEV($H$20,$H1393)&lt;=5,_xll.TM1RPTELLEV($H$20,$H1393),"Default"),"Leaf")</f>
        <v>Leaf</v>
      </c>
      <c r="C1393" s="26" t="s">
        <v>16</v>
      </c>
      <c r="D1393" s="24" t="str">
        <f>_xll.DBRW("TM1-S1_DEV:}ElementAttributes_SP_SKU",$F1393,D$1)</f>
        <v>Primary</v>
      </c>
      <c r="E1393" s="24" t="str">
        <f>_xll.DBRW("TM1-S1_DEV:}ElementAttributes_SP_SKU",$F1393,E$1)</f>
        <v>FOIL</v>
      </c>
      <c r="F1393" s="26" t="s">
        <v>3206</v>
      </c>
      <c r="G1393" s="26" t="s">
        <v>1339</v>
      </c>
      <c r="H1393" s="26" t="s">
        <v>2704</v>
      </c>
      <c r="I1393" s="54">
        <f>_xll.DBRW($A$1,$F$14,$F$15,$C1393,$A$2,$F1393,$G1393,$H1393,I$1)</f>
        <v>266</v>
      </c>
      <c r="J1393" s="25">
        <f>_xll.DBRW($A$1,$F$14,$F$15,$C1393,$A$2,$F1393,$G1393,$H1393,J$19)</f>
        <v>266</v>
      </c>
    </row>
    <row r="1394" spans="1:10" s="23" customFormat="1" outlineLevel="1" thickBot="1" x14ac:dyDescent="0.3">
      <c r="A1394" s="44"/>
      <c r="B1394" s="31" t="str">
        <f>IF(_xll.TM1RPTELISCONSOLIDATED($H$20,$H1394),IF(_xll.TM1RPTELLEV($H$20,$H1394)&lt;=5,_xll.TM1RPTELLEV($H$20,$H1394),"Default"),"Leaf")</f>
        <v>Leaf</v>
      </c>
      <c r="C1394" s="26" t="s">
        <v>16</v>
      </c>
      <c r="D1394" s="24" t="str">
        <f>_xll.DBRW("TM1-S1_DEV:}ElementAttributes_SP_SKU",$F1394,D$1)</f>
        <v>Primary</v>
      </c>
      <c r="E1394" s="24" t="str">
        <f>_xll.DBRW("TM1-S1_DEV:}ElementAttributes_SP_SKU",$F1394,E$1)</f>
        <v>FOIL</v>
      </c>
      <c r="F1394" s="26" t="s">
        <v>3207</v>
      </c>
      <c r="G1394" s="26" t="s">
        <v>1340</v>
      </c>
      <c r="H1394" s="26" t="s">
        <v>2704</v>
      </c>
      <c r="I1394" s="54">
        <f>_xll.DBRW($A$1,$F$14,$F$15,$C1394,$A$2,$F1394,$G1394,$H1394,I$1)</f>
        <v>251</v>
      </c>
      <c r="J1394" s="25">
        <f>_xll.DBRW($A$1,$F$14,$F$15,$C1394,$A$2,$F1394,$G1394,$H1394,J$19)</f>
        <v>251</v>
      </c>
    </row>
    <row r="1395" spans="1:10" s="23" customFormat="1" outlineLevel="1" thickBot="1" x14ac:dyDescent="0.3">
      <c r="A1395" s="44"/>
      <c r="B1395" s="31" t="str">
        <f>IF(_xll.TM1RPTELISCONSOLIDATED($H$20,$H1395),IF(_xll.TM1RPTELLEV($H$20,$H1395)&lt;=5,_xll.TM1RPTELLEV($H$20,$H1395),"Default"),"Leaf")</f>
        <v>Leaf</v>
      </c>
      <c r="C1395" s="26" t="s">
        <v>16</v>
      </c>
      <c r="D1395" s="24" t="str">
        <f>_xll.DBRW("TM1-S1_DEV:}ElementAttributes_SP_SKU",$F1395,D$1)</f>
        <v>Primary</v>
      </c>
      <c r="E1395" s="24" t="str">
        <f>_xll.DBRW("TM1-S1_DEV:}ElementAttributes_SP_SKU",$F1395,E$1)</f>
        <v>BAG</v>
      </c>
      <c r="F1395" s="26" t="s">
        <v>3208</v>
      </c>
      <c r="G1395" s="26" t="s">
        <v>1341</v>
      </c>
      <c r="H1395" s="26" t="s">
        <v>2705</v>
      </c>
      <c r="I1395" s="54">
        <f>_xll.DBRW($A$1,$F$14,$F$15,$C1395,$A$2,$F1395,$G1395,$H1395,I$1)</f>
        <v>313</v>
      </c>
      <c r="J1395" s="25">
        <f>_xll.DBRW($A$1,$F$14,$F$15,$C1395,$A$2,$F1395,$G1395,$H1395,J$19)</f>
        <v>313</v>
      </c>
    </row>
    <row r="1396" spans="1:10" s="23" customFormat="1" outlineLevel="1" thickBot="1" x14ac:dyDescent="0.3">
      <c r="A1396" s="44"/>
      <c r="B1396" s="31" t="str">
        <f>IF(_xll.TM1RPTELISCONSOLIDATED($H$20,$H1396),IF(_xll.TM1RPTELLEV($H$20,$H1396)&lt;=5,_xll.TM1RPTELLEV($H$20,$H1396),"Default"),"Leaf")</f>
        <v>Leaf</v>
      </c>
      <c r="C1396" s="26" t="s">
        <v>16</v>
      </c>
      <c r="D1396" s="24" t="str">
        <f>_xll.DBRW("TM1-S1_DEV:}ElementAttributes_SP_SKU",$F1396,D$1)</f>
        <v>Primary</v>
      </c>
      <c r="E1396" s="24" t="str">
        <f>_xll.DBRW("TM1-S1_DEV:}ElementAttributes_SP_SKU",$F1396,E$1)</f>
        <v>BAG</v>
      </c>
      <c r="F1396" s="26" t="s">
        <v>3209</v>
      </c>
      <c r="G1396" s="26" t="s">
        <v>1342</v>
      </c>
      <c r="H1396" s="26" t="s">
        <v>2705</v>
      </c>
      <c r="I1396" s="54">
        <f>_xll.DBRW($A$1,$F$14,$F$15,$C1396,$A$2,$F1396,$G1396,$H1396,I$1)</f>
        <v>185</v>
      </c>
      <c r="J1396" s="25">
        <f>_xll.DBRW($A$1,$F$14,$F$15,$C1396,$A$2,$F1396,$G1396,$H1396,J$19)</f>
        <v>185</v>
      </c>
    </row>
    <row r="1397" spans="1:10" s="23" customFormat="1" outlineLevel="1" thickBot="1" x14ac:dyDescent="0.3">
      <c r="A1397" s="44"/>
      <c r="B1397" s="31" t="str">
        <f>IF(_xll.TM1RPTELISCONSOLIDATED($H$20,$H1397),IF(_xll.TM1RPTELLEV($H$20,$H1397)&lt;=5,_xll.TM1RPTELLEV($H$20,$H1397),"Default"),"Leaf")</f>
        <v>Leaf</v>
      </c>
      <c r="C1397" s="26" t="s">
        <v>16</v>
      </c>
      <c r="D1397" s="24" t="str">
        <f>_xll.DBRW("TM1-S1_DEV:}ElementAttributes_SP_SKU",$F1397,D$1)</f>
        <v>Primary</v>
      </c>
      <c r="E1397" s="24" t="str">
        <f>_xll.DBRW("TM1-S1_DEV:}ElementAttributes_SP_SKU",$F1397,E$1)</f>
        <v>BAG</v>
      </c>
      <c r="F1397" s="26" t="s">
        <v>3210</v>
      </c>
      <c r="G1397" s="26" t="s">
        <v>1343</v>
      </c>
      <c r="H1397" s="26" t="s">
        <v>2705</v>
      </c>
      <c r="I1397" s="54">
        <f>_xll.DBRW($A$1,$F$14,$F$15,$C1397,$A$2,$F1397,$G1397,$H1397,I$1)</f>
        <v>197</v>
      </c>
      <c r="J1397" s="25">
        <f>_xll.DBRW($A$1,$F$14,$F$15,$C1397,$A$2,$F1397,$G1397,$H1397,J$19)</f>
        <v>197</v>
      </c>
    </row>
    <row r="1398" spans="1:10" s="23" customFormat="1" outlineLevel="1" thickBot="1" x14ac:dyDescent="0.3">
      <c r="A1398" s="44"/>
      <c r="B1398" s="31" t="str">
        <f>IF(_xll.TM1RPTELISCONSOLIDATED($H$20,$H1398),IF(_xll.TM1RPTELLEV($H$20,$H1398)&lt;=5,_xll.TM1RPTELLEV($H$20,$H1398),"Default"),"Leaf")</f>
        <v>Leaf</v>
      </c>
      <c r="C1398" s="26" t="s">
        <v>16</v>
      </c>
      <c r="D1398" s="24" t="str">
        <f>_xll.DBRW("TM1-S1_DEV:}ElementAttributes_SP_SKU",$F1398,D$1)</f>
        <v>Primary</v>
      </c>
      <c r="E1398" s="24" t="str">
        <f>_xll.DBRW("TM1-S1_DEV:}ElementAttributes_SP_SKU",$F1398,E$1)</f>
        <v>BOX</v>
      </c>
      <c r="F1398" s="26" t="s">
        <v>3211</v>
      </c>
      <c r="G1398" s="26" t="s">
        <v>1344</v>
      </c>
      <c r="H1398" s="26" t="s">
        <v>2706</v>
      </c>
      <c r="I1398" s="54">
        <f>_xll.DBRW($A$1,$F$14,$F$15,$C1398,$A$2,$F1398,$G1398,$H1398,I$1)</f>
        <v>557</v>
      </c>
      <c r="J1398" s="25">
        <f>_xll.DBRW($A$1,$F$14,$F$15,$C1398,$A$2,$F1398,$G1398,$H1398,J$19)</f>
        <v>557</v>
      </c>
    </row>
    <row r="1399" spans="1:10" s="23" customFormat="1" outlineLevel="1" thickBot="1" x14ac:dyDescent="0.3">
      <c r="A1399" s="44"/>
      <c r="B1399" s="31" t="str">
        <f>IF(_xll.TM1RPTELISCONSOLIDATED($H$20,$H1399),IF(_xll.TM1RPTELLEV($H$20,$H1399)&lt;=5,_xll.TM1RPTELLEV($H$20,$H1399),"Default"),"Leaf")</f>
        <v>Leaf</v>
      </c>
      <c r="C1399" s="26" t="s">
        <v>16</v>
      </c>
      <c r="D1399" s="24" t="str">
        <f>_xll.DBRW("TM1-S1_DEV:}ElementAttributes_SP_SKU",$F1399,D$1)</f>
        <v>Primary</v>
      </c>
      <c r="E1399" s="24" t="str">
        <f>_xll.DBRW("TM1-S1_DEV:}ElementAttributes_SP_SKU",$F1399,E$1)</f>
        <v>FOIL</v>
      </c>
      <c r="F1399" s="26" t="s">
        <v>3212</v>
      </c>
      <c r="G1399" s="26" t="s">
        <v>1345</v>
      </c>
      <c r="H1399" s="26" t="s">
        <v>2704</v>
      </c>
      <c r="I1399" s="54">
        <f>_xll.DBRW($A$1,$F$14,$F$15,$C1399,$A$2,$F1399,$G1399,$H1399,I$1)</f>
        <v>384</v>
      </c>
      <c r="J1399" s="25">
        <f>_xll.DBRW($A$1,$F$14,$F$15,$C1399,$A$2,$F1399,$G1399,$H1399,J$19)</f>
        <v>384</v>
      </c>
    </row>
    <row r="1400" spans="1:10" s="23" customFormat="1" outlineLevel="1" thickBot="1" x14ac:dyDescent="0.3">
      <c r="A1400" s="44"/>
      <c r="B1400" s="31" t="str">
        <f>IF(_xll.TM1RPTELISCONSOLIDATED($H$20,$H1400),IF(_xll.TM1RPTELLEV($H$20,$H1400)&lt;=5,_xll.TM1RPTELLEV($H$20,$H1400),"Default"),"Leaf")</f>
        <v>Leaf</v>
      </c>
      <c r="C1400" s="26" t="s">
        <v>16</v>
      </c>
      <c r="D1400" s="24" t="str">
        <f>_xll.DBRW("TM1-S1_DEV:}ElementAttributes_SP_SKU",$F1400,D$1)</f>
        <v>Primary</v>
      </c>
      <c r="E1400" s="24" t="str">
        <f>_xll.DBRW("TM1-S1_DEV:}ElementAttributes_SP_SKU",$F1400,E$1)</f>
        <v>BAG</v>
      </c>
      <c r="F1400" s="26" t="s">
        <v>3219</v>
      </c>
      <c r="G1400" s="26" t="s">
        <v>1346</v>
      </c>
      <c r="H1400" s="26" t="s">
        <v>2705</v>
      </c>
      <c r="I1400" s="54">
        <f>_xll.DBRW($A$1,$F$14,$F$15,$C1400,$A$2,$F1400,$G1400,$H1400,I$1)</f>
        <v>163</v>
      </c>
      <c r="J1400" s="25">
        <f>_xll.DBRW($A$1,$F$14,$F$15,$C1400,$A$2,$F1400,$G1400,$H1400,J$19)</f>
        <v>163</v>
      </c>
    </row>
    <row r="1401" spans="1:10" s="23" customFormat="1" outlineLevel="1" thickBot="1" x14ac:dyDescent="0.3">
      <c r="A1401" s="44"/>
      <c r="B1401" s="31" t="str">
        <f>IF(_xll.TM1RPTELISCONSOLIDATED($H$20,$H1401),IF(_xll.TM1RPTELLEV($H$20,$H1401)&lt;=5,_xll.TM1RPTELLEV($H$20,$H1401),"Default"),"Leaf")</f>
        <v>Leaf</v>
      </c>
      <c r="C1401" s="26" t="s">
        <v>16</v>
      </c>
      <c r="D1401" s="24" t="str">
        <f>_xll.DBRW("TM1-S1_DEV:}ElementAttributes_SP_SKU",$F1401,D$1)</f>
        <v>Primary</v>
      </c>
      <c r="E1401" s="24" t="str">
        <f>_xll.DBRW("TM1-S1_DEV:}ElementAttributes_SP_SKU",$F1401,E$1)</f>
        <v>BOX</v>
      </c>
      <c r="F1401" s="26" t="s">
        <v>3220</v>
      </c>
      <c r="G1401" s="26" t="s">
        <v>1347</v>
      </c>
      <c r="H1401" s="26" t="s">
        <v>2702</v>
      </c>
      <c r="I1401" s="54">
        <f>_xll.DBRW($A$1,$F$14,$F$15,$C1401,$A$2,$F1401,$G1401,$H1401,I$1)</f>
        <v>242</v>
      </c>
      <c r="J1401" s="25">
        <f>_xll.DBRW($A$1,$F$14,$F$15,$C1401,$A$2,$F1401,$G1401,$H1401,J$19)</f>
        <v>242</v>
      </c>
    </row>
    <row r="1402" spans="1:10" s="23" customFormat="1" outlineLevel="1" thickBot="1" x14ac:dyDescent="0.3">
      <c r="A1402" s="44"/>
      <c r="B1402" s="31" t="str">
        <f>IF(_xll.TM1RPTELISCONSOLIDATED($H$20,$H1402),IF(_xll.TM1RPTELLEV($H$20,$H1402)&lt;=5,_xll.TM1RPTELLEV($H$20,$H1402),"Default"),"Leaf")</f>
        <v>Leaf</v>
      </c>
      <c r="C1402" s="26" t="s">
        <v>16</v>
      </c>
      <c r="D1402" s="24" t="str">
        <f>_xll.DBRW("TM1-S1_DEV:}ElementAttributes_SP_SKU",$F1402,D$1)</f>
        <v>Primary</v>
      </c>
      <c r="E1402" s="24" t="str">
        <f>_xll.DBRW("TM1-S1_DEV:}ElementAttributes_SP_SKU",$F1402,E$1)</f>
        <v>BOX</v>
      </c>
      <c r="F1402" s="26" t="s">
        <v>3221</v>
      </c>
      <c r="G1402" s="26" t="s">
        <v>1348</v>
      </c>
      <c r="H1402" s="26" t="s">
        <v>2702</v>
      </c>
      <c r="I1402" s="54">
        <f>_xll.DBRW($A$1,$F$14,$F$15,$C1402,$A$2,$F1402,$G1402,$H1402,I$1)</f>
        <v>273</v>
      </c>
      <c r="J1402" s="25">
        <f>_xll.DBRW($A$1,$F$14,$F$15,$C1402,$A$2,$F1402,$G1402,$H1402,J$19)</f>
        <v>273</v>
      </c>
    </row>
    <row r="1403" spans="1:10" s="23" customFormat="1" outlineLevel="1" thickBot="1" x14ac:dyDescent="0.3">
      <c r="A1403" s="44"/>
      <c r="B1403" s="31" t="str">
        <f>IF(_xll.TM1RPTELISCONSOLIDATED($H$20,$H1403),IF(_xll.TM1RPTELLEV($H$20,$H1403)&lt;=5,_xll.TM1RPTELLEV($H$20,$H1403),"Default"),"Leaf")</f>
        <v>Leaf</v>
      </c>
      <c r="C1403" s="26" t="s">
        <v>16</v>
      </c>
      <c r="D1403" s="24" t="str">
        <f>_xll.DBRW("TM1-S1_DEV:}ElementAttributes_SP_SKU",$F1403,D$1)</f>
        <v>Primary</v>
      </c>
      <c r="E1403" s="24" t="str">
        <f>_xll.DBRW("TM1-S1_DEV:}ElementAttributes_SP_SKU",$F1403,E$1)</f>
        <v>BOX</v>
      </c>
      <c r="F1403" s="26" t="s">
        <v>3222</v>
      </c>
      <c r="G1403" s="26" t="s">
        <v>1349</v>
      </c>
      <c r="H1403" s="26" t="s">
        <v>2702</v>
      </c>
      <c r="I1403" s="54">
        <f>_xll.DBRW($A$1,$F$14,$F$15,$C1403,$A$2,$F1403,$G1403,$H1403,I$1)</f>
        <v>241</v>
      </c>
      <c r="J1403" s="25">
        <f>_xll.DBRW($A$1,$F$14,$F$15,$C1403,$A$2,$F1403,$G1403,$H1403,J$19)</f>
        <v>241</v>
      </c>
    </row>
    <row r="1404" spans="1:10" s="23" customFormat="1" outlineLevel="1" thickBot="1" x14ac:dyDescent="0.3">
      <c r="A1404" s="44"/>
      <c r="B1404" s="31" t="str">
        <f>IF(_xll.TM1RPTELISCONSOLIDATED($H$20,$H1404),IF(_xll.TM1RPTELLEV($H$20,$H1404)&lt;=5,_xll.TM1RPTELLEV($H$20,$H1404),"Default"),"Leaf")</f>
        <v>Leaf</v>
      </c>
      <c r="C1404" s="26" t="s">
        <v>16</v>
      </c>
      <c r="D1404" s="24" t="str">
        <f>_xll.DBRW("TM1-S1_DEV:}ElementAttributes_SP_SKU",$F1404,D$1)</f>
        <v>Primary</v>
      </c>
      <c r="E1404" s="24" t="str">
        <f>_xll.DBRW("TM1-S1_DEV:}ElementAttributes_SP_SKU",$F1404,E$1)</f>
        <v>BAG</v>
      </c>
      <c r="F1404" s="26" t="s">
        <v>3224</v>
      </c>
      <c r="G1404" s="26" t="s">
        <v>1350</v>
      </c>
      <c r="H1404" s="26" t="s">
        <v>2705</v>
      </c>
      <c r="I1404" s="54">
        <f>_xll.DBRW($A$1,$F$14,$F$15,$C1404,$A$2,$F1404,$G1404,$H1404,I$1)</f>
        <v>95</v>
      </c>
      <c r="J1404" s="25">
        <f>_xll.DBRW($A$1,$F$14,$F$15,$C1404,$A$2,$F1404,$G1404,$H1404,J$19)</f>
        <v>95</v>
      </c>
    </row>
    <row r="1405" spans="1:10" s="23" customFormat="1" outlineLevel="1" thickBot="1" x14ac:dyDescent="0.3">
      <c r="A1405" s="44"/>
      <c r="B1405" s="31" t="str">
        <f>IF(_xll.TM1RPTELISCONSOLIDATED($H$20,$H1405),IF(_xll.TM1RPTELLEV($H$20,$H1405)&lt;=5,_xll.TM1RPTELLEV($H$20,$H1405),"Default"),"Leaf")</f>
        <v>Leaf</v>
      </c>
      <c r="C1405" s="26" t="s">
        <v>16</v>
      </c>
      <c r="D1405" s="24" t="str">
        <f>_xll.DBRW("TM1-S1_DEV:}ElementAttributes_SP_SKU",$F1405,D$1)</f>
        <v>Primary</v>
      </c>
      <c r="E1405" s="24" t="str">
        <f>_xll.DBRW("TM1-S1_DEV:}ElementAttributes_SP_SKU",$F1405,E$1)</f>
        <v>CUP</v>
      </c>
      <c r="F1405" s="26" t="s">
        <v>3225</v>
      </c>
      <c r="G1405" s="26" t="s">
        <v>1351</v>
      </c>
      <c r="H1405" s="26" t="s">
        <v>2707</v>
      </c>
      <c r="I1405" s="54">
        <f>_xll.DBRW($A$1,$F$14,$F$15,$C1405,$A$2,$F1405,$G1405,$H1405,I$1)</f>
        <v>185</v>
      </c>
      <c r="J1405" s="25">
        <f>_xll.DBRW($A$1,$F$14,$F$15,$C1405,$A$2,$F1405,$G1405,$H1405,J$19)</f>
        <v>185</v>
      </c>
    </row>
    <row r="1406" spans="1:10" s="23" customFormat="1" outlineLevel="1" thickBot="1" x14ac:dyDescent="0.3">
      <c r="A1406" s="44"/>
      <c r="B1406" s="31" t="str">
        <f>IF(_xll.TM1RPTELISCONSOLIDATED($H$20,$H1406),IF(_xll.TM1RPTELLEV($H$20,$H1406)&lt;=5,_xll.TM1RPTELLEV($H$20,$H1406),"Default"),"Leaf")</f>
        <v>Leaf</v>
      </c>
      <c r="C1406" s="26" t="s">
        <v>16</v>
      </c>
      <c r="D1406" s="24" t="str">
        <f>_xll.DBRW("TM1-S1_DEV:}ElementAttributes_SP_SKU",$F1406,D$1)</f>
        <v>Primary</v>
      </c>
      <c r="E1406" s="24" t="str">
        <f>_xll.DBRW("TM1-S1_DEV:}ElementAttributes_SP_SKU",$F1406,E$1)</f>
        <v>CUP</v>
      </c>
      <c r="F1406" s="26" t="s">
        <v>3226</v>
      </c>
      <c r="G1406" s="26" t="s">
        <v>1352</v>
      </c>
      <c r="H1406" s="26" t="s">
        <v>2707</v>
      </c>
      <c r="I1406" s="54">
        <f>_xll.DBRW($A$1,$F$14,$F$15,$C1406,$A$2,$F1406,$G1406,$H1406,I$1)</f>
        <v>363</v>
      </c>
      <c r="J1406" s="25">
        <f>_xll.DBRW($A$1,$F$14,$F$15,$C1406,$A$2,$F1406,$G1406,$H1406,J$19)</f>
        <v>363</v>
      </c>
    </row>
    <row r="1407" spans="1:10" s="23" customFormat="1" outlineLevel="1" thickBot="1" x14ac:dyDescent="0.3">
      <c r="A1407" s="44"/>
      <c r="B1407" s="31" t="str">
        <f>IF(_xll.TM1RPTELISCONSOLIDATED($H$20,$H1407),IF(_xll.TM1RPTELLEV($H$20,$H1407)&lt;=5,_xll.TM1RPTELLEV($H$20,$H1407),"Default"),"Leaf")</f>
        <v>Leaf</v>
      </c>
      <c r="C1407" s="26" t="s">
        <v>16</v>
      </c>
      <c r="D1407" s="24" t="str">
        <f>_xll.DBRW("TM1-S1_DEV:}ElementAttributes_SP_SKU",$F1407,D$1)</f>
        <v>Primary</v>
      </c>
      <c r="E1407" s="24" t="str">
        <f>_xll.DBRW("TM1-S1_DEV:}ElementAttributes_SP_SKU",$F1407,E$1)</f>
        <v>TRAY</v>
      </c>
      <c r="F1407" s="26" t="s">
        <v>3228</v>
      </c>
      <c r="G1407" s="26" t="s">
        <v>1353</v>
      </c>
      <c r="H1407" s="26" t="s">
        <v>2708</v>
      </c>
      <c r="I1407" s="54">
        <f>_xll.DBRW($A$1,$F$14,$F$15,$C1407,$A$2,$F1407,$G1407,$H1407,I$1)</f>
        <v>124</v>
      </c>
      <c r="J1407" s="25">
        <f>_xll.DBRW($A$1,$F$14,$F$15,$C1407,$A$2,$F1407,$G1407,$H1407,J$19)</f>
        <v>124</v>
      </c>
    </row>
    <row r="1408" spans="1:10" s="23" customFormat="1" outlineLevel="1" thickBot="1" x14ac:dyDescent="0.3">
      <c r="A1408" s="44"/>
      <c r="B1408" s="31" t="str">
        <f>IF(_xll.TM1RPTELISCONSOLIDATED($H$20,$H1408),IF(_xll.TM1RPTELLEV($H$20,$H1408)&lt;=5,_xll.TM1RPTELLEV($H$20,$H1408),"Default"),"Leaf")</f>
        <v>Leaf</v>
      </c>
      <c r="C1408" s="26" t="s">
        <v>16</v>
      </c>
      <c r="D1408" s="24" t="str">
        <f>_xll.DBRW("TM1-S1_DEV:}ElementAttributes_SP_SKU",$F1408,D$1)</f>
        <v>Primary</v>
      </c>
      <c r="E1408" s="24" t="str">
        <f>_xll.DBRW("TM1-S1_DEV:}ElementAttributes_SP_SKU",$F1408,E$1)</f>
        <v>TRAY</v>
      </c>
      <c r="F1408" s="26" t="s">
        <v>3229</v>
      </c>
      <c r="G1408" s="26" t="s">
        <v>1354</v>
      </c>
      <c r="H1408" s="26" t="s">
        <v>2708</v>
      </c>
      <c r="I1408" s="54">
        <f>_xll.DBRW($A$1,$F$14,$F$15,$C1408,$A$2,$F1408,$G1408,$H1408,I$1)</f>
        <v>113</v>
      </c>
      <c r="J1408" s="25">
        <f>_xll.DBRW($A$1,$F$14,$F$15,$C1408,$A$2,$F1408,$G1408,$H1408,J$19)</f>
        <v>113</v>
      </c>
    </row>
    <row r="1409" spans="1:10" s="23" customFormat="1" outlineLevel="1" thickBot="1" x14ac:dyDescent="0.3">
      <c r="A1409" s="44"/>
      <c r="B1409" s="31" t="str">
        <f>IF(_xll.TM1RPTELISCONSOLIDATED($H$20,$H1409),IF(_xll.TM1RPTELLEV($H$20,$H1409)&lt;=5,_xll.TM1RPTELLEV($H$20,$H1409),"Default"),"Leaf")</f>
        <v>Leaf</v>
      </c>
      <c r="C1409" s="26" t="s">
        <v>16</v>
      </c>
      <c r="D1409" s="24" t="str">
        <f>_xll.DBRW("TM1-S1_DEV:}ElementAttributes_SP_SKU",$F1409,D$1)</f>
        <v>Primary</v>
      </c>
      <c r="E1409" s="24" t="str">
        <f>_xll.DBRW("TM1-S1_DEV:}ElementAttributes_SP_SKU",$F1409,E$1)</f>
        <v>PAPER</v>
      </c>
      <c r="F1409" s="26" t="s">
        <v>3239</v>
      </c>
      <c r="G1409" s="26" t="s">
        <v>1355</v>
      </c>
      <c r="H1409" s="26" t="s">
        <v>2715</v>
      </c>
      <c r="I1409" s="54">
        <f>_xll.DBRW($A$1,$F$14,$F$15,$C1409,$A$2,$F1409,$G1409,$H1409,I$1)</f>
        <v>212</v>
      </c>
      <c r="J1409" s="25">
        <f>_xll.DBRW($A$1,$F$14,$F$15,$C1409,$A$2,$F1409,$G1409,$H1409,J$19)</f>
        <v>212</v>
      </c>
    </row>
    <row r="1410" spans="1:10" s="23" customFormat="1" outlineLevel="1" thickBot="1" x14ac:dyDescent="0.3">
      <c r="A1410" s="44"/>
      <c r="B1410" s="31" t="str">
        <f>IF(_xll.TM1RPTELISCONSOLIDATED($H$20,$H1410),IF(_xll.TM1RPTELLEV($H$20,$H1410)&lt;=5,_xll.TM1RPTELLEV($H$20,$H1410),"Default"),"Leaf")</f>
        <v>Leaf</v>
      </c>
      <c r="C1410" s="26" t="s">
        <v>16</v>
      </c>
      <c r="D1410" s="24" t="str">
        <f>_xll.DBRW("TM1-S1_DEV:}ElementAttributes_SP_SKU",$F1410,D$1)</f>
        <v>Primary</v>
      </c>
      <c r="E1410" s="24" t="str">
        <f>_xll.DBRW("TM1-S1_DEV:}ElementAttributes_SP_SKU",$F1410,E$1)</f>
        <v>INGREDIENT</v>
      </c>
      <c r="F1410" s="26" t="s">
        <v>3240</v>
      </c>
      <c r="G1410" s="26" t="s">
        <v>1356</v>
      </c>
      <c r="H1410" s="26" t="s">
        <v>2728</v>
      </c>
      <c r="I1410" s="54">
        <f>_xll.DBRW($A$1,$F$14,$F$15,$C1410,$A$2,$F1410,$G1410,$H1410,I$1)</f>
        <v>330</v>
      </c>
      <c r="J1410" s="25">
        <f>_xll.DBRW($A$1,$F$14,$F$15,$C1410,$A$2,$F1410,$G1410,$H1410,J$19)</f>
        <v>330</v>
      </c>
    </row>
    <row r="1411" spans="1:10" s="23" customFormat="1" outlineLevel="1" thickBot="1" x14ac:dyDescent="0.3">
      <c r="A1411" s="44"/>
      <c r="B1411" s="31" t="str">
        <f>IF(_xll.TM1RPTELISCONSOLIDATED($H$20,$H1411),IF(_xll.TM1RPTELLEV($H$20,$H1411)&lt;=5,_xll.TM1RPTELLEV($H$20,$H1411),"Default"),"Leaf")</f>
        <v>Leaf</v>
      </c>
      <c r="C1411" s="26" t="s">
        <v>16</v>
      </c>
      <c r="D1411" s="24" t="str">
        <f>_xll.DBRW("TM1-S1_DEV:}ElementAttributes_SP_SKU",$F1411,D$1)</f>
        <v>Primary</v>
      </c>
      <c r="E1411" s="24" t="str">
        <f>_xll.DBRW("TM1-S1_DEV:}ElementAttributes_SP_SKU",$F1411,E$1)</f>
        <v>CONTAINER</v>
      </c>
      <c r="F1411" s="26" t="s">
        <v>3242</v>
      </c>
      <c r="G1411" s="26" t="s">
        <v>1357</v>
      </c>
      <c r="H1411" s="26" t="s">
        <v>2708</v>
      </c>
      <c r="I1411" s="54">
        <f>_xll.DBRW($A$1,$F$14,$F$15,$C1411,$A$2,$F1411,$G1411,$H1411,I$1)</f>
        <v>923</v>
      </c>
      <c r="J1411" s="25">
        <f>_xll.DBRW($A$1,$F$14,$F$15,$C1411,$A$2,$F1411,$G1411,$H1411,J$19)</f>
        <v>923</v>
      </c>
    </row>
    <row r="1412" spans="1:10" s="23" customFormat="1" outlineLevel="1" thickBot="1" x14ac:dyDescent="0.3">
      <c r="A1412" s="44"/>
      <c r="B1412" s="31" t="str">
        <f>IF(_xll.TM1RPTELISCONSOLIDATED($H$20,$H1412),IF(_xll.TM1RPTELLEV($H$20,$H1412)&lt;=5,_xll.TM1RPTELLEV($H$20,$H1412),"Default"),"Leaf")</f>
        <v>Leaf</v>
      </c>
      <c r="C1412" s="26" t="s">
        <v>16</v>
      </c>
      <c r="D1412" s="24" t="str">
        <f>_xll.DBRW("TM1-S1_DEV:}ElementAttributes_SP_SKU",$F1412,D$1)</f>
        <v>Primary</v>
      </c>
      <c r="E1412" s="24" t="str">
        <f>_xll.DBRW("TM1-S1_DEV:}ElementAttributes_SP_SKU",$F1412,E$1)</f>
        <v>PROTEIN</v>
      </c>
      <c r="F1412" s="26" t="s">
        <v>3244</v>
      </c>
      <c r="G1412" s="26" t="s">
        <v>3042</v>
      </c>
      <c r="H1412" s="26" t="s">
        <v>2670</v>
      </c>
      <c r="I1412" s="54">
        <f>_xll.DBRW($A$1,$F$14,$F$15,$C1412,$A$2,$F1412,$G1412,$H1412,I$1)</f>
        <v>556</v>
      </c>
      <c r="J1412" s="25">
        <f>_xll.DBRW($A$1,$F$14,$F$15,$C1412,$A$2,$F1412,$G1412,$H1412,J$19)</f>
        <v>556</v>
      </c>
    </row>
    <row r="1413" spans="1:10" s="23" customFormat="1" outlineLevel="1" thickBot="1" x14ac:dyDescent="0.3">
      <c r="A1413" s="44"/>
      <c r="B1413" s="31" t="str">
        <f>IF(_xll.TM1RPTELISCONSOLIDATED($H$20,$H1413),IF(_xll.TM1RPTELLEV($H$20,$H1413)&lt;=5,_xll.TM1RPTELLEV($H$20,$H1413),"Default"),"Leaf")</f>
        <v>Leaf</v>
      </c>
      <c r="C1413" s="26" t="s">
        <v>16</v>
      </c>
      <c r="D1413" s="24" t="str">
        <f>_xll.DBRW("TM1-S1_DEV:}ElementAttributes_SP_SKU",$F1413,D$1)</f>
        <v>Primary</v>
      </c>
      <c r="E1413" s="24" t="str">
        <f>_xll.DBRW("TM1-S1_DEV:}ElementAttributes_SP_SKU",$F1413,E$1)</f>
        <v>PAD</v>
      </c>
      <c r="F1413" s="26" t="s">
        <v>3245</v>
      </c>
      <c r="G1413" s="26" t="s">
        <v>1358</v>
      </c>
      <c r="H1413" s="26" t="s">
        <v>2731</v>
      </c>
      <c r="I1413" s="54">
        <f>_xll.DBRW($A$1,$F$14,$F$15,$C1413,$A$2,$F1413,$G1413,$H1413,I$1)</f>
        <v>623</v>
      </c>
      <c r="J1413" s="25">
        <f>_xll.DBRW($A$1,$F$14,$F$15,$C1413,$A$2,$F1413,$G1413,$H1413,J$19)</f>
        <v>623</v>
      </c>
    </row>
    <row r="1414" spans="1:10" s="23" customFormat="1" outlineLevel="1" thickBot="1" x14ac:dyDescent="0.3">
      <c r="A1414" s="44"/>
      <c r="B1414" s="31" t="str">
        <f>IF(_xll.TM1RPTELISCONSOLIDATED($H$20,$H1414),IF(_xll.TM1RPTELLEV($H$20,$H1414)&lt;=5,_xll.TM1RPTELLEV($H$20,$H1414),"Default"),"Leaf")</f>
        <v>Leaf</v>
      </c>
      <c r="C1414" s="26" t="s">
        <v>17</v>
      </c>
      <c r="D1414" s="24" t="str">
        <f>_xll.DBRW("TM1-S1_DEV:}ElementAttributes_SP_SKU",$F1414,D$1)</f>
        <v>Primary</v>
      </c>
      <c r="E1414" s="24" t="str">
        <f>_xll.DBRW("TM1-S1_DEV:}ElementAttributes_SP_SKU",$F1414,E$1)</f>
        <v>PROTEIN</v>
      </c>
      <c r="F1414" s="26" t="s">
        <v>3270</v>
      </c>
      <c r="G1414" s="26" t="s">
        <v>1359</v>
      </c>
      <c r="H1414" s="26" t="s">
        <v>2670</v>
      </c>
      <c r="I1414" s="54">
        <f>_xll.DBRW($A$1,$F$14,$F$15,$C1414,$A$2,$F1414,$G1414,$H1414,I$1)</f>
        <v>886</v>
      </c>
      <c r="J1414" s="25">
        <f>_xll.DBRW($A$1,$F$14,$F$15,$C1414,$A$2,$F1414,$G1414,$H1414,J$19)</f>
        <v>7</v>
      </c>
    </row>
    <row r="1415" spans="1:10" s="23" customFormat="1" outlineLevel="1" thickBot="1" x14ac:dyDescent="0.3">
      <c r="A1415" s="44"/>
      <c r="B1415" s="31" t="str">
        <f>IF(_xll.TM1RPTELISCONSOLIDATED($H$20,$H1415),IF(_xll.TM1RPTELLEV($H$20,$H1415)&lt;=5,_xll.TM1RPTELLEV($H$20,$H1415),"Default"),"Leaf")</f>
        <v>Leaf</v>
      </c>
      <c r="C1415" s="26" t="s">
        <v>17</v>
      </c>
      <c r="D1415" s="24" t="str">
        <f>_xll.DBRW("TM1-S1_DEV:}ElementAttributes_SP_SKU",$F1415,D$1)</f>
        <v>Primary</v>
      </c>
      <c r="E1415" s="24" t="str">
        <f>_xll.DBRW("TM1-S1_DEV:}ElementAttributes_SP_SKU",$F1415,E$1)</f>
        <v>PROTEIN</v>
      </c>
      <c r="F1415" s="26" t="s">
        <v>3105</v>
      </c>
      <c r="G1415" s="26" t="s">
        <v>1360</v>
      </c>
      <c r="H1415" s="26" t="s">
        <v>2670</v>
      </c>
      <c r="I1415" s="54">
        <f>_xll.DBRW($A$1,$F$14,$F$15,$C1415,$A$2,$F1415,$G1415,$H1415,I$1)</f>
        <v>1026</v>
      </c>
      <c r="J1415" s="25">
        <f>_xll.DBRW($A$1,$F$14,$F$15,$C1415,$A$2,$F1415,$G1415,$H1415,J$19)</f>
        <v>10</v>
      </c>
    </row>
    <row r="1416" spans="1:10" s="23" customFormat="1" outlineLevel="1" thickBot="1" x14ac:dyDescent="0.3">
      <c r="A1416" s="44"/>
      <c r="B1416" s="31" t="str">
        <f>IF(_xll.TM1RPTELISCONSOLIDATED($H$20,$H1416),IF(_xll.TM1RPTELLEV($H$20,$H1416)&lt;=5,_xll.TM1RPTELLEV($H$20,$H1416),"Default"),"Leaf")</f>
        <v>Leaf</v>
      </c>
      <c r="C1416" s="26" t="s">
        <v>17</v>
      </c>
      <c r="D1416" s="24" t="str">
        <f>_xll.DBRW("TM1-S1_DEV:}ElementAttributes_SP_SKU",$F1416,D$1)</f>
        <v>Primary</v>
      </c>
      <c r="E1416" s="24" t="str">
        <f>_xll.DBRW("TM1-S1_DEV:}ElementAttributes_SP_SKU",$F1416,E$1)</f>
        <v>PROTEIN</v>
      </c>
      <c r="F1416" s="26" t="s">
        <v>3106</v>
      </c>
      <c r="G1416" s="26" t="s">
        <v>1361</v>
      </c>
      <c r="H1416" s="26" t="s">
        <v>2670</v>
      </c>
      <c r="I1416" s="54">
        <f>_xll.DBRW($A$1,$F$14,$F$15,$C1416,$A$2,$F1416,$G1416,$H1416,I$1)</f>
        <v>955</v>
      </c>
      <c r="J1416" s="25">
        <f>_xll.DBRW($A$1,$F$14,$F$15,$C1416,$A$2,$F1416,$G1416,$H1416,J$19)</f>
        <v>955</v>
      </c>
    </row>
    <row r="1417" spans="1:10" s="23" customFormat="1" outlineLevel="1" thickBot="1" x14ac:dyDescent="0.3">
      <c r="A1417" s="44"/>
      <c r="B1417" s="31" t="str">
        <f>IF(_xll.TM1RPTELISCONSOLIDATED($H$20,$H1417),IF(_xll.TM1RPTELLEV($H$20,$H1417)&lt;=5,_xll.TM1RPTELLEV($H$20,$H1417),"Default"),"Leaf")</f>
        <v>Leaf</v>
      </c>
      <c r="C1417" s="26" t="s">
        <v>17</v>
      </c>
      <c r="D1417" s="24" t="str">
        <f>_xll.DBRW("TM1-S1_DEV:}ElementAttributes_SP_SKU",$F1417,D$1)</f>
        <v>Primary</v>
      </c>
      <c r="E1417" s="24" t="str">
        <f>_xll.DBRW("TM1-S1_DEV:}ElementAttributes_SP_SKU",$F1417,E$1)</f>
        <v>HAM</v>
      </c>
      <c r="F1417" s="26" t="s">
        <v>3107</v>
      </c>
      <c r="G1417" s="26" t="s">
        <v>1362</v>
      </c>
      <c r="H1417" s="26" t="s">
        <v>2670</v>
      </c>
      <c r="I1417" s="54">
        <f>_xll.DBRW($A$1,$F$14,$F$15,$C1417,$A$2,$F1417,$G1417,$H1417,I$1)</f>
        <v>193</v>
      </c>
      <c r="J1417" s="25">
        <f>_xll.DBRW($A$1,$F$14,$F$15,$C1417,$A$2,$F1417,$G1417,$H1417,J$19)</f>
        <v>193</v>
      </c>
    </row>
    <row r="1418" spans="1:10" s="23" customFormat="1" outlineLevel="1" thickBot="1" x14ac:dyDescent="0.3">
      <c r="A1418" s="44"/>
      <c r="B1418" s="31" t="str">
        <f>IF(_xll.TM1RPTELISCONSOLIDATED($H$20,$H1418),IF(_xll.TM1RPTELLEV($H$20,$H1418)&lt;=5,_xll.TM1RPTELLEV($H$20,$H1418),"Default"),"Leaf")</f>
        <v>Leaf</v>
      </c>
      <c r="C1418" s="26" t="s">
        <v>17</v>
      </c>
      <c r="D1418" s="24" t="str">
        <f>_xll.DBRW("TM1-S1_DEV:}ElementAttributes_SP_SKU",$F1418,D$1)</f>
        <v>Primary</v>
      </c>
      <c r="E1418" s="24" t="str">
        <f>_xll.DBRW("TM1-S1_DEV:}ElementAttributes_SP_SKU",$F1418,E$1)</f>
        <v>HAM</v>
      </c>
      <c r="F1418" s="26" t="s">
        <v>3108</v>
      </c>
      <c r="G1418" s="26" t="s">
        <v>1363</v>
      </c>
      <c r="H1418" s="26" t="s">
        <v>2670</v>
      </c>
      <c r="I1418" s="54">
        <f>_xll.DBRW($A$1,$F$14,$F$15,$C1418,$A$2,$F1418,$G1418,$H1418,I$1)</f>
        <v>300</v>
      </c>
      <c r="J1418" s="25">
        <f>_xll.DBRW($A$1,$F$14,$F$15,$C1418,$A$2,$F1418,$G1418,$H1418,J$19)</f>
        <v>300</v>
      </c>
    </row>
    <row r="1419" spans="1:10" s="23" customFormat="1" outlineLevel="1" thickBot="1" x14ac:dyDescent="0.3">
      <c r="A1419" s="44"/>
      <c r="B1419" s="31" t="str">
        <f>IF(_xll.TM1RPTELISCONSOLIDATED($H$20,$H1419),IF(_xll.TM1RPTELLEV($H$20,$H1419)&lt;=5,_xll.TM1RPTELLEV($H$20,$H1419),"Default"),"Leaf")</f>
        <v>Leaf</v>
      </c>
      <c r="C1419" s="26" t="s">
        <v>17</v>
      </c>
      <c r="D1419" s="24" t="str">
        <f>_xll.DBRW("TM1-S1_DEV:}ElementAttributes_SP_SKU",$F1419,D$1)</f>
        <v>Primary</v>
      </c>
      <c r="E1419" s="24" t="str">
        <f>_xll.DBRW("TM1-S1_DEV:}ElementAttributes_SP_SKU",$F1419,E$1)</f>
        <v>HAM</v>
      </c>
      <c r="F1419" s="26" t="s">
        <v>3109</v>
      </c>
      <c r="G1419" s="26" t="s">
        <v>1364</v>
      </c>
      <c r="H1419" s="26" t="s">
        <v>2670</v>
      </c>
      <c r="I1419" s="54">
        <f>_xll.DBRW($A$1,$F$14,$F$15,$C1419,$A$2,$F1419,$G1419,$H1419,I$1)</f>
        <v>1518</v>
      </c>
      <c r="J1419" s="25">
        <f>_xll.DBRW($A$1,$F$14,$F$15,$C1419,$A$2,$F1419,$G1419,$H1419,J$19)</f>
        <v>1518</v>
      </c>
    </row>
    <row r="1420" spans="1:10" s="23" customFormat="1" outlineLevel="1" thickBot="1" x14ac:dyDescent="0.3">
      <c r="A1420" s="44"/>
      <c r="B1420" s="31" t="str">
        <f>IF(_xll.TM1RPTELISCONSOLIDATED($H$20,$H1420),IF(_xll.TM1RPTELLEV($H$20,$H1420)&lt;=5,_xll.TM1RPTELLEV($H$20,$H1420),"Default"),"Leaf")</f>
        <v>Leaf</v>
      </c>
      <c r="C1420" s="26" t="s">
        <v>17</v>
      </c>
      <c r="D1420" s="24" t="str">
        <f>_xll.DBRW("TM1-S1_DEV:}ElementAttributes_SP_SKU",$F1420,D$1)</f>
        <v>Primary</v>
      </c>
      <c r="E1420" s="24" t="str">
        <f>_xll.DBRW("TM1-S1_DEV:}ElementAttributes_SP_SKU",$F1420,E$1)</f>
        <v>TURKEY</v>
      </c>
      <c r="F1420" s="26" t="s">
        <v>3110</v>
      </c>
      <c r="G1420" s="26" t="s">
        <v>1365</v>
      </c>
      <c r="H1420" s="26" t="s">
        <v>2671</v>
      </c>
      <c r="I1420" s="54">
        <f>_xll.DBRW($A$1,$F$14,$F$15,$C1420,$A$2,$F1420,$G1420,$H1420,I$1)</f>
        <v>332</v>
      </c>
      <c r="J1420" s="25">
        <f>_xll.DBRW($A$1,$F$14,$F$15,$C1420,$A$2,$F1420,$G1420,$H1420,J$19)</f>
        <v>101</v>
      </c>
    </row>
    <row r="1421" spans="1:10" s="23" customFormat="1" outlineLevel="1" thickBot="1" x14ac:dyDescent="0.3">
      <c r="A1421" s="44"/>
      <c r="B1421" s="31" t="str">
        <f>IF(_xll.TM1RPTELISCONSOLIDATED($H$20,$H1421),IF(_xll.TM1RPTELLEV($H$20,$H1421)&lt;=5,_xll.TM1RPTELLEV($H$20,$H1421),"Default"),"Leaf")</f>
        <v>Leaf</v>
      </c>
      <c r="C1421" s="26" t="s">
        <v>17</v>
      </c>
      <c r="D1421" s="24" t="str">
        <f>_xll.DBRW("TM1-S1_DEV:}ElementAttributes_SP_SKU",$F1421,D$1)</f>
        <v>Primary</v>
      </c>
      <c r="E1421" s="24" t="str">
        <f>_xll.DBRW("TM1-S1_DEV:}ElementAttributes_SP_SKU",$F1421,E$1)</f>
        <v>TURKEY</v>
      </c>
      <c r="F1421" s="26" t="s">
        <v>3111</v>
      </c>
      <c r="G1421" s="26" t="s">
        <v>1366</v>
      </c>
      <c r="H1421" s="26" t="s">
        <v>2671</v>
      </c>
      <c r="I1421" s="54">
        <f>_xll.DBRW($A$1,$F$14,$F$15,$C1421,$A$2,$F1421,$G1421,$H1421,I$1)</f>
        <v>372</v>
      </c>
      <c r="J1421" s="25">
        <f>_xll.DBRW($A$1,$F$14,$F$15,$C1421,$A$2,$F1421,$G1421,$H1421,J$19)</f>
        <v>133</v>
      </c>
    </row>
    <row r="1422" spans="1:10" s="23" customFormat="1" outlineLevel="1" thickBot="1" x14ac:dyDescent="0.3">
      <c r="A1422" s="44"/>
      <c r="B1422" s="31" t="str">
        <f>IF(_xll.TM1RPTELISCONSOLIDATED($H$20,$H1422),IF(_xll.TM1RPTELLEV($H$20,$H1422)&lt;=5,_xll.TM1RPTELLEV($H$20,$H1422),"Default"),"Leaf")</f>
        <v>Leaf</v>
      </c>
      <c r="C1422" s="26" t="s">
        <v>17</v>
      </c>
      <c r="D1422" s="24" t="str">
        <f>_xll.DBRW("TM1-S1_DEV:}ElementAttributes_SP_SKU",$F1422,D$1)</f>
        <v>Primary</v>
      </c>
      <c r="E1422" s="24" t="str">
        <f>_xll.DBRW("TM1-S1_DEV:}ElementAttributes_SP_SKU",$F1422,E$1)</f>
        <v>PROTEIN</v>
      </c>
      <c r="F1422" s="26" t="s">
        <v>3112</v>
      </c>
      <c r="G1422" s="26" t="s">
        <v>1367</v>
      </c>
      <c r="H1422" s="26" t="s">
        <v>2672</v>
      </c>
      <c r="I1422" s="54">
        <f>_xll.DBRW($A$1,$F$14,$F$15,$C1422,$A$2,$F1422,$G1422,$H1422,I$1)</f>
        <v>59</v>
      </c>
      <c r="J1422" s="25">
        <f>_xll.DBRW($A$1,$F$14,$F$15,$C1422,$A$2,$F1422,$G1422,$H1422,J$19)</f>
        <v>47</v>
      </c>
    </row>
    <row r="1423" spans="1:10" s="23" customFormat="1" outlineLevel="1" thickBot="1" x14ac:dyDescent="0.3">
      <c r="A1423" s="44"/>
      <c r="B1423" s="31" t="str">
        <f>IF(_xll.TM1RPTELISCONSOLIDATED($H$20,$H1423),IF(_xll.TM1RPTELLEV($H$20,$H1423)&lt;=5,_xll.TM1RPTELLEV($H$20,$H1423),"Default"),"Leaf")</f>
        <v>Leaf</v>
      </c>
      <c r="C1423" s="26" t="s">
        <v>17</v>
      </c>
      <c r="D1423" s="24" t="str">
        <f>_xll.DBRW("TM1-S1_DEV:}ElementAttributes_SP_SKU",$F1423,D$1)</f>
        <v>Primary</v>
      </c>
      <c r="E1423" s="24" t="str">
        <f>_xll.DBRW("TM1-S1_DEV:}ElementAttributes_SP_SKU",$F1423,E$1)</f>
        <v>PROTEIN</v>
      </c>
      <c r="F1423" s="26" t="s">
        <v>3113</v>
      </c>
      <c r="G1423" s="26" t="s">
        <v>1368</v>
      </c>
      <c r="H1423" s="26" t="s">
        <v>2673</v>
      </c>
      <c r="I1423" s="54">
        <f>_xll.DBRW($A$1,$F$14,$F$15,$C1423,$A$2,$F1423,$G1423,$H1423,I$1)</f>
        <v>6</v>
      </c>
      <c r="J1423" s="25">
        <f>_xll.DBRW($A$1,$F$14,$F$15,$C1423,$A$2,$F1423,$G1423,$H1423,J$19)</f>
        <v>6</v>
      </c>
    </row>
    <row r="1424" spans="1:10" s="23" customFormat="1" outlineLevel="1" thickBot="1" x14ac:dyDescent="0.3">
      <c r="A1424" s="44"/>
      <c r="B1424" s="31" t="str">
        <f>IF(_xll.TM1RPTELISCONSOLIDATED($H$20,$H1424),IF(_xll.TM1RPTELLEV($H$20,$H1424)&lt;=5,_xll.TM1RPTELLEV($H$20,$H1424),"Default"),"Leaf")</f>
        <v>Leaf</v>
      </c>
      <c r="C1424" s="26" t="s">
        <v>17</v>
      </c>
      <c r="D1424" s="24" t="str">
        <f>_xll.DBRW("TM1-S1_DEV:}ElementAttributes_SP_SKU",$F1424,D$1)</f>
        <v>Primary</v>
      </c>
      <c r="E1424" s="24" t="str">
        <f>_xll.DBRW("TM1-S1_DEV:}ElementAttributes_SP_SKU",$F1424,E$1)</f>
        <v>PROTEIN</v>
      </c>
      <c r="F1424" s="26" t="s">
        <v>3114</v>
      </c>
      <c r="G1424" s="26" t="s">
        <v>1369</v>
      </c>
      <c r="H1424" s="26" t="s">
        <v>2672</v>
      </c>
      <c r="I1424" s="54">
        <f>_xll.DBRW($A$1,$F$14,$F$15,$C1424,$A$2,$F1424,$G1424,$H1424,I$1)</f>
        <v>57</v>
      </c>
      <c r="J1424" s="25">
        <f>_xll.DBRW($A$1,$F$14,$F$15,$C1424,$A$2,$F1424,$G1424,$H1424,J$19)</f>
        <v>38</v>
      </c>
    </row>
    <row r="1425" spans="1:10" s="23" customFormat="1" outlineLevel="1" thickBot="1" x14ac:dyDescent="0.3">
      <c r="A1425" s="44"/>
      <c r="B1425" s="31" t="str">
        <f>IF(_xll.TM1RPTELISCONSOLIDATED($H$20,$H1425),IF(_xll.TM1RPTELLEV($H$20,$H1425)&lt;=5,_xll.TM1RPTELLEV($H$20,$H1425),"Default"),"Leaf")</f>
        <v>Leaf</v>
      </c>
      <c r="C1425" s="26" t="s">
        <v>17</v>
      </c>
      <c r="D1425" s="24" t="str">
        <f>_xll.DBRW("TM1-S1_DEV:}ElementAttributes_SP_SKU",$F1425,D$1)</f>
        <v>Primary</v>
      </c>
      <c r="E1425" s="24" t="str">
        <f>_xll.DBRW("TM1-S1_DEV:}ElementAttributes_SP_SKU",$F1425,E$1)</f>
        <v>PROTEIN</v>
      </c>
      <c r="F1425" s="26" t="s">
        <v>3115</v>
      </c>
      <c r="G1425" s="26" t="s">
        <v>1370</v>
      </c>
      <c r="H1425" s="26" t="s">
        <v>2672</v>
      </c>
      <c r="I1425" s="54">
        <f>_xll.DBRW($A$1,$F$14,$F$15,$C1425,$A$2,$F1425,$G1425,$H1425,I$1)</f>
        <v>69</v>
      </c>
      <c r="J1425" s="25">
        <f>_xll.DBRW($A$1,$F$14,$F$15,$C1425,$A$2,$F1425,$G1425,$H1425,J$19)</f>
        <v>51</v>
      </c>
    </row>
    <row r="1426" spans="1:10" s="23" customFormat="1" outlineLevel="1" thickBot="1" x14ac:dyDescent="0.3">
      <c r="A1426" s="44"/>
      <c r="B1426" s="31" t="str">
        <f>IF(_xll.TM1RPTELISCONSOLIDATED($H$20,$H1426),IF(_xll.TM1RPTELLEV($H$20,$H1426)&lt;=5,_xll.TM1RPTELLEV($H$20,$H1426),"Default"),"Leaf")</f>
        <v>Leaf</v>
      </c>
      <c r="C1426" s="26" t="s">
        <v>17</v>
      </c>
      <c r="D1426" s="24" t="str">
        <f>_xll.DBRW("TM1-S1_DEV:}ElementAttributes_SP_SKU",$F1426,D$1)</f>
        <v>Primary</v>
      </c>
      <c r="E1426" s="24" t="str">
        <f>_xll.DBRW("TM1-S1_DEV:}ElementAttributes_SP_SKU",$F1426,E$1)</f>
        <v>SOUP</v>
      </c>
      <c r="F1426" s="26" t="s">
        <v>3116</v>
      </c>
      <c r="G1426" s="26" t="s">
        <v>1371</v>
      </c>
      <c r="H1426" s="26" t="s">
        <v>2674</v>
      </c>
      <c r="I1426" s="54">
        <f>_xll.DBRW($A$1,$F$14,$F$15,$C1426,$A$2,$F1426,$G1426,$H1426,I$1)</f>
        <v>19</v>
      </c>
      <c r="J1426" s="25">
        <f>_xll.DBRW($A$1,$F$14,$F$15,$C1426,$A$2,$F1426,$G1426,$H1426,J$19)</f>
        <v>8</v>
      </c>
    </row>
    <row r="1427" spans="1:10" s="23" customFormat="1" outlineLevel="1" thickBot="1" x14ac:dyDescent="0.3">
      <c r="A1427" s="44"/>
      <c r="B1427" s="31" t="str">
        <f>IF(_xll.TM1RPTELISCONSOLIDATED($H$20,$H1427),IF(_xll.TM1RPTELLEV($H$20,$H1427)&lt;=5,_xll.TM1RPTELLEV($H$20,$H1427),"Default"),"Leaf")</f>
        <v>Leaf</v>
      </c>
      <c r="C1427" s="26" t="s">
        <v>17</v>
      </c>
      <c r="D1427" s="24" t="str">
        <f>_xll.DBRW("TM1-S1_DEV:}ElementAttributes_SP_SKU",$F1427,D$1)</f>
        <v>Primary</v>
      </c>
      <c r="E1427" s="24" t="str">
        <f>_xll.DBRW("TM1-S1_DEV:}ElementAttributes_SP_SKU",$F1427,E$1)</f>
        <v>SOUP</v>
      </c>
      <c r="F1427" s="26" t="s">
        <v>3117</v>
      </c>
      <c r="G1427" s="26" t="s">
        <v>1372</v>
      </c>
      <c r="H1427" s="26" t="s">
        <v>2674</v>
      </c>
      <c r="I1427" s="54">
        <f>_xll.DBRW($A$1,$F$14,$F$15,$C1427,$A$2,$F1427,$G1427,$H1427,I$1)</f>
        <v>16</v>
      </c>
      <c r="J1427" s="25">
        <f>_xll.DBRW($A$1,$F$14,$F$15,$C1427,$A$2,$F1427,$G1427,$H1427,J$19)</f>
        <v>7</v>
      </c>
    </row>
    <row r="1428" spans="1:10" s="23" customFormat="1" outlineLevel="1" thickBot="1" x14ac:dyDescent="0.3">
      <c r="A1428" s="44"/>
      <c r="B1428" s="31" t="str">
        <f>IF(_xll.TM1RPTELISCONSOLIDATED($H$20,$H1428),IF(_xll.TM1RPTELLEV($H$20,$H1428)&lt;=5,_xll.TM1RPTELLEV($H$20,$H1428),"Default"),"Leaf")</f>
        <v>Leaf</v>
      </c>
      <c r="C1428" s="26" t="s">
        <v>17</v>
      </c>
      <c r="D1428" s="24" t="str">
        <f>_xll.DBRW("TM1-S1_DEV:}ElementAttributes_SP_SKU",$F1428,D$1)</f>
        <v>Primary</v>
      </c>
      <c r="E1428" s="24" t="str">
        <f>_xll.DBRW("TM1-S1_DEV:}ElementAttributes_SP_SKU",$F1428,E$1)</f>
        <v>SOUP</v>
      </c>
      <c r="F1428" s="26" t="s">
        <v>3118</v>
      </c>
      <c r="G1428" s="26" t="s">
        <v>1373</v>
      </c>
      <c r="H1428" s="26" t="s">
        <v>2674</v>
      </c>
      <c r="I1428" s="54">
        <f>_xll.DBRW($A$1,$F$14,$F$15,$C1428,$A$2,$F1428,$G1428,$H1428,I$1)</f>
        <v>23</v>
      </c>
      <c r="J1428" s="25">
        <f>_xll.DBRW($A$1,$F$14,$F$15,$C1428,$A$2,$F1428,$G1428,$H1428,J$19)</f>
        <v>13</v>
      </c>
    </row>
    <row r="1429" spans="1:10" s="23" customFormat="1" outlineLevel="1" thickBot="1" x14ac:dyDescent="0.3">
      <c r="A1429" s="44"/>
      <c r="B1429" s="31" t="str">
        <f>IF(_xll.TM1RPTELISCONSOLIDATED($H$20,$H1429),IF(_xll.TM1RPTELLEV($H$20,$H1429)&lt;=5,_xll.TM1RPTELLEV($H$20,$H1429),"Default"),"Leaf")</f>
        <v>Leaf</v>
      </c>
      <c r="C1429" s="26" t="s">
        <v>17</v>
      </c>
      <c r="D1429" s="24" t="str">
        <f>_xll.DBRW("TM1-S1_DEV:}ElementAttributes_SP_SKU",$F1429,D$1)</f>
        <v>Primary</v>
      </c>
      <c r="E1429" s="24" t="str">
        <f>_xll.DBRW("TM1-S1_DEV:}ElementAttributes_SP_SKU",$F1429,E$1)</f>
        <v>PROTEIN</v>
      </c>
      <c r="F1429" s="26" t="s">
        <v>3119</v>
      </c>
      <c r="G1429" s="26" t="s">
        <v>1374</v>
      </c>
      <c r="H1429" s="26" t="s">
        <v>2670</v>
      </c>
      <c r="I1429" s="54">
        <f>_xll.DBRW($A$1,$F$14,$F$15,$C1429,$A$2,$F1429,$G1429,$H1429,I$1)</f>
        <v>24</v>
      </c>
      <c r="J1429" s="25">
        <f>_xll.DBRW($A$1,$F$14,$F$15,$C1429,$A$2,$F1429,$G1429,$H1429,J$19)</f>
        <v>17</v>
      </c>
    </row>
    <row r="1430" spans="1:10" s="23" customFormat="1" outlineLevel="1" thickBot="1" x14ac:dyDescent="0.3">
      <c r="A1430" s="44"/>
      <c r="B1430" s="31" t="str">
        <f>IF(_xll.TM1RPTELISCONSOLIDATED($H$20,$H1430),IF(_xll.TM1RPTELLEV($H$20,$H1430)&lt;=5,_xll.TM1RPTELLEV($H$20,$H1430),"Default"),"Leaf")</f>
        <v>Leaf</v>
      </c>
      <c r="C1430" s="26" t="s">
        <v>17</v>
      </c>
      <c r="D1430" s="24" t="str">
        <f>_xll.DBRW("TM1-S1_DEV:}ElementAttributes_SP_SKU",$F1430,D$1)</f>
        <v>Primary</v>
      </c>
      <c r="E1430" s="24" t="str">
        <f>_xll.DBRW("TM1-S1_DEV:}ElementAttributes_SP_SKU",$F1430,E$1)</f>
        <v>PROTEIN</v>
      </c>
      <c r="F1430" s="26" t="s">
        <v>3120</v>
      </c>
      <c r="G1430" s="26" t="s">
        <v>1375</v>
      </c>
      <c r="H1430" s="26" t="s">
        <v>2670</v>
      </c>
      <c r="I1430" s="54">
        <f>_xll.DBRW($A$1,$F$14,$F$15,$C1430,$A$2,$F1430,$G1430,$H1430,I$1)</f>
        <v>13</v>
      </c>
      <c r="J1430" s="25">
        <f>_xll.DBRW($A$1,$F$14,$F$15,$C1430,$A$2,$F1430,$G1430,$H1430,J$19)</f>
        <v>11</v>
      </c>
    </row>
    <row r="1431" spans="1:10" s="23" customFormat="1" outlineLevel="1" thickBot="1" x14ac:dyDescent="0.3">
      <c r="A1431" s="44"/>
      <c r="B1431" s="31" t="str">
        <f>IF(_xll.TM1RPTELISCONSOLIDATED($H$20,$H1431),IF(_xll.TM1RPTELLEV($H$20,$H1431)&lt;=5,_xll.TM1RPTELLEV($H$20,$H1431),"Default"),"Leaf")</f>
        <v>Leaf</v>
      </c>
      <c r="C1431" s="26" t="s">
        <v>17</v>
      </c>
      <c r="D1431" s="24" t="str">
        <f>_xll.DBRW("TM1-S1_DEV:}ElementAttributes_SP_SKU",$F1431,D$1)</f>
        <v>Primary</v>
      </c>
      <c r="E1431" s="24" t="str">
        <f>_xll.DBRW("TM1-S1_DEV:}ElementAttributes_SP_SKU",$F1431,E$1)</f>
        <v>SOUP</v>
      </c>
      <c r="F1431" s="26" t="s">
        <v>3121</v>
      </c>
      <c r="G1431" s="26" t="s">
        <v>1376</v>
      </c>
      <c r="H1431" s="26" t="s">
        <v>2675</v>
      </c>
      <c r="I1431" s="54">
        <f>_xll.DBRW($A$1,$F$14,$F$15,$C1431,$A$2,$F1431,$G1431,$H1431,I$1)</f>
        <v>11</v>
      </c>
      <c r="J1431" s="25">
        <f>_xll.DBRW($A$1,$F$14,$F$15,$C1431,$A$2,$F1431,$G1431,$H1431,J$19)</f>
        <v>7</v>
      </c>
    </row>
    <row r="1432" spans="1:10" s="23" customFormat="1" outlineLevel="1" thickBot="1" x14ac:dyDescent="0.3">
      <c r="A1432" s="44"/>
      <c r="B1432" s="31" t="str">
        <f>IF(_xll.TM1RPTELISCONSOLIDATED($H$20,$H1432),IF(_xll.TM1RPTELLEV($H$20,$H1432)&lt;=5,_xll.TM1RPTELLEV($H$20,$H1432),"Default"),"Leaf")</f>
        <v>Leaf</v>
      </c>
      <c r="C1432" s="26" t="s">
        <v>17</v>
      </c>
      <c r="D1432" s="24" t="str">
        <f>_xll.DBRW("TM1-S1_DEV:}ElementAttributes_SP_SKU",$F1432,D$1)</f>
        <v>Primary</v>
      </c>
      <c r="E1432" s="24" t="str">
        <f>_xll.DBRW("TM1-S1_DEV:}ElementAttributes_SP_SKU",$F1432,E$1)</f>
        <v>SOUP</v>
      </c>
      <c r="F1432" s="26" t="s">
        <v>3122</v>
      </c>
      <c r="G1432" s="26" t="s">
        <v>1377</v>
      </c>
      <c r="H1432" s="26" t="s">
        <v>2675</v>
      </c>
      <c r="I1432" s="54">
        <f>_xll.DBRW($A$1,$F$14,$F$15,$C1432,$A$2,$F1432,$G1432,$H1432,I$1)</f>
        <v>7</v>
      </c>
      <c r="J1432" s="25">
        <f>_xll.DBRW($A$1,$F$14,$F$15,$C1432,$A$2,$F1432,$G1432,$H1432,J$19)</f>
        <v>4</v>
      </c>
    </row>
    <row r="1433" spans="1:10" s="23" customFormat="1" outlineLevel="1" thickBot="1" x14ac:dyDescent="0.3">
      <c r="A1433" s="44"/>
      <c r="B1433" s="31" t="str">
        <f>IF(_xll.TM1RPTELISCONSOLIDATED($H$20,$H1433),IF(_xll.TM1RPTELLEV($H$20,$H1433)&lt;=5,_xll.TM1RPTELLEV($H$20,$H1433),"Default"),"Leaf")</f>
        <v>Leaf</v>
      </c>
      <c r="C1433" s="26" t="s">
        <v>17</v>
      </c>
      <c r="D1433" s="24" t="str">
        <f>_xll.DBRW("TM1-S1_DEV:}ElementAttributes_SP_SKU",$F1433,D$1)</f>
        <v>Primary</v>
      </c>
      <c r="E1433" s="24" t="str">
        <f>_xll.DBRW("TM1-S1_DEV:}ElementAttributes_SP_SKU",$F1433,E$1)</f>
        <v>SIDES</v>
      </c>
      <c r="F1433" s="26" t="s">
        <v>3123</v>
      </c>
      <c r="G1433" s="26" t="s">
        <v>1378</v>
      </c>
      <c r="H1433" s="26" t="s">
        <v>2676</v>
      </c>
      <c r="I1433" s="54">
        <f>_xll.DBRW($A$1,$F$14,$F$15,$C1433,$A$2,$F1433,$G1433,$H1433,I$1)</f>
        <v>95</v>
      </c>
      <c r="J1433" s="25">
        <f>_xll.DBRW($A$1,$F$14,$F$15,$C1433,$A$2,$F1433,$G1433,$H1433,J$19)</f>
        <v>54</v>
      </c>
    </row>
    <row r="1434" spans="1:10" s="23" customFormat="1" outlineLevel="1" thickBot="1" x14ac:dyDescent="0.3">
      <c r="A1434" s="44"/>
      <c r="B1434" s="31" t="str">
        <f>IF(_xll.TM1RPTELISCONSOLIDATED($H$20,$H1434),IF(_xll.TM1RPTELLEV($H$20,$H1434)&lt;=5,_xll.TM1RPTELLEV($H$20,$H1434),"Default"),"Leaf")</f>
        <v>Leaf</v>
      </c>
      <c r="C1434" s="26" t="s">
        <v>17</v>
      </c>
      <c r="D1434" s="24" t="str">
        <f>_xll.DBRW("TM1-S1_DEV:}ElementAttributes_SP_SKU",$F1434,D$1)</f>
        <v>Primary</v>
      </c>
      <c r="E1434" s="24" t="str">
        <f>_xll.DBRW("TM1-S1_DEV:}ElementAttributes_SP_SKU",$F1434,E$1)</f>
        <v>SIDES</v>
      </c>
      <c r="F1434" s="26" t="s">
        <v>3124</v>
      </c>
      <c r="G1434" s="26" t="s">
        <v>1379</v>
      </c>
      <c r="H1434" s="26" t="s">
        <v>2676</v>
      </c>
      <c r="I1434" s="54">
        <f>_xll.DBRW($A$1,$F$14,$F$15,$C1434,$A$2,$F1434,$G1434,$H1434,I$1)</f>
        <v>100</v>
      </c>
      <c r="J1434" s="25">
        <f>_xll.DBRW($A$1,$F$14,$F$15,$C1434,$A$2,$F1434,$G1434,$H1434,J$19)</f>
        <v>69</v>
      </c>
    </row>
    <row r="1435" spans="1:10" s="23" customFormat="1" outlineLevel="1" thickBot="1" x14ac:dyDescent="0.3">
      <c r="A1435" s="44"/>
      <c r="B1435" s="31" t="str">
        <f>IF(_xll.TM1RPTELISCONSOLIDATED($H$20,$H1435),IF(_xll.TM1RPTELLEV($H$20,$H1435)&lt;=5,_xll.TM1RPTELLEV($H$20,$H1435),"Default"),"Leaf")</f>
        <v>Leaf</v>
      </c>
      <c r="C1435" s="26" t="s">
        <v>17</v>
      </c>
      <c r="D1435" s="24" t="str">
        <f>_xll.DBRW("TM1-S1_DEV:}ElementAttributes_SP_SKU",$F1435,D$1)</f>
        <v>Primary</v>
      </c>
      <c r="E1435" s="24" t="str">
        <f>_xll.DBRW("TM1-S1_DEV:}ElementAttributes_SP_SKU",$F1435,E$1)</f>
        <v>SIDES</v>
      </c>
      <c r="F1435" s="26" t="s">
        <v>3125</v>
      </c>
      <c r="G1435" s="26" t="s">
        <v>1380</v>
      </c>
      <c r="H1435" s="26" t="s">
        <v>2676</v>
      </c>
      <c r="I1435" s="54">
        <f>_xll.DBRW($A$1,$F$14,$F$15,$C1435,$A$2,$F1435,$G1435,$H1435,I$1)</f>
        <v>37</v>
      </c>
      <c r="J1435" s="25">
        <f>_xll.DBRW($A$1,$F$14,$F$15,$C1435,$A$2,$F1435,$G1435,$H1435,J$19)</f>
        <v>16</v>
      </c>
    </row>
    <row r="1436" spans="1:10" s="23" customFormat="1" outlineLevel="1" thickBot="1" x14ac:dyDescent="0.3">
      <c r="A1436" s="44"/>
      <c r="B1436" s="31" t="str">
        <f>IF(_xll.TM1RPTELISCONSOLIDATED($H$20,$H1436),IF(_xll.TM1RPTELLEV($H$20,$H1436)&lt;=5,_xll.TM1RPTELLEV($H$20,$H1436),"Default"),"Leaf")</f>
        <v>Leaf</v>
      </c>
      <c r="C1436" s="26" t="s">
        <v>17</v>
      </c>
      <c r="D1436" s="24" t="str">
        <f>_xll.DBRW("TM1-S1_DEV:}ElementAttributes_SP_SKU",$F1436,D$1)</f>
        <v>Primary</v>
      </c>
      <c r="E1436" s="24" t="str">
        <f>_xll.DBRW("TM1-S1_DEV:}ElementAttributes_SP_SKU",$F1436,E$1)</f>
        <v>SIDES</v>
      </c>
      <c r="F1436" s="26" t="s">
        <v>3126</v>
      </c>
      <c r="G1436" s="26" t="s">
        <v>1381</v>
      </c>
      <c r="H1436" s="26" t="s">
        <v>2676</v>
      </c>
      <c r="I1436" s="54">
        <f>_xll.DBRW($A$1,$F$14,$F$15,$C1436,$A$2,$F1436,$G1436,$H1436,I$1)</f>
        <v>103</v>
      </c>
      <c r="J1436" s="25">
        <f>_xll.DBRW($A$1,$F$14,$F$15,$C1436,$A$2,$F1436,$G1436,$H1436,J$19)</f>
        <v>53</v>
      </c>
    </row>
    <row r="1437" spans="1:10" s="23" customFormat="1" outlineLevel="1" thickBot="1" x14ac:dyDescent="0.3">
      <c r="A1437" s="44"/>
      <c r="B1437" s="31" t="str">
        <f>IF(_xll.TM1RPTELISCONSOLIDATED($H$20,$H1437),IF(_xll.TM1RPTELLEV($H$20,$H1437)&lt;=5,_xll.TM1RPTELLEV($H$20,$H1437),"Default"),"Leaf")</f>
        <v>Leaf</v>
      </c>
      <c r="C1437" s="26" t="s">
        <v>17</v>
      </c>
      <c r="D1437" s="24" t="str">
        <f>_xll.DBRW("TM1-S1_DEV:}ElementAttributes_SP_SKU",$F1437,D$1)</f>
        <v>Primary</v>
      </c>
      <c r="E1437" s="24" t="str">
        <f>_xll.DBRW("TM1-S1_DEV:}ElementAttributes_SP_SKU",$F1437,E$1)</f>
        <v>SIDES</v>
      </c>
      <c r="F1437" s="26" t="s">
        <v>3127</v>
      </c>
      <c r="G1437" s="26" t="s">
        <v>1382</v>
      </c>
      <c r="H1437" s="26" t="s">
        <v>2676</v>
      </c>
      <c r="I1437" s="54">
        <f>_xll.DBRW($A$1,$F$14,$F$15,$C1437,$A$2,$F1437,$G1437,$H1437,I$1)</f>
        <v>111</v>
      </c>
      <c r="J1437" s="25">
        <f>_xll.DBRW($A$1,$F$14,$F$15,$C1437,$A$2,$F1437,$G1437,$H1437,J$19)</f>
        <v>42</v>
      </c>
    </row>
    <row r="1438" spans="1:10" s="23" customFormat="1" outlineLevel="1" thickBot="1" x14ac:dyDescent="0.3">
      <c r="A1438" s="44"/>
      <c r="B1438" s="31" t="str">
        <f>IF(_xll.TM1RPTELISCONSOLIDATED($H$20,$H1438),IF(_xll.TM1RPTELLEV($H$20,$H1438)&lt;=5,_xll.TM1RPTELLEV($H$20,$H1438),"Default"),"Leaf")</f>
        <v>Leaf</v>
      </c>
      <c r="C1438" s="26" t="s">
        <v>17</v>
      </c>
      <c r="D1438" s="24" t="str">
        <f>_xll.DBRW("TM1-S1_DEV:}ElementAttributes_SP_SKU",$F1438,D$1)</f>
        <v>Primary</v>
      </c>
      <c r="E1438" s="24" t="str">
        <f>_xll.DBRW("TM1-S1_DEV:}ElementAttributes_SP_SKU",$F1438,E$1)</f>
        <v>SIDES</v>
      </c>
      <c r="F1438" s="26" t="s">
        <v>3128</v>
      </c>
      <c r="G1438" s="26" t="s">
        <v>1383</v>
      </c>
      <c r="H1438" s="26" t="s">
        <v>2676</v>
      </c>
      <c r="I1438" s="54">
        <f>_xll.DBRW($A$1,$F$14,$F$15,$C1438,$A$2,$F1438,$G1438,$H1438,I$1)</f>
        <v>133</v>
      </c>
      <c r="J1438" s="25">
        <f>_xll.DBRW($A$1,$F$14,$F$15,$C1438,$A$2,$F1438,$G1438,$H1438,J$19)</f>
        <v>69</v>
      </c>
    </row>
    <row r="1439" spans="1:10" s="23" customFormat="1" outlineLevel="1" thickBot="1" x14ac:dyDescent="0.3">
      <c r="A1439" s="44"/>
      <c r="B1439" s="31" t="str">
        <f>IF(_xll.TM1RPTELISCONSOLIDATED($H$20,$H1439),IF(_xll.TM1RPTELLEV($H$20,$H1439)&lt;=5,_xll.TM1RPTELLEV($H$20,$H1439),"Default"),"Leaf")</f>
        <v>Leaf</v>
      </c>
      <c r="C1439" s="26" t="s">
        <v>17</v>
      </c>
      <c r="D1439" s="24" t="str">
        <f>_xll.DBRW("TM1-S1_DEV:}ElementAttributes_SP_SKU",$F1439,D$1)</f>
        <v>Primary</v>
      </c>
      <c r="E1439" s="24" t="str">
        <f>_xll.DBRW("TM1-S1_DEV:}ElementAttributes_SP_SKU",$F1439,E$1)</f>
        <v>SIDES</v>
      </c>
      <c r="F1439" s="26" t="s">
        <v>3129</v>
      </c>
      <c r="G1439" s="26" t="s">
        <v>1384</v>
      </c>
      <c r="H1439" s="26" t="s">
        <v>2676</v>
      </c>
      <c r="I1439" s="54">
        <f>_xll.DBRW($A$1,$F$14,$F$15,$C1439,$A$2,$F1439,$G1439,$H1439,I$1)</f>
        <v>83</v>
      </c>
      <c r="J1439" s="25">
        <f>_xll.DBRW($A$1,$F$14,$F$15,$C1439,$A$2,$F1439,$G1439,$H1439,J$19)</f>
        <v>48</v>
      </c>
    </row>
    <row r="1440" spans="1:10" s="23" customFormat="1" outlineLevel="1" thickBot="1" x14ac:dyDescent="0.3">
      <c r="A1440" s="44"/>
      <c r="B1440" s="31" t="str">
        <f>IF(_xll.TM1RPTELISCONSOLIDATED($H$20,$H1440),IF(_xll.TM1RPTELLEV($H$20,$H1440)&lt;=5,_xll.TM1RPTELLEV($H$20,$H1440),"Default"),"Leaf")</f>
        <v>Leaf</v>
      </c>
      <c r="C1440" s="26" t="s">
        <v>17</v>
      </c>
      <c r="D1440" s="24" t="str">
        <f>_xll.DBRW("TM1-S1_DEV:}ElementAttributes_SP_SKU",$F1440,D$1)</f>
        <v>Primary</v>
      </c>
      <c r="E1440" s="24" t="str">
        <f>_xll.DBRW("TM1-S1_DEV:}ElementAttributes_SP_SKU",$F1440,E$1)</f>
        <v>SIDES</v>
      </c>
      <c r="F1440" s="26" t="s">
        <v>3130</v>
      </c>
      <c r="G1440" s="26" t="s">
        <v>1385</v>
      </c>
      <c r="H1440" s="26" t="s">
        <v>2676</v>
      </c>
      <c r="I1440" s="54">
        <f>_xll.DBRW($A$1,$F$14,$F$15,$C1440,$A$2,$F1440,$G1440,$H1440,I$1)</f>
        <v>47</v>
      </c>
      <c r="J1440" s="25">
        <f>_xll.DBRW($A$1,$F$14,$F$15,$C1440,$A$2,$F1440,$G1440,$H1440,J$19)</f>
        <v>37</v>
      </c>
    </row>
    <row r="1441" spans="1:10" s="23" customFormat="1" outlineLevel="1" thickBot="1" x14ac:dyDescent="0.3">
      <c r="A1441" s="44"/>
      <c r="B1441" s="31" t="str">
        <f>IF(_xll.TM1RPTELISCONSOLIDATED($H$20,$H1441),IF(_xll.TM1RPTELLEV($H$20,$H1441)&lt;=5,_xll.TM1RPTELLEV($H$20,$H1441),"Default"),"Leaf")</f>
        <v>Leaf</v>
      </c>
      <c r="C1441" s="26" t="s">
        <v>17</v>
      </c>
      <c r="D1441" s="24" t="str">
        <f>_xll.DBRW("TM1-S1_DEV:}ElementAttributes_SP_SKU",$F1441,D$1)</f>
        <v>Primary</v>
      </c>
      <c r="E1441" s="24" t="str">
        <f>_xll.DBRW("TM1-S1_DEV:}ElementAttributes_SP_SKU",$F1441,E$1)</f>
        <v>SIDES</v>
      </c>
      <c r="F1441" s="26" t="s">
        <v>3131</v>
      </c>
      <c r="G1441" s="26" t="s">
        <v>1386</v>
      </c>
      <c r="H1441" s="26" t="s">
        <v>2676</v>
      </c>
      <c r="I1441" s="54">
        <f>_xll.DBRW($A$1,$F$14,$F$15,$C1441,$A$2,$F1441,$G1441,$H1441,I$1)</f>
        <v>51</v>
      </c>
      <c r="J1441" s="25">
        <f>_xll.DBRW($A$1,$F$14,$F$15,$C1441,$A$2,$F1441,$G1441,$H1441,J$19)</f>
        <v>35</v>
      </c>
    </row>
    <row r="1442" spans="1:10" s="23" customFormat="1" outlineLevel="1" thickBot="1" x14ac:dyDescent="0.3">
      <c r="A1442" s="44"/>
      <c r="B1442" s="31" t="str">
        <f>IF(_xll.TM1RPTELISCONSOLIDATED($H$20,$H1442),IF(_xll.TM1RPTELLEV($H$20,$H1442)&lt;=5,_xll.TM1RPTELLEV($H$20,$H1442),"Default"),"Leaf")</f>
        <v>Leaf</v>
      </c>
      <c r="C1442" s="26" t="s">
        <v>17</v>
      </c>
      <c r="D1442" s="24" t="str">
        <f>_xll.DBRW("TM1-S1_DEV:}ElementAttributes_SP_SKU",$F1442,D$1)</f>
        <v>Primary</v>
      </c>
      <c r="E1442" s="24" t="str">
        <f>_xll.DBRW("TM1-S1_DEV:}ElementAttributes_SP_SKU",$F1442,E$1)</f>
        <v>SIDES</v>
      </c>
      <c r="F1442" s="26" t="s">
        <v>3132</v>
      </c>
      <c r="G1442" s="26" t="s">
        <v>1387</v>
      </c>
      <c r="H1442" s="26" t="s">
        <v>2676</v>
      </c>
      <c r="I1442" s="54">
        <f>_xll.DBRW($A$1,$F$14,$F$15,$C1442,$A$2,$F1442,$G1442,$H1442,I$1)</f>
        <v>126</v>
      </c>
      <c r="J1442" s="25">
        <f>_xll.DBRW($A$1,$F$14,$F$15,$C1442,$A$2,$F1442,$G1442,$H1442,J$19)</f>
        <v>71</v>
      </c>
    </row>
    <row r="1443" spans="1:10" s="23" customFormat="1" outlineLevel="1" thickBot="1" x14ac:dyDescent="0.3">
      <c r="A1443" s="44"/>
      <c r="B1443" s="31" t="str">
        <f>IF(_xll.TM1RPTELISCONSOLIDATED($H$20,$H1443),IF(_xll.TM1RPTELLEV($H$20,$H1443)&lt;=5,_xll.TM1RPTELLEV($H$20,$H1443),"Default"),"Leaf")</f>
        <v>Leaf</v>
      </c>
      <c r="C1443" s="26" t="s">
        <v>17</v>
      </c>
      <c r="D1443" s="24" t="str">
        <f>_xll.DBRW("TM1-S1_DEV:}ElementAttributes_SP_SKU",$F1443,D$1)</f>
        <v>Primary</v>
      </c>
      <c r="E1443" s="24" t="str">
        <f>_xll.DBRW("TM1-S1_DEV:}ElementAttributes_SP_SKU",$F1443,E$1)</f>
        <v>DESSERT</v>
      </c>
      <c r="F1443" s="26" t="s">
        <v>29</v>
      </c>
      <c r="G1443" s="26" t="s">
        <v>1388</v>
      </c>
      <c r="H1443" s="26" t="s">
        <v>2677</v>
      </c>
      <c r="I1443" s="54">
        <f>_xll.DBRW($A$1,$F$14,$F$15,$C1443,$A$2,$F1443,$G1443,$H1443,I$1)</f>
        <v>28</v>
      </c>
      <c r="J1443" s="25">
        <f>_xll.DBRW($A$1,$F$14,$F$15,$C1443,$A$2,$F1443,$G1443,$H1443,J$19)</f>
        <v>37</v>
      </c>
    </row>
    <row r="1444" spans="1:10" s="23" customFormat="1" outlineLevel="1" thickBot="1" x14ac:dyDescent="0.3">
      <c r="A1444" s="44"/>
      <c r="B1444" s="31" t="str">
        <f>IF(_xll.TM1RPTELISCONSOLIDATED($H$20,$H1444),IF(_xll.TM1RPTELLEV($H$20,$H1444)&lt;=5,_xll.TM1RPTELLEV($H$20,$H1444),"Default"),"Leaf")</f>
        <v>Leaf</v>
      </c>
      <c r="C1444" s="26" t="s">
        <v>17</v>
      </c>
      <c r="D1444" s="24" t="str">
        <f>_xll.DBRW("TM1-S1_DEV:}ElementAttributes_SP_SKU",$F1444,D$1)</f>
        <v>Primary</v>
      </c>
      <c r="E1444" s="24" t="str">
        <f>_xll.DBRW("TM1-S1_DEV:}ElementAttributes_SP_SKU",$F1444,E$1)</f>
        <v>PIE</v>
      </c>
      <c r="F1444" s="26" t="s">
        <v>3133</v>
      </c>
      <c r="G1444" s="26" t="s">
        <v>1389</v>
      </c>
      <c r="H1444" s="26" t="s">
        <v>2678</v>
      </c>
      <c r="I1444" s="54">
        <f>_xll.DBRW($A$1,$F$14,$F$15,$C1444,$A$2,$F1444,$G1444,$H1444,I$1)</f>
        <v>52</v>
      </c>
      <c r="J1444" s="25">
        <f>_xll.DBRW($A$1,$F$14,$F$15,$C1444,$A$2,$F1444,$G1444,$H1444,J$19)</f>
        <v>36</v>
      </c>
    </row>
    <row r="1445" spans="1:10" s="23" customFormat="1" outlineLevel="1" thickBot="1" x14ac:dyDescent="0.3">
      <c r="A1445" s="44"/>
      <c r="B1445" s="31" t="str">
        <f>IF(_xll.TM1RPTELISCONSOLIDATED($H$20,$H1445),IF(_xll.TM1RPTELLEV($H$20,$H1445)&lt;=5,_xll.TM1RPTELLEV($H$20,$H1445),"Default"),"Leaf")</f>
        <v>Leaf</v>
      </c>
      <c r="C1445" s="26" t="s">
        <v>17</v>
      </c>
      <c r="D1445" s="24" t="str">
        <f>_xll.DBRW("TM1-S1_DEV:}ElementAttributes_SP_SKU",$F1445,D$1)</f>
        <v>Primary</v>
      </c>
      <c r="E1445" s="24" t="str">
        <f>_xll.DBRW("TM1-S1_DEV:}ElementAttributes_SP_SKU",$F1445,E$1)</f>
        <v>PIE</v>
      </c>
      <c r="F1445" s="26" t="s">
        <v>3134</v>
      </c>
      <c r="G1445" s="26" t="s">
        <v>1390</v>
      </c>
      <c r="H1445" s="26" t="s">
        <v>2678</v>
      </c>
      <c r="I1445" s="54">
        <f>_xll.DBRW($A$1,$F$14,$F$15,$C1445,$A$2,$F1445,$G1445,$H1445,I$1)</f>
        <v>42</v>
      </c>
      <c r="J1445" s="25">
        <f>_xll.DBRW($A$1,$F$14,$F$15,$C1445,$A$2,$F1445,$G1445,$H1445,J$19)</f>
        <v>31</v>
      </c>
    </row>
    <row r="1446" spans="1:10" s="23" customFormat="1" outlineLevel="1" thickBot="1" x14ac:dyDescent="0.3">
      <c r="A1446" s="44"/>
      <c r="B1446" s="31" t="str">
        <f>IF(_xll.TM1RPTELISCONSOLIDATED($H$20,$H1446),IF(_xll.TM1RPTELLEV($H$20,$H1446)&lt;=5,_xll.TM1RPTELLEV($H$20,$H1446),"Default"),"Leaf")</f>
        <v>Leaf</v>
      </c>
      <c r="C1446" s="26" t="s">
        <v>17</v>
      </c>
      <c r="D1446" s="24" t="str">
        <f>_xll.DBRW("TM1-S1_DEV:}ElementAttributes_SP_SKU",$F1446,D$1)</f>
        <v>Primary</v>
      </c>
      <c r="E1446" s="24" t="str">
        <f>_xll.DBRW("TM1-S1_DEV:}ElementAttributes_SP_SKU",$F1446,E$1)</f>
        <v>CAKE</v>
      </c>
      <c r="F1446" s="26" t="s">
        <v>3135</v>
      </c>
      <c r="G1446" s="26" t="s">
        <v>1391</v>
      </c>
      <c r="H1446" s="26" t="s">
        <v>2679</v>
      </c>
      <c r="I1446" s="54">
        <f>_xll.DBRW($A$1,$F$14,$F$15,$C1446,$A$2,$F1446,$G1446,$H1446,I$1)</f>
        <v>91</v>
      </c>
      <c r="J1446" s="25">
        <f>_xll.DBRW($A$1,$F$14,$F$15,$C1446,$A$2,$F1446,$G1446,$H1446,J$19)</f>
        <v>66</v>
      </c>
    </row>
    <row r="1447" spans="1:10" s="23" customFormat="1" outlineLevel="1" thickBot="1" x14ac:dyDescent="0.3">
      <c r="A1447" s="44"/>
      <c r="B1447" s="31" t="str">
        <f>IF(_xll.TM1RPTELISCONSOLIDATED($H$20,$H1447),IF(_xll.TM1RPTELLEV($H$20,$H1447)&lt;=5,_xll.TM1RPTELLEV($H$20,$H1447),"Default"),"Leaf")</f>
        <v>Leaf</v>
      </c>
      <c r="C1447" s="26" t="s">
        <v>17</v>
      </c>
      <c r="D1447" s="24" t="str">
        <f>_xll.DBRW("TM1-S1_DEV:}ElementAttributes_SP_SKU",$F1447,D$1)</f>
        <v>Primary</v>
      </c>
      <c r="E1447" s="24" t="str">
        <f>_xll.DBRW("TM1-S1_DEV:}ElementAttributes_SP_SKU",$F1447,E$1)</f>
        <v>CAKE</v>
      </c>
      <c r="F1447" s="26" t="s">
        <v>3136</v>
      </c>
      <c r="G1447" s="26" t="s">
        <v>1392</v>
      </c>
      <c r="H1447" s="26" t="s">
        <v>2679</v>
      </c>
      <c r="I1447" s="54">
        <f>_xll.DBRW($A$1,$F$14,$F$15,$C1447,$A$2,$F1447,$G1447,$H1447,I$1)</f>
        <v>59</v>
      </c>
      <c r="J1447" s="25">
        <f>_xll.DBRW($A$1,$F$14,$F$15,$C1447,$A$2,$F1447,$G1447,$H1447,J$19)</f>
        <v>48</v>
      </c>
    </row>
    <row r="1448" spans="1:10" s="23" customFormat="1" outlineLevel="1" thickBot="1" x14ac:dyDescent="0.3">
      <c r="A1448" s="44"/>
      <c r="B1448" s="31" t="str">
        <f>IF(_xll.TM1RPTELISCONSOLIDATED($H$20,$H1448),IF(_xll.TM1RPTELLEV($H$20,$H1448)&lt;=5,_xll.TM1RPTELLEV($H$20,$H1448),"Default"),"Leaf")</f>
        <v>Leaf</v>
      </c>
      <c r="C1448" s="26" t="s">
        <v>17</v>
      </c>
      <c r="D1448" s="24" t="str">
        <f>_xll.DBRW("TM1-S1_DEV:}ElementAttributes_SP_SKU",$F1448,D$1)</f>
        <v>Primary</v>
      </c>
      <c r="E1448" s="24" t="str">
        <f>_xll.DBRW("TM1-S1_DEV:}ElementAttributes_SP_SKU",$F1448,E$1)</f>
        <v>CAKE</v>
      </c>
      <c r="F1448" s="26" t="s">
        <v>3137</v>
      </c>
      <c r="G1448" s="26" t="s">
        <v>1393</v>
      </c>
      <c r="H1448" s="26" t="s">
        <v>2679</v>
      </c>
      <c r="I1448" s="54">
        <f>_xll.DBRW($A$1,$F$14,$F$15,$C1448,$A$2,$F1448,$G1448,$H1448,I$1)</f>
        <v>52</v>
      </c>
      <c r="J1448" s="25">
        <f>_xll.DBRW($A$1,$F$14,$F$15,$C1448,$A$2,$F1448,$G1448,$H1448,J$19)</f>
        <v>29</v>
      </c>
    </row>
    <row r="1449" spans="1:10" s="23" customFormat="1" outlineLevel="1" thickBot="1" x14ac:dyDescent="0.3">
      <c r="A1449" s="44"/>
      <c r="B1449" s="31" t="str">
        <f>IF(_xll.TM1RPTELISCONSOLIDATED($H$20,$H1449),IF(_xll.TM1RPTELLEV($H$20,$H1449)&lt;=5,_xll.TM1RPTELLEV($H$20,$H1449),"Default"),"Leaf")</f>
        <v>Leaf</v>
      </c>
      <c r="C1449" s="26" t="s">
        <v>17</v>
      </c>
      <c r="D1449" s="24" t="str">
        <f>_xll.DBRW("TM1-S1_DEV:}ElementAttributes_SP_SKU",$F1449,D$1)</f>
        <v>Primary</v>
      </c>
      <c r="E1449" s="24" t="str">
        <f>_xll.DBRW("TM1-S1_DEV:}ElementAttributes_SP_SKU",$F1449,E$1)</f>
        <v>CAKE</v>
      </c>
      <c r="F1449" s="26" t="s">
        <v>3138</v>
      </c>
      <c r="G1449" s="26" t="s">
        <v>1394</v>
      </c>
      <c r="H1449" s="26" t="s">
        <v>2680</v>
      </c>
      <c r="I1449" s="54">
        <f>_xll.DBRW($A$1,$F$14,$F$15,$C1449,$A$2,$F1449,$G1449,$H1449,I$1)</f>
        <v>36</v>
      </c>
      <c r="J1449" s="25">
        <f>_xll.DBRW($A$1,$F$14,$F$15,$C1449,$A$2,$F1449,$G1449,$H1449,J$19)</f>
        <v>23</v>
      </c>
    </row>
    <row r="1450" spans="1:10" s="23" customFormat="1" outlineLevel="1" thickBot="1" x14ac:dyDescent="0.3">
      <c r="A1450" s="44"/>
      <c r="B1450" s="31" t="str">
        <f>IF(_xll.TM1RPTELISCONSOLIDATED($H$20,$H1450),IF(_xll.TM1RPTELLEV($H$20,$H1450)&lt;=5,_xll.TM1RPTELLEV($H$20,$H1450),"Default"),"Leaf")</f>
        <v>Leaf</v>
      </c>
      <c r="C1450" s="26" t="s">
        <v>17</v>
      </c>
      <c r="D1450" s="24" t="str">
        <f>_xll.DBRW("TM1-S1_DEV:}ElementAttributes_SP_SKU",$F1450,D$1)</f>
        <v>Primary</v>
      </c>
      <c r="E1450" s="24" t="str">
        <f>_xll.DBRW("TM1-S1_DEV:}ElementAttributes_SP_SKU",$F1450,E$1)</f>
        <v>DESSERT</v>
      </c>
      <c r="F1450" s="26" t="s">
        <v>3139</v>
      </c>
      <c r="G1450" s="26" t="s">
        <v>1395</v>
      </c>
      <c r="H1450" s="26" t="s">
        <v>2681</v>
      </c>
      <c r="I1450" s="54">
        <f>_xll.DBRW($A$1,$F$14,$F$15,$C1450,$A$2,$F1450,$G1450,$H1450,I$1)</f>
        <v>40</v>
      </c>
      <c r="J1450" s="25">
        <f>_xll.DBRW($A$1,$F$14,$F$15,$C1450,$A$2,$F1450,$G1450,$H1450,J$19)</f>
        <v>31</v>
      </c>
    </row>
    <row r="1451" spans="1:10" s="23" customFormat="1" outlineLevel="1" thickBot="1" x14ac:dyDescent="0.3">
      <c r="A1451" s="44"/>
      <c r="B1451" s="31" t="str">
        <f>IF(_xll.TM1RPTELISCONSOLIDATED($H$20,$H1451),IF(_xll.TM1RPTELLEV($H$20,$H1451)&lt;=5,_xll.TM1RPTELLEV($H$20,$H1451),"Default"),"Leaf")</f>
        <v>Leaf</v>
      </c>
      <c r="C1451" s="26" t="s">
        <v>17</v>
      </c>
      <c r="D1451" s="24" t="str">
        <f>_xll.DBRW("TM1-S1_DEV:}ElementAttributes_SP_SKU",$F1451,D$1)</f>
        <v>Primary</v>
      </c>
      <c r="E1451" s="24" t="str">
        <f>_xll.DBRW("TM1-S1_DEV:}ElementAttributes_SP_SKU",$F1451,E$1)</f>
        <v>DESSERT</v>
      </c>
      <c r="F1451" s="26" t="s">
        <v>3140</v>
      </c>
      <c r="G1451" s="26" t="s">
        <v>1396</v>
      </c>
      <c r="H1451" s="26" t="s">
        <v>2681</v>
      </c>
      <c r="I1451" s="54">
        <f>_xll.DBRW($A$1,$F$14,$F$15,$C1451,$A$2,$F1451,$G1451,$H1451,I$1)</f>
        <v>39</v>
      </c>
      <c r="J1451" s="25">
        <f>_xll.DBRW($A$1,$F$14,$F$15,$C1451,$A$2,$F1451,$G1451,$H1451,J$19)</f>
        <v>28</v>
      </c>
    </row>
    <row r="1452" spans="1:10" s="23" customFormat="1" outlineLevel="1" thickBot="1" x14ac:dyDescent="0.3">
      <c r="A1452" s="44"/>
      <c r="B1452" s="31" t="str">
        <f>IF(_xll.TM1RPTELISCONSOLIDATED($H$20,$H1452),IF(_xll.TM1RPTELLEV($H$20,$H1452)&lt;=5,_xll.TM1RPTELLEV($H$20,$H1452),"Default"),"Leaf")</f>
        <v>Leaf</v>
      </c>
      <c r="C1452" s="26" t="s">
        <v>17</v>
      </c>
      <c r="D1452" s="24" t="str">
        <f>_xll.DBRW("TM1-S1_DEV:}ElementAttributes_SP_SKU",$F1452,D$1)</f>
        <v>Primary</v>
      </c>
      <c r="E1452" s="24" t="str">
        <f>_xll.DBRW("TM1-S1_DEV:}ElementAttributes_SP_SKU",$F1452,E$1)</f>
        <v>PIE</v>
      </c>
      <c r="F1452" s="26" t="s">
        <v>3141</v>
      </c>
      <c r="G1452" s="26" t="s">
        <v>1397</v>
      </c>
      <c r="H1452" s="26" t="s">
        <v>2678</v>
      </c>
      <c r="I1452" s="54">
        <f>_xll.DBRW($A$1,$F$14,$F$15,$C1452,$A$2,$F1452,$G1452,$H1452,I$1)</f>
        <v>44</v>
      </c>
      <c r="J1452" s="25">
        <f>_xll.DBRW($A$1,$F$14,$F$15,$C1452,$A$2,$F1452,$G1452,$H1452,J$19)</f>
        <v>44</v>
      </c>
    </row>
    <row r="1453" spans="1:10" s="23" customFormat="1" outlineLevel="1" thickBot="1" x14ac:dyDescent="0.3">
      <c r="A1453" s="44"/>
      <c r="B1453" s="31" t="str">
        <f>IF(_xll.TM1RPTELISCONSOLIDATED($H$20,$H1453),IF(_xll.TM1RPTELLEV($H$20,$H1453)&lt;=5,_xll.TM1RPTELLEV($H$20,$H1453),"Default"),"Leaf")</f>
        <v>Leaf</v>
      </c>
      <c r="C1453" s="26" t="s">
        <v>17</v>
      </c>
      <c r="D1453" s="24" t="str">
        <f>_xll.DBRW("TM1-S1_DEV:}ElementAttributes_SP_SKU",$F1453,D$1)</f>
        <v>Primary</v>
      </c>
      <c r="E1453" s="24" t="str">
        <f>_xll.DBRW("TM1-S1_DEV:}ElementAttributes_SP_SKU",$F1453,E$1)</f>
        <v>CAKE</v>
      </c>
      <c r="F1453" s="26" t="s">
        <v>3142</v>
      </c>
      <c r="G1453" s="26" t="s">
        <v>1398</v>
      </c>
      <c r="H1453" s="26" t="s">
        <v>2682</v>
      </c>
      <c r="I1453" s="54">
        <f>_xll.DBRW($A$1,$F$14,$F$15,$C1453,$A$2,$F1453,$G1453,$H1453,I$1)</f>
        <v>54</v>
      </c>
      <c r="J1453" s="25">
        <f>_xll.DBRW($A$1,$F$14,$F$15,$C1453,$A$2,$F1453,$G1453,$H1453,J$19)</f>
        <v>35</v>
      </c>
    </row>
    <row r="1454" spans="1:10" s="23" customFormat="1" outlineLevel="1" thickBot="1" x14ac:dyDescent="0.3">
      <c r="A1454" s="44"/>
      <c r="B1454" s="31" t="str">
        <f>IF(_xll.TM1RPTELISCONSOLIDATED($H$20,$H1454),IF(_xll.TM1RPTELLEV($H$20,$H1454)&lt;=5,_xll.TM1RPTELLEV($H$20,$H1454),"Default"),"Leaf")</f>
        <v>Leaf</v>
      </c>
      <c r="C1454" s="26" t="s">
        <v>17</v>
      </c>
      <c r="D1454" s="24" t="str">
        <f>_xll.DBRW("TM1-S1_DEV:}ElementAttributes_SP_SKU",$F1454,D$1)</f>
        <v>Primary</v>
      </c>
      <c r="E1454" s="24" t="str">
        <f>_xll.DBRW("TM1-S1_DEV:}ElementAttributes_SP_SKU",$F1454,E$1)</f>
        <v>CAKE</v>
      </c>
      <c r="F1454" s="26" t="s">
        <v>3143</v>
      </c>
      <c r="G1454" s="26" t="s">
        <v>1399</v>
      </c>
      <c r="H1454" s="26" t="s">
        <v>2682</v>
      </c>
      <c r="I1454" s="54">
        <f>_xll.DBRW($A$1,$F$14,$F$15,$C1454,$A$2,$F1454,$G1454,$H1454,I$1)</f>
        <v>40</v>
      </c>
      <c r="J1454" s="25">
        <f>_xll.DBRW($A$1,$F$14,$F$15,$C1454,$A$2,$F1454,$G1454,$H1454,J$19)</f>
        <v>29</v>
      </c>
    </row>
    <row r="1455" spans="1:10" s="23" customFormat="1" outlineLevel="1" thickBot="1" x14ac:dyDescent="0.3">
      <c r="A1455" s="44"/>
      <c r="B1455" s="31" t="str">
        <f>IF(_xll.TM1RPTELISCONSOLIDATED($H$20,$H1455),IF(_xll.TM1RPTELLEV($H$20,$H1455)&lt;=5,_xll.TM1RPTELLEV($H$20,$H1455),"Default"),"Leaf")</f>
        <v>Leaf</v>
      </c>
      <c r="C1455" s="26" t="s">
        <v>17</v>
      </c>
      <c r="D1455" s="24" t="str">
        <f>_xll.DBRW("TM1-S1_DEV:}ElementAttributes_SP_SKU",$F1455,D$1)</f>
        <v>Primary</v>
      </c>
      <c r="E1455" s="24" t="str">
        <f>_xll.DBRW("TM1-S1_DEV:}ElementAttributes_SP_SKU",$F1455,E$1)</f>
        <v>CAKE</v>
      </c>
      <c r="F1455" s="26" t="s">
        <v>3144</v>
      </c>
      <c r="G1455" s="26" t="s">
        <v>1400</v>
      </c>
      <c r="H1455" s="26" t="s">
        <v>2679</v>
      </c>
      <c r="I1455" s="54">
        <f>_xll.DBRW($A$1,$F$14,$F$15,$C1455,$A$2,$F1455,$G1455,$H1455,I$1)</f>
        <v>4</v>
      </c>
      <c r="J1455" s="25">
        <f>_xll.DBRW($A$1,$F$14,$F$15,$C1455,$A$2,$F1455,$G1455,$H1455,J$19)</f>
        <v>4</v>
      </c>
    </row>
    <row r="1456" spans="1:10" s="23" customFormat="1" outlineLevel="1" thickBot="1" x14ac:dyDescent="0.3">
      <c r="A1456" s="44"/>
      <c r="B1456" s="31" t="str">
        <f>IF(_xll.TM1RPTELISCONSOLIDATED($H$20,$H1456),IF(_xll.TM1RPTELLEV($H$20,$H1456)&lt;=5,_xll.TM1RPTELLEV($H$20,$H1456),"Default"),"Leaf")</f>
        <v>Leaf</v>
      </c>
      <c r="C1456" s="26" t="s">
        <v>17</v>
      </c>
      <c r="D1456" s="24" t="str">
        <f>_xll.DBRW("TM1-S1_DEV:}ElementAttributes_SP_SKU",$F1456,D$1)</f>
        <v>Primary</v>
      </c>
      <c r="E1456" s="24" t="str">
        <f>_xll.DBRW("TM1-S1_DEV:}ElementAttributes_SP_SKU",$F1456,E$1)</f>
        <v>CAKE</v>
      </c>
      <c r="F1456" s="26" t="s">
        <v>3145</v>
      </c>
      <c r="G1456" s="26" t="s">
        <v>1401</v>
      </c>
      <c r="H1456" s="26" t="s">
        <v>2680</v>
      </c>
      <c r="I1456" s="54">
        <f>_xll.DBRW($A$1,$F$14,$F$15,$C1456,$A$2,$F1456,$G1456,$H1456,I$1)</f>
        <v>21</v>
      </c>
      <c r="J1456" s="25">
        <f>_xll.DBRW($A$1,$F$14,$F$15,$C1456,$A$2,$F1456,$G1456,$H1456,J$19)</f>
        <v>19</v>
      </c>
    </row>
    <row r="1457" spans="1:10" s="23" customFormat="1" outlineLevel="1" thickBot="1" x14ac:dyDescent="0.3">
      <c r="A1457" s="44"/>
      <c r="B1457" s="31" t="str">
        <f>IF(_xll.TM1RPTELISCONSOLIDATED($H$20,$H1457),IF(_xll.TM1RPTELLEV($H$20,$H1457)&lt;=5,_xll.TM1RPTELLEV($H$20,$H1457),"Default"),"Leaf")</f>
        <v>Leaf</v>
      </c>
      <c r="C1457" s="26" t="s">
        <v>17</v>
      </c>
      <c r="D1457" s="24" t="str">
        <f>_xll.DBRW("TM1-S1_DEV:}ElementAttributes_SP_SKU",$F1457,D$1)</f>
        <v>Primary</v>
      </c>
      <c r="E1457" s="24" t="str">
        <f>_xll.DBRW("TM1-S1_DEV:}ElementAttributes_SP_SKU",$F1457,E$1)</f>
        <v>CAKE</v>
      </c>
      <c r="F1457" s="26" t="s">
        <v>3146</v>
      </c>
      <c r="G1457" s="26" t="s">
        <v>1402</v>
      </c>
      <c r="H1457" s="26" t="s">
        <v>2680</v>
      </c>
      <c r="I1457" s="54">
        <f>_xll.DBRW($A$1,$F$14,$F$15,$C1457,$A$2,$F1457,$G1457,$H1457,I$1)</f>
        <v>38</v>
      </c>
      <c r="J1457" s="25">
        <f>_xll.DBRW($A$1,$F$14,$F$15,$C1457,$A$2,$F1457,$G1457,$H1457,J$19)</f>
        <v>19</v>
      </c>
    </row>
    <row r="1458" spans="1:10" s="23" customFormat="1" outlineLevel="1" thickBot="1" x14ac:dyDescent="0.3">
      <c r="A1458" s="44"/>
      <c r="B1458" s="31" t="str">
        <f>IF(_xll.TM1RPTELISCONSOLIDATED($H$20,$H1458),IF(_xll.TM1RPTELLEV($H$20,$H1458)&lt;=5,_xll.TM1RPTELLEV($H$20,$H1458),"Default"),"Leaf")</f>
        <v>Leaf</v>
      </c>
      <c r="C1458" s="26" t="s">
        <v>17</v>
      </c>
      <c r="D1458" s="24" t="str">
        <f>_xll.DBRW("TM1-S1_DEV:}ElementAttributes_SP_SKU",$F1458,D$1)</f>
        <v>Primary</v>
      </c>
      <c r="E1458" s="24" t="str">
        <f>_xll.DBRW("TM1-S1_DEV:}ElementAttributes_SP_SKU",$F1458,E$1)</f>
        <v>CONDIMENT</v>
      </c>
      <c r="F1458" s="26" t="s">
        <v>3147</v>
      </c>
      <c r="G1458" s="26" t="s">
        <v>1403</v>
      </c>
      <c r="H1458" s="26" t="s">
        <v>2683</v>
      </c>
      <c r="I1458" s="54">
        <f>_xll.DBRW($A$1,$F$14,$F$15,$C1458,$A$2,$F1458,$G1458,$H1458,I$1)</f>
        <v>35</v>
      </c>
      <c r="J1458" s="25">
        <f>_xll.DBRW($A$1,$F$14,$F$15,$C1458,$A$2,$F1458,$G1458,$H1458,J$19)</f>
        <v>30</v>
      </c>
    </row>
    <row r="1459" spans="1:10" s="23" customFormat="1" outlineLevel="1" thickBot="1" x14ac:dyDescent="0.3">
      <c r="A1459" s="44"/>
      <c r="B1459" s="31" t="str">
        <f>IF(_xll.TM1RPTELISCONSOLIDATED($H$20,$H1459),IF(_xll.TM1RPTELLEV($H$20,$H1459)&lt;=5,_xll.TM1RPTELLEV($H$20,$H1459),"Default"),"Leaf")</f>
        <v>Leaf</v>
      </c>
      <c r="C1459" s="26" t="s">
        <v>17</v>
      </c>
      <c r="D1459" s="24" t="str">
        <f>_xll.DBRW("TM1-S1_DEV:}ElementAttributes_SP_SKU",$F1459,D$1)</f>
        <v>Primary</v>
      </c>
      <c r="E1459" s="24" t="str">
        <f>_xll.DBRW("TM1-S1_DEV:}ElementAttributes_SP_SKU",$F1459,E$1)</f>
        <v>CONDIMENT</v>
      </c>
      <c r="F1459" s="26" t="s">
        <v>3148</v>
      </c>
      <c r="G1459" s="26" t="s">
        <v>1404</v>
      </c>
      <c r="H1459" s="26" t="s">
        <v>2684</v>
      </c>
      <c r="I1459" s="54">
        <f>_xll.DBRW($A$1,$F$14,$F$15,$C1459,$A$2,$F1459,$G1459,$H1459,I$1)</f>
        <v>28</v>
      </c>
      <c r="J1459" s="25">
        <f>_xll.DBRW($A$1,$F$14,$F$15,$C1459,$A$2,$F1459,$G1459,$H1459,J$19)</f>
        <v>38</v>
      </c>
    </row>
    <row r="1460" spans="1:10" s="23" customFormat="1" outlineLevel="1" thickBot="1" x14ac:dyDescent="0.3">
      <c r="A1460" s="44"/>
      <c r="B1460" s="31" t="str">
        <f>IF(_xll.TM1RPTELISCONSOLIDATED($H$20,$H1460),IF(_xll.TM1RPTELLEV($H$20,$H1460)&lt;=5,_xll.TM1RPTELLEV($H$20,$H1460),"Default"),"Leaf")</f>
        <v>Leaf</v>
      </c>
      <c r="C1460" s="26" t="s">
        <v>17</v>
      </c>
      <c r="D1460" s="24" t="str">
        <f>_xll.DBRW("TM1-S1_DEV:}ElementAttributes_SP_SKU",$F1460,D$1)</f>
        <v>Primary</v>
      </c>
      <c r="E1460" s="24" t="str">
        <f>_xll.DBRW("TM1-S1_DEV:}ElementAttributes_SP_SKU",$F1460,E$1)</f>
        <v>CONDIMENT</v>
      </c>
      <c r="F1460" s="26" t="s">
        <v>3149</v>
      </c>
      <c r="G1460" s="26" t="s">
        <v>1405</v>
      </c>
      <c r="H1460" s="26" t="s">
        <v>2684</v>
      </c>
      <c r="I1460" s="54">
        <f>_xll.DBRW($A$1,$F$14,$F$15,$C1460,$A$2,$F1460,$G1460,$H1460,I$1)</f>
        <v>30</v>
      </c>
      <c r="J1460" s="25">
        <f>_xll.DBRW($A$1,$F$14,$F$15,$C1460,$A$2,$F1460,$G1460,$H1460,J$19)</f>
        <v>20</v>
      </c>
    </row>
    <row r="1461" spans="1:10" s="23" customFormat="1" outlineLevel="1" thickBot="1" x14ac:dyDescent="0.3">
      <c r="A1461" s="44"/>
      <c r="B1461" s="31" t="str">
        <f>IF(_xll.TM1RPTELISCONSOLIDATED($H$20,$H1461),IF(_xll.TM1RPTELLEV($H$20,$H1461)&lt;=5,_xll.TM1RPTELLEV($H$20,$H1461),"Default"),"Leaf")</f>
        <v>Leaf</v>
      </c>
      <c r="C1461" s="26" t="s">
        <v>17</v>
      </c>
      <c r="D1461" s="24" t="str">
        <f>_xll.DBRW("TM1-S1_DEV:}ElementAttributes_SP_SKU",$F1461,D$1)</f>
        <v>Primary</v>
      </c>
      <c r="E1461" s="24" t="str">
        <f>_xll.DBRW("TM1-S1_DEV:}ElementAttributes_SP_SKU",$F1461,E$1)</f>
        <v>CONDIMENT</v>
      </c>
      <c r="F1461" s="26" t="s">
        <v>3150</v>
      </c>
      <c r="G1461" s="26" t="s">
        <v>1406</v>
      </c>
      <c r="H1461" s="26" t="s">
        <v>2684</v>
      </c>
      <c r="I1461" s="54">
        <f>_xll.DBRW($A$1,$F$14,$F$15,$C1461,$A$2,$F1461,$G1461,$H1461,I$1)</f>
        <v>51</v>
      </c>
      <c r="J1461" s="25">
        <f>_xll.DBRW($A$1,$F$14,$F$15,$C1461,$A$2,$F1461,$G1461,$H1461,J$19)</f>
        <v>40</v>
      </c>
    </row>
    <row r="1462" spans="1:10" s="23" customFormat="1" outlineLevel="1" thickBot="1" x14ac:dyDescent="0.3">
      <c r="A1462" s="44"/>
      <c r="B1462" s="31" t="str">
        <f>IF(_xll.TM1RPTELISCONSOLIDATED($H$20,$H1462),IF(_xll.TM1RPTELLEV($H$20,$H1462)&lt;=5,_xll.TM1RPTELLEV($H$20,$H1462),"Default"),"Leaf")</f>
        <v>Leaf</v>
      </c>
      <c r="C1462" s="26" t="s">
        <v>17</v>
      </c>
      <c r="D1462" s="24" t="str">
        <f>_xll.DBRW("TM1-S1_DEV:}ElementAttributes_SP_SKU",$F1462,D$1)</f>
        <v>Primary</v>
      </c>
      <c r="E1462" s="24" t="str">
        <f>_xll.DBRW("TM1-S1_DEV:}ElementAttributes_SP_SKU",$F1462,E$1)</f>
        <v>CONDIMENT</v>
      </c>
      <c r="F1462" s="26" t="s">
        <v>3151</v>
      </c>
      <c r="G1462" s="26" t="s">
        <v>1407</v>
      </c>
      <c r="H1462" s="26" t="s">
        <v>2684</v>
      </c>
      <c r="I1462" s="54">
        <f>_xll.DBRW($A$1,$F$14,$F$15,$C1462,$A$2,$F1462,$G1462,$H1462,I$1)</f>
        <v>30</v>
      </c>
      <c r="J1462" s="25">
        <f>_xll.DBRW($A$1,$F$14,$F$15,$C1462,$A$2,$F1462,$G1462,$H1462,J$19)</f>
        <v>22</v>
      </c>
    </row>
    <row r="1463" spans="1:10" s="23" customFormat="1" outlineLevel="1" thickBot="1" x14ac:dyDescent="0.3">
      <c r="A1463" s="44"/>
      <c r="B1463" s="31" t="str">
        <f>IF(_xll.TM1RPTELISCONSOLIDATED($H$20,$H1463),IF(_xll.TM1RPTELLEV($H$20,$H1463)&lt;=5,_xll.TM1RPTELLEV($H$20,$H1463),"Default"),"Leaf")</f>
        <v>Leaf</v>
      </c>
      <c r="C1463" s="26" t="s">
        <v>17</v>
      </c>
      <c r="D1463" s="24" t="str">
        <f>_xll.DBRW("TM1-S1_DEV:}ElementAttributes_SP_SKU",$F1463,D$1)</f>
        <v>Primary</v>
      </c>
      <c r="E1463" s="24" t="str">
        <f>_xll.DBRW("TM1-S1_DEV:}ElementAttributes_SP_SKU",$F1463,E$1)</f>
        <v>CONDIMENT</v>
      </c>
      <c r="F1463" s="26" t="s">
        <v>3152</v>
      </c>
      <c r="G1463" s="26" t="s">
        <v>1408</v>
      </c>
      <c r="H1463" s="26" t="s">
        <v>2684</v>
      </c>
      <c r="I1463" s="54">
        <f>_xll.DBRW($A$1,$F$14,$F$15,$C1463,$A$2,$F1463,$G1463,$H1463,I$1)</f>
        <v>9</v>
      </c>
      <c r="J1463" s="25">
        <f>_xll.DBRW($A$1,$F$14,$F$15,$C1463,$A$2,$F1463,$G1463,$H1463,J$19)</f>
        <v>14</v>
      </c>
    </row>
    <row r="1464" spans="1:10" s="23" customFormat="1" outlineLevel="1" thickBot="1" x14ac:dyDescent="0.3">
      <c r="A1464" s="44"/>
      <c r="B1464" s="31" t="str">
        <f>IF(_xll.TM1RPTELISCONSOLIDATED($H$20,$H1464),IF(_xll.TM1RPTELLEV($H$20,$H1464)&lt;=5,_xll.TM1RPTELLEV($H$20,$H1464),"Default"),"Leaf")</f>
        <v>Leaf</v>
      </c>
      <c r="C1464" s="26" t="s">
        <v>17</v>
      </c>
      <c r="D1464" s="24" t="str">
        <f>_xll.DBRW("TM1-S1_DEV:}ElementAttributes_SP_SKU",$F1464,D$1)</f>
        <v>Primary</v>
      </c>
      <c r="E1464" s="24" t="str">
        <f>_xll.DBRW("TM1-S1_DEV:}ElementAttributes_SP_SKU",$F1464,E$1)</f>
        <v>CONDIMENT</v>
      </c>
      <c r="F1464" s="26" t="s">
        <v>3153</v>
      </c>
      <c r="G1464" s="26" t="s">
        <v>1409</v>
      </c>
      <c r="H1464" s="26" t="s">
        <v>2684</v>
      </c>
      <c r="I1464" s="54">
        <f>_xll.DBRW($A$1,$F$14,$F$15,$C1464,$A$2,$F1464,$G1464,$H1464,I$1)</f>
        <v>21</v>
      </c>
      <c r="J1464" s="25">
        <f>_xll.DBRW($A$1,$F$14,$F$15,$C1464,$A$2,$F1464,$G1464,$H1464,J$19)</f>
        <v>19</v>
      </c>
    </row>
    <row r="1465" spans="1:10" s="23" customFormat="1" outlineLevel="1" thickBot="1" x14ac:dyDescent="0.3">
      <c r="A1465" s="44"/>
      <c r="B1465" s="31" t="str">
        <f>IF(_xll.TM1RPTELISCONSOLIDATED($H$20,$H1465),IF(_xll.TM1RPTELLEV($H$20,$H1465)&lt;=5,_xll.TM1RPTELLEV($H$20,$H1465),"Default"),"Leaf")</f>
        <v>Leaf</v>
      </c>
      <c r="C1465" s="26" t="s">
        <v>17</v>
      </c>
      <c r="D1465" s="24" t="str">
        <f>_xll.DBRW("TM1-S1_DEV:}ElementAttributes_SP_SKU",$F1465,D$1)</f>
        <v>Primary</v>
      </c>
      <c r="E1465" s="24" t="str">
        <f>_xll.DBRW("TM1-S1_DEV:}ElementAttributes_SP_SKU",$F1465,E$1)</f>
        <v>CONDIMENT</v>
      </c>
      <c r="F1465" s="26" t="s">
        <v>3154</v>
      </c>
      <c r="G1465" s="26" t="s">
        <v>1410</v>
      </c>
      <c r="H1465" s="26" t="s">
        <v>2684</v>
      </c>
      <c r="I1465" s="54">
        <f>_xll.DBRW($A$1,$F$14,$F$15,$C1465,$A$2,$F1465,$G1465,$H1465,I$1)</f>
        <v>97</v>
      </c>
      <c r="J1465" s="25">
        <f>_xll.DBRW($A$1,$F$14,$F$15,$C1465,$A$2,$F1465,$G1465,$H1465,J$19)</f>
        <v>71</v>
      </c>
    </row>
    <row r="1466" spans="1:10" s="23" customFormat="1" outlineLevel="1" thickBot="1" x14ac:dyDescent="0.3">
      <c r="A1466" s="44"/>
      <c r="B1466" s="31" t="str">
        <f>IF(_xll.TM1RPTELISCONSOLIDATED($H$20,$H1466),IF(_xll.TM1RPTELLEV($H$20,$H1466)&lt;=5,_xll.TM1RPTELLEV($H$20,$H1466),"Default"),"Leaf")</f>
        <v>Leaf</v>
      </c>
      <c r="C1466" s="26" t="s">
        <v>17</v>
      </c>
      <c r="D1466" s="24" t="str">
        <f>_xll.DBRW("TM1-S1_DEV:}ElementAttributes_SP_SKU",$F1466,D$1)</f>
        <v>Primary</v>
      </c>
      <c r="E1466" s="24" t="str">
        <f>_xll.DBRW("TM1-S1_DEV:}ElementAttributes_SP_SKU",$F1466,E$1)</f>
        <v>BREAD</v>
      </c>
      <c r="F1466" s="26" t="s">
        <v>3163</v>
      </c>
      <c r="G1466" s="26" t="s">
        <v>1411</v>
      </c>
      <c r="H1466" s="26" t="s">
        <v>2687</v>
      </c>
      <c r="I1466" s="54">
        <f>_xll.DBRW($A$1,$F$14,$F$15,$C1466,$A$2,$F1466,$G1466,$H1466,I$1)</f>
        <v>102</v>
      </c>
      <c r="J1466" s="25">
        <f>_xll.DBRW($A$1,$F$14,$F$15,$C1466,$A$2,$F1466,$G1466,$H1466,J$19)</f>
        <v>139</v>
      </c>
    </row>
    <row r="1467" spans="1:10" s="23" customFormat="1" outlineLevel="1" thickBot="1" x14ac:dyDescent="0.3">
      <c r="A1467" s="44"/>
      <c r="B1467" s="31" t="str">
        <f>IF(_xll.TM1RPTELISCONSOLIDATED($H$20,$H1467),IF(_xll.TM1RPTELLEV($H$20,$H1467)&lt;=5,_xll.TM1RPTELLEV($H$20,$H1467),"Default"),"Leaf")</f>
        <v>Leaf</v>
      </c>
      <c r="C1467" s="26" t="s">
        <v>17</v>
      </c>
      <c r="D1467" s="24" t="str">
        <f>_xll.DBRW("TM1-S1_DEV:}ElementAttributes_SP_SKU",$F1467,D$1)</f>
        <v>Primary</v>
      </c>
      <c r="E1467" s="24" t="str">
        <f>_xll.DBRW("TM1-S1_DEV:}ElementAttributes_SP_SKU",$F1467,E$1)</f>
        <v>BREAD</v>
      </c>
      <c r="F1467" s="26" t="s">
        <v>3164</v>
      </c>
      <c r="G1467" s="26" t="s">
        <v>1412</v>
      </c>
      <c r="H1467" s="26" t="s">
        <v>2687</v>
      </c>
      <c r="I1467" s="54">
        <f>_xll.DBRW($A$1,$F$14,$F$15,$C1467,$A$2,$F1467,$G1467,$H1467,I$1)</f>
        <v>156</v>
      </c>
      <c r="J1467" s="25">
        <f>_xll.DBRW($A$1,$F$14,$F$15,$C1467,$A$2,$F1467,$G1467,$H1467,J$19)</f>
        <v>116</v>
      </c>
    </row>
    <row r="1468" spans="1:10" s="23" customFormat="1" outlineLevel="1" thickBot="1" x14ac:dyDescent="0.3">
      <c r="A1468" s="44"/>
      <c r="B1468" s="31" t="str">
        <f>IF(_xll.TM1RPTELISCONSOLIDATED($H$20,$H1468),IF(_xll.TM1RPTELLEV($H$20,$H1468)&lt;=5,_xll.TM1RPTELLEV($H$20,$H1468),"Default"),"Leaf")</f>
        <v>Leaf</v>
      </c>
      <c r="C1468" s="26" t="s">
        <v>17</v>
      </c>
      <c r="D1468" s="24" t="str">
        <f>_xll.DBRW("TM1-S1_DEV:}ElementAttributes_SP_SKU",$F1468,D$1)</f>
        <v>Primary</v>
      </c>
      <c r="E1468" s="24" t="str">
        <f>_xll.DBRW("TM1-S1_DEV:}ElementAttributes_SP_SKU",$F1468,E$1)</f>
        <v>BREAD</v>
      </c>
      <c r="F1468" s="26" t="s">
        <v>3165</v>
      </c>
      <c r="G1468" s="26" t="s">
        <v>1413</v>
      </c>
      <c r="H1468" s="26" t="s">
        <v>2688</v>
      </c>
      <c r="I1468" s="54">
        <f>_xll.DBRW($A$1,$F$14,$F$15,$C1468,$A$2,$F1468,$G1468,$H1468,I$1)</f>
        <v>286</v>
      </c>
      <c r="J1468" s="25">
        <f>_xll.DBRW($A$1,$F$14,$F$15,$C1468,$A$2,$F1468,$G1468,$H1468,J$19)</f>
        <v>143</v>
      </c>
    </row>
    <row r="1469" spans="1:10" s="23" customFormat="1" outlineLevel="1" thickBot="1" x14ac:dyDescent="0.3">
      <c r="A1469" s="44"/>
      <c r="B1469" s="31" t="str">
        <f>IF(_xll.TM1RPTELISCONSOLIDATED($H$20,$H1469),IF(_xll.TM1RPTELLEV($H$20,$H1469)&lt;=5,_xll.TM1RPTELLEV($H$20,$H1469),"Default"),"Leaf")</f>
        <v>Leaf</v>
      </c>
      <c r="C1469" s="26" t="s">
        <v>17</v>
      </c>
      <c r="D1469" s="24" t="str">
        <f>_xll.DBRW("TM1-S1_DEV:}ElementAttributes_SP_SKU",$F1469,D$1)</f>
        <v>Primary</v>
      </c>
      <c r="E1469" s="24" t="str">
        <f>_xll.DBRW("TM1-S1_DEV:}ElementAttributes_SP_SKU",$F1469,E$1)</f>
        <v>BREAD</v>
      </c>
      <c r="F1469" s="26" t="s">
        <v>3166</v>
      </c>
      <c r="G1469" s="26" t="s">
        <v>1414</v>
      </c>
      <c r="H1469" s="26" t="s">
        <v>2689</v>
      </c>
      <c r="I1469" s="54">
        <f>_xll.DBRW($A$1,$F$14,$F$15,$C1469,$A$2,$F1469,$G1469,$H1469,I$1)</f>
        <v>133</v>
      </c>
      <c r="J1469" s="25">
        <f>_xll.DBRW($A$1,$F$14,$F$15,$C1469,$A$2,$F1469,$G1469,$H1469,J$19)</f>
        <v>134</v>
      </c>
    </row>
    <row r="1470" spans="1:10" s="23" customFormat="1" outlineLevel="1" thickBot="1" x14ac:dyDescent="0.3">
      <c r="A1470" s="44"/>
      <c r="B1470" s="31" t="str">
        <f>IF(_xll.TM1RPTELISCONSOLIDATED($H$20,$H1470),IF(_xll.TM1RPTELLEV($H$20,$H1470)&lt;=5,_xll.TM1RPTELLEV($H$20,$H1470),"Default"),"Leaf")</f>
        <v>Leaf</v>
      </c>
      <c r="C1470" s="26" t="s">
        <v>17</v>
      </c>
      <c r="D1470" s="24" t="str">
        <f>_xll.DBRW("TM1-S1_DEV:}ElementAttributes_SP_SKU",$F1470,D$1)</f>
        <v>Primary</v>
      </c>
      <c r="E1470" s="24" t="str">
        <f>_xll.DBRW("TM1-S1_DEV:}ElementAttributes_SP_SKU",$F1470,E$1)</f>
        <v>BREAD</v>
      </c>
      <c r="F1470" s="26" t="s">
        <v>3167</v>
      </c>
      <c r="G1470" s="26" t="s">
        <v>1415</v>
      </c>
      <c r="H1470" s="26" t="s">
        <v>2688</v>
      </c>
      <c r="I1470" s="54">
        <f>_xll.DBRW($A$1,$F$14,$F$15,$C1470,$A$2,$F1470,$G1470,$H1470,I$1)</f>
        <v>95</v>
      </c>
      <c r="J1470" s="25">
        <f>_xll.DBRW($A$1,$F$14,$F$15,$C1470,$A$2,$F1470,$G1470,$H1470,J$19)</f>
        <v>83</v>
      </c>
    </row>
    <row r="1471" spans="1:10" s="23" customFormat="1" outlineLevel="1" thickBot="1" x14ac:dyDescent="0.3">
      <c r="A1471" s="44"/>
      <c r="B1471" s="31" t="str">
        <f>IF(_xll.TM1RPTELISCONSOLIDATED($H$20,$H1471),IF(_xll.TM1RPTELLEV($H$20,$H1471)&lt;=5,_xll.TM1RPTELLEV($H$20,$H1471),"Default"),"Leaf")</f>
        <v>Leaf</v>
      </c>
      <c r="C1471" s="26" t="s">
        <v>17</v>
      </c>
      <c r="D1471" s="24" t="str">
        <f>_xll.DBRW("TM1-S1_DEV:}ElementAttributes_SP_SKU",$F1471,D$1)</f>
        <v>Primary</v>
      </c>
      <c r="E1471" s="24" t="str">
        <f>_xll.DBRW("TM1-S1_DEV:}ElementAttributes_SP_SKU",$F1471,E$1)</f>
        <v>BREAD</v>
      </c>
      <c r="F1471" s="26" t="s">
        <v>3168</v>
      </c>
      <c r="G1471" s="26" t="s">
        <v>1416</v>
      </c>
      <c r="H1471" s="26" t="s">
        <v>2688</v>
      </c>
      <c r="I1471" s="54">
        <f>_xll.DBRW($A$1,$F$14,$F$15,$C1471,$A$2,$F1471,$G1471,$H1471,I$1)</f>
        <v>42</v>
      </c>
      <c r="J1471" s="25">
        <f>_xll.DBRW($A$1,$F$14,$F$15,$C1471,$A$2,$F1471,$G1471,$H1471,J$19)</f>
        <v>28</v>
      </c>
    </row>
    <row r="1472" spans="1:10" s="23" customFormat="1" outlineLevel="1" thickBot="1" x14ac:dyDescent="0.3">
      <c r="A1472" s="44"/>
      <c r="B1472" s="31" t="str">
        <f>IF(_xll.TM1RPTELISCONSOLIDATED($H$20,$H1472),IF(_xll.TM1RPTELLEV($H$20,$H1472)&lt;=5,_xll.TM1RPTELLEV($H$20,$H1472),"Default"),"Leaf")</f>
        <v>Leaf</v>
      </c>
      <c r="C1472" s="26" t="s">
        <v>17</v>
      </c>
      <c r="D1472" s="24" t="str">
        <f>_xll.DBRW("TM1-S1_DEV:}ElementAttributes_SP_SKU",$F1472,D$1)</f>
        <v>Primary</v>
      </c>
      <c r="E1472" s="24" t="str">
        <f>_xll.DBRW("TM1-S1_DEV:}ElementAttributes_SP_SKU",$F1472,E$1)</f>
        <v>BREAD</v>
      </c>
      <c r="F1472" s="26" t="s">
        <v>3169</v>
      </c>
      <c r="G1472" s="26" t="s">
        <v>1417</v>
      </c>
      <c r="H1472" s="26" t="s">
        <v>2690</v>
      </c>
      <c r="I1472" s="54">
        <f>_xll.DBRW($A$1,$F$14,$F$15,$C1472,$A$2,$F1472,$G1472,$H1472,I$1)</f>
        <v>151</v>
      </c>
      <c r="J1472" s="25">
        <f>_xll.DBRW($A$1,$F$14,$F$15,$C1472,$A$2,$F1472,$G1472,$H1472,J$19)</f>
        <v>125</v>
      </c>
    </row>
    <row r="1473" spans="1:10" s="23" customFormat="1" outlineLevel="1" thickBot="1" x14ac:dyDescent="0.3">
      <c r="A1473" s="44"/>
      <c r="B1473" s="31" t="str">
        <f>IF(_xll.TM1RPTELISCONSOLIDATED($H$20,$H1473),IF(_xll.TM1RPTELLEV($H$20,$H1473)&lt;=5,_xll.TM1RPTELLEV($H$20,$H1473),"Default"),"Leaf")</f>
        <v>Leaf</v>
      </c>
      <c r="C1473" s="26" t="s">
        <v>17</v>
      </c>
      <c r="D1473" s="24" t="str">
        <f>_xll.DBRW("TM1-S1_DEV:}ElementAttributes_SP_SKU",$F1473,D$1)</f>
        <v>Primary</v>
      </c>
      <c r="E1473" s="24" t="str">
        <f>_xll.DBRW("TM1-S1_DEV:}ElementAttributes_SP_SKU",$F1473,E$1)</f>
        <v>BREAD</v>
      </c>
      <c r="F1473" s="26" t="s">
        <v>3170</v>
      </c>
      <c r="G1473" s="26" t="s">
        <v>1418</v>
      </c>
      <c r="H1473" s="26" t="s">
        <v>2690</v>
      </c>
      <c r="I1473" s="54">
        <f>_xll.DBRW($A$1,$F$14,$F$15,$C1473,$A$2,$F1473,$G1473,$H1473,I$1)</f>
        <v>5</v>
      </c>
      <c r="J1473" s="25">
        <f>_xll.DBRW($A$1,$F$14,$F$15,$C1473,$A$2,$F1473,$G1473,$H1473,J$19)</f>
        <v>4</v>
      </c>
    </row>
    <row r="1474" spans="1:10" s="23" customFormat="1" outlineLevel="1" thickBot="1" x14ac:dyDescent="0.3">
      <c r="A1474" s="44"/>
      <c r="B1474" s="31" t="str">
        <f>IF(_xll.TM1RPTELISCONSOLIDATED($H$20,$H1474),IF(_xll.TM1RPTELLEV($H$20,$H1474)&lt;=5,_xll.TM1RPTELLEV($H$20,$H1474),"Default"),"Leaf")</f>
        <v>Leaf</v>
      </c>
      <c r="C1474" s="26" t="s">
        <v>17</v>
      </c>
      <c r="D1474" s="24" t="str">
        <f>_xll.DBRW("TM1-S1_DEV:}ElementAttributes_SP_SKU",$F1474,D$1)</f>
        <v>Primary</v>
      </c>
      <c r="E1474" s="24" t="str">
        <f>_xll.DBRW("TM1-S1_DEV:}ElementAttributes_SP_SKU",$F1474,E$1)</f>
        <v>BREAD</v>
      </c>
      <c r="F1474" s="26" t="s">
        <v>3171</v>
      </c>
      <c r="G1474" s="26" t="s">
        <v>1419</v>
      </c>
      <c r="H1474" s="26" t="s">
        <v>2690</v>
      </c>
      <c r="I1474" s="54">
        <f>_xll.DBRW($A$1,$F$14,$F$15,$C1474,$A$2,$F1474,$G1474,$H1474,I$1)</f>
        <v>6</v>
      </c>
      <c r="J1474" s="25">
        <f>_xll.DBRW($A$1,$F$14,$F$15,$C1474,$A$2,$F1474,$G1474,$H1474,J$19)</f>
        <v>4</v>
      </c>
    </row>
    <row r="1475" spans="1:10" s="23" customFormat="1" outlineLevel="1" thickBot="1" x14ac:dyDescent="0.3">
      <c r="A1475" s="44"/>
      <c r="B1475" s="31" t="str">
        <f>IF(_xll.TM1RPTELISCONSOLIDATED($H$20,$H1475),IF(_xll.TM1RPTELLEV($H$20,$H1475)&lt;=5,_xll.TM1RPTELLEV($H$20,$H1475),"Default"),"Leaf")</f>
        <v>Leaf</v>
      </c>
      <c r="C1475" s="26" t="s">
        <v>17</v>
      </c>
      <c r="D1475" s="24" t="str">
        <f>_xll.DBRW("TM1-S1_DEV:}ElementAttributes_SP_SKU",$F1475,D$1)</f>
        <v>Primary</v>
      </c>
      <c r="E1475" s="24" t="str">
        <f>_xll.DBRW("TM1-S1_DEV:}ElementAttributes_SP_SKU",$F1475,E$1)</f>
        <v>BREAD</v>
      </c>
      <c r="F1475" s="26" t="s">
        <v>3172</v>
      </c>
      <c r="G1475" s="26" t="s">
        <v>1420</v>
      </c>
      <c r="H1475" s="26" t="s">
        <v>2690</v>
      </c>
      <c r="I1475" s="54">
        <f>_xll.DBRW($A$1,$F$14,$F$15,$C1475,$A$2,$F1475,$G1475,$H1475,I$1)</f>
        <v>10</v>
      </c>
      <c r="J1475" s="25">
        <f>_xll.DBRW($A$1,$F$14,$F$15,$C1475,$A$2,$F1475,$G1475,$H1475,J$19)</f>
        <v>8</v>
      </c>
    </row>
    <row r="1476" spans="1:10" s="23" customFormat="1" outlineLevel="1" thickBot="1" x14ac:dyDescent="0.3">
      <c r="A1476" s="44"/>
      <c r="B1476" s="31" t="str">
        <f>IF(_xll.TM1RPTELISCONSOLIDATED($H$20,$H1476),IF(_xll.TM1RPTELLEV($H$20,$H1476)&lt;=5,_xll.TM1RPTELLEV($H$20,$H1476),"Default"),"Leaf")</f>
        <v>Leaf</v>
      </c>
      <c r="C1476" s="26" t="s">
        <v>17</v>
      </c>
      <c r="D1476" s="24" t="str">
        <f>_xll.DBRW("TM1-S1_DEV:}ElementAttributes_SP_SKU",$F1476,D$1)</f>
        <v>Primary</v>
      </c>
      <c r="E1476" s="24" t="str">
        <f>_xll.DBRW("TM1-S1_DEV:}ElementAttributes_SP_SKU",$F1476,E$1)</f>
        <v>CHIPS</v>
      </c>
      <c r="F1476" s="26" t="s">
        <v>301</v>
      </c>
      <c r="G1476" s="26" t="s">
        <v>1421</v>
      </c>
      <c r="H1476" s="26" t="s">
        <v>2717</v>
      </c>
      <c r="I1476" s="54">
        <f>_xll.DBRW($A$1,$F$14,$F$15,$C1476,$A$2,$F1476,$G1476,$H1476,I$1)</f>
        <v>18</v>
      </c>
      <c r="J1476" s="25">
        <f>_xll.DBRW($A$1,$F$14,$F$15,$C1476,$A$2,$F1476,$G1476,$H1476,J$19)</f>
        <v>18</v>
      </c>
    </row>
    <row r="1477" spans="1:10" s="23" customFormat="1" outlineLevel="1" thickBot="1" x14ac:dyDescent="0.3">
      <c r="A1477" s="44"/>
      <c r="B1477" s="31" t="str">
        <f>IF(_xll.TM1RPTELISCONSOLIDATED($H$20,$H1477),IF(_xll.TM1RPTELLEV($H$20,$H1477)&lt;=5,_xll.TM1RPTELLEV($H$20,$H1477),"Default"),"Leaf")</f>
        <v>Leaf</v>
      </c>
      <c r="C1477" s="26" t="s">
        <v>17</v>
      </c>
      <c r="D1477" s="24" t="str">
        <f>_xll.DBRW("TM1-S1_DEV:}ElementAttributes_SP_SKU",$F1477,D$1)</f>
        <v>Primary</v>
      </c>
      <c r="E1477" s="24" t="str">
        <f>_xll.DBRW("TM1-S1_DEV:}ElementAttributes_SP_SKU",$F1477,E$1)</f>
        <v>CHEESE</v>
      </c>
      <c r="F1477" s="26" t="s">
        <v>3173</v>
      </c>
      <c r="G1477" s="26" t="s">
        <v>3043</v>
      </c>
      <c r="H1477" s="26" t="s">
        <v>2692</v>
      </c>
      <c r="I1477" s="54">
        <f>_xll.DBRW($A$1,$F$14,$F$15,$C1477,$A$2,$F1477,$G1477,$H1477,I$1)</f>
        <v>0</v>
      </c>
      <c r="J1477" s="25">
        <f>_xll.DBRW($A$1,$F$14,$F$15,$C1477,$A$2,$F1477,$G1477,$H1477,J$19)</f>
        <v>-21</v>
      </c>
    </row>
    <row r="1478" spans="1:10" s="23" customFormat="1" outlineLevel="1" thickBot="1" x14ac:dyDescent="0.3">
      <c r="A1478" s="44"/>
      <c r="B1478" s="31" t="str">
        <f>IF(_xll.TM1RPTELISCONSOLIDATED($H$20,$H1478),IF(_xll.TM1RPTELLEV($H$20,$H1478)&lt;=5,_xll.TM1RPTELLEV($H$20,$H1478),"Default"),"Leaf")</f>
        <v>Leaf</v>
      </c>
      <c r="C1478" s="26" t="s">
        <v>17</v>
      </c>
      <c r="D1478" s="24" t="str">
        <f>_xll.DBRW("TM1-S1_DEV:}ElementAttributes_SP_SKU",$F1478,D$1)</f>
        <v>Primary</v>
      </c>
      <c r="E1478" s="24" t="str">
        <f>_xll.DBRW("TM1-S1_DEV:}ElementAttributes_SP_SKU",$F1478,E$1)</f>
        <v>CONDIMENT</v>
      </c>
      <c r="F1478" s="26" t="s">
        <v>3174</v>
      </c>
      <c r="G1478" s="26" t="s">
        <v>1422</v>
      </c>
      <c r="H1478" s="26" t="s">
        <v>2684</v>
      </c>
      <c r="I1478" s="54">
        <f>_xll.DBRW($A$1,$F$14,$F$15,$C1478,$A$2,$F1478,$G1478,$H1478,I$1)</f>
        <v>13</v>
      </c>
      <c r="J1478" s="25">
        <f>_xll.DBRW($A$1,$F$14,$F$15,$C1478,$A$2,$F1478,$G1478,$H1478,J$19)</f>
        <v>23</v>
      </c>
    </row>
    <row r="1479" spans="1:10" s="23" customFormat="1" outlineLevel="1" thickBot="1" x14ac:dyDescent="0.3">
      <c r="A1479" s="44"/>
      <c r="B1479" s="31" t="str">
        <f>IF(_xll.TM1RPTELISCONSOLIDATED($H$20,$H1479),IF(_xll.TM1RPTELLEV($H$20,$H1479)&lt;=5,_xll.TM1RPTELLEV($H$20,$H1479),"Default"),"Leaf")</f>
        <v>Leaf</v>
      </c>
      <c r="C1479" s="26" t="s">
        <v>17</v>
      </c>
      <c r="D1479" s="24" t="str">
        <f>_xll.DBRW("TM1-S1_DEV:}ElementAttributes_SP_SKU",$F1479,D$1)</f>
        <v>Primary</v>
      </c>
      <c r="E1479" s="24" t="str">
        <f>_xll.DBRW("TM1-S1_DEV:}ElementAttributes_SP_SKU",$F1479,E$1)</f>
        <v>CHEESE</v>
      </c>
      <c r="F1479" s="26" t="s">
        <v>3175</v>
      </c>
      <c r="G1479" s="26" t="s">
        <v>1423</v>
      </c>
      <c r="H1479" s="26" t="s">
        <v>2831</v>
      </c>
      <c r="I1479" s="54">
        <f>_xll.DBRW($A$1,$F$14,$F$15,$C1479,$A$2,$F1479,$G1479,$H1479,I$1)</f>
        <v>371</v>
      </c>
      <c r="J1479" s="25">
        <f>_xll.DBRW($A$1,$F$14,$F$15,$C1479,$A$2,$F1479,$G1479,$H1479,J$19)</f>
        <v>359</v>
      </c>
    </row>
    <row r="1480" spans="1:10" s="23" customFormat="1" outlineLevel="1" thickBot="1" x14ac:dyDescent="0.3">
      <c r="A1480" s="44"/>
      <c r="B1480" s="31" t="str">
        <f>IF(_xll.TM1RPTELISCONSOLIDATED($H$20,$H1480),IF(_xll.TM1RPTELLEV($H$20,$H1480)&lt;=5,_xll.TM1RPTELLEV($H$20,$H1480),"Default"),"Leaf")</f>
        <v>Leaf</v>
      </c>
      <c r="C1480" s="26" t="s">
        <v>17</v>
      </c>
      <c r="D1480" s="24" t="str">
        <f>_xll.DBRW("TM1-S1_DEV:}ElementAttributes_SP_SKU",$F1480,D$1)</f>
        <v>Primary</v>
      </c>
      <c r="E1480" s="24" t="str">
        <f>_xll.DBRW("TM1-S1_DEV:}ElementAttributes_SP_SKU",$F1480,E$1)</f>
        <v>CONDIMENT</v>
      </c>
      <c r="F1480" s="26" t="s">
        <v>3176</v>
      </c>
      <c r="G1480" s="26" t="s">
        <v>1424</v>
      </c>
      <c r="H1480" s="26" t="s">
        <v>2684</v>
      </c>
      <c r="I1480" s="54">
        <f>_xll.DBRW($A$1,$F$14,$F$15,$C1480,$A$2,$F1480,$G1480,$H1480,I$1)</f>
        <v>15</v>
      </c>
      <c r="J1480" s="25">
        <f>_xll.DBRW($A$1,$F$14,$F$15,$C1480,$A$2,$F1480,$G1480,$H1480,J$19)</f>
        <v>14</v>
      </c>
    </row>
    <row r="1481" spans="1:10" s="23" customFormat="1" outlineLevel="1" thickBot="1" x14ac:dyDescent="0.3">
      <c r="A1481" s="44"/>
      <c r="B1481" s="31" t="str">
        <f>IF(_xll.TM1RPTELISCONSOLIDATED($H$20,$H1481),IF(_xll.TM1RPTELLEV($H$20,$H1481)&lt;=5,_xll.TM1RPTELLEV($H$20,$H1481),"Default"),"Leaf")</f>
        <v>Leaf</v>
      </c>
      <c r="C1481" s="26" t="s">
        <v>17</v>
      </c>
      <c r="D1481" s="24" t="str">
        <f>_xll.DBRW("TM1-S1_DEV:}ElementAttributes_SP_SKU",$F1481,D$1)</f>
        <v>Primary</v>
      </c>
      <c r="E1481" s="24" t="str">
        <f>_xll.DBRW("TM1-S1_DEV:}ElementAttributes_SP_SKU",$F1481,E$1)</f>
        <v>CONDIMENT</v>
      </c>
      <c r="F1481" s="26" t="s">
        <v>3253</v>
      </c>
      <c r="G1481" s="26" t="s">
        <v>1425</v>
      </c>
      <c r="H1481" s="26" t="s">
        <v>2686</v>
      </c>
      <c r="I1481" s="54">
        <f>_xll.DBRW($A$1,$F$14,$F$15,$C1481,$A$2,$F1481,$G1481,$H1481,I$1)</f>
        <v>23</v>
      </c>
      <c r="J1481" s="25">
        <f>_xll.DBRW($A$1,$F$14,$F$15,$C1481,$A$2,$F1481,$G1481,$H1481,J$19)</f>
        <v>24</v>
      </c>
    </row>
    <row r="1482" spans="1:10" s="23" customFormat="1" outlineLevel="1" thickBot="1" x14ac:dyDescent="0.3">
      <c r="A1482" s="44"/>
      <c r="B1482" s="31" t="str">
        <f>IF(_xll.TM1RPTELISCONSOLIDATED($H$20,$H1482),IF(_xll.TM1RPTELLEV($H$20,$H1482)&lt;=5,_xll.TM1RPTELLEV($H$20,$H1482),"Default"),"Leaf")</f>
        <v>Leaf</v>
      </c>
      <c r="C1482" s="26" t="s">
        <v>17</v>
      </c>
      <c r="D1482" s="24" t="str">
        <f>_xll.DBRW("TM1-S1_DEV:}ElementAttributes_SP_SKU",$F1482,D$1)</f>
        <v>Primary</v>
      </c>
      <c r="E1482" s="24" t="str">
        <f>_xll.DBRW("TM1-S1_DEV:}ElementAttributes_SP_SKU",$F1482,E$1)</f>
        <v>INGREDIENT</v>
      </c>
      <c r="F1482" s="26" t="s">
        <v>3177</v>
      </c>
      <c r="G1482" s="26" t="s">
        <v>1426</v>
      </c>
      <c r="H1482" s="26" t="s">
        <v>2686</v>
      </c>
      <c r="I1482" s="54">
        <f>_xll.DBRW($A$1,$F$14,$F$15,$C1482,$A$2,$F1482,$G1482,$H1482,I$1)</f>
        <v>7</v>
      </c>
      <c r="J1482" s="25">
        <f>_xll.DBRW($A$1,$F$14,$F$15,$C1482,$A$2,$F1482,$G1482,$H1482,J$19)</f>
        <v>5</v>
      </c>
    </row>
    <row r="1483" spans="1:10" s="23" customFormat="1" outlineLevel="1" thickBot="1" x14ac:dyDescent="0.3">
      <c r="A1483" s="44"/>
      <c r="B1483" s="31" t="str">
        <f>IF(_xll.TM1RPTELISCONSOLIDATED($H$20,$H1483),IF(_xll.TM1RPTELLEV($H$20,$H1483)&lt;=5,_xll.TM1RPTELLEV($H$20,$H1483),"Default"),"Leaf")</f>
        <v>Leaf</v>
      </c>
      <c r="C1483" s="26" t="s">
        <v>17</v>
      </c>
      <c r="D1483" s="24" t="str">
        <f>_xll.DBRW("TM1-S1_DEV:}ElementAttributes_SP_SKU",$F1483,D$1)</f>
        <v>Primary</v>
      </c>
      <c r="E1483" s="24" t="str">
        <f>_xll.DBRW("TM1-S1_DEV:}ElementAttributes_SP_SKU",$F1483,E$1)</f>
        <v>CONDIMENT</v>
      </c>
      <c r="F1483" s="26" t="s">
        <v>3178</v>
      </c>
      <c r="G1483" s="26" t="s">
        <v>1427</v>
      </c>
      <c r="H1483" s="26" t="s">
        <v>2684</v>
      </c>
      <c r="I1483" s="54">
        <f>_xll.DBRW($A$1,$F$14,$F$15,$C1483,$A$2,$F1483,$G1483,$H1483,I$1)</f>
        <v>12</v>
      </c>
      <c r="J1483" s="25">
        <f>_xll.DBRW($A$1,$F$14,$F$15,$C1483,$A$2,$F1483,$G1483,$H1483,J$19)</f>
        <v>11</v>
      </c>
    </row>
    <row r="1484" spans="1:10" s="23" customFormat="1" outlineLevel="1" thickBot="1" x14ac:dyDescent="0.3">
      <c r="A1484" s="44"/>
      <c r="B1484" s="31" t="str">
        <f>IF(_xll.TM1RPTELISCONSOLIDATED($H$20,$H1484),IF(_xll.TM1RPTELLEV($H$20,$H1484)&lt;=5,_xll.TM1RPTELLEV($H$20,$H1484),"Default"),"Leaf")</f>
        <v>Leaf</v>
      </c>
      <c r="C1484" s="26" t="s">
        <v>17</v>
      </c>
      <c r="D1484" s="24" t="str">
        <f>_xll.DBRW("TM1-S1_DEV:}ElementAttributes_SP_SKU",$F1484,D$1)</f>
        <v>Primary</v>
      </c>
      <c r="E1484" s="24" t="str">
        <f>_xll.DBRW("TM1-S1_DEV:}ElementAttributes_SP_SKU",$F1484,E$1)</f>
        <v>CONDIMENT</v>
      </c>
      <c r="F1484" s="26" t="s">
        <v>3179</v>
      </c>
      <c r="G1484" s="26" t="s">
        <v>1428</v>
      </c>
      <c r="H1484" s="26" t="s">
        <v>2684</v>
      </c>
      <c r="I1484" s="54">
        <f>_xll.DBRW($A$1,$F$14,$F$15,$C1484,$A$2,$F1484,$G1484,$H1484,I$1)</f>
        <v>33</v>
      </c>
      <c r="J1484" s="25">
        <f>_xll.DBRW($A$1,$F$14,$F$15,$C1484,$A$2,$F1484,$G1484,$H1484,J$19)</f>
        <v>32</v>
      </c>
    </row>
    <row r="1485" spans="1:10" s="23" customFormat="1" outlineLevel="1" thickBot="1" x14ac:dyDescent="0.3">
      <c r="A1485" s="44"/>
      <c r="B1485" s="31" t="str">
        <f>IF(_xll.TM1RPTELISCONSOLIDATED($H$20,$H1485),IF(_xll.TM1RPTELLEV($H$20,$H1485)&lt;=5,_xll.TM1RPTELLEV($H$20,$H1485),"Default"),"Leaf")</f>
        <v>Leaf</v>
      </c>
      <c r="C1485" s="26" t="s">
        <v>17</v>
      </c>
      <c r="D1485" s="24" t="str">
        <f>_xll.DBRW("TM1-S1_DEV:}ElementAttributes_SP_SKU",$F1485,D$1)</f>
        <v>Primary</v>
      </c>
      <c r="E1485" s="24" t="str">
        <f>_xll.DBRW("TM1-S1_DEV:}ElementAttributes_SP_SKU",$F1485,E$1)</f>
        <v>COOKIE</v>
      </c>
      <c r="F1485" s="26" t="s">
        <v>3180</v>
      </c>
      <c r="G1485" s="26" t="s">
        <v>1429</v>
      </c>
      <c r="H1485" s="26" t="s">
        <v>2691</v>
      </c>
      <c r="I1485" s="54">
        <f>_xll.DBRW($A$1,$F$14,$F$15,$C1485,$A$2,$F1485,$G1485,$H1485,I$1)</f>
        <v>30</v>
      </c>
      <c r="J1485" s="25">
        <f>_xll.DBRW($A$1,$F$14,$F$15,$C1485,$A$2,$F1485,$G1485,$H1485,J$19)</f>
        <v>20</v>
      </c>
    </row>
    <row r="1486" spans="1:10" s="23" customFormat="1" outlineLevel="1" thickBot="1" x14ac:dyDescent="0.3">
      <c r="A1486" s="44"/>
      <c r="B1486" s="31" t="str">
        <f>IF(_xll.TM1RPTELISCONSOLIDATED($H$20,$H1486),IF(_xll.TM1RPTELLEV($H$20,$H1486)&lt;=5,_xll.TM1RPTELLEV($H$20,$H1486),"Default"),"Leaf")</f>
        <v>Leaf</v>
      </c>
      <c r="C1486" s="26" t="s">
        <v>17</v>
      </c>
      <c r="D1486" s="24" t="str">
        <f>_xll.DBRW("TM1-S1_DEV:}ElementAttributes_SP_SKU",$F1486,D$1)</f>
        <v>Primary</v>
      </c>
      <c r="E1486" s="24" t="str">
        <f>_xll.DBRW("TM1-S1_DEV:}ElementAttributes_SP_SKU",$F1486,E$1)</f>
        <v>COOKIE</v>
      </c>
      <c r="F1486" s="26" t="s">
        <v>3181</v>
      </c>
      <c r="G1486" s="26" t="s">
        <v>1430</v>
      </c>
      <c r="H1486" s="26" t="s">
        <v>2691</v>
      </c>
      <c r="I1486" s="54">
        <f>_xll.DBRW($A$1,$F$14,$F$15,$C1486,$A$2,$F1486,$G1486,$H1486,I$1)</f>
        <v>14</v>
      </c>
      <c r="J1486" s="25">
        <f>_xll.DBRW($A$1,$F$14,$F$15,$C1486,$A$2,$F1486,$G1486,$H1486,J$19)</f>
        <v>17</v>
      </c>
    </row>
    <row r="1487" spans="1:10" s="23" customFormat="1" outlineLevel="1" thickBot="1" x14ac:dyDescent="0.3">
      <c r="A1487" s="44"/>
      <c r="B1487" s="31" t="str">
        <f>IF(_xll.TM1RPTELISCONSOLIDATED($H$20,$H1487),IF(_xll.TM1RPTELLEV($H$20,$H1487)&lt;=5,_xll.TM1RPTELLEV($H$20,$H1487),"Default"),"Leaf")</f>
        <v>Leaf</v>
      </c>
      <c r="C1487" s="26" t="s">
        <v>17</v>
      </c>
      <c r="D1487" s="24" t="str">
        <f>_xll.DBRW("TM1-S1_DEV:}ElementAttributes_SP_SKU",$F1487,D$1)</f>
        <v>Primary</v>
      </c>
      <c r="E1487" s="24" t="str">
        <f>_xll.DBRW("TM1-S1_DEV:}ElementAttributes_SP_SKU",$F1487,E$1)</f>
        <v>COOKIE</v>
      </c>
      <c r="F1487" s="26" t="s">
        <v>3182</v>
      </c>
      <c r="G1487" s="26" t="s">
        <v>1431</v>
      </c>
      <c r="H1487" s="26" t="s">
        <v>2691</v>
      </c>
      <c r="I1487" s="54">
        <f>_xll.DBRW($A$1,$F$14,$F$15,$C1487,$A$2,$F1487,$G1487,$H1487,I$1)</f>
        <v>49</v>
      </c>
      <c r="J1487" s="25">
        <f>_xll.DBRW($A$1,$F$14,$F$15,$C1487,$A$2,$F1487,$G1487,$H1487,J$19)</f>
        <v>36</v>
      </c>
    </row>
    <row r="1488" spans="1:10" s="23" customFormat="1" outlineLevel="1" thickBot="1" x14ac:dyDescent="0.3">
      <c r="A1488" s="44"/>
      <c r="B1488" s="31" t="str">
        <f>IF(_xll.TM1RPTELISCONSOLIDATED($H$20,$H1488),IF(_xll.TM1RPTELLEV($H$20,$H1488)&lt;=5,_xll.TM1RPTELLEV($H$20,$H1488),"Default"),"Leaf")</f>
        <v>Leaf</v>
      </c>
      <c r="C1488" s="26" t="s">
        <v>17</v>
      </c>
      <c r="D1488" s="24" t="str">
        <f>_xll.DBRW("TM1-S1_DEV:}ElementAttributes_SP_SKU",$F1488,D$1)</f>
        <v>Primary</v>
      </c>
      <c r="E1488" s="24" t="str">
        <f>_xll.DBRW("TM1-S1_DEV:}ElementAttributes_SP_SKU",$F1488,E$1)</f>
        <v>COOKIE</v>
      </c>
      <c r="F1488" s="26" t="s">
        <v>3183</v>
      </c>
      <c r="G1488" s="26" t="s">
        <v>1432</v>
      </c>
      <c r="H1488" s="26" t="s">
        <v>2691</v>
      </c>
      <c r="I1488" s="54">
        <f>_xll.DBRW($A$1,$F$14,$F$15,$C1488,$A$2,$F1488,$G1488,$H1488,I$1)</f>
        <v>69</v>
      </c>
      <c r="J1488" s="25">
        <f>_xll.DBRW($A$1,$F$14,$F$15,$C1488,$A$2,$F1488,$G1488,$H1488,J$19)</f>
        <v>36</v>
      </c>
    </row>
    <row r="1489" spans="1:10" s="23" customFormat="1" outlineLevel="1" thickBot="1" x14ac:dyDescent="0.3">
      <c r="A1489" s="44"/>
      <c r="B1489" s="31" t="str">
        <f>IF(_xll.TM1RPTELISCONSOLIDATED($H$20,$H1489),IF(_xll.TM1RPTELLEV($H$20,$H1489)&lt;=5,_xll.TM1RPTELLEV($H$20,$H1489),"Default"),"Leaf")</f>
        <v>Leaf</v>
      </c>
      <c r="C1489" s="26" t="s">
        <v>17</v>
      </c>
      <c r="D1489" s="24" t="str">
        <f>_xll.DBRW("TM1-S1_DEV:}ElementAttributes_SP_SKU",$F1489,D$1)</f>
        <v>Primary</v>
      </c>
      <c r="E1489" s="24" t="str">
        <f>_xll.DBRW("TM1-S1_DEV:}ElementAttributes_SP_SKU",$F1489,E$1)</f>
        <v>SOUP</v>
      </c>
      <c r="F1489" s="26" t="s">
        <v>3184</v>
      </c>
      <c r="G1489" s="26" t="s">
        <v>1433</v>
      </c>
      <c r="H1489" s="26" t="s">
        <v>2675</v>
      </c>
      <c r="I1489" s="54">
        <f>_xll.DBRW($A$1,$F$14,$F$15,$C1489,$A$2,$F1489,$G1489,$H1489,I$1)</f>
        <v>10</v>
      </c>
      <c r="J1489" s="25">
        <f>_xll.DBRW($A$1,$F$14,$F$15,$C1489,$A$2,$F1489,$G1489,$H1489,J$19)</f>
        <v>10</v>
      </c>
    </row>
    <row r="1490" spans="1:10" s="23" customFormat="1" outlineLevel="1" thickBot="1" x14ac:dyDescent="0.3">
      <c r="A1490" s="44"/>
      <c r="B1490" s="31" t="str">
        <f>IF(_xll.TM1RPTELISCONSOLIDATED($H$20,$H1490),IF(_xll.TM1RPTELLEV($H$20,$H1490)&lt;=5,_xll.TM1RPTELLEV($H$20,$H1490),"Default"),"Leaf")</f>
        <v>Leaf</v>
      </c>
      <c r="C1490" s="26" t="s">
        <v>17</v>
      </c>
      <c r="D1490" s="24" t="str">
        <f>_xll.DBRW("TM1-S1_DEV:}ElementAttributes_SP_SKU",$F1490,D$1)</f>
        <v>Primary</v>
      </c>
      <c r="E1490" s="24" t="str">
        <f>_xll.DBRW("TM1-S1_DEV:}ElementAttributes_SP_SKU",$F1490,E$1)</f>
        <v>INGREDIENT</v>
      </c>
      <c r="F1490" s="26" t="s">
        <v>3185</v>
      </c>
      <c r="G1490" s="26" t="s">
        <v>1434</v>
      </c>
      <c r="H1490" s="26" t="s">
        <v>2693</v>
      </c>
      <c r="I1490" s="54">
        <f>_xll.DBRW($A$1,$F$14,$F$15,$C1490,$A$2,$F1490,$G1490,$H1490,I$1)</f>
        <v>34</v>
      </c>
      <c r="J1490" s="25">
        <f>_xll.DBRW($A$1,$F$14,$F$15,$C1490,$A$2,$F1490,$G1490,$H1490,J$19)</f>
        <v>30</v>
      </c>
    </row>
    <row r="1491" spans="1:10" s="23" customFormat="1" outlineLevel="1" thickBot="1" x14ac:dyDescent="0.3">
      <c r="A1491" s="44"/>
      <c r="B1491" s="31" t="str">
        <f>IF(_xll.TM1RPTELISCONSOLIDATED($H$20,$H1491),IF(_xll.TM1RPTELLEV($H$20,$H1491)&lt;=5,_xll.TM1RPTELLEV($H$20,$H1491),"Default"),"Leaf")</f>
        <v>Leaf</v>
      </c>
      <c r="C1491" s="26" t="s">
        <v>17</v>
      </c>
      <c r="D1491" s="24" t="str">
        <f>_xll.DBRW("TM1-S1_DEV:}ElementAttributes_SP_SKU",$F1491,D$1)</f>
        <v>Primary</v>
      </c>
      <c r="E1491" s="24" t="str">
        <f>_xll.DBRW("TM1-S1_DEV:}ElementAttributes_SP_SKU",$F1491,E$1)</f>
        <v>INGREDIENT</v>
      </c>
      <c r="F1491" s="26" t="s">
        <v>3186</v>
      </c>
      <c r="G1491" s="26" t="s">
        <v>1435</v>
      </c>
      <c r="H1491" s="26" t="s">
        <v>2694</v>
      </c>
      <c r="I1491" s="54">
        <f>_xll.DBRW($A$1,$F$14,$F$15,$C1491,$A$2,$F1491,$G1491,$H1491,I$1)</f>
        <v>1</v>
      </c>
      <c r="J1491" s="25">
        <f>_xll.DBRW($A$1,$F$14,$F$15,$C1491,$A$2,$F1491,$G1491,$H1491,J$19)</f>
        <v>1</v>
      </c>
    </row>
    <row r="1492" spans="1:10" s="23" customFormat="1" outlineLevel="1" thickBot="1" x14ac:dyDescent="0.3">
      <c r="A1492" s="44"/>
      <c r="B1492" s="31" t="str">
        <f>IF(_xll.TM1RPTELISCONSOLIDATED($H$20,$H1492),IF(_xll.TM1RPTELLEV($H$20,$H1492)&lt;=5,_xll.TM1RPTELLEV($H$20,$H1492),"Default"),"Leaf")</f>
        <v>Leaf</v>
      </c>
      <c r="C1492" s="26" t="s">
        <v>17</v>
      </c>
      <c r="D1492" s="24" t="str">
        <f>_xll.DBRW("TM1-S1_DEV:}ElementAttributes_SP_SKU",$F1492,D$1)</f>
        <v>Primary</v>
      </c>
      <c r="E1492" s="24" t="str">
        <f>_xll.DBRW("TM1-S1_DEV:}ElementAttributes_SP_SKU",$F1492,E$1)</f>
        <v>INGREDIENT</v>
      </c>
      <c r="F1492" s="26" t="s">
        <v>3187</v>
      </c>
      <c r="G1492" s="26" t="s">
        <v>1436</v>
      </c>
      <c r="H1492" s="26" t="s">
        <v>2695</v>
      </c>
      <c r="I1492" s="54">
        <f>_xll.DBRW($A$1,$F$14,$F$15,$C1492,$A$2,$F1492,$G1492,$H1492,I$1)</f>
        <v>117</v>
      </c>
      <c r="J1492" s="25">
        <f>_xll.DBRW($A$1,$F$14,$F$15,$C1492,$A$2,$F1492,$G1492,$H1492,J$19)</f>
        <v>158</v>
      </c>
    </row>
    <row r="1493" spans="1:10" s="23" customFormat="1" outlineLevel="1" thickBot="1" x14ac:dyDescent="0.3">
      <c r="A1493" s="44"/>
      <c r="B1493" s="31" t="str">
        <f>IF(_xll.TM1RPTELISCONSOLIDATED($H$20,$H1493),IF(_xll.TM1RPTELLEV($H$20,$H1493)&lt;=5,_xll.TM1RPTELLEV($H$20,$H1493),"Default"),"Leaf")</f>
        <v>Leaf</v>
      </c>
      <c r="C1493" s="26" t="s">
        <v>17</v>
      </c>
      <c r="D1493" s="24" t="str">
        <f>_xll.DBRW("TM1-S1_DEV:}ElementAttributes_SP_SKU",$F1493,D$1)</f>
        <v>Primary</v>
      </c>
      <c r="E1493" s="24" t="str">
        <f>_xll.DBRW("TM1-S1_DEV:}ElementAttributes_SP_SKU",$F1493,E$1)</f>
        <v>CHIPS</v>
      </c>
      <c r="F1493" s="26" t="s">
        <v>3255</v>
      </c>
      <c r="G1493" s="26" t="s">
        <v>1437</v>
      </c>
      <c r="H1493" s="26" t="s">
        <v>2736</v>
      </c>
      <c r="I1493" s="54">
        <f>_xll.DBRW($A$1,$F$14,$F$15,$C1493,$A$2,$F1493,$G1493,$H1493,I$1)</f>
        <v>48</v>
      </c>
      <c r="J1493" s="25">
        <f>_xll.DBRW($A$1,$F$14,$F$15,$C1493,$A$2,$F1493,$G1493,$H1493,J$19)</f>
        <v>96</v>
      </c>
    </row>
    <row r="1494" spans="1:10" s="23" customFormat="1" outlineLevel="1" thickBot="1" x14ac:dyDescent="0.3">
      <c r="A1494" s="44"/>
      <c r="B1494" s="31" t="str">
        <f>IF(_xll.TM1RPTELISCONSOLIDATED($H$20,$H1494),IF(_xll.TM1RPTELLEV($H$20,$H1494)&lt;=5,_xll.TM1RPTELLEV($H$20,$H1494),"Default"),"Leaf")</f>
        <v>Leaf</v>
      </c>
      <c r="C1494" s="26" t="s">
        <v>17</v>
      </c>
      <c r="D1494" s="24" t="str">
        <f>_xll.DBRW("TM1-S1_DEV:}ElementAttributes_SP_SKU",$F1494,D$1)</f>
        <v>Primary</v>
      </c>
      <c r="E1494" s="24" t="str">
        <f>_xll.DBRW("TM1-S1_DEV:}ElementAttributes_SP_SKU",$F1494,E$1)</f>
        <v>CHIPS</v>
      </c>
      <c r="F1494" s="26" t="s">
        <v>3256</v>
      </c>
      <c r="G1494" s="26" t="s">
        <v>1438</v>
      </c>
      <c r="H1494" s="26" t="s">
        <v>2736</v>
      </c>
      <c r="I1494" s="54">
        <f>_xll.DBRW($A$1,$F$14,$F$15,$C1494,$A$2,$F1494,$G1494,$H1494,I$1)</f>
        <v>35</v>
      </c>
      <c r="J1494" s="25">
        <f>_xll.DBRW($A$1,$F$14,$F$15,$C1494,$A$2,$F1494,$G1494,$H1494,J$19)</f>
        <v>30</v>
      </c>
    </row>
    <row r="1495" spans="1:10" s="23" customFormat="1" outlineLevel="1" thickBot="1" x14ac:dyDescent="0.3">
      <c r="A1495" s="44"/>
      <c r="B1495" s="31" t="str">
        <f>IF(_xll.TM1RPTELISCONSOLIDATED($H$20,$H1495),IF(_xll.TM1RPTELLEV($H$20,$H1495)&lt;=5,_xll.TM1RPTELLEV($H$20,$H1495),"Default"),"Leaf")</f>
        <v>Leaf</v>
      </c>
      <c r="C1495" s="26" t="s">
        <v>17</v>
      </c>
      <c r="D1495" s="24" t="str">
        <f>_xll.DBRW("TM1-S1_DEV:}ElementAttributes_SP_SKU",$F1495,D$1)</f>
        <v>Primary</v>
      </c>
      <c r="E1495" s="24" t="str">
        <f>_xll.DBRW("TM1-S1_DEV:}ElementAttributes_SP_SKU",$F1495,E$1)</f>
        <v>CHIPS</v>
      </c>
      <c r="F1495" s="26" t="s">
        <v>3257</v>
      </c>
      <c r="G1495" s="26" t="s">
        <v>1439</v>
      </c>
      <c r="H1495" s="26" t="s">
        <v>2736</v>
      </c>
      <c r="I1495" s="54">
        <f>_xll.DBRW($A$1,$F$14,$F$15,$C1495,$A$2,$F1495,$G1495,$H1495,I$1)</f>
        <v>148</v>
      </c>
      <c r="J1495" s="25">
        <f>_xll.DBRW($A$1,$F$14,$F$15,$C1495,$A$2,$F1495,$G1495,$H1495,J$19)</f>
        <v>188</v>
      </c>
    </row>
    <row r="1496" spans="1:10" s="23" customFormat="1" outlineLevel="1" thickBot="1" x14ac:dyDescent="0.3">
      <c r="A1496" s="44"/>
      <c r="B1496" s="31" t="str">
        <f>IF(_xll.TM1RPTELISCONSOLIDATED($H$20,$H1496),IF(_xll.TM1RPTELLEV($H$20,$H1496)&lt;=5,_xll.TM1RPTELLEV($H$20,$H1496),"Default"),"Leaf")</f>
        <v>Leaf</v>
      </c>
      <c r="C1496" s="26" t="s">
        <v>17</v>
      </c>
      <c r="D1496" s="24" t="str">
        <f>_xll.DBRW("TM1-S1_DEV:}ElementAttributes_SP_SKU",$F1496,D$1)</f>
        <v>Primary</v>
      </c>
      <c r="E1496" s="24" t="str">
        <f>_xll.DBRW("TM1-S1_DEV:}ElementAttributes_SP_SKU",$F1496,E$1)</f>
        <v>CHIPS</v>
      </c>
      <c r="F1496" s="26" t="s">
        <v>3258</v>
      </c>
      <c r="G1496" s="26" t="s">
        <v>1440</v>
      </c>
      <c r="H1496" s="26" t="s">
        <v>2736</v>
      </c>
      <c r="I1496" s="54">
        <f>_xll.DBRW($A$1,$F$14,$F$15,$C1496,$A$2,$F1496,$G1496,$H1496,I$1)</f>
        <v>75</v>
      </c>
      <c r="J1496" s="25">
        <f>_xll.DBRW($A$1,$F$14,$F$15,$C1496,$A$2,$F1496,$G1496,$H1496,J$19)</f>
        <v>66</v>
      </c>
    </row>
    <row r="1497" spans="1:10" s="23" customFormat="1" outlineLevel="1" thickBot="1" x14ac:dyDescent="0.3">
      <c r="A1497" s="44"/>
      <c r="B1497" s="31" t="str">
        <f>IF(_xll.TM1RPTELISCONSOLIDATED($H$20,$H1497),IF(_xll.TM1RPTELLEV($H$20,$H1497)&lt;=5,_xll.TM1RPTELLEV($H$20,$H1497),"Default"),"Leaf")</f>
        <v>Leaf</v>
      </c>
      <c r="C1497" s="26" t="s">
        <v>17</v>
      </c>
      <c r="D1497" s="24" t="str">
        <f>_xll.DBRW("TM1-S1_DEV:}ElementAttributes_SP_SKU",$F1497,D$1)</f>
        <v>Primary</v>
      </c>
      <c r="E1497" s="24" t="str">
        <f>_xll.DBRW("TM1-S1_DEV:}ElementAttributes_SP_SKU",$F1497,E$1)</f>
        <v>SIDES</v>
      </c>
      <c r="F1497" s="26" t="s">
        <v>3188</v>
      </c>
      <c r="G1497" s="26" t="s">
        <v>1441</v>
      </c>
      <c r="H1497" s="26" t="s">
        <v>2686</v>
      </c>
      <c r="I1497" s="54">
        <f>_xll.DBRW($A$1,$F$14,$F$15,$C1497,$A$2,$F1497,$G1497,$H1497,I$1)</f>
        <v>25</v>
      </c>
      <c r="J1497" s="25">
        <f>_xll.DBRW($A$1,$F$14,$F$15,$C1497,$A$2,$F1497,$G1497,$H1497,J$19)</f>
        <v>33</v>
      </c>
    </row>
    <row r="1498" spans="1:10" s="23" customFormat="1" outlineLevel="1" thickBot="1" x14ac:dyDescent="0.3">
      <c r="A1498" s="44"/>
      <c r="B1498" s="31" t="str">
        <f>IF(_xll.TM1RPTELISCONSOLIDATED($H$20,$H1498),IF(_xll.TM1RPTELLEV($H$20,$H1498)&lt;=5,_xll.TM1RPTELLEV($H$20,$H1498),"Default"),"Leaf")</f>
        <v>Leaf</v>
      </c>
      <c r="C1498" s="26" t="s">
        <v>17</v>
      </c>
      <c r="D1498" s="24" t="str">
        <f>_xll.DBRW("TM1-S1_DEV:}ElementAttributes_SP_SKU",$F1498,D$1)</f>
        <v>Primary</v>
      </c>
      <c r="E1498" s="24" t="str">
        <f>_xll.DBRW("TM1-S1_DEV:}ElementAttributes_SP_SKU",$F1498,E$1)</f>
        <v>CONDIMENT</v>
      </c>
      <c r="F1498" s="26" t="s">
        <v>3189</v>
      </c>
      <c r="G1498" s="26" t="s">
        <v>1442</v>
      </c>
      <c r="H1498" s="26" t="s">
        <v>2686</v>
      </c>
      <c r="I1498" s="54">
        <f>_xll.DBRW($A$1,$F$14,$F$15,$C1498,$A$2,$F1498,$G1498,$H1498,I$1)</f>
        <v>108</v>
      </c>
      <c r="J1498" s="25">
        <f>_xll.DBRW($A$1,$F$14,$F$15,$C1498,$A$2,$F1498,$G1498,$H1498,J$19)</f>
        <v>116</v>
      </c>
    </row>
    <row r="1499" spans="1:10" s="23" customFormat="1" outlineLevel="1" thickBot="1" x14ac:dyDescent="0.3">
      <c r="A1499" s="44"/>
      <c r="B1499" s="31" t="str">
        <f>IF(_xll.TM1RPTELISCONSOLIDATED($H$20,$H1499),IF(_xll.TM1RPTELLEV($H$20,$H1499)&lt;=5,_xll.TM1RPTELLEV($H$20,$H1499),"Default"),"Leaf")</f>
        <v>Leaf</v>
      </c>
      <c r="C1499" s="26" t="s">
        <v>17</v>
      </c>
      <c r="D1499" s="24" t="str">
        <f>_xll.DBRW("TM1-S1_DEV:}ElementAttributes_SP_SKU",$F1499,D$1)</f>
        <v>Primary</v>
      </c>
      <c r="E1499" s="24" t="str">
        <f>_xll.DBRW("TM1-S1_DEV:}ElementAttributes_SP_SKU",$F1499,E$1)</f>
        <v>INGREDIENT</v>
      </c>
      <c r="F1499" s="26" t="s">
        <v>3190</v>
      </c>
      <c r="G1499" s="26" t="s">
        <v>1443</v>
      </c>
      <c r="H1499" s="26" t="s">
        <v>2696</v>
      </c>
      <c r="I1499" s="54">
        <f>_xll.DBRW($A$1,$F$14,$F$15,$C1499,$A$2,$F1499,$G1499,$H1499,I$1)</f>
        <v>44</v>
      </c>
      <c r="J1499" s="25">
        <f>_xll.DBRW($A$1,$F$14,$F$15,$C1499,$A$2,$F1499,$G1499,$H1499,J$19)</f>
        <v>39</v>
      </c>
    </row>
    <row r="1500" spans="1:10" s="23" customFormat="1" outlineLevel="1" thickBot="1" x14ac:dyDescent="0.3">
      <c r="A1500" s="44"/>
      <c r="B1500" s="31" t="str">
        <f>IF(_xll.TM1RPTELISCONSOLIDATED($H$20,$H1500),IF(_xll.TM1RPTELLEV($H$20,$H1500)&lt;=5,_xll.TM1RPTELLEV($H$20,$H1500),"Default"),"Leaf")</f>
        <v>Leaf</v>
      </c>
      <c r="C1500" s="26" t="s">
        <v>17</v>
      </c>
      <c r="D1500" s="24" t="str">
        <f>_xll.DBRW("TM1-S1_DEV:}ElementAttributes_SP_SKU",$F1500,D$1)</f>
        <v>Primary</v>
      </c>
      <c r="E1500" s="24" t="str">
        <f>_xll.DBRW("TM1-S1_DEV:}ElementAttributes_SP_SKU",$F1500,E$1)</f>
        <v>INGREDIENT</v>
      </c>
      <c r="F1500" s="26" t="s">
        <v>3191</v>
      </c>
      <c r="G1500" s="26" t="s">
        <v>1444</v>
      </c>
      <c r="H1500" s="26" t="s">
        <v>2697</v>
      </c>
      <c r="I1500" s="54">
        <f>_xll.DBRW($A$1,$F$14,$F$15,$C1500,$A$2,$F1500,$G1500,$H1500,I$1)</f>
        <v>121</v>
      </c>
      <c r="J1500" s="25">
        <f>_xll.DBRW($A$1,$F$14,$F$15,$C1500,$A$2,$F1500,$G1500,$H1500,J$19)</f>
        <v>114</v>
      </c>
    </row>
    <row r="1501" spans="1:10" s="23" customFormat="1" outlineLevel="1" thickBot="1" x14ac:dyDescent="0.3">
      <c r="A1501" s="44"/>
      <c r="B1501" s="31" t="str">
        <f>IF(_xll.TM1RPTELISCONSOLIDATED($H$20,$H1501),IF(_xll.TM1RPTELLEV($H$20,$H1501)&lt;=5,_xll.TM1RPTELLEV($H$20,$H1501),"Default"),"Leaf")</f>
        <v>Leaf</v>
      </c>
      <c r="C1501" s="26" t="s">
        <v>17</v>
      </c>
      <c r="D1501" s="24" t="str">
        <f>_xll.DBRW("TM1-S1_DEV:}ElementAttributes_SP_SKU",$F1501,D$1)</f>
        <v>Primary</v>
      </c>
      <c r="E1501" s="24" t="str">
        <f>_xll.DBRW("TM1-S1_DEV:}ElementAttributes_SP_SKU",$F1501,E$1)</f>
        <v>INGREDIENT</v>
      </c>
      <c r="F1501" s="26" t="s">
        <v>3192</v>
      </c>
      <c r="G1501" s="26" t="s">
        <v>1445</v>
      </c>
      <c r="H1501" s="26" t="s">
        <v>2698</v>
      </c>
      <c r="I1501" s="54">
        <f>_xll.DBRW($A$1,$F$14,$F$15,$C1501,$A$2,$F1501,$G1501,$H1501,I$1)</f>
        <v>43</v>
      </c>
      <c r="J1501" s="25">
        <f>_xll.DBRW($A$1,$F$14,$F$15,$C1501,$A$2,$F1501,$G1501,$H1501,J$19)</f>
        <v>42</v>
      </c>
    </row>
    <row r="1502" spans="1:10" s="23" customFormat="1" outlineLevel="1" thickBot="1" x14ac:dyDescent="0.3">
      <c r="A1502" s="44"/>
      <c r="B1502" s="31" t="str">
        <f>IF(_xll.TM1RPTELISCONSOLIDATED($H$20,$H1502),IF(_xll.TM1RPTELLEV($H$20,$H1502)&lt;=5,_xll.TM1RPTELLEV($H$20,$H1502),"Default"),"Leaf")</f>
        <v>Leaf</v>
      </c>
      <c r="C1502" s="26" t="s">
        <v>17</v>
      </c>
      <c r="D1502" s="24" t="str">
        <f>_xll.DBRW("TM1-S1_DEV:}ElementAttributes_SP_SKU",$F1502,D$1)</f>
        <v>Primary</v>
      </c>
      <c r="E1502" s="24" t="str">
        <f>_xll.DBRW("TM1-S1_DEV:}ElementAttributes_SP_SKU",$F1502,E$1)</f>
        <v>INGREDIENT</v>
      </c>
      <c r="F1502" s="26" t="s">
        <v>3193</v>
      </c>
      <c r="G1502" s="26" t="s">
        <v>1446</v>
      </c>
      <c r="H1502" s="26" t="s">
        <v>2699</v>
      </c>
      <c r="I1502" s="54">
        <f>_xll.DBRW($A$1,$F$14,$F$15,$C1502,$A$2,$F1502,$G1502,$H1502,I$1)</f>
        <v>74</v>
      </c>
      <c r="J1502" s="25">
        <f>_xll.DBRW($A$1,$F$14,$F$15,$C1502,$A$2,$F1502,$G1502,$H1502,J$19)</f>
        <v>98</v>
      </c>
    </row>
    <row r="1503" spans="1:10" s="23" customFormat="1" outlineLevel="1" thickBot="1" x14ac:dyDescent="0.3">
      <c r="A1503" s="44"/>
      <c r="B1503" s="31" t="str">
        <f>IF(_xll.TM1RPTELISCONSOLIDATED($H$20,$H1503),IF(_xll.TM1RPTELLEV($H$20,$H1503)&lt;=5,_xll.TM1RPTELLEV($H$20,$H1503),"Default"),"Leaf")</f>
        <v>Leaf</v>
      </c>
      <c r="C1503" s="26" t="s">
        <v>17</v>
      </c>
      <c r="D1503" s="24" t="str">
        <f>_xll.DBRW("TM1-S1_DEV:}ElementAttributes_SP_SKU",$F1503,D$1)</f>
        <v>Primary</v>
      </c>
      <c r="E1503" s="24" t="str">
        <f>_xll.DBRW("TM1-S1_DEV:}ElementAttributes_SP_SKU",$F1503,E$1)</f>
        <v>COOKIE</v>
      </c>
      <c r="F1503" s="26" t="s">
        <v>3194</v>
      </c>
      <c r="G1503" s="26" t="s">
        <v>1447</v>
      </c>
      <c r="H1503" s="26" t="s">
        <v>2691</v>
      </c>
      <c r="I1503" s="54">
        <f>_xll.DBRW($A$1,$F$14,$F$15,$C1503,$A$2,$F1503,$G1503,$H1503,I$1)</f>
        <v>14</v>
      </c>
      <c r="J1503" s="25">
        <f>_xll.DBRW($A$1,$F$14,$F$15,$C1503,$A$2,$F1503,$G1503,$H1503,J$19)</f>
        <v>10</v>
      </c>
    </row>
    <row r="1504" spans="1:10" s="23" customFormat="1" outlineLevel="1" thickBot="1" x14ac:dyDescent="0.3">
      <c r="A1504" s="44"/>
      <c r="B1504" s="31" t="str">
        <f>IF(_xll.TM1RPTELISCONSOLIDATED($H$20,$H1504),IF(_xll.TM1RPTELLEV($H$20,$H1504)&lt;=5,_xll.TM1RPTELLEV($H$20,$H1504),"Default"),"Leaf")</f>
        <v>Leaf</v>
      </c>
      <c r="C1504" s="26" t="s">
        <v>17</v>
      </c>
      <c r="D1504" s="24" t="str">
        <f>_xll.DBRW("TM1-S1_DEV:}ElementAttributes_SP_SKU",$F1504,D$1)</f>
        <v>Primary</v>
      </c>
      <c r="E1504" s="24" t="str">
        <f>_xll.DBRW("TM1-S1_DEV:}ElementAttributes_SP_SKU",$F1504,E$1)</f>
        <v>COOKIE</v>
      </c>
      <c r="F1504" s="26" t="s">
        <v>3195</v>
      </c>
      <c r="G1504" s="26" t="s">
        <v>1448</v>
      </c>
      <c r="H1504" s="26" t="s">
        <v>2691</v>
      </c>
      <c r="I1504" s="54">
        <f>_xll.DBRW($A$1,$F$14,$F$15,$C1504,$A$2,$F1504,$G1504,$H1504,I$1)</f>
        <v>0</v>
      </c>
      <c r="J1504" s="25">
        <f>_xll.DBRW($A$1,$F$14,$F$15,$C1504,$A$2,$F1504,$G1504,$H1504,J$19)</f>
        <v>5</v>
      </c>
    </row>
    <row r="1505" spans="1:10" s="23" customFormat="1" outlineLevel="1" thickBot="1" x14ac:dyDescent="0.3">
      <c r="A1505" s="44"/>
      <c r="B1505" s="31" t="str">
        <f>IF(_xll.TM1RPTELISCONSOLIDATED($H$20,$H1505),IF(_xll.TM1RPTELLEV($H$20,$H1505)&lt;=5,_xll.TM1RPTELLEV($H$20,$H1505),"Default"),"Leaf")</f>
        <v>Leaf</v>
      </c>
      <c r="C1505" s="26" t="s">
        <v>17</v>
      </c>
      <c r="D1505" s="24" t="str">
        <f>_xll.DBRW("TM1-S1_DEV:}ElementAttributes_SP_SKU",$F1505,D$1)</f>
        <v>Primary</v>
      </c>
      <c r="E1505" s="24" t="str">
        <f>_xll.DBRW("TM1-S1_DEV:}ElementAttributes_SP_SKU",$F1505,E$1)</f>
        <v>COOKIE</v>
      </c>
      <c r="F1505" s="26" t="s">
        <v>3196</v>
      </c>
      <c r="G1505" s="26" t="s">
        <v>1449</v>
      </c>
      <c r="H1505" s="26" t="s">
        <v>2691</v>
      </c>
      <c r="I1505" s="54">
        <f>_xll.DBRW($A$1,$F$14,$F$15,$C1505,$A$2,$F1505,$G1505,$H1505,I$1)</f>
        <v>16</v>
      </c>
      <c r="J1505" s="25">
        <f>_xll.DBRW($A$1,$F$14,$F$15,$C1505,$A$2,$F1505,$G1505,$H1505,J$19)</f>
        <v>15</v>
      </c>
    </row>
    <row r="1506" spans="1:10" s="23" customFormat="1" outlineLevel="1" thickBot="1" x14ac:dyDescent="0.3">
      <c r="A1506" s="44"/>
      <c r="B1506" s="31" t="str">
        <f>IF(_xll.TM1RPTELISCONSOLIDATED($H$20,$H1506),IF(_xll.TM1RPTELLEV($H$20,$H1506)&lt;=5,_xll.TM1RPTELLEV($H$20,$H1506),"Default"),"Leaf")</f>
        <v>Leaf</v>
      </c>
      <c r="C1506" s="26" t="s">
        <v>17</v>
      </c>
      <c r="D1506" s="24" t="str">
        <f>_xll.DBRW("TM1-S1_DEV:}ElementAttributes_SP_SKU",$F1506,D$1)</f>
        <v>Primary</v>
      </c>
      <c r="E1506" s="24" t="str">
        <f>_xll.DBRW("TM1-S1_DEV:}ElementAttributes_SP_SKU",$F1506,E$1)</f>
        <v>INGREDIENT</v>
      </c>
      <c r="F1506" s="26" t="s">
        <v>3197</v>
      </c>
      <c r="G1506" s="26" t="s">
        <v>1450</v>
      </c>
      <c r="H1506" s="26" t="s">
        <v>2686</v>
      </c>
      <c r="I1506" s="54">
        <f>_xll.DBRW($A$1,$F$14,$F$15,$C1506,$A$2,$F1506,$G1506,$H1506,I$1)</f>
        <v>13</v>
      </c>
      <c r="J1506" s="25">
        <f>_xll.DBRW($A$1,$F$14,$F$15,$C1506,$A$2,$F1506,$G1506,$H1506,J$19)</f>
        <v>12</v>
      </c>
    </row>
    <row r="1507" spans="1:10" s="23" customFormat="1" outlineLevel="1" thickBot="1" x14ac:dyDescent="0.3">
      <c r="A1507" s="44"/>
      <c r="B1507" s="31" t="str">
        <f>IF(_xll.TM1RPTELISCONSOLIDATED($H$20,$H1507),IF(_xll.TM1RPTELLEV($H$20,$H1507)&lt;=5,_xll.TM1RPTELLEV($H$20,$H1507),"Default"),"Leaf")</f>
        <v>Leaf</v>
      </c>
      <c r="C1507" s="26" t="s">
        <v>17</v>
      </c>
      <c r="D1507" s="24" t="str">
        <f>_xll.DBRW("TM1-S1_DEV:}ElementAttributes_SP_SKU",$F1507,D$1)</f>
        <v>Primary</v>
      </c>
      <c r="E1507" s="24" t="str">
        <f>_xll.DBRW("TM1-S1_DEV:}ElementAttributes_SP_SKU",$F1507,E$1)</f>
        <v>DRINKS</v>
      </c>
      <c r="F1507" s="26" t="s">
        <v>3269</v>
      </c>
      <c r="G1507" s="26" t="s">
        <v>1451</v>
      </c>
      <c r="H1507" s="26" t="s">
        <v>2764</v>
      </c>
      <c r="I1507" s="54">
        <f>_xll.DBRW($A$1,$F$14,$F$15,$C1507,$A$2,$F1507,$G1507,$H1507,I$1)</f>
        <v>137</v>
      </c>
      <c r="J1507" s="25">
        <f>_xll.DBRW($A$1,$F$14,$F$15,$C1507,$A$2,$F1507,$G1507,$H1507,J$19)</f>
        <v>217</v>
      </c>
    </row>
    <row r="1508" spans="1:10" s="23" customFormat="1" outlineLevel="1" thickBot="1" x14ac:dyDescent="0.3">
      <c r="A1508" s="44"/>
      <c r="B1508" s="31" t="str">
        <f>IF(_xll.TM1RPTELISCONSOLIDATED($H$20,$H1508),IF(_xll.TM1RPTELLEV($H$20,$H1508)&lt;=5,_xll.TM1RPTELLEV($H$20,$H1508),"Default"),"Leaf")</f>
        <v>Leaf</v>
      </c>
      <c r="C1508" s="26" t="s">
        <v>17</v>
      </c>
      <c r="D1508" s="24" t="str">
        <f>_xll.DBRW("TM1-S1_DEV:}ElementAttributes_SP_SKU",$F1508,D$1)</f>
        <v>Primary</v>
      </c>
      <c r="E1508" s="24" t="str">
        <f>_xll.DBRW("TM1-S1_DEV:}ElementAttributes_SP_SKU",$F1508,E$1)</f>
        <v>INGREDIENT</v>
      </c>
      <c r="F1508" s="26" t="s">
        <v>30</v>
      </c>
      <c r="G1508" s="26" t="s">
        <v>1452</v>
      </c>
      <c r="H1508" s="26" t="s">
        <v>2700</v>
      </c>
      <c r="I1508" s="54">
        <f>_xll.DBRW($A$1,$F$14,$F$15,$C1508,$A$2,$F1508,$G1508,$H1508,I$1)</f>
        <v>33</v>
      </c>
      <c r="J1508" s="25">
        <f>_xll.DBRW($A$1,$F$14,$F$15,$C1508,$A$2,$F1508,$G1508,$H1508,J$19)</f>
        <v>38</v>
      </c>
    </row>
    <row r="1509" spans="1:10" s="23" customFormat="1" outlineLevel="1" thickBot="1" x14ac:dyDescent="0.3">
      <c r="A1509" s="44"/>
      <c r="B1509" s="31" t="str">
        <f>IF(_xll.TM1RPTELISCONSOLIDATED($H$20,$H1509),IF(_xll.TM1RPTELLEV($H$20,$H1509)&lt;=5,_xll.TM1RPTELLEV($H$20,$H1509),"Default"),"Leaf")</f>
        <v>Leaf</v>
      </c>
      <c r="C1509" s="26" t="s">
        <v>17</v>
      </c>
      <c r="D1509" s="24" t="str">
        <f>_xll.DBRW("TM1-S1_DEV:}ElementAttributes_SP_SKU",$F1509,D$1)</f>
        <v>Project</v>
      </c>
      <c r="E1509" s="24" t="str">
        <f>_xll.DBRW("TM1-S1_DEV:}ElementAttributes_SP_SKU",$F1509,E$1)</f>
        <v>CHEESE</v>
      </c>
      <c r="F1509" s="26" t="s">
        <v>302</v>
      </c>
      <c r="G1509" s="26" t="s">
        <v>1453</v>
      </c>
      <c r="H1509" s="26" t="s">
        <v>2832</v>
      </c>
      <c r="I1509" s="54">
        <f>_xll.DBRW($A$1,$F$14,$F$15,$C1509,$A$2,$F1509,$G1509,$H1509,I$1)</f>
        <v>221</v>
      </c>
      <c r="J1509" s="25">
        <f>_xll.DBRW($A$1,$F$14,$F$15,$C1509,$A$2,$F1509,$G1509,$H1509,J$19)</f>
        <v>221</v>
      </c>
    </row>
    <row r="1510" spans="1:10" s="23" customFormat="1" outlineLevel="1" thickBot="1" x14ac:dyDescent="0.3">
      <c r="A1510" s="44"/>
      <c r="B1510" s="31" t="str">
        <f>IF(_xll.TM1RPTELISCONSOLIDATED($H$20,$H1510),IF(_xll.TM1RPTELLEV($H$20,$H1510)&lt;=5,_xll.TM1RPTELLEV($H$20,$H1510),"Default"),"Leaf")</f>
        <v>Leaf</v>
      </c>
      <c r="C1510" s="26" t="s">
        <v>17</v>
      </c>
      <c r="D1510" s="24" t="str">
        <f>_xll.DBRW("TM1-S1_DEV:}ElementAttributes_SP_SKU",$F1510,D$1)</f>
        <v>Project</v>
      </c>
      <c r="E1510" s="24" t="str">
        <f>_xll.DBRW("TM1-S1_DEV:}ElementAttributes_SP_SKU",$F1510,E$1)</f>
        <v>INGREDIENT</v>
      </c>
      <c r="F1510" s="26" t="s">
        <v>303</v>
      </c>
      <c r="G1510" s="26" t="s">
        <v>1454</v>
      </c>
      <c r="H1510" s="26" t="s">
        <v>2833</v>
      </c>
      <c r="I1510" s="54">
        <f>_xll.DBRW($A$1,$F$14,$F$15,$C1510,$A$2,$F1510,$G1510,$H1510,I$1)</f>
        <v>48</v>
      </c>
      <c r="J1510" s="25">
        <f>_xll.DBRW($A$1,$F$14,$F$15,$C1510,$A$2,$F1510,$G1510,$H1510,J$19)</f>
        <v>96</v>
      </c>
    </row>
    <row r="1511" spans="1:10" s="23" customFormat="1" outlineLevel="1" thickBot="1" x14ac:dyDescent="0.3">
      <c r="A1511" s="44"/>
      <c r="B1511" s="31" t="str">
        <f>IF(_xll.TM1RPTELISCONSOLIDATED($H$20,$H1511),IF(_xll.TM1RPTELLEV($H$20,$H1511)&lt;=5,_xll.TM1RPTELLEV($H$20,$H1511),"Default"),"Leaf")</f>
        <v>Leaf</v>
      </c>
      <c r="C1511" s="26" t="s">
        <v>17</v>
      </c>
      <c r="D1511" s="24" t="str">
        <f>_xll.DBRW("TM1-S1_DEV:}ElementAttributes_SP_SKU",$F1511,D$1)</f>
        <v>Project</v>
      </c>
      <c r="E1511" s="24" t="str">
        <f>_xll.DBRW("TM1-S1_DEV:}ElementAttributes_SP_SKU",$F1511,E$1)</f>
        <v>CHEESE</v>
      </c>
      <c r="F1511" s="26" t="s">
        <v>304</v>
      </c>
      <c r="G1511" s="26" t="s">
        <v>1455</v>
      </c>
      <c r="H1511" s="26" t="s">
        <v>2834</v>
      </c>
      <c r="I1511" s="54">
        <f>_xll.DBRW($A$1,$F$14,$F$15,$C1511,$A$2,$F1511,$G1511,$H1511,I$1)</f>
        <v>76</v>
      </c>
      <c r="J1511" s="25">
        <f>_xll.DBRW($A$1,$F$14,$F$15,$C1511,$A$2,$F1511,$G1511,$H1511,J$19)</f>
        <v>76</v>
      </c>
    </row>
    <row r="1512" spans="1:10" s="23" customFormat="1" outlineLevel="1" thickBot="1" x14ac:dyDescent="0.3">
      <c r="A1512" s="44"/>
      <c r="B1512" s="31" t="str">
        <f>IF(_xll.TM1RPTELISCONSOLIDATED($H$20,$H1512),IF(_xll.TM1RPTELLEV($H$20,$H1512)&lt;=5,_xll.TM1RPTELLEV($H$20,$H1512),"Default"),"Leaf")</f>
        <v>Leaf</v>
      </c>
      <c r="C1512" s="26" t="s">
        <v>17</v>
      </c>
      <c r="D1512" s="24" t="str">
        <f>_xll.DBRW("TM1-S1_DEV:}ElementAttributes_SP_SKU",$F1512,D$1)</f>
        <v>Project</v>
      </c>
      <c r="E1512" s="24" t="str">
        <f>_xll.DBRW("TM1-S1_DEV:}ElementAttributes_SP_SKU",$F1512,E$1)</f>
        <v>INGREDIENT</v>
      </c>
      <c r="F1512" s="26" t="s">
        <v>305</v>
      </c>
      <c r="G1512" s="26" t="s">
        <v>1456</v>
      </c>
      <c r="H1512" s="26" t="s">
        <v>2743</v>
      </c>
      <c r="I1512" s="54">
        <f>_xll.DBRW($A$1,$F$14,$F$15,$C1512,$A$2,$F1512,$G1512,$H1512,I$1)</f>
        <v>24</v>
      </c>
      <c r="J1512" s="25">
        <f>_xll.DBRW($A$1,$F$14,$F$15,$C1512,$A$2,$F1512,$G1512,$H1512,J$19)</f>
        <v>48</v>
      </c>
    </row>
    <row r="1513" spans="1:10" s="23" customFormat="1" outlineLevel="1" thickBot="1" x14ac:dyDescent="0.3">
      <c r="A1513" s="44"/>
      <c r="B1513" s="31" t="str">
        <f>IF(_xll.TM1RPTELISCONSOLIDATED($H$20,$H1513),IF(_xll.TM1RPTELLEV($H$20,$H1513)&lt;=5,_xll.TM1RPTELLEV($H$20,$H1513),"Default"),"Leaf")</f>
        <v>Leaf</v>
      </c>
      <c r="C1513" s="26" t="s">
        <v>17</v>
      </c>
      <c r="D1513" s="24" t="str">
        <f>_xll.DBRW("TM1-S1_DEV:}ElementAttributes_SP_SKU",$F1513,D$1)</f>
        <v>Project</v>
      </c>
      <c r="E1513" s="24" t="str">
        <f>_xll.DBRW("TM1-S1_DEV:}ElementAttributes_SP_SKU",$F1513,E$1)</f>
        <v>INGREDIENT</v>
      </c>
      <c r="F1513" s="26" t="s">
        <v>306</v>
      </c>
      <c r="G1513" s="26" t="s">
        <v>1457</v>
      </c>
      <c r="H1513" s="26" t="s">
        <v>2747</v>
      </c>
      <c r="I1513" s="54">
        <f>_xll.DBRW($A$1,$F$14,$F$15,$C1513,$A$2,$F1513,$G1513,$H1513,I$1)</f>
        <v>40</v>
      </c>
      <c r="J1513" s="25">
        <f>_xll.DBRW($A$1,$F$14,$F$15,$C1513,$A$2,$F1513,$G1513,$H1513,J$19)</f>
        <v>40</v>
      </c>
    </row>
    <row r="1514" spans="1:10" s="23" customFormat="1" outlineLevel="1" thickBot="1" x14ac:dyDescent="0.3">
      <c r="A1514" s="44"/>
      <c r="B1514" s="31" t="str">
        <f>IF(_xll.TM1RPTELISCONSOLIDATED($H$20,$H1514),IF(_xll.TM1RPTELLEV($H$20,$H1514)&lt;=5,_xll.TM1RPTELLEV($H$20,$H1514),"Default"),"Leaf")</f>
        <v>Leaf</v>
      </c>
      <c r="C1514" s="26" t="s">
        <v>17</v>
      </c>
      <c r="D1514" s="24" t="str">
        <f>_xll.DBRW("TM1-S1_DEV:}ElementAttributes_SP_SKU",$F1514,D$1)</f>
        <v>Project</v>
      </c>
      <c r="E1514" s="24" t="str">
        <f>_xll.DBRW("TM1-S1_DEV:}ElementAttributes_SP_SKU",$F1514,E$1)</f>
        <v>SIDES</v>
      </c>
      <c r="F1514" s="26" t="s">
        <v>307</v>
      </c>
      <c r="G1514" s="26" t="s">
        <v>1458</v>
      </c>
      <c r="H1514" s="26" t="s">
        <v>2835</v>
      </c>
      <c r="I1514" s="54">
        <f>_xll.DBRW($A$1,$F$14,$F$15,$C1514,$A$2,$F1514,$G1514,$H1514,I$1)</f>
        <v>10</v>
      </c>
      <c r="J1514" s="25">
        <f>_xll.DBRW($A$1,$F$14,$F$15,$C1514,$A$2,$F1514,$G1514,$H1514,J$19)</f>
        <v>14</v>
      </c>
    </row>
    <row r="1515" spans="1:10" s="23" customFormat="1" outlineLevel="1" thickBot="1" x14ac:dyDescent="0.3">
      <c r="A1515" s="44"/>
      <c r="B1515" s="31" t="str">
        <f>IF(_xll.TM1RPTELISCONSOLIDATED($H$20,$H1515),IF(_xll.TM1RPTELLEV($H$20,$H1515)&lt;=5,_xll.TM1RPTELLEV($H$20,$H1515),"Default"),"Leaf")</f>
        <v>Leaf</v>
      </c>
      <c r="C1515" s="26" t="s">
        <v>17</v>
      </c>
      <c r="D1515" s="24" t="str">
        <f>_xll.DBRW("TM1-S1_DEV:}ElementAttributes_SP_SKU",$F1515,D$1)</f>
        <v>Project</v>
      </c>
      <c r="E1515" s="24" t="str">
        <f>_xll.DBRW("TM1-S1_DEV:}ElementAttributes_SP_SKU",$F1515,E$1)</f>
        <v>INGREDIENT</v>
      </c>
      <c r="F1515" s="26" t="s">
        <v>308</v>
      </c>
      <c r="G1515" s="26" t="s">
        <v>1459</v>
      </c>
      <c r="H1515" s="26" t="s">
        <v>2836</v>
      </c>
      <c r="I1515" s="54">
        <f>_xll.DBRW($A$1,$F$14,$F$15,$C1515,$A$2,$F1515,$G1515,$H1515,I$1)</f>
        <v>6</v>
      </c>
      <c r="J1515" s="25">
        <f>_xll.DBRW($A$1,$F$14,$F$15,$C1515,$A$2,$F1515,$G1515,$H1515,J$19)</f>
        <v>11</v>
      </c>
    </row>
    <row r="1516" spans="1:10" s="23" customFormat="1" outlineLevel="1" thickBot="1" x14ac:dyDescent="0.3">
      <c r="A1516" s="44"/>
      <c r="B1516" s="31" t="str">
        <f>IF(_xll.TM1RPTELISCONSOLIDATED($H$20,$H1516),IF(_xll.TM1RPTELLEV($H$20,$H1516)&lt;=5,_xll.TM1RPTELLEV($H$20,$H1516),"Default"),"Leaf")</f>
        <v>Leaf</v>
      </c>
      <c r="C1516" s="26" t="s">
        <v>17</v>
      </c>
      <c r="D1516" s="24" t="str">
        <f>_xll.DBRW("TM1-S1_DEV:}ElementAttributes_SP_SKU",$F1516,D$1)</f>
        <v>Project</v>
      </c>
      <c r="E1516" s="24" t="str">
        <f>_xll.DBRW("TM1-S1_DEV:}ElementAttributes_SP_SKU",$F1516,E$1)</f>
        <v>INGREDIENT</v>
      </c>
      <c r="F1516" s="26" t="s">
        <v>309</v>
      </c>
      <c r="G1516" s="26" t="s">
        <v>1460</v>
      </c>
      <c r="H1516" s="26" t="s">
        <v>2837</v>
      </c>
      <c r="I1516" s="54">
        <f>_xll.DBRW($A$1,$F$14,$F$15,$C1516,$A$2,$F1516,$G1516,$H1516,I$1)</f>
        <v>168</v>
      </c>
      <c r="J1516" s="25">
        <f>_xll.DBRW($A$1,$F$14,$F$15,$C1516,$A$2,$F1516,$G1516,$H1516,J$19)</f>
        <v>168</v>
      </c>
    </row>
    <row r="1517" spans="1:10" s="23" customFormat="1" outlineLevel="1" thickBot="1" x14ac:dyDescent="0.3">
      <c r="A1517" s="44"/>
      <c r="B1517" s="31" t="str">
        <f>IF(_xll.TM1RPTELISCONSOLIDATED($H$20,$H1517),IF(_xll.TM1RPTELLEV($H$20,$H1517)&lt;=5,_xll.TM1RPTELLEV($H$20,$H1517),"Default"),"Leaf")</f>
        <v>Leaf</v>
      </c>
      <c r="C1517" s="26" t="s">
        <v>17</v>
      </c>
      <c r="D1517" s="24" t="str">
        <f>_xll.DBRW("TM1-S1_DEV:}ElementAttributes_SP_SKU",$F1517,D$1)</f>
        <v>Project</v>
      </c>
      <c r="E1517" s="24" t="str">
        <f>_xll.DBRW("TM1-S1_DEV:}ElementAttributes_SP_SKU",$F1517,E$1)</f>
        <v>CONDIMENT</v>
      </c>
      <c r="F1517" s="26" t="s">
        <v>310</v>
      </c>
      <c r="G1517" s="26" t="s">
        <v>1461</v>
      </c>
      <c r="H1517" s="26" t="s">
        <v>2838</v>
      </c>
      <c r="I1517" s="54">
        <f>_xll.DBRW($A$1,$F$14,$F$15,$C1517,$A$2,$F1517,$G1517,$H1517,I$1)</f>
        <v>100</v>
      </c>
      <c r="J1517" s="25">
        <f>_xll.DBRW($A$1,$F$14,$F$15,$C1517,$A$2,$F1517,$G1517,$H1517,J$19)</f>
        <v>172</v>
      </c>
    </row>
    <row r="1518" spans="1:10" s="23" customFormat="1" outlineLevel="1" thickBot="1" x14ac:dyDescent="0.3">
      <c r="A1518" s="44"/>
      <c r="B1518" s="31" t="str">
        <f>IF(_xll.TM1RPTELISCONSOLIDATED($H$20,$H1518),IF(_xll.TM1RPTELLEV($H$20,$H1518)&lt;=5,_xll.TM1RPTELLEV($H$20,$H1518),"Default"),"Leaf")</f>
        <v>Leaf</v>
      </c>
      <c r="C1518" s="26" t="s">
        <v>17</v>
      </c>
      <c r="D1518" s="24" t="str">
        <f>_xll.DBRW("TM1-S1_DEV:}ElementAttributes_SP_SKU",$F1518,D$1)</f>
        <v>Project</v>
      </c>
      <c r="E1518" s="24" t="str">
        <f>_xll.DBRW("TM1-S1_DEV:}ElementAttributes_SP_SKU",$F1518,E$1)</f>
        <v>CONDIMENT</v>
      </c>
      <c r="F1518" s="26" t="s">
        <v>311</v>
      </c>
      <c r="G1518" s="26" t="s">
        <v>1462</v>
      </c>
      <c r="H1518" s="26" t="s">
        <v>2839</v>
      </c>
      <c r="I1518" s="54">
        <f>_xll.DBRW($A$1,$F$14,$F$15,$C1518,$A$2,$F1518,$G1518,$H1518,I$1)</f>
        <v>7</v>
      </c>
      <c r="J1518" s="25">
        <f>_xll.DBRW($A$1,$F$14,$F$15,$C1518,$A$2,$F1518,$G1518,$H1518,J$19)</f>
        <v>7</v>
      </c>
    </row>
    <row r="1519" spans="1:10" s="23" customFormat="1" outlineLevel="1" thickBot="1" x14ac:dyDescent="0.3">
      <c r="A1519" s="44"/>
      <c r="B1519" s="31" t="str">
        <f>IF(_xll.TM1RPTELISCONSOLIDATED($H$20,$H1519),IF(_xll.TM1RPTELLEV($H$20,$H1519)&lt;=5,_xll.TM1RPTELLEV($H$20,$H1519),"Default"),"Leaf")</f>
        <v>Leaf</v>
      </c>
      <c r="C1519" s="26" t="s">
        <v>17</v>
      </c>
      <c r="D1519" s="24" t="str">
        <f>_xll.DBRW("TM1-S1_DEV:}ElementAttributes_SP_SKU",$F1519,D$1)</f>
        <v>Project</v>
      </c>
      <c r="E1519" s="24" t="str">
        <f>_xll.DBRW("TM1-S1_DEV:}ElementAttributes_SP_SKU",$F1519,E$1)</f>
        <v>INGREDIENT</v>
      </c>
      <c r="F1519" s="26" t="s">
        <v>312</v>
      </c>
      <c r="G1519" s="26" t="s">
        <v>1463</v>
      </c>
      <c r="H1519" s="26" t="s">
        <v>2840</v>
      </c>
      <c r="I1519" s="54">
        <f>_xll.DBRW($A$1,$F$14,$F$15,$C1519,$A$2,$F1519,$G1519,$H1519,I$1)</f>
        <v>70</v>
      </c>
      <c r="J1519" s="25">
        <f>_xll.DBRW($A$1,$F$14,$F$15,$C1519,$A$2,$F1519,$G1519,$H1519,J$19)</f>
        <v>70</v>
      </c>
    </row>
    <row r="1520" spans="1:10" s="23" customFormat="1" outlineLevel="1" thickBot="1" x14ac:dyDescent="0.3">
      <c r="A1520" s="44"/>
      <c r="B1520" s="31" t="str">
        <f>IF(_xll.TM1RPTELISCONSOLIDATED($H$20,$H1520),IF(_xll.TM1RPTELLEV($H$20,$H1520)&lt;=5,_xll.TM1RPTELLEV($H$20,$H1520),"Default"),"Leaf")</f>
        <v>Leaf</v>
      </c>
      <c r="C1520" s="26" t="s">
        <v>17</v>
      </c>
      <c r="D1520" s="24" t="str">
        <f>_xll.DBRW("TM1-S1_DEV:}ElementAttributes_SP_SKU",$F1520,D$1)</f>
        <v>Primary</v>
      </c>
      <c r="E1520" s="24" t="str">
        <f>_xll.DBRW("TM1-S1_DEV:}ElementAttributes_SP_SKU",$F1520,E$1)</f>
        <v>INGREDIENT</v>
      </c>
      <c r="F1520" s="26" t="s">
        <v>3198</v>
      </c>
      <c r="G1520" s="26" t="s">
        <v>1464</v>
      </c>
      <c r="H1520" s="26" t="s">
        <v>2701</v>
      </c>
      <c r="I1520" s="54">
        <f>_xll.DBRW($A$1,$F$14,$F$15,$C1520,$A$2,$F1520,$G1520,$H1520,I$1)</f>
        <v>25</v>
      </c>
      <c r="J1520" s="25">
        <f>_xll.DBRW($A$1,$F$14,$F$15,$C1520,$A$2,$F1520,$G1520,$H1520,J$19)</f>
        <v>19</v>
      </c>
    </row>
    <row r="1521" spans="1:10" s="23" customFormat="1" outlineLevel="1" thickBot="1" x14ac:dyDescent="0.3">
      <c r="A1521" s="44"/>
      <c r="B1521" s="31" t="str">
        <f>IF(_xll.TM1RPTELISCONSOLIDATED($H$20,$H1521),IF(_xll.TM1RPTELLEV($H$20,$H1521)&lt;=5,_xll.TM1RPTELLEV($H$20,$H1521),"Default"),"Leaf")</f>
        <v>Leaf</v>
      </c>
      <c r="C1521" s="26" t="s">
        <v>17</v>
      </c>
      <c r="D1521" s="24" t="str">
        <f>_xll.DBRW("TM1-S1_DEV:}ElementAttributes_SP_SKU",$F1521,D$1)</f>
        <v>Primary</v>
      </c>
      <c r="E1521" s="24" t="str">
        <f>_xll.DBRW("TM1-S1_DEV:}ElementAttributes_SP_SKU",$F1521,E$1)</f>
        <v>BOX</v>
      </c>
      <c r="F1521" s="26" t="s">
        <v>3199</v>
      </c>
      <c r="G1521" s="26" t="s">
        <v>1465</v>
      </c>
      <c r="H1521" s="26" t="s">
        <v>2702</v>
      </c>
      <c r="I1521" s="54">
        <f>_xll.DBRW($A$1,$F$14,$F$15,$C1521,$A$2,$F1521,$G1521,$H1521,I$1)</f>
        <v>8</v>
      </c>
      <c r="J1521" s="25">
        <f>_xll.DBRW($A$1,$F$14,$F$15,$C1521,$A$2,$F1521,$G1521,$H1521,J$19)</f>
        <v>7</v>
      </c>
    </row>
    <row r="1522" spans="1:10" s="23" customFormat="1" outlineLevel="1" thickBot="1" x14ac:dyDescent="0.3">
      <c r="A1522" s="44"/>
      <c r="B1522" s="31" t="str">
        <f>IF(_xll.TM1RPTELISCONSOLIDATED($H$20,$H1522),IF(_xll.TM1RPTELLEV($H$20,$H1522)&lt;=5,_xll.TM1RPTELLEV($H$20,$H1522),"Default"),"Leaf")</f>
        <v>Leaf</v>
      </c>
      <c r="C1522" s="26" t="s">
        <v>17</v>
      </c>
      <c r="D1522" s="24" t="str">
        <f>_xll.DBRW("TM1-S1_DEV:}ElementAttributes_SP_SKU",$F1522,D$1)</f>
        <v>Primary</v>
      </c>
      <c r="E1522" s="24" t="str">
        <f>_xll.DBRW("TM1-S1_DEV:}ElementAttributes_SP_SKU",$F1522,E$1)</f>
        <v>FOIL</v>
      </c>
      <c r="F1522" s="26" t="s">
        <v>3204</v>
      </c>
      <c r="G1522" s="26" t="s">
        <v>1466</v>
      </c>
      <c r="H1522" s="26" t="s">
        <v>2704</v>
      </c>
      <c r="I1522" s="54">
        <f>_xll.DBRW($A$1,$F$14,$F$15,$C1522,$A$2,$F1522,$G1522,$H1522,I$1)</f>
        <v>93</v>
      </c>
      <c r="J1522" s="25">
        <f>_xll.DBRW($A$1,$F$14,$F$15,$C1522,$A$2,$F1522,$G1522,$H1522,J$19)</f>
        <v>80</v>
      </c>
    </row>
    <row r="1523" spans="1:10" s="23" customFormat="1" outlineLevel="1" thickBot="1" x14ac:dyDescent="0.3">
      <c r="A1523" s="44"/>
      <c r="B1523" s="31" t="str">
        <f>IF(_xll.TM1RPTELISCONSOLIDATED($H$20,$H1523),IF(_xll.TM1RPTELLEV($H$20,$H1523)&lt;=5,_xll.TM1RPTELLEV($H$20,$H1523),"Default"),"Leaf")</f>
        <v>Leaf</v>
      </c>
      <c r="C1523" s="26" t="s">
        <v>17</v>
      </c>
      <c r="D1523" s="24" t="str">
        <f>_xll.DBRW("TM1-S1_DEV:}ElementAttributes_SP_SKU",$F1523,D$1)</f>
        <v>Primary</v>
      </c>
      <c r="E1523" s="24" t="str">
        <f>_xll.DBRW("TM1-S1_DEV:}ElementAttributes_SP_SKU",$F1523,E$1)</f>
        <v>BAG</v>
      </c>
      <c r="F1523" s="26" t="s">
        <v>3205</v>
      </c>
      <c r="G1523" s="26" t="s">
        <v>1467</v>
      </c>
      <c r="H1523" s="26" t="s">
        <v>2705</v>
      </c>
      <c r="I1523" s="54">
        <f>_xll.DBRW($A$1,$F$14,$F$15,$C1523,$A$2,$F1523,$G1523,$H1523,I$1)</f>
        <v>36</v>
      </c>
      <c r="J1523" s="25">
        <f>_xll.DBRW($A$1,$F$14,$F$15,$C1523,$A$2,$F1523,$G1523,$H1523,J$19)</f>
        <v>33</v>
      </c>
    </row>
    <row r="1524" spans="1:10" s="23" customFormat="1" outlineLevel="1" thickBot="1" x14ac:dyDescent="0.3">
      <c r="A1524" s="44"/>
      <c r="B1524" s="31" t="str">
        <f>IF(_xll.TM1RPTELISCONSOLIDATED($H$20,$H1524),IF(_xll.TM1RPTELLEV($H$20,$H1524)&lt;=5,_xll.TM1RPTELLEV($H$20,$H1524),"Default"),"Leaf")</f>
        <v>Leaf</v>
      </c>
      <c r="C1524" s="26" t="s">
        <v>17</v>
      </c>
      <c r="D1524" s="24" t="str">
        <f>_xll.DBRW("TM1-S1_DEV:}ElementAttributes_SP_SKU",$F1524,D$1)</f>
        <v>Primary</v>
      </c>
      <c r="E1524" s="24" t="str">
        <f>_xll.DBRW("TM1-S1_DEV:}ElementAttributes_SP_SKU",$F1524,E$1)</f>
        <v>FOIL</v>
      </c>
      <c r="F1524" s="26" t="s">
        <v>3206</v>
      </c>
      <c r="G1524" s="26" t="s">
        <v>1468</v>
      </c>
      <c r="H1524" s="26" t="s">
        <v>2704</v>
      </c>
      <c r="I1524" s="54">
        <f>_xll.DBRW($A$1,$F$14,$F$15,$C1524,$A$2,$F1524,$G1524,$H1524,I$1)</f>
        <v>48</v>
      </c>
      <c r="J1524" s="25">
        <f>_xll.DBRW($A$1,$F$14,$F$15,$C1524,$A$2,$F1524,$G1524,$H1524,J$19)</f>
        <v>36</v>
      </c>
    </row>
    <row r="1525" spans="1:10" s="23" customFormat="1" outlineLevel="1" thickBot="1" x14ac:dyDescent="0.3">
      <c r="A1525" s="44"/>
      <c r="B1525" s="31" t="str">
        <f>IF(_xll.TM1RPTELISCONSOLIDATED($H$20,$H1525),IF(_xll.TM1RPTELLEV($H$20,$H1525)&lt;=5,_xll.TM1RPTELLEV($H$20,$H1525),"Default"),"Leaf")</f>
        <v>Leaf</v>
      </c>
      <c r="C1525" s="26" t="s">
        <v>17</v>
      </c>
      <c r="D1525" s="24" t="str">
        <f>_xll.DBRW("TM1-S1_DEV:}ElementAttributes_SP_SKU",$F1525,D$1)</f>
        <v>Primary</v>
      </c>
      <c r="E1525" s="24" t="str">
        <f>_xll.DBRW("TM1-S1_DEV:}ElementAttributes_SP_SKU",$F1525,E$1)</f>
        <v>FOIL</v>
      </c>
      <c r="F1525" s="26" t="s">
        <v>3207</v>
      </c>
      <c r="G1525" s="26" t="s">
        <v>1469</v>
      </c>
      <c r="H1525" s="26" t="s">
        <v>2704</v>
      </c>
      <c r="I1525" s="54">
        <f>_xll.DBRW($A$1,$F$14,$F$15,$C1525,$A$2,$F1525,$G1525,$H1525,I$1)</f>
        <v>3</v>
      </c>
      <c r="J1525" s="25">
        <f>_xll.DBRW($A$1,$F$14,$F$15,$C1525,$A$2,$F1525,$G1525,$H1525,J$19)</f>
        <v>3</v>
      </c>
    </row>
    <row r="1526" spans="1:10" s="23" customFormat="1" outlineLevel="1" thickBot="1" x14ac:dyDescent="0.3">
      <c r="A1526" s="44"/>
      <c r="B1526" s="31" t="str">
        <f>IF(_xll.TM1RPTELISCONSOLIDATED($H$20,$H1526),IF(_xll.TM1RPTELLEV($H$20,$H1526)&lt;=5,_xll.TM1RPTELLEV($H$20,$H1526),"Default"),"Leaf")</f>
        <v>Leaf</v>
      </c>
      <c r="C1526" s="26" t="s">
        <v>17</v>
      </c>
      <c r="D1526" s="24" t="str">
        <f>_xll.DBRW("TM1-S1_DEV:}ElementAttributes_SP_SKU",$F1526,D$1)</f>
        <v>Primary</v>
      </c>
      <c r="E1526" s="24" t="str">
        <f>_xll.DBRW("TM1-S1_DEV:}ElementAttributes_SP_SKU",$F1526,E$1)</f>
        <v>BAG</v>
      </c>
      <c r="F1526" s="26" t="s">
        <v>3208</v>
      </c>
      <c r="G1526" s="26" t="s">
        <v>1470</v>
      </c>
      <c r="H1526" s="26" t="s">
        <v>2705</v>
      </c>
      <c r="I1526" s="54">
        <f>_xll.DBRW($A$1,$F$14,$F$15,$C1526,$A$2,$F1526,$G1526,$H1526,I$1)</f>
        <v>30</v>
      </c>
      <c r="J1526" s="25">
        <f>_xll.DBRW($A$1,$F$14,$F$15,$C1526,$A$2,$F1526,$G1526,$H1526,J$19)</f>
        <v>28</v>
      </c>
    </row>
    <row r="1527" spans="1:10" s="23" customFormat="1" outlineLevel="1" thickBot="1" x14ac:dyDescent="0.3">
      <c r="A1527" s="44"/>
      <c r="B1527" s="31" t="str">
        <f>IF(_xll.TM1RPTELISCONSOLIDATED($H$20,$H1527),IF(_xll.TM1RPTELLEV($H$20,$H1527)&lt;=5,_xll.TM1RPTELLEV($H$20,$H1527),"Default"),"Leaf")</f>
        <v>Leaf</v>
      </c>
      <c r="C1527" s="26" t="s">
        <v>17</v>
      </c>
      <c r="D1527" s="24" t="str">
        <f>_xll.DBRW("TM1-S1_DEV:}ElementAttributes_SP_SKU",$F1527,D$1)</f>
        <v>Primary</v>
      </c>
      <c r="E1527" s="24" t="str">
        <f>_xll.DBRW("TM1-S1_DEV:}ElementAttributes_SP_SKU",$F1527,E$1)</f>
        <v>BAG</v>
      </c>
      <c r="F1527" s="26" t="s">
        <v>3209</v>
      </c>
      <c r="G1527" s="26" t="s">
        <v>1471</v>
      </c>
      <c r="H1527" s="26" t="s">
        <v>2705</v>
      </c>
      <c r="I1527" s="54">
        <f>_xll.DBRW($A$1,$F$14,$F$15,$C1527,$A$2,$F1527,$G1527,$H1527,I$1)</f>
        <v>54</v>
      </c>
      <c r="J1527" s="25">
        <f>_xll.DBRW($A$1,$F$14,$F$15,$C1527,$A$2,$F1527,$G1527,$H1527,J$19)</f>
        <v>37</v>
      </c>
    </row>
    <row r="1528" spans="1:10" s="23" customFormat="1" outlineLevel="1" thickBot="1" x14ac:dyDescent="0.3">
      <c r="A1528" s="44"/>
      <c r="B1528" s="31" t="str">
        <f>IF(_xll.TM1RPTELISCONSOLIDATED($H$20,$H1528),IF(_xll.TM1RPTELLEV($H$20,$H1528)&lt;=5,_xll.TM1RPTELLEV($H$20,$H1528),"Default"),"Leaf")</f>
        <v>Leaf</v>
      </c>
      <c r="C1528" s="26" t="s">
        <v>17</v>
      </c>
      <c r="D1528" s="24" t="str">
        <f>_xll.DBRW("TM1-S1_DEV:}ElementAttributes_SP_SKU",$F1528,D$1)</f>
        <v>Primary</v>
      </c>
      <c r="E1528" s="24" t="str">
        <f>_xll.DBRW("TM1-S1_DEV:}ElementAttributes_SP_SKU",$F1528,E$1)</f>
        <v>BAG</v>
      </c>
      <c r="F1528" s="26" t="s">
        <v>3210</v>
      </c>
      <c r="G1528" s="26" t="s">
        <v>1472</v>
      </c>
      <c r="H1528" s="26" t="s">
        <v>2705</v>
      </c>
      <c r="I1528" s="54">
        <f>_xll.DBRW($A$1,$F$14,$F$15,$C1528,$A$2,$F1528,$G1528,$H1528,I$1)</f>
        <v>34</v>
      </c>
      <c r="J1528" s="25">
        <f>_xll.DBRW($A$1,$F$14,$F$15,$C1528,$A$2,$F1528,$G1528,$H1528,J$19)</f>
        <v>32</v>
      </c>
    </row>
    <row r="1529" spans="1:10" s="23" customFormat="1" outlineLevel="1" thickBot="1" x14ac:dyDescent="0.3">
      <c r="A1529" s="44"/>
      <c r="B1529" s="31" t="str">
        <f>IF(_xll.TM1RPTELISCONSOLIDATED($H$20,$H1529),IF(_xll.TM1RPTELLEV($H$20,$H1529)&lt;=5,_xll.TM1RPTELLEV($H$20,$H1529),"Default"),"Leaf")</f>
        <v>Leaf</v>
      </c>
      <c r="C1529" s="26" t="s">
        <v>17</v>
      </c>
      <c r="D1529" s="24" t="str">
        <f>_xll.DBRW("TM1-S1_DEV:}ElementAttributes_SP_SKU",$F1529,D$1)</f>
        <v>Primary</v>
      </c>
      <c r="E1529" s="24" t="str">
        <f>_xll.DBRW("TM1-S1_DEV:}ElementAttributes_SP_SKU",$F1529,E$1)</f>
        <v>BOX</v>
      </c>
      <c r="F1529" s="26" t="s">
        <v>3211</v>
      </c>
      <c r="G1529" s="26" t="s">
        <v>1473</v>
      </c>
      <c r="H1529" s="26" t="s">
        <v>2706</v>
      </c>
      <c r="I1529" s="54">
        <f>_xll.DBRW($A$1,$F$14,$F$15,$C1529,$A$2,$F1529,$G1529,$H1529,I$1)</f>
        <v>113</v>
      </c>
      <c r="J1529" s="25">
        <f>_xll.DBRW($A$1,$F$14,$F$15,$C1529,$A$2,$F1529,$G1529,$H1529,J$19)</f>
        <v>108</v>
      </c>
    </row>
    <row r="1530" spans="1:10" s="23" customFormat="1" outlineLevel="1" thickBot="1" x14ac:dyDescent="0.3">
      <c r="A1530" s="44"/>
      <c r="B1530" s="31" t="str">
        <f>IF(_xll.TM1RPTELISCONSOLIDATED($H$20,$H1530),IF(_xll.TM1RPTELLEV($H$20,$H1530)&lt;=5,_xll.TM1RPTELLEV($H$20,$H1530),"Default"),"Leaf")</f>
        <v>Leaf</v>
      </c>
      <c r="C1530" s="26" t="s">
        <v>17</v>
      </c>
      <c r="D1530" s="24" t="str">
        <f>_xll.DBRW("TM1-S1_DEV:}ElementAttributes_SP_SKU",$F1530,D$1)</f>
        <v>Primary</v>
      </c>
      <c r="E1530" s="24" t="str">
        <f>_xll.DBRW("TM1-S1_DEV:}ElementAttributes_SP_SKU",$F1530,E$1)</f>
        <v>FOIL</v>
      </c>
      <c r="F1530" s="26" t="s">
        <v>3212</v>
      </c>
      <c r="G1530" s="26" t="s">
        <v>1474</v>
      </c>
      <c r="H1530" s="26" t="s">
        <v>2704</v>
      </c>
      <c r="I1530" s="54">
        <f>_xll.DBRW($A$1,$F$14,$F$15,$C1530,$A$2,$F1530,$G1530,$H1530,I$1)</f>
        <v>61</v>
      </c>
      <c r="J1530" s="25">
        <f>_xll.DBRW($A$1,$F$14,$F$15,$C1530,$A$2,$F1530,$G1530,$H1530,J$19)</f>
        <v>57</v>
      </c>
    </row>
    <row r="1531" spans="1:10" s="23" customFormat="1" outlineLevel="1" thickBot="1" x14ac:dyDescent="0.3">
      <c r="A1531" s="44"/>
      <c r="B1531" s="31" t="str">
        <f>IF(_xll.TM1RPTELISCONSOLIDATED($H$20,$H1531),IF(_xll.TM1RPTELLEV($H$20,$H1531)&lt;=5,_xll.TM1RPTELLEV($H$20,$H1531),"Default"),"Leaf")</f>
        <v>Leaf</v>
      </c>
      <c r="C1531" s="26" t="s">
        <v>17</v>
      </c>
      <c r="D1531" s="24" t="str">
        <f>_xll.DBRW("TM1-S1_DEV:}ElementAttributes_SP_SKU",$F1531,D$1)</f>
        <v>Primary</v>
      </c>
      <c r="E1531" s="24" t="str">
        <f>_xll.DBRW("TM1-S1_DEV:}ElementAttributes_SP_SKU",$F1531,E$1)</f>
        <v>TRAY</v>
      </c>
      <c r="F1531" s="26" t="s">
        <v>3214</v>
      </c>
      <c r="G1531" s="26" t="s">
        <v>1475</v>
      </c>
      <c r="H1531" s="26" t="s">
        <v>2703</v>
      </c>
      <c r="I1531" s="54">
        <f>_xll.DBRW($A$1,$F$14,$F$15,$C1531,$A$2,$F1531,$G1531,$H1531,I$1)</f>
        <v>2</v>
      </c>
      <c r="J1531" s="25">
        <f>_xll.DBRW($A$1,$F$14,$F$15,$C1531,$A$2,$F1531,$G1531,$H1531,J$19)</f>
        <v>2</v>
      </c>
    </row>
    <row r="1532" spans="1:10" s="23" customFormat="1" outlineLevel="1" thickBot="1" x14ac:dyDescent="0.3">
      <c r="A1532" s="44"/>
      <c r="B1532" s="31" t="str">
        <f>IF(_xll.TM1RPTELISCONSOLIDATED($H$20,$H1532),IF(_xll.TM1RPTELLEV($H$20,$H1532)&lt;=5,_xll.TM1RPTELLEV($H$20,$H1532),"Default"),"Leaf")</f>
        <v>Leaf</v>
      </c>
      <c r="C1532" s="26" t="s">
        <v>17</v>
      </c>
      <c r="D1532" s="24" t="str">
        <f>_xll.DBRW("TM1-S1_DEV:}ElementAttributes_SP_SKU",$F1532,D$1)</f>
        <v>Primary</v>
      </c>
      <c r="E1532" s="24" t="str">
        <f>_xll.DBRW("TM1-S1_DEV:}ElementAttributes_SP_SKU",$F1532,E$1)</f>
        <v>UTENSIL</v>
      </c>
      <c r="F1532" s="26" t="s">
        <v>3217</v>
      </c>
      <c r="G1532" s="26" t="s">
        <v>1476</v>
      </c>
      <c r="H1532" s="26" t="s">
        <v>2703</v>
      </c>
      <c r="I1532" s="54">
        <f>_xll.DBRW($A$1,$F$14,$F$15,$C1532,$A$2,$F1532,$G1532,$H1532,I$1)</f>
        <v>31</v>
      </c>
      <c r="J1532" s="25">
        <f>_xll.DBRW($A$1,$F$14,$F$15,$C1532,$A$2,$F1532,$G1532,$H1532,J$19)</f>
        <v>31</v>
      </c>
    </row>
    <row r="1533" spans="1:10" s="23" customFormat="1" outlineLevel="1" thickBot="1" x14ac:dyDescent="0.3">
      <c r="A1533" s="44"/>
      <c r="B1533" s="31" t="str">
        <f>IF(_xll.TM1RPTELISCONSOLIDATED($H$20,$H1533),IF(_xll.TM1RPTELLEV($H$20,$H1533)&lt;=5,_xll.TM1RPTELLEV($H$20,$H1533),"Default"),"Leaf")</f>
        <v>Leaf</v>
      </c>
      <c r="C1533" s="26" t="s">
        <v>17</v>
      </c>
      <c r="D1533" s="24" t="str">
        <f>_xll.DBRW("TM1-S1_DEV:}ElementAttributes_SP_SKU",$F1533,D$1)</f>
        <v>Primary</v>
      </c>
      <c r="E1533" s="24" t="str">
        <f>_xll.DBRW("TM1-S1_DEV:}ElementAttributes_SP_SKU",$F1533,E$1)</f>
        <v>UTENSIL</v>
      </c>
      <c r="F1533" s="26" t="s">
        <v>3218</v>
      </c>
      <c r="G1533" s="26" t="s">
        <v>3044</v>
      </c>
      <c r="H1533" s="26" t="s">
        <v>2703</v>
      </c>
      <c r="I1533" s="54">
        <f>_xll.DBRW($A$1,$F$14,$F$15,$C1533,$A$2,$F1533,$G1533,$H1533,I$1)</f>
        <v>0</v>
      </c>
      <c r="J1533" s="25">
        <f>_xll.DBRW($A$1,$F$14,$F$15,$C1533,$A$2,$F1533,$G1533,$H1533,J$19)</f>
        <v>-2</v>
      </c>
    </row>
    <row r="1534" spans="1:10" s="23" customFormat="1" outlineLevel="1" thickBot="1" x14ac:dyDescent="0.3">
      <c r="A1534" s="44"/>
      <c r="B1534" s="31" t="str">
        <f>IF(_xll.TM1RPTELISCONSOLIDATED($H$20,$H1534),IF(_xll.TM1RPTELLEV($H$20,$H1534)&lt;=5,_xll.TM1RPTELLEV($H$20,$H1534),"Default"),"Leaf")</f>
        <v>Leaf</v>
      </c>
      <c r="C1534" s="26" t="s">
        <v>17</v>
      </c>
      <c r="D1534" s="24" t="str">
        <f>_xll.DBRW("TM1-S1_DEV:}ElementAttributes_SP_SKU",$F1534,D$1)</f>
        <v>Primary</v>
      </c>
      <c r="E1534" s="24" t="str">
        <f>_xll.DBRW("TM1-S1_DEV:}ElementAttributes_SP_SKU",$F1534,E$1)</f>
        <v>BAG</v>
      </c>
      <c r="F1534" s="26" t="s">
        <v>3219</v>
      </c>
      <c r="G1534" s="26" t="s">
        <v>1477</v>
      </c>
      <c r="H1534" s="26" t="s">
        <v>2705</v>
      </c>
      <c r="I1534" s="54">
        <f>_xll.DBRW($A$1,$F$14,$F$15,$C1534,$A$2,$F1534,$G1534,$H1534,I$1)</f>
        <v>35</v>
      </c>
      <c r="J1534" s="25">
        <f>_xll.DBRW($A$1,$F$14,$F$15,$C1534,$A$2,$F1534,$G1534,$H1534,J$19)</f>
        <v>24</v>
      </c>
    </row>
    <row r="1535" spans="1:10" s="23" customFormat="1" outlineLevel="1" thickBot="1" x14ac:dyDescent="0.3">
      <c r="A1535" s="44"/>
      <c r="B1535" s="31" t="str">
        <f>IF(_xll.TM1RPTELISCONSOLIDATED($H$20,$H1535),IF(_xll.TM1RPTELLEV($H$20,$H1535)&lt;=5,_xll.TM1RPTELLEV($H$20,$H1535),"Default"),"Leaf")</f>
        <v>Leaf</v>
      </c>
      <c r="C1535" s="26" t="s">
        <v>17</v>
      </c>
      <c r="D1535" s="24" t="str">
        <f>_xll.DBRW("TM1-S1_DEV:}ElementAttributes_SP_SKU",$F1535,D$1)</f>
        <v>Primary</v>
      </c>
      <c r="E1535" s="24" t="str">
        <f>_xll.DBRW("TM1-S1_DEV:}ElementAttributes_SP_SKU",$F1535,E$1)</f>
        <v>BOX</v>
      </c>
      <c r="F1535" s="26" t="s">
        <v>3220</v>
      </c>
      <c r="G1535" s="26" t="s">
        <v>1478</v>
      </c>
      <c r="H1535" s="26" t="s">
        <v>2702</v>
      </c>
      <c r="I1535" s="54">
        <f>_xll.DBRW($A$1,$F$14,$F$15,$C1535,$A$2,$F1535,$G1535,$H1535,I$1)</f>
        <v>22</v>
      </c>
      <c r="J1535" s="25">
        <f>_xll.DBRW($A$1,$F$14,$F$15,$C1535,$A$2,$F1535,$G1535,$H1535,J$19)</f>
        <v>22</v>
      </c>
    </row>
    <row r="1536" spans="1:10" s="23" customFormat="1" outlineLevel="1" thickBot="1" x14ac:dyDescent="0.3">
      <c r="A1536" s="44"/>
      <c r="B1536" s="31" t="str">
        <f>IF(_xll.TM1RPTELISCONSOLIDATED($H$20,$H1536),IF(_xll.TM1RPTELLEV($H$20,$H1536)&lt;=5,_xll.TM1RPTELLEV($H$20,$H1536),"Default"),"Leaf")</f>
        <v>Leaf</v>
      </c>
      <c r="C1536" s="26" t="s">
        <v>17</v>
      </c>
      <c r="D1536" s="24" t="str">
        <f>_xll.DBRW("TM1-S1_DEV:}ElementAttributes_SP_SKU",$F1536,D$1)</f>
        <v>Primary</v>
      </c>
      <c r="E1536" s="24" t="str">
        <f>_xll.DBRW("TM1-S1_DEV:}ElementAttributes_SP_SKU",$F1536,E$1)</f>
        <v>BOX</v>
      </c>
      <c r="F1536" s="26" t="s">
        <v>3221</v>
      </c>
      <c r="G1536" s="26" t="s">
        <v>1479</v>
      </c>
      <c r="H1536" s="26" t="s">
        <v>2702</v>
      </c>
      <c r="I1536" s="54">
        <f>_xll.DBRW($A$1,$F$14,$F$15,$C1536,$A$2,$F1536,$G1536,$H1536,I$1)</f>
        <v>2</v>
      </c>
      <c r="J1536" s="25">
        <f>_xll.DBRW($A$1,$F$14,$F$15,$C1536,$A$2,$F1536,$G1536,$H1536,J$19)</f>
        <v>2</v>
      </c>
    </row>
    <row r="1537" spans="1:10" s="23" customFormat="1" outlineLevel="1" thickBot="1" x14ac:dyDescent="0.3">
      <c r="A1537" s="44"/>
      <c r="B1537" s="31" t="str">
        <f>IF(_xll.TM1RPTELISCONSOLIDATED($H$20,$H1537),IF(_xll.TM1RPTELLEV($H$20,$H1537)&lt;=5,_xll.TM1RPTELLEV($H$20,$H1537),"Default"),"Leaf")</f>
        <v>Leaf</v>
      </c>
      <c r="C1537" s="26" t="s">
        <v>17</v>
      </c>
      <c r="D1537" s="24" t="str">
        <f>_xll.DBRW("TM1-S1_DEV:}ElementAttributes_SP_SKU",$F1537,D$1)</f>
        <v>Primary</v>
      </c>
      <c r="E1537" s="24" t="str">
        <f>_xll.DBRW("TM1-S1_DEV:}ElementAttributes_SP_SKU",$F1537,E$1)</f>
        <v>BOX</v>
      </c>
      <c r="F1537" s="26" t="s">
        <v>3222</v>
      </c>
      <c r="G1537" s="26" t="s">
        <v>1480</v>
      </c>
      <c r="H1537" s="26" t="s">
        <v>2702</v>
      </c>
      <c r="I1537" s="54">
        <f>_xll.DBRW($A$1,$F$14,$F$15,$C1537,$A$2,$F1537,$G1537,$H1537,I$1)</f>
        <v>20</v>
      </c>
      <c r="J1537" s="25">
        <f>_xll.DBRW($A$1,$F$14,$F$15,$C1537,$A$2,$F1537,$G1537,$H1537,J$19)</f>
        <v>20</v>
      </c>
    </row>
    <row r="1538" spans="1:10" s="23" customFormat="1" outlineLevel="1" thickBot="1" x14ac:dyDescent="0.3">
      <c r="A1538" s="44"/>
      <c r="B1538" s="31" t="str">
        <f>IF(_xll.TM1RPTELISCONSOLIDATED($H$20,$H1538),IF(_xll.TM1RPTELLEV($H$20,$H1538)&lt;=5,_xll.TM1RPTELLEV($H$20,$H1538),"Default"),"Leaf")</f>
        <v>Leaf</v>
      </c>
      <c r="C1538" s="26" t="s">
        <v>17</v>
      </c>
      <c r="D1538" s="24" t="str">
        <f>_xll.DBRW("TM1-S1_DEV:}ElementAttributes_SP_SKU",$F1538,D$1)</f>
        <v>Primary</v>
      </c>
      <c r="E1538" s="24" t="str">
        <f>_xll.DBRW("TM1-S1_DEV:}ElementAttributes_SP_SKU",$F1538,E$1)</f>
        <v>BAG</v>
      </c>
      <c r="F1538" s="26" t="s">
        <v>3224</v>
      </c>
      <c r="G1538" s="26" t="s">
        <v>1481</v>
      </c>
      <c r="H1538" s="26" t="s">
        <v>2705</v>
      </c>
      <c r="I1538" s="54">
        <f>_xll.DBRW($A$1,$F$14,$F$15,$C1538,$A$2,$F1538,$G1538,$H1538,I$1)</f>
        <v>25</v>
      </c>
      <c r="J1538" s="25">
        <f>_xll.DBRW($A$1,$F$14,$F$15,$C1538,$A$2,$F1538,$G1538,$H1538,J$19)</f>
        <v>23</v>
      </c>
    </row>
    <row r="1539" spans="1:10" s="23" customFormat="1" outlineLevel="1" thickBot="1" x14ac:dyDescent="0.3">
      <c r="A1539" s="44"/>
      <c r="B1539" s="31" t="str">
        <f>IF(_xll.TM1RPTELISCONSOLIDATED($H$20,$H1539),IF(_xll.TM1RPTELLEV($H$20,$H1539)&lt;=5,_xll.TM1RPTELLEV($H$20,$H1539),"Default"),"Leaf")</f>
        <v>Leaf</v>
      </c>
      <c r="C1539" s="26" t="s">
        <v>17</v>
      </c>
      <c r="D1539" s="24" t="str">
        <f>_xll.DBRW("TM1-S1_DEV:}ElementAttributes_SP_SKU",$F1539,D$1)</f>
        <v>Primary</v>
      </c>
      <c r="E1539" s="24" t="str">
        <f>_xll.DBRW("TM1-S1_DEV:}ElementAttributes_SP_SKU",$F1539,E$1)</f>
        <v>CUP</v>
      </c>
      <c r="F1539" s="26" t="s">
        <v>3225</v>
      </c>
      <c r="G1539" s="26" t="s">
        <v>1482</v>
      </c>
      <c r="H1539" s="26" t="s">
        <v>2707</v>
      </c>
      <c r="I1539" s="54">
        <f>_xll.DBRW($A$1,$F$14,$F$15,$C1539,$A$2,$F1539,$G1539,$H1539,I$1)</f>
        <v>28</v>
      </c>
      <c r="J1539" s="25">
        <f>_xll.DBRW($A$1,$F$14,$F$15,$C1539,$A$2,$F1539,$G1539,$H1539,J$19)</f>
        <v>27</v>
      </c>
    </row>
    <row r="1540" spans="1:10" s="23" customFormat="1" outlineLevel="1" thickBot="1" x14ac:dyDescent="0.3">
      <c r="A1540" s="44"/>
      <c r="B1540" s="31" t="str">
        <f>IF(_xll.TM1RPTELISCONSOLIDATED($H$20,$H1540),IF(_xll.TM1RPTELLEV($H$20,$H1540)&lt;=5,_xll.TM1RPTELLEV($H$20,$H1540),"Default"),"Leaf")</f>
        <v>Leaf</v>
      </c>
      <c r="C1540" s="26" t="s">
        <v>17</v>
      </c>
      <c r="D1540" s="24" t="str">
        <f>_xll.DBRW("TM1-S1_DEV:}ElementAttributes_SP_SKU",$F1540,D$1)</f>
        <v>Primary</v>
      </c>
      <c r="E1540" s="24" t="str">
        <f>_xll.DBRW("TM1-S1_DEV:}ElementAttributes_SP_SKU",$F1540,E$1)</f>
        <v>CUP</v>
      </c>
      <c r="F1540" s="26" t="s">
        <v>3226</v>
      </c>
      <c r="G1540" s="26" t="s">
        <v>1483</v>
      </c>
      <c r="H1540" s="26" t="s">
        <v>2707</v>
      </c>
      <c r="I1540" s="54">
        <f>_xll.DBRW($A$1,$F$14,$F$15,$C1540,$A$2,$F1540,$G1540,$H1540,I$1)</f>
        <v>29</v>
      </c>
      <c r="J1540" s="25">
        <f>_xll.DBRW($A$1,$F$14,$F$15,$C1540,$A$2,$F1540,$G1540,$H1540,J$19)</f>
        <v>28</v>
      </c>
    </row>
    <row r="1541" spans="1:10" s="23" customFormat="1" outlineLevel="1" thickBot="1" x14ac:dyDescent="0.3">
      <c r="A1541" s="44"/>
      <c r="B1541" s="31" t="str">
        <f>IF(_xll.TM1RPTELISCONSOLIDATED($H$20,$H1541),IF(_xll.TM1RPTELLEV($H$20,$H1541)&lt;=5,_xll.TM1RPTELLEV($H$20,$H1541),"Default"),"Leaf")</f>
        <v>Leaf</v>
      </c>
      <c r="C1541" s="26" t="s">
        <v>17</v>
      </c>
      <c r="D1541" s="24" t="str">
        <f>_xll.DBRW("TM1-S1_DEV:}ElementAttributes_SP_SKU",$F1541,D$1)</f>
        <v>Primary</v>
      </c>
      <c r="E1541" s="24" t="str">
        <f>_xll.DBRW("TM1-S1_DEV:}ElementAttributes_SP_SKU",$F1541,E$1)</f>
        <v>PROTEIN</v>
      </c>
      <c r="F1541" s="26" t="s">
        <v>3227</v>
      </c>
      <c r="G1541" s="26" t="s">
        <v>1484</v>
      </c>
      <c r="H1541" s="26" t="s">
        <v>2673</v>
      </c>
      <c r="I1541" s="54">
        <f>_xll.DBRW($A$1,$F$14,$F$15,$C1541,$A$2,$F1541,$G1541,$H1541,I$1)</f>
        <v>207</v>
      </c>
      <c r="J1541" s="25">
        <f>_xll.DBRW($A$1,$F$14,$F$15,$C1541,$A$2,$F1541,$G1541,$H1541,J$19)</f>
        <v>383</v>
      </c>
    </row>
    <row r="1542" spans="1:10" s="23" customFormat="1" outlineLevel="1" thickBot="1" x14ac:dyDescent="0.3">
      <c r="A1542" s="44"/>
      <c r="B1542" s="31" t="str">
        <f>IF(_xll.TM1RPTELISCONSOLIDATED($H$20,$H1542),IF(_xll.TM1RPTELLEV($H$20,$H1542)&lt;=5,_xll.TM1RPTELLEV($H$20,$H1542),"Default"),"Leaf")</f>
        <v>Leaf</v>
      </c>
      <c r="C1542" s="26" t="s">
        <v>17</v>
      </c>
      <c r="D1542" s="24" t="str">
        <f>_xll.DBRW("TM1-S1_DEV:}ElementAttributes_SP_SKU",$F1542,D$1)</f>
        <v>Primary</v>
      </c>
      <c r="E1542" s="24" t="str">
        <f>_xll.DBRW("TM1-S1_DEV:}ElementAttributes_SP_SKU",$F1542,E$1)</f>
        <v>GLOVES</v>
      </c>
      <c r="F1542" s="26" t="s">
        <v>3274</v>
      </c>
      <c r="G1542" s="26" t="s">
        <v>1485</v>
      </c>
      <c r="H1542" s="26" t="s">
        <v>2712</v>
      </c>
      <c r="I1542" s="54">
        <f>_xll.DBRW($A$1,$F$14,$F$15,$C1542,$A$2,$F1542,$G1542,$H1542,I$1)</f>
        <v>29</v>
      </c>
      <c r="J1542" s="25">
        <f>_xll.DBRW($A$1,$F$14,$F$15,$C1542,$A$2,$F1542,$G1542,$H1542,J$19)</f>
        <v>23</v>
      </c>
    </row>
    <row r="1543" spans="1:10" s="23" customFormat="1" outlineLevel="1" thickBot="1" x14ac:dyDescent="0.3">
      <c r="A1543" s="44"/>
      <c r="B1543" s="31" t="str">
        <f>IF(_xll.TM1RPTELISCONSOLIDATED($H$20,$H1543),IF(_xll.TM1RPTELLEV($H$20,$H1543)&lt;=5,_xll.TM1RPTELLEV($H$20,$H1543),"Default"),"Leaf")</f>
        <v>Leaf</v>
      </c>
      <c r="C1543" s="26" t="s">
        <v>17</v>
      </c>
      <c r="D1543" s="24" t="str">
        <f>_xll.DBRW("TM1-S1_DEV:}ElementAttributes_SP_SKU",$F1543,D$1)</f>
        <v>Primary</v>
      </c>
      <c r="E1543" s="24" t="str">
        <f>_xll.DBRW("TM1-S1_DEV:}ElementAttributes_SP_SKU",$F1543,E$1)</f>
        <v>GLOVES</v>
      </c>
      <c r="F1543" s="26" t="s">
        <v>3275</v>
      </c>
      <c r="G1543" s="26" t="s">
        <v>1486</v>
      </c>
      <c r="H1543" s="26" t="s">
        <v>2712</v>
      </c>
      <c r="I1543" s="54">
        <f>_xll.DBRW($A$1,$F$14,$F$15,$C1543,$A$2,$F1543,$G1543,$H1543,I$1)</f>
        <v>23</v>
      </c>
      <c r="J1543" s="25">
        <f>_xll.DBRW($A$1,$F$14,$F$15,$C1543,$A$2,$F1543,$G1543,$H1543,J$19)</f>
        <v>16</v>
      </c>
    </row>
    <row r="1544" spans="1:10" s="23" customFormat="1" outlineLevel="1" thickBot="1" x14ac:dyDescent="0.3">
      <c r="A1544" s="44"/>
      <c r="B1544" s="31" t="str">
        <f>IF(_xll.TM1RPTELISCONSOLIDATED($H$20,$H1544),IF(_xll.TM1RPTELLEV($H$20,$H1544)&lt;=5,_xll.TM1RPTELLEV($H$20,$H1544),"Default"),"Leaf")</f>
        <v>Leaf</v>
      </c>
      <c r="C1544" s="26" t="s">
        <v>17</v>
      </c>
      <c r="D1544" s="24" t="str">
        <f>_xll.DBRW("TM1-S1_DEV:}ElementAttributes_SP_SKU",$F1544,D$1)</f>
        <v>Primary</v>
      </c>
      <c r="E1544" s="24" t="str">
        <f>_xll.DBRW("TM1-S1_DEV:}ElementAttributes_SP_SKU",$F1544,E$1)</f>
        <v>GLOVES</v>
      </c>
      <c r="F1544" s="26" t="s">
        <v>3276</v>
      </c>
      <c r="G1544" s="26" t="s">
        <v>1487</v>
      </c>
      <c r="H1544" s="26" t="s">
        <v>2712</v>
      </c>
      <c r="I1544" s="54">
        <f>_xll.DBRW($A$1,$F$14,$F$15,$C1544,$A$2,$F1544,$G1544,$H1544,I$1)</f>
        <v>40</v>
      </c>
      <c r="J1544" s="25">
        <f>_xll.DBRW($A$1,$F$14,$F$15,$C1544,$A$2,$F1544,$G1544,$H1544,J$19)</f>
        <v>32</v>
      </c>
    </row>
    <row r="1545" spans="1:10" s="23" customFormat="1" outlineLevel="1" thickBot="1" x14ac:dyDescent="0.3">
      <c r="A1545" s="44"/>
      <c r="B1545" s="31" t="str">
        <f>IF(_xll.TM1RPTELISCONSOLIDATED($H$20,$H1545),IF(_xll.TM1RPTELLEV($H$20,$H1545)&lt;=5,_xll.TM1RPTELLEV($H$20,$H1545),"Default"),"Leaf")</f>
        <v>Leaf</v>
      </c>
      <c r="C1545" s="26" t="s">
        <v>17</v>
      </c>
      <c r="D1545" s="24" t="str">
        <f>_xll.DBRW("TM1-S1_DEV:}ElementAttributes_SP_SKU",$F1545,D$1)</f>
        <v>Primary</v>
      </c>
      <c r="E1545" s="24" t="str">
        <f>_xll.DBRW("TM1-S1_DEV:}ElementAttributes_SP_SKU",$F1545,E$1)</f>
        <v>TRAY</v>
      </c>
      <c r="F1545" s="26" t="s">
        <v>3228</v>
      </c>
      <c r="G1545" s="26" t="s">
        <v>1488</v>
      </c>
      <c r="H1545" s="26" t="s">
        <v>2708</v>
      </c>
      <c r="I1545" s="54">
        <f>_xll.DBRW($A$1,$F$14,$F$15,$C1545,$A$2,$F1545,$G1545,$H1545,I$1)</f>
        <v>16</v>
      </c>
      <c r="J1545" s="25">
        <f>_xll.DBRW($A$1,$F$14,$F$15,$C1545,$A$2,$F1545,$G1545,$H1545,J$19)</f>
        <v>15</v>
      </c>
    </row>
    <row r="1546" spans="1:10" s="23" customFormat="1" outlineLevel="1" thickBot="1" x14ac:dyDescent="0.3">
      <c r="A1546" s="44"/>
      <c r="B1546" s="31" t="str">
        <f>IF(_xll.TM1RPTELISCONSOLIDATED($H$20,$H1546),IF(_xll.TM1RPTELLEV($H$20,$H1546)&lt;=5,_xll.TM1RPTELLEV($H$20,$H1546),"Default"),"Leaf")</f>
        <v>Leaf</v>
      </c>
      <c r="C1546" s="26" t="s">
        <v>17</v>
      </c>
      <c r="D1546" s="24" t="str">
        <f>_xll.DBRW("TM1-S1_DEV:}ElementAttributes_SP_SKU",$F1546,D$1)</f>
        <v>Primary</v>
      </c>
      <c r="E1546" s="24" t="str">
        <f>_xll.DBRW("TM1-S1_DEV:}ElementAttributes_SP_SKU",$F1546,E$1)</f>
        <v>TRAY</v>
      </c>
      <c r="F1546" s="26" t="s">
        <v>3229</v>
      </c>
      <c r="G1546" s="26" t="s">
        <v>1489</v>
      </c>
      <c r="H1546" s="26" t="s">
        <v>2708</v>
      </c>
      <c r="I1546" s="54">
        <f>_xll.DBRW($A$1,$F$14,$F$15,$C1546,$A$2,$F1546,$G1546,$H1546,I$1)</f>
        <v>14</v>
      </c>
      <c r="J1546" s="25">
        <f>_xll.DBRW($A$1,$F$14,$F$15,$C1546,$A$2,$F1546,$G1546,$H1546,J$19)</f>
        <v>13</v>
      </c>
    </row>
    <row r="1547" spans="1:10" s="23" customFormat="1" outlineLevel="1" thickBot="1" x14ac:dyDescent="0.3">
      <c r="A1547" s="44"/>
      <c r="B1547" s="31" t="str">
        <f>IF(_xll.TM1RPTELISCONSOLIDATED($H$20,$H1547),IF(_xll.TM1RPTELLEV($H$20,$H1547)&lt;=5,_xll.TM1RPTELLEV($H$20,$H1547),"Default"),"Leaf")</f>
        <v>Leaf</v>
      </c>
      <c r="C1547" s="26" t="s">
        <v>17</v>
      </c>
      <c r="D1547" s="24" t="str">
        <f>_xll.DBRW("TM1-S1_DEV:}ElementAttributes_SP_SKU",$F1547,D$1)</f>
        <v>Unassigned PSP</v>
      </c>
      <c r="E1547" s="24" t="str">
        <f>_xll.DBRW("TM1-S1_DEV:}ElementAttributes_SP_SKU",$F1547,E$1)</f>
        <v>UTENSIL</v>
      </c>
      <c r="F1547" s="26" t="s">
        <v>313</v>
      </c>
      <c r="G1547" s="26" t="s">
        <v>1490</v>
      </c>
      <c r="H1547" s="26" t="s">
        <v>2703</v>
      </c>
      <c r="I1547" s="54">
        <f>_xll.DBRW($A$1,$F$14,$F$15,$C1547,$A$2,$F1547,$G1547,$H1547,I$1)</f>
        <v>39</v>
      </c>
      <c r="J1547" s="25">
        <f>_xll.DBRW($A$1,$F$14,$F$15,$C1547,$A$2,$F1547,$G1547,$H1547,J$19)</f>
        <v>39</v>
      </c>
    </row>
    <row r="1548" spans="1:10" s="23" customFormat="1" outlineLevel="1" thickBot="1" x14ac:dyDescent="0.3">
      <c r="A1548" s="44"/>
      <c r="B1548" s="31" t="str">
        <f>IF(_xll.TM1RPTELISCONSOLIDATED($H$20,$H1548),IF(_xll.TM1RPTELLEV($H$20,$H1548)&lt;=5,_xll.TM1RPTELLEV($H$20,$H1548),"Default"),"Leaf")</f>
        <v>Leaf</v>
      </c>
      <c r="C1548" s="26" t="s">
        <v>17</v>
      </c>
      <c r="D1548" s="24" t="str">
        <f>_xll.DBRW("TM1-S1_DEV:}ElementAttributes_SP_SKU",$F1548,D$1)</f>
        <v>Primary</v>
      </c>
      <c r="E1548" s="24" t="str">
        <f>_xll.DBRW("TM1-S1_DEV:}ElementAttributes_SP_SKU",$F1548,E$1)</f>
        <v>BOWL</v>
      </c>
      <c r="F1548" s="26" t="s">
        <v>314</v>
      </c>
      <c r="G1548" s="26" t="s">
        <v>1491</v>
      </c>
      <c r="H1548" s="26" t="s">
        <v>2841</v>
      </c>
      <c r="I1548" s="54">
        <f>_xll.DBRW($A$1,$F$14,$F$15,$C1548,$A$2,$F1548,$G1548,$H1548,I$1)</f>
        <v>18</v>
      </c>
      <c r="J1548" s="25">
        <f>_xll.DBRW($A$1,$F$14,$F$15,$C1548,$A$2,$F1548,$G1548,$H1548,J$19)</f>
        <v>18</v>
      </c>
    </row>
    <row r="1549" spans="1:10" s="23" customFormat="1" outlineLevel="1" thickBot="1" x14ac:dyDescent="0.3">
      <c r="A1549" s="44"/>
      <c r="B1549" s="31" t="str">
        <f>IF(_xll.TM1RPTELISCONSOLIDATED($H$20,$H1549),IF(_xll.TM1RPTELLEV($H$20,$H1549)&lt;=5,_xll.TM1RPTELLEV($H$20,$H1549),"Default"),"Leaf")</f>
        <v>Leaf</v>
      </c>
      <c r="C1549" s="26" t="s">
        <v>17</v>
      </c>
      <c r="D1549" s="24" t="str">
        <f>_xll.DBRW("TM1-S1_DEV:}ElementAttributes_SP_SKU",$F1549,D$1)</f>
        <v>Primary</v>
      </c>
      <c r="E1549" s="24" t="str">
        <f>_xll.DBRW("TM1-S1_DEV:}ElementAttributes_SP_SKU",$F1549,E$1)</f>
        <v>BOWL</v>
      </c>
      <c r="F1549" s="26" t="s">
        <v>315</v>
      </c>
      <c r="G1549" s="26" t="s">
        <v>1492</v>
      </c>
      <c r="H1549" s="26" t="s">
        <v>2841</v>
      </c>
      <c r="I1549" s="54">
        <f>_xll.DBRW($A$1,$F$14,$F$15,$C1549,$A$2,$F1549,$G1549,$H1549,I$1)</f>
        <v>19</v>
      </c>
      <c r="J1549" s="25">
        <f>_xll.DBRW($A$1,$F$14,$F$15,$C1549,$A$2,$F1549,$G1549,$H1549,J$19)</f>
        <v>19</v>
      </c>
    </row>
    <row r="1550" spans="1:10" s="23" customFormat="1" outlineLevel="1" thickBot="1" x14ac:dyDescent="0.3">
      <c r="A1550" s="44"/>
      <c r="B1550" s="31" t="str">
        <f>IF(_xll.TM1RPTELISCONSOLIDATED($H$20,$H1550),IF(_xll.TM1RPTELLEV($H$20,$H1550)&lt;=5,_xll.TM1RPTELLEV($H$20,$H1550),"Default"),"Leaf")</f>
        <v>Leaf</v>
      </c>
      <c r="C1550" s="26" t="s">
        <v>17</v>
      </c>
      <c r="D1550" s="24" t="str">
        <f>_xll.DBRW("TM1-S1_DEV:}ElementAttributes_SP_SKU",$F1550,D$1)</f>
        <v>Primary</v>
      </c>
      <c r="E1550" s="24" t="str">
        <f>_xll.DBRW("TM1-S1_DEV:}ElementAttributes_SP_SKU",$F1550,E$1)</f>
        <v>BREAD</v>
      </c>
      <c r="F1550" s="26" t="s">
        <v>3260</v>
      </c>
      <c r="G1550" s="26" t="s">
        <v>1493</v>
      </c>
      <c r="H1550" s="26" t="s">
        <v>2710</v>
      </c>
      <c r="I1550" s="54">
        <f>_xll.DBRW($A$1,$F$14,$F$15,$C1550,$A$2,$F1550,$G1550,$H1550,I$1)</f>
        <v>40</v>
      </c>
      <c r="J1550" s="25">
        <f>_xll.DBRW($A$1,$F$14,$F$15,$C1550,$A$2,$F1550,$G1550,$H1550,J$19)</f>
        <v>35</v>
      </c>
    </row>
    <row r="1551" spans="1:10" s="23" customFormat="1" outlineLevel="1" thickBot="1" x14ac:dyDescent="0.3">
      <c r="A1551" s="44"/>
      <c r="B1551" s="31" t="str">
        <f>IF(_xll.TM1RPTELISCONSOLIDATED($H$20,$H1551),IF(_xll.TM1RPTELLEV($H$20,$H1551)&lt;=5,_xll.TM1RPTELLEV($H$20,$H1551),"Default"),"Leaf")</f>
        <v>Leaf</v>
      </c>
      <c r="C1551" s="26" t="s">
        <v>17</v>
      </c>
      <c r="D1551" s="24" t="str">
        <f>_xll.DBRW("TM1-S1_DEV:}ElementAttributes_SP_SKU",$F1551,D$1)</f>
        <v>Unassigned PSP</v>
      </c>
      <c r="E1551" s="24" t="str">
        <f>_xll.DBRW("TM1-S1_DEV:}ElementAttributes_SP_SKU",$F1551,E$1)</f>
        <v>BOWL</v>
      </c>
      <c r="F1551" s="26" t="s">
        <v>316</v>
      </c>
      <c r="G1551" s="26" t="s">
        <v>1494</v>
      </c>
      <c r="H1551" s="26" t="s">
        <v>2753</v>
      </c>
      <c r="I1551" s="54">
        <f>_xll.DBRW($A$1,$F$14,$F$15,$C1551,$A$2,$F1551,$G1551,$H1551,I$1)</f>
        <v>31</v>
      </c>
      <c r="J1551" s="25">
        <f>_xll.DBRW($A$1,$F$14,$F$15,$C1551,$A$2,$F1551,$G1551,$H1551,J$19)</f>
        <v>31</v>
      </c>
    </row>
    <row r="1552" spans="1:10" s="23" customFormat="1" outlineLevel="1" thickBot="1" x14ac:dyDescent="0.3">
      <c r="A1552" s="44"/>
      <c r="B1552" s="31" t="str">
        <f>IF(_xll.TM1RPTELISCONSOLIDATED($H$20,$H1552),IF(_xll.TM1RPTELLEV($H$20,$H1552)&lt;=5,_xll.TM1RPTELLEV($H$20,$H1552),"Default"),"Leaf")</f>
        <v>Leaf</v>
      </c>
      <c r="C1552" s="26" t="s">
        <v>17</v>
      </c>
      <c r="D1552" s="24" t="str">
        <f>_xll.DBRW("TM1-S1_DEV:}ElementAttributes_SP_SKU",$F1552,D$1)</f>
        <v>Unassigned PSP</v>
      </c>
      <c r="E1552" s="24" t="str">
        <f>_xll.DBRW("TM1-S1_DEV:}ElementAttributes_SP_SKU",$F1552,E$1)</f>
        <v>TRAY</v>
      </c>
      <c r="F1552" s="26" t="s">
        <v>317</v>
      </c>
      <c r="G1552" s="26" t="s">
        <v>1495</v>
      </c>
      <c r="H1552" s="26" t="s">
        <v>2753</v>
      </c>
      <c r="I1552" s="54">
        <f>_xll.DBRW($A$1,$F$14,$F$15,$C1552,$A$2,$F1552,$G1552,$H1552,I$1)</f>
        <v>64</v>
      </c>
      <c r="J1552" s="25">
        <f>_xll.DBRW($A$1,$F$14,$F$15,$C1552,$A$2,$F1552,$G1552,$H1552,J$19)</f>
        <v>64</v>
      </c>
    </row>
    <row r="1553" spans="1:10" s="23" customFormat="1" outlineLevel="1" thickBot="1" x14ac:dyDescent="0.3">
      <c r="A1553" s="44"/>
      <c r="B1553" s="31" t="str">
        <f>IF(_xll.TM1RPTELISCONSOLIDATED($H$20,$H1553),IF(_xll.TM1RPTELLEV($H$20,$H1553)&lt;=5,_xll.TM1RPTELLEV($H$20,$H1553),"Default"),"Leaf")</f>
        <v>Leaf</v>
      </c>
      <c r="C1553" s="26" t="s">
        <v>17</v>
      </c>
      <c r="D1553" s="24" t="str">
        <f>_xll.DBRW("TM1-S1_DEV:}ElementAttributes_SP_SKU",$F1553,D$1)</f>
        <v>Primary</v>
      </c>
      <c r="E1553" s="24" t="str">
        <f>_xll.DBRW("TM1-S1_DEV:}ElementAttributes_SP_SKU",$F1553,E$1)</f>
        <v>TRAY</v>
      </c>
      <c r="F1553" s="26" t="s">
        <v>3231</v>
      </c>
      <c r="G1553" s="26" t="s">
        <v>1496</v>
      </c>
      <c r="H1553" s="26" t="s">
        <v>2711</v>
      </c>
      <c r="I1553" s="54">
        <f>_xll.DBRW($A$1,$F$14,$F$15,$C1553,$A$2,$F1553,$G1553,$H1553,I$1)</f>
        <v>30</v>
      </c>
      <c r="J1553" s="25">
        <f>_xll.DBRW($A$1,$F$14,$F$15,$C1553,$A$2,$F1553,$G1553,$H1553,J$19)</f>
        <v>27</v>
      </c>
    </row>
    <row r="1554" spans="1:10" s="23" customFormat="1" outlineLevel="1" thickBot="1" x14ac:dyDescent="0.3">
      <c r="A1554" s="44"/>
      <c r="B1554" s="31" t="str">
        <f>IF(_xll.TM1RPTELISCONSOLIDATED($H$20,$H1554),IF(_xll.TM1RPTELLEV($H$20,$H1554)&lt;=5,_xll.TM1RPTELLEV($H$20,$H1554),"Default"),"Leaf")</f>
        <v>Leaf</v>
      </c>
      <c r="C1554" s="26" t="s">
        <v>17</v>
      </c>
      <c r="D1554" s="24" t="str">
        <f>_xll.DBRW("TM1-S1_DEV:}ElementAttributes_SP_SKU",$F1554,D$1)</f>
        <v>Primary</v>
      </c>
      <c r="E1554" s="24" t="str">
        <f>_xll.DBRW("TM1-S1_DEV:}ElementAttributes_SP_SKU",$F1554,E$1)</f>
        <v>PAPER</v>
      </c>
      <c r="F1554" s="26" t="s">
        <v>3261</v>
      </c>
      <c r="G1554" s="26" t="s">
        <v>1497</v>
      </c>
      <c r="H1554" s="26" t="s">
        <v>2716</v>
      </c>
      <c r="I1554" s="54">
        <f>_xll.DBRW($A$1,$F$14,$F$15,$C1554,$A$2,$F1554,$G1554,$H1554,I$1)</f>
        <v>16</v>
      </c>
      <c r="J1554" s="25">
        <f>_xll.DBRW($A$1,$F$14,$F$15,$C1554,$A$2,$F1554,$G1554,$H1554,J$19)</f>
        <v>16</v>
      </c>
    </row>
    <row r="1555" spans="1:10" s="23" customFormat="1" outlineLevel="1" thickBot="1" x14ac:dyDescent="0.3">
      <c r="A1555" s="44"/>
      <c r="B1555" s="31" t="str">
        <f>IF(_xll.TM1RPTELISCONSOLIDATED($H$20,$H1555),IF(_xll.TM1RPTELLEV($H$20,$H1555)&lt;=5,_xll.TM1RPTELLEV($H$20,$H1555),"Default"),"Leaf")</f>
        <v>Leaf</v>
      </c>
      <c r="C1555" s="26" t="s">
        <v>17</v>
      </c>
      <c r="D1555" s="24" t="str">
        <f>_xll.DBRW("TM1-S1_DEV:}ElementAttributes_SP_SKU",$F1555,D$1)</f>
        <v>Primary</v>
      </c>
      <c r="E1555" s="24" t="str">
        <f>_xll.DBRW("TM1-S1_DEV:}ElementAttributes_SP_SKU",$F1555,E$1)</f>
        <v>BREAD</v>
      </c>
      <c r="F1555" s="26" t="s">
        <v>31</v>
      </c>
      <c r="G1555" s="26" t="s">
        <v>1498</v>
      </c>
      <c r="H1555" s="26" t="s">
        <v>2689</v>
      </c>
      <c r="I1555" s="54">
        <f>_xll.DBRW($A$1,$F$14,$F$15,$C1555,$A$2,$F1555,$G1555,$H1555,I$1)</f>
        <v>25</v>
      </c>
      <c r="J1555" s="25">
        <f>_xll.DBRW($A$1,$F$14,$F$15,$C1555,$A$2,$F1555,$G1555,$H1555,J$19)</f>
        <v>27</v>
      </c>
    </row>
    <row r="1556" spans="1:10" s="23" customFormat="1" outlineLevel="1" thickBot="1" x14ac:dyDescent="0.3">
      <c r="A1556" s="44"/>
      <c r="B1556" s="31" t="str">
        <f>IF(_xll.TM1RPTELISCONSOLIDATED($H$20,$H1556),IF(_xll.TM1RPTELLEV($H$20,$H1556)&lt;=5,_xll.TM1RPTELLEV($H$20,$H1556),"Default"),"Leaf")</f>
        <v>Leaf</v>
      </c>
      <c r="C1556" s="26" t="s">
        <v>17</v>
      </c>
      <c r="D1556" s="24" t="str">
        <f>_xll.DBRW("TM1-S1_DEV:}ElementAttributes_SP_SKU",$F1556,D$1)</f>
        <v>Primary</v>
      </c>
      <c r="E1556" s="24" t="str">
        <f>_xll.DBRW("TM1-S1_DEV:}ElementAttributes_SP_SKU",$F1556,E$1)</f>
        <v>BREAD</v>
      </c>
      <c r="F1556" s="26" t="s">
        <v>3236</v>
      </c>
      <c r="G1556" s="26" t="s">
        <v>1499</v>
      </c>
      <c r="H1556" s="26" t="s">
        <v>2689</v>
      </c>
      <c r="I1556" s="54">
        <f>_xll.DBRW($A$1,$F$14,$F$15,$C1556,$A$2,$F1556,$G1556,$H1556,I$1)</f>
        <v>18</v>
      </c>
      <c r="J1556" s="25">
        <f>_xll.DBRW($A$1,$F$14,$F$15,$C1556,$A$2,$F1556,$G1556,$H1556,J$19)</f>
        <v>18</v>
      </c>
    </row>
    <row r="1557" spans="1:10" s="23" customFormat="1" outlineLevel="1" thickBot="1" x14ac:dyDescent="0.3">
      <c r="A1557" s="44"/>
      <c r="B1557" s="31" t="str">
        <f>IF(_xll.TM1RPTELISCONSOLIDATED($H$20,$H1557),IF(_xll.TM1RPTELLEV($H$20,$H1557)&lt;=5,_xll.TM1RPTELLEV($H$20,$H1557),"Default"),"Leaf")</f>
        <v>Leaf</v>
      </c>
      <c r="C1557" s="26" t="s">
        <v>17</v>
      </c>
      <c r="D1557" s="24" t="str">
        <f>_xll.DBRW("TM1-S1_DEV:}ElementAttributes_SP_SKU",$F1557,D$1)</f>
        <v>Primary</v>
      </c>
      <c r="E1557" s="24" t="str">
        <f>_xll.DBRW("TM1-S1_DEV:}ElementAttributes_SP_SKU",$F1557,E$1)</f>
        <v>BREAD</v>
      </c>
      <c r="F1557" s="26" t="s">
        <v>3277</v>
      </c>
      <c r="G1557" s="26" t="s">
        <v>1500</v>
      </c>
      <c r="H1557" s="26" t="s">
        <v>2689</v>
      </c>
      <c r="I1557" s="54">
        <f>_xll.DBRW($A$1,$F$14,$F$15,$C1557,$A$2,$F1557,$G1557,$H1557,I$1)</f>
        <v>11</v>
      </c>
      <c r="J1557" s="25">
        <f>_xll.DBRW($A$1,$F$14,$F$15,$C1557,$A$2,$F1557,$G1557,$H1557,J$19)</f>
        <v>10</v>
      </c>
    </row>
    <row r="1558" spans="1:10" s="23" customFormat="1" outlineLevel="1" thickBot="1" x14ac:dyDescent="0.3">
      <c r="A1558" s="44"/>
      <c r="B1558" s="31" t="str">
        <f>IF(_xll.TM1RPTELISCONSOLIDATED($H$20,$H1558),IF(_xll.TM1RPTELLEV($H$20,$H1558)&lt;=5,_xll.TM1RPTELLEV($H$20,$H1558),"Default"),"Leaf")</f>
        <v>Leaf</v>
      </c>
      <c r="C1558" s="26" t="s">
        <v>17</v>
      </c>
      <c r="D1558" s="24" t="str">
        <f>_xll.DBRW("TM1-S1_DEV:}ElementAttributes_SP_SKU",$F1558,D$1)</f>
        <v>Primary</v>
      </c>
      <c r="E1558" s="24" t="str">
        <f>_xll.DBRW("TM1-S1_DEV:}ElementAttributes_SP_SKU",$F1558,E$1)</f>
        <v>PAPER</v>
      </c>
      <c r="F1558" s="26" t="s">
        <v>3239</v>
      </c>
      <c r="G1558" s="26" t="s">
        <v>1501</v>
      </c>
      <c r="H1558" s="26" t="s">
        <v>2715</v>
      </c>
      <c r="I1558" s="54">
        <f>_xll.DBRW($A$1,$F$14,$F$15,$C1558,$A$2,$F1558,$G1558,$H1558,I$1)</f>
        <v>45</v>
      </c>
      <c r="J1558" s="25">
        <f>_xll.DBRW($A$1,$F$14,$F$15,$C1558,$A$2,$F1558,$G1558,$H1558,J$19)</f>
        <v>42</v>
      </c>
    </row>
    <row r="1559" spans="1:10" s="23" customFormat="1" outlineLevel="1" thickBot="1" x14ac:dyDescent="0.3">
      <c r="A1559" s="44"/>
      <c r="B1559" s="31" t="str">
        <f>IF(_xll.TM1RPTELISCONSOLIDATED($H$20,$H1559),IF(_xll.TM1RPTELLEV($H$20,$H1559)&lt;=5,_xll.TM1RPTELLEV($H$20,$H1559),"Default"),"Leaf")</f>
        <v>Leaf</v>
      </c>
      <c r="C1559" s="26" t="s">
        <v>17</v>
      </c>
      <c r="D1559" s="24" t="str">
        <f>_xll.DBRW("TM1-S1_DEV:}ElementAttributes_SP_SKU",$F1559,D$1)</f>
        <v>Primary</v>
      </c>
      <c r="E1559" s="24" t="str">
        <f>_xll.DBRW("TM1-S1_DEV:}ElementAttributes_SP_SKU",$F1559,E$1)</f>
        <v>BOWL</v>
      </c>
      <c r="F1559" s="26" t="s">
        <v>32</v>
      </c>
      <c r="G1559" s="26" t="s">
        <v>1502</v>
      </c>
      <c r="H1559" s="26" t="s">
        <v>2708</v>
      </c>
      <c r="I1559" s="54">
        <f>_xll.DBRW($A$1,$F$14,$F$15,$C1559,$A$2,$F1559,$G1559,$H1559,I$1)</f>
        <v>5</v>
      </c>
      <c r="J1559" s="25">
        <f>_xll.DBRW($A$1,$F$14,$F$15,$C1559,$A$2,$F1559,$G1559,$H1559,J$19)</f>
        <v>5</v>
      </c>
    </row>
    <row r="1560" spans="1:10" s="23" customFormat="1" outlineLevel="1" thickBot="1" x14ac:dyDescent="0.3">
      <c r="A1560" s="44"/>
      <c r="B1560" s="31" t="str">
        <f>IF(_xll.TM1RPTELISCONSOLIDATED($H$20,$H1560),IF(_xll.TM1RPTELLEV($H$20,$H1560)&lt;=5,_xll.TM1RPTELLEV($H$20,$H1560),"Default"),"Leaf")</f>
        <v>Leaf</v>
      </c>
      <c r="C1560" s="26" t="s">
        <v>17</v>
      </c>
      <c r="D1560" s="24" t="str">
        <f>_xll.DBRW("TM1-S1_DEV:}ElementAttributes_SP_SKU",$F1560,D$1)</f>
        <v>Primary</v>
      </c>
      <c r="E1560" s="24" t="str">
        <f>_xll.DBRW("TM1-S1_DEV:}ElementAttributes_SP_SKU",$F1560,E$1)</f>
        <v>BOWL</v>
      </c>
      <c r="F1560" s="26" t="s">
        <v>33</v>
      </c>
      <c r="G1560" s="26" t="s">
        <v>1503</v>
      </c>
      <c r="H1560" s="26" t="s">
        <v>2708</v>
      </c>
      <c r="I1560" s="54">
        <f>_xll.DBRW($A$1,$F$14,$F$15,$C1560,$A$2,$F1560,$G1560,$H1560,I$1)</f>
        <v>4</v>
      </c>
      <c r="J1560" s="25">
        <f>_xll.DBRW($A$1,$F$14,$F$15,$C1560,$A$2,$F1560,$G1560,$H1560,J$19)</f>
        <v>4</v>
      </c>
    </row>
    <row r="1561" spans="1:10" s="23" customFormat="1" outlineLevel="1" thickBot="1" x14ac:dyDescent="0.3">
      <c r="A1561" s="44"/>
      <c r="B1561" s="31" t="str">
        <f>IF(_xll.TM1RPTELISCONSOLIDATED($H$20,$H1561),IF(_xll.TM1RPTELLEV($H$20,$H1561)&lt;=5,_xll.TM1RPTELLEV($H$20,$H1561),"Default"),"Leaf")</f>
        <v>Leaf</v>
      </c>
      <c r="C1561" s="26" t="s">
        <v>17</v>
      </c>
      <c r="D1561" s="24" t="str">
        <f>_xll.DBRW("TM1-S1_DEV:}ElementAttributes_SP_SKU",$F1561,D$1)</f>
        <v>Primary</v>
      </c>
      <c r="E1561" s="24" t="str">
        <f>_xll.DBRW("TM1-S1_DEV:}ElementAttributes_SP_SKU",$F1561,E$1)</f>
        <v>DRESSING</v>
      </c>
      <c r="F1561" s="26" t="s">
        <v>264</v>
      </c>
      <c r="G1561" s="26" t="s">
        <v>1504</v>
      </c>
      <c r="H1561" s="26" t="s">
        <v>2743</v>
      </c>
      <c r="I1561" s="54">
        <f>_xll.DBRW($A$1,$F$14,$F$15,$C1561,$A$2,$F1561,$G1561,$H1561,I$1)</f>
        <v>92</v>
      </c>
      <c r="J1561" s="25">
        <f>_xll.DBRW($A$1,$F$14,$F$15,$C1561,$A$2,$F1561,$G1561,$H1561,J$19)</f>
        <v>202</v>
      </c>
    </row>
    <row r="1562" spans="1:10" s="23" customFormat="1" outlineLevel="1" thickBot="1" x14ac:dyDescent="0.3">
      <c r="A1562" s="44"/>
      <c r="B1562" s="31" t="str">
        <f>IF(_xll.TM1RPTELISCONSOLIDATED($H$20,$H1562),IF(_xll.TM1RPTELLEV($H$20,$H1562)&lt;=5,_xll.TM1RPTELLEV($H$20,$H1562),"Default"),"Leaf")</f>
        <v>Leaf</v>
      </c>
      <c r="C1562" s="26" t="s">
        <v>17</v>
      </c>
      <c r="D1562" s="24" t="str">
        <f>_xll.DBRW("TM1-S1_DEV:}ElementAttributes_SP_SKU",$F1562,D$1)</f>
        <v>Primary</v>
      </c>
      <c r="E1562" s="24" t="str">
        <f>_xll.DBRW("TM1-S1_DEV:}ElementAttributes_SP_SKU",$F1562,E$1)</f>
        <v>SOUP</v>
      </c>
      <c r="F1562" s="26" t="s">
        <v>2986</v>
      </c>
      <c r="G1562" s="26" t="s">
        <v>1433</v>
      </c>
      <c r="H1562" s="26" t="s">
        <v>2675</v>
      </c>
      <c r="I1562" s="54">
        <f>_xll.DBRW($A$1,$F$14,$F$15,$C1562,$A$2,$F1562,$G1562,$H1562,I$1)</f>
        <v>0</v>
      </c>
      <c r="J1562" s="25">
        <f>_xll.DBRW($A$1,$F$14,$F$15,$C1562,$A$2,$F1562,$G1562,$H1562,J$19)</f>
        <v>-4</v>
      </c>
    </row>
    <row r="1563" spans="1:10" s="23" customFormat="1" outlineLevel="1" thickBot="1" x14ac:dyDescent="0.3">
      <c r="A1563" s="44"/>
      <c r="B1563" s="31" t="str">
        <f>IF(_xll.TM1RPTELISCONSOLIDATED($H$20,$H1563),IF(_xll.TM1RPTELLEV($H$20,$H1563)&lt;=5,_xll.TM1RPTELLEV($H$20,$H1563),"Default"),"Leaf")</f>
        <v>Leaf</v>
      </c>
      <c r="C1563" s="26" t="s">
        <v>17</v>
      </c>
      <c r="D1563" s="24" t="str">
        <f>_xll.DBRW("TM1-S1_DEV:}ElementAttributes_SP_SKU",$F1563,D$1)</f>
        <v>Primary</v>
      </c>
      <c r="E1563" s="24" t="str">
        <f>_xll.DBRW("TM1-S1_DEV:}ElementAttributes_SP_SKU",$F1563,E$1)</f>
        <v>DRESSING</v>
      </c>
      <c r="F1563" s="26" t="s">
        <v>318</v>
      </c>
      <c r="G1563" s="26" t="s">
        <v>1505</v>
      </c>
      <c r="H1563" s="26" t="s">
        <v>2743</v>
      </c>
      <c r="I1563" s="54">
        <f>_xll.DBRW($A$1,$F$14,$F$15,$C1563,$A$2,$F1563,$G1563,$H1563,I$1)</f>
        <v>40</v>
      </c>
      <c r="J1563" s="25">
        <f>_xll.DBRW($A$1,$F$14,$F$15,$C1563,$A$2,$F1563,$G1563,$H1563,J$19)</f>
        <v>62</v>
      </c>
    </row>
    <row r="1564" spans="1:10" s="23" customFormat="1" outlineLevel="1" thickBot="1" x14ac:dyDescent="0.3">
      <c r="A1564" s="44"/>
      <c r="B1564" s="31" t="str">
        <f>IF(_xll.TM1RPTELISCONSOLIDATED($H$20,$H1564),IF(_xll.TM1RPTELLEV($H$20,$H1564)&lt;=5,_xll.TM1RPTELLEV($H$20,$H1564),"Default"),"Leaf")</f>
        <v>Leaf</v>
      </c>
      <c r="C1564" s="26" t="s">
        <v>17</v>
      </c>
      <c r="D1564" s="24" t="str">
        <f>_xll.DBRW("TM1-S1_DEV:}ElementAttributes_SP_SKU",$F1564,D$1)</f>
        <v>Primary</v>
      </c>
      <c r="E1564" s="24" t="str">
        <f>_xll.DBRW("TM1-S1_DEV:}ElementAttributes_SP_SKU",$F1564,E$1)</f>
        <v>DRESSING</v>
      </c>
      <c r="F1564" s="26" t="s">
        <v>319</v>
      </c>
      <c r="G1564" s="26" t="s">
        <v>1506</v>
      </c>
      <c r="H1564" s="26" t="s">
        <v>2743</v>
      </c>
      <c r="I1564" s="54">
        <f>_xll.DBRW($A$1,$F$14,$F$15,$C1564,$A$2,$F1564,$G1564,$H1564,I$1)</f>
        <v>371</v>
      </c>
      <c r="J1564" s="25">
        <f>_xll.DBRW($A$1,$F$14,$F$15,$C1564,$A$2,$F1564,$G1564,$H1564,J$19)</f>
        <v>701</v>
      </c>
    </row>
    <row r="1565" spans="1:10" s="23" customFormat="1" outlineLevel="1" thickBot="1" x14ac:dyDescent="0.3">
      <c r="A1565" s="44"/>
      <c r="B1565" s="31" t="str">
        <f>IF(_xll.TM1RPTELISCONSOLIDATED($H$20,$H1565),IF(_xll.TM1RPTELLEV($H$20,$H1565)&lt;=5,_xll.TM1RPTELLEV($H$20,$H1565),"Default"),"Leaf")</f>
        <v>Leaf</v>
      </c>
      <c r="C1565" s="26" t="s">
        <v>17</v>
      </c>
      <c r="D1565" s="24" t="str">
        <f>_xll.DBRW("TM1-S1_DEV:}ElementAttributes_SP_SKU",$F1565,D$1)</f>
        <v>Primary</v>
      </c>
      <c r="E1565" s="24" t="str">
        <f>_xll.DBRW("TM1-S1_DEV:}ElementAttributes_SP_SKU",$F1565,E$1)</f>
        <v>GLOVES</v>
      </c>
      <c r="F1565" s="26" t="s">
        <v>3278</v>
      </c>
      <c r="G1565" s="26" t="s">
        <v>3323</v>
      </c>
      <c r="H1565" s="26" t="s">
        <v>2842</v>
      </c>
      <c r="I1565" s="54">
        <f>_xll.DBRW($A$1,$F$14,$F$15,$C1565,$A$2,$F1565,$G1565,$H1565,I$1)</f>
        <v>0</v>
      </c>
      <c r="J1565" s="25">
        <f>_xll.DBRW($A$1,$F$14,$F$15,$C1565,$A$2,$F1565,$G1565,$H1565,J$19)</f>
        <v>-1</v>
      </c>
    </row>
    <row r="1566" spans="1:10" s="23" customFormat="1" outlineLevel="1" thickBot="1" x14ac:dyDescent="0.3">
      <c r="A1566" s="44"/>
      <c r="B1566" s="31" t="str">
        <f>IF(_xll.TM1RPTELISCONSOLIDATED($H$20,$H1566),IF(_xll.TM1RPTELLEV($H$20,$H1566)&lt;=5,_xll.TM1RPTELLEV($H$20,$H1566),"Default"),"Leaf")</f>
        <v>Leaf</v>
      </c>
      <c r="C1566" s="26" t="s">
        <v>17</v>
      </c>
      <c r="D1566" s="24" t="str">
        <f>_xll.DBRW("TM1-S1_DEV:}ElementAttributes_SP_SKU",$F1566,D$1)</f>
        <v>Primary</v>
      </c>
      <c r="E1566" s="24" t="str">
        <f>_xll.DBRW("TM1-S1_DEV:}ElementAttributes_SP_SKU",$F1566,E$1)</f>
        <v>FILM</v>
      </c>
      <c r="F1566" s="26" t="s">
        <v>320</v>
      </c>
      <c r="G1566" s="26" t="s">
        <v>1507</v>
      </c>
      <c r="H1566" s="26" t="s">
        <v>2842</v>
      </c>
      <c r="I1566" s="54">
        <f>_xll.DBRW($A$1,$F$14,$F$15,$C1566,$A$2,$F1566,$G1566,$H1566,I$1)</f>
        <v>109</v>
      </c>
      <c r="J1566" s="25">
        <f>_xll.DBRW($A$1,$F$14,$F$15,$C1566,$A$2,$F1566,$G1566,$H1566,J$19)</f>
        <v>109</v>
      </c>
    </row>
    <row r="1567" spans="1:10" s="23" customFormat="1" outlineLevel="1" thickBot="1" x14ac:dyDescent="0.3">
      <c r="A1567" s="44"/>
      <c r="B1567" s="31" t="str">
        <f>IF(_xll.TM1RPTELISCONSOLIDATED($H$20,$H1567),IF(_xll.TM1RPTELLEV($H$20,$H1567)&lt;=5,_xll.TM1RPTELLEV($H$20,$H1567),"Default"),"Leaf")</f>
        <v>Leaf</v>
      </c>
      <c r="C1567" s="26" t="s">
        <v>17</v>
      </c>
      <c r="D1567" s="24" t="str">
        <f>_xll.DBRW("TM1-S1_DEV:}ElementAttributes_SP_SKU",$F1567,D$1)</f>
        <v>Primary</v>
      </c>
      <c r="E1567" s="24" t="str">
        <f>_xll.DBRW("TM1-S1_DEV:}ElementAttributes_SP_SKU",$F1567,E$1)</f>
        <v>FILM</v>
      </c>
      <c r="F1567" s="26" t="s">
        <v>321</v>
      </c>
      <c r="G1567" s="26" t="s">
        <v>1508</v>
      </c>
      <c r="H1567" s="26" t="s">
        <v>2842</v>
      </c>
      <c r="I1567" s="54">
        <f>_xll.DBRW($A$1,$F$14,$F$15,$C1567,$A$2,$F1567,$G1567,$H1567,I$1)</f>
        <v>14</v>
      </c>
      <c r="J1567" s="25">
        <f>_xll.DBRW($A$1,$F$14,$F$15,$C1567,$A$2,$F1567,$G1567,$H1567,J$19)</f>
        <v>74</v>
      </c>
    </row>
    <row r="1568" spans="1:10" s="23" customFormat="1" outlineLevel="1" thickBot="1" x14ac:dyDescent="0.3">
      <c r="A1568" s="44"/>
      <c r="B1568" s="31" t="str">
        <f>IF(_xll.TM1RPTELISCONSOLIDATED($H$20,$H1568),IF(_xll.TM1RPTELLEV($H$20,$H1568)&lt;=5,_xll.TM1RPTELLEV($H$20,$H1568),"Default"),"Leaf")</f>
        <v>Leaf</v>
      </c>
      <c r="C1568" s="26" t="s">
        <v>17</v>
      </c>
      <c r="D1568" s="24" t="str">
        <f>_xll.DBRW("TM1-S1_DEV:}ElementAttributes_SP_SKU",$F1568,D$1)</f>
        <v>Primary</v>
      </c>
      <c r="E1568" s="24" t="str">
        <f>_xll.DBRW("TM1-S1_DEV:}ElementAttributes_SP_SKU",$F1568,E$1)</f>
        <v>PLATE</v>
      </c>
      <c r="F1568" s="26" t="s">
        <v>322</v>
      </c>
      <c r="G1568" s="26" t="s">
        <v>1509</v>
      </c>
      <c r="H1568" s="26" t="s">
        <v>2757</v>
      </c>
      <c r="I1568" s="54">
        <f>_xll.DBRW($A$1,$F$14,$F$15,$C1568,$A$2,$F1568,$G1568,$H1568,I$1)</f>
        <v>48</v>
      </c>
      <c r="J1568" s="25">
        <f>_xll.DBRW($A$1,$F$14,$F$15,$C1568,$A$2,$F1568,$G1568,$H1568,J$19)</f>
        <v>48</v>
      </c>
    </row>
    <row r="1569" spans="1:10" s="23" customFormat="1" outlineLevel="1" thickBot="1" x14ac:dyDescent="0.3">
      <c r="A1569" s="44"/>
      <c r="B1569" s="31" t="str">
        <f>IF(_xll.TM1RPTELISCONSOLIDATED($H$20,$H1569),IF(_xll.TM1RPTELLEV($H$20,$H1569)&lt;=5,_xll.TM1RPTELLEV($H$20,$H1569),"Default"),"Leaf")</f>
        <v>Leaf</v>
      </c>
      <c r="C1569" s="26" t="s">
        <v>17</v>
      </c>
      <c r="D1569" s="24" t="str">
        <f>_xll.DBRW("TM1-S1_DEV:}ElementAttributes_SP_SKU",$F1569,D$1)</f>
        <v>Secondary</v>
      </c>
      <c r="E1569" s="24" t="str">
        <f>_xll.DBRW("TM1-S1_DEV:}ElementAttributes_SP_SKU",$F1569,E$1)</f>
        <v>UTENSIL</v>
      </c>
      <c r="F1569" s="26" t="s">
        <v>2987</v>
      </c>
      <c r="G1569" s="26" t="s">
        <v>3044</v>
      </c>
      <c r="H1569" s="26" t="s">
        <v>3086</v>
      </c>
      <c r="I1569" s="54">
        <f>_xll.DBRW($A$1,$F$14,$F$15,$C1569,$A$2,$F1569,$G1569,$H1569,I$1)</f>
        <v>0</v>
      </c>
      <c r="J1569" s="25">
        <f>_xll.DBRW($A$1,$F$14,$F$15,$C1569,$A$2,$F1569,$G1569,$H1569,J$19)</f>
        <v>-2</v>
      </c>
    </row>
    <row r="1570" spans="1:10" s="23" customFormat="1" outlineLevel="1" thickBot="1" x14ac:dyDescent="0.3">
      <c r="A1570" s="44"/>
      <c r="B1570" s="31" t="str">
        <f>IF(_xll.TM1RPTELISCONSOLIDATED($H$20,$H1570),IF(_xll.TM1RPTELLEV($H$20,$H1570)&lt;=5,_xll.TM1RPTELLEV($H$20,$H1570),"Default"),"Leaf")</f>
        <v>Leaf</v>
      </c>
      <c r="C1570" s="26" t="s">
        <v>17</v>
      </c>
      <c r="D1570" s="24" t="str">
        <f>_xll.DBRW("TM1-S1_DEV:}ElementAttributes_SP_SKU",$F1570,D$1)</f>
        <v>Primary</v>
      </c>
      <c r="E1570" s="24" t="str">
        <f>_xll.DBRW("TM1-S1_DEV:}ElementAttributes_SP_SKU",$F1570,E$1)</f>
        <v>BAG</v>
      </c>
      <c r="F1570" s="26" t="s">
        <v>323</v>
      </c>
      <c r="G1570" s="26" t="s">
        <v>1510</v>
      </c>
      <c r="H1570" s="26" t="s">
        <v>2843</v>
      </c>
      <c r="I1570" s="54">
        <f>_xll.DBRW($A$1,$F$14,$F$15,$C1570,$A$2,$F1570,$G1570,$H1570,I$1)</f>
        <v>34</v>
      </c>
      <c r="J1570" s="25">
        <f>_xll.DBRW($A$1,$F$14,$F$15,$C1570,$A$2,$F1570,$G1570,$H1570,J$19)</f>
        <v>34</v>
      </c>
    </row>
    <row r="1571" spans="1:10" s="23" customFormat="1" outlineLevel="1" thickBot="1" x14ac:dyDescent="0.3">
      <c r="A1571" s="44"/>
      <c r="B1571" s="31" t="str">
        <f>IF(_xll.TM1RPTELISCONSOLIDATED($H$20,$H1571),IF(_xll.TM1RPTELLEV($H$20,$H1571)&lt;=5,_xll.TM1RPTELLEV($H$20,$H1571),"Default"),"Leaf")</f>
        <v>Leaf</v>
      </c>
      <c r="C1571" s="26" t="s">
        <v>17</v>
      </c>
      <c r="D1571" s="24" t="str">
        <f>_xll.DBRW("TM1-S1_DEV:}ElementAttributes_SP_SKU",$F1571,D$1)</f>
        <v>Primary</v>
      </c>
      <c r="E1571" s="24" t="str">
        <f>_xll.DBRW("TM1-S1_DEV:}ElementAttributes_SP_SKU",$F1571,E$1)</f>
        <v>BAG</v>
      </c>
      <c r="F1571" s="26" t="s">
        <v>324</v>
      </c>
      <c r="G1571" s="26" t="s">
        <v>1511</v>
      </c>
      <c r="H1571" s="26" t="s">
        <v>2844</v>
      </c>
      <c r="I1571" s="54">
        <f>_xll.DBRW($A$1,$F$14,$F$15,$C1571,$A$2,$F1571,$G1571,$H1571,I$1)</f>
        <v>221</v>
      </c>
      <c r="J1571" s="25">
        <f>_xll.DBRW($A$1,$F$14,$F$15,$C1571,$A$2,$F1571,$G1571,$H1571,J$19)</f>
        <v>267</v>
      </c>
    </row>
    <row r="1572" spans="1:10" s="23" customFormat="1" outlineLevel="1" thickBot="1" x14ac:dyDescent="0.3">
      <c r="A1572" s="44"/>
      <c r="B1572" s="31" t="str">
        <f>IF(_xll.TM1RPTELISCONSOLIDATED($H$20,$H1572),IF(_xll.TM1RPTELLEV($H$20,$H1572)&lt;=5,_xll.TM1RPTELLEV($H$20,$H1572),"Default"),"Leaf")</f>
        <v>Leaf</v>
      </c>
      <c r="C1572" s="26" t="s">
        <v>17</v>
      </c>
      <c r="D1572" s="24" t="str">
        <f>_xll.DBRW("TM1-S1_DEV:}ElementAttributes_SP_SKU",$F1572,D$1)</f>
        <v>Primary</v>
      </c>
      <c r="E1572" s="24" t="str">
        <f>_xll.DBRW("TM1-S1_DEV:}ElementAttributes_SP_SKU",$F1572,E$1)</f>
        <v>DRESSING</v>
      </c>
      <c r="F1572" s="26" t="s">
        <v>3279</v>
      </c>
      <c r="G1572" s="26" t="s">
        <v>3324</v>
      </c>
      <c r="H1572" s="26" t="s">
        <v>2743</v>
      </c>
      <c r="I1572" s="54">
        <f>_xll.DBRW($A$1,$F$14,$F$15,$C1572,$A$2,$F1572,$G1572,$H1572,I$1)</f>
        <v>0</v>
      </c>
      <c r="J1572" s="25">
        <f>_xll.DBRW($A$1,$F$14,$F$15,$C1572,$A$2,$F1572,$G1572,$H1572,J$19)</f>
        <v>-1</v>
      </c>
    </row>
    <row r="1573" spans="1:10" s="23" customFormat="1" outlineLevel="1" thickBot="1" x14ac:dyDescent="0.3">
      <c r="A1573" s="44"/>
      <c r="B1573" s="31" t="str">
        <f>IF(_xll.TM1RPTELISCONSOLIDATED($H$20,$H1573),IF(_xll.TM1RPTELLEV($H$20,$H1573)&lt;=5,_xll.TM1RPTELLEV($H$20,$H1573),"Default"),"Leaf")</f>
        <v>Leaf</v>
      </c>
      <c r="C1573" s="26" t="s">
        <v>17</v>
      </c>
      <c r="D1573" s="24" t="str">
        <f>_xll.DBRW("TM1-S1_DEV:}ElementAttributes_SP_SKU",$F1573,D$1)</f>
        <v>Primary</v>
      </c>
      <c r="E1573" s="24" t="str">
        <f>_xll.DBRW("TM1-S1_DEV:}ElementAttributes_SP_SKU",$F1573,E$1)</f>
        <v>CRACKERS</v>
      </c>
      <c r="F1573" s="26" t="s">
        <v>325</v>
      </c>
      <c r="G1573" s="26" t="s">
        <v>1512</v>
      </c>
      <c r="H1573" s="26" t="s">
        <v>2845</v>
      </c>
      <c r="I1573" s="54">
        <f>_xll.DBRW($A$1,$F$14,$F$15,$C1573,$A$2,$F1573,$G1573,$H1573,I$1)</f>
        <v>191</v>
      </c>
      <c r="J1573" s="25">
        <f>_xll.DBRW($A$1,$F$14,$F$15,$C1573,$A$2,$F1573,$G1573,$H1573,J$19)</f>
        <v>190</v>
      </c>
    </row>
    <row r="1574" spans="1:10" s="23" customFormat="1" outlineLevel="1" thickBot="1" x14ac:dyDescent="0.3">
      <c r="A1574" s="44"/>
      <c r="B1574" s="31" t="str">
        <f>IF(_xll.TM1RPTELISCONSOLIDATED($H$20,$H1574),IF(_xll.TM1RPTELLEV($H$20,$H1574)&lt;=5,_xll.TM1RPTELLEV($H$20,$H1574),"Default"),"Leaf")</f>
        <v>Leaf</v>
      </c>
      <c r="C1574" s="26" t="s">
        <v>17</v>
      </c>
      <c r="D1574" s="24" t="str">
        <f>_xll.DBRW("TM1-S1_DEV:}ElementAttributes_SP_SKU",$F1574,D$1)</f>
        <v>Primary</v>
      </c>
      <c r="E1574" s="24" t="str">
        <f>_xll.DBRW("TM1-S1_DEV:}ElementAttributes_SP_SKU",$F1574,E$1)</f>
        <v>PAPER</v>
      </c>
      <c r="F1574" s="26" t="s">
        <v>326</v>
      </c>
      <c r="G1574" s="26" t="s">
        <v>1513</v>
      </c>
      <c r="H1574" s="26" t="s">
        <v>2846</v>
      </c>
      <c r="I1574" s="54">
        <f>_xll.DBRW($A$1,$F$14,$F$15,$C1574,$A$2,$F1574,$G1574,$H1574,I$1)</f>
        <v>6</v>
      </c>
      <c r="J1574" s="25">
        <f>_xll.DBRW($A$1,$F$14,$F$15,$C1574,$A$2,$F1574,$G1574,$H1574,J$19)</f>
        <v>11</v>
      </c>
    </row>
    <row r="1575" spans="1:10" s="23" customFormat="1" outlineLevel="1" thickBot="1" x14ac:dyDescent="0.3">
      <c r="A1575" s="44"/>
      <c r="B1575" s="31" t="str">
        <f>IF(_xll.TM1RPTELISCONSOLIDATED($H$20,$H1575),IF(_xll.TM1RPTELLEV($H$20,$H1575)&lt;=5,_xll.TM1RPTELLEV($H$20,$H1575),"Default"),"Leaf")</f>
        <v>Leaf</v>
      </c>
      <c r="C1575" s="26" t="s">
        <v>17</v>
      </c>
      <c r="D1575" s="24" t="str">
        <f>_xll.DBRW("TM1-S1_DEV:}ElementAttributes_SP_SKU",$F1575,D$1)</f>
        <v>Primary</v>
      </c>
      <c r="E1575" s="24" t="str">
        <f>_xll.DBRW("TM1-S1_DEV:}ElementAttributes_SP_SKU",$F1575,E$1)</f>
        <v>INGREDIENT</v>
      </c>
      <c r="F1575" s="26" t="s">
        <v>327</v>
      </c>
      <c r="G1575" s="26" t="s">
        <v>1514</v>
      </c>
      <c r="H1575" s="26" t="s">
        <v>2840</v>
      </c>
      <c r="I1575" s="54">
        <f>_xll.DBRW($A$1,$F$14,$F$15,$C1575,$A$2,$F1575,$G1575,$H1575,I$1)</f>
        <v>5</v>
      </c>
      <c r="J1575" s="25">
        <f>_xll.DBRW($A$1,$F$14,$F$15,$C1575,$A$2,$F1575,$G1575,$H1575,J$19)</f>
        <v>4</v>
      </c>
    </row>
    <row r="1576" spans="1:10" s="23" customFormat="1" outlineLevel="1" thickBot="1" x14ac:dyDescent="0.3">
      <c r="A1576" s="44"/>
      <c r="B1576" s="31" t="str">
        <f>IF(_xll.TM1RPTELISCONSOLIDATED($H$20,$H1576),IF(_xll.TM1RPTELLEV($H$20,$H1576)&lt;=5,_xll.TM1RPTELLEV($H$20,$H1576),"Default"),"Leaf")</f>
        <v>Leaf</v>
      </c>
      <c r="C1576" s="26" t="s">
        <v>17</v>
      </c>
      <c r="D1576" s="24" t="str">
        <f>_xll.DBRW("TM1-S1_DEV:}ElementAttributes_SP_SKU",$F1576,D$1)</f>
        <v>Primary</v>
      </c>
      <c r="E1576" s="24" t="str">
        <f>_xll.DBRW("TM1-S1_DEV:}ElementAttributes_SP_SKU",$F1576,E$1)</f>
        <v>UTENSIL</v>
      </c>
      <c r="F1576" s="26" t="s">
        <v>328</v>
      </c>
      <c r="G1576" s="26" t="s">
        <v>1515</v>
      </c>
      <c r="H1576" s="26" t="s">
        <v>2847</v>
      </c>
      <c r="I1576" s="54">
        <f>_xll.DBRW($A$1,$F$14,$F$15,$C1576,$A$2,$F1576,$G1576,$H1576,I$1)</f>
        <v>18</v>
      </c>
      <c r="J1576" s="25">
        <f>_xll.DBRW($A$1,$F$14,$F$15,$C1576,$A$2,$F1576,$G1576,$H1576,J$19)</f>
        <v>38</v>
      </c>
    </row>
    <row r="1577" spans="1:10" s="23" customFormat="1" outlineLevel="1" thickBot="1" x14ac:dyDescent="0.3">
      <c r="A1577" s="44"/>
      <c r="B1577" s="31" t="str">
        <f>IF(_xll.TM1RPTELISCONSOLIDATED($H$20,$H1577),IF(_xll.TM1RPTELLEV($H$20,$H1577)&lt;=5,_xll.TM1RPTELLEV($H$20,$H1577),"Default"),"Leaf")</f>
        <v>Leaf</v>
      </c>
      <c r="C1577" s="26" t="s">
        <v>17</v>
      </c>
      <c r="D1577" s="24" t="str">
        <f>_xll.DBRW("TM1-S1_DEV:}ElementAttributes_SP_SKU",$F1577,D$1)</f>
        <v>Primary</v>
      </c>
      <c r="E1577" s="24" t="str">
        <f>_xll.DBRW("TM1-S1_DEV:}ElementAttributes_SP_SKU",$F1577,E$1)</f>
        <v>PRODUCE</v>
      </c>
      <c r="F1577" s="26" t="s">
        <v>329</v>
      </c>
      <c r="G1577" s="26" t="s">
        <v>1516</v>
      </c>
      <c r="H1577" s="26" t="s">
        <v>2847</v>
      </c>
      <c r="I1577" s="54">
        <f>_xll.DBRW($A$1,$F$14,$F$15,$C1577,$A$2,$F1577,$G1577,$H1577,I$1)</f>
        <v>5</v>
      </c>
      <c r="J1577" s="25">
        <f>_xll.DBRW($A$1,$F$14,$F$15,$C1577,$A$2,$F1577,$G1577,$H1577,J$19)</f>
        <v>4</v>
      </c>
    </row>
    <row r="1578" spans="1:10" s="23" customFormat="1" outlineLevel="1" thickBot="1" x14ac:dyDescent="0.3">
      <c r="A1578" s="44"/>
      <c r="B1578" s="31" t="str">
        <f>IF(_xll.TM1RPTELISCONSOLIDATED($H$20,$H1578),IF(_xll.TM1RPTELLEV($H$20,$H1578)&lt;=5,_xll.TM1RPTELLEV($H$20,$H1578),"Default"),"Leaf")</f>
        <v>Leaf</v>
      </c>
      <c r="C1578" s="26" t="s">
        <v>17</v>
      </c>
      <c r="D1578" s="24" t="str">
        <f>_xll.DBRW("TM1-S1_DEV:}ElementAttributes_SP_SKU",$F1578,D$1)</f>
        <v>Primary</v>
      </c>
      <c r="E1578" s="24" t="str">
        <f>_xll.DBRW("TM1-S1_DEV:}ElementAttributes_SP_SKU",$F1578,E$1)</f>
        <v>PRODUCE</v>
      </c>
      <c r="F1578" s="26" t="s">
        <v>330</v>
      </c>
      <c r="G1578" s="26" t="s">
        <v>1517</v>
      </c>
      <c r="H1578" s="26" t="s">
        <v>2847</v>
      </c>
      <c r="I1578" s="54">
        <f>_xll.DBRW($A$1,$F$14,$F$15,$C1578,$A$2,$F1578,$G1578,$H1578,I$1)</f>
        <v>47</v>
      </c>
      <c r="J1578" s="25">
        <f>_xll.DBRW($A$1,$F$14,$F$15,$C1578,$A$2,$F1578,$G1578,$H1578,J$19)</f>
        <v>46</v>
      </c>
    </row>
    <row r="1579" spans="1:10" s="23" customFormat="1" outlineLevel="1" thickBot="1" x14ac:dyDescent="0.3">
      <c r="A1579" s="44"/>
      <c r="B1579" s="31" t="str">
        <f>IF(_xll.TM1RPTELISCONSOLIDATED($H$20,$H1579),IF(_xll.TM1RPTELLEV($H$20,$H1579)&lt;=5,_xll.TM1RPTELLEV($H$20,$H1579),"Default"),"Leaf")</f>
        <v>Leaf</v>
      </c>
      <c r="C1579" s="26" t="s">
        <v>17</v>
      </c>
      <c r="D1579" s="24" t="str">
        <f>_xll.DBRW("TM1-S1_DEV:}ElementAttributes_SP_SKU",$F1579,D$1)</f>
        <v>Primary</v>
      </c>
      <c r="E1579" s="24" t="str">
        <f>_xll.DBRW("TM1-S1_DEV:}ElementAttributes_SP_SKU",$F1579,E$1)</f>
        <v>PRODUCE</v>
      </c>
      <c r="F1579" s="26" t="s">
        <v>331</v>
      </c>
      <c r="G1579" s="26" t="s">
        <v>1518</v>
      </c>
      <c r="H1579" s="26" t="s">
        <v>2847</v>
      </c>
      <c r="I1579" s="54">
        <f>_xll.DBRW($A$1,$F$14,$F$15,$C1579,$A$2,$F1579,$G1579,$H1579,I$1)</f>
        <v>19</v>
      </c>
      <c r="J1579" s="25">
        <f>_xll.DBRW($A$1,$F$14,$F$15,$C1579,$A$2,$F1579,$G1579,$H1579,J$19)</f>
        <v>29</v>
      </c>
    </row>
    <row r="1580" spans="1:10" s="23" customFormat="1" outlineLevel="1" thickBot="1" x14ac:dyDescent="0.3">
      <c r="A1580" s="44"/>
      <c r="B1580" s="31" t="str">
        <f>IF(_xll.TM1RPTELISCONSOLIDATED($H$20,$H1580),IF(_xll.TM1RPTELLEV($H$20,$H1580)&lt;=5,_xll.TM1RPTELLEV($H$20,$H1580),"Default"),"Leaf")</f>
        <v>Leaf</v>
      </c>
      <c r="C1580" s="26" t="s">
        <v>17</v>
      </c>
      <c r="D1580" s="24" t="str">
        <f>_xll.DBRW("TM1-S1_DEV:}ElementAttributes_SP_SKU",$F1580,D$1)</f>
        <v>Primary</v>
      </c>
      <c r="E1580" s="24" t="str">
        <f>_xll.DBRW("TM1-S1_DEV:}ElementAttributes_SP_SKU",$F1580,E$1)</f>
        <v>INGREDIENT</v>
      </c>
      <c r="F1580" s="26" t="s">
        <v>332</v>
      </c>
      <c r="G1580" s="26" t="s">
        <v>1519</v>
      </c>
      <c r="H1580" s="26" t="s">
        <v>2847</v>
      </c>
      <c r="I1580" s="54">
        <f>_xll.DBRW($A$1,$F$14,$F$15,$C1580,$A$2,$F1580,$G1580,$H1580,I$1)</f>
        <v>8</v>
      </c>
      <c r="J1580" s="25">
        <f>_xll.DBRW($A$1,$F$14,$F$15,$C1580,$A$2,$F1580,$G1580,$H1580,J$19)</f>
        <v>8</v>
      </c>
    </row>
    <row r="1581" spans="1:10" s="23" customFormat="1" outlineLevel="1" thickBot="1" x14ac:dyDescent="0.3">
      <c r="A1581" s="44"/>
      <c r="B1581" s="31" t="str">
        <f>IF(_xll.TM1RPTELISCONSOLIDATED($H$20,$H1581),IF(_xll.TM1RPTELLEV($H$20,$H1581)&lt;=5,_xll.TM1RPTELLEV($H$20,$H1581),"Default"),"Leaf")</f>
        <v>Leaf</v>
      </c>
      <c r="C1581" s="26" t="s">
        <v>17</v>
      </c>
      <c r="D1581" s="24" t="str">
        <f>_xll.DBRW("TM1-S1_DEV:}ElementAttributes_SP_SKU",$F1581,D$1)</f>
        <v>Primary</v>
      </c>
      <c r="E1581" s="24" t="str">
        <f>_xll.DBRW("TM1-S1_DEV:}ElementAttributes_SP_SKU",$F1581,E$1)</f>
        <v>UTENSIL</v>
      </c>
      <c r="F1581" s="26" t="s">
        <v>2988</v>
      </c>
      <c r="G1581" s="26" t="s">
        <v>3045</v>
      </c>
      <c r="H1581" s="26" t="s">
        <v>3087</v>
      </c>
      <c r="I1581" s="54">
        <f>_xll.DBRW($A$1,$F$14,$F$15,$C1581,$A$2,$F1581,$G1581,$H1581,I$1)</f>
        <v>0</v>
      </c>
      <c r="J1581" s="25">
        <f>_xll.DBRW($A$1,$F$14,$F$15,$C1581,$A$2,$F1581,$G1581,$H1581,J$19)</f>
        <v>-1</v>
      </c>
    </row>
    <row r="1582" spans="1:10" s="23" customFormat="1" outlineLevel="1" thickBot="1" x14ac:dyDescent="0.3">
      <c r="A1582" s="44"/>
      <c r="B1582" s="31" t="str">
        <f>IF(_xll.TM1RPTELISCONSOLIDATED($H$20,$H1582),IF(_xll.TM1RPTELLEV($H$20,$H1582)&lt;=5,_xll.TM1RPTELLEV($H$20,$H1582),"Default"),"Leaf")</f>
        <v>Leaf</v>
      </c>
      <c r="C1582" s="26" t="s">
        <v>17</v>
      </c>
      <c r="D1582" s="24" t="str">
        <f>_xll.DBRW("TM1-S1_DEV:}ElementAttributes_SP_SKU",$F1582,D$1)</f>
        <v>Primary</v>
      </c>
      <c r="E1582" s="24" t="str">
        <f>_xll.DBRW("TM1-S1_DEV:}ElementAttributes_SP_SKU",$F1582,E$1)</f>
        <v>CONTAINER</v>
      </c>
      <c r="F1582" s="26" t="s">
        <v>2989</v>
      </c>
      <c r="G1582" s="26" t="s">
        <v>3046</v>
      </c>
      <c r="H1582" s="26" t="s">
        <v>3088</v>
      </c>
      <c r="I1582" s="54">
        <f>_xll.DBRW($A$1,$F$14,$F$15,$C1582,$A$2,$F1582,$G1582,$H1582,I$1)</f>
        <v>0</v>
      </c>
      <c r="J1582" s="25">
        <f>_xll.DBRW($A$1,$F$14,$F$15,$C1582,$A$2,$F1582,$G1582,$H1582,J$19)</f>
        <v>-1</v>
      </c>
    </row>
    <row r="1583" spans="1:10" s="23" customFormat="1" outlineLevel="1" thickBot="1" x14ac:dyDescent="0.3">
      <c r="A1583" s="44"/>
      <c r="B1583" s="31" t="str">
        <f>IF(_xll.TM1RPTELISCONSOLIDATED($H$20,$H1583),IF(_xll.TM1RPTELLEV($H$20,$H1583)&lt;=5,_xll.TM1RPTELLEV($H$20,$H1583),"Default"),"Leaf")</f>
        <v>Leaf</v>
      </c>
      <c r="C1583" s="26" t="s">
        <v>17</v>
      </c>
      <c r="D1583" s="24" t="str">
        <f>_xll.DBRW("TM1-S1_DEV:}ElementAttributes_SP_SKU",$F1583,D$1)</f>
        <v>Primary</v>
      </c>
      <c r="E1583" s="24" t="str">
        <f>_xll.DBRW("TM1-S1_DEV:}ElementAttributes_SP_SKU",$F1583,E$1)</f>
        <v>PAPER</v>
      </c>
      <c r="F1583" s="26" t="s">
        <v>333</v>
      </c>
      <c r="G1583" s="26" t="s">
        <v>1520</v>
      </c>
      <c r="H1583" s="26" t="s">
        <v>2770</v>
      </c>
      <c r="I1583" s="54">
        <f>_xll.DBRW($A$1,$F$14,$F$15,$C1583,$A$2,$F1583,$G1583,$H1583,I$1)</f>
        <v>78</v>
      </c>
      <c r="J1583" s="25">
        <f>_xll.DBRW($A$1,$F$14,$F$15,$C1583,$A$2,$F1583,$G1583,$H1583,J$19)</f>
        <v>78</v>
      </c>
    </row>
    <row r="1584" spans="1:10" s="23" customFormat="1" outlineLevel="1" thickBot="1" x14ac:dyDescent="0.3">
      <c r="A1584" s="44"/>
      <c r="B1584" s="31" t="str">
        <f>IF(_xll.TM1RPTELISCONSOLIDATED($H$20,$H1584),IF(_xll.TM1RPTELLEV($H$20,$H1584)&lt;=5,_xll.TM1RPTELLEV($H$20,$H1584),"Default"),"Leaf")</f>
        <v>Leaf</v>
      </c>
      <c r="C1584" s="26" t="s">
        <v>17</v>
      </c>
      <c r="D1584" s="24" t="str">
        <f>_xll.DBRW("TM1-S1_DEV:}ElementAttributes_SP_SKU",$F1584,D$1)</f>
        <v>Primary</v>
      </c>
      <c r="E1584" s="24" t="str">
        <f>_xll.DBRW("TM1-S1_DEV:}ElementAttributes_SP_SKU",$F1584,E$1)</f>
        <v>PAPER</v>
      </c>
      <c r="F1584" s="26" t="s">
        <v>334</v>
      </c>
      <c r="G1584" s="26" t="s">
        <v>1521</v>
      </c>
      <c r="H1584" s="26" t="s">
        <v>2770</v>
      </c>
      <c r="I1584" s="54">
        <f>_xll.DBRW($A$1,$F$14,$F$15,$C1584,$A$2,$F1584,$G1584,$H1584,I$1)</f>
        <v>34</v>
      </c>
      <c r="J1584" s="25">
        <f>_xll.DBRW($A$1,$F$14,$F$15,$C1584,$A$2,$F1584,$G1584,$H1584,J$19)</f>
        <v>62</v>
      </c>
    </row>
    <row r="1585" spans="1:10" s="23" customFormat="1" outlineLevel="1" thickBot="1" x14ac:dyDescent="0.3">
      <c r="A1585" s="44"/>
      <c r="B1585" s="31" t="str">
        <f>IF(_xll.TM1RPTELISCONSOLIDATED($H$20,$H1585),IF(_xll.TM1RPTELLEV($H$20,$H1585)&lt;=5,_xll.TM1RPTELLEV($H$20,$H1585),"Default"),"Leaf")</f>
        <v>Leaf</v>
      </c>
      <c r="C1585" s="26" t="s">
        <v>17</v>
      </c>
      <c r="D1585" s="24" t="str">
        <f>_xll.DBRW("TM1-S1_DEV:}ElementAttributes_SP_SKU",$F1585,D$1)</f>
        <v>Primary</v>
      </c>
      <c r="E1585" s="24" t="str">
        <f>_xll.DBRW("TM1-S1_DEV:}ElementAttributes_SP_SKU",$F1585,E$1)</f>
        <v>BOWL</v>
      </c>
      <c r="F1585" s="26" t="s">
        <v>2990</v>
      </c>
      <c r="G1585" s="26" t="s">
        <v>1494</v>
      </c>
      <c r="H1585" s="26" t="s">
        <v>3089</v>
      </c>
      <c r="I1585" s="54">
        <f>_xll.DBRW($A$1,$F$14,$F$15,$C1585,$A$2,$F1585,$G1585,$H1585,I$1)</f>
        <v>0</v>
      </c>
      <c r="J1585" s="25">
        <f>_xll.DBRW($A$1,$F$14,$F$15,$C1585,$A$2,$F1585,$G1585,$H1585,J$19)</f>
        <v>-1</v>
      </c>
    </row>
    <row r="1586" spans="1:10" s="23" customFormat="1" outlineLevel="1" thickBot="1" x14ac:dyDescent="0.3">
      <c r="A1586" s="44"/>
      <c r="B1586" s="31" t="str">
        <f>IF(_xll.TM1RPTELISCONSOLIDATED($H$20,$H1586),IF(_xll.TM1RPTELLEV($H$20,$H1586)&lt;=5,_xll.TM1RPTELLEV($H$20,$H1586),"Default"),"Leaf")</f>
        <v>Leaf</v>
      </c>
      <c r="C1586" s="26" t="s">
        <v>17</v>
      </c>
      <c r="D1586" s="24" t="str">
        <f>_xll.DBRW("TM1-S1_DEV:}ElementAttributes_SP_SKU",$F1586,D$1)</f>
        <v>Primary</v>
      </c>
      <c r="E1586" s="24" t="str">
        <f>_xll.DBRW("TM1-S1_DEV:}ElementAttributes_SP_SKU",$F1586,E$1)</f>
        <v>TRAY</v>
      </c>
      <c r="F1586" s="26" t="s">
        <v>2991</v>
      </c>
      <c r="G1586" s="26" t="s">
        <v>3047</v>
      </c>
      <c r="H1586" s="26" t="s">
        <v>3089</v>
      </c>
      <c r="I1586" s="54">
        <f>_xll.DBRW($A$1,$F$14,$F$15,$C1586,$A$2,$F1586,$G1586,$H1586,I$1)</f>
        <v>0</v>
      </c>
      <c r="J1586" s="25">
        <f>_xll.DBRW($A$1,$F$14,$F$15,$C1586,$A$2,$F1586,$G1586,$H1586,J$19)</f>
        <v>-2</v>
      </c>
    </row>
    <row r="1587" spans="1:10" s="23" customFormat="1" outlineLevel="1" thickBot="1" x14ac:dyDescent="0.3">
      <c r="A1587" s="44"/>
      <c r="B1587" s="31" t="str">
        <f>IF(_xll.TM1RPTELISCONSOLIDATED($H$20,$H1587),IF(_xll.TM1RPTELLEV($H$20,$H1587)&lt;=5,_xll.TM1RPTELLEV($H$20,$H1587),"Default"),"Leaf")</f>
        <v>Leaf</v>
      </c>
      <c r="C1587" s="26" t="s">
        <v>17</v>
      </c>
      <c r="D1587" s="24" t="str">
        <f>_xll.DBRW("TM1-S1_DEV:}ElementAttributes_SP_SKU",$F1587,D$1)</f>
        <v>Primary</v>
      </c>
      <c r="E1587" s="24" t="str">
        <f>_xll.DBRW("TM1-S1_DEV:}ElementAttributes_SP_SKU",$F1587,E$1)</f>
        <v>TRAY</v>
      </c>
      <c r="F1587" s="26" t="s">
        <v>2992</v>
      </c>
      <c r="G1587" s="26" t="s">
        <v>1495</v>
      </c>
      <c r="H1587" s="26" t="s">
        <v>3089</v>
      </c>
      <c r="I1587" s="54">
        <f>_xll.DBRW($A$1,$F$14,$F$15,$C1587,$A$2,$F1587,$G1587,$H1587,I$1)</f>
        <v>0</v>
      </c>
      <c r="J1587" s="25">
        <f>_xll.DBRW($A$1,$F$14,$F$15,$C1587,$A$2,$F1587,$G1587,$H1587,J$19)</f>
        <v>-2</v>
      </c>
    </row>
    <row r="1588" spans="1:10" s="23" customFormat="1" outlineLevel="1" thickBot="1" x14ac:dyDescent="0.3">
      <c r="A1588" s="44"/>
      <c r="B1588" s="31" t="str">
        <f>IF(_xll.TM1RPTELISCONSOLIDATED($H$20,$H1588),IF(_xll.TM1RPTELLEV($H$20,$H1588)&lt;=5,_xll.TM1RPTELLEV($H$20,$H1588),"Default"),"Leaf")</f>
        <v>Leaf</v>
      </c>
      <c r="C1588" s="26" t="s">
        <v>17</v>
      </c>
      <c r="D1588" s="24" t="str">
        <f>_xll.DBRW("TM1-S1_DEV:}ElementAttributes_SP_SKU",$F1588,D$1)</f>
        <v>Primary</v>
      </c>
      <c r="E1588" s="24" t="str">
        <f>_xll.DBRW("TM1-S1_DEV:}ElementAttributes_SP_SKU",$F1588,E$1)</f>
        <v>TRAY</v>
      </c>
      <c r="F1588" s="26" t="s">
        <v>335</v>
      </c>
      <c r="G1588" s="26" t="s">
        <v>1522</v>
      </c>
      <c r="H1588" s="26" t="s">
        <v>2753</v>
      </c>
      <c r="I1588" s="54">
        <f>_xll.DBRW($A$1,$F$14,$F$15,$C1588,$A$2,$F1588,$G1588,$H1588,I$1)</f>
        <v>146</v>
      </c>
      <c r="J1588" s="25">
        <f>_xll.DBRW($A$1,$F$14,$F$15,$C1588,$A$2,$F1588,$G1588,$H1588,J$19)</f>
        <v>146</v>
      </c>
    </row>
    <row r="1589" spans="1:10" s="23" customFormat="1" outlineLevel="1" thickBot="1" x14ac:dyDescent="0.3">
      <c r="A1589" s="44"/>
      <c r="B1589" s="31" t="str">
        <f>IF(_xll.TM1RPTELISCONSOLIDATED($H$20,$H1589),IF(_xll.TM1RPTELLEV($H$20,$H1589)&lt;=5,_xll.TM1RPTELLEV($H$20,$H1589),"Default"),"Leaf")</f>
        <v>Leaf</v>
      </c>
      <c r="C1589" s="26" t="s">
        <v>17</v>
      </c>
      <c r="D1589" s="24" t="str">
        <f>_xll.DBRW("TM1-S1_DEV:}ElementAttributes_SP_SKU",$F1589,D$1)</f>
        <v>Primary</v>
      </c>
      <c r="E1589" s="24" t="str">
        <f>_xll.DBRW("TM1-S1_DEV:}ElementAttributes_SP_SKU",$F1589,E$1)</f>
        <v>TRAY</v>
      </c>
      <c r="F1589" s="26" t="s">
        <v>336</v>
      </c>
      <c r="G1589" s="26" t="s">
        <v>1523</v>
      </c>
      <c r="H1589" s="26" t="s">
        <v>2753</v>
      </c>
      <c r="I1589" s="54">
        <f>_xll.DBRW($A$1,$F$14,$F$15,$C1589,$A$2,$F1589,$G1589,$H1589,I$1)</f>
        <v>69</v>
      </c>
      <c r="J1589" s="25">
        <f>_xll.DBRW($A$1,$F$14,$F$15,$C1589,$A$2,$F1589,$G1589,$H1589,J$19)</f>
        <v>69</v>
      </c>
    </row>
    <row r="1590" spans="1:10" s="23" customFormat="1" outlineLevel="1" thickBot="1" x14ac:dyDescent="0.3">
      <c r="A1590" s="44"/>
      <c r="B1590" s="31" t="str">
        <f>IF(_xll.TM1RPTELISCONSOLIDATED($H$20,$H1590),IF(_xll.TM1RPTELLEV($H$20,$H1590)&lt;=5,_xll.TM1RPTELLEV($H$20,$H1590),"Default"),"Leaf")</f>
        <v>Leaf</v>
      </c>
      <c r="C1590" s="26" t="s">
        <v>17</v>
      </c>
      <c r="D1590" s="24" t="str">
        <f>_xll.DBRW("TM1-S1_DEV:}ElementAttributes_SP_SKU",$F1590,D$1)</f>
        <v>Secondary</v>
      </c>
      <c r="E1590" s="24" t="str">
        <f>_xll.DBRW("TM1-S1_DEV:}ElementAttributes_SP_SKU",$F1590,E$1)</f>
        <v>CUP</v>
      </c>
      <c r="F1590" s="26" t="s">
        <v>228</v>
      </c>
      <c r="G1590" s="26" t="s">
        <v>1524</v>
      </c>
      <c r="H1590" s="26" t="s">
        <v>2684</v>
      </c>
      <c r="I1590" s="54">
        <f>_xll.DBRW($A$1,$F$14,$F$15,$C1590,$A$2,$F1590,$G1590,$H1590,I$1)</f>
        <v>86</v>
      </c>
      <c r="J1590" s="25">
        <f>_xll.DBRW($A$1,$F$14,$F$15,$C1590,$A$2,$F1590,$G1590,$H1590,J$19)</f>
        <v>86</v>
      </c>
    </row>
    <row r="1591" spans="1:10" s="23" customFormat="1" outlineLevel="1" thickBot="1" x14ac:dyDescent="0.3">
      <c r="A1591" s="44"/>
      <c r="B1591" s="31" t="str">
        <f>IF(_xll.TM1RPTELISCONSOLIDATED($H$20,$H1591),IF(_xll.TM1RPTELLEV($H$20,$H1591)&lt;=5,_xll.TM1RPTELLEV($H$20,$H1591),"Default"),"Leaf")</f>
        <v>Leaf</v>
      </c>
      <c r="C1591" s="26" t="s">
        <v>17</v>
      </c>
      <c r="D1591" s="24" t="str">
        <f>_xll.DBRW("TM1-S1_DEV:}ElementAttributes_SP_SKU",$F1591,D$1)</f>
        <v>Secondary</v>
      </c>
      <c r="E1591" s="24" t="str">
        <f>_xll.DBRW("TM1-S1_DEV:}ElementAttributes_SP_SKU",$F1591,E$1)</f>
        <v>UTENSIL</v>
      </c>
      <c r="F1591" s="26" t="s">
        <v>337</v>
      </c>
      <c r="G1591" s="26" t="s">
        <v>1525</v>
      </c>
      <c r="H1591" s="26" t="s">
        <v>2848</v>
      </c>
      <c r="I1591" s="54">
        <f>_xll.DBRW($A$1,$F$14,$F$15,$C1591,$A$2,$F1591,$G1591,$H1591,I$1)</f>
        <v>18</v>
      </c>
      <c r="J1591" s="25">
        <f>_xll.DBRW($A$1,$F$14,$F$15,$C1591,$A$2,$F1591,$G1591,$H1591,J$19)</f>
        <v>18</v>
      </c>
    </row>
    <row r="1592" spans="1:10" s="23" customFormat="1" outlineLevel="1" thickBot="1" x14ac:dyDescent="0.3">
      <c r="A1592" s="44"/>
      <c r="B1592" s="31" t="str">
        <f>IF(_xll.TM1RPTELISCONSOLIDATED($H$20,$H1592),IF(_xll.TM1RPTELLEV($H$20,$H1592)&lt;=5,_xll.TM1RPTELLEV($H$20,$H1592),"Default"),"Leaf")</f>
        <v>Leaf</v>
      </c>
      <c r="C1592" s="26" t="s">
        <v>17</v>
      </c>
      <c r="D1592" s="24" t="str">
        <f>_xll.DBRW("TM1-S1_DEV:}ElementAttributes_SP_SKU",$F1592,D$1)</f>
        <v>Secondary</v>
      </c>
      <c r="E1592" s="24" t="str">
        <f>_xll.DBRW("TM1-S1_DEV:}ElementAttributes_SP_SKU",$F1592,E$1)</f>
        <v>MINT</v>
      </c>
      <c r="F1592" s="26" t="s">
        <v>3280</v>
      </c>
      <c r="G1592" s="26" t="s">
        <v>3325</v>
      </c>
      <c r="H1592" s="26" t="s">
        <v>2813</v>
      </c>
      <c r="I1592" s="54">
        <f>_xll.DBRW($A$1,$F$14,$F$15,$C1592,$A$2,$F1592,$G1592,$H1592,I$1)</f>
        <v>4</v>
      </c>
      <c r="J1592" s="25">
        <f>_xll.DBRW($A$1,$F$14,$F$15,$C1592,$A$2,$F1592,$G1592,$H1592,J$19)</f>
        <v>4</v>
      </c>
    </row>
    <row r="1593" spans="1:10" s="23" customFormat="1" outlineLevel="1" thickBot="1" x14ac:dyDescent="0.3">
      <c r="A1593" s="44"/>
      <c r="B1593" s="31" t="str">
        <f>IF(_xll.TM1RPTELISCONSOLIDATED($H$20,$H1593),IF(_xll.TM1RPTELLEV($H$20,$H1593)&lt;=5,_xll.TM1RPTELLEV($H$20,$H1593),"Default"),"Leaf")</f>
        <v>Leaf</v>
      </c>
      <c r="C1593" s="26" t="s">
        <v>17</v>
      </c>
      <c r="D1593" s="24" t="str">
        <f>_xll.DBRW("TM1-S1_DEV:}ElementAttributes_SP_SKU",$F1593,D$1)</f>
        <v>Secondary</v>
      </c>
      <c r="E1593" s="24" t="str">
        <f>_xll.DBRW("TM1-S1_DEV:}ElementAttributes_SP_SKU",$F1593,E$1)</f>
        <v>CHEMICAL</v>
      </c>
      <c r="F1593" s="26" t="s">
        <v>338</v>
      </c>
      <c r="G1593" s="26" t="s">
        <v>1526</v>
      </c>
      <c r="H1593" s="26" t="s">
        <v>2849</v>
      </c>
      <c r="I1593" s="54">
        <f>_xll.DBRW($A$1,$F$14,$F$15,$C1593,$A$2,$F1593,$G1593,$H1593,I$1)</f>
        <v>20</v>
      </c>
      <c r="J1593" s="25">
        <f>_xll.DBRW($A$1,$F$14,$F$15,$C1593,$A$2,$F1593,$G1593,$H1593,J$19)</f>
        <v>20</v>
      </c>
    </row>
    <row r="1594" spans="1:10" s="23" customFormat="1" outlineLevel="1" thickBot="1" x14ac:dyDescent="0.3">
      <c r="A1594" s="44"/>
      <c r="B1594" s="31" t="str">
        <f>IF(_xll.TM1RPTELISCONSOLIDATED($H$20,$H1594),IF(_xll.TM1RPTELLEV($H$20,$H1594)&lt;=5,_xll.TM1RPTELLEV($H$20,$H1594),"Default"),"Leaf")</f>
        <v>Leaf</v>
      </c>
      <c r="C1594" s="26" t="s">
        <v>17</v>
      </c>
      <c r="D1594" s="24" t="str">
        <f>_xll.DBRW("TM1-S1_DEV:}ElementAttributes_SP_SKU",$F1594,D$1)</f>
        <v>Secondary</v>
      </c>
      <c r="E1594" s="24" t="str">
        <f>_xll.DBRW("TM1-S1_DEV:}ElementAttributes_SP_SKU",$F1594,E$1)</f>
        <v>CUP</v>
      </c>
      <c r="F1594" s="26" t="s">
        <v>339</v>
      </c>
      <c r="G1594" s="26" t="s">
        <v>1527</v>
      </c>
      <c r="H1594" s="26" t="s">
        <v>2787</v>
      </c>
      <c r="I1594" s="54">
        <f>_xll.DBRW($A$1,$F$14,$F$15,$C1594,$A$2,$F1594,$G1594,$H1594,I$1)</f>
        <v>63</v>
      </c>
      <c r="J1594" s="25">
        <f>_xll.DBRW($A$1,$F$14,$F$15,$C1594,$A$2,$F1594,$G1594,$H1594,J$19)</f>
        <v>63</v>
      </c>
    </row>
    <row r="1595" spans="1:10" s="23" customFormat="1" outlineLevel="1" thickBot="1" x14ac:dyDescent="0.3">
      <c r="A1595" s="44"/>
      <c r="B1595" s="31" t="str">
        <f>IF(_xll.TM1RPTELISCONSOLIDATED($H$20,$H1595),IF(_xll.TM1RPTELLEV($H$20,$H1595)&lt;=5,_xll.TM1RPTELLEV($H$20,$H1595),"Default"),"Leaf")</f>
        <v>Leaf</v>
      </c>
      <c r="C1595" s="26" t="s">
        <v>17</v>
      </c>
      <c r="D1595" s="24" t="str">
        <f>_xll.DBRW("TM1-S1_DEV:}ElementAttributes_SP_SKU",$F1595,D$1)</f>
        <v>Secondary</v>
      </c>
      <c r="E1595" s="24" t="str">
        <f>_xll.DBRW("TM1-S1_DEV:}ElementAttributes_SP_SKU",$F1595,E$1)</f>
        <v>CHEESE</v>
      </c>
      <c r="F1595" s="26" t="s">
        <v>340</v>
      </c>
      <c r="G1595" s="26" t="s">
        <v>1528</v>
      </c>
      <c r="H1595" s="26" t="s">
        <v>2850</v>
      </c>
      <c r="I1595" s="54">
        <f>_xll.DBRW($A$1,$F$14,$F$15,$C1595,$A$2,$F1595,$G1595,$H1595,I$1)</f>
        <v>77</v>
      </c>
      <c r="J1595" s="25">
        <f>_xll.DBRW($A$1,$F$14,$F$15,$C1595,$A$2,$F1595,$G1595,$H1595,J$19)</f>
        <v>77</v>
      </c>
    </row>
    <row r="1596" spans="1:10" s="23" customFormat="1" outlineLevel="1" thickBot="1" x14ac:dyDescent="0.3">
      <c r="A1596" s="44"/>
      <c r="B1596" s="31" t="str">
        <f>IF(_xll.TM1RPTELISCONSOLIDATED($H$20,$H1596),IF(_xll.TM1RPTELLEV($H$20,$H1596)&lt;=5,_xll.TM1RPTELLEV($H$20,$H1596),"Default"),"Leaf")</f>
        <v>Leaf</v>
      </c>
      <c r="C1596" s="26" t="s">
        <v>17</v>
      </c>
      <c r="D1596" s="24" t="str">
        <f>_xll.DBRW("TM1-S1_DEV:}ElementAttributes_SP_SKU",$F1596,D$1)</f>
        <v>Secondary</v>
      </c>
      <c r="E1596" s="24" t="str">
        <f>_xll.DBRW("TM1-S1_DEV:}ElementAttributes_SP_SKU",$F1596,E$1)</f>
        <v>DRINKS</v>
      </c>
      <c r="F1596" s="26" t="s">
        <v>341</v>
      </c>
      <c r="G1596" s="26" t="s">
        <v>1529</v>
      </c>
      <c r="H1596" s="26" t="s">
        <v>2746</v>
      </c>
      <c r="I1596" s="54">
        <f>_xll.DBRW($A$1,$F$14,$F$15,$C1596,$A$2,$F1596,$G1596,$H1596,I$1)</f>
        <v>43</v>
      </c>
      <c r="J1596" s="25">
        <f>_xll.DBRW($A$1,$F$14,$F$15,$C1596,$A$2,$F1596,$G1596,$H1596,J$19)</f>
        <v>83</v>
      </c>
    </row>
    <row r="1597" spans="1:10" s="23" customFormat="1" outlineLevel="1" thickBot="1" x14ac:dyDescent="0.3">
      <c r="A1597" s="44"/>
      <c r="B1597" s="31" t="str">
        <f>IF(_xll.TM1RPTELISCONSOLIDATED($H$20,$H1597),IF(_xll.TM1RPTELLEV($H$20,$H1597)&lt;=5,_xll.TM1RPTELLEV($H$20,$H1597),"Default"),"Leaf")</f>
        <v>Leaf</v>
      </c>
      <c r="C1597" s="26" t="s">
        <v>17</v>
      </c>
      <c r="D1597" s="24" t="str">
        <f>_xll.DBRW("TM1-S1_DEV:}ElementAttributes_SP_SKU",$F1597,D$1)</f>
        <v>Secondary</v>
      </c>
      <c r="E1597" s="24" t="str">
        <f>_xll.DBRW("TM1-S1_DEV:}ElementAttributes_SP_SKU",$F1597,E$1)</f>
        <v>CUP</v>
      </c>
      <c r="F1597" s="26" t="s">
        <v>342</v>
      </c>
      <c r="G1597" s="26" t="s">
        <v>1530</v>
      </c>
      <c r="H1597" s="26" t="s">
        <v>2787</v>
      </c>
      <c r="I1597" s="54">
        <f>_xll.DBRW($A$1,$F$14,$F$15,$C1597,$A$2,$F1597,$G1597,$H1597,I$1)</f>
        <v>16</v>
      </c>
      <c r="J1597" s="25">
        <f>_xll.DBRW($A$1,$F$14,$F$15,$C1597,$A$2,$F1597,$G1597,$H1597,J$19)</f>
        <v>16</v>
      </c>
    </row>
    <row r="1598" spans="1:10" s="23" customFormat="1" outlineLevel="1" thickBot="1" x14ac:dyDescent="0.3">
      <c r="A1598" s="44"/>
      <c r="B1598" s="31" t="str">
        <f>IF(_xll.TM1RPTELISCONSOLIDATED($H$20,$H1598),IF(_xll.TM1RPTELLEV($H$20,$H1598)&lt;=5,_xll.TM1RPTELLEV($H$20,$H1598),"Default"),"Leaf")</f>
        <v>Leaf</v>
      </c>
      <c r="C1598" s="26" t="s">
        <v>17</v>
      </c>
      <c r="D1598" s="24" t="str">
        <f>_xll.DBRW("TM1-S1_DEV:}ElementAttributes_SP_SKU",$F1598,D$1)</f>
        <v>Secondary</v>
      </c>
      <c r="E1598" s="24" t="str">
        <f>_xll.DBRW("TM1-S1_DEV:}ElementAttributes_SP_SKU",$F1598,E$1)</f>
        <v>PRODUCE</v>
      </c>
      <c r="F1598" s="26" t="s">
        <v>343</v>
      </c>
      <c r="G1598" s="26" t="s">
        <v>1531</v>
      </c>
      <c r="H1598" s="26" t="s">
        <v>2851</v>
      </c>
      <c r="I1598" s="54">
        <f>_xll.DBRW($A$1,$F$14,$F$15,$C1598,$A$2,$F1598,$G1598,$H1598,I$1)</f>
        <v>56</v>
      </c>
      <c r="J1598" s="25">
        <f>_xll.DBRW($A$1,$F$14,$F$15,$C1598,$A$2,$F1598,$G1598,$H1598,J$19)</f>
        <v>56</v>
      </c>
    </row>
    <row r="1599" spans="1:10" s="23" customFormat="1" outlineLevel="1" thickBot="1" x14ac:dyDescent="0.3">
      <c r="A1599" s="44"/>
      <c r="B1599" s="31" t="str">
        <f>IF(_xll.TM1RPTELISCONSOLIDATED($H$20,$H1599),IF(_xll.TM1RPTELLEV($H$20,$H1599)&lt;=5,_xll.TM1RPTELLEV($H$20,$H1599),"Default"),"Leaf")</f>
        <v>Leaf</v>
      </c>
      <c r="C1599" s="26" t="s">
        <v>17</v>
      </c>
      <c r="D1599" s="24" t="str">
        <f>_xll.DBRW("TM1-S1_DEV:}ElementAttributes_SP_SKU",$F1599,D$1)</f>
        <v>Secondary</v>
      </c>
      <c r="E1599" s="24" t="str">
        <f>_xll.DBRW("TM1-S1_DEV:}ElementAttributes_SP_SKU",$F1599,E$1)</f>
        <v>DRINKS</v>
      </c>
      <c r="F1599" s="26" t="s">
        <v>2993</v>
      </c>
      <c r="G1599" s="26" t="s">
        <v>3048</v>
      </c>
      <c r="H1599" s="26" t="s">
        <v>2746</v>
      </c>
      <c r="I1599" s="54">
        <f>_xll.DBRW($A$1,$F$14,$F$15,$C1599,$A$2,$F1599,$G1599,$H1599,I$1)</f>
        <v>3</v>
      </c>
      <c r="J1599" s="25">
        <f>_xll.DBRW($A$1,$F$14,$F$15,$C1599,$A$2,$F1599,$G1599,$H1599,J$19)</f>
        <v>3</v>
      </c>
    </row>
    <row r="1600" spans="1:10" s="23" customFormat="1" outlineLevel="1" thickBot="1" x14ac:dyDescent="0.3">
      <c r="A1600" s="44"/>
      <c r="B1600" s="31" t="str">
        <f>IF(_xll.TM1RPTELISCONSOLIDATED($H$20,$H1600),IF(_xll.TM1RPTELLEV($H$20,$H1600)&lt;=5,_xll.TM1RPTELLEV($H$20,$H1600),"Default"),"Leaf")</f>
        <v>Leaf</v>
      </c>
      <c r="C1600" s="26" t="s">
        <v>17</v>
      </c>
      <c r="D1600" s="24" t="str">
        <f>_xll.DBRW("TM1-S1_DEV:}ElementAttributes_SP_SKU",$F1600,D$1)</f>
        <v>Secondary</v>
      </c>
      <c r="E1600" s="24" t="str">
        <f>_xll.DBRW("TM1-S1_DEV:}ElementAttributes_SP_SKU",$F1600,E$1)</f>
        <v>BREAD</v>
      </c>
      <c r="F1600" s="26" t="s">
        <v>344</v>
      </c>
      <c r="G1600" s="26" t="s">
        <v>1532</v>
      </c>
      <c r="H1600" s="26" t="s">
        <v>2852</v>
      </c>
      <c r="I1600" s="54">
        <f>_xll.DBRW($A$1,$F$14,$F$15,$C1600,$A$2,$F1600,$G1600,$H1600,I$1)</f>
        <v>10</v>
      </c>
      <c r="J1600" s="25">
        <f>_xll.DBRW($A$1,$F$14,$F$15,$C1600,$A$2,$F1600,$G1600,$H1600,J$19)</f>
        <v>10</v>
      </c>
    </row>
    <row r="1601" spans="1:10" s="23" customFormat="1" outlineLevel="1" thickBot="1" x14ac:dyDescent="0.3">
      <c r="A1601" s="44"/>
      <c r="B1601" s="31" t="str">
        <f>IF(_xll.TM1RPTELISCONSOLIDATED($H$20,$H1601),IF(_xll.TM1RPTELLEV($H$20,$H1601)&lt;=5,_xll.TM1RPTELLEV($H$20,$H1601),"Default"),"Leaf")</f>
        <v>Leaf</v>
      </c>
      <c r="C1601" s="26" t="s">
        <v>17</v>
      </c>
      <c r="D1601" s="24" t="str">
        <f>_xll.DBRW("TM1-S1_DEV:}ElementAttributes_SP_SKU",$F1601,D$1)</f>
        <v>Secondary</v>
      </c>
      <c r="E1601" s="24" t="str">
        <f>_xll.DBRW("TM1-S1_DEV:}ElementAttributes_SP_SKU",$F1601,E$1)</f>
        <v>DRINKS</v>
      </c>
      <c r="F1601" s="26" t="s">
        <v>345</v>
      </c>
      <c r="G1601" s="26" t="s">
        <v>1533</v>
      </c>
      <c r="H1601" s="26" t="s">
        <v>2746</v>
      </c>
      <c r="I1601" s="54">
        <f>_xll.DBRW($A$1,$F$14,$F$15,$C1601,$A$2,$F1601,$G1601,$H1601,I$1)</f>
        <v>2</v>
      </c>
      <c r="J1601" s="25">
        <f>_xll.DBRW($A$1,$F$14,$F$15,$C1601,$A$2,$F1601,$G1601,$H1601,J$19)</f>
        <v>2</v>
      </c>
    </row>
    <row r="1602" spans="1:10" s="23" customFormat="1" outlineLevel="1" thickBot="1" x14ac:dyDescent="0.3">
      <c r="A1602" s="44"/>
      <c r="B1602" s="31" t="str">
        <f>IF(_xll.TM1RPTELISCONSOLIDATED($H$20,$H1602),IF(_xll.TM1RPTELLEV($H$20,$H1602)&lt;=5,_xll.TM1RPTELLEV($H$20,$H1602),"Default"),"Leaf")</f>
        <v>Leaf</v>
      </c>
      <c r="C1602" s="26" t="s">
        <v>17</v>
      </c>
      <c r="D1602" s="24" t="str">
        <f>_xll.DBRW("TM1-S1_DEV:}ElementAttributes_SP_SKU",$F1602,D$1)</f>
        <v>Secondary</v>
      </c>
      <c r="E1602" s="24" t="str">
        <f>_xll.DBRW("TM1-S1_DEV:}ElementAttributes_SP_SKU",$F1602,E$1)</f>
        <v>PROTEIN</v>
      </c>
      <c r="F1602" s="26" t="s">
        <v>346</v>
      </c>
      <c r="G1602" s="26" t="s">
        <v>1534</v>
      </c>
      <c r="H1602" s="26" t="s">
        <v>2853</v>
      </c>
      <c r="I1602" s="54">
        <f>_xll.DBRW($A$1,$F$14,$F$15,$C1602,$A$2,$F1602,$G1602,$H1602,I$1)</f>
        <v>363</v>
      </c>
      <c r="J1602" s="25">
        <f>_xll.DBRW($A$1,$F$14,$F$15,$C1602,$A$2,$F1602,$G1602,$H1602,J$19)</f>
        <v>363</v>
      </c>
    </row>
    <row r="1603" spans="1:10" s="23" customFormat="1" outlineLevel="1" thickBot="1" x14ac:dyDescent="0.3">
      <c r="A1603" s="44"/>
      <c r="B1603" s="31" t="str">
        <f>IF(_xll.TM1RPTELISCONSOLIDATED($H$20,$H1603),IF(_xll.TM1RPTELLEV($H$20,$H1603)&lt;=5,_xll.TM1RPTELLEV($H$20,$H1603),"Default"),"Leaf")</f>
        <v>Leaf</v>
      </c>
      <c r="C1603" s="26" t="s">
        <v>17</v>
      </c>
      <c r="D1603" s="24" t="str">
        <f>_xll.DBRW("TM1-S1_DEV:}ElementAttributes_SP_SKU",$F1603,D$1)</f>
        <v>Secondary</v>
      </c>
      <c r="E1603" s="24" t="str">
        <f>_xll.DBRW("TM1-S1_DEV:}ElementAttributes_SP_SKU",$F1603,E$1)</f>
        <v>UTENSIL</v>
      </c>
      <c r="F1603" s="26" t="s">
        <v>347</v>
      </c>
      <c r="G1603" s="26" t="s">
        <v>1535</v>
      </c>
      <c r="H1603" s="26" t="s">
        <v>2848</v>
      </c>
      <c r="I1603" s="54">
        <f>_xll.DBRW($A$1,$F$14,$F$15,$C1603,$A$2,$F1603,$G1603,$H1603,I$1)</f>
        <v>15</v>
      </c>
      <c r="J1603" s="25">
        <f>_xll.DBRW($A$1,$F$14,$F$15,$C1603,$A$2,$F1603,$G1603,$H1603,J$19)</f>
        <v>159</v>
      </c>
    </row>
    <row r="1604" spans="1:10" s="23" customFormat="1" outlineLevel="1" thickBot="1" x14ac:dyDescent="0.3">
      <c r="A1604" s="44"/>
      <c r="B1604" s="31" t="str">
        <f>IF(_xll.TM1RPTELISCONSOLIDATED($H$20,$H1604),IF(_xll.TM1RPTELLEV($H$20,$H1604)&lt;=5,_xll.TM1RPTELLEV($H$20,$H1604),"Default"),"Leaf")</f>
        <v>Leaf</v>
      </c>
      <c r="C1604" s="26" t="s">
        <v>17</v>
      </c>
      <c r="D1604" s="24" t="str">
        <f>_xll.DBRW("TM1-S1_DEV:}ElementAttributes_SP_SKU",$F1604,D$1)</f>
        <v>Secondary</v>
      </c>
      <c r="E1604" s="24" t="str">
        <f>_xll.DBRW("TM1-S1_DEV:}ElementAttributes_SP_SKU",$F1604,E$1)</f>
        <v>DRINKS</v>
      </c>
      <c r="F1604" s="26" t="s">
        <v>348</v>
      </c>
      <c r="G1604" s="26" t="s">
        <v>1536</v>
      </c>
      <c r="H1604" s="26" t="s">
        <v>2746</v>
      </c>
      <c r="I1604" s="54">
        <f>_xll.DBRW($A$1,$F$14,$F$15,$C1604,$A$2,$F1604,$G1604,$H1604,I$1)</f>
        <v>10</v>
      </c>
      <c r="J1604" s="25">
        <f>_xll.DBRW($A$1,$F$14,$F$15,$C1604,$A$2,$F1604,$G1604,$H1604,J$19)</f>
        <v>20</v>
      </c>
    </row>
    <row r="1605" spans="1:10" s="23" customFormat="1" outlineLevel="1" thickBot="1" x14ac:dyDescent="0.3">
      <c r="A1605" s="44"/>
      <c r="B1605" s="31" t="str">
        <f>IF(_xll.TM1RPTELISCONSOLIDATED($H$20,$H1605),IF(_xll.TM1RPTELLEV($H$20,$H1605)&lt;=5,_xll.TM1RPTELLEV($H$20,$H1605),"Default"),"Leaf")</f>
        <v>Leaf</v>
      </c>
      <c r="C1605" s="26" t="s">
        <v>17</v>
      </c>
      <c r="D1605" s="24" t="str">
        <f>_xll.DBRW("TM1-S1_DEV:}ElementAttributes_SP_SKU",$F1605,D$1)</f>
        <v>Secondary</v>
      </c>
      <c r="E1605" s="24" t="str">
        <f>_xll.DBRW("TM1-S1_DEV:}ElementAttributes_SP_SKU",$F1605,E$1)</f>
        <v>DRESSING</v>
      </c>
      <c r="F1605" s="26" t="s">
        <v>349</v>
      </c>
      <c r="G1605" s="26" t="s">
        <v>1537</v>
      </c>
      <c r="H1605" s="26" t="s">
        <v>2854</v>
      </c>
      <c r="I1605" s="54">
        <f>_xll.DBRW($A$1,$F$14,$F$15,$C1605,$A$2,$F1605,$G1605,$H1605,I$1)</f>
        <v>14</v>
      </c>
      <c r="J1605" s="25">
        <f>_xll.DBRW($A$1,$F$14,$F$15,$C1605,$A$2,$F1605,$G1605,$H1605,J$19)</f>
        <v>29</v>
      </c>
    </row>
    <row r="1606" spans="1:10" s="23" customFormat="1" outlineLevel="1" thickBot="1" x14ac:dyDescent="0.3">
      <c r="A1606" s="44"/>
      <c r="B1606" s="31" t="str">
        <f>IF(_xll.TM1RPTELISCONSOLIDATED($H$20,$H1606),IF(_xll.TM1RPTELLEV($H$20,$H1606)&lt;=5,_xll.TM1RPTELLEV($H$20,$H1606),"Default"),"Leaf")</f>
        <v>Leaf</v>
      </c>
      <c r="C1606" s="26" t="s">
        <v>17</v>
      </c>
      <c r="D1606" s="24" t="str">
        <f>_xll.DBRW("TM1-S1_DEV:}ElementAttributes_SP_SKU",$F1606,D$1)</f>
        <v>Secondary</v>
      </c>
      <c r="E1606" s="24" t="str">
        <f>_xll.DBRW("TM1-S1_DEV:}ElementAttributes_SP_SKU",$F1606,E$1)</f>
        <v>PRODUCE</v>
      </c>
      <c r="F1606" s="26" t="s">
        <v>350</v>
      </c>
      <c r="G1606" s="26" t="s">
        <v>1538</v>
      </c>
      <c r="H1606" s="26" t="s">
        <v>2855</v>
      </c>
      <c r="I1606" s="54">
        <f>_xll.DBRW($A$1,$F$14,$F$15,$C1606,$A$2,$F1606,$G1606,$H1606,I$1)</f>
        <v>6</v>
      </c>
      <c r="J1606" s="25">
        <f>_xll.DBRW($A$1,$F$14,$F$15,$C1606,$A$2,$F1606,$G1606,$H1606,J$19)</f>
        <v>30</v>
      </c>
    </row>
    <row r="1607" spans="1:10" s="23" customFormat="1" outlineLevel="1" thickBot="1" x14ac:dyDescent="0.3">
      <c r="A1607" s="44"/>
      <c r="B1607" s="31" t="str">
        <f>IF(_xll.TM1RPTELISCONSOLIDATED($H$20,$H1607),IF(_xll.TM1RPTELLEV($H$20,$H1607)&lt;=5,_xll.TM1RPTELLEV($H$20,$H1607),"Default"),"Leaf")</f>
        <v>Leaf</v>
      </c>
      <c r="C1607" s="26" t="s">
        <v>17</v>
      </c>
      <c r="D1607" s="24" t="str">
        <f>_xll.DBRW("TM1-S1_DEV:}ElementAttributes_SP_SKU",$F1607,D$1)</f>
        <v>Secondary</v>
      </c>
      <c r="E1607" s="24" t="str">
        <f>_xll.DBRW("TM1-S1_DEV:}ElementAttributes_SP_SKU",$F1607,E$1)</f>
        <v>CHEMICAL</v>
      </c>
      <c r="F1607" s="26" t="s">
        <v>351</v>
      </c>
      <c r="G1607" s="26" t="s">
        <v>1539</v>
      </c>
      <c r="H1607" s="26" t="s">
        <v>2856</v>
      </c>
      <c r="I1607" s="54">
        <f>_xll.DBRW($A$1,$F$14,$F$15,$C1607,$A$2,$F1607,$G1607,$H1607,I$1)</f>
        <v>10</v>
      </c>
      <c r="J1607" s="25">
        <f>_xll.DBRW($A$1,$F$14,$F$15,$C1607,$A$2,$F1607,$G1607,$H1607,J$19)</f>
        <v>10</v>
      </c>
    </row>
    <row r="1608" spans="1:10" s="23" customFormat="1" outlineLevel="1" thickBot="1" x14ac:dyDescent="0.3">
      <c r="A1608" s="44"/>
      <c r="B1608" s="31" t="str">
        <f>IF(_xll.TM1RPTELISCONSOLIDATED($H$20,$H1608),IF(_xll.TM1RPTELLEV($H$20,$H1608)&lt;=5,_xll.TM1RPTELLEV($H$20,$H1608),"Default"),"Leaf")</f>
        <v>Leaf</v>
      </c>
      <c r="C1608" s="26" t="s">
        <v>17</v>
      </c>
      <c r="D1608" s="24" t="str">
        <f>_xll.DBRW("TM1-S1_DEV:}ElementAttributes_SP_SKU",$F1608,D$1)</f>
        <v>Secondary</v>
      </c>
      <c r="E1608" s="24" t="str">
        <f>_xll.DBRW("TM1-S1_DEV:}ElementAttributes_SP_SKU",$F1608,E$1)</f>
        <v>PRODUCE</v>
      </c>
      <c r="F1608" s="26" t="s">
        <v>352</v>
      </c>
      <c r="G1608" s="26" t="s">
        <v>1540</v>
      </c>
      <c r="H1608" s="26" t="s">
        <v>2857</v>
      </c>
      <c r="I1608" s="54">
        <f>_xll.DBRW($A$1,$F$14,$F$15,$C1608,$A$2,$F1608,$G1608,$H1608,I$1)</f>
        <v>2</v>
      </c>
      <c r="J1608" s="25">
        <f>_xll.DBRW($A$1,$F$14,$F$15,$C1608,$A$2,$F1608,$G1608,$H1608,J$19)</f>
        <v>9</v>
      </c>
    </row>
    <row r="1609" spans="1:10" s="23" customFormat="1" outlineLevel="1" thickBot="1" x14ac:dyDescent="0.3">
      <c r="A1609" s="44"/>
      <c r="B1609" s="31" t="str">
        <f>IF(_xll.TM1RPTELISCONSOLIDATED($H$20,$H1609),IF(_xll.TM1RPTELLEV($H$20,$H1609)&lt;=5,_xll.TM1RPTELLEV($H$20,$H1609),"Default"),"Leaf")</f>
        <v>Leaf</v>
      </c>
      <c r="C1609" s="26" t="s">
        <v>17</v>
      </c>
      <c r="D1609" s="24" t="str">
        <f>_xll.DBRW("TM1-S1_DEV:}ElementAttributes_SP_SKU",$F1609,D$1)</f>
        <v>Secondary</v>
      </c>
      <c r="E1609" s="24" t="str">
        <f>_xll.DBRW("TM1-S1_DEV:}ElementAttributes_SP_SKU",$F1609,E$1)</f>
        <v>PAPER</v>
      </c>
      <c r="F1609" s="26" t="s">
        <v>353</v>
      </c>
      <c r="G1609" s="26" t="s">
        <v>1541</v>
      </c>
      <c r="H1609" s="26" t="s">
        <v>2808</v>
      </c>
      <c r="I1609" s="54">
        <f>_xll.DBRW($A$1,$F$14,$F$15,$C1609,$A$2,$F1609,$G1609,$H1609,I$1)</f>
        <v>31</v>
      </c>
      <c r="J1609" s="25">
        <f>_xll.DBRW($A$1,$F$14,$F$15,$C1609,$A$2,$F1609,$G1609,$H1609,J$19)</f>
        <v>51</v>
      </c>
    </row>
    <row r="1610" spans="1:10" s="23" customFormat="1" outlineLevel="1" thickBot="1" x14ac:dyDescent="0.3">
      <c r="A1610" s="44"/>
      <c r="B1610" s="31" t="str">
        <f>IF(_xll.TM1RPTELISCONSOLIDATED($H$20,$H1610),IF(_xll.TM1RPTELLEV($H$20,$H1610)&lt;=5,_xll.TM1RPTELLEV($H$20,$H1610),"Default"),"Leaf")</f>
        <v>Leaf</v>
      </c>
      <c r="C1610" s="26" t="s">
        <v>17</v>
      </c>
      <c r="D1610" s="24" t="str">
        <f>_xll.DBRW("TM1-S1_DEV:}ElementAttributes_SP_SKU",$F1610,D$1)</f>
        <v>Secondary</v>
      </c>
      <c r="E1610" s="24" t="str">
        <f>_xll.DBRW("TM1-S1_DEV:}ElementAttributes_SP_SKU",$F1610,E$1)</f>
        <v>BREAD</v>
      </c>
      <c r="F1610" s="26" t="s">
        <v>354</v>
      </c>
      <c r="G1610" s="26" t="s">
        <v>1542</v>
      </c>
      <c r="H1610" s="26" t="s">
        <v>2689</v>
      </c>
      <c r="I1610" s="54">
        <f>_xll.DBRW($A$1,$F$14,$F$15,$C1610,$A$2,$F1610,$G1610,$H1610,I$1)</f>
        <v>64</v>
      </c>
      <c r="J1610" s="25">
        <f>_xll.DBRW($A$1,$F$14,$F$15,$C1610,$A$2,$F1610,$G1610,$H1610,J$19)</f>
        <v>94</v>
      </c>
    </row>
    <row r="1611" spans="1:10" s="23" customFormat="1" outlineLevel="1" thickBot="1" x14ac:dyDescent="0.3">
      <c r="A1611" s="44"/>
      <c r="B1611" s="31" t="str">
        <f>IF(_xll.TM1RPTELISCONSOLIDATED($H$20,$H1611),IF(_xll.TM1RPTELLEV($H$20,$H1611)&lt;=5,_xll.TM1RPTELLEV($H$20,$H1611),"Default"),"Leaf")</f>
        <v>Leaf</v>
      </c>
      <c r="C1611" s="26" t="s">
        <v>17</v>
      </c>
      <c r="D1611" s="24" t="str">
        <f>_xll.DBRW("TM1-S1_DEV:}ElementAttributes_SP_SKU",$F1611,D$1)</f>
        <v>Secondary</v>
      </c>
      <c r="E1611" s="24" t="str">
        <f>_xll.DBRW("TM1-S1_DEV:}ElementAttributes_SP_SKU",$F1611,E$1)</f>
        <v>DRINKS</v>
      </c>
      <c r="F1611" s="26" t="s">
        <v>355</v>
      </c>
      <c r="G1611" s="26" t="s">
        <v>1543</v>
      </c>
      <c r="H1611" s="26" t="s">
        <v>2746</v>
      </c>
      <c r="I1611" s="54">
        <f>_xll.DBRW($A$1,$F$14,$F$15,$C1611,$A$2,$F1611,$G1611,$H1611,I$1)</f>
        <v>21</v>
      </c>
      <c r="J1611" s="25">
        <f>_xll.DBRW($A$1,$F$14,$F$15,$C1611,$A$2,$F1611,$G1611,$H1611,J$19)</f>
        <v>61</v>
      </c>
    </row>
    <row r="1612" spans="1:10" s="23" customFormat="1" outlineLevel="1" thickBot="1" x14ac:dyDescent="0.3">
      <c r="A1612" s="44"/>
      <c r="B1612" s="31" t="str">
        <f>IF(_xll.TM1RPTELISCONSOLIDATED($H$20,$H1612),IF(_xll.TM1RPTELLEV($H$20,$H1612)&lt;=5,_xll.TM1RPTELLEV($H$20,$H1612),"Default"),"Leaf")</f>
        <v>Leaf</v>
      </c>
      <c r="C1612" s="26" t="s">
        <v>17</v>
      </c>
      <c r="D1612" s="24" t="str">
        <f>_xll.DBRW("TM1-S1_DEV:}ElementAttributes_SP_SKU",$F1612,D$1)</f>
        <v>Secondary</v>
      </c>
      <c r="E1612" s="24" t="str">
        <f>_xll.DBRW("TM1-S1_DEV:}ElementAttributes_SP_SKU",$F1612,E$1)</f>
        <v>DRINKS</v>
      </c>
      <c r="F1612" s="26" t="s">
        <v>356</v>
      </c>
      <c r="G1612" s="26" t="s">
        <v>1544</v>
      </c>
      <c r="H1612" s="26" t="s">
        <v>2746</v>
      </c>
      <c r="I1612" s="54">
        <f>_xll.DBRW($A$1,$F$14,$F$15,$C1612,$A$2,$F1612,$G1612,$H1612,I$1)</f>
        <v>24</v>
      </c>
      <c r="J1612" s="25">
        <f>_xll.DBRW($A$1,$F$14,$F$15,$C1612,$A$2,$F1612,$G1612,$H1612,J$19)</f>
        <v>34</v>
      </c>
    </row>
    <row r="1613" spans="1:10" s="23" customFormat="1" outlineLevel="1" thickBot="1" x14ac:dyDescent="0.3">
      <c r="A1613" s="44"/>
      <c r="B1613" s="31" t="str">
        <f>IF(_xll.TM1RPTELISCONSOLIDATED($H$20,$H1613),IF(_xll.TM1RPTELLEV($H$20,$H1613)&lt;=5,_xll.TM1RPTELLEV($H$20,$H1613),"Default"),"Leaf")</f>
        <v>Leaf</v>
      </c>
      <c r="C1613" s="26" t="s">
        <v>17</v>
      </c>
      <c r="D1613" s="24" t="str">
        <f>_xll.DBRW("TM1-S1_DEV:}ElementAttributes_SP_SKU",$F1613,D$1)</f>
        <v>Secondary</v>
      </c>
      <c r="E1613" s="24" t="str">
        <f>_xll.DBRW("TM1-S1_DEV:}ElementAttributes_SP_SKU",$F1613,E$1)</f>
        <v>DRINKS</v>
      </c>
      <c r="F1613" s="26" t="s">
        <v>357</v>
      </c>
      <c r="G1613" s="26" t="s">
        <v>1545</v>
      </c>
      <c r="H1613" s="26" t="s">
        <v>2858</v>
      </c>
      <c r="I1613" s="54">
        <f>_xll.DBRW($A$1,$F$14,$F$15,$C1613,$A$2,$F1613,$G1613,$H1613,I$1)</f>
        <v>985</v>
      </c>
      <c r="J1613" s="25">
        <f>_xll.DBRW($A$1,$F$14,$F$15,$C1613,$A$2,$F1613,$G1613,$H1613,J$19)</f>
        <v>1741</v>
      </c>
    </row>
    <row r="1614" spans="1:10" s="23" customFormat="1" outlineLevel="1" thickBot="1" x14ac:dyDescent="0.3">
      <c r="A1614" s="44"/>
      <c r="B1614" s="31" t="str">
        <f>IF(_xll.TM1RPTELISCONSOLIDATED($H$20,$H1614),IF(_xll.TM1RPTELLEV($H$20,$H1614)&lt;=5,_xll.TM1RPTELLEV($H$20,$H1614),"Default"),"Leaf")</f>
        <v>Leaf</v>
      </c>
      <c r="C1614" s="26" t="s">
        <v>17</v>
      </c>
      <c r="D1614" s="24" t="str">
        <f>_xll.DBRW("TM1-S1_DEV:}ElementAttributes_SP_SKU",$F1614,D$1)</f>
        <v>Secondary</v>
      </c>
      <c r="E1614" s="24" t="str">
        <f>_xll.DBRW("TM1-S1_DEV:}ElementAttributes_SP_SKU",$F1614,E$1)</f>
        <v>CONDIMENT</v>
      </c>
      <c r="F1614" s="26" t="s">
        <v>358</v>
      </c>
      <c r="G1614" s="26" t="s">
        <v>1546</v>
      </c>
      <c r="H1614" s="26" t="s">
        <v>2720</v>
      </c>
      <c r="I1614" s="54">
        <f>_xll.DBRW($A$1,$F$14,$F$15,$C1614,$A$2,$F1614,$G1614,$H1614,I$1)</f>
        <v>151</v>
      </c>
      <c r="J1614" s="25">
        <f>_xll.DBRW($A$1,$F$14,$F$15,$C1614,$A$2,$F1614,$G1614,$H1614,J$19)</f>
        <v>247</v>
      </c>
    </row>
    <row r="1615" spans="1:10" s="23" customFormat="1" outlineLevel="1" thickBot="1" x14ac:dyDescent="0.3">
      <c r="A1615" s="44"/>
      <c r="B1615" s="31" t="str">
        <f>IF(_xll.TM1RPTELISCONSOLIDATED($H$20,$H1615),IF(_xll.TM1RPTELLEV($H$20,$H1615)&lt;=5,_xll.TM1RPTELLEV($H$20,$H1615),"Default"),"Leaf")</f>
        <v>Leaf</v>
      </c>
      <c r="C1615" s="26" t="s">
        <v>17</v>
      </c>
      <c r="D1615" s="24" t="str">
        <f>_xll.DBRW("TM1-S1_DEV:}ElementAttributes_SP_SKU",$F1615,D$1)</f>
        <v>Secondary</v>
      </c>
      <c r="E1615" s="24" t="str">
        <f>_xll.DBRW("TM1-S1_DEV:}ElementAttributes_SP_SKU",$F1615,E$1)</f>
        <v>SIDES</v>
      </c>
      <c r="F1615" s="26" t="s">
        <v>359</v>
      </c>
      <c r="G1615" s="26" t="s">
        <v>1547</v>
      </c>
      <c r="H1615" s="26" t="s">
        <v>2855</v>
      </c>
      <c r="I1615" s="54">
        <f>_xll.DBRW($A$1,$F$14,$F$15,$C1615,$A$2,$F1615,$G1615,$H1615,I$1)</f>
        <v>20</v>
      </c>
      <c r="J1615" s="25">
        <f>_xll.DBRW($A$1,$F$14,$F$15,$C1615,$A$2,$F1615,$G1615,$H1615,J$19)</f>
        <v>60</v>
      </c>
    </row>
    <row r="1616" spans="1:10" s="23" customFormat="1" outlineLevel="1" thickBot="1" x14ac:dyDescent="0.3">
      <c r="A1616" s="44"/>
      <c r="B1616" s="31" t="str">
        <f>IF(_xll.TM1RPTELISCONSOLIDATED($H$20,$H1616),IF(_xll.TM1RPTELLEV($H$20,$H1616)&lt;=5,_xll.TM1RPTELLEV($H$20,$H1616),"Default"),"Leaf")</f>
        <v>Leaf</v>
      </c>
      <c r="C1616" s="26" t="s">
        <v>17</v>
      </c>
      <c r="D1616" s="24" t="str">
        <f>_xll.DBRW("TM1-S1_DEV:}ElementAttributes_SP_SKU",$F1616,D$1)</f>
        <v>Primary</v>
      </c>
      <c r="E1616" s="24" t="str">
        <f>_xll.DBRW("TM1-S1_DEV:}ElementAttributes_SP_SKU",$F1616,E$1)</f>
        <v>INGREDIENT</v>
      </c>
      <c r="F1616" s="26" t="s">
        <v>3240</v>
      </c>
      <c r="G1616" s="26" t="s">
        <v>1548</v>
      </c>
      <c r="H1616" s="26" t="s">
        <v>2728</v>
      </c>
      <c r="I1616" s="54">
        <f>_xll.DBRW($A$1,$F$14,$F$15,$C1616,$A$2,$F1616,$G1616,$H1616,I$1)</f>
        <v>40</v>
      </c>
      <c r="J1616" s="25">
        <f>_xll.DBRW($A$1,$F$14,$F$15,$C1616,$A$2,$F1616,$G1616,$H1616,J$19)</f>
        <v>52</v>
      </c>
    </row>
    <row r="1617" spans="1:10" s="23" customFormat="1" outlineLevel="1" thickBot="1" x14ac:dyDescent="0.3">
      <c r="A1617" s="44"/>
      <c r="B1617" s="31" t="str">
        <f>IF(_xll.TM1RPTELISCONSOLIDATED($H$20,$H1617),IF(_xll.TM1RPTELLEV($H$20,$H1617)&lt;=5,_xll.TM1RPTELLEV($H$20,$H1617),"Default"),"Leaf")</f>
        <v>Leaf</v>
      </c>
      <c r="C1617" s="26" t="s">
        <v>17</v>
      </c>
      <c r="D1617" s="24" t="str">
        <f>_xll.DBRW("TM1-S1_DEV:}ElementAttributes_SP_SKU",$F1617,D$1)</f>
        <v>Primary</v>
      </c>
      <c r="E1617" s="24" t="str">
        <f>_xll.DBRW("TM1-S1_DEV:}ElementAttributes_SP_SKU",$F1617,E$1)</f>
        <v>INGREDIENT</v>
      </c>
      <c r="F1617" s="26" t="s">
        <v>3241</v>
      </c>
      <c r="G1617" s="26" t="s">
        <v>1549</v>
      </c>
      <c r="H1617" s="26" t="s">
        <v>2729</v>
      </c>
      <c r="I1617" s="54">
        <f>_xll.DBRW($A$1,$F$14,$F$15,$C1617,$A$2,$F1617,$G1617,$H1617,I$1)</f>
        <v>664</v>
      </c>
      <c r="J1617" s="25">
        <f>_xll.DBRW($A$1,$F$14,$F$15,$C1617,$A$2,$F1617,$G1617,$H1617,J$19)</f>
        <v>520</v>
      </c>
    </row>
    <row r="1618" spans="1:10" s="23" customFormat="1" outlineLevel="1" thickBot="1" x14ac:dyDescent="0.3">
      <c r="A1618" s="44"/>
      <c r="B1618" s="31" t="str">
        <f>IF(_xll.TM1RPTELISCONSOLIDATED($H$20,$H1618),IF(_xll.TM1RPTELLEV($H$20,$H1618)&lt;=5,_xll.TM1RPTELLEV($H$20,$H1618),"Default"),"Leaf")</f>
        <v>Leaf</v>
      </c>
      <c r="C1618" s="26" t="s">
        <v>17</v>
      </c>
      <c r="D1618" s="24" t="str">
        <f>_xll.DBRW("TM1-S1_DEV:}ElementAttributes_SP_SKU",$F1618,D$1)</f>
        <v>Primary</v>
      </c>
      <c r="E1618" s="24" t="str">
        <f>_xll.DBRW("TM1-S1_DEV:}ElementAttributes_SP_SKU",$F1618,E$1)</f>
        <v>INGREDIENT</v>
      </c>
      <c r="F1618" s="26" t="s">
        <v>3241</v>
      </c>
      <c r="G1618" s="26" t="s">
        <v>1550</v>
      </c>
      <c r="H1618" s="26" t="s">
        <v>2734</v>
      </c>
      <c r="I1618" s="54">
        <f>_xll.DBRW($A$1,$F$14,$F$15,$C1618,$A$2,$F1618,$G1618,$H1618,I$1)</f>
        <v>150</v>
      </c>
      <c r="J1618" s="25">
        <f>_xll.DBRW($A$1,$F$14,$F$15,$C1618,$A$2,$F1618,$G1618,$H1618,J$19)</f>
        <v>150</v>
      </c>
    </row>
    <row r="1619" spans="1:10" s="23" customFormat="1" outlineLevel="1" thickBot="1" x14ac:dyDescent="0.3">
      <c r="A1619" s="44"/>
      <c r="B1619" s="31" t="str">
        <f>IF(_xll.TM1RPTELISCONSOLIDATED($H$20,$H1619),IF(_xll.TM1RPTELLEV($H$20,$H1619)&lt;=5,_xll.TM1RPTELLEV($H$20,$H1619),"Default"),"Leaf")</f>
        <v>Leaf</v>
      </c>
      <c r="C1619" s="26" t="s">
        <v>17</v>
      </c>
      <c r="D1619" s="24" t="str">
        <f>_xll.DBRW("TM1-S1_DEV:}ElementAttributes_SP_SKU",$F1619,D$1)</f>
        <v>Unassigned PSP</v>
      </c>
      <c r="E1619" s="24" t="str">
        <f>_xll.DBRW("TM1-S1_DEV:}ElementAttributes_SP_SKU",$F1619,E$1)</f>
        <v>PAPER</v>
      </c>
      <c r="F1619" s="26" t="s">
        <v>99</v>
      </c>
      <c r="G1619" s="26" t="s">
        <v>1551</v>
      </c>
      <c r="H1619" s="26" t="s">
        <v>2763</v>
      </c>
      <c r="I1619" s="54">
        <f>_xll.DBRW($A$1,$F$14,$F$15,$C1619,$A$2,$F1619,$G1619,$H1619,I$1)</f>
        <v>21</v>
      </c>
      <c r="J1619" s="25">
        <f>_xll.DBRW($A$1,$F$14,$F$15,$C1619,$A$2,$F1619,$G1619,$H1619,J$19)</f>
        <v>21</v>
      </c>
    </row>
    <row r="1620" spans="1:10" s="23" customFormat="1" outlineLevel="1" thickBot="1" x14ac:dyDescent="0.3">
      <c r="A1620" s="44"/>
      <c r="B1620" s="31" t="str">
        <f>IF(_xll.TM1RPTELISCONSOLIDATED($H$20,$H1620),IF(_xll.TM1RPTELLEV($H$20,$H1620)&lt;=5,_xll.TM1RPTELLEV($H$20,$H1620),"Default"),"Leaf")</f>
        <v>Leaf</v>
      </c>
      <c r="C1620" s="26" t="s">
        <v>17</v>
      </c>
      <c r="D1620" s="24" t="str">
        <f>_xll.DBRW("TM1-S1_DEV:}ElementAttributes_SP_SKU",$F1620,D$1)</f>
        <v>Primary</v>
      </c>
      <c r="E1620" s="24" t="str">
        <f>_xll.DBRW("TM1-S1_DEV:}ElementAttributes_SP_SKU",$F1620,E$1)</f>
        <v>DRINKS</v>
      </c>
      <c r="F1620" s="26" t="s">
        <v>3267</v>
      </c>
      <c r="G1620" s="26" t="s">
        <v>1552</v>
      </c>
      <c r="H1620" s="26" t="s">
        <v>2764</v>
      </c>
      <c r="I1620" s="54">
        <f>_xll.DBRW($A$1,$F$14,$F$15,$C1620,$A$2,$F1620,$G1620,$H1620,I$1)</f>
        <v>9</v>
      </c>
      <c r="J1620" s="25">
        <f>_xll.DBRW($A$1,$F$14,$F$15,$C1620,$A$2,$F1620,$G1620,$H1620,J$19)</f>
        <v>9</v>
      </c>
    </row>
    <row r="1621" spans="1:10" s="23" customFormat="1" outlineLevel="1" thickBot="1" x14ac:dyDescent="0.3">
      <c r="A1621" s="44"/>
      <c r="B1621" s="31" t="str">
        <f>IF(_xll.TM1RPTELISCONSOLIDATED($H$20,$H1621),IF(_xll.TM1RPTELLEV($H$20,$H1621)&lt;=5,_xll.TM1RPTELLEV($H$20,$H1621),"Default"),"Leaf")</f>
        <v>Leaf</v>
      </c>
      <c r="C1621" s="26" t="s">
        <v>17</v>
      </c>
      <c r="D1621" s="24" t="str">
        <f>_xll.DBRW("TM1-S1_DEV:}ElementAttributes_SP_SKU",$F1621,D$1)</f>
        <v>Primary</v>
      </c>
      <c r="E1621" s="24" t="str">
        <f>_xll.DBRW("TM1-S1_DEV:}ElementAttributes_SP_SKU",$F1621,E$1)</f>
        <v>CONTAINER</v>
      </c>
      <c r="F1621" s="26" t="s">
        <v>3242</v>
      </c>
      <c r="G1621" s="26" t="s">
        <v>1553</v>
      </c>
      <c r="H1621" s="26" t="s">
        <v>2708</v>
      </c>
      <c r="I1621" s="54">
        <f>_xll.DBRW($A$1,$F$14,$F$15,$C1621,$A$2,$F1621,$G1621,$H1621,I$1)</f>
        <v>62</v>
      </c>
      <c r="J1621" s="25">
        <f>_xll.DBRW($A$1,$F$14,$F$15,$C1621,$A$2,$F1621,$G1621,$H1621,J$19)</f>
        <v>51</v>
      </c>
    </row>
    <row r="1622" spans="1:10" s="23" customFormat="1" outlineLevel="1" thickBot="1" x14ac:dyDescent="0.3">
      <c r="A1622" s="44"/>
      <c r="B1622" s="31" t="str">
        <f>IF(_xll.TM1RPTELISCONSOLIDATED($H$20,$H1622),IF(_xll.TM1RPTELLEV($H$20,$H1622)&lt;=5,_xll.TM1RPTELLEV($H$20,$H1622),"Default"),"Leaf")</f>
        <v>Leaf</v>
      </c>
      <c r="C1622" s="26" t="s">
        <v>17</v>
      </c>
      <c r="D1622" s="24" t="str">
        <f>_xll.DBRW("TM1-S1_DEV:}ElementAttributes_SP_SKU",$F1622,D$1)</f>
        <v>Primary</v>
      </c>
      <c r="E1622" s="24" t="str">
        <f>_xll.DBRW("TM1-S1_DEV:}ElementAttributes_SP_SKU",$F1622,E$1)</f>
        <v>PAPER</v>
      </c>
      <c r="F1622" s="26" t="s">
        <v>3243</v>
      </c>
      <c r="G1622" s="26" t="s">
        <v>3049</v>
      </c>
      <c r="H1622" s="26" t="s">
        <v>2730</v>
      </c>
      <c r="I1622" s="54">
        <f>_xll.DBRW($A$1,$F$14,$F$15,$C1622,$A$2,$F1622,$G1622,$H1622,I$1)</f>
        <v>0</v>
      </c>
      <c r="J1622" s="25">
        <f>_xll.DBRW($A$1,$F$14,$F$15,$C1622,$A$2,$F1622,$G1622,$H1622,J$19)</f>
        <v>-2</v>
      </c>
    </row>
    <row r="1623" spans="1:10" s="23" customFormat="1" outlineLevel="1" thickBot="1" x14ac:dyDescent="0.3">
      <c r="A1623" s="44"/>
      <c r="B1623" s="31" t="str">
        <f>IF(_xll.TM1RPTELISCONSOLIDATED($H$20,$H1623),IF(_xll.TM1RPTELLEV($H$20,$H1623)&lt;=5,_xll.TM1RPTELLEV($H$20,$H1623),"Default"),"Leaf")</f>
        <v>Leaf</v>
      </c>
      <c r="C1623" s="26" t="s">
        <v>17</v>
      </c>
      <c r="D1623" s="24" t="str">
        <f>_xll.DBRW("TM1-S1_DEV:}ElementAttributes_SP_SKU",$F1623,D$1)</f>
        <v>Primary</v>
      </c>
      <c r="E1623" s="24" t="str">
        <f>_xll.DBRW("TM1-S1_DEV:}ElementAttributes_SP_SKU",$F1623,E$1)</f>
        <v>PROTEIN</v>
      </c>
      <c r="F1623" s="26" t="s">
        <v>3244</v>
      </c>
      <c r="G1623" s="26" t="s">
        <v>1554</v>
      </c>
      <c r="H1623" s="26" t="s">
        <v>2670</v>
      </c>
      <c r="I1623" s="54">
        <f>_xll.DBRW($A$1,$F$14,$F$15,$C1623,$A$2,$F1623,$G1623,$H1623,I$1)</f>
        <v>47</v>
      </c>
      <c r="J1623" s="25">
        <f>_xll.DBRW($A$1,$F$14,$F$15,$C1623,$A$2,$F1623,$G1623,$H1623,J$19)</f>
        <v>35</v>
      </c>
    </row>
    <row r="1624" spans="1:10" s="23" customFormat="1" outlineLevel="1" thickBot="1" x14ac:dyDescent="0.3">
      <c r="A1624" s="44"/>
      <c r="B1624" s="31" t="str">
        <f>IF(_xll.TM1RPTELISCONSOLIDATED($H$20,$H1624),IF(_xll.TM1RPTELLEV($H$20,$H1624)&lt;=5,_xll.TM1RPTELLEV($H$20,$H1624),"Default"),"Leaf")</f>
        <v>Leaf</v>
      </c>
      <c r="C1624" s="26" t="s">
        <v>17</v>
      </c>
      <c r="D1624" s="24" t="str">
        <f>_xll.DBRW("TM1-S1_DEV:}ElementAttributes_SP_SKU",$F1624,D$1)</f>
        <v>Primary</v>
      </c>
      <c r="E1624" s="24" t="str">
        <f>_xll.DBRW("TM1-S1_DEV:}ElementAttributes_SP_SKU",$F1624,E$1)</f>
        <v>PAD</v>
      </c>
      <c r="F1624" s="26" t="s">
        <v>3245</v>
      </c>
      <c r="G1624" s="26" t="s">
        <v>1555</v>
      </c>
      <c r="H1624" s="26" t="s">
        <v>2731</v>
      </c>
      <c r="I1624" s="54">
        <f>_xll.DBRW($A$1,$F$14,$F$15,$C1624,$A$2,$F1624,$G1624,$H1624,I$1)</f>
        <v>16</v>
      </c>
      <c r="J1624" s="25">
        <f>_xll.DBRW($A$1,$F$14,$F$15,$C1624,$A$2,$F1624,$G1624,$H1624,J$19)</f>
        <v>10</v>
      </c>
    </row>
    <row r="1625" spans="1:10" s="23" customFormat="1" outlineLevel="1" thickBot="1" x14ac:dyDescent="0.3">
      <c r="A1625" s="44"/>
      <c r="B1625" s="31" t="str">
        <f>IF(_xll.TM1RPTELISCONSOLIDATED($H$20,$H1625),IF(_xll.TM1RPTELLEV($H$20,$H1625)&lt;=5,_xll.TM1RPTELLEV($H$20,$H1625),"Default"),"Leaf")</f>
        <v>Leaf</v>
      </c>
      <c r="C1625" s="26" t="s">
        <v>18</v>
      </c>
      <c r="D1625" s="24" t="str">
        <f>_xll.DBRW("TM1-S1_DEV:}ElementAttributes_SP_SKU",$F1625,D$1)</f>
        <v>Primary</v>
      </c>
      <c r="E1625" s="24" t="str">
        <f>_xll.DBRW("TM1-S1_DEV:}ElementAttributes_SP_SKU",$F1625,E$1)</f>
        <v>PROTEIN</v>
      </c>
      <c r="F1625" s="26" t="s">
        <v>3270</v>
      </c>
      <c r="G1625" s="26" t="s">
        <v>1556</v>
      </c>
      <c r="H1625" s="26" t="s">
        <v>2670</v>
      </c>
      <c r="I1625" s="54">
        <f>_xll.DBRW($A$1,$F$14,$F$15,$C1625,$A$2,$F1625,$G1625,$H1625,I$1)</f>
        <v>824</v>
      </c>
      <c r="J1625" s="25">
        <f>_xll.DBRW($A$1,$F$14,$F$15,$C1625,$A$2,$F1625,$G1625,$H1625,J$19)</f>
        <v>111</v>
      </c>
    </row>
    <row r="1626" spans="1:10" s="23" customFormat="1" outlineLevel="1" thickBot="1" x14ac:dyDescent="0.3">
      <c r="A1626" s="44"/>
      <c r="B1626" s="31" t="str">
        <f>IF(_xll.TM1RPTELISCONSOLIDATED($H$20,$H1626),IF(_xll.TM1RPTELLEV($H$20,$H1626)&lt;=5,_xll.TM1RPTELLEV($H$20,$H1626),"Default"),"Leaf")</f>
        <v>Leaf</v>
      </c>
      <c r="C1626" s="26" t="s">
        <v>18</v>
      </c>
      <c r="D1626" s="24" t="str">
        <f>_xll.DBRW("TM1-S1_DEV:}ElementAttributes_SP_SKU",$F1626,D$1)</f>
        <v>Primary</v>
      </c>
      <c r="E1626" s="24" t="str">
        <f>_xll.DBRW("TM1-S1_DEV:}ElementAttributes_SP_SKU",$F1626,E$1)</f>
        <v>PROTEIN</v>
      </c>
      <c r="F1626" s="26" t="s">
        <v>3105</v>
      </c>
      <c r="G1626" s="26" t="s">
        <v>1557</v>
      </c>
      <c r="H1626" s="26" t="s">
        <v>2670</v>
      </c>
      <c r="I1626" s="54">
        <f>_xll.DBRW($A$1,$F$14,$F$15,$C1626,$A$2,$F1626,$G1626,$H1626,I$1)</f>
        <v>1055</v>
      </c>
      <c r="J1626" s="25">
        <f>_xll.DBRW($A$1,$F$14,$F$15,$C1626,$A$2,$F1626,$G1626,$H1626,J$19)</f>
        <v>110</v>
      </c>
    </row>
    <row r="1627" spans="1:10" s="23" customFormat="1" outlineLevel="1" thickBot="1" x14ac:dyDescent="0.3">
      <c r="A1627" s="44"/>
      <c r="B1627" s="31" t="str">
        <f>IF(_xll.TM1RPTELISCONSOLIDATED($H$20,$H1627),IF(_xll.TM1RPTELLEV($H$20,$H1627)&lt;=5,_xll.TM1RPTELLEV($H$20,$H1627),"Default"),"Leaf")</f>
        <v>Leaf</v>
      </c>
      <c r="C1627" s="26" t="s">
        <v>18</v>
      </c>
      <c r="D1627" s="24" t="str">
        <f>_xll.DBRW("TM1-S1_DEV:}ElementAttributes_SP_SKU",$F1627,D$1)</f>
        <v>Primary</v>
      </c>
      <c r="E1627" s="24" t="str">
        <f>_xll.DBRW("TM1-S1_DEV:}ElementAttributes_SP_SKU",$F1627,E$1)</f>
        <v>PROTEIN</v>
      </c>
      <c r="F1627" s="26" t="s">
        <v>3106</v>
      </c>
      <c r="G1627" s="26" t="s">
        <v>1558</v>
      </c>
      <c r="H1627" s="26" t="s">
        <v>2670</v>
      </c>
      <c r="I1627" s="54">
        <f>_xll.DBRW($A$1,$F$14,$F$15,$C1627,$A$2,$F1627,$G1627,$H1627,I$1)</f>
        <v>1244</v>
      </c>
      <c r="J1627" s="25">
        <f>_xll.DBRW($A$1,$F$14,$F$15,$C1627,$A$2,$F1627,$G1627,$H1627,J$19)</f>
        <v>169</v>
      </c>
    </row>
    <row r="1628" spans="1:10" s="23" customFormat="1" outlineLevel="1" thickBot="1" x14ac:dyDescent="0.3">
      <c r="A1628" s="44"/>
      <c r="B1628" s="31" t="str">
        <f>IF(_xll.TM1RPTELISCONSOLIDATED($H$20,$H1628),IF(_xll.TM1RPTELLEV($H$20,$H1628)&lt;=5,_xll.TM1RPTELLEV($H$20,$H1628),"Default"),"Leaf")</f>
        <v>Leaf</v>
      </c>
      <c r="C1628" s="26" t="s">
        <v>18</v>
      </c>
      <c r="D1628" s="24" t="str">
        <f>_xll.DBRW("TM1-S1_DEV:}ElementAttributes_SP_SKU",$F1628,D$1)</f>
        <v>Primary</v>
      </c>
      <c r="E1628" s="24" t="str">
        <f>_xll.DBRW("TM1-S1_DEV:}ElementAttributes_SP_SKU",$F1628,E$1)</f>
        <v>HAM</v>
      </c>
      <c r="F1628" s="26" t="s">
        <v>3107</v>
      </c>
      <c r="G1628" s="26" t="s">
        <v>1559</v>
      </c>
      <c r="H1628" s="26" t="s">
        <v>2670</v>
      </c>
      <c r="I1628" s="54">
        <f>_xll.DBRW($A$1,$F$14,$F$15,$C1628,$A$2,$F1628,$G1628,$H1628,I$1)</f>
        <v>141</v>
      </c>
      <c r="J1628" s="25">
        <f>_xll.DBRW($A$1,$F$14,$F$15,$C1628,$A$2,$F1628,$G1628,$H1628,J$19)</f>
        <v>20</v>
      </c>
    </row>
    <row r="1629" spans="1:10" s="23" customFormat="1" outlineLevel="1" thickBot="1" x14ac:dyDescent="0.3">
      <c r="A1629" s="44"/>
      <c r="B1629" s="31" t="str">
        <f>IF(_xll.TM1RPTELISCONSOLIDATED($H$20,$H1629),IF(_xll.TM1RPTELLEV($H$20,$H1629)&lt;=5,_xll.TM1RPTELLEV($H$20,$H1629),"Default"),"Leaf")</f>
        <v>Leaf</v>
      </c>
      <c r="C1629" s="26" t="s">
        <v>18</v>
      </c>
      <c r="D1629" s="24" t="str">
        <f>_xll.DBRW("TM1-S1_DEV:}ElementAttributes_SP_SKU",$F1629,D$1)</f>
        <v>Primary</v>
      </c>
      <c r="E1629" s="24" t="str">
        <f>_xll.DBRW("TM1-S1_DEV:}ElementAttributes_SP_SKU",$F1629,E$1)</f>
        <v>HAM</v>
      </c>
      <c r="F1629" s="26" t="s">
        <v>3108</v>
      </c>
      <c r="G1629" s="26" t="s">
        <v>1560</v>
      </c>
      <c r="H1629" s="26" t="s">
        <v>2670</v>
      </c>
      <c r="I1629" s="54">
        <f>_xll.DBRW($A$1,$F$14,$F$15,$C1629,$A$2,$F1629,$G1629,$H1629,I$1)</f>
        <v>284</v>
      </c>
      <c r="J1629" s="25">
        <f>_xll.DBRW($A$1,$F$14,$F$15,$C1629,$A$2,$F1629,$G1629,$H1629,J$19)</f>
        <v>31</v>
      </c>
    </row>
    <row r="1630" spans="1:10" s="23" customFormat="1" outlineLevel="1" thickBot="1" x14ac:dyDescent="0.3">
      <c r="A1630" s="44"/>
      <c r="B1630" s="31" t="str">
        <f>IF(_xll.TM1RPTELISCONSOLIDATED($H$20,$H1630),IF(_xll.TM1RPTELLEV($H$20,$H1630)&lt;=5,_xll.TM1RPTELLEV($H$20,$H1630),"Default"),"Leaf")</f>
        <v>Leaf</v>
      </c>
      <c r="C1630" s="26" t="s">
        <v>18</v>
      </c>
      <c r="D1630" s="24" t="str">
        <f>_xll.DBRW("TM1-S1_DEV:}ElementAttributes_SP_SKU",$F1630,D$1)</f>
        <v>Primary</v>
      </c>
      <c r="E1630" s="24" t="str">
        <f>_xll.DBRW("TM1-S1_DEV:}ElementAttributes_SP_SKU",$F1630,E$1)</f>
        <v>HAM</v>
      </c>
      <c r="F1630" s="26" t="s">
        <v>3109</v>
      </c>
      <c r="G1630" s="26" t="s">
        <v>1561</v>
      </c>
      <c r="H1630" s="26" t="s">
        <v>2670</v>
      </c>
      <c r="I1630" s="54">
        <f>_xll.DBRW($A$1,$F$14,$F$15,$C1630,$A$2,$F1630,$G1630,$H1630,I$1)</f>
        <v>962</v>
      </c>
      <c r="J1630" s="25">
        <f>_xll.DBRW($A$1,$F$14,$F$15,$C1630,$A$2,$F1630,$G1630,$H1630,J$19)</f>
        <v>213</v>
      </c>
    </row>
    <row r="1631" spans="1:10" s="23" customFormat="1" outlineLevel="1" thickBot="1" x14ac:dyDescent="0.3">
      <c r="A1631" s="44"/>
      <c r="B1631" s="31" t="str">
        <f>IF(_xll.TM1RPTELISCONSOLIDATED($H$20,$H1631),IF(_xll.TM1RPTELLEV($H$20,$H1631)&lt;=5,_xll.TM1RPTELLEV($H$20,$H1631),"Default"),"Leaf")</f>
        <v>Leaf</v>
      </c>
      <c r="C1631" s="26" t="s">
        <v>18</v>
      </c>
      <c r="D1631" s="24" t="str">
        <f>_xll.DBRW("TM1-S1_DEV:}ElementAttributes_SP_SKU",$F1631,D$1)</f>
        <v>Primary</v>
      </c>
      <c r="E1631" s="24" t="str">
        <f>_xll.DBRW("TM1-S1_DEV:}ElementAttributes_SP_SKU",$F1631,E$1)</f>
        <v>TURKEY</v>
      </c>
      <c r="F1631" s="26" t="s">
        <v>3281</v>
      </c>
      <c r="G1631" s="26" t="s">
        <v>1562</v>
      </c>
      <c r="H1631" s="26" t="s">
        <v>2671</v>
      </c>
      <c r="I1631" s="54">
        <f>_xll.DBRW($A$1,$F$14,$F$15,$C1631,$A$2,$F1631,$G1631,$H1631,I$1)</f>
        <v>3</v>
      </c>
      <c r="J1631" s="25">
        <f>_xll.DBRW($A$1,$F$14,$F$15,$C1631,$A$2,$F1631,$G1631,$H1631,J$19)</f>
        <v>3</v>
      </c>
    </row>
    <row r="1632" spans="1:10" s="23" customFormat="1" outlineLevel="1" thickBot="1" x14ac:dyDescent="0.3">
      <c r="A1632" s="44"/>
      <c r="B1632" s="31" t="str">
        <f>IF(_xll.TM1RPTELISCONSOLIDATED($H$20,$H1632),IF(_xll.TM1RPTELLEV($H$20,$H1632)&lt;=5,_xll.TM1RPTELLEV($H$20,$H1632),"Default"),"Leaf")</f>
        <v>Leaf</v>
      </c>
      <c r="C1632" s="26" t="s">
        <v>18</v>
      </c>
      <c r="D1632" s="24" t="str">
        <f>_xll.DBRW("TM1-S1_DEV:}ElementAttributes_SP_SKU",$F1632,D$1)</f>
        <v>Primary</v>
      </c>
      <c r="E1632" s="24" t="str">
        <f>_xll.DBRW("TM1-S1_DEV:}ElementAttributes_SP_SKU",$F1632,E$1)</f>
        <v>TURKEY</v>
      </c>
      <c r="F1632" s="26" t="s">
        <v>3110</v>
      </c>
      <c r="G1632" s="26" t="s">
        <v>1563</v>
      </c>
      <c r="H1632" s="26" t="s">
        <v>2671</v>
      </c>
      <c r="I1632" s="54">
        <f>_xll.DBRW($A$1,$F$14,$F$15,$C1632,$A$2,$F1632,$G1632,$H1632,I$1)</f>
        <v>577</v>
      </c>
      <c r="J1632" s="25">
        <f>_xll.DBRW($A$1,$F$14,$F$15,$C1632,$A$2,$F1632,$G1632,$H1632,J$19)</f>
        <v>233</v>
      </c>
    </row>
    <row r="1633" spans="1:10" s="23" customFormat="1" outlineLevel="1" thickBot="1" x14ac:dyDescent="0.3">
      <c r="A1633" s="44"/>
      <c r="B1633" s="31" t="str">
        <f>IF(_xll.TM1RPTELISCONSOLIDATED($H$20,$H1633),IF(_xll.TM1RPTELLEV($H$20,$H1633)&lt;=5,_xll.TM1RPTELLEV($H$20,$H1633),"Default"),"Leaf")</f>
        <v>Leaf</v>
      </c>
      <c r="C1633" s="26" t="s">
        <v>18</v>
      </c>
      <c r="D1633" s="24" t="str">
        <f>_xll.DBRW("TM1-S1_DEV:}ElementAttributes_SP_SKU",$F1633,D$1)</f>
        <v>Primary</v>
      </c>
      <c r="E1633" s="24" t="str">
        <f>_xll.DBRW("TM1-S1_DEV:}ElementAttributes_SP_SKU",$F1633,E$1)</f>
        <v>TURKEY</v>
      </c>
      <c r="F1633" s="26" t="s">
        <v>3111</v>
      </c>
      <c r="G1633" s="26" t="s">
        <v>1564</v>
      </c>
      <c r="H1633" s="26" t="s">
        <v>2671</v>
      </c>
      <c r="I1633" s="54">
        <f>_xll.DBRW($A$1,$F$14,$F$15,$C1633,$A$2,$F1633,$G1633,$H1633,I$1)</f>
        <v>348</v>
      </c>
      <c r="J1633" s="25">
        <f>_xll.DBRW($A$1,$F$14,$F$15,$C1633,$A$2,$F1633,$G1633,$H1633,J$19)</f>
        <v>49</v>
      </c>
    </row>
    <row r="1634" spans="1:10" s="23" customFormat="1" outlineLevel="1" thickBot="1" x14ac:dyDescent="0.3">
      <c r="A1634" s="44"/>
      <c r="B1634" s="31" t="str">
        <f>IF(_xll.TM1RPTELISCONSOLIDATED($H$20,$H1634),IF(_xll.TM1RPTELLEV($H$20,$H1634)&lt;=5,_xll.TM1RPTELLEV($H$20,$H1634),"Default"),"Leaf")</f>
        <v>Leaf</v>
      </c>
      <c r="C1634" s="26" t="s">
        <v>18</v>
      </c>
      <c r="D1634" s="24" t="str">
        <f>_xll.DBRW("TM1-S1_DEV:}ElementAttributes_SP_SKU",$F1634,D$1)</f>
        <v>Primary</v>
      </c>
      <c r="E1634" s="24" t="str">
        <f>_xll.DBRW("TM1-S1_DEV:}ElementAttributes_SP_SKU",$F1634,E$1)</f>
        <v>PROTEIN</v>
      </c>
      <c r="F1634" s="26" t="s">
        <v>3112</v>
      </c>
      <c r="G1634" s="26" t="s">
        <v>1565</v>
      </c>
      <c r="H1634" s="26" t="s">
        <v>2672</v>
      </c>
      <c r="I1634" s="54">
        <f>_xll.DBRW($A$1,$F$14,$F$15,$C1634,$A$2,$F1634,$G1634,$H1634,I$1)</f>
        <v>45</v>
      </c>
      <c r="J1634" s="25">
        <f>_xll.DBRW($A$1,$F$14,$F$15,$C1634,$A$2,$F1634,$G1634,$H1634,J$19)</f>
        <v>30</v>
      </c>
    </row>
    <row r="1635" spans="1:10" s="23" customFormat="1" outlineLevel="1" thickBot="1" x14ac:dyDescent="0.3">
      <c r="A1635" s="44"/>
      <c r="B1635" s="31" t="str">
        <f>IF(_xll.TM1RPTELISCONSOLIDATED($H$20,$H1635),IF(_xll.TM1RPTELLEV($H$20,$H1635)&lt;=5,_xll.TM1RPTELLEV($H$20,$H1635),"Default"),"Leaf")</f>
        <v>Leaf</v>
      </c>
      <c r="C1635" s="26" t="s">
        <v>18</v>
      </c>
      <c r="D1635" s="24" t="str">
        <f>_xll.DBRW("TM1-S1_DEV:}ElementAttributes_SP_SKU",$F1635,D$1)</f>
        <v>Primary</v>
      </c>
      <c r="E1635" s="24" t="str">
        <f>_xll.DBRW("TM1-S1_DEV:}ElementAttributes_SP_SKU",$F1635,E$1)</f>
        <v>PROTEIN</v>
      </c>
      <c r="F1635" s="26" t="s">
        <v>3113</v>
      </c>
      <c r="G1635" s="26" t="s">
        <v>1566</v>
      </c>
      <c r="H1635" s="26" t="s">
        <v>2673</v>
      </c>
      <c r="I1635" s="54">
        <f>_xll.DBRW($A$1,$F$14,$F$15,$C1635,$A$2,$F1635,$G1635,$H1635,I$1)</f>
        <v>1</v>
      </c>
      <c r="J1635" s="25">
        <f>_xll.DBRW($A$1,$F$14,$F$15,$C1635,$A$2,$F1635,$G1635,$H1635,J$19)</f>
        <v>1</v>
      </c>
    </row>
    <row r="1636" spans="1:10" s="23" customFormat="1" outlineLevel="1" thickBot="1" x14ac:dyDescent="0.3">
      <c r="A1636" s="44"/>
      <c r="B1636" s="31" t="str">
        <f>IF(_xll.TM1RPTELISCONSOLIDATED($H$20,$H1636),IF(_xll.TM1RPTELLEV($H$20,$H1636)&lt;=5,_xll.TM1RPTELLEV($H$20,$H1636),"Default"),"Leaf")</f>
        <v>Leaf</v>
      </c>
      <c r="C1636" s="26" t="s">
        <v>18</v>
      </c>
      <c r="D1636" s="24" t="str">
        <f>_xll.DBRW("TM1-S1_DEV:}ElementAttributes_SP_SKU",$F1636,D$1)</f>
        <v>Primary</v>
      </c>
      <c r="E1636" s="24" t="str">
        <f>_xll.DBRW("TM1-S1_DEV:}ElementAttributes_SP_SKU",$F1636,E$1)</f>
        <v>PROTEIN</v>
      </c>
      <c r="F1636" s="26" t="s">
        <v>3114</v>
      </c>
      <c r="G1636" s="26" t="s">
        <v>1567</v>
      </c>
      <c r="H1636" s="26" t="s">
        <v>2672</v>
      </c>
      <c r="I1636" s="54">
        <f>_xll.DBRW($A$1,$F$14,$F$15,$C1636,$A$2,$F1636,$G1636,$H1636,I$1)</f>
        <v>86</v>
      </c>
      <c r="J1636" s="25">
        <f>_xll.DBRW($A$1,$F$14,$F$15,$C1636,$A$2,$F1636,$G1636,$H1636,J$19)</f>
        <v>46</v>
      </c>
    </row>
    <row r="1637" spans="1:10" s="23" customFormat="1" outlineLevel="1" thickBot="1" x14ac:dyDescent="0.3">
      <c r="A1637" s="44"/>
      <c r="B1637" s="31" t="str">
        <f>IF(_xll.TM1RPTELISCONSOLIDATED($H$20,$H1637),IF(_xll.TM1RPTELLEV($H$20,$H1637)&lt;=5,_xll.TM1RPTELLEV($H$20,$H1637),"Default"),"Leaf")</f>
        <v>Leaf</v>
      </c>
      <c r="C1637" s="26" t="s">
        <v>18</v>
      </c>
      <c r="D1637" s="24" t="str">
        <f>_xll.DBRW("TM1-S1_DEV:}ElementAttributes_SP_SKU",$F1637,D$1)</f>
        <v>Primary</v>
      </c>
      <c r="E1637" s="24" t="str">
        <f>_xll.DBRW("TM1-S1_DEV:}ElementAttributes_SP_SKU",$F1637,E$1)</f>
        <v>PROTEIN</v>
      </c>
      <c r="F1637" s="26" t="s">
        <v>3115</v>
      </c>
      <c r="G1637" s="26" t="s">
        <v>1568</v>
      </c>
      <c r="H1637" s="26" t="s">
        <v>2672</v>
      </c>
      <c r="I1637" s="54">
        <f>_xll.DBRW($A$1,$F$14,$F$15,$C1637,$A$2,$F1637,$G1637,$H1637,I$1)</f>
        <v>53</v>
      </c>
      <c r="J1637" s="25">
        <f>_xll.DBRW($A$1,$F$14,$F$15,$C1637,$A$2,$F1637,$G1637,$H1637,J$19)</f>
        <v>28</v>
      </c>
    </row>
    <row r="1638" spans="1:10" s="23" customFormat="1" outlineLevel="1" thickBot="1" x14ac:dyDescent="0.3">
      <c r="A1638" s="44"/>
      <c r="B1638" s="31" t="str">
        <f>IF(_xll.TM1RPTELISCONSOLIDATED($H$20,$H1638),IF(_xll.TM1RPTELLEV($H$20,$H1638)&lt;=5,_xll.TM1RPTELLEV($H$20,$H1638),"Default"),"Leaf")</f>
        <v>Leaf</v>
      </c>
      <c r="C1638" s="26" t="s">
        <v>18</v>
      </c>
      <c r="D1638" s="24" t="str">
        <f>_xll.DBRW("TM1-S1_DEV:}ElementAttributes_SP_SKU",$F1638,D$1)</f>
        <v>Primary</v>
      </c>
      <c r="E1638" s="24" t="str">
        <f>_xll.DBRW("TM1-S1_DEV:}ElementAttributes_SP_SKU",$F1638,E$1)</f>
        <v>SOUP</v>
      </c>
      <c r="F1638" s="26" t="s">
        <v>3116</v>
      </c>
      <c r="G1638" s="26" t="s">
        <v>1569</v>
      </c>
      <c r="H1638" s="26" t="s">
        <v>2674</v>
      </c>
      <c r="I1638" s="54">
        <f>_xll.DBRW($A$1,$F$14,$F$15,$C1638,$A$2,$F1638,$G1638,$H1638,I$1)</f>
        <v>21</v>
      </c>
      <c r="J1638" s="25">
        <f>_xll.DBRW($A$1,$F$14,$F$15,$C1638,$A$2,$F1638,$G1638,$H1638,J$19)</f>
        <v>15</v>
      </c>
    </row>
    <row r="1639" spans="1:10" s="23" customFormat="1" outlineLevel="1" thickBot="1" x14ac:dyDescent="0.3">
      <c r="A1639" s="44"/>
      <c r="B1639" s="31" t="str">
        <f>IF(_xll.TM1RPTELISCONSOLIDATED($H$20,$H1639),IF(_xll.TM1RPTELLEV($H$20,$H1639)&lt;=5,_xll.TM1RPTELLEV($H$20,$H1639),"Default"),"Leaf")</f>
        <v>Leaf</v>
      </c>
      <c r="C1639" s="26" t="s">
        <v>18</v>
      </c>
      <c r="D1639" s="24" t="str">
        <f>_xll.DBRW("TM1-S1_DEV:}ElementAttributes_SP_SKU",$F1639,D$1)</f>
        <v>Primary</v>
      </c>
      <c r="E1639" s="24" t="str">
        <f>_xll.DBRW("TM1-S1_DEV:}ElementAttributes_SP_SKU",$F1639,E$1)</f>
        <v>SOUP</v>
      </c>
      <c r="F1639" s="26" t="s">
        <v>3117</v>
      </c>
      <c r="G1639" s="26" t="s">
        <v>1570</v>
      </c>
      <c r="H1639" s="26" t="s">
        <v>2674</v>
      </c>
      <c r="I1639" s="54">
        <f>_xll.DBRW($A$1,$F$14,$F$15,$C1639,$A$2,$F1639,$G1639,$H1639,I$1)</f>
        <v>18</v>
      </c>
      <c r="J1639" s="25">
        <f>_xll.DBRW($A$1,$F$14,$F$15,$C1639,$A$2,$F1639,$G1639,$H1639,J$19)</f>
        <v>15</v>
      </c>
    </row>
    <row r="1640" spans="1:10" s="23" customFormat="1" outlineLevel="1" thickBot="1" x14ac:dyDescent="0.3">
      <c r="A1640" s="44"/>
      <c r="B1640" s="31" t="str">
        <f>IF(_xll.TM1RPTELISCONSOLIDATED($H$20,$H1640),IF(_xll.TM1RPTELLEV($H$20,$H1640)&lt;=5,_xll.TM1RPTELLEV($H$20,$H1640),"Default"),"Leaf")</f>
        <v>Leaf</v>
      </c>
      <c r="C1640" s="26" t="s">
        <v>18</v>
      </c>
      <c r="D1640" s="24" t="str">
        <f>_xll.DBRW("TM1-S1_DEV:}ElementAttributes_SP_SKU",$F1640,D$1)</f>
        <v>Primary</v>
      </c>
      <c r="E1640" s="24" t="str">
        <f>_xll.DBRW("TM1-S1_DEV:}ElementAttributes_SP_SKU",$F1640,E$1)</f>
        <v>SOUP</v>
      </c>
      <c r="F1640" s="26" t="s">
        <v>3118</v>
      </c>
      <c r="G1640" s="26" t="s">
        <v>1571</v>
      </c>
      <c r="H1640" s="26" t="s">
        <v>2674</v>
      </c>
      <c r="I1640" s="54">
        <f>_xll.DBRW($A$1,$F$14,$F$15,$C1640,$A$2,$F1640,$G1640,$H1640,I$1)</f>
        <v>42</v>
      </c>
      <c r="J1640" s="25">
        <f>_xll.DBRW($A$1,$F$14,$F$15,$C1640,$A$2,$F1640,$G1640,$H1640,J$19)</f>
        <v>35</v>
      </c>
    </row>
    <row r="1641" spans="1:10" s="23" customFormat="1" outlineLevel="1" thickBot="1" x14ac:dyDescent="0.3">
      <c r="A1641" s="44"/>
      <c r="B1641" s="31" t="str">
        <f>IF(_xll.TM1RPTELISCONSOLIDATED($H$20,$H1641),IF(_xll.TM1RPTELLEV($H$20,$H1641)&lt;=5,_xll.TM1RPTELLEV($H$20,$H1641),"Default"),"Leaf")</f>
        <v>Leaf</v>
      </c>
      <c r="C1641" s="26" t="s">
        <v>18</v>
      </c>
      <c r="D1641" s="24" t="str">
        <f>_xll.DBRW("TM1-S1_DEV:}ElementAttributes_SP_SKU",$F1641,D$1)</f>
        <v>Primary</v>
      </c>
      <c r="E1641" s="24" t="str">
        <f>_xll.DBRW("TM1-S1_DEV:}ElementAttributes_SP_SKU",$F1641,E$1)</f>
        <v>PROTEIN</v>
      </c>
      <c r="F1641" s="26" t="s">
        <v>3119</v>
      </c>
      <c r="G1641" s="26" t="s">
        <v>1572</v>
      </c>
      <c r="H1641" s="26" t="s">
        <v>2670</v>
      </c>
      <c r="I1641" s="54">
        <f>_xll.DBRW($A$1,$F$14,$F$15,$C1641,$A$2,$F1641,$G1641,$H1641,I$1)</f>
        <v>18</v>
      </c>
      <c r="J1641" s="25">
        <f>_xll.DBRW($A$1,$F$14,$F$15,$C1641,$A$2,$F1641,$G1641,$H1641,J$19)</f>
        <v>13</v>
      </c>
    </row>
    <row r="1642" spans="1:10" s="23" customFormat="1" outlineLevel="1" thickBot="1" x14ac:dyDescent="0.3">
      <c r="A1642" s="44"/>
      <c r="B1642" s="31" t="str">
        <f>IF(_xll.TM1RPTELISCONSOLIDATED($H$20,$H1642),IF(_xll.TM1RPTELLEV($H$20,$H1642)&lt;=5,_xll.TM1RPTELLEV($H$20,$H1642),"Default"),"Leaf")</f>
        <v>Leaf</v>
      </c>
      <c r="C1642" s="26" t="s">
        <v>18</v>
      </c>
      <c r="D1642" s="24" t="str">
        <f>_xll.DBRW("TM1-S1_DEV:}ElementAttributes_SP_SKU",$F1642,D$1)</f>
        <v>Primary</v>
      </c>
      <c r="E1642" s="24" t="str">
        <f>_xll.DBRW("TM1-S1_DEV:}ElementAttributes_SP_SKU",$F1642,E$1)</f>
        <v>PROTEIN</v>
      </c>
      <c r="F1642" s="26" t="s">
        <v>3120</v>
      </c>
      <c r="G1642" s="26" t="s">
        <v>1573</v>
      </c>
      <c r="H1642" s="26" t="s">
        <v>2670</v>
      </c>
      <c r="I1642" s="54">
        <f>_xll.DBRW($A$1,$F$14,$F$15,$C1642,$A$2,$F1642,$G1642,$H1642,I$1)</f>
        <v>16</v>
      </c>
      <c r="J1642" s="25">
        <f>_xll.DBRW($A$1,$F$14,$F$15,$C1642,$A$2,$F1642,$G1642,$H1642,J$19)</f>
        <v>14</v>
      </c>
    </row>
    <row r="1643" spans="1:10" s="23" customFormat="1" outlineLevel="1" thickBot="1" x14ac:dyDescent="0.3">
      <c r="A1643" s="44"/>
      <c r="B1643" s="31" t="str">
        <f>IF(_xll.TM1RPTELISCONSOLIDATED($H$20,$H1643),IF(_xll.TM1RPTELLEV($H$20,$H1643)&lt;=5,_xll.TM1RPTELLEV($H$20,$H1643),"Default"),"Leaf")</f>
        <v>Leaf</v>
      </c>
      <c r="C1643" s="26" t="s">
        <v>18</v>
      </c>
      <c r="D1643" s="24" t="str">
        <f>_xll.DBRW("TM1-S1_DEV:}ElementAttributes_SP_SKU",$F1643,D$1)</f>
        <v>Primary</v>
      </c>
      <c r="E1643" s="24" t="str">
        <f>_xll.DBRW("TM1-S1_DEV:}ElementAttributes_SP_SKU",$F1643,E$1)</f>
        <v>SIDES</v>
      </c>
      <c r="F1643" s="26" t="s">
        <v>3123</v>
      </c>
      <c r="G1643" s="26" t="s">
        <v>1574</v>
      </c>
      <c r="H1643" s="26" t="s">
        <v>2676</v>
      </c>
      <c r="I1643" s="54">
        <f>_xll.DBRW($A$1,$F$14,$F$15,$C1643,$A$2,$F1643,$G1643,$H1643,I$1)</f>
        <v>97</v>
      </c>
      <c r="J1643" s="25">
        <f>_xll.DBRW($A$1,$F$14,$F$15,$C1643,$A$2,$F1643,$G1643,$H1643,J$19)</f>
        <v>54</v>
      </c>
    </row>
    <row r="1644" spans="1:10" s="23" customFormat="1" outlineLevel="1" thickBot="1" x14ac:dyDescent="0.3">
      <c r="A1644" s="44"/>
      <c r="B1644" s="31" t="str">
        <f>IF(_xll.TM1RPTELISCONSOLIDATED($H$20,$H1644),IF(_xll.TM1RPTELLEV($H$20,$H1644)&lt;=5,_xll.TM1RPTELLEV($H$20,$H1644),"Default"),"Leaf")</f>
        <v>Leaf</v>
      </c>
      <c r="C1644" s="26" t="s">
        <v>18</v>
      </c>
      <c r="D1644" s="24" t="str">
        <f>_xll.DBRW("TM1-S1_DEV:}ElementAttributes_SP_SKU",$F1644,D$1)</f>
        <v>Primary</v>
      </c>
      <c r="E1644" s="24" t="str">
        <f>_xll.DBRW("TM1-S1_DEV:}ElementAttributes_SP_SKU",$F1644,E$1)</f>
        <v>SIDES</v>
      </c>
      <c r="F1644" s="26" t="s">
        <v>3124</v>
      </c>
      <c r="G1644" s="26" t="s">
        <v>1575</v>
      </c>
      <c r="H1644" s="26" t="s">
        <v>2676</v>
      </c>
      <c r="I1644" s="54">
        <f>_xll.DBRW($A$1,$F$14,$F$15,$C1644,$A$2,$F1644,$G1644,$H1644,I$1)</f>
        <v>97</v>
      </c>
      <c r="J1644" s="25">
        <f>_xll.DBRW($A$1,$F$14,$F$15,$C1644,$A$2,$F1644,$G1644,$H1644,J$19)</f>
        <v>44</v>
      </c>
    </row>
    <row r="1645" spans="1:10" s="23" customFormat="1" outlineLevel="1" thickBot="1" x14ac:dyDescent="0.3">
      <c r="A1645" s="44"/>
      <c r="B1645" s="31" t="str">
        <f>IF(_xll.TM1RPTELISCONSOLIDATED($H$20,$H1645),IF(_xll.TM1RPTELLEV($H$20,$H1645)&lt;=5,_xll.TM1RPTELLEV($H$20,$H1645),"Default"),"Leaf")</f>
        <v>Leaf</v>
      </c>
      <c r="C1645" s="26" t="s">
        <v>18</v>
      </c>
      <c r="D1645" s="24" t="str">
        <f>_xll.DBRW("TM1-S1_DEV:}ElementAttributes_SP_SKU",$F1645,D$1)</f>
        <v>Primary</v>
      </c>
      <c r="E1645" s="24" t="str">
        <f>_xll.DBRW("TM1-S1_DEV:}ElementAttributes_SP_SKU",$F1645,E$1)</f>
        <v>SIDES</v>
      </c>
      <c r="F1645" s="26" t="s">
        <v>3125</v>
      </c>
      <c r="G1645" s="26" t="s">
        <v>1576</v>
      </c>
      <c r="H1645" s="26" t="s">
        <v>2676</v>
      </c>
      <c r="I1645" s="54">
        <f>_xll.DBRW($A$1,$F$14,$F$15,$C1645,$A$2,$F1645,$G1645,$H1645,I$1)</f>
        <v>46</v>
      </c>
      <c r="J1645" s="25">
        <f>_xll.DBRW($A$1,$F$14,$F$15,$C1645,$A$2,$F1645,$G1645,$H1645,J$19)</f>
        <v>13</v>
      </c>
    </row>
    <row r="1646" spans="1:10" s="23" customFormat="1" outlineLevel="1" thickBot="1" x14ac:dyDescent="0.3">
      <c r="A1646" s="44"/>
      <c r="B1646" s="31" t="str">
        <f>IF(_xll.TM1RPTELISCONSOLIDATED($H$20,$H1646),IF(_xll.TM1RPTELLEV($H$20,$H1646)&lt;=5,_xll.TM1RPTELLEV($H$20,$H1646),"Default"),"Leaf")</f>
        <v>Leaf</v>
      </c>
      <c r="C1646" s="26" t="s">
        <v>18</v>
      </c>
      <c r="D1646" s="24" t="str">
        <f>_xll.DBRW("TM1-S1_DEV:}ElementAttributes_SP_SKU",$F1646,D$1)</f>
        <v>Primary</v>
      </c>
      <c r="E1646" s="24" t="str">
        <f>_xll.DBRW("TM1-S1_DEV:}ElementAttributes_SP_SKU",$F1646,E$1)</f>
        <v>SIDES</v>
      </c>
      <c r="F1646" s="26" t="s">
        <v>3126</v>
      </c>
      <c r="G1646" s="26" t="s">
        <v>1577</v>
      </c>
      <c r="H1646" s="26" t="s">
        <v>2676</v>
      </c>
      <c r="I1646" s="54">
        <f>_xll.DBRW($A$1,$F$14,$F$15,$C1646,$A$2,$F1646,$G1646,$H1646,I$1)</f>
        <v>107</v>
      </c>
      <c r="J1646" s="25">
        <f>_xll.DBRW($A$1,$F$14,$F$15,$C1646,$A$2,$F1646,$G1646,$H1646,J$19)</f>
        <v>40</v>
      </c>
    </row>
    <row r="1647" spans="1:10" s="23" customFormat="1" outlineLevel="1" thickBot="1" x14ac:dyDescent="0.3">
      <c r="A1647" s="44"/>
      <c r="B1647" s="31" t="str">
        <f>IF(_xll.TM1RPTELISCONSOLIDATED($H$20,$H1647),IF(_xll.TM1RPTELLEV($H$20,$H1647)&lt;=5,_xll.TM1RPTELLEV($H$20,$H1647),"Default"),"Leaf")</f>
        <v>Leaf</v>
      </c>
      <c r="C1647" s="26" t="s">
        <v>18</v>
      </c>
      <c r="D1647" s="24" t="str">
        <f>_xll.DBRW("TM1-S1_DEV:}ElementAttributes_SP_SKU",$F1647,D$1)</f>
        <v>Primary</v>
      </c>
      <c r="E1647" s="24" t="str">
        <f>_xll.DBRW("TM1-S1_DEV:}ElementAttributes_SP_SKU",$F1647,E$1)</f>
        <v>SIDES</v>
      </c>
      <c r="F1647" s="26" t="s">
        <v>3127</v>
      </c>
      <c r="G1647" s="26" t="s">
        <v>1578</v>
      </c>
      <c r="H1647" s="26" t="s">
        <v>2676</v>
      </c>
      <c r="I1647" s="54">
        <f>_xll.DBRW($A$1,$F$14,$F$15,$C1647,$A$2,$F1647,$G1647,$H1647,I$1)</f>
        <v>130</v>
      </c>
      <c r="J1647" s="25">
        <f>_xll.DBRW($A$1,$F$14,$F$15,$C1647,$A$2,$F1647,$G1647,$H1647,J$19)</f>
        <v>42</v>
      </c>
    </row>
    <row r="1648" spans="1:10" s="23" customFormat="1" outlineLevel="1" thickBot="1" x14ac:dyDescent="0.3">
      <c r="A1648" s="44"/>
      <c r="B1648" s="31" t="str">
        <f>IF(_xll.TM1RPTELISCONSOLIDATED($H$20,$H1648),IF(_xll.TM1RPTELLEV($H$20,$H1648)&lt;=5,_xll.TM1RPTELLEV($H$20,$H1648),"Default"),"Leaf")</f>
        <v>Leaf</v>
      </c>
      <c r="C1648" s="26" t="s">
        <v>18</v>
      </c>
      <c r="D1648" s="24" t="str">
        <f>_xll.DBRW("TM1-S1_DEV:}ElementAttributes_SP_SKU",$F1648,D$1)</f>
        <v>Primary</v>
      </c>
      <c r="E1648" s="24" t="str">
        <f>_xll.DBRW("TM1-S1_DEV:}ElementAttributes_SP_SKU",$F1648,E$1)</f>
        <v>SIDES</v>
      </c>
      <c r="F1648" s="26" t="s">
        <v>3128</v>
      </c>
      <c r="G1648" s="26" t="s">
        <v>785</v>
      </c>
      <c r="H1648" s="26" t="s">
        <v>2676</v>
      </c>
      <c r="I1648" s="54">
        <f>_xll.DBRW($A$1,$F$14,$F$15,$C1648,$A$2,$F1648,$G1648,$H1648,I$1)</f>
        <v>161</v>
      </c>
      <c r="J1648" s="25">
        <f>_xll.DBRW($A$1,$F$14,$F$15,$C1648,$A$2,$F1648,$G1648,$H1648,J$19)</f>
        <v>30</v>
      </c>
    </row>
    <row r="1649" spans="1:10" s="23" customFormat="1" outlineLevel="1" thickBot="1" x14ac:dyDescent="0.3">
      <c r="A1649" s="44"/>
      <c r="B1649" s="31" t="str">
        <f>IF(_xll.TM1RPTELISCONSOLIDATED($H$20,$H1649),IF(_xll.TM1RPTELLEV($H$20,$H1649)&lt;=5,_xll.TM1RPTELLEV($H$20,$H1649),"Default"),"Leaf")</f>
        <v>Leaf</v>
      </c>
      <c r="C1649" s="26" t="s">
        <v>18</v>
      </c>
      <c r="D1649" s="24" t="str">
        <f>_xll.DBRW("TM1-S1_DEV:}ElementAttributes_SP_SKU",$F1649,D$1)</f>
        <v>Primary</v>
      </c>
      <c r="E1649" s="24" t="str">
        <f>_xll.DBRW("TM1-S1_DEV:}ElementAttributes_SP_SKU",$F1649,E$1)</f>
        <v>SIDES</v>
      </c>
      <c r="F1649" s="26" t="s">
        <v>3129</v>
      </c>
      <c r="G1649" s="26" t="s">
        <v>1579</v>
      </c>
      <c r="H1649" s="26" t="s">
        <v>2676</v>
      </c>
      <c r="I1649" s="54">
        <f>_xll.DBRW($A$1,$F$14,$F$15,$C1649,$A$2,$F1649,$G1649,$H1649,I$1)</f>
        <v>90</v>
      </c>
      <c r="J1649" s="25">
        <f>_xll.DBRW($A$1,$F$14,$F$15,$C1649,$A$2,$F1649,$G1649,$H1649,J$19)</f>
        <v>42</v>
      </c>
    </row>
    <row r="1650" spans="1:10" s="23" customFormat="1" outlineLevel="1" thickBot="1" x14ac:dyDescent="0.3">
      <c r="A1650" s="44"/>
      <c r="B1650" s="31" t="str">
        <f>IF(_xll.TM1RPTELISCONSOLIDATED($H$20,$H1650),IF(_xll.TM1RPTELLEV($H$20,$H1650)&lt;=5,_xll.TM1RPTELLEV($H$20,$H1650),"Default"),"Leaf")</f>
        <v>Leaf</v>
      </c>
      <c r="C1650" s="26" t="s">
        <v>18</v>
      </c>
      <c r="D1650" s="24" t="str">
        <f>_xll.DBRW("TM1-S1_DEV:}ElementAttributes_SP_SKU",$F1650,D$1)</f>
        <v>Primary</v>
      </c>
      <c r="E1650" s="24" t="str">
        <f>_xll.DBRW("TM1-S1_DEV:}ElementAttributes_SP_SKU",$F1650,E$1)</f>
        <v>SIDES</v>
      </c>
      <c r="F1650" s="26" t="s">
        <v>3130</v>
      </c>
      <c r="G1650" s="26" t="s">
        <v>1580</v>
      </c>
      <c r="H1650" s="26" t="s">
        <v>2676</v>
      </c>
      <c r="I1650" s="54">
        <f>_xll.DBRW($A$1,$F$14,$F$15,$C1650,$A$2,$F1650,$G1650,$H1650,I$1)</f>
        <v>19</v>
      </c>
      <c r="J1650" s="25">
        <f>_xll.DBRW($A$1,$F$14,$F$15,$C1650,$A$2,$F1650,$G1650,$H1650,J$19)</f>
        <v>15</v>
      </c>
    </row>
    <row r="1651" spans="1:10" s="23" customFormat="1" outlineLevel="1" thickBot="1" x14ac:dyDescent="0.3">
      <c r="A1651" s="44"/>
      <c r="B1651" s="31" t="str">
        <f>IF(_xll.TM1RPTELISCONSOLIDATED($H$20,$H1651),IF(_xll.TM1RPTELLEV($H$20,$H1651)&lt;=5,_xll.TM1RPTELLEV($H$20,$H1651),"Default"),"Leaf")</f>
        <v>Leaf</v>
      </c>
      <c r="C1651" s="26" t="s">
        <v>18</v>
      </c>
      <c r="D1651" s="24" t="str">
        <f>_xll.DBRW("TM1-S1_DEV:}ElementAttributes_SP_SKU",$F1651,D$1)</f>
        <v>Primary</v>
      </c>
      <c r="E1651" s="24" t="str">
        <f>_xll.DBRW("TM1-S1_DEV:}ElementAttributes_SP_SKU",$F1651,E$1)</f>
        <v>SIDES</v>
      </c>
      <c r="F1651" s="26" t="s">
        <v>3131</v>
      </c>
      <c r="G1651" s="26" t="s">
        <v>1581</v>
      </c>
      <c r="H1651" s="26" t="s">
        <v>2676</v>
      </c>
      <c r="I1651" s="54">
        <f>_xll.DBRW($A$1,$F$14,$F$15,$C1651,$A$2,$F1651,$G1651,$H1651,I$1)</f>
        <v>67</v>
      </c>
      <c r="J1651" s="25">
        <f>_xll.DBRW($A$1,$F$14,$F$15,$C1651,$A$2,$F1651,$G1651,$H1651,J$19)</f>
        <v>55</v>
      </c>
    </row>
    <row r="1652" spans="1:10" s="23" customFormat="1" outlineLevel="1" thickBot="1" x14ac:dyDescent="0.3">
      <c r="A1652" s="44"/>
      <c r="B1652" s="31" t="str">
        <f>IF(_xll.TM1RPTELISCONSOLIDATED($H$20,$H1652),IF(_xll.TM1RPTELLEV($H$20,$H1652)&lt;=5,_xll.TM1RPTELLEV($H$20,$H1652),"Default"),"Leaf")</f>
        <v>Leaf</v>
      </c>
      <c r="C1652" s="26" t="s">
        <v>18</v>
      </c>
      <c r="D1652" s="24" t="str">
        <f>_xll.DBRW("TM1-S1_DEV:}ElementAttributes_SP_SKU",$F1652,D$1)</f>
        <v>Primary</v>
      </c>
      <c r="E1652" s="24" t="str">
        <f>_xll.DBRW("TM1-S1_DEV:}ElementAttributes_SP_SKU",$F1652,E$1)</f>
        <v>SIDES</v>
      </c>
      <c r="F1652" s="26" t="s">
        <v>3132</v>
      </c>
      <c r="G1652" s="26" t="s">
        <v>1582</v>
      </c>
      <c r="H1652" s="26" t="s">
        <v>2676</v>
      </c>
      <c r="I1652" s="54">
        <f>_xll.DBRW($A$1,$F$14,$F$15,$C1652,$A$2,$F1652,$G1652,$H1652,I$1)</f>
        <v>226</v>
      </c>
      <c r="J1652" s="25">
        <f>_xll.DBRW($A$1,$F$14,$F$15,$C1652,$A$2,$F1652,$G1652,$H1652,J$19)</f>
        <v>81</v>
      </c>
    </row>
    <row r="1653" spans="1:10" s="23" customFormat="1" outlineLevel="1" thickBot="1" x14ac:dyDescent="0.3">
      <c r="A1653" s="44"/>
      <c r="B1653" s="31" t="str">
        <f>IF(_xll.TM1RPTELISCONSOLIDATED($H$20,$H1653),IF(_xll.TM1RPTELLEV($H$20,$H1653)&lt;=5,_xll.TM1RPTELLEV($H$20,$H1653),"Default"),"Leaf")</f>
        <v>Leaf</v>
      </c>
      <c r="C1653" s="26" t="s">
        <v>18</v>
      </c>
      <c r="D1653" s="24" t="str">
        <f>_xll.DBRW("TM1-S1_DEV:}ElementAttributes_SP_SKU",$F1653,D$1)</f>
        <v>Primary</v>
      </c>
      <c r="E1653" s="24" t="str">
        <f>_xll.DBRW("TM1-S1_DEV:}ElementAttributes_SP_SKU",$F1653,E$1)</f>
        <v>DESSERT</v>
      </c>
      <c r="F1653" s="26" t="s">
        <v>29</v>
      </c>
      <c r="G1653" s="26" t="s">
        <v>1583</v>
      </c>
      <c r="H1653" s="26" t="s">
        <v>2677</v>
      </c>
      <c r="I1653" s="54">
        <f>_xll.DBRW($A$1,$F$14,$F$15,$C1653,$A$2,$F1653,$G1653,$H1653,I$1)</f>
        <v>19</v>
      </c>
      <c r="J1653" s="25">
        <f>_xll.DBRW($A$1,$F$14,$F$15,$C1653,$A$2,$F1653,$G1653,$H1653,J$19)</f>
        <v>17</v>
      </c>
    </row>
    <row r="1654" spans="1:10" s="23" customFormat="1" outlineLevel="1" thickBot="1" x14ac:dyDescent="0.3">
      <c r="A1654" s="44"/>
      <c r="B1654" s="31" t="str">
        <f>IF(_xll.TM1RPTELISCONSOLIDATED($H$20,$H1654),IF(_xll.TM1RPTELLEV($H$20,$H1654)&lt;=5,_xll.TM1RPTELLEV($H$20,$H1654),"Default"),"Leaf")</f>
        <v>Leaf</v>
      </c>
      <c r="C1654" s="26" t="s">
        <v>18</v>
      </c>
      <c r="D1654" s="24" t="str">
        <f>_xll.DBRW("TM1-S1_DEV:}ElementAttributes_SP_SKU",$F1654,D$1)</f>
        <v>Primary</v>
      </c>
      <c r="E1654" s="24" t="str">
        <f>_xll.DBRW("TM1-S1_DEV:}ElementAttributes_SP_SKU",$F1654,E$1)</f>
        <v>PIE</v>
      </c>
      <c r="F1654" s="26" t="s">
        <v>3133</v>
      </c>
      <c r="G1654" s="26" t="s">
        <v>1584</v>
      </c>
      <c r="H1654" s="26" t="s">
        <v>2678</v>
      </c>
      <c r="I1654" s="54">
        <f>_xll.DBRW($A$1,$F$14,$F$15,$C1654,$A$2,$F1654,$G1654,$H1654,I$1)</f>
        <v>43</v>
      </c>
      <c r="J1654" s="25">
        <f>_xll.DBRW($A$1,$F$14,$F$15,$C1654,$A$2,$F1654,$G1654,$H1654,J$19)</f>
        <v>28</v>
      </c>
    </row>
    <row r="1655" spans="1:10" s="23" customFormat="1" outlineLevel="1" thickBot="1" x14ac:dyDescent="0.3">
      <c r="A1655" s="44"/>
      <c r="B1655" s="31" t="str">
        <f>IF(_xll.TM1RPTELISCONSOLIDATED($H$20,$H1655),IF(_xll.TM1RPTELLEV($H$20,$H1655)&lt;=5,_xll.TM1RPTELLEV($H$20,$H1655),"Default"),"Leaf")</f>
        <v>Leaf</v>
      </c>
      <c r="C1655" s="26" t="s">
        <v>18</v>
      </c>
      <c r="D1655" s="24" t="str">
        <f>_xll.DBRW("TM1-S1_DEV:}ElementAttributes_SP_SKU",$F1655,D$1)</f>
        <v>Primary</v>
      </c>
      <c r="E1655" s="24" t="str">
        <f>_xll.DBRW("TM1-S1_DEV:}ElementAttributes_SP_SKU",$F1655,E$1)</f>
        <v>PIE</v>
      </c>
      <c r="F1655" s="26" t="s">
        <v>3134</v>
      </c>
      <c r="G1655" s="26" t="s">
        <v>1585</v>
      </c>
      <c r="H1655" s="26" t="s">
        <v>2678</v>
      </c>
      <c r="I1655" s="54">
        <f>_xll.DBRW($A$1,$F$14,$F$15,$C1655,$A$2,$F1655,$G1655,$H1655,I$1)</f>
        <v>27</v>
      </c>
      <c r="J1655" s="25">
        <f>_xll.DBRW($A$1,$F$14,$F$15,$C1655,$A$2,$F1655,$G1655,$H1655,J$19)</f>
        <v>12</v>
      </c>
    </row>
    <row r="1656" spans="1:10" s="23" customFormat="1" outlineLevel="1" thickBot="1" x14ac:dyDescent="0.3">
      <c r="A1656" s="44"/>
      <c r="B1656" s="31" t="str">
        <f>IF(_xll.TM1RPTELISCONSOLIDATED($H$20,$H1656),IF(_xll.TM1RPTELLEV($H$20,$H1656)&lt;=5,_xll.TM1RPTELLEV($H$20,$H1656),"Default"),"Leaf")</f>
        <v>Leaf</v>
      </c>
      <c r="C1656" s="26" t="s">
        <v>18</v>
      </c>
      <c r="D1656" s="24" t="str">
        <f>_xll.DBRW("TM1-S1_DEV:}ElementAttributes_SP_SKU",$F1656,D$1)</f>
        <v>Primary</v>
      </c>
      <c r="E1656" s="24" t="str">
        <f>_xll.DBRW("TM1-S1_DEV:}ElementAttributes_SP_SKU",$F1656,E$1)</f>
        <v>CAKE</v>
      </c>
      <c r="F1656" s="26" t="s">
        <v>3135</v>
      </c>
      <c r="G1656" s="26" t="s">
        <v>1586</v>
      </c>
      <c r="H1656" s="26" t="s">
        <v>2679</v>
      </c>
      <c r="I1656" s="54">
        <f>_xll.DBRW($A$1,$F$14,$F$15,$C1656,$A$2,$F1656,$G1656,$H1656,I$1)</f>
        <v>36</v>
      </c>
      <c r="J1656" s="25">
        <f>_xll.DBRW($A$1,$F$14,$F$15,$C1656,$A$2,$F1656,$G1656,$H1656,J$19)</f>
        <v>22</v>
      </c>
    </row>
    <row r="1657" spans="1:10" s="23" customFormat="1" outlineLevel="1" thickBot="1" x14ac:dyDescent="0.3">
      <c r="A1657" s="44"/>
      <c r="B1657" s="31" t="str">
        <f>IF(_xll.TM1RPTELISCONSOLIDATED($H$20,$H1657),IF(_xll.TM1RPTELLEV($H$20,$H1657)&lt;=5,_xll.TM1RPTELLEV($H$20,$H1657),"Default"),"Leaf")</f>
        <v>Leaf</v>
      </c>
      <c r="C1657" s="26" t="s">
        <v>18</v>
      </c>
      <c r="D1657" s="24" t="str">
        <f>_xll.DBRW("TM1-S1_DEV:}ElementAttributes_SP_SKU",$F1657,D$1)</f>
        <v>Primary</v>
      </c>
      <c r="E1657" s="24" t="str">
        <f>_xll.DBRW("TM1-S1_DEV:}ElementAttributes_SP_SKU",$F1657,E$1)</f>
        <v>CAKE</v>
      </c>
      <c r="F1657" s="26" t="s">
        <v>3136</v>
      </c>
      <c r="G1657" s="26" t="s">
        <v>951</v>
      </c>
      <c r="H1657" s="26" t="s">
        <v>2679</v>
      </c>
      <c r="I1657" s="54">
        <f>_xll.DBRW($A$1,$F$14,$F$15,$C1657,$A$2,$F1657,$G1657,$H1657,I$1)</f>
        <v>53</v>
      </c>
      <c r="J1657" s="25">
        <f>_xll.DBRW($A$1,$F$14,$F$15,$C1657,$A$2,$F1657,$G1657,$H1657,J$19)</f>
        <v>43</v>
      </c>
    </row>
    <row r="1658" spans="1:10" s="23" customFormat="1" outlineLevel="1" thickBot="1" x14ac:dyDescent="0.3">
      <c r="A1658" s="44"/>
      <c r="B1658" s="31" t="str">
        <f>IF(_xll.TM1RPTELISCONSOLIDATED($H$20,$H1658),IF(_xll.TM1RPTELLEV($H$20,$H1658)&lt;=5,_xll.TM1RPTELLEV($H$20,$H1658),"Default"),"Leaf")</f>
        <v>Leaf</v>
      </c>
      <c r="C1658" s="26" t="s">
        <v>18</v>
      </c>
      <c r="D1658" s="24" t="str">
        <f>_xll.DBRW("TM1-S1_DEV:}ElementAttributes_SP_SKU",$F1658,D$1)</f>
        <v>Primary</v>
      </c>
      <c r="E1658" s="24" t="str">
        <f>_xll.DBRW("TM1-S1_DEV:}ElementAttributes_SP_SKU",$F1658,E$1)</f>
        <v>CAKE</v>
      </c>
      <c r="F1658" s="26" t="s">
        <v>3137</v>
      </c>
      <c r="G1658" s="26" t="s">
        <v>1587</v>
      </c>
      <c r="H1658" s="26" t="s">
        <v>2679</v>
      </c>
      <c r="I1658" s="54">
        <f>_xll.DBRW($A$1,$F$14,$F$15,$C1658,$A$2,$F1658,$G1658,$H1658,I$1)</f>
        <v>27</v>
      </c>
      <c r="J1658" s="25">
        <f>_xll.DBRW($A$1,$F$14,$F$15,$C1658,$A$2,$F1658,$G1658,$H1658,J$19)</f>
        <v>0</v>
      </c>
    </row>
    <row r="1659" spans="1:10" s="23" customFormat="1" outlineLevel="1" thickBot="1" x14ac:dyDescent="0.3">
      <c r="A1659" s="44"/>
      <c r="B1659" s="31" t="str">
        <f>IF(_xll.TM1RPTELISCONSOLIDATED($H$20,$H1659),IF(_xll.TM1RPTELLEV($H$20,$H1659)&lt;=5,_xll.TM1RPTELLEV($H$20,$H1659),"Default"),"Leaf")</f>
        <v>Leaf</v>
      </c>
      <c r="C1659" s="26" t="s">
        <v>18</v>
      </c>
      <c r="D1659" s="24" t="str">
        <f>_xll.DBRW("TM1-S1_DEV:}ElementAttributes_SP_SKU",$F1659,D$1)</f>
        <v>Primary</v>
      </c>
      <c r="E1659" s="24" t="str">
        <f>_xll.DBRW("TM1-S1_DEV:}ElementAttributes_SP_SKU",$F1659,E$1)</f>
        <v>CAKE</v>
      </c>
      <c r="F1659" s="26" t="s">
        <v>3138</v>
      </c>
      <c r="G1659" s="26" t="s">
        <v>1588</v>
      </c>
      <c r="H1659" s="26" t="s">
        <v>2680</v>
      </c>
      <c r="I1659" s="54">
        <f>_xll.DBRW($A$1,$F$14,$F$15,$C1659,$A$2,$F1659,$G1659,$H1659,I$1)</f>
        <v>13</v>
      </c>
      <c r="J1659" s="25">
        <f>_xll.DBRW($A$1,$F$14,$F$15,$C1659,$A$2,$F1659,$G1659,$H1659,J$19)</f>
        <v>6</v>
      </c>
    </row>
    <row r="1660" spans="1:10" s="23" customFormat="1" outlineLevel="1" thickBot="1" x14ac:dyDescent="0.3">
      <c r="A1660" s="44"/>
      <c r="B1660" s="31" t="str">
        <f>IF(_xll.TM1RPTELISCONSOLIDATED($H$20,$H1660),IF(_xll.TM1RPTELLEV($H$20,$H1660)&lt;=5,_xll.TM1RPTELLEV($H$20,$H1660),"Default"),"Leaf")</f>
        <v>Leaf</v>
      </c>
      <c r="C1660" s="26" t="s">
        <v>18</v>
      </c>
      <c r="D1660" s="24" t="str">
        <f>_xll.DBRW("TM1-S1_DEV:}ElementAttributes_SP_SKU",$F1660,D$1)</f>
        <v>Primary</v>
      </c>
      <c r="E1660" s="24" t="str">
        <f>_xll.DBRW("TM1-S1_DEV:}ElementAttributes_SP_SKU",$F1660,E$1)</f>
        <v>DESSERT</v>
      </c>
      <c r="F1660" s="26" t="s">
        <v>3139</v>
      </c>
      <c r="G1660" s="26" t="s">
        <v>1589</v>
      </c>
      <c r="H1660" s="26" t="s">
        <v>2681</v>
      </c>
      <c r="I1660" s="54">
        <f>_xll.DBRW($A$1,$F$14,$F$15,$C1660,$A$2,$F1660,$G1660,$H1660,I$1)</f>
        <v>47</v>
      </c>
      <c r="J1660" s="25">
        <f>_xll.DBRW($A$1,$F$14,$F$15,$C1660,$A$2,$F1660,$G1660,$H1660,J$19)</f>
        <v>34</v>
      </c>
    </row>
    <row r="1661" spans="1:10" s="23" customFormat="1" outlineLevel="1" thickBot="1" x14ac:dyDescent="0.3">
      <c r="A1661" s="44"/>
      <c r="B1661" s="31" t="str">
        <f>IF(_xll.TM1RPTELISCONSOLIDATED($H$20,$H1661),IF(_xll.TM1RPTELLEV($H$20,$H1661)&lt;=5,_xll.TM1RPTELLEV($H$20,$H1661),"Default"),"Leaf")</f>
        <v>Leaf</v>
      </c>
      <c r="C1661" s="26" t="s">
        <v>18</v>
      </c>
      <c r="D1661" s="24" t="str">
        <f>_xll.DBRW("TM1-S1_DEV:}ElementAttributes_SP_SKU",$F1661,D$1)</f>
        <v>Primary</v>
      </c>
      <c r="E1661" s="24" t="str">
        <f>_xll.DBRW("TM1-S1_DEV:}ElementAttributes_SP_SKU",$F1661,E$1)</f>
        <v>DESSERT</v>
      </c>
      <c r="F1661" s="26" t="s">
        <v>3140</v>
      </c>
      <c r="G1661" s="26" t="s">
        <v>1590</v>
      </c>
      <c r="H1661" s="26" t="s">
        <v>2681</v>
      </c>
      <c r="I1661" s="54">
        <f>_xll.DBRW($A$1,$F$14,$F$15,$C1661,$A$2,$F1661,$G1661,$H1661,I$1)</f>
        <v>52</v>
      </c>
      <c r="J1661" s="25">
        <f>_xll.DBRW($A$1,$F$14,$F$15,$C1661,$A$2,$F1661,$G1661,$H1661,J$19)</f>
        <v>39</v>
      </c>
    </row>
    <row r="1662" spans="1:10" s="23" customFormat="1" outlineLevel="1" thickBot="1" x14ac:dyDescent="0.3">
      <c r="A1662" s="44"/>
      <c r="B1662" s="31" t="str">
        <f>IF(_xll.TM1RPTELISCONSOLIDATED($H$20,$H1662),IF(_xll.TM1RPTELLEV($H$20,$H1662)&lt;=5,_xll.TM1RPTELLEV($H$20,$H1662),"Default"),"Leaf")</f>
        <v>Leaf</v>
      </c>
      <c r="C1662" s="26" t="s">
        <v>18</v>
      </c>
      <c r="D1662" s="24" t="str">
        <f>_xll.DBRW("TM1-S1_DEV:}ElementAttributes_SP_SKU",$F1662,D$1)</f>
        <v>Primary</v>
      </c>
      <c r="E1662" s="24" t="str">
        <f>_xll.DBRW("TM1-S1_DEV:}ElementAttributes_SP_SKU",$F1662,E$1)</f>
        <v>CAKE</v>
      </c>
      <c r="F1662" s="26" t="s">
        <v>3142</v>
      </c>
      <c r="G1662" s="26" t="s">
        <v>1591</v>
      </c>
      <c r="H1662" s="26" t="s">
        <v>2682</v>
      </c>
      <c r="I1662" s="54">
        <f>_xll.DBRW($A$1,$F$14,$F$15,$C1662,$A$2,$F1662,$G1662,$H1662,I$1)</f>
        <v>38</v>
      </c>
      <c r="J1662" s="25">
        <f>_xll.DBRW($A$1,$F$14,$F$15,$C1662,$A$2,$F1662,$G1662,$H1662,J$19)</f>
        <v>25</v>
      </c>
    </row>
    <row r="1663" spans="1:10" s="23" customFormat="1" outlineLevel="1" thickBot="1" x14ac:dyDescent="0.3">
      <c r="A1663" s="44"/>
      <c r="B1663" s="31" t="str">
        <f>IF(_xll.TM1RPTELISCONSOLIDATED($H$20,$H1663),IF(_xll.TM1RPTELLEV($H$20,$H1663)&lt;=5,_xll.TM1RPTELLEV($H$20,$H1663),"Default"),"Leaf")</f>
        <v>Leaf</v>
      </c>
      <c r="C1663" s="26" t="s">
        <v>18</v>
      </c>
      <c r="D1663" s="24" t="str">
        <f>_xll.DBRW("TM1-S1_DEV:}ElementAttributes_SP_SKU",$F1663,D$1)</f>
        <v>Primary</v>
      </c>
      <c r="E1663" s="24" t="str">
        <f>_xll.DBRW("TM1-S1_DEV:}ElementAttributes_SP_SKU",$F1663,E$1)</f>
        <v>CAKE</v>
      </c>
      <c r="F1663" s="26" t="s">
        <v>3143</v>
      </c>
      <c r="G1663" s="26" t="s">
        <v>1592</v>
      </c>
      <c r="H1663" s="26" t="s">
        <v>2682</v>
      </c>
      <c r="I1663" s="54">
        <f>_xll.DBRW($A$1,$F$14,$F$15,$C1663,$A$2,$F1663,$G1663,$H1663,I$1)</f>
        <v>3</v>
      </c>
      <c r="J1663" s="25">
        <f>_xll.DBRW($A$1,$F$14,$F$15,$C1663,$A$2,$F1663,$G1663,$H1663,J$19)</f>
        <v>-4</v>
      </c>
    </row>
    <row r="1664" spans="1:10" s="23" customFormat="1" outlineLevel="1" thickBot="1" x14ac:dyDescent="0.3">
      <c r="A1664" s="44"/>
      <c r="B1664" s="31" t="str">
        <f>IF(_xll.TM1RPTELISCONSOLIDATED($H$20,$H1664),IF(_xll.TM1RPTELLEV($H$20,$H1664)&lt;=5,_xll.TM1RPTELLEV($H$20,$H1664),"Default"),"Leaf")</f>
        <v>Leaf</v>
      </c>
      <c r="C1664" s="26" t="s">
        <v>18</v>
      </c>
      <c r="D1664" s="24" t="str">
        <f>_xll.DBRW("TM1-S1_DEV:}ElementAttributes_SP_SKU",$F1664,D$1)</f>
        <v>Primary</v>
      </c>
      <c r="E1664" s="24" t="str">
        <f>_xll.DBRW("TM1-S1_DEV:}ElementAttributes_SP_SKU",$F1664,E$1)</f>
        <v>CAKE</v>
      </c>
      <c r="F1664" s="26" t="s">
        <v>3144</v>
      </c>
      <c r="G1664" s="26" t="s">
        <v>1593</v>
      </c>
      <c r="H1664" s="26" t="s">
        <v>2679</v>
      </c>
      <c r="I1664" s="54">
        <f>_xll.DBRW($A$1,$F$14,$F$15,$C1664,$A$2,$F1664,$G1664,$H1664,I$1)</f>
        <v>8</v>
      </c>
      <c r="J1664" s="25">
        <f>_xll.DBRW($A$1,$F$14,$F$15,$C1664,$A$2,$F1664,$G1664,$H1664,J$19)</f>
        <v>8</v>
      </c>
    </row>
    <row r="1665" spans="1:10" s="23" customFormat="1" outlineLevel="1" thickBot="1" x14ac:dyDescent="0.3">
      <c r="A1665" s="44"/>
      <c r="B1665" s="31" t="str">
        <f>IF(_xll.TM1RPTELISCONSOLIDATED($H$20,$H1665),IF(_xll.TM1RPTELLEV($H$20,$H1665)&lt;=5,_xll.TM1RPTELLEV($H$20,$H1665),"Default"),"Leaf")</f>
        <v>Leaf</v>
      </c>
      <c r="C1665" s="26" t="s">
        <v>18</v>
      </c>
      <c r="D1665" s="24" t="str">
        <f>_xll.DBRW("TM1-S1_DEV:}ElementAttributes_SP_SKU",$F1665,D$1)</f>
        <v>Primary</v>
      </c>
      <c r="E1665" s="24" t="str">
        <f>_xll.DBRW("TM1-S1_DEV:}ElementAttributes_SP_SKU",$F1665,E$1)</f>
        <v>CAKE</v>
      </c>
      <c r="F1665" s="26" t="s">
        <v>3145</v>
      </c>
      <c r="G1665" s="26" t="s">
        <v>1594</v>
      </c>
      <c r="H1665" s="26" t="s">
        <v>2680</v>
      </c>
      <c r="I1665" s="54">
        <f>_xll.DBRW($A$1,$F$14,$F$15,$C1665,$A$2,$F1665,$G1665,$H1665,I$1)</f>
        <v>31</v>
      </c>
      <c r="J1665" s="25">
        <f>_xll.DBRW($A$1,$F$14,$F$15,$C1665,$A$2,$F1665,$G1665,$H1665,J$19)</f>
        <v>30</v>
      </c>
    </row>
    <row r="1666" spans="1:10" s="23" customFormat="1" outlineLevel="1" thickBot="1" x14ac:dyDescent="0.3">
      <c r="A1666" s="44"/>
      <c r="B1666" s="31" t="str">
        <f>IF(_xll.TM1RPTELISCONSOLIDATED($H$20,$H1666),IF(_xll.TM1RPTELLEV($H$20,$H1666)&lt;=5,_xll.TM1RPTELLEV($H$20,$H1666),"Default"),"Leaf")</f>
        <v>Leaf</v>
      </c>
      <c r="C1666" s="26" t="s">
        <v>18</v>
      </c>
      <c r="D1666" s="24" t="str">
        <f>_xll.DBRW("TM1-S1_DEV:}ElementAttributes_SP_SKU",$F1666,D$1)</f>
        <v>Primary</v>
      </c>
      <c r="E1666" s="24" t="str">
        <f>_xll.DBRW("TM1-S1_DEV:}ElementAttributes_SP_SKU",$F1666,E$1)</f>
        <v>CAKE</v>
      </c>
      <c r="F1666" s="26" t="s">
        <v>3146</v>
      </c>
      <c r="G1666" s="26" t="s">
        <v>1595</v>
      </c>
      <c r="H1666" s="26" t="s">
        <v>2680</v>
      </c>
      <c r="I1666" s="54">
        <f>_xll.DBRW($A$1,$F$14,$F$15,$C1666,$A$2,$F1666,$G1666,$H1666,I$1)</f>
        <v>51</v>
      </c>
      <c r="J1666" s="25">
        <f>_xll.DBRW($A$1,$F$14,$F$15,$C1666,$A$2,$F1666,$G1666,$H1666,J$19)</f>
        <v>45</v>
      </c>
    </row>
    <row r="1667" spans="1:10" s="23" customFormat="1" outlineLevel="1" thickBot="1" x14ac:dyDescent="0.3">
      <c r="A1667" s="44"/>
      <c r="B1667" s="31" t="str">
        <f>IF(_xll.TM1RPTELISCONSOLIDATED($H$20,$H1667),IF(_xll.TM1RPTELLEV($H$20,$H1667)&lt;=5,_xll.TM1RPTELLEV($H$20,$H1667),"Default"),"Leaf")</f>
        <v>Leaf</v>
      </c>
      <c r="C1667" s="26" t="s">
        <v>18</v>
      </c>
      <c r="D1667" s="24" t="str">
        <f>_xll.DBRW("TM1-S1_DEV:}ElementAttributes_SP_SKU",$F1667,D$1)</f>
        <v>Primary</v>
      </c>
      <c r="E1667" s="24" t="str">
        <f>_xll.DBRW("TM1-S1_DEV:}ElementAttributes_SP_SKU",$F1667,E$1)</f>
        <v>CONDIMENT</v>
      </c>
      <c r="F1667" s="26" t="s">
        <v>3147</v>
      </c>
      <c r="G1667" s="26" t="s">
        <v>1596</v>
      </c>
      <c r="H1667" s="26" t="s">
        <v>2683</v>
      </c>
      <c r="I1667" s="54">
        <f>_xll.DBRW($A$1,$F$14,$F$15,$C1667,$A$2,$F1667,$G1667,$H1667,I$1)</f>
        <v>30</v>
      </c>
      <c r="J1667" s="25">
        <f>_xll.DBRW($A$1,$F$14,$F$15,$C1667,$A$2,$F1667,$G1667,$H1667,J$19)</f>
        <v>29</v>
      </c>
    </row>
    <row r="1668" spans="1:10" s="23" customFormat="1" outlineLevel="1" thickBot="1" x14ac:dyDescent="0.3">
      <c r="A1668" s="44"/>
      <c r="B1668" s="31" t="str">
        <f>IF(_xll.TM1RPTELISCONSOLIDATED($H$20,$H1668),IF(_xll.TM1RPTELLEV($H$20,$H1668)&lt;=5,_xll.TM1RPTELLEV($H$20,$H1668),"Default"),"Leaf")</f>
        <v>Leaf</v>
      </c>
      <c r="C1668" s="26" t="s">
        <v>18</v>
      </c>
      <c r="D1668" s="24" t="str">
        <f>_xll.DBRW("TM1-S1_DEV:}ElementAttributes_SP_SKU",$F1668,D$1)</f>
        <v>Primary</v>
      </c>
      <c r="E1668" s="24" t="str">
        <f>_xll.DBRW("TM1-S1_DEV:}ElementAttributes_SP_SKU",$F1668,E$1)</f>
        <v>CONDIMENT</v>
      </c>
      <c r="F1668" s="26" t="s">
        <v>3148</v>
      </c>
      <c r="G1668" s="26" t="s">
        <v>1597</v>
      </c>
      <c r="H1668" s="26" t="s">
        <v>2684</v>
      </c>
      <c r="I1668" s="54">
        <f>_xll.DBRW($A$1,$F$14,$F$15,$C1668,$A$2,$F1668,$G1668,$H1668,I$1)</f>
        <v>0</v>
      </c>
      <c r="J1668" s="25">
        <f>_xll.DBRW($A$1,$F$14,$F$15,$C1668,$A$2,$F1668,$G1668,$H1668,J$19)</f>
        <v>-4</v>
      </c>
    </row>
    <row r="1669" spans="1:10" s="23" customFormat="1" outlineLevel="1" thickBot="1" x14ac:dyDescent="0.3">
      <c r="A1669" s="44"/>
      <c r="B1669" s="31" t="str">
        <f>IF(_xll.TM1RPTELISCONSOLIDATED($H$20,$H1669),IF(_xll.TM1RPTELLEV($H$20,$H1669)&lt;=5,_xll.TM1RPTELLEV($H$20,$H1669),"Default"),"Leaf")</f>
        <v>Leaf</v>
      </c>
      <c r="C1669" s="26" t="s">
        <v>18</v>
      </c>
      <c r="D1669" s="24" t="str">
        <f>_xll.DBRW("TM1-S1_DEV:}ElementAttributes_SP_SKU",$F1669,D$1)</f>
        <v>Primary</v>
      </c>
      <c r="E1669" s="24" t="str">
        <f>_xll.DBRW("TM1-S1_DEV:}ElementAttributes_SP_SKU",$F1669,E$1)</f>
        <v>CONDIMENT</v>
      </c>
      <c r="F1669" s="26" t="s">
        <v>3149</v>
      </c>
      <c r="G1669" s="26" t="s">
        <v>1598</v>
      </c>
      <c r="H1669" s="26" t="s">
        <v>2684</v>
      </c>
      <c r="I1669" s="54">
        <f>_xll.DBRW($A$1,$F$14,$F$15,$C1669,$A$2,$F1669,$G1669,$H1669,I$1)</f>
        <v>43</v>
      </c>
      <c r="J1669" s="25">
        <f>_xll.DBRW($A$1,$F$14,$F$15,$C1669,$A$2,$F1669,$G1669,$H1669,J$19)</f>
        <v>40</v>
      </c>
    </row>
    <row r="1670" spans="1:10" s="23" customFormat="1" outlineLevel="1" thickBot="1" x14ac:dyDescent="0.3">
      <c r="A1670" s="44"/>
      <c r="B1670" s="31" t="str">
        <f>IF(_xll.TM1RPTELISCONSOLIDATED($H$20,$H1670),IF(_xll.TM1RPTELLEV($H$20,$H1670)&lt;=5,_xll.TM1RPTELLEV($H$20,$H1670),"Default"),"Leaf")</f>
        <v>Leaf</v>
      </c>
      <c r="C1670" s="26" t="s">
        <v>18</v>
      </c>
      <c r="D1670" s="24" t="str">
        <f>_xll.DBRW("TM1-S1_DEV:}ElementAttributes_SP_SKU",$F1670,D$1)</f>
        <v>Primary</v>
      </c>
      <c r="E1670" s="24" t="str">
        <f>_xll.DBRW("TM1-S1_DEV:}ElementAttributes_SP_SKU",$F1670,E$1)</f>
        <v>CONDIMENT</v>
      </c>
      <c r="F1670" s="26" t="s">
        <v>3150</v>
      </c>
      <c r="G1670" s="26" t="s">
        <v>1599</v>
      </c>
      <c r="H1670" s="26" t="s">
        <v>2684</v>
      </c>
      <c r="I1670" s="54">
        <f>_xll.DBRW($A$1,$F$14,$F$15,$C1670,$A$2,$F1670,$G1670,$H1670,I$1)</f>
        <v>94</v>
      </c>
      <c r="J1670" s="25">
        <f>_xll.DBRW($A$1,$F$14,$F$15,$C1670,$A$2,$F1670,$G1670,$H1670,J$19)</f>
        <v>90</v>
      </c>
    </row>
    <row r="1671" spans="1:10" s="23" customFormat="1" outlineLevel="1" thickBot="1" x14ac:dyDescent="0.3">
      <c r="A1671" s="44"/>
      <c r="B1671" s="31" t="str">
        <f>IF(_xll.TM1RPTELISCONSOLIDATED($H$20,$H1671),IF(_xll.TM1RPTELLEV($H$20,$H1671)&lt;=5,_xll.TM1RPTELLEV($H$20,$H1671),"Default"),"Leaf")</f>
        <v>Leaf</v>
      </c>
      <c r="C1671" s="26" t="s">
        <v>18</v>
      </c>
      <c r="D1671" s="24" t="str">
        <f>_xll.DBRW("TM1-S1_DEV:}ElementAttributes_SP_SKU",$F1671,D$1)</f>
        <v>Primary</v>
      </c>
      <c r="E1671" s="24" t="str">
        <f>_xll.DBRW("TM1-S1_DEV:}ElementAttributes_SP_SKU",$F1671,E$1)</f>
        <v>CONDIMENT</v>
      </c>
      <c r="F1671" s="26" t="s">
        <v>3151</v>
      </c>
      <c r="G1671" s="26" t="s">
        <v>1600</v>
      </c>
      <c r="H1671" s="26" t="s">
        <v>2684</v>
      </c>
      <c r="I1671" s="54">
        <f>_xll.DBRW($A$1,$F$14,$F$15,$C1671,$A$2,$F1671,$G1671,$H1671,I$1)</f>
        <v>0</v>
      </c>
      <c r="J1671" s="25">
        <f>_xll.DBRW($A$1,$F$14,$F$15,$C1671,$A$2,$F1671,$G1671,$H1671,J$19)</f>
        <v>-1</v>
      </c>
    </row>
    <row r="1672" spans="1:10" s="23" customFormat="1" outlineLevel="1" thickBot="1" x14ac:dyDescent="0.3">
      <c r="A1672" s="44"/>
      <c r="B1672" s="31" t="str">
        <f>IF(_xll.TM1RPTELISCONSOLIDATED($H$20,$H1672),IF(_xll.TM1RPTELLEV($H$20,$H1672)&lt;=5,_xll.TM1RPTELLEV($H$20,$H1672),"Default"),"Leaf")</f>
        <v>Leaf</v>
      </c>
      <c r="C1672" s="26" t="s">
        <v>18</v>
      </c>
      <c r="D1672" s="24" t="str">
        <f>_xll.DBRW("TM1-S1_DEV:}ElementAttributes_SP_SKU",$F1672,D$1)</f>
        <v>Primary</v>
      </c>
      <c r="E1672" s="24" t="str">
        <f>_xll.DBRW("TM1-S1_DEV:}ElementAttributes_SP_SKU",$F1672,E$1)</f>
        <v>CONDIMENT</v>
      </c>
      <c r="F1672" s="26" t="s">
        <v>3152</v>
      </c>
      <c r="G1672" s="26" t="s">
        <v>1601</v>
      </c>
      <c r="H1672" s="26" t="s">
        <v>2684</v>
      </c>
      <c r="I1672" s="54">
        <f>_xll.DBRW($A$1,$F$14,$F$15,$C1672,$A$2,$F1672,$G1672,$H1672,I$1)</f>
        <v>11</v>
      </c>
      <c r="J1672" s="25">
        <f>_xll.DBRW($A$1,$F$14,$F$15,$C1672,$A$2,$F1672,$G1672,$H1672,J$19)</f>
        <v>10</v>
      </c>
    </row>
    <row r="1673" spans="1:10" s="23" customFormat="1" outlineLevel="1" thickBot="1" x14ac:dyDescent="0.3">
      <c r="A1673" s="44"/>
      <c r="B1673" s="31" t="str">
        <f>IF(_xll.TM1RPTELISCONSOLIDATED($H$20,$H1673),IF(_xll.TM1RPTELLEV($H$20,$H1673)&lt;=5,_xll.TM1RPTELLEV($H$20,$H1673),"Default"),"Leaf")</f>
        <v>Leaf</v>
      </c>
      <c r="C1673" s="26" t="s">
        <v>18</v>
      </c>
      <c r="D1673" s="24" t="str">
        <f>_xll.DBRW("TM1-S1_DEV:}ElementAttributes_SP_SKU",$F1673,D$1)</f>
        <v>Primary</v>
      </c>
      <c r="E1673" s="24" t="str">
        <f>_xll.DBRW("TM1-S1_DEV:}ElementAttributes_SP_SKU",$F1673,E$1)</f>
        <v>CONDIMENT</v>
      </c>
      <c r="F1673" s="26" t="s">
        <v>3153</v>
      </c>
      <c r="G1673" s="26" t="s">
        <v>1602</v>
      </c>
      <c r="H1673" s="26" t="s">
        <v>2684</v>
      </c>
      <c r="I1673" s="54">
        <f>_xll.DBRW($A$1,$F$14,$F$15,$C1673,$A$2,$F1673,$G1673,$H1673,I$1)</f>
        <v>13</v>
      </c>
      <c r="J1673" s="25">
        <f>_xll.DBRW($A$1,$F$14,$F$15,$C1673,$A$2,$F1673,$G1673,$H1673,J$19)</f>
        <v>12</v>
      </c>
    </row>
    <row r="1674" spans="1:10" s="23" customFormat="1" outlineLevel="1" thickBot="1" x14ac:dyDescent="0.3">
      <c r="A1674" s="44"/>
      <c r="B1674" s="31" t="str">
        <f>IF(_xll.TM1RPTELISCONSOLIDATED($H$20,$H1674),IF(_xll.TM1RPTELLEV($H$20,$H1674)&lt;=5,_xll.TM1RPTELLEV($H$20,$H1674),"Default"),"Leaf")</f>
        <v>Leaf</v>
      </c>
      <c r="C1674" s="26" t="s">
        <v>18</v>
      </c>
      <c r="D1674" s="24" t="str">
        <f>_xll.DBRW("TM1-S1_DEV:}ElementAttributes_SP_SKU",$F1674,D$1)</f>
        <v>Primary</v>
      </c>
      <c r="E1674" s="24" t="str">
        <f>_xll.DBRW("TM1-S1_DEV:}ElementAttributes_SP_SKU",$F1674,E$1)</f>
        <v>CONDIMENT</v>
      </c>
      <c r="F1674" s="26" t="s">
        <v>3154</v>
      </c>
      <c r="G1674" s="26" t="s">
        <v>1603</v>
      </c>
      <c r="H1674" s="26" t="s">
        <v>2684</v>
      </c>
      <c r="I1674" s="54">
        <f>_xll.DBRW($A$1,$F$14,$F$15,$C1674,$A$2,$F1674,$G1674,$H1674,I$1)</f>
        <v>70</v>
      </c>
      <c r="J1674" s="25">
        <f>_xll.DBRW($A$1,$F$14,$F$15,$C1674,$A$2,$F1674,$G1674,$H1674,J$19)</f>
        <v>61</v>
      </c>
    </row>
    <row r="1675" spans="1:10" s="23" customFormat="1" outlineLevel="1" thickBot="1" x14ac:dyDescent="0.3">
      <c r="A1675" s="44"/>
      <c r="B1675" s="31" t="str">
        <f>IF(_xll.TM1RPTELISCONSOLIDATED($H$20,$H1675),IF(_xll.TM1RPTELLEV($H$20,$H1675)&lt;=5,_xll.TM1RPTELLEV($H$20,$H1675),"Default"),"Leaf")</f>
        <v>Leaf</v>
      </c>
      <c r="C1675" s="26" t="s">
        <v>18</v>
      </c>
      <c r="D1675" s="24" t="str">
        <f>_xll.DBRW("TM1-S1_DEV:}ElementAttributes_SP_SKU",$F1675,D$1)</f>
        <v>Primary</v>
      </c>
      <c r="E1675" s="24" t="str">
        <f>_xll.DBRW("TM1-S1_DEV:}ElementAttributes_SP_SKU",$F1675,E$1)</f>
        <v>DRESSING</v>
      </c>
      <c r="F1675" s="26" t="s">
        <v>3155</v>
      </c>
      <c r="G1675" s="26" t="s">
        <v>1604</v>
      </c>
      <c r="H1675" s="26" t="s">
        <v>2685</v>
      </c>
      <c r="I1675" s="54">
        <f>_xll.DBRW($A$1,$F$14,$F$15,$C1675,$A$2,$F1675,$G1675,$H1675,I$1)</f>
        <v>0</v>
      </c>
      <c r="J1675" s="25">
        <f>_xll.DBRW($A$1,$F$14,$F$15,$C1675,$A$2,$F1675,$G1675,$H1675,J$19)</f>
        <v>-3</v>
      </c>
    </row>
    <row r="1676" spans="1:10" s="23" customFormat="1" outlineLevel="1" thickBot="1" x14ac:dyDescent="0.3">
      <c r="A1676" s="44"/>
      <c r="B1676" s="31" t="str">
        <f>IF(_xll.TM1RPTELISCONSOLIDATED($H$20,$H1676),IF(_xll.TM1RPTELLEV($H$20,$H1676)&lt;=5,_xll.TM1RPTELLEV($H$20,$H1676),"Default"),"Leaf")</f>
        <v>Leaf</v>
      </c>
      <c r="C1676" s="26" t="s">
        <v>18</v>
      </c>
      <c r="D1676" s="24" t="str">
        <f>_xll.DBRW("TM1-S1_DEV:}ElementAttributes_SP_SKU",$F1676,D$1)</f>
        <v>Primary</v>
      </c>
      <c r="E1676" s="24" t="str">
        <f>_xll.DBRW("TM1-S1_DEV:}ElementAttributes_SP_SKU",$F1676,E$1)</f>
        <v>DRESSING</v>
      </c>
      <c r="F1676" s="26" t="s">
        <v>3156</v>
      </c>
      <c r="G1676" s="26" t="s">
        <v>1605</v>
      </c>
      <c r="H1676" s="26" t="s">
        <v>2685</v>
      </c>
      <c r="I1676" s="54">
        <f>_xll.DBRW($A$1,$F$14,$F$15,$C1676,$A$2,$F1676,$G1676,$H1676,I$1)</f>
        <v>1</v>
      </c>
      <c r="J1676" s="25">
        <f>_xll.DBRW($A$1,$F$14,$F$15,$C1676,$A$2,$F1676,$G1676,$H1676,J$19)</f>
        <v>-3</v>
      </c>
    </row>
    <row r="1677" spans="1:10" s="23" customFormat="1" outlineLevel="1" thickBot="1" x14ac:dyDescent="0.3">
      <c r="A1677" s="44"/>
      <c r="B1677" s="31" t="str">
        <f>IF(_xll.TM1RPTELISCONSOLIDATED($H$20,$H1677),IF(_xll.TM1RPTELLEV($H$20,$H1677)&lt;=5,_xll.TM1RPTELLEV($H$20,$H1677),"Default"),"Leaf")</f>
        <v>Leaf</v>
      </c>
      <c r="C1677" s="26" t="s">
        <v>18</v>
      </c>
      <c r="D1677" s="24" t="str">
        <f>_xll.DBRW("TM1-S1_DEV:}ElementAttributes_SP_SKU",$F1677,D$1)</f>
        <v>Primary</v>
      </c>
      <c r="E1677" s="24" t="str">
        <f>_xll.DBRW("TM1-S1_DEV:}ElementAttributes_SP_SKU",$F1677,E$1)</f>
        <v>DRESSING</v>
      </c>
      <c r="F1677" s="26" t="s">
        <v>3157</v>
      </c>
      <c r="G1677" s="26" t="s">
        <v>1606</v>
      </c>
      <c r="H1677" s="26" t="s">
        <v>2685</v>
      </c>
      <c r="I1677" s="54">
        <f>_xll.DBRW($A$1,$F$14,$F$15,$C1677,$A$2,$F1677,$G1677,$H1677,I$1)</f>
        <v>7</v>
      </c>
      <c r="J1677" s="25">
        <f>_xll.DBRW($A$1,$F$14,$F$15,$C1677,$A$2,$F1677,$G1677,$H1677,J$19)</f>
        <v>7</v>
      </c>
    </row>
    <row r="1678" spans="1:10" s="23" customFormat="1" outlineLevel="1" thickBot="1" x14ac:dyDescent="0.3">
      <c r="A1678" s="44"/>
      <c r="B1678" s="31" t="str">
        <f>IF(_xll.TM1RPTELISCONSOLIDATED($H$20,$H1678),IF(_xll.TM1RPTELLEV($H$20,$H1678)&lt;=5,_xll.TM1RPTELLEV($H$20,$H1678),"Default"),"Leaf")</f>
        <v>Leaf</v>
      </c>
      <c r="C1678" s="26" t="s">
        <v>18</v>
      </c>
      <c r="D1678" s="24" t="str">
        <f>_xll.DBRW("TM1-S1_DEV:}ElementAttributes_SP_SKU",$F1678,D$1)</f>
        <v>Primary</v>
      </c>
      <c r="E1678" s="24" t="str">
        <f>_xll.DBRW("TM1-S1_DEV:}ElementAttributes_SP_SKU",$F1678,E$1)</f>
        <v>DRESSING</v>
      </c>
      <c r="F1678" s="26" t="s">
        <v>3158</v>
      </c>
      <c r="G1678" s="26" t="s">
        <v>1607</v>
      </c>
      <c r="H1678" s="26" t="s">
        <v>2685</v>
      </c>
      <c r="I1678" s="54">
        <f>_xll.DBRW($A$1,$F$14,$F$15,$C1678,$A$2,$F1678,$G1678,$H1678,I$1)</f>
        <v>3</v>
      </c>
      <c r="J1678" s="25">
        <f>_xll.DBRW($A$1,$F$14,$F$15,$C1678,$A$2,$F1678,$G1678,$H1678,J$19)</f>
        <v>3</v>
      </c>
    </row>
    <row r="1679" spans="1:10" s="23" customFormat="1" outlineLevel="1" thickBot="1" x14ac:dyDescent="0.3">
      <c r="A1679" s="44"/>
      <c r="B1679" s="31" t="str">
        <f>IF(_xll.TM1RPTELISCONSOLIDATED($H$20,$H1679),IF(_xll.TM1RPTELLEV($H$20,$H1679)&lt;=5,_xll.TM1RPTELLEV($H$20,$H1679),"Default"),"Leaf")</f>
        <v>Leaf</v>
      </c>
      <c r="C1679" s="26" t="s">
        <v>18</v>
      </c>
      <c r="D1679" s="24" t="str">
        <f>_xll.DBRW("TM1-S1_DEV:}ElementAttributes_SP_SKU",$F1679,D$1)</f>
        <v>Primary</v>
      </c>
      <c r="E1679" s="24" t="str">
        <f>_xll.DBRW("TM1-S1_DEV:}ElementAttributes_SP_SKU",$F1679,E$1)</f>
        <v>DRESSING</v>
      </c>
      <c r="F1679" s="26" t="s">
        <v>3159</v>
      </c>
      <c r="G1679" s="26" t="s">
        <v>1608</v>
      </c>
      <c r="H1679" s="26" t="s">
        <v>2685</v>
      </c>
      <c r="I1679" s="54">
        <f>_xll.DBRW($A$1,$F$14,$F$15,$C1679,$A$2,$F1679,$G1679,$H1679,I$1)</f>
        <v>11</v>
      </c>
      <c r="J1679" s="25">
        <f>_xll.DBRW($A$1,$F$14,$F$15,$C1679,$A$2,$F1679,$G1679,$H1679,J$19)</f>
        <v>8</v>
      </c>
    </row>
    <row r="1680" spans="1:10" s="23" customFormat="1" outlineLevel="1" thickBot="1" x14ac:dyDescent="0.3">
      <c r="A1680" s="44"/>
      <c r="B1680" s="31" t="str">
        <f>IF(_xll.TM1RPTELISCONSOLIDATED($H$20,$H1680),IF(_xll.TM1RPTELLEV($H$20,$H1680)&lt;=5,_xll.TM1RPTELLEV($H$20,$H1680),"Default"),"Leaf")</f>
        <v>Leaf</v>
      </c>
      <c r="C1680" s="26" t="s">
        <v>18</v>
      </c>
      <c r="D1680" s="24" t="str">
        <f>_xll.DBRW("TM1-S1_DEV:}ElementAttributes_SP_SKU",$F1680,D$1)</f>
        <v>Primary</v>
      </c>
      <c r="E1680" s="24" t="str">
        <f>_xll.DBRW("TM1-S1_DEV:}ElementAttributes_SP_SKU",$F1680,E$1)</f>
        <v>DRESSING</v>
      </c>
      <c r="F1680" s="26" t="s">
        <v>3160</v>
      </c>
      <c r="G1680" s="26" t="s">
        <v>1609</v>
      </c>
      <c r="H1680" s="26" t="s">
        <v>2686</v>
      </c>
      <c r="I1680" s="54">
        <f>_xll.DBRW($A$1,$F$14,$F$15,$C1680,$A$2,$F1680,$G1680,$H1680,I$1)</f>
        <v>17</v>
      </c>
      <c r="J1680" s="25">
        <f>_xll.DBRW($A$1,$F$14,$F$15,$C1680,$A$2,$F1680,$G1680,$H1680,J$19)</f>
        <v>16</v>
      </c>
    </row>
    <row r="1681" spans="1:10" s="23" customFormat="1" outlineLevel="1" thickBot="1" x14ac:dyDescent="0.3">
      <c r="A1681" s="44"/>
      <c r="B1681" s="31" t="str">
        <f>IF(_xll.TM1RPTELISCONSOLIDATED($H$20,$H1681),IF(_xll.TM1RPTELLEV($H$20,$H1681)&lt;=5,_xll.TM1RPTELLEV($H$20,$H1681),"Default"),"Leaf")</f>
        <v>Leaf</v>
      </c>
      <c r="C1681" s="26" t="s">
        <v>18</v>
      </c>
      <c r="D1681" s="24" t="str">
        <f>_xll.DBRW("TM1-S1_DEV:}ElementAttributes_SP_SKU",$F1681,D$1)</f>
        <v>Primary</v>
      </c>
      <c r="E1681" s="24" t="str">
        <f>_xll.DBRW("TM1-S1_DEV:}ElementAttributes_SP_SKU",$F1681,E$1)</f>
        <v>DRESSING</v>
      </c>
      <c r="F1681" s="26" t="s">
        <v>3161</v>
      </c>
      <c r="G1681" s="26" t="s">
        <v>1610</v>
      </c>
      <c r="H1681" s="26" t="s">
        <v>2685</v>
      </c>
      <c r="I1681" s="54">
        <f>_xll.DBRW($A$1,$F$14,$F$15,$C1681,$A$2,$F1681,$G1681,$H1681,I$1)</f>
        <v>10</v>
      </c>
      <c r="J1681" s="25">
        <f>_xll.DBRW($A$1,$F$14,$F$15,$C1681,$A$2,$F1681,$G1681,$H1681,J$19)</f>
        <v>10</v>
      </c>
    </row>
    <row r="1682" spans="1:10" s="23" customFormat="1" outlineLevel="1" thickBot="1" x14ac:dyDescent="0.3">
      <c r="A1682" s="44"/>
      <c r="B1682" s="31" t="str">
        <f>IF(_xll.TM1RPTELISCONSOLIDATED($H$20,$H1682),IF(_xll.TM1RPTELLEV($H$20,$H1682)&lt;=5,_xll.TM1RPTELLEV($H$20,$H1682),"Default"),"Leaf")</f>
        <v>Leaf</v>
      </c>
      <c r="C1682" s="26" t="s">
        <v>18</v>
      </c>
      <c r="D1682" s="24" t="str">
        <f>_xll.DBRW("TM1-S1_DEV:}ElementAttributes_SP_SKU",$F1682,D$1)</f>
        <v>Primary</v>
      </c>
      <c r="E1682" s="24" t="str">
        <f>_xll.DBRW("TM1-S1_DEV:}ElementAttributes_SP_SKU",$F1682,E$1)</f>
        <v>INGREDIENT</v>
      </c>
      <c r="F1682" s="26" t="s">
        <v>3273</v>
      </c>
      <c r="G1682" s="26" t="s">
        <v>1611</v>
      </c>
      <c r="H1682" s="26" t="s">
        <v>2684</v>
      </c>
      <c r="I1682" s="54">
        <f>_xll.DBRW($A$1,$F$14,$F$15,$C1682,$A$2,$F1682,$G1682,$H1682,I$1)</f>
        <v>36</v>
      </c>
      <c r="J1682" s="25">
        <f>_xll.DBRW($A$1,$F$14,$F$15,$C1682,$A$2,$F1682,$G1682,$H1682,J$19)</f>
        <v>34</v>
      </c>
    </row>
    <row r="1683" spans="1:10" s="23" customFormat="1" outlineLevel="1" thickBot="1" x14ac:dyDescent="0.3">
      <c r="A1683" s="44"/>
      <c r="B1683" s="31" t="str">
        <f>IF(_xll.TM1RPTELISCONSOLIDATED($H$20,$H1683),IF(_xll.TM1RPTELLEV($H$20,$H1683)&lt;=5,_xll.TM1RPTELLEV($H$20,$H1683),"Default"),"Leaf")</f>
        <v>Leaf</v>
      </c>
      <c r="C1683" s="26" t="s">
        <v>18</v>
      </c>
      <c r="D1683" s="24" t="str">
        <f>_xll.DBRW("TM1-S1_DEV:}ElementAttributes_SP_SKU",$F1683,D$1)</f>
        <v>Primary</v>
      </c>
      <c r="E1683" s="24" t="str">
        <f>_xll.DBRW("TM1-S1_DEV:}ElementAttributes_SP_SKU",$F1683,E$1)</f>
        <v>CONDIMENT</v>
      </c>
      <c r="F1683" s="26" t="s">
        <v>3162</v>
      </c>
      <c r="G1683" s="26" t="s">
        <v>1612</v>
      </c>
      <c r="H1683" s="26" t="s">
        <v>2686</v>
      </c>
      <c r="I1683" s="54">
        <f>_xll.DBRW($A$1,$F$14,$F$15,$C1683,$A$2,$F1683,$G1683,$H1683,I$1)</f>
        <v>13</v>
      </c>
      <c r="J1683" s="25">
        <f>_xll.DBRW($A$1,$F$14,$F$15,$C1683,$A$2,$F1683,$G1683,$H1683,J$19)</f>
        <v>12</v>
      </c>
    </row>
    <row r="1684" spans="1:10" s="23" customFormat="1" outlineLevel="1" thickBot="1" x14ac:dyDescent="0.3">
      <c r="A1684" s="44"/>
      <c r="B1684" s="31" t="str">
        <f>IF(_xll.TM1RPTELISCONSOLIDATED($H$20,$H1684),IF(_xll.TM1RPTELLEV($H$20,$H1684)&lt;=5,_xll.TM1RPTELLEV($H$20,$H1684),"Default"),"Leaf")</f>
        <v>Leaf</v>
      </c>
      <c r="C1684" s="26" t="s">
        <v>18</v>
      </c>
      <c r="D1684" s="24" t="str">
        <f>_xll.DBRW("TM1-S1_DEV:}ElementAttributes_SP_SKU",$F1684,D$1)</f>
        <v>Primary</v>
      </c>
      <c r="E1684" s="24" t="str">
        <f>_xll.DBRW("TM1-S1_DEV:}ElementAttributes_SP_SKU",$F1684,E$1)</f>
        <v>BREAD</v>
      </c>
      <c r="F1684" s="26" t="s">
        <v>3163</v>
      </c>
      <c r="G1684" s="26" t="s">
        <v>1613</v>
      </c>
      <c r="H1684" s="26" t="s">
        <v>2687</v>
      </c>
      <c r="I1684" s="54">
        <f>_xll.DBRW($A$1,$F$14,$F$15,$C1684,$A$2,$F1684,$G1684,$H1684,I$1)</f>
        <v>225</v>
      </c>
      <c r="J1684" s="25">
        <f>_xll.DBRW($A$1,$F$14,$F$15,$C1684,$A$2,$F1684,$G1684,$H1684,J$19)</f>
        <v>200</v>
      </c>
    </row>
    <row r="1685" spans="1:10" s="23" customFormat="1" outlineLevel="1" thickBot="1" x14ac:dyDescent="0.3">
      <c r="A1685" s="44"/>
      <c r="B1685" s="31" t="str">
        <f>IF(_xll.TM1RPTELISCONSOLIDATED($H$20,$H1685),IF(_xll.TM1RPTELLEV($H$20,$H1685)&lt;=5,_xll.TM1RPTELLEV($H$20,$H1685),"Default"),"Leaf")</f>
        <v>Leaf</v>
      </c>
      <c r="C1685" s="26" t="s">
        <v>18</v>
      </c>
      <c r="D1685" s="24" t="str">
        <f>_xll.DBRW("TM1-S1_DEV:}ElementAttributes_SP_SKU",$F1685,D$1)</f>
        <v>Primary</v>
      </c>
      <c r="E1685" s="24" t="str">
        <f>_xll.DBRW("TM1-S1_DEV:}ElementAttributes_SP_SKU",$F1685,E$1)</f>
        <v>BREAD</v>
      </c>
      <c r="F1685" s="26" t="s">
        <v>3164</v>
      </c>
      <c r="G1685" s="26" t="s">
        <v>1614</v>
      </c>
      <c r="H1685" s="26" t="s">
        <v>2687</v>
      </c>
      <c r="I1685" s="54">
        <f>_xll.DBRW($A$1,$F$14,$F$15,$C1685,$A$2,$F1685,$G1685,$H1685,I$1)</f>
        <v>280</v>
      </c>
      <c r="J1685" s="25">
        <f>_xll.DBRW($A$1,$F$14,$F$15,$C1685,$A$2,$F1685,$G1685,$H1685,J$19)</f>
        <v>257</v>
      </c>
    </row>
    <row r="1686" spans="1:10" s="23" customFormat="1" outlineLevel="1" thickBot="1" x14ac:dyDescent="0.3">
      <c r="A1686" s="44"/>
      <c r="B1686" s="31" t="str">
        <f>IF(_xll.TM1RPTELISCONSOLIDATED($H$20,$H1686),IF(_xll.TM1RPTELLEV($H$20,$H1686)&lt;=5,_xll.TM1RPTELLEV($H$20,$H1686),"Default"),"Leaf")</f>
        <v>Leaf</v>
      </c>
      <c r="C1686" s="26" t="s">
        <v>18</v>
      </c>
      <c r="D1686" s="24" t="str">
        <f>_xll.DBRW("TM1-S1_DEV:}ElementAttributes_SP_SKU",$F1686,D$1)</f>
        <v>Primary</v>
      </c>
      <c r="E1686" s="24" t="str">
        <f>_xll.DBRW("TM1-S1_DEV:}ElementAttributes_SP_SKU",$F1686,E$1)</f>
        <v>BREAD</v>
      </c>
      <c r="F1686" s="26" t="s">
        <v>3165</v>
      </c>
      <c r="G1686" s="26" t="s">
        <v>1615</v>
      </c>
      <c r="H1686" s="26" t="s">
        <v>2688</v>
      </c>
      <c r="I1686" s="54">
        <f>_xll.DBRW($A$1,$F$14,$F$15,$C1686,$A$2,$F1686,$G1686,$H1686,I$1)</f>
        <v>259</v>
      </c>
      <c r="J1686" s="25">
        <f>_xll.DBRW($A$1,$F$14,$F$15,$C1686,$A$2,$F1686,$G1686,$H1686,J$19)</f>
        <v>205</v>
      </c>
    </row>
    <row r="1687" spans="1:10" s="23" customFormat="1" outlineLevel="1" thickBot="1" x14ac:dyDescent="0.3">
      <c r="A1687" s="44"/>
      <c r="B1687" s="31" t="str">
        <f>IF(_xll.TM1RPTELISCONSOLIDATED($H$20,$H1687),IF(_xll.TM1RPTELLEV($H$20,$H1687)&lt;=5,_xll.TM1RPTELLEV($H$20,$H1687),"Default"),"Leaf")</f>
        <v>Leaf</v>
      </c>
      <c r="C1687" s="26" t="s">
        <v>18</v>
      </c>
      <c r="D1687" s="24" t="str">
        <f>_xll.DBRW("TM1-S1_DEV:}ElementAttributes_SP_SKU",$F1687,D$1)</f>
        <v>Primary</v>
      </c>
      <c r="E1687" s="24" t="str">
        <f>_xll.DBRW("TM1-S1_DEV:}ElementAttributes_SP_SKU",$F1687,E$1)</f>
        <v>BREAD</v>
      </c>
      <c r="F1687" s="26" t="s">
        <v>3166</v>
      </c>
      <c r="G1687" s="26" t="s">
        <v>786</v>
      </c>
      <c r="H1687" s="26" t="s">
        <v>2689</v>
      </c>
      <c r="I1687" s="54">
        <f>_xll.DBRW($A$1,$F$14,$F$15,$C1687,$A$2,$F1687,$G1687,$H1687,I$1)</f>
        <v>216</v>
      </c>
      <c r="J1687" s="25">
        <f>_xll.DBRW($A$1,$F$14,$F$15,$C1687,$A$2,$F1687,$G1687,$H1687,J$19)</f>
        <v>154</v>
      </c>
    </row>
    <row r="1688" spans="1:10" s="23" customFormat="1" outlineLevel="1" thickBot="1" x14ac:dyDescent="0.3">
      <c r="A1688" s="44"/>
      <c r="B1688" s="31" t="str">
        <f>IF(_xll.TM1RPTELISCONSOLIDATED($H$20,$H1688),IF(_xll.TM1RPTELLEV($H$20,$H1688)&lt;=5,_xll.TM1RPTELLEV($H$20,$H1688),"Default"),"Leaf")</f>
        <v>Leaf</v>
      </c>
      <c r="C1688" s="26" t="s">
        <v>18</v>
      </c>
      <c r="D1688" s="24" t="str">
        <f>_xll.DBRW("TM1-S1_DEV:}ElementAttributes_SP_SKU",$F1688,D$1)</f>
        <v>Primary</v>
      </c>
      <c r="E1688" s="24" t="str">
        <f>_xll.DBRW("TM1-S1_DEV:}ElementAttributes_SP_SKU",$F1688,E$1)</f>
        <v>BREAD</v>
      </c>
      <c r="F1688" s="26" t="s">
        <v>3167</v>
      </c>
      <c r="G1688" s="26" t="s">
        <v>1616</v>
      </c>
      <c r="H1688" s="26" t="s">
        <v>2688</v>
      </c>
      <c r="I1688" s="54">
        <f>_xll.DBRW($A$1,$F$14,$F$15,$C1688,$A$2,$F1688,$G1688,$H1688,I$1)</f>
        <v>106</v>
      </c>
      <c r="J1688" s="25">
        <f>_xll.DBRW($A$1,$F$14,$F$15,$C1688,$A$2,$F1688,$G1688,$H1688,J$19)</f>
        <v>82</v>
      </c>
    </row>
    <row r="1689" spans="1:10" s="23" customFormat="1" outlineLevel="1" thickBot="1" x14ac:dyDescent="0.3">
      <c r="A1689" s="44"/>
      <c r="B1689" s="31" t="str">
        <f>IF(_xll.TM1RPTELISCONSOLIDATED($H$20,$H1689),IF(_xll.TM1RPTELLEV($H$20,$H1689)&lt;=5,_xll.TM1RPTELLEV($H$20,$H1689),"Default"),"Leaf")</f>
        <v>Leaf</v>
      </c>
      <c r="C1689" s="26" t="s">
        <v>18</v>
      </c>
      <c r="D1689" s="24" t="str">
        <f>_xll.DBRW("TM1-S1_DEV:}ElementAttributes_SP_SKU",$F1689,D$1)</f>
        <v>Primary</v>
      </c>
      <c r="E1689" s="24" t="str">
        <f>_xll.DBRW("TM1-S1_DEV:}ElementAttributes_SP_SKU",$F1689,E$1)</f>
        <v>BREAD</v>
      </c>
      <c r="F1689" s="26" t="s">
        <v>3168</v>
      </c>
      <c r="G1689" s="26" t="s">
        <v>1617</v>
      </c>
      <c r="H1689" s="26" t="s">
        <v>2688</v>
      </c>
      <c r="I1689" s="54">
        <f>_xll.DBRW($A$1,$F$14,$F$15,$C1689,$A$2,$F1689,$G1689,$H1689,I$1)</f>
        <v>70</v>
      </c>
      <c r="J1689" s="25">
        <f>_xll.DBRW($A$1,$F$14,$F$15,$C1689,$A$2,$F1689,$G1689,$H1689,J$19)</f>
        <v>54</v>
      </c>
    </row>
    <row r="1690" spans="1:10" s="23" customFormat="1" outlineLevel="1" thickBot="1" x14ac:dyDescent="0.3">
      <c r="A1690" s="44"/>
      <c r="B1690" s="31" t="str">
        <f>IF(_xll.TM1RPTELISCONSOLIDATED($H$20,$H1690),IF(_xll.TM1RPTELLEV($H$20,$H1690)&lt;=5,_xll.TM1RPTELLEV($H$20,$H1690),"Default"),"Leaf")</f>
        <v>Leaf</v>
      </c>
      <c r="C1690" s="26" t="s">
        <v>18</v>
      </c>
      <c r="D1690" s="24" t="str">
        <f>_xll.DBRW("TM1-S1_DEV:}ElementAttributes_SP_SKU",$F1690,D$1)</f>
        <v>Primary</v>
      </c>
      <c r="E1690" s="24" t="str">
        <f>_xll.DBRW("TM1-S1_DEV:}ElementAttributes_SP_SKU",$F1690,E$1)</f>
        <v>BREAD</v>
      </c>
      <c r="F1690" s="26" t="s">
        <v>3169</v>
      </c>
      <c r="G1690" s="26" t="s">
        <v>1618</v>
      </c>
      <c r="H1690" s="26" t="s">
        <v>2690</v>
      </c>
      <c r="I1690" s="54">
        <f>_xll.DBRW($A$1,$F$14,$F$15,$C1690,$A$2,$F1690,$G1690,$H1690,I$1)</f>
        <v>154</v>
      </c>
      <c r="J1690" s="25">
        <f>_xll.DBRW($A$1,$F$14,$F$15,$C1690,$A$2,$F1690,$G1690,$H1690,J$19)</f>
        <v>126</v>
      </c>
    </row>
    <row r="1691" spans="1:10" s="23" customFormat="1" outlineLevel="1" thickBot="1" x14ac:dyDescent="0.3">
      <c r="A1691" s="44"/>
      <c r="B1691" s="31" t="str">
        <f>IF(_xll.TM1RPTELISCONSOLIDATED($H$20,$H1691),IF(_xll.TM1RPTELLEV($H$20,$H1691)&lt;=5,_xll.TM1RPTELLEV($H$20,$H1691),"Default"),"Leaf")</f>
        <v>Leaf</v>
      </c>
      <c r="C1691" s="26" t="s">
        <v>18</v>
      </c>
      <c r="D1691" s="24" t="str">
        <f>_xll.DBRW("TM1-S1_DEV:}ElementAttributes_SP_SKU",$F1691,D$1)</f>
        <v>Primary</v>
      </c>
      <c r="E1691" s="24" t="str">
        <f>_xll.DBRW("TM1-S1_DEV:}ElementAttributes_SP_SKU",$F1691,E$1)</f>
        <v>BREAD</v>
      </c>
      <c r="F1691" s="26" t="s">
        <v>3170</v>
      </c>
      <c r="G1691" s="26" t="s">
        <v>1619</v>
      </c>
      <c r="H1691" s="26" t="s">
        <v>2690</v>
      </c>
      <c r="I1691" s="54">
        <f>_xll.DBRW($A$1,$F$14,$F$15,$C1691,$A$2,$F1691,$G1691,$H1691,I$1)</f>
        <v>2</v>
      </c>
      <c r="J1691" s="25">
        <f>_xll.DBRW($A$1,$F$14,$F$15,$C1691,$A$2,$F1691,$G1691,$H1691,J$19)</f>
        <v>2</v>
      </c>
    </row>
    <row r="1692" spans="1:10" s="23" customFormat="1" outlineLevel="1" thickBot="1" x14ac:dyDescent="0.3">
      <c r="A1692" s="44"/>
      <c r="B1692" s="31" t="str">
        <f>IF(_xll.TM1RPTELISCONSOLIDATED($H$20,$H1692),IF(_xll.TM1RPTELLEV($H$20,$H1692)&lt;=5,_xll.TM1RPTELLEV($H$20,$H1692),"Default"),"Leaf")</f>
        <v>Leaf</v>
      </c>
      <c r="C1692" s="26" t="s">
        <v>18</v>
      </c>
      <c r="D1692" s="24" t="str">
        <f>_xll.DBRW("TM1-S1_DEV:}ElementAttributes_SP_SKU",$F1692,D$1)</f>
        <v>Primary</v>
      </c>
      <c r="E1692" s="24" t="str">
        <f>_xll.DBRW("TM1-S1_DEV:}ElementAttributes_SP_SKU",$F1692,E$1)</f>
        <v>BREAD</v>
      </c>
      <c r="F1692" s="26" t="s">
        <v>3171</v>
      </c>
      <c r="G1692" s="26" t="s">
        <v>1620</v>
      </c>
      <c r="H1692" s="26" t="s">
        <v>2690</v>
      </c>
      <c r="I1692" s="54">
        <f>_xll.DBRW($A$1,$F$14,$F$15,$C1692,$A$2,$F1692,$G1692,$H1692,I$1)</f>
        <v>7</v>
      </c>
      <c r="J1692" s="25">
        <f>_xll.DBRW($A$1,$F$14,$F$15,$C1692,$A$2,$F1692,$G1692,$H1692,J$19)</f>
        <v>6</v>
      </c>
    </row>
    <row r="1693" spans="1:10" s="23" customFormat="1" outlineLevel="1" thickBot="1" x14ac:dyDescent="0.3">
      <c r="A1693" s="44"/>
      <c r="B1693" s="31" t="str">
        <f>IF(_xll.TM1RPTELISCONSOLIDATED($H$20,$H1693),IF(_xll.TM1RPTELLEV($H$20,$H1693)&lt;=5,_xll.TM1RPTELLEV($H$20,$H1693),"Default"),"Leaf")</f>
        <v>Leaf</v>
      </c>
      <c r="C1693" s="26" t="s">
        <v>18</v>
      </c>
      <c r="D1693" s="24" t="str">
        <f>_xll.DBRW("TM1-S1_DEV:}ElementAttributes_SP_SKU",$F1693,D$1)</f>
        <v>Primary</v>
      </c>
      <c r="E1693" s="24" t="str">
        <f>_xll.DBRW("TM1-S1_DEV:}ElementAttributes_SP_SKU",$F1693,E$1)</f>
        <v>BREAD</v>
      </c>
      <c r="F1693" s="26" t="s">
        <v>3172</v>
      </c>
      <c r="G1693" s="26" t="s">
        <v>1621</v>
      </c>
      <c r="H1693" s="26" t="s">
        <v>2690</v>
      </c>
      <c r="I1693" s="54">
        <f>_xll.DBRW($A$1,$F$14,$F$15,$C1693,$A$2,$F1693,$G1693,$H1693,I$1)</f>
        <v>7</v>
      </c>
      <c r="J1693" s="25">
        <f>_xll.DBRW($A$1,$F$14,$F$15,$C1693,$A$2,$F1693,$G1693,$H1693,J$19)</f>
        <v>7</v>
      </c>
    </row>
    <row r="1694" spans="1:10" s="23" customFormat="1" outlineLevel="1" thickBot="1" x14ac:dyDescent="0.3">
      <c r="A1694" s="44"/>
      <c r="B1694" s="31" t="str">
        <f>IF(_xll.TM1RPTELISCONSOLIDATED($H$20,$H1694),IF(_xll.TM1RPTELLEV($H$20,$H1694)&lt;=5,_xll.TM1RPTELLEV($H$20,$H1694),"Default"),"Leaf")</f>
        <v>Leaf</v>
      </c>
      <c r="C1694" s="26" t="s">
        <v>18</v>
      </c>
      <c r="D1694" s="24" t="str">
        <f>_xll.DBRW("TM1-S1_DEV:}ElementAttributes_SP_SKU",$F1694,D$1)</f>
        <v>Primary</v>
      </c>
      <c r="E1694" s="24" t="str">
        <f>_xll.DBRW("TM1-S1_DEV:}ElementAttributes_SP_SKU",$F1694,E$1)</f>
        <v>BREAD</v>
      </c>
      <c r="F1694" s="26" t="s">
        <v>3252</v>
      </c>
      <c r="G1694" s="26" t="s">
        <v>1622</v>
      </c>
      <c r="H1694" s="26" t="s">
        <v>2691</v>
      </c>
      <c r="I1694" s="54">
        <f>_xll.DBRW($A$1,$F$14,$F$15,$C1694,$A$2,$F1694,$G1694,$H1694,I$1)</f>
        <v>19</v>
      </c>
      <c r="J1694" s="25">
        <f>_xll.DBRW($A$1,$F$14,$F$15,$C1694,$A$2,$F1694,$G1694,$H1694,J$19)</f>
        <v>17</v>
      </c>
    </row>
    <row r="1695" spans="1:10" s="23" customFormat="1" outlineLevel="1" thickBot="1" x14ac:dyDescent="0.3">
      <c r="A1695" s="44"/>
      <c r="B1695" s="31" t="str">
        <f>IF(_xll.TM1RPTELISCONSOLIDATED($H$20,$H1695),IF(_xll.TM1RPTELLEV($H$20,$H1695)&lt;=5,_xll.TM1RPTELLEV($H$20,$H1695),"Default"),"Leaf")</f>
        <v>Leaf</v>
      </c>
      <c r="C1695" s="26" t="s">
        <v>18</v>
      </c>
      <c r="D1695" s="24" t="str">
        <f>_xll.DBRW("TM1-S1_DEV:}ElementAttributes_SP_SKU",$F1695,D$1)</f>
        <v>Primary</v>
      </c>
      <c r="E1695" s="24" t="str">
        <f>_xll.DBRW("TM1-S1_DEV:}ElementAttributes_SP_SKU",$F1695,E$1)</f>
        <v>CHEESE</v>
      </c>
      <c r="F1695" s="26" t="s">
        <v>3173</v>
      </c>
      <c r="G1695" s="26" t="s">
        <v>1623</v>
      </c>
      <c r="H1695" s="26" t="s">
        <v>2692</v>
      </c>
      <c r="I1695" s="54">
        <f>_xll.DBRW($A$1,$F$14,$F$15,$C1695,$A$2,$F1695,$G1695,$H1695,I$1)</f>
        <v>3</v>
      </c>
      <c r="J1695" s="25">
        <f>_xll.DBRW($A$1,$F$14,$F$15,$C1695,$A$2,$F1695,$G1695,$H1695,J$19)</f>
        <v>-27</v>
      </c>
    </row>
    <row r="1696" spans="1:10" s="23" customFormat="1" outlineLevel="1" thickBot="1" x14ac:dyDescent="0.3">
      <c r="A1696" s="44"/>
      <c r="B1696" s="31" t="str">
        <f>IF(_xll.TM1RPTELISCONSOLIDATED($H$20,$H1696),IF(_xll.TM1RPTELLEV($H$20,$H1696)&lt;=5,_xll.TM1RPTELLEV($H$20,$H1696),"Default"),"Leaf")</f>
        <v>Leaf</v>
      </c>
      <c r="C1696" s="26" t="s">
        <v>18</v>
      </c>
      <c r="D1696" s="24" t="str">
        <f>_xll.DBRW("TM1-S1_DEV:}ElementAttributes_SP_SKU",$F1696,D$1)</f>
        <v>Primary</v>
      </c>
      <c r="E1696" s="24" t="str">
        <f>_xll.DBRW("TM1-S1_DEV:}ElementAttributes_SP_SKU",$F1696,E$1)</f>
        <v>CONDIMENT</v>
      </c>
      <c r="F1696" s="26" t="s">
        <v>3174</v>
      </c>
      <c r="G1696" s="26" t="s">
        <v>1624</v>
      </c>
      <c r="H1696" s="26" t="s">
        <v>2684</v>
      </c>
      <c r="I1696" s="54">
        <f>_xll.DBRW($A$1,$F$14,$F$15,$C1696,$A$2,$F1696,$G1696,$H1696,I$1)</f>
        <v>58</v>
      </c>
      <c r="J1696" s="25">
        <f>_xll.DBRW($A$1,$F$14,$F$15,$C1696,$A$2,$F1696,$G1696,$H1696,J$19)</f>
        <v>53</v>
      </c>
    </row>
    <row r="1697" spans="1:10" s="23" customFormat="1" outlineLevel="1" thickBot="1" x14ac:dyDescent="0.3">
      <c r="A1697" s="44"/>
      <c r="B1697" s="31" t="str">
        <f>IF(_xll.TM1RPTELISCONSOLIDATED($H$20,$H1697),IF(_xll.TM1RPTELLEV($H$20,$H1697)&lt;=5,_xll.TM1RPTELLEV($H$20,$H1697),"Default"),"Leaf")</f>
        <v>Leaf</v>
      </c>
      <c r="C1697" s="26" t="s">
        <v>18</v>
      </c>
      <c r="D1697" s="24" t="str">
        <f>_xll.DBRW("TM1-S1_DEV:}ElementAttributes_SP_SKU",$F1697,D$1)</f>
        <v>Primary</v>
      </c>
      <c r="E1697" s="24" t="str">
        <f>_xll.DBRW("TM1-S1_DEV:}ElementAttributes_SP_SKU",$F1697,E$1)</f>
        <v>CHEESE</v>
      </c>
      <c r="F1697" s="26" t="s">
        <v>3175</v>
      </c>
      <c r="G1697" s="26" t="s">
        <v>1625</v>
      </c>
      <c r="H1697" s="26" t="s">
        <v>2692</v>
      </c>
      <c r="I1697" s="54">
        <f>_xll.DBRW($A$1,$F$14,$F$15,$C1697,$A$2,$F1697,$G1697,$H1697,I$1)</f>
        <v>27</v>
      </c>
      <c r="J1697" s="25">
        <f>_xll.DBRW($A$1,$F$14,$F$15,$C1697,$A$2,$F1697,$G1697,$H1697,J$19)</f>
        <v>8</v>
      </c>
    </row>
    <row r="1698" spans="1:10" s="23" customFormat="1" outlineLevel="1" thickBot="1" x14ac:dyDescent="0.3">
      <c r="A1698" s="44"/>
      <c r="B1698" s="31" t="str">
        <f>IF(_xll.TM1RPTELISCONSOLIDATED($H$20,$H1698),IF(_xll.TM1RPTELLEV($H$20,$H1698)&lt;=5,_xll.TM1RPTELLEV($H$20,$H1698),"Default"),"Leaf")</f>
        <v>Leaf</v>
      </c>
      <c r="C1698" s="26" t="s">
        <v>18</v>
      </c>
      <c r="D1698" s="24" t="str">
        <f>_xll.DBRW("TM1-S1_DEV:}ElementAttributes_SP_SKU",$F1698,D$1)</f>
        <v>Primary</v>
      </c>
      <c r="E1698" s="24" t="str">
        <f>_xll.DBRW("TM1-S1_DEV:}ElementAttributes_SP_SKU",$F1698,E$1)</f>
        <v>CONDIMENT</v>
      </c>
      <c r="F1698" s="26" t="s">
        <v>3176</v>
      </c>
      <c r="G1698" s="26" t="s">
        <v>1626</v>
      </c>
      <c r="H1698" s="26" t="s">
        <v>2684</v>
      </c>
      <c r="I1698" s="54">
        <f>_xll.DBRW($A$1,$F$14,$F$15,$C1698,$A$2,$F1698,$G1698,$H1698,I$1)</f>
        <v>22</v>
      </c>
      <c r="J1698" s="25">
        <f>_xll.DBRW($A$1,$F$14,$F$15,$C1698,$A$2,$F1698,$G1698,$H1698,J$19)</f>
        <v>18</v>
      </c>
    </row>
    <row r="1699" spans="1:10" s="23" customFormat="1" outlineLevel="1" thickBot="1" x14ac:dyDescent="0.3">
      <c r="A1699" s="44"/>
      <c r="B1699" s="31" t="str">
        <f>IF(_xll.TM1RPTELISCONSOLIDATED($H$20,$H1699),IF(_xll.TM1RPTELLEV($H$20,$H1699)&lt;=5,_xll.TM1RPTELLEV($H$20,$H1699),"Default"),"Leaf")</f>
        <v>Leaf</v>
      </c>
      <c r="C1699" s="26" t="s">
        <v>18</v>
      </c>
      <c r="D1699" s="24" t="str">
        <f>_xll.DBRW("TM1-S1_DEV:}ElementAttributes_SP_SKU",$F1699,D$1)</f>
        <v>Primary</v>
      </c>
      <c r="E1699" s="24" t="str">
        <f>_xll.DBRW("TM1-S1_DEV:}ElementAttributes_SP_SKU",$F1699,E$1)</f>
        <v>CONDIMENT</v>
      </c>
      <c r="F1699" s="26" t="s">
        <v>3253</v>
      </c>
      <c r="G1699" s="26" t="s">
        <v>1627</v>
      </c>
      <c r="H1699" s="26" t="s">
        <v>2686</v>
      </c>
      <c r="I1699" s="54">
        <f>_xll.DBRW($A$1,$F$14,$F$15,$C1699,$A$2,$F1699,$G1699,$H1699,I$1)</f>
        <v>52</v>
      </c>
      <c r="J1699" s="25">
        <f>_xll.DBRW($A$1,$F$14,$F$15,$C1699,$A$2,$F1699,$G1699,$H1699,J$19)</f>
        <v>42</v>
      </c>
    </row>
    <row r="1700" spans="1:10" s="23" customFormat="1" outlineLevel="1" thickBot="1" x14ac:dyDescent="0.3">
      <c r="A1700" s="44"/>
      <c r="B1700" s="31" t="str">
        <f>IF(_xll.TM1RPTELISCONSOLIDATED($H$20,$H1700),IF(_xll.TM1RPTELLEV($H$20,$H1700)&lt;=5,_xll.TM1RPTELLEV($H$20,$H1700),"Default"),"Leaf")</f>
        <v>Leaf</v>
      </c>
      <c r="C1700" s="26" t="s">
        <v>18</v>
      </c>
      <c r="D1700" s="24" t="str">
        <f>_xll.DBRW("TM1-S1_DEV:}ElementAttributes_SP_SKU",$F1700,D$1)</f>
        <v>Primary</v>
      </c>
      <c r="E1700" s="24" t="str">
        <f>_xll.DBRW("TM1-S1_DEV:}ElementAttributes_SP_SKU",$F1700,E$1)</f>
        <v>INGREDIENT</v>
      </c>
      <c r="F1700" s="26" t="s">
        <v>3177</v>
      </c>
      <c r="G1700" s="26" t="s">
        <v>3050</v>
      </c>
      <c r="H1700" s="26" t="s">
        <v>2686</v>
      </c>
      <c r="I1700" s="54">
        <f>_xll.DBRW($A$1,$F$14,$F$15,$C1700,$A$2,$F1700,$G1700,$H1700,I$1)</f>
        <v>0</v>
      </c>
      <c r="J1700" s="25">
        <f>_xll.DBRW($A$1,$F$14,$F$15,$C1700,$A$2,$F1700,$G1700,$H1700,J$19)</f>
        <v>-1</v>
      </c>
    </row>
    <row r="1701" spans="1:10" s="23" customFormat="1" outlineLevel="1" thickBot="1" x14ac:dyDescent="0.3">
      <c r="A1701" s="44"/>
      <c r="B1701" s="31" t="str">
        <f>IF(_xll.TM1RPTELISCONSOLIDATED($H$20,$H1701),IF(_xll.TM1RPTELLEV($H$20,$H1701)&lt;=5,_xll.TM1RPTELLEV($H$20,$H1701),"Default"),"Leaf")</f>
        <v>Leaf</v>
      </c>
      <c r="C1701" s="26" t="s">
        <v>18</v>
      </c>
      <c r="D1701" s="24" t="str">
        <f>_xll.DBRW("TM1-S1_DEV:}ElementAttributes_SP_SKU",$F1701,D$1)</f>
        <v>Primary</v>
      </c>
      <c r="E1701" s="24" t="str">
        <f>_xll.DBRW("TM1-S1_DEV:}ElementAttributes_SP_SKU",$F1701,E$1)</f>
        <v>CONDIMENT</v>
      </c>
      <c r="F1701" s="26" t="s">
        <v>3178</v>
      </c>
      <c r="G1701" s="26" t="s">
        <v>1628</v>
      </c>
      <c r="H1701" s="26" t="s">
        <v>2684</v>
      </c>
      <c r="I1701" s="54">
        <f>_xll.DBRW($A$1,$F$14,$F$15,$C1701,$A$2,$F1701,$G1701,$H1701,I$1)</f>
        <v>13</v>
      </c>
      <c r="J1701" s="25">
        <f>_xll.DBRW($A$1,$F$14,$F$15,$C1701,$A$2,$F1701,$G1701,$H1701,J$19)</f>
        <v>12</v>
      </c>
    </row>
    <row r="1702" spans="1:10" s="23" customFormat="1" outlineLevel="1" thickBot="1" x14ac:dyDescent="0.3">
      <c r="A1702" s="44"/>
      <c r="B1702" s="31" t="str">
        <f>IF(_xll.TM1RPTELISCONSOLIDATED($H$20,$H1702),IF(_xll.TM1RPTELLEV($H$20,$H1702)&lt;=5,_xll.TM1RPTELLEV($H$20,$H1702),"Default"),"Leaf")</f>
        <v>Leaf</v>
      </c>
      <c r="C1702" s="26" t="s">
        <v>18</v>
      </c>
      <c r="D1702" s="24" t="str">
        <f>_xll.DBRW("TM1-S1_DEV:}ElementAttributes_SP_SKU",$F1702,D$1)</f>
        <v>Primary</v>
      </c>
      <c r="E1702" s="24" t="str">
        <f>_xll.DBRW("TM1-S1_DEV:}ElementAttributes_SP_SKU",$F1702,E$1)</f>
        <v>CONDIMENT</v>
      </c>
      <c r="F1702" s="26" t="s">
        <v>3179</v>
      </c>
      <c r="G1702" s="26" t="s">
        <v>1629</v>
      </c>
      <c r="H1702" s="26" t="s">
        <v>2684</v>
      </c>
      <c r="I1702" s="54">
        <f>_xll.DBRW($A$1,$F$14,$F$15,$C1702,$A$2,$F1702,$G1702,$H1702,I$1)</f>
        <v>23</v>
      </c>
      <c r="J1702" s="25">
        <f>_xll.DBRW($A$1,$F$14,$F$15,$C1702,$A$2,$F1702,$G1702,$H1702,J$19)</f>
        <v>21</v>
      </c>
    </row>
    <row r="1703" spans="1:10" s="23" customFormat="1" outlineLevel="1" thickBot="1" x14ac:dyDescent="0.3">
      <c r="A1703" s="44"/>
      <c r="B1703" s="31" t="str">
        <f>IF(_xll.TM1RPTELISCONSOLIDATED($H$20,$H1703),IF(_xll.TM1RPTELLEV($H$20,$H1703)&lt;=5,_xll.TM1RPTELLEV($H$20,$H1703),"Default"),"Leaf")</f>
        <v>Leaf</v>
      </c>
      <c r="C1703" s="26" t="s">
        <v>18</v>
      </c>
      <c r="D1703" s="24" t="str">
        <f>_xll.DBRW("TM1-S1_DEV:}ElementAttributes_SP_SKU",$F1703,D$1)</f>
        <v>Primary</v>
      </c>
      <c r="E1703" s="24" t="str">
        <f>_xll.DBRW("TM1-S1_DEV:}ElementAttributes_SP_SKU",$F1703,E$1)</f>
        <v>COOKIE</v>
      </c>
      <c r="F1703" s="26" t="s">
        <v>3180</v>
      </c>
      <c r="G1703" s="26" t="s">
        <v>1630</v>
      </c>
      <c r="H1703" s="26" t="s">
        <v>2691</v>
      </c>
      <c r="I1703" s="54">
        <f>_xll.DBRW($A$1,$F$14,$F$15,$C1703,$A$2,$F1703,$G1703,$H1703,I$1)</f>
        <v>6</v>
      </c>
      <c r="J1703" s="25">
        <f>_xll.DBRW($A$1,$F$14,$F$15,$C1703,$A$2,$F1703,$G1703,$H1703,J$19)</f>
        <v>-6</v>
      </c>
    </row>
    <row r="1704" spans="1:10" s="23" customFormat="1" outlineLevel="1" thickBot="1" x14ac:dyDescent="0.3">
      <c r="A1704" s="44"/>
      <c r="B1704" s="31" t="str">
        <f>IF(_xll.TM1RPTELISCONSOLIDATED($H$20,$H1704),IF(_xll.TM1RPTELLEV($H$20,$H1704)&lt;=5,_xll.TM1RPTELLEV($H$20,$H1704),"Default"),"Leaf")</f>
        <v>Leaf</v>
      </c>
      <c r="C1704" s="26" t="s">
        <v>18</v>
      </c>
      <c r="D1704" s="24" t="str">
        <f>_xll.DBRW("TM1-S1_DEV:}ElementAttributes_SP_SKU",$F1704,D$1)</f>
        <v>Primary</v>
      </c>
      <c r="E1704" s="24" t="str">
        <f>_xll.DBRW("TM1-S1_DEV:}ElementAttributes_SP_SKU",$F1704,E$1)</f>
        <v>COOKIE</v>
      </c>
      <c r="F1704" s="26" t="s">
        <v>3181</v>
      </c>
      <c r="G1704" s="26" t="s">
        <v>1631</v>
      </c>
      <c r="H1704" s="26" t="s">
        <v>2691</v>
      </c>
      <c r="I1704" s="54">
        <f>_xll.DBRW($A$1,$F$14,$F$15,$C1704,$A$2,$F1704,$G1704,$H1704,I$1)</f>
        <v>40</v>
      </c>
      <c r="J1704" s="25">
        <f>_xll.DBRW($A$1,$F$14,$F$15,$C1704,$A$2,$F1704,$G1704,$H1704,J$19)</f>
        <v>36</v>
      </c>
    </row>
    <row r="1705" spans="1:10" s="23" customFormat="1" outlineLevel="1" thickBot="1" x14ac:dyDescent="0.3">
      <c r="A1705" s="44"/>
      <c r="B1705" s="31" t="str">
        <f>IF(_xll.TM1RPTELISCONSOLIDATED($H$20,$H1705),IF(_xll.TM1RPTELLEV($H$20,$H1705)&lt;=5,_xll.TM1RPTELLEV($H$20,$H1705),"Default"),"Leaf")</f>
        <v>Leaf</v>
      </c>
      <c r="C1705" s="26" t="s">
        <v>18</v>
      </c>
      <c r="D1705" s="24" t="str">
        <f>_xll.DBRW("TM1-S1_DEV:}ElementAttributes_SP_SKU",$F1705,D$1)</f>
        <v>Primary</v>
      </c>
      <c r="E1705" s="24" t="str">
        <f>_xll.DBRW("TM1-S1_DEV:}ElementAttributes_SP_SKU",$F1705,E$1)</f>
        <v>COOKIE</v>
      </c>
      <c r="F1705" s="26" t="s">
        <v>3182</v>
      </c>
      <c r="G1705" s="26" t="s">
        <v>1632</v>
      </c>
      <c r="H1705" s="26" t="s">
        <v>2691</v>
      </c>
      <c r="I1705" s="54">
        <f>_xll.DBRW($A$1,$F$14,$F$15,$C1705,$A$2,$F1705,$G1705,$H1705,I$1)</f>
        <v>33</v>
      </c>
      <c r="J1705" s="25">
        <f>_xll.DBRW($A$1,$F$14,$F$15,$C1705,$A$2,$F1705,$G1705,$H1705,J$19)</f>
        <v>21</v>
      </c>
    </row>
    <row r="1706" spans="1:10" s="23" customFormat="1" outlineLevel="1" thickBot="1" x14ac:dyDescent="0.3">
      <c r="A1706" s="44"/>
      <c r="B1706" s="31" t="str">
        <f>IF(_xll.TM1RPTELISCONSOLIDATED($H$20,$H1706),IF(_xll.TM1RPTELLEV($H$20,$H1706)&lt;=5,_xll.TM1RPTELLEV($H$20,$H1706),"Default"),"Leaf")</f>
        <v>Leaf</v>
      </c>
      <c r="C1706" s="26" t="s">
        <v>18</v>
      </c>
      <c r="D1706" s="24" t="str">
        <f>_xll.DBRW("TM1-S1_DEV:}ElementAttributes_SP_SKU",$F1706,D$1)</f>
        <v>Primary</v>
      </c>
      <c r="E1706" s="24" t="str">
        <f>_xll.DBRW("TM1-S1_DEV:}ElementAttributes_SP_SKU",$F1706,E$1)</f>
        <v>COOKIE</v>
      </c>
      <c r="F1706" s="26" t="s">
        <v>3183</v>
      </c>
      <c r="G1706" s="26" t="s">
        <v>1633</v>
      </c>
      <c r="H1706" s="26" t="s">
        <v>2691</v>
      </c>
      <c r="I1706" s="54">
        <f>_xll.DBRW($A$1,$F$14,$F$15,$C1706,$A$2,$F1706,$G1706,$H1706,I$1)</f>
        <v>167</v>
      </c>
      <c r="J1706" s="25">
        <f>_xll.DBRW($A$1,$F$14,$F$15,$C1706,$A$2,$F1706,$G1706,$H1706,J$19)</f>
        <v>109</v>
      </c>
    </row>
    <row r="1707" spans="1:10" s="23" customFormat="1" outlineLevel="1" thickBot="1" x14ac:dyDescent="0.3">
      <c r="A1707" s="44"/>
      <c r="B1707" s="31" t="str">
        <f>IF(_xll.TM1RPTELISCONSOLIDATED($H$20,$H1707),IF(_xll.TM1RPTELLEV($H$20,$H1707)&lt;=5,_xll.TM1RPTELLEV($H$20,$H1707),"Default"),"Leaf")</f>
        <v>Leaf</v>
      </c>
      <c r="C1707" s="26" t="s">
        <v>18</v>
      </c>
      <c r="D1707" s="24" t="str">
        <f>_xll.DBRW("TM1-S1_DEV:}ElementAttributes_SP_SKU",$F1707,D$1)</f>
        <v>Primary</v>
      </c>
      <c r="E1707" s="24" t="str">
        <f>_xll.DBRW("TM1-S1_DEV:}ElementAttributes_SP_SKU",$F1707,E$1)</f>
        <v>INGREDIENT</v>
      </c>
      <c r="F1707" s="26" t="s">
        <v>3185</v>
      </c>
      <c r="G1707" s="26" t="s">
        <v>1634</v>
      </c>
      <c r="H1707" s="26" t="s">
        <v>2693</v>
      </c>
      <c r="I1707" s="54">
        <f>_xll.DBRW($A$1,$F$14,$F$15,$C1707,$A$2,$F1707,$G1707,$H1707,I$1)</f>
        <v>19</v>
      </c>
      <c r="J1707" s="25">
        <f>_xll.DBRW($A$1,$F$14,$F$15,$C1707,$A$2,$F1707,$G1707,$H1707,J$19)</f>
        <v>15</v>
      </c>
    </row>
    <row r="1708" spans="1:10" s="23" customFormat="1" outlineLevel="1" thickBot="1" x14ac:dyDescent="0.3">
      <c r="A1708" s="44"/>
      <c r="B1708" s="31" t="str">
        <f>IF(_xll.TM1RPTELISCONSOLIDATED($H$20,$H1708),IF(_xll.TM1RPTELLEV($H$20,$H1708)&lt;=5,_xll.TM1RPTELLEV($H$20,$H1708),"Default"),"Leaf")</f>
        <v>Leaf</v>
      </c>
      <c r="C1708" s="26" t="s">
        <v>18</v>
      </c>
      <c r="D1708" s="24" t="str">
        <f>_xll.DBRW("TM1-S1_DEV:}ElementAttributes_SP_SKU",$F1708,D$1)</f>
        <v>Primary</v>
      </c>
      <c r="E1708" s="24" t="str">
        <f>_xll.DBRW("TM1-S1_DEV:}ElementAttributes_SP_SKU",$F1708,E$1)</f>
        <v>INGREDIENT</v>
      </c>
      <c r="F1708" s="26" t="s">
        <v>3186</v>
      </c>
      <c r="G1708" s="26" t="s">
        <v>1635</v>
      </c>
      <c r="H1708" s="26" t="s">
        <v>2694</v>
      </c>
      <c r="I1708" s="54">
        <f>_xll.DBRW($A$1,$F$14,$F$15,$C1708,$A$2,$F1708,$G1708,$H1708,I$1)</f>
        <v>15</v>
      </c>
      <c r="J1708" s="25">
        <f>_xll.DBRW($A$1,$F$14,$F$15,$C1708,$A$2,$F1708,$G1708,$H1708,J$19)</f>
        <v>15</v>
      </c>
    </row>
    <row r="1709" spans="1:10" s="23" customFormat="1" outlineLevel="1" thickBot="1" x14ac:dyDescent="0.3">
      <c r="A1709" s="44"/>
      <c r="B1709" s="31" t="str">
        <f>IF(_xll.TM1RPTELISCONSOLIDATED($H$20,$H1709),IF(_xll.TM1RPTELLEV($H$20,$H1709)&lt;=5,_xll.TM1RPTELLEV($H$20,$H1709),"Default"),"Leaf")</f>
        <v>Leaf</v>
      </c>
      <c r="C1709" s="26" t="s">
        <v>18</v>
      </c>
      <c r="D1709" s="24" t="str">
        <f>_xll.DBRW("TM1-S1_DEV:}ElementAttributes_SP_SKU",$F1709,D$1)</f>
        <v>Primary</v>
      </c>
      <c r="E1709" s="24" t="str">
        <f>_xll.DBRW("TM1-S1_DEV:}ElementAttributes_SP_SKU",$F1709,E$1)</f>
        <v>CRACKERS</v>
      </c>
      <c r="F1709" s="26" t="s">
        <v>3282</v>
      </c>
      <c r="G1709" s="26" t="s">
        <v>1636</v>
      </c>
      <c r="H1709" s="26" t="s">
        <v>2859</v>
      </c>
      <c r="I1709" s="54">
        <f>_xll.DBRW($A$1,$F$14,$F$15,$C1709,$A$2,$F1709,$G1709,$H1709,I$1)</f>
        <v>2</v>
      </c>
      <c r="J1709" s="25">
        <f>_xll.DBRW($A$1,$F$14,$F$15,$C1709,$A$2,$F1709,$G1709,$H1709,J$19)</f>
        <v>2</v>
      </c>
    </row>
    <row r="1710" spans="1:10" s="23" customFormat="1" outlineLevel="1" thickBot="1" x14ac:dyDescent="0.3">
      <c r="A1710" s="44"/>
      <c r="B1710" s="31" t="str">
        <f>IF(_xll.TM1RPTELISCONSOLIDATED($H$20,$H1710),IF(_xll.TM1RPTELLEV($H$20,$H1710)&lt;=5,_xll.TM1RPTELLEV($H$20,$H1710),"Default"),"Leaf")</f>
        <v>Leaf</v>
      </c>
      <c r="C1710" s="26" t="s">
        <v>18</v>
      </c>
      <c r="D1710" s="24" t="str">
        <f>_xll.DBRW("TM1-S1_DEV:}ElementAttributes_SP_SKU",$F1710,D$1)</f>
        <v>Primary</v>
      </c>
      <c r="E1710" s="24" t="str">
        <f>_xll.DBRW("TM1-S1_DEV:}ElementAttributes_SP_SKU",$F1710,E$1)</f>
        <v>INGREDIENT</v>
      </c>
      <c r="F1710" s="26" t="s">
        <v>3187</v>
      </c>
      <c r="G1710" s="26" t="s">
        <v>1637</v>
      </c>
      <c r="H1710" s="26" t="s">
        <v>2695</v>
      </c>
      <c r="I1710" s="54">
        <f>_xll.DBRW($A$1,$F$14,$F$15,$C1710,$A$2,$F1710,$G1710,$H1710,I$1)</f>
        <v>37</v>
      </c>
      <c r="J1710" s="25">
        <f>_xll.DBRW($A$1,$F$14,$F$15,$C1710,$A$2,$F1710,$G1710,$H1710,J$19)</f>
        <v>27</v>
      </c>
    </row>
    <row r="1711" spans="1:10" s="23" customFormat="1" outlineLevel="1" thickBot="1" x14ac:dyDescent="0.3">
      <c r="A1711" s="44"/>
      <c r="B1711" s="31" t="str">
        <f>IF(_xll.TM1RPTELISCONSOLIDATED($H$20,$H1711),IF(_xll.TM1RPTELLEV($H$20,$H1711)&lt;=5,_xll.TM1RPTELLEV($H$20,$H1711),"Default"),"Leaf")</f>
        <v>Leaf</v>
      </c>
      <c r="C1711" s="26" t="s">
        <v>18</v>
      </c>
      <c r="D1711" s="24" t="str">
        <f>_xll.DBRW("TM1-S1_DEV:}ElementAttributes_SP_SKU",$F1711,D$1)</f>
        <v>Primary</v>
      </c>
      <c r="E1711" s="24" t="str">
        <f>_xll.DBRW("TM1-S1_DEV:}ElementAttributes_SP_SKU",$F1711,E$1)</f>
        <v>CHIPS</v>
      </c>
      <c r="F1711" s="26" t="s">
        <v>3255</v>
      </c>
      <c r="G1711" s="26" t="s">
        <v>1638</v>
      </c>
      <c r="H1711" s="26" t="s">
        <v>2736</v>
      </c>
      <c r="I1711" s="54">
        <f>_xll.DBRW($A$1,$F$14,$F$15,$C1711,$A$2,$F1711,$G1711,$H1711,I$1)</f>
        <v>74</v>
      </c>
      <c r="J1711" s="25">
        <f>_xll.DBRW($A$1,$F$14,$F$15,$C1711,$A$2,$F1711,$G1711,$H1711,J$19)</f>
        <v>44</v>
      </c>
    </row>
    <row r="1712" spans="1:10" s="23" customFormat="1" outlineLevel="1" thickBot="1" x14ac:dyDescent="0.3">
      <c r="A1712" s="44"/>
      <c r="B1712" s="31" t="str">
        <f>IF(_xll.TM1RPTELISCONSOLIDATED($H$20,$H1712),IF(_xll.TM1RPTELLEV($H$20,$H1712)&lt;=5,_xll.TM1RPTELLEV($H$20,$H1712),"Default"),"Leaf")</f>
        <v>Leaf</v>
      </c>
      <c r="C1712" s="26" t="s">
        <v>18</v>
      </c>
      <c r="D1712" s="24" t="str">
        <f>_xll.DBRW("TM1-S1_DEV:}ElementAttributes_SP_SKU",$F1712,D$1)</f>
        <v>Primary</v>
      </c>
      <c r="E1712" s="24" t="str">
        <f>_xll.DBRW("TM1-S1_DEV:}ElementAttributes_SP_SKU",$F1712,E$1)</f>
        <v>CHIPS</v>
      </c>
      <c r="F1712" s="26" t="s">
        <v>3256</v>
      </c>
      <c r="G1712" s="26" t="s">
        <v>1639</v>
      </c>
      <c r="H1712" s="26" t="s">
        <v>2736</v>
      </c>
      <c r="I1712" s="54">
        <f>_xll.DBRW($A$1,$F$14,$F$15,$C1712,$A$2,$F1712,$G1712,$H1712,I$1)</f>
        <v>66</v>
      </c>
      <c r="J1712" s="25">
        <f>_xll.DBRW($A$1,$F$14,$F$15,$C1712,$A$2,$F1712,$G1712,$H1712,J$19)</f>
        <v>46</v>
      </c>
    </row>
    <row r="1713" spans="1:10" s="23" customFormat="1" outlineLevel="1" thickBot="1" x14ac:dyDescent="0.3">
      <c r="A1713" s="44"/>
      <c r="B1713" s="31" t="str">
        <f>IF(_xll.TM1RPTELISCONSOLIDATED($H$20,$H1713),IF(_xll.TM1RPTELLEV($H$20,$H1713)&lt;=5,_xll.TM1RPTELLEV($H$20,$H1713),"Default"),"Leaf")</f>
        <v>Leaf</v>
      </c>
      <c r="C1713" s="26" t="s">
        <v>18</v>
      </c>
      <c r="D1713" s="24" t="str">
        <f>_xll.DBRW("TM1-S1_DEV:}ElementAttributes_SP_SKU",$F1713,D$1)</f>
        <v>Primary</v>
      </c>
      <c r="E1713" s="24" t="str">
        <f>_xll.DBRW("TM1-S1_DEV:}ElementAttributes_SP_SKU",$F1713,E$1)</f>
        <v>CHIPS</v>
      </c>
      <c r="F1713" s="26" t="s">
        <v>3257</v>
      </c>
      <c r="G1713" s="26" t="s">
        <v>1640</v>
      </c>
      <c r="H1713" s="26" t="s">
        <v>2736</v>
      </c>
      <c r="I1713" s="54">
        <f>_xll.DBRW($A$1,$F$14,$F$15,$C1713,$A$2,$F1713,$G1713,$H1713,I$1)</f>
        <v>204</v>
      </c>
      <c r="J1713" s="25">
        <f>_xll.DBRW($A$1,$F$14,$F$15,$C1713,$A$2,$F1713,$G1713,$H1713,J$19)</f>
        <v>175</v>
      </c>
    </row>
    <row r="1714" spans="1:10" s="23" customFormat="1" outlineLevel="1" thickBot="1" x14ac:dyDescent="0.3">
      <c r="A1714" s="44"/>
      <c r="B1714" s="31" t="str">
        <f>IF(_xll.TM1RPTELISCONSOLIDATED($H$20,$H1714),IF(_xll.TM1RPTELLEV($H$20,$H1714)&lt;=5,_xll.TM1RPTELLEV($H$20,$H1714),"Default"),"Leaf")</f>
        <v>Leaf</v>
      </c>
      <c r="C1714" s="26" t="s">
        <v>18</v>
      </c>
      <c r="D1714" s="24" t="str">
        <f>_xll.DBRW("TM1-S1_DEV:}ElementAttributes_SP_SKU",$F1714,D$1)</f>
        <v>Primary</v>
      </c>
      <c r="E1714" s="24" t="str">
        <f>_xll.DBRW("TM1-S1_DEV:}ElementAttributes_SP_SKU",$F1714,E$1)</f>
        <v>CHIPS</v>
      </c>
      <c r="F1714" s="26" t="s">
        <v>3258</v>
      </c>
      <c r="G1714" s="26" t="s">
        <v>1641</v>
      </c>
      <c r="H1714" s="26" t="s">
        <v>2736</v>
      </c>
      <c r="I1714" s="54">
        <f>_xll.DBRW($A$1,$F$14,$F$15,$C1714,$A$2,$F1714,$G1714,$H1714,I$1)</f>
        <v>51</v>
      </c>
      <c r="J1714" s="25">
        <f>_xll.DBRW($A$1,$F$14,$F$15,$C1714,$A$2,$F1714,$G1714,$H1714,J$19)</f>
        <v>32</v>
      </c>
    </row>
    <row r="1715" spans="1:10" s="23" customFormat="1" outlineLevel="1" thickBot="1" x14ac:dyDescent="0.3">
      <c r="A1715" s="44"/>
      <c r="B1715" s="31" t="str">
        <f>IF(_xll.TM1RPTELISCONSOLIDATED($H$20,$H1715),IF(_xll.TM1RPTELLEV($H$20,$H1715)&lt;=5,_xll.TM1RPTELLEV($H$20,$H1715),"Default"),"Leaf")</f>
        <v>Leaf</v>
      </c>
      <c r="C1715" s="26" t="s">
        <v>18</v>
      </c>
      <c r="D1715" s="24" t="str">
        <f>_xll.DBRW("TM1-S1_DEV:}ElementAttributes_SP_SKU",$F1715,D$1)</f>
        <v>Primary</v>
      </c>
      <c r="E1715" s="24" t="str">
        <f>_xll.DBRW("TM1-S1_DEV:}ElementAttributes_SP_SKU",$F1715,E$1)</f>
        <v>SIDES</v>
      </c>
      <c r="F1715" s="26" t="s">
        <v>3188</v>
      </c>
      <c r="G1715" s="26" t="s">
        <v>1642</v>
      </c>
      <c r="H1715" s="26" t="s">
        <v>2686</v>
      </c>
      <c r="I1715" s="54">
        <f>_xll.DBRW($A$1,$F$14,$F$15,$C1715,$A$2,$F1715,$G1715,$H1715,I$1)</f>
        <v>5</v>
      </c>
      <c r="J1715" s="25">
        <f>_xll.DBRW($A$1,$F$14,$F$15,$C1715,$A$2,$F1715,$G1715,$H1715,J$19)</f>
        <v>0</v>
      </c>
    </row>
    <row r="1716" spans="1:10" s="23" customFormat="1" outlineLevel="1" thickBot="1" x14ac:dyDescent="0.3">
      <c r="A1716" s="44"/>
      <c r="B1716" s="31" t="str">
        <f>IF(_xll.TM1RPTELISCONSOLIDATED($H$20,$H1716),IF(_xll.TM1RPTELLEV($H$20,$H1716)&lt;=5,_xll.TM1RPTELLEV($H$20,$H1716),"Default"),"Leaf")</f>
        <v>Leaf</v>
      </c>
      <c r="C1716" s="26" t="s">
        <v>18</v>
      </c>
      <c r="D1716" s="24" t="str">
        <f>_xll.DBRW("TM1-S1_DEV:}ElementAttributes_SP_SKU",$F1716,D$1)</f>
        <v>Primary</v>
      </c>
      <c r="E1716" s="24" t="str">
        <f>_xll.DBRW("TM1-S1_DEV:}ElementAttributes_SP_SKU",$F1716,E$1)</f>
        <v>CONDIMENT</v>
      </c>
      <c r="F1716" s="26" t="s">
        <v>3189</v>
      </c>
      <c r="G1716" s="26" t="s">
        <v>1643</v>
      </c>
      <c r="H1716" s="26" t="s">
        <v>2686</v>
      </c>
      <c r="I1716" s="54">
        <f>_xll.DBRW($A$1,$F$14,$F$15,$C1716,$A$2,$F1716,$G1716,$H1716,I$1)</f>
        <v>121</v>
      </c>
      <c r="J1716" s="25">
        <f>_xll.DBRW($A$1,$F$14,$F$15,$C1716,$A$2,$F1716,$G1716,$H1716,J$19)</f>
        <v>120</v>
      </c>
    </row>
    <row r="1717" spans="1:10" s="23" customFormat="1" outlineLevel="1" thickBot="1" x14ac:dyDescent="0.3">
      <c r="A1717" s="44"/>
      <c r="B1717" s="31" t="str">
        <f>IF(_xll.TM1RPTELISCONSOLIDATED($H$20,$H1717),IF(_xll.TM1RPTELLEV($H$20,$H1717)&lt;=5,_xll.TM1RPTELLEV($H$20,$H1717),"Default"),"Leaf")</f>
        <v>Leaf</v>
      </c>
      <c r="C1717" s="26" t="s">
        <v>18</v>
      </c>
      <c r="D1717" s="24" t="str">
        <f>_xll.DBRW("TM1-S1_DEV:}ElementAttributes_SP_SKU",$F1717,D$1)</f>
        <v>Primary</v>
      </c>
      <c r="E1717" s="24" t="str">
        <f>_xll.DBRW("TM1-S1_DEV:}ElementAttributes_SP_SKU",$F1717,E$1)</f>
        <v>INGREDIENT</v>
      </c>
      <c r="F1717" s="26" t="s">
        <v>3190</v>
      </c>
      <c r="G1717" s="26" t="s">
        <v>1644</v>
      </c>
      <c r="H1717" s="26" t="s">
        <v>2696</v>
      </c>
      <c r="I1717" s="54">
        <f>_xll.DBRW($A$1,$F$14,$F$15,$C1717,$A$2,$F1717,$G1717,$H1717,I$1)</f>
        <v>23</v>
      </c>
      <c r="J1717" s="25">
        <f>_xll.DBRW($A$1,$F$14,$F$15,$C1717,$A$2,$F1717,$G1717,$H1717,J$19)</f>
        <v>22</v>
      </c>
    </row>
    <row r="1718" spans="1:10" s="23" customFormat="1" outlineLevel="1" thickBot="1" x14ac:dyDescent="0.3">
      <c r="A1718" s="44"/>
      <c r="B1718" s="31" t="str">
        <f>IF(_xll.TM1RPTELISCONSOLIDATED($H$20,$H1718),IF(_xll.TM1RPTELLEV($H$20,$H1718)&lt;=5,_xll.TM1RPTELLEV($H$20,$H1718),"Default"),"Leaf")</f>
        <v>Leaf</v>
      </c>
      <c r="C1718" s="26" t="s">
        <v>18</v>
      </c>
      <c r="D1718" s="24" t="str">
        <f>_xll.DBRW("TM1-S1_DEV:}ElementAttributes_SP_SKU",$F1718,D$1)</f>
        <v>Primary</v>
      </c>
      <c r="E1718" s="24" t="str">
        <f>_xll.DBRW("TM1-S1_DEV:}ElementAttributes_SP_SKU",$F1718,E$1)</f>
        <v>INGREDIENT</v>
      </c>
      <c r="F1718" s="26" t="s">
        <v>3191</v>
      </c>
      <c r="G1718" s="26" t="s">
        <v>1645</v>
      </c>
      <c r="H1718" s="26" t="s">
        <v>2697</v>
      </c>
      <c r="I1718" s="54">
        <f>_xll.DBRW($A$1,$F$14,$F$15,$C1718,$A$2,$F1718,$G1718,$H1718,I$1)</f>
        <v>77</v>
      </c>
      <c r="J1718" s="25">
        <f>_xll.DBRW($A$1,$F$14,$F$15,$C1718,$A$2,$F1718,$G1718,$H1718,J$19)</f>
        <v>70</v>
      </c>
    </row>
    <row r="1719" spans="1:10" s="23" customFormat="1" outlineLevel="1" thickBot="1" x14ac:dyDescent="0.3">
      <c r="A1719" s="44"/>
      <c r="B1719" s="31" t="str">
        <f>IF(_xll.TM1RPTELISCONSOLIDATED($H$20,$H1719),IF(_xll.TM1RPTELLEV($H$20,$H1719)&lt;=5,_xll.TM1RPTELLEV($H$20,$H1719),"Default"),"Leaf")</f>
        <v>Leaf</v>
      </c>
      <c r="C1719" s="26" t="s">
        <v>18</v>
      </c>
      <c r="D1719" s="24" t="str">
        <f>_xll.DBRW("TM1-S1_DEV:}ElementAttributes_SP_SKU",$F1719,D$1)</f>
        <v>Primary</v>
      </c>
      <c r="E1719" s="24" t="str">
        <f>_xll.DBRW("TM1-S1_DEV:}ElementAttributes_SP_SKU",$F1719,E$1)</f>
        <v>INGREDIENT</v>
      </c>
      <c r="F1719" s="26" t="s">
        <v>3192</v>
      </c>
      <c r="G1719" s="26" t="s">
        <v>1646</v>
      </c>
      <c r="H1719" s="26" t="s">
        <v>2698</v>
      </c>
      <c r="I1719" s="54">
        <f>_xll.DBRW($A$1,$F$14,$F$15,$C1719,$A$2,$F1719,$G1719,$H1719,I$1)</f>
        <v>28</v>
      </c>
      <c r="J1719" s="25">
        <f>_xll.DBRW($A$1,$F$14,$F$15,$C1719,$A$2,$F1719,$G1719,$H1719,J$19)</f>
        <v>27</v>
      </c>
    </row>
    <row r="1720" spans="1:10" s="23" customFormat="1" outlineLevel="1" thickBot="1" x14ac:dyDescent="0.3">
      <c r="A1720" s="44"/>
      <c r="B1720" s="31" t="str">
        <f>IF(_xll.TM1RPTELISCONSOLIDATED($H$20,$H1720),IF(_xll.TM1RPTELLEV($H$20,$H1720)&lt;=5,_xll.TM1RPTELLEV($H$20,$H1720),"Default"),"Leaf")</f>
        <v>Leaf</v>
      </c>
      <c r="C1720" s="26" t="s">
        <v>18</v>
      </c>
      <c r="D1720" s="24" t="str">
        <f>_xll.DBRW("TM1-S1_DEV:}ElementAttributes_SP_SKU",$F1720,D$1)</f>
        <v>Primary</v>
      </c>
      <c r="E1720" s="24" t="str">
        <f>_xll.DBRW("TM1-S1_DEV:}ElementAttributes_SP_SKU",$F1720,E$1)</f>
        <v>INGREDIENT</v>
      </c>
      <c r="F1720" s="26" t="s">
        <v>3193</v>
      </c>
      <c r="G1720" s="26" t="s">
        <v>1647</v>
      </c>
      <c r="H1720" s="26" t="s">
        <v>2699</v>
      </c>
      <c r="I1720" s="54">
        <f>_xll.DBRW($A$1,$F$14,$F$15,$C1720,$A$2,$F1720,$G1720,$H1720,I$1)</f>
        <v>118</v>
      </c>
      <c r="J1720" s="25">
        <f>_xll.DBRW($A$1,$F$14,$F$15,$C1720,$A$2,$F1720,$G1720,$H1720,J$19)</f>
        <v>104</v>
      </c>
    </row>
    <row r="1721" spans="1:10" s="23" customFormat="1" outlineLevel="1" thickBot="1" x14ac:dyDescent="0.3">
      <c r="A1721" s="44"/>
      <c r="B1721" s="31" t="str">
        <f>IF(_xll.TM1RPTELISCONSOLIDATED($H$20,$H1721),IF(_xll.TM1RPTELLEV($H$20,$H1721)&lt;=5,_xll.TM1RPTELLEV($H$20,$H1721),"Default"),"Leaf")</f>
        <v>Leaf</v>
      </c>
      <c r="C1721" s="26" t="s">
        <v>18</v>
      </c>
      <c r="D1721" s="24" t="str">
        <f>_xll.DBRW("TM1-S1_DEV:}ElementAttributes_SP_SKU",$F1721,D$1)</f>
        <v>Primary</v>
      </c>
      <c r="E1721" s="24" t="str">
        <f>_xll.DBRW("TM1-S1_DEV:}ElementAttributes_SP_SKU",$F1721,E$1)</f>
        <v>COOKIE</v>
      </c>
      <c r="F1721" s="26" t="s">
        <v>3194</v>
      </c>
      <c r="G1721" s="26" t="s">
        <v>1648</v>
      </c>
      <c r="H1721" s="26" t="s">
        <v>2691</v>
      </c>
      <c r="I1721" s="54">
        <f>_xll.DBRW($A$1,$F$14,$F$15,$C1721,$A$2,$F1721,$G1721,$H1721,I$1)</f>
        <v>28</v>
      </c>
      <c r="J1721" s="25">
        <f>_xll.DBRW($A$1,$F$14,$F$15,$C1721,$A$2,$F1721,$G1721,$H1721,J$19)</f>
        <v>23</v>
      </c>
    </row>
    <row r="1722" spans="1:10" s="23" customFormat="1" outlineLevel="1" thickBot="1" x14ac:dyDescent="0.3">
      <c r="A1722" s="44"/>
      <c r="B1722" s="31" t="str">
        <f>IF(_xll.TM1RPTELISCONSOLIDATED($H$20,$H1722),IF(_xll.TM1RPTELLEV($H$20,$H1722)&lt;=5,_xll.TM1RPTELLEV($H$20,$H1722),"Default"),"Leaf")</f>
        <v>Leaf</v>
      </c>
      <c r="C1722" s="26" t="s">
        <v>18</v>
      </c>
      <c r="D1722" s="24" t="str">
        <f>_xll.DBRW("TM1-S1_DEV:}ElementAttributes_SP_SKU",$F1722,D$1)</f>
        <v>Primary</v>
      </c>
      <c r="E1722" s="24" t="str">
        <f>_xll.DBRW("TM1-S1_DEV:}ElementAttributes_SP_SKU",$F1722,E$1)</f>
        <v>COOKIE</v>
      </c>
      <c r="F1722" s="26" t="s">
        <v>3195</v>
      </c>
      <c r="G1722" s="26" t="s">
        <v>1649</v>
      </c>
      <c r="H1722" s="26" t="s">
        <v>2691</v>
      </c>
      <c r="I1722" s="54">
        <f>_xll.DBRW($A$1,$F$14,$F$15,$C1722,$A$2,$F1722,$G1722,$H1722,I$1)</f>
        <v>17</v>
      </c>
      <c r="J1722" s="25">
        <f>_xll.DBRW($A$1,$F$14,$F$15,$C1722,$A$2,$F1722,$G1722,$H1722,J$19)</f>
        <v>14</v>
      </c>
    </row>
    <row r="1723" spans="1:10" s="23" customFormat="1" outlineLevel="1" thickBot="1" x14ac:dyDescent="0.3">
      <c r="A1723" s="44"/>
      <c r="B1723" s="31" t="str">
        <f>IF(_xll.TM1RPTELISCONSOLIDATED($H$20,$H1723),IF(_xll.TM1RPTELLEV($H$20,$H1723)&lt;=5,_xll.TM1RPTELLEV($H$20,$H1723),"Default"),"Leaf")</f>
        <v>Leaf</v>
      </c>
      <c r="C1723" s="26" t="s">
        <v>18</v>
      </c>
      <c r="D1723" s="24" t="str">
        <f>_xll.DBRW("TM1-S1_DEV:}ElementAttributes_SP_SKU",$F1723,D$1)</f>
        <v>Primary</v>
      </c>
      <c r="E1723" s="24" t="str">
        <f>_xll.DBRW("TM1-S1_DEV:}ElementAttributes_SP_SKU",$F1723,E$1)</f>
        <v>COOKIE</v>
      </c>
      <c r="F1723" s="26" t="s">
        <v>3196</v>
      </c>
      <c r="G1723" s="26" t="s">
        <v>1650</v>
      </c>
      <c r="H1723" s="26" t="s">
        <v>2691</v>
      </c>
      <c r="I1723" s="54">
        <f>_xll.DBRW($A$1,$F$14,$F$15,$C1723,$A$2,$F1723,$G1723,$H1723,I$1)</f>
        <v>23</v>
      </c>
      <c r="J1723" s="25">
        <f>_xll.DBRW($A$1,$F$14,$F$15,$C1723,$A$2,$F1723,$G1723,$H1723,J$19)</f>
        <v>20</v>
      </c>
    </row>
    <row r="1724" spans="1:10" s="23" customFormat="1" outlineLevel="1" thickBot="1" x14ac:dyDescent="0.3">
      <c r="A1724" s="44"/>
      <c r="B1724" s="31" t="str">
        <f>IF(_xll.TM1RPTELISCONSOLIDATED($H$20,$H1724),IF(_xll.TM1RPTELLEV($H$20,$H1724)&lt;=5,_xll.TM1RPTELLEV($H$20,$H1724),"Default"),"Leaf")</f>
        <v>Leaf</v>
      </c>
      <c r="C1724" s="26" t="s">
        <v>18</v>
      </c>
      <c r="D1724" s="24" t="str">
        <f>_xll.DBRW("TM1-S1_DEV:}ElementAttributes_SP_SKU",$F1724,D$1)</f>
        <v>Primary</v>
      </c>
      <c r="E1724" s="24" t="str">
        <f>_xll.DBRW("TM1-S1_DEV:}ElementAttributes_SP_SKU",$F1724,E$1)</f>
        <v>INGREDIENT</v>
      </c>
      <c r="F1724" s="26" t="s">
        <v>3197</v>
      </c>
      <c r="G1724" s="26" t="s">
        <v>1651</v>
      </c>
      <c r="H1724" s="26" t="s">
        <v>2686</v>
      </c>
      <c r="I1724" s="54">
        <f>_xll.DBRW($A$1,$F$14,$F$15,$C1724,$A$2,$F1724,$G1724,$H1724,I$1)</f>
        <v>14</v>
      </c>
      <c r="J1724" s="25">
        <f>_xll.DBRW($A$1,$F$14,$F$15,$C1724,$A$2,$F1724,$G1724,$H1724,J$19)</f>
        <v>11</v>
      </c>
    </row>
    <row r="1725" spans="1:10" s="23" customFormat="1" outlineLevel="1" thickBot="1" x14ac:dyDescent="0.3">
      <c r="A1725" s="44"/>
      <c r="B1725" s="31" t="str">
        <f>IF(_xll.TM1RPTELISCONSOLIDATED($H$20,$H1725),IF(_xll.TM1RPTELLEV($H$20,$H1725)&lt;=5,_xll.TM1RPTELLEV($H$20,$H1725),"Default"),"Leaf")</f>
        <v>Leaf</v>
      </c>
      <c r="C1725" s="26" t="s">
        <v>18</v>
      </c>
      <c r="D1725" s="24" t="str">
        <f>_xll.DBRW("TM1-S1_DEV:}ElementAttributes_SP_SKU",$F1725,D$1)</f>
        <v>Primary</v>
      </c>
      <c r="E1725" s="24" t="str">
        <f>_xll.DBRW("TM1-S1_DEV:}ElementAttributes_SP_SKU",$F1725,E$1)</f>
        <v>INGREDIENT</v>
      </c>
      <c r="F1725" s="26" t="s">
        <v>30</v>
      </c>
      <c r="G1725" s="26" t="s">
        <v>1652</v>
      </c>
      <c r="H1725" s="26" t="s">
        <v>2700</v>
      </c>
      <c r="I1725" s="54">
        <f>_xll.DBRW($A$1,$F$14,$F$15,$C1725,$A$2,$F1725,$G1725,$H1725,I$1)</f>
        <v>5</v>
      </c>
      <c r="J1725" s="25">
        <f>_xll.DBRW($A$1,$F$14,$F$15,$C1725,$A$2,$F1725,$G1725,$H1725,J$19)</f>
        <v>1</v>
      </c>
    </row>
    <row r="1726" spans="1:10" s="23" customFormat="1" outlineLevel="1" thickBot="1" x14ac:dyDescent="0.3">
      <c r="A1726" s="44"/>
      <c r="B1726" s="31" t="str">
        <f>IF(_xll.TM1RPTELISCONSOLIDATED($H$20,$H1726),IF(_xll.TM1RPTELLEV($H$20,$H1726)&lt;=5,_xll.TM1RPTELLEV($H$20,$H1726),"Default"),"Leaf")</f>
        <v>Leaf</v>
      </c>
      <c r="C1726" s="26" t="s">
        <v>18</v>
      </c>
      <c r="D1726" s="24" t="str">
        <f>_xll.DBRW("TM1-S1_DEV:}ElementAttributes_SP_SKU",$F1726,D$1)</f>
        <v>Primary</v>
      </c>
      <c r="E1726" s="24" t="str">
        <f>_xll.DBRW("TM1-S1_DEV:}ElementAttributes_SP_SKU",$F1726,E$1)</f>
        <v>INGREDIENT</v>
      </c>
      <c r="F1726" s="26" t="s">
        <v>3198</v>
      </c>
      <c r="G1726" s="26" t="s">
        <v>1653</v>
      </c>
      <c r="H1726" s="26" t="s">
        <v>2701</v>
      </c>
      <c r="I1726" s="54">
        <f>_xll.DBRW($A$1,$F$14,$F$15,$C1726,$A$2,$F1726,$G1726,$H1726,I$1)</f>
        <v>27</v>
      </c>
      <c r="J1726" s="25">
        <f>_xll.DBRW($A$1,$F$14,$F$15,$C1726,$A$2,$F1726,$G1726,$H1726,J$19)</f>
        <v>23</v>
      </c>
    </row>
    <row r="1727" spans="1:10" s="23" customFormat="1" outlineLevel="1" thickBot="1" x14ac:dyDescent="0.3">
      <c r="A1727" s="44"/>
      <c r="B1727" s="31" t="str">
        <f>IF(_xll.TM1RPTELISCONSOLIDATED($H$20,$H1727),IF(_xll.TM1RPTELLEV($H$20,$H1727)&lt;=5,_xll.TM1RPTELLEV($H$20,$H1727),"Default"),"Leaf")</f>
        <v>Leaf</v>
      </c>
      <c r="C1727" s="26" t="s">
        <v>18</v>
      </c>
      <c r="D1727" s="24" t="str">
        <f>_xll.DBRW("TM1-S1_DEV:}ElementAttributes_SP_SKU",$F1727,D$1)</f>
        <v>Primary</v>
      </c>
      <c r="E1727" s="24" t="str">
        <f>_xll.DBRW("TM1-S1_DEV:}ElementAttributes_SP_SKU",$F1727,E$1)</f>
        <v>FOIL</v>
      </c>
      <c r="F1727" s="26" t="s">
        <v>3204</v>
      </c>
      <c r="G1727" s="26" t="s">
        <v>1654</v>
      </c>
      <c r="H1727" s="26" t="s">
        <v>2704</v>
      </c>
      <c r="I1727" s="54">
        <f>_xll.DBRW($A$1,$F$14,$F$15,$C1727,$A$2,$F1727,$G1727,$H1727,I$1)</f>
        <v>116</v>
      </c>
      <c r="J1727" s="25">
        <f>_xll.DBRW($A$1,$F$14,$F$15,$C1727,$A$2,$F1727,$G1727,$H1727,J$19)</f>
        <v>105</v>
      </c>
    </row>
    <row r="1728" spans="1:10" s="23" customFormat="1" outlineLevel="1" thickBot="1" x14ac:dyDescent="0.3">
      <c r="A1728" s="44"/>
      <c r="B1728" s="31" t="str">
        <f>IF(_xll.TM1RPTELISCONSOLIDATED($H$20,$H1728),IF(_xll.TM1RPTELLEV($H$20,$H1728)&lt;=5,_xll.TM1RPTELLEV($H$20,$H1728),"Default"),"Leaf")</f>
        <v>Leaf</v>
      </c>
      <c r="C1728" s="26" t="s">
        <v>18</v>
      </c>
      <c r="D1728" s="24" t="str">
        <f>_xll.DBRW("TM1-S1_DEV:}ElementAttributes_SP_SKU",$F1728,D$1)</f>
        <v>Primary</v>
      </c>
      <c r="E1728" s="24" t="str">
        <f>_xll.DBRW("TM1-S1_DEV:}ElementAttributes_SP_SKU",$F1728,E$1)</f>
        <v>BAG</v>
      </c>
      <c r="F1728" s="26" t="s">
        <v>3205</v>
      </c>
      <c r="G1728" s="26" t="s">
        <v>1655</v>
      </c>
      <c r="H1728" s="26" t="s">
        <v>2705</v>
      </c>
      <c r="I1728" s="54">
        <f>_xll.DBRW($A$1,$F$14,$F$15,$C1728,$A$2,$F1728,$G1728,$H1728,I$1)</f>
        <v>24</v>
      </c>
      <c r="J1728" s="25">
        <f>_xll.DBRW($A$1,$F$14,$F$15,$C1728,$A$2,$F1728,$G1728,$H1728,J$19)</f>
        <v>20</v>
      </c>
    </row>
    <row r="1729" spans="1:10" s="23" customFormat="1" outlineLevel="1" thickBot="1" x14ac:dyDescent="0.3">
      <c r="A1729" s="44"/>
      <c r="B1729" s="31" t="str">
        <f>IF(_xll.TM1RPTELISCONSOLIDATED($H$20,$H1729),IF(_xll.TM1RPTELLEV($H$20,$H1729)&lt;=5,_xll.TM1RPTELLEV($H$20,$H1729),"Default"),"Leaf")</f>
        <v>Leaf</v>
      </c>
      <c r="C1729" s="26" t="s">
        <v>18</v>
      </c>
      <c r="D1729" s="24" t="str">
        <f>_xll.DBRW("TM1-S1_DEV:}ElementAttributes_SP_SKU",$F1729,D$1)</f>
        <v>Primary</v>
      </c>
      <c r="E1729" s="24" t="str">
        <f>_xll.DBRW("TM1-S1_DEV:}ElementAttributes_SP_SKU",$F1729,E$1)</f>
        <v>FOIL</v>
      </c>
      <c r="F1729" s="26" t="s">
        <v>3206</v>
      </c>
      <c r="G1729" s="26" t="s">
        <v>1656</v>
      </c>
      <c r="H1729" s="26" t="s">
        <v>2704</v>
      </c>
      <c r="I1729" s="54">
        <f>_xll.DBRW($A$1,$F$14,$F$15,$C1729,$A$2,$F1729,$G1729,$H1729,I$1)</f>
        <v>90</v>
      </c>
      <c r="J1729" s="25">
        <f>_xll.DBRW($A$1,$F$14,$F$15,$C1729,$A$2,$F1729,$G1729,$H1729,J$19)</f>
        <v>84</v>
      </c>
    </row>
    <row r="1730" spans="1:10" s="23" customFormat="1" outlineLevel="1" thickBot="1" x14ac:dyDescent="0.3">
      <c r="A1730" s="44"/>
      <c r="B1730" s="31" t="str">
        <f>IF(_xll.TM1RPTELISCONSOLIDATED($H$20,$H1730),IF(_xll.TM1RPTELLEV($H$20,$H1730)&lt;=5,_xll.TM1RPTELLEV($H$20,$H1730),"Default"),"Leaf")</f>
        <v>Leaf</v>
      </c>
      <c r="C1730" s="26" t="s">
        <v>18</v>
      </c>
      <c r="D1730" s="24" t="str">
        <f>_xll.DBRW("TM1-S1_DEV:}ElementAttributes_SP_SKU",$F1730,D$1)</f>
        <v>Primary</v>
      </c>
      <c r="E1730" s="24" t="str">
        <f>_xll.DBRW("TM1-S1_DEV:}ElementAttributes_SP_SKU",$F1730,E$1)</f>
        <v>BAG</v>
      </c>
      <c r="F1730" s="26" t="s">
        <v>3208</v>
      </c>
      <c r="G1730" s="26" t="s">
        <v>1657</v>
      </c>
      <c r="H1730" s="26" t="s">
        <v>2705</v>
      </c>
      <c r="I1730" s="54">
        <f>_xll.DBRW($A$1,$F$14,$F$15,$C1730,$A$2,$F1730,$G1730,$H1730,I$1)</f>
        <v>48</v>
      </c>
      <c r="J1730" s="25">
        <f>_xll.DBRW($A$1,$F$14,$F$15,$C1730,$A$2,$F1730,$G1730,$H1730,J$19)</f>
        <v>43</v>
      </c>
    </row>
    <row r="1731" spans="1:10" s="23" customFormat="1" outlineLevel="1" thickBot="1" x14ac:dyDescent="0.3">
      <c r="A1731" s="44"/>
      <c r="B1731" s="31" t="str">
        <f>IF(_xll.TM1RPTELISCONSOLIDATED($H$20,$H1731),IF(_xll.TM1RPTELLEV($H$20,$H1731)&lt;=5,_xll.TM1RPTELLEV($H$20,$H1731),"Default"),"Leaf")</f>
        <v>Leaf</v>
      </c>
      <c r="C1731" s="26" t="s">
        <v>18</v>
      </c>
      <c r="D1731" s="24" t="str">
        <f>_xll.DBRW("TM1-S1_DEV:}ElementAttributes_SP_SKU",$F1731,D$1)</f>
        <v>Primary</v>
      </c>
      <c r="E1731" s="24" t="str">
        <f>_xll.DBRW("TM1-S1_DEV:}ElementAttributes_SP_SKU",$F1731,E$1)</f>
        <v>BAG</v>
      </c>
      <c r="F1731" s="26" t="s">
        <v>3209</v>
      </c>
      <c r="G1731" s="26" t="s">
        <v>1658</v>
      </c>
      <c r="H1731" s="26" t="s">
        <v>2705</v>
      </c>
      <c r="I1731" s="54">
        <f>_xll.DBRW($A$1,$F$14,$F$15,$C1731,$A$2,$F1731,$G1731,$H1731,I$1)</f>
        <v>81</v>
      </c>
      <c r="J1731" s="25">
        <f>_xll.DBRW($A$1,$F$14,$F$15,$C1731,$A$2,$F1731,$G1731,$H1731,J$19)</f>
        <v>68</v>
      </c>
    </row>
    <row r="1732" spans="1:10" s="23" customFormat="1" outlineLevel="1" thickBot="1" x14ac:dyDescent="0.3">
      <c r="A1732" s="44"/>
      <c r="B1732" s="31" t="str">
        <f>IF(_xll.TM1RPTELISCONSOLIDATED($H$20,$H1732),IF(_xll.TM1RPTELLEV($H$20,$H1732)&lt;=5,_xll.TM1RPTELLEV($H$20,$H1732),"Default"),"Leaf")</f>
        <v>Leaf</v>
      </c>
      <c r="C1732" s="26" t="s">
        <v>18</v>
      </c>
      <c r="D1732" s="24" t="str">
        <f>_xll.DBRW("TM1-S1_DEV:}ElementAttributes_SP_SKU",$F1732,D$1)</f>
        <v>Primary</v>
      </c>
      <c r="E1732" s="24" t="str">
        <f>_xll.DBRW("TM1-S1_DEV:}ElementAttributes_SP_SKU",$F1732,E$1)</f>
        <v>BAG</v>
      </c>
      <c r="F1732" s="26" t="s">
        <v>3210</v>
      </c>
      <c r="G1732" s="26" t="s">
        <v>1659</v>
      </c>
      <c r="H1732" s="26" t="s">
        <v>2705</v>
      </c>
      <c r="I1732" s="54">
        <f>_xll.DBRW($A$1,$F$14,$F$15,$C1732,$A$2,$F1732,$G1732,$H1732,I$1)</f>
        <v>26</v>
      </c>
      <c r="J1732" s="25">
        <f>_xll.DBRW($A$1,$F$14,$F$15,$C1732,$A$2,$F1732,$G1732,$H1732,J$19)</f>
        <v>25</v>
      </c>
    </row>
    <row r="1733" spans="1:10" s="23" customFormat="1" outlineLevel="1" thickBot="1" x14ac:dyDescent="0.3">
      <c r="A1733" s="44"/>
      <c r="B1733" s="31" t="str">
        <f>IF(_xll.TM1RPTELISCONSOLIDATED($H$20,$H1733),IF(_xll.TM1RPTELLEV($H$20,$H1733)&lt;=5,_xll.TM1RPTELLEV($H$20,$H1733),"Default"),"Leaf")</f>
        <v>Leaf</v>
      </c>
      <c r="C1733" s="26" t="s">
        <v>18</v>
      </c>
      <c r="D1733" s="24" t="str">
        <f>_xll.DBRW("TM1-S1_DEV:}ElementAttributes_SP_SKU",$F1733,D$1)</f>
        <v>Primary</v>
      </c>
      <c r="E1733" s="24" t="str">
        <f>_xll.DBRW("TM1-S1_DEV:}ElementAttributes_SP_SKU",$F1733,E$1)</f>
        <v>BOX</v>
      </c>
      <c r="F1733" s="26" t="s">
        <v>3211</v>
      </c>
      <c r="G1733" s="26" t="s">
        <v>1660</v>
      </c>
      <c r="H1733" s="26" t="s">
        <v>2706</v>
      </c>
      <c r="I1733" s="54">
        <f>_xll.DBRW($A$1,$F$14,$F$15,$C1733,$A$2,$F1733,$G1733,$H1733,I$1)</f>
        <v>97</v>
      </c>
      <c r="J1733" s="25">
        <f>_xll.DBRW($A$1,$F$14,$F$15,$C1733,$A$2,$F1733,$G1733,$H1733,J$19)</f>
        <v>127</v>
      </c>
    </row>
    <row r="1734" spans="1:10" s="23" customFormat="1" outlineLevel="1" thickBot="1" x14ac:dyDescent="0.3">
      <c r="A1734" s="44"/>
      <c r="B1734" s="31" t="str">
        <f>IF(_xll.TM1RPTELISCONSOLIDATED($H$20,$H1734),IF(_xll.TM1RPTELLEV($H$20,$H1734)&lt;=5,_xll.TM1RPTELLEV($H$20,$H1734),"Default"),"Leaf")</f>
        <v>Leaf</v>
      </c>
      <c r="C1734" s="26" t="s">
        <v>18</v>
      </c>
      <c r="D1734" s="24" t="str">
        <f>_xll.DBRW("TM1-S1_DEV:}ElementAttributes_SP_SKU",$F1734,D$1)</f>
        <v>Primary</v>
      </c>
      <c r="E1734" s="24" t="str">
        <f>_xll.DBRW("TM1-S1_DEV:}ElementAttributes_SP_SKU",$F1734,E$1)</f>
        <v>FOIL</v>
      </c>
      <c r="F1734" s="26" t="s">
        <v>3212</v>
      </c>
      <c r="G1734" s="26" t="s">
        <v>1661</v>
      </c>
      <c r="H1734" s="26" t="s">
        <v>2704</v>
      </c>
      <c r="I1734" s="54">
        <f>_xll.DBRW($A$1,$F$14,$F$15,$C1734,$A$2,$F1734,$G1734,$H1734,I$1)</f>
        <v>84</v>
      </c>
      <c r="J1734" s="25">
        <f>_xll.DBRW($A$1,$F$14,$F$15,$C1734,$A$2,$F1734,$G1734,$H1734,J$19)</f>
        <v>84</v>
      </c>
    </row>
    <row r="1735" spans="1:10" s="23" customFormat="1" outlineLevel="1" thickBot="1" x14ac:dyDescent="0.3">
      <c r="A1735" s="44"/>
      <c r="B1735" s="31" t="str">
        <f>IF(_xll.TM1RPTELISCONSOLIDATED($H$20,$H1735),IF(_xll.TM1RPTELLEV($H$20,$H1735)&lt;=5,_xll.TM1RPTELLEV($H$20,$H1735),"Default"),"Leaf")</f>
        <v>Leaf</v>
      </c>
      <c r="C1735" s="26" t="s">
        <v>18</v>
      </c>
      <c r="D1735" s="24" t="str">
        <f>_xll.DBRW("TM1-S1_DEV:}ElementAttributes_SP_SKU",$F1735,D$1)</f>
        <v>Primary</v>
      </c>
      <c r="E1735" s="24" t="str">
        <f>_xll.DBRW("TM1-S1_DEV:}ElementAttributes_SP_SKU",$F1735,E$1)</f>
        <v>BAG</v>
      </c>
      <c r="F1735" s="26" t="s">
        <v>3219</v>
      </c>
      <c r="G1735" s="26" t="s">
        <v>1662</v>
      </c>
      <c r="H1735" s="26" t="s">
        <v>2705</v>
      </c>
      <c r="I1735" s="54">
        <f>_xll.DBRW($A$1,$F$14,$F$15,$C1735,$A$2,$F1735,$G1735,$H1735,I$1)</f>
        <v>29</v>
      </c>
      <c r="J1735" s="25">
        <f>_xll.DBRW($A$1,$F$14,$F$15,$C1735,$A$2,$F1735,$G1735,$H1735,J$19)</f>
        <v>25</v>
      </c>
    </row>
    <row r="1736" spans="1:10" s="23" customFormat="1" outlineLevel="1" thickBot="1" x14ac:dyDescent="0.3">
      <c r="A1736" s="44"/>
      <c r="B1736" s="31" t="str">
        <f>IF(_xll.TM1RPTELISCONSOLIDATED($H$20,$H1736),IF(_xll.TM1RPTELLEV($H$20,$H1736)&lt;=5,_xll.TM1RPTELLEV($H$20,$H1736),"Default"),"Leaf")</f>
        <v>Leaf</v>
      </c>
      <c r="C1736" s="26" t="s">
        <v>18</v>
      </c>
      <c r="D1736" s="24" t="str">
        <f>_xll.DBRW("TM1-S1_DEV:}ElementAttributes_SP_SKU",$F1736,D$1)</f>
        <v>Primary</v>
      </c>
      <c r="E1736" s="24" t="str">
        <f>_xll.DBRW("TM1-S1_DEV:}ElementAttributes_SP_SKU",$F1736,E$1)</f>
        <v>BOX</v>
      </c>
      <c r="F1736" s="26" t="s">
        <v>3220</v>
      </c>
      <c r="G1736" s="26" t="s">
        <v>1663</v>
      </c>
      <c r="H1736" s="26" t="s">
        <v>2702</v>
      </c>
      <c r="I1736" s="54">
        <f>_xll.DBRW($A$1,$F$14,$F$15,$C1736,$A$2,$F1736,$G1736,$H1736,I$1)</f>
        <v>4</v>
      </c>
      <c r="J1736" s="25">
        <f>_xll.DBRW($A$1,$F$14,$F$15,$C1736,$A$2,$F1736,$G1736,$H1736,J$19)</f>
        <v>4</v>
      </c>
    </row>
    <row r="1737" spans="1:10" s="23" customFormat="1" outlineLevel="1" thickBot="1" x14ac:dyDescent="0.3">
      <c r="A1737" s="44"/>
      <c r="B1737" s="31" t="str">
        <f>IF(_xll.TM1RPTELISCONSOLIDATED($H$20,$H1737),IF(_xll.TM1RPTELLEV($H$20,$H1737)&lt;=5,_xll.TM1RPTELLEV($H$20,$H1737),"Default"),"Leaf")</f>
        <v>Leaf</v>
      </c>
      <c r="C1737" s="26" t="s">
        <v>18</v>
      </c>
      <c r="D1737" s="24" t="str">
        <f>_xll.DBRW("TM1-S1_DEV:}ElementAttributes_SP_SKU",$F1737,D$1)</f>
        <v>Primary</v>
      </c>
      <c r="E1737" s="24" t="str">
        <f>_xll.DBRW("TM1-S1_DEV:}ElementAttributes_SP_SKU",$F1737,E$1)</f>
        <v>BOX</v>
      </c>
      <c r="F1737" s="26" t="s">
        <v>3222</v>
      </c>
      <c r="G1737" s="26" t="s">
        <v>1664</v>
      </c>
      <c r="H1737" s="26" t="s">
        <v>2702</v>
      </c>
      <c r="I1737" s="54">
        <f>_xll.DBRW($A$1,$F$14,$F$15,$C1737,$A$2,$F1737,$G1737,$H1737,I$1)</f>
        <v>25</v>
      </c>
      <c r="J1737" s="25">
        <f>_xll.DBRW($A$1,$F$14,$F$15,$C1737,$A$2,$F1737,$G1737,$H1737,J$19)</f>
        <v>25</v>
      </c>
    </row>
    <row r="1738" spans="1:10" s="23" customFormat="1" outlineLevel="1" thickBot="1" x14ac:dyDescent="0.3">
      <c r="A1738" s="44"/>
      <c r="B1738" s="31" t="str">
        <f>IF(_xll.TM1RPTELISCONSOLIDATED($H$20,$H1738),IF(_xll.TM1RPTELLEV($H$20,$H1738)&lt;=5,_xll.TM1RPTELLEV($H$20,$H1738),"Default"),"Leaf")</f>
        <v>Leaf</v>
      </c>
      <c r="C1738" s="26" t="s">
        <v>18</v>
      </c>
      <c r="D1738" s="24" t="str">
        <f>_xll.DBRW("TM1-S1_DEV:}ElementAttributes_SP_SKU",$F1738,D$1)</f>
        <v>Primary</v>
      </c>
      <c r="E1738" s="24" t="str">
        <f>_xll.DBRW("TM1-S1_DEV:}ElementAttributes_SP_SKU",$F1738,E$1)</f>
        <v>BOWL</v>
      </c>
      <c r="F1738" s="26" t="s">
        <v>3223</v>
      </c>
      <c r="G1738" s="26" t="s">
        <v>1665</v>
      </c>
      <c r="H1738" s="26" t="s">
        <v>2703</v>
      </c>
      <c r="I1738" s="54">
        <f>_xll.DBRW($A$1,$F$14,$F$15,$C1738,$A$2,$F1738,$G1738,$H1738,I$1)</f>
        <v>21</v>
      </c>
      <c r="J1738" s="25">
        <f>_xll.DBRW($A$1,$F$14,$F$15,$C1738,$A$2,$F1738,$G1738,$H1738,J$19)</f>
        <v>20</v>
      </c>
    </row>
    <row r="1739" spans="1:10" s="23" customFormat="1" outlineLevel="1" thickBot="1" x14ac:dyDescent="0.3">
      <c r="A1739" s="44"/>
      <c r="B1739" s="31" t="str">
        <f>IF(_xll.TM1RPTELISCONSOLIDATED($H$20,$H1739),IF(_xll.TM1RPTELLEV($H$20,$H1739)&lt;=5,_xll.TM1RPTELLEV($H$20,$H1739),"Default"),"Leaf")</f>
        <v>Leaf</v>
      </c>
      <c r="C1739" s="26" t="s">
        <v>18</v>
      </c>
      <c r="D1739" s="24" t="str">
        <f>_xll.DBRW("TM1-S1_DEV:}ElementAttributes_SP_SKU",$F1739,D$1)</f>
        <v>Primary</v>
      </c>
      <c r="E1739" s="24" t="str">
        <f>_xll.DBRW("TM1-S1_DEV:}ElementAttributes_SP_SKU",$F1739,E$1)</f>
        <v>BAG</v>
      </c>
      <c r="F1739" s="26" t="s">
        <v>3224</v>
      </c>
      <c r="G1739" s="26" t="s">
        <v>1666</v>
      </c>
      <c r="H1739" s="26" t="s">
        <v>2705</v>
      </c>
      <c r="I1739" s="54">
        <f>_xll.DBRW($A$1,$F$14,$F$15,$C1739,$A$2,$F1739,$G1739,$H1739,I$1)</f>
        <v>18</v>
      </c>
      <c r="J1739" s="25">
        <f>_xll.DBRW($A$1,$F$14,$F$15,$C1739,$A$2,$F1739,$G1739,$H1739,J$19)</f>
        <v>16</v>
      </c>
    </row>
    <row r="1740" spans="1:10" s="23" customFormat="1" outlineLevel="1" thickBot="1" x14ac:dyDescent="0.3">
      <c r="A1740" s="44"/>
      <c r="B1740" s="31" t="str">
        <f>IF(_xll.TM1RPTELISCONSOLIDATED($H$20,$H1740),IF(_xll.TM1RPTELLEV($H$20,$H1740)&lt;=5,_xll.TM1RPTELLEV($H$20,$H1740),"Default"),"Leaf")</f>
        <v>Leaf</v>
      </c>
      <c r="C1740" s="26" t="s">
        <v>18</v>
      </c>
      <c r="D1740" s="24" t="str">
        <f>_xll.DBRW("TM1-S1_DEV:}ElementAttributes_SP_SKU",$F1740,D$1)</f>
        <v>Primary</v>
      </c>
      <c r="E1740" s="24" t="str">
        <f>_xll.DBRW("TM1-S1_DEV:}ElementAttributes_SP_SKU",$F1740,E$1)</f>
        <v>CUP</v>
      </c>
      <c r="F1740" s="26" t="s">
        <v>3225</v>
      </c>
      <c r="G1740" s="26" t="s">
        <v>1667</v>
      </c>
      <c r="H1740" s="26" t="s">
        <v>2707</v>
      </c>
      <c r="I1740" s="54">
        <f>_xll.DBRW($A$1,$F$14,$F$15,$C1740,$A$2,$F1740,$G1740,$H1740,I$1)</f>
        <v>27</v>
      </c>
      <c r="J1740" s="25">
        <f>_xll.DBRW($A$1,$F$14,$F$15,$C1740,$A$2,$F1740,$G1740,$H1740,J$19)</f>
        <v>25</v>
      </c>
    </row>
    <row r="1741" spans="1:10" s="23" customFormat="1" outlineLevel="1" thickBot="1" x14ac:dyDescent="0.3">
      <c r="A1741" s="44"/>
      <c r="B1741" s="31" t="str">
        <f>IF(_xll.TM1RPTELISCONSOLIDATED($H$20,$H1741),IF(_xll.TM1RPTELLEV($H$20,$H1741)&lt;=5,_xll.TM1RPTELLEV($H$20,$H1741),"Default"),"Leaf")</f>
        <v>Leaf</v>
      </c>
      <c r="C1741" s="26" t="s">
        <v>18</v>
      </c>
      <c r="D1741" s="24" t="str">
        <f>_xll.DBRW("TM1-S1_DEV:}ElementAttributes_SP_SKU",$F1741,D$1)</f>
        <v>Primary</v>
      </c>
      <c r="E1741" s="24" t="str">
        <f>_xll.DBRW("TM1-S1_DEV:}ElementAttributes_SP_SKU",$F1741,E$1)</f>
        <v>CUP</v>
      </c>
      <c r="F1741" s="26" t="s">
        <v>3226</v>
      </c>
      <c r="G1741" s="26" t="s">
        <v>1668</v>
      </c>
      <c r="H1741" s="26" t="s">
        <v>2707</v>
      </c>
      <c r="I1741" s="54">
        <f>_xll.DBRW($A$1,$F$14,$F$15,$C1741,$A$2,$F1741,$G1741,$H1741,I$1)</f>
        <v>22</v>
      </c>
      <c r="J1741" s="25">
        <f>_xll.DBRW($A$1,$F$14,$F$15,$C1741,$A$2,$F1741,$G1741,$H1741,J$19)</f>
        <v>21</v>
      </c>
    </row>
    <row r="1742" spans="1:10" s="23" customFormat="1" outlineLevel="1" thickBot="1" x14ac:dyDescent="0.3">
      <c r="A1742" s="44"/>
      <c r="B1742" s="31" t="str">
        <f>IF(_xll.TM1RPTELISCONSOLIDATED($H$20,$H1742),IF(_xll.TM1RPTELLEV($H$20,$H1742)&lt;=5,_xll.TM1RPTELLEV($H$20,$H1742),"Default"),"Leaf")</f>
        <v>Leaf</v>
      </c>
      <c r="C1742" s="26" t="s">
        <v>18</v>
      </c>
      <c r="D1742" s="24" t="str">
        <f>_xll.DBRW("TM1-S1_DEV:}ElementAttributes_SP_SKU",$F1742,D$1)</f>
        <v>Primary</v>
      </c>
      <c r="E1742" s="24" t="str">
        <f>_xll.DBRW("TM1-S1_DEV:}ElementAttributes_SP_SKU",$F1742,E$1)</f>
        <v>PROTEIN</v>
      </c>
      <c r="F1742" s="26" t="s">
        <v>3227</v>
      </c>
      <c r="G1742" s="26" t="s">
        <v>1669</v>
      </c>
      <c r="H1742" s="26" t="s">
        <v>2673</v>
      </c>
      <c r="I1742" s="54">
        <f>_xll.DBRW($A$1,$F$14,$F$15,$C1742,$A$2,$F1742,$G1742,$H1742,I$1)</f>
        <v>214</v>
      </c>
      <c r="J1742" s="25">
        <f>_xll.DBRW($A$1,$F$14,$F$15,$C1742,$A$2,$F1742,$G1742,$H1742,J$19)</f>
        <v>153</v>
      </c>
    </row>
    <row r="1743" spans="1:10" s="23" customFormat="1" outlineLevel="1" thickBot="1" x14ac:dyDescent="0.3">
      <c r="A1743" s="44"/>
      <c r="B1743" s="31" t="str">
        <f>IF(_xll.TM1RPTELISCONSOLIDATED($H$20,$H1743),IF(_xll.TM1RPTELLEV($H$20,$H1743)&lt;=5,_xll.TM1RPTELLEV($H$20,$H1743),"Default"),"Leaf")</f>
        <v>Leaf</v>
      </c>
      <c r="C1743" s="26" t="s">
        <v>18</v>
      </c>
      <c r="D1743" s="24" t="str">
        <f>_xll.DBRW("TM1-S1_DEV:}ElementAttributes_SP_SKU",$F1743,D$1)</f>
        <v>Primary</v>
      </c>
      <c r="E1743" s="24" t="str">
        <f>_xll.DBRW("TM1-S1_DEV:}ElementAttributes_SP_SKU",$F1743,E$1)</f>
        <v>TRAY</v>
      </c>
      <c r="F1743" s="26" t="s">
        <v>3228</v>
      </c>
      <c r="G1743" s="26" t="s">
        <v>1670</v>
      </c>
      <c r="H1743" s="26" t="s">
        <v>2708</v>
      </c>
      <c r="I1743" s="54">
        <f>_xll.DBRW($A$1,$F$14,$F$15,$C1743,$A$2,$F1743,$G1743,$H1743,I$1)</f>
        <v>12</v>
      </c>
      <c r="J1743" s="25">
        <f>_xll.DBRW($A$1,$F$14,$F$15,$C1743,$A$2,$F1743,$G1743,$H1743,J$19)</f>
        <v>10</v>
      </c>
    </row>
    <row r="1744" spans="1:10" s="23" customFormat="1" outlineLevel="1" thickBot="1" x14ac:dyDescent="0.3">
      <c r="A1744" s="44"/>
      <c r="B1744" s="31" t="str">
        <f>IF(_xll.TM1RPTELISCONSOLIDATED($H$20,$H1744),IF(_xll.TM1RPTELLEV($H$20,$H1744)&lt;=5,_xll.TM1RPTELLEV($H$20,$H1744),"Default"),"Leaf")</f>
        <v>Leaf</v>
      </c>
      <c r="C1744" s="26" t="s">
        <v>18</v>
      </c>
      <c r="D1744" s="24" t="str">
        <f>_xll.DBRW("TM1-S1_DEV:}ElementAttributes_SP_SKU",$F1744,D$1)</f>
        <v>Primary</v>
      </c>
      <c r="E1744" s="24" t="str">
        <f>_xll.DBRW("TM1-S1_DEV:}ElementAttributes_SP_SKU",$F1744,E$1)</f>
        <v>TRAY</v>
      </c>
      <c r="F1744" s="26" t="s">
        <v>3229</v>
      </c>
      <c r="G1744" s="26" t="s">
        <v>1671</v>
      </c>
      <c r="H1744" s="26" t="s">
        <v>2708</v>
      </c>
      <c r="I1744" s="54">
        <f>_xll.DBRW($A$1,$F$14,$F$15,$C1744,$A$2,$F1744,$G1744,$H1744,I$1)</f>
        <v>11</v>
      </c>
      <c r="J1744" s="25">
        <f>_xll.DBRW($A$1,$F$14,$F$15,$C1744,$A$2,$F1744,$G1744,$H1744,J$19)</f>
        <v>9</v>
      </c>
    </row>
    <row r="1745" spans="1:10" s="23" customFormat="1" outlineLevel="1" thickBot="1" x14ac:dyDescent="0.3">
      <c r="A1745" s="44"/>
      <c r="B1745" s="31" t="str">
        <f>IF(_xll.TM1RPTELISCONSOLIDATED($H$20,$H1745),IF(_xll.TM1RPTELLEV($H$20,$H1745)&lt;=5,_xll.TM1RPTELLEV($H$20,$H1745),"Default"),"Leaf")</f>
        <v>Leaf</v>
      </c>
      <c r="C1745" s="26" t="s">
        <v>18</v>
      </c>
      <c r="D1745" s="24" t="str">
        <f>_xll.DBRW("TM1-S1_DEV:}ElementAttributes_SP_SKU",$F1745,D$1)</f>
        <v>Primary</v>
      </c>
      <c r="E1745" s="24" t="str">
        <f>_xll.DBRW("TM1-S1_DEV:}ElementAttributes_SP_SKU",$F1745,E$1)</f>
        <v>BOWL</v>
      </c>
      <c r="F1745" s="26" t="s">
        <v>3230</v>
      </c>
      <c r="G1745" s="26" t="s">
        <v>1672</v>
      </c>
      <c r="H1745" s="26" t="s">
        <v>2703</v>
      </c>
      <c r="I1745" s="54">
        <f>_xll.DBRW($A$1,$F$14,$F$15,$C1745,$A$2,$F1745,$G1745,$H1745,I$1)</f>
        <v>16</v>
      </c>
      <c r="J1745" s="25">
        <f>_xll.DBRW($A$1,$F$14,$F$15,$C1745,$A$2,$F1745,$G1745,$H1745,J$19)</f>
        <v>15</v>
      </c>
    </row>
    <row r="1746" spans="1:10" s="23" customFormat="1" outlineLevel="1" thickBot="1" x14ac:dyDescent="0.3">
      <c r="A1746" s="44"/>
      <c r="B1746" s="31" t="str">
        <f>IF(_xll.TM1RPTELISCONSOLIDATED($H$20,$H1746),IF(_xll.TM1RPTELLEV($H$20,$H1746)&lt;=5,_xll.TM1RPTELLEV($H$20,$H1746),"Default"),"Leaf")</f>
        <v>Leaf</v>
      </c>
      <c r="C1746" s="26" t="s">
        <v>18</v>
      </c>
      <c r="D1746" s="24" t="str">
        <f>_xll.DBRW("TM1-S1_DEV:}ElementAttributes_SP_SKU",$F1746,D$1)</f>
        <v>Primary</v>
      </c>
      <c r="E1746" s="24" t="str">
        <f>_xll.DBRW("TM1-S1_DEV:}ElementAttributes_SP_SKU",$F1746,E$1)</f>
        <v>BREAD</v>
      </c>
      <c r="F1746" s="26" t="s">
        <v>3260</v>
      </c>
      <c r="G1746" s="26" t="s">
        <v>1673</v>
      </c>
      <c r="H1746" s="26" t="s">
        <v>2710</v>
      </c>
      <c r="I1746" s="54">
        <f>_xll.DBRW($A$1,$F$14,$F$15,$C1746,$A$2,$F1746,$G1746,$H1746,I$1)</f>
        <v>25</v>
      </c>
      <c r="J1746" s="25">
        <f>_xll.DBRW($A$1,$F$14,$F$15,$C1746,$A$2,$F1746,$G1746,$H1746,J$19)</f>
        <v>23</v>
      </c>
    </row>
    <row r="1747" spans="1:10" s="23" customFormat="1" outlineLevel="1" thickBot="1" x14ac:dyDescent="0.3">
      <c r="A1747" s="44"/>
      <c r="B1747" s="31" t="str">
        <f>IF(_xll.TM1RPTELISCONSOLIDATED($H$20,$H1747),IF(_xll.TM1RPTELLEV($H$20,$H1747)&lt;=5,_xll.TM1RPTELLEV($H$20,$H1747),"Default"),"Leaf")</f>
        <v>Leaf</v>
      </c>
      <c r="C1747" s="26" t="s">
        <v>18</v>
      </c>
      <c r="D1747" s="24" t="str">
        <f>_xll.DBRW("TM1-S1_DEV:}ElementAttributes_SP_SKU",$F1747,D$1)</f>
        <v>Primary</v>
      </c>
      <c r="E1747" s="24" t="str">
        <f>_xll.DBRW("TM1-S1_DEV:}ElementAttributes_SP_SKU",$F1747,E$1)</f>
        <v>TRAY</v>
      </c>
      <c r="F1747" s="26" t="s">
        <v>3231</v>
      </c>
      <c r="G1747" s="26" t="s">
        <v>1674</v>
      </c>
      <c r="H1747" s="26" t="s">
        <v>2711</v>
      </c>
      <c r="I1747" s="54">
        <f>_xll.DBRW($A$1,$F$14,$F$15,$C1747,$A$2,$F1747,$G1747,$H1747,I$1)</f>
        <v>33</v>
      </c>
      <c r="J1747" s="25">
        <f>_xll.DBRW($A$1,$F$14,$F$15,$C1747,$A$2,$F1747,$G1747,$H1747,J$19)</f>
        <v>30</v>
      </c>
    </row>
    <row r="1748" spans="1:10" s="23" customFormat="1" outlineLevel="1" thickBot="1" x14ac:dyDescent="0.3">
      <c r="A1748" s="44"/>
      <c r="B1748" s="31" t="str">
        <f>IF(_xll.TM1RPTELISCONSOLIDATED($H$20,$H1748),IF(_xll.TM1RPTELLEV($H$20,$H1748)&lt;=5,_xll.TM1RPTELLEV($H$20,$H1748),"Default"),"Leaf")</f>
        <v>Leaf</v>
      </c>
      <c r="C1748" s="26" t="s">
        <v>18</v>
      </c>
      <c r="D1748" s="24" t="str">
        <f>_xll.DBRW("TM1-S1_DEV:}ElementAttributes_SP_SKU",$F1748,D$1)</f>
        <v>Primary</v>
      </c>
      <c r="E1748" s="24" t="str">
        <f>_xll.DBRW("TM1-S1_DEV:}ElementAttributes_SP_SKU",$F1748,E$1)</f>
        <v>PAPER</v>
      </c>
      <c r="F1748" s="26" t="s">
        <v>3261</v>
      </c>
      <c r="G1748" s="26" t="s">
        <v>1675</v>
      </c>
      <c r="H1748" s="26" t="s">
        <v>2716</v>
      </c>
      <c r="I1748" s="54">
        <f>_xll.DBRW($A$1,$F$14,$F$15,$C1748,$A$2,$F1748,$G1748,$H1748,I$1)</f>
        <v>13</v>
      </c>
      <c r="J1748" s="25">
        <f>_xll.DBRW($A$1,$F$14,$F$15,$C1748,$A$2,$F1748,$G1748,$H1748,J$19)</f>
        <v>13</v>
      </c>
    </row>
    <row r="1749" spans="1:10" s="23" customFormat="1" outlineLevel="1" thickBot="1" x14ac:dyDescent="0.3">
      <c r="A1749" s="44"/>
      <c r="B1749" s="31" t="str">
        <f>IF(_xll.TM1RPTELISCONSOLIDATED($H$20,$H1749),IF(_xll.TM1RPTELLEV($H$20,$H1749)&lt;=5,_xll.TM1RPTELLEV($H$20,$H1749),"Default"),"Leaf")</f>
        <v>Leaf</v>
      </c>
      <c r="C1749" s="26" t="s">
        <v>18</v>
      </c>
      <c r="D1749" s="24" t="str">
        <f>_xll.DBRW("TM1-S1_DEV:}ElementAttributes_SP_SKU",$F1749,D$1)</f>
        <v>Primary</v>
      </c>
      <c r="E1749" s="24" t="str">
        <f>_xll.DBRW("TM1-S1_DEV:}ElementAttributes_SP_SKU",$F1749,E$1)</f>
        <v>CONTAINER</v>
      </c>
      <c r="F1749" s="26" t="s">
        <v>3283</v>
      </c>
      <c r="G1749" s="26" t="s">
        <v>1676</v>
      </c>
      <c r="H1749" s="26" t="s">
        <v>2711</v>
      </c>
      <c r="I1749" s="54">
        <f>_xll.DBRW($A$1,$F$14,$F$15,$C1749,$A$2,$F1749,$G1749,$H1749,I$1)</f>
        <v>10</v>
      </c>
      <c r="J1749" s="25">
        <f>_xll.DBRW($A$1,$F$14,$F$15,$C1749,$A$2,$F1749,$G1749,$H1749,J$19)</f>
        <v>10</v>
      </c>
    </row>
    <row r="1750" spans="1:10" s="23" customFormat="1" outlineLevel="1" thickBot="1" x14ac:dyDescent="0.3">
      <c r="A1750" s="44"/>
      <c r="B1750" s="31" t="str">
        <f>IF(_xll.TM1RPTELISCONSOLIDATED($H$20,$H1750),IF(_xll.TM1RPTELLEV($H$20,$H1750)&lt;=5,_xll.TM1RPTELLEV($H$20,$H1750),"Default"),"Leaf")</f>
        <v>Leaf</v>
      </c>
      <c r="C1750" s="26" t="s">
        <v>18</v>
      </c>
      <c r="D1750" s="24" t="str">
        <f>_xll.DBRW("TM1-S1_DEV:}ElementAttributes_SP_SKU",$F1750,D$1)</f>
        <v>Primary</v>
      </c>
      <c r="E1750" s="24" t="str">
        <f>_xll.DBRW("TM1-S1_DEV:}ElementAttributes_SP_SKU",$F1750,E$1)</f>
        <v>CONTAINER</v>
      </c>
      <c r="F1750" s="26" t="s">
        <v>3284</v>
      </c>
      <c r="G1750" s="26" t="s">
        <v>1677</v>
      </c>
      <c r="H1750" s="26" t="s">
        <v>2860</v>
      </c>
      <c r="I1750" s="54">
        <f>_xll.DBRW($A$1,$F$14,$F$15,$C1750,$A$2,$F1750,$G1750,$H1750,I$1)</f>
        <v>17</v>
      </c>
      <c r="J1750" s="25">
        <f>_xll.DBRW($A$1,$F$14,$F$15,$C1750,$A$2,$F1750,$G1750,$H1750,J$19)</f>
        <v>17</v>
      </c>
    </row>
    <row r="1751" spans="1:10" s="23" customFormat="1" outlineLevel="1" thickBot="1" x14ac:dyDescent="0.3">
      <c r="A1751" s="44"/>
      <c r="B1751" s="31" t="str">
        <f>IF(_xll.TM1RPTELISCONSOLIDATED($H$20,$H1751),IF(_xll.TM1RPTELLEV($H$20,$H1751)&lt;=5,_xll.TM1RPTELLEV($H$20,$H1751),"Default"),"Leaf")</f>
        <v>Leaf</v>
      </c>
      <c r="C1751" s="26" t="s">
        <v>18</v>
      </c>
      <c r="D1751" s="24" t="str">
        <f>_xll.DBRW("TM1-S1_DEV:}ElementAttributes_SP_SKU",$F1751,D$1)</f>
        <v>Primary</v>
      </c>
      <c r="E1751" s="24" t="str">
        <f>_xll.DBRW("TM1-S1_DEV:}ElementAttributes_SP_SKU",$F1751,E$1)</f>
        <v>CONTAINER</v>
      </c>
      <c r="F1751" s="26" t="s">
        <v>3285</v>
      </c>
      <c r="G1751" s="26" t="s">
        <v>1678</v>
      </c>
      <c r="H1751" s="26" t="s">
        <v>2711</v>
      </c>
      <c r="I1751" s="54">
        <f>_xll.DBRW($A$1,$F$14,$F$15,$C1751,$A$2,$F1751,$G1751,$H1751,I$1)</f>
        <v>3</v>
      </c>
      <c r="J1751" s="25">
        <f>_xll.DBRW($A$1,$F$14,$F$15,$C1751,$A$2,$F1751,$G1751,$H1751,J$19)</f>
        <v>3</v>
      </c>
    </row>
    <row r="1752" spans="1:10" s="23" customFormat="1" outlineLevel="1" thickBot="1" x14ac:dyDescent="0.3">
      <c r="A1752" s="44"/>
      <c r="B1752" s="31" t="str">
        <f>IF(_xll.TM1RPTELISCONSOLIDATED($H$20,$H1752),IF(_xll.TM1RPTELLEV($H$20,$H1752)&lt;=5,_xll.TM1RPTELLEV($H$20,$H1752),"Default"),"Leaf")</f>
        <v>Leaf</v>
      </c>
      <c r="C1752" s="26" t="s">
        <v>18</v>
      </c>
      <c r="D1752" s="24" t="str">
        <f>_xll.DBRW("TM1-S1_DEV:}ElementAttributes_SP_SKU",$F1752,D$1)</f>
        <v>Primary</v>
      </c>
      <c r="E1752" s="24" t="str">
        <f>_xll.DBRW("TM1-S1_DEV:}ElementAttributes_SP_SKU",$F1752,E$1)</f>
        <v>UTENSIL</v>
      </c>
      <c r="F1752" s="26" t="s">
        <v>3286</v>
      </c>
      <c r="G1752" s="26" t="s">
        <v>1679</v>
      </c>
      <c r="H1752" s="26" t="s">
        <v>2711</v>
      </c>
      <c r="I1752" s="54">
        <f>_xll.DBRW($A$1,$F$14,$F$15,$C1752,$A$2,$F1752,$G1752,$H1752,I$1)</f>
        <v>6</v>
      </c>
      <c r="J1752" s="25">
        <f>_xll.DBRW($A$1,$F$14,$F$15,$C1752,$A$2,$F1752,$G1752,$H1752,J$19)</f>
        <v>6</v>
      </c>
    </row>
    <row r="1753" spans="1:10" s="23" customFormat="1" outlineLevel="1" thickBot="1" x14ac:dyDescent="0.3">
      <c r="A1753" s="44"/>
      <c r="B1753" s="31" t="str">
        <f>IF(_xll.TM1RPTELISCONSOLIDATED($H$20,$H1753),IF(_xll.TM1RPTELLEV($H$20,$H1753)&lt;=5,_xll.TM1RPTELLEV($H$20,$H1753),"Default"),"Leaf")</f>
        <v>Leaf</v>
      </c>
      <c r="C1753" s="26" t="s">
        <v>18</v>
      </c>
      <c r="D1753" s="24" t="str">
        <f>_xll.DBRW("TM1-S1_DEV:}ElementAttributes_SP_SKU",$F1753,D$1)</f>
        <v>Primary</v>
      </c>
      <c r="E1753" s="24" t="str">
        <f>_xll.DBRW("TM1-S1_DEV:}ElementAttributes_SP_SKU",$F1753,E$1)</f>
        <v>BREAD</v>
      </c>
      <c r="F1753" s="26" t="s">
        <v>31</v>
      </c>
      <c r="G1753" s="26" t="s">
        <v>1680</v>
      </c>
      <c r="H1753" s="26" t="s">
        <v>2689</v>
      </c>
      <c r="I1753" s="54">
        <f>_xll.DBRW($A$1,$F$14,$F$15,$C1753,$A$2,$F1753,$G1753,$H1753,I$1)</f>
        <v>32</v>
      </c>
      <c r="J1753" s="25">
        <f>_xll.DBRW($A$1,$F$14,$F$15,$C1753,$A$2,$F1753,$G1753,$H1753,J$19)</f>
        <v>25</v>
      </c>
    </row>
    <row r="1754" spans="1:10" s="23" customFormat="1" outlineLevel="1" thickBot="1" x14ac:dyDescent="0.3">
      <c r="A1754" s="44"/>
      <c r="B1754" s="31" t="str">
        <f>IF(_xll.TM1RPTELISCONSOLIDATED($H$20,$H1754),IF(_xll.TM1RPTELLEV($H$20,$H1754)&lt;=5,_xll.TM1RPTELLEV($H$20,$H1754),"Default"),"Leaf")</f>
        <v>Leaf</v>
      </c>
      <c r="C1754" s="26" t="s">
        <v>18</v>
      </c>
      <c r="D1754" s="24" t="str">
        <f>_xll.DBRW("TM1-S1_DEV:}ElementAttributes_SP_SKU",$F1754,D$1)</f>
        <v>Primary</v>
      </c>
      <c r="E1754" s="24" t="str">
        <f>_xll.DBRW("TM1-S1_DEV:}ElementAttributes_SP_SKU",$F1754,E$1)</f>
        <v>BREAD</v>
      </c>
      <c r="F1754" s="26" t="s">
        <v>3236</v>
      </c>
      <c r="G1754" s="26" t="s">
        <v>1681</v>
      </c>
      <c r="H1754" s="26" t="s">
        <v>2689</v>
      </c>
      <c r="I1754" s="54">
        <f>_xll.DBRW($A$1,$F$14,$F$15,$C1754,$A$2,$F1754,$G1754,$H1754,I$1)</f>
        <v>19</v>
      </c>
      <c r="J1754" s="25">
        <f>_xll.DBRW($A$1,$F$14,$F$15,$C1754,$A$2,$F1754,$G1754,$H1754,J$19)</f>
        <v>14</v>
      </c>
    </row>
    <row r="1755" spans="1:10" s="23" customFormat="1" outlineLevel="1" thickBot="1" x14ac:dyDescent="0.3">
      <c r="A1755" s="44"/>
      <c r="B1755" s="31" t="str">
        <f>IF(_xll.TM1RPTELISCONSOLIDATED($H$20,$H1755),IF(_xll.TM1RPTELLEV($H$20,$H1755)&lt;=5,_xll.TM1RPTELLEV($H$20,$H1755),"Default"),"Leaf")</f>
        <v>Leaf</v>
      </c>
      <c r="C1755" s="26" t="s">
        <v>18</v>
      </c>
      <c r="D1755" s="24" t="str">
        <f>_xll.DBRW("TM1-S1_DEV:}ElementAttributes_SP_SKU",$F1755,D$1)</f>
        <v>Primary</v>
      </c>
      <c r="E1755" s="24" t="str">
        <f>_xll.DBRW("TM1-S1_DEV:}ElementAttributes_SP_SKU",$F1755,E$1)</f>
        <v>BREAD</v>
      </c>
      <c r="F1755" s="26" t="s">
        <v>3277</v>
      </c>
      <c r="G1755" s="26" t="s">
        <v>1682</v>
      </c>
      <c r="H1755" s="26" t="s">
        <v>2689</v>
      </c>
      <c r="I1755" s="54">
        <f>_xll.DBRW($A$1,$F$14,$F$15,$C1755,$A$2,$F1755,$G1755,$H1755,I$1)</f>
        <v>10</v>
      </c>
      <c r="J1755" s="25">
        <f>_xll.DBRW($A$1,$F$14,$F$15,$C1755,$A$2,$F1755,$G1755,$H1755,J$19)</f>
        <v>10</v>
      </c>
    </row>
    <row r="1756" spans="1:10" s="23" customFormat="1" outlineLevel="1" thickBot="1" x14ac:dyDescent="0.3">
      <c r="A1756" s="44"/>
      <c r="B1756" s="31" t="str">
        <f>IF(_xll.TM1RPTELISCONSOLIDATED($H$20,$H1756),IF(_xll.TM1RPTELLEV($H$20,$H1756)&lt;=5,_xll.TM1RPTELLEV($H$20,$H1756),"Default"),"Leaf")</f>
        <v>Leaf</v>
      </c>
      <c r="C1756" s="26" t="s">
        <v>18</v>
      </c>
      <c r="D1756" s="24" t="str">
        <f>_xll.DBRW("TM1-S1_DEV:}ElementAttributes_SP_SKU",$F1756,D$1)</f>
        <v>Primary</v>
      </c>
      <c r="E1756" s="24" t="str">
        <f>_xll.DBRW("TM1-S1_DEV:}ElementAttributes_SP_SKU",$F1756,E$1)</f>
        <v>BOWL</v>
      </c>
      <c r="F1756" s="26" t="s">
        <v>3237</v>
      </c>
      <c r="G1756" s="26" t="s">
        <v>1683</v>
      </c>
      <c r="H1756" s="26" t="s">
        <v>2703</v>
      </c>
      <c r="I1756" s="54">
        <f>_xll.DBRW($A$1,$F$14,$F$15,$C1756,$A$2,$F1756,$G1756,$H1756,I$1)</f>
        <v>32</v>
      </c>
      <c r="J1756" s="25">
        <f>_xll.DBRW($A$1,$F$14,$F$15,$C1756,$A$2,$F1756,$G1756,$H1756,J$19)</f>
        <v>32</v>
      </c>
    </row>
    <row r="1757" spans="1:10" s="23" customFormat="1" outlineLevel="1" thickBot="1" x14ac:dyDescent="0.3">
      <c r="A1757" s="44"/>
      <c r="B1757" s="31" t="str">
        <f>IF(_xll.TM1RPTELISCONSOLIDATED($H$20,$H1757),IF(_xll.TM1RPTELLEV($H$20,$H1757)&lt;=5,_xll.TM1RPTELLEV($H$20,$H1757),"Default"),"Leaf")</f>
        <v>Leaf</v>
      </c>
      <c r="C1757" s="26" t="s">
        <v>18</v>
      </c>
      <c r="D1757" s="24" t="str">
        <f>_xll.DBRW("TM1-S1_DEV:}ElementAttributes_SP_SKU",$F1757,D$1)</f>
        <v>Primary</v>
      </c>
      <c r="E1757" s="24" t="str">
        <f>_xll.DBRW("TM1-S1_DEV:}ElementAttributes_SP_SKU",$F1757,E$1)</f>
        <v>BOWL</v>
      </c>
      <c r="F1757" s="26" t="s">
        <v>3238</v>
      </c>
      <c r="G1757" s="26" t="s">
        <v>1684</v>
      </c>
      <c r="H1757" s="26" t="s">
        <v>2703</v>
      </c>
      <c r="I1757" s="54">
        <f>_xll.DBRW($A$1,$F$14,$F$15,$C1757,$A$2,$F1757,$G1757,$H1757,I$1)</f>
        <v>79</v>
      </c>
      <c r="J1757" s="25">
        <f>_xll.DBRW($A$1,$F$14,$F$15,$C1757,$A$2,$F1757,$G1757,$H1757,J$19)</f>
        <v>79</v>
      </c>
    </row>
    <row r="1758" spans="1:10" s="23" customFormat="1" outlineLevel="1" thickBot="1" x14ac:dyDescent="0.3">
      <c r="A1758" s="44"/>
      <c r="B1758" s="31" t="str">
        <f>IF(_xll.TM1RPTELISCONSOLIDATED($H$20,$H1758),IF(_xll.TM1RPTELLEV($H$20,$H1758)&lt;=5,_xll.TM1RPTELLEV($H$20,$H1758),"Default"),"Leaf")</f>
        <v>Leaf</v>
      </c>
      <c r="C1758" s="26" t="s">
        <v>18</v>
      </c>
      <c r="D1758" s="24" t="str">
        <f>_xll.DBRW("TM1-S1_DEV:}ElementAttributes_SP_SKU",$F1758,D$1)</f>
        <v>Primary</v>
      </c>
      <c r="E1758" s="24" t="str">
        <f>_xll.DBRW("TM1-S1_DEV:}ElementAttributes_SP_SKU",$F1758,E$1)</f>
        <v>TRAY</v>
      </c>
      <c r="F1758" s="26" t="s">
        <v>360</v>
      </c>
      <c r="G1758" s="26" t="s">
        <v>3051</v>
      </c>
      <c r="H1758" s="26" t="s">
        <v>2703</v>
      </c>
      <c r="I1758" s="54">
        <f>_xll.DBRW($A$1,$F$14,$F$15,$C1758,$A$2,$F1758,$G1758,$H1758,I$1)</f>
        <v>0</v>
      </c>
      <c r="J1758" s="25">
        <f>_xll.DBRW($A$1,$F$14,$F$15,$C1758,$A$2,$F1758,$G1758,$H1758,J$19)</f>
        <v>-1</v>
      </c>
    </row>
    <row r="1759" spans="1:10" s="23" customFormat="1" outlineLevel="1" thickBot="1" x14ac:dyDescent="0.3">
      <c r="A1759" s="44"/>
      <c r="B1759" s="31" t="str">
        <f>IF(_xll.TM1RPTELISCONSOLIDATED($H$20,$H1759),IF(_xll.TM1RPTELLEV($H$20,$H1759)&lt;=5,_xll.TM1RPTELLEV($H$20,$H1759),"Default"),"Leaf")</f>
        <v>Leaf</v>
      </c>
      <c r="C1759" s="26" t="s">
        <v>18</v>
      </c>
      <c r="D1759" s="24" t="str">
        <f>_xll.DBRW("TM1-S1_DEV:}ElementAttributes_SP_SKU",$F1759,D$1)</f>
        <v>Primary</v>
      </c>
      <c r="E1759" s="24" t="str">
        <f>_xll.DBRW("TM1-S1_DEV:}ElementAttributes_SP_SKU",$F1759,E$1)</f>
        <v>BOWL</v>
      </c>
      <c r="F1759" s="26" t="s">
        <v>2994</v>
      </c>
      <c r="G1759" s="26" t="s">
        <v>3052</v>
      </c>
      <c r="H1759" s="26" t="s">
        <v>2703</v>
      </c>
      <c r="I1759" s="54">
        <f>_xll.DBRW($A$1,$F$14,$F$15,$C1759,$A$2,$F1759,$G1759,$H1759,I$1)</f>
        <v>0</v>
      </c>
      <c r="J1759" s="25">
        <f>_xll.DBRW($A$1,$F$14,$F$15,$C1759,$A$2,$F1759,$G1759,$H1759,J$19)</f>
        <v>-2</v>
      </c>
    </row>
    <row r="1760" spans="1:10" s="23" customFormat="1" outlineLevel="1" thickBot="1" x14ac:dyDescent="0.3">
      <c r="A1760" s="44"/>
      <c r="B1760" s="31" t="str">
        <f>IF(_xll.TM1RPTELISCONSOLIDATED($H$20,$H1760),IF(_xll.TM1RPTELLEV($H$20,$H1760)&lt;=5,_xll.TM1RPTELLEV($H$20,$H1760),"Default"),"Leaf")</f>
        <v>Leaf</v>
      </c>
      <c r="C1760" s="26" t="s">
        <v>18</v>
      </c>
      <c r="D1760" s="24" t="str">
        <f>_xll.DBRW("TM1-S1_DEV:}ElementAttributes_SP_SKU",$F1760,D$1)</f>
        <v>Primary</v>
      </c>
      <c r="E1760" s="24" t="str">
        <f>_xll.DBRW("TM1-S1_DEV:}ElementAttributes_SP_SKU",$F1760,E$1)</f>
        <v>TRAY</v>
      </c>
      <c r="F1760" s="26" t="s">
        <v>361</v>
      </c>
      <c r="G1760" s="26" t="s">
        <v>3053</v>
      </c>
      <c r="H1760" s="26" t="s">
        <v>2703</v>
      </c>
      <c r="I1760" s="54">
        <f>_xll.DBRW($A$1,$F$14,$F$15,$C1760,$A$2,$F1760,$G1760,$H1760,I$1)</f>
        <v>0</v>
      </c>
      <c r="J1760" s="25">
        <f>_xll.DBRW($A$1,$F$14,$F$15,$C1760,$A$2,$F1760,$G1760,$H1760,J$19)</f>
        <v>-1</v>
      </c>
    </row>
    <row r="1761" spans="1:10" s="23" customFormat="1" outlineLevel="1" thickBot="1" x14ac:dyDescent="0.3">
      <c r="A1761" s="44"/>
      <c r="B1761" s="31" t="str">
        <f>IF(_xll.TM1RPTELISCONSOLIDATED($H$20,$H1761),IF(_xll.TM1RPTELLEV($H$20,$H1761)&lt;=5,_xll.TM1RPTELLEV($H$20,$H1761),"Default"),"Leaf")</f>
        <v>Leaf</v>
      </c>
      <c r="C1761" s="26" t="s">
        <v>18</v>
      </c>
      <c r="D1761" s="24" t="str">
        <f>_xll.DBRW("TM1-S1_DEV:}ElementAttributes_SP_SKU",$F1761,D$1)</f>
        <v>Primary</v>
      </c>
      <c r="E1761" s="24" t="str">
        <f>_xll.DBRW("TM1-S1_DEV:}ElementAttributes_SP_SKU",$F1761,E$1)</f>
        <v>TRAY</v>
      </c>
      <c r="F1761" s="26" t="s">
        <v>362</v>
      </c>
      <c r="G1761" s="26" t="s">
        <v>3054</v>
      </c>
      <c r="H1761" s="26" t="s">
        <v>2703</v>
      </c>
      <c r="I1761" s="54">
        <f>_xll.DBRW($A$1,$F$14,$F$15,$C1761,$A$2,$F1761,$G1761,$H1761,I$1)</f>
        <v>0</v>
      </c>
      <c r="J1761" s="25">
        <f>_xll.DBRW($A$1,$F$14,$F$15,$C1761,$A$2,$F1761,$G1761,$H1761,J$19)</f>
        <v>-1</v>
      </c>
    </row>
    <row r="1762" spans="1:10" s="23" customFormat="1" outlineLevel="1" thickBot="1" x14ac:dyDescent="0.3">
      <c r="A1762" s="44"/>
      <c r="B1762" s="31" t="str">
        <f>IF(_xll.TM1RPTELISCONSOLIDATED($H$20,$H1762),IF(_xll.TM1RPTELLEV($H$20,$H1762)&lt;=5,_xll.TM1RPTELLEV($H$20,$H1762),"Default"),"Leaf")</f>
        <v>Leaf</v>
      </c>
      <c r="C1762" s="26" t="s">
        <v>18</v>
      </c>
      <c r="D1762" s="24" t="str">
        <f>_xll.DBRW("TM1-S1_DEV:}ElementAttributes_SP_SKU",$F1762,D$1)</f>
        <v>Primary</v>
      </c>
      <c r="E1762" s="24" t="str">
        <f>_xll.DBRW("TM1-S1_DEV:}ElementAttributes_SP_SKU",$F1762,E$1)</f>
        <v>BOWL</v>
      </c>
      <c r="F1762" s="26" t="s">
        <v>2995</v>
      </c>
      <c r="G1762" s="26" t="s">
        <v>3052</v>
      </c>
      <c r="H1762" s="26" t="s">
        <v>2703</v>
      </c>
      <c r="I1762" s="54">
        <f>_xll.DBRW($A$1,$F$14,$F$15,$C1762,$A$2,$F1762,$G1762,$H1762,I$1)</f>
        <v>0</v>
      </c>
      <c r="J1762" s="25">
        <f>_xll.DBRW($A$1,$F$14,$F$15,$C1762,$A$2,$F1762,$G1762,$H1762,J$19)</f>
        <v>-2</v>
      </c>
    </row>
    <row r="1763" spans="1:10" s="23" customFormat="1" outlineLevel="1" thickBot="1" x14ac:dyDescent="0.3">
      <c r="A1763" s="44"/>
      <c r="B1763" s="31" t="str">
        <f>IF(_xll.TM1RPTELISCONSOLIDATED($H$20,$H1763),IF(_xll.TM1RPTELLEV($H$20,$H1763)&lt;=5,_xll.TM1RPTELLEV($H$20,$H1763),"Default"),"Leaf")</f>
        <v>Leaf</v>
      </c>
      <c r="C1763" s="26" t="s">
        <v>18</v>
      </c>
      <c r="D1763" s="24" t="str">
        <f>_xll.DBRW("TM1-S1_DEV:}ElementAttributes_SP_SKU",$F1763,D$1)</f>
        <v>Primary</v>
      </c>
      <c r="E1763" s="24" t="str">
        <f>_xll.DBRW("TM1-S1_DEV:}ElementAttributes_SP_SKU",$F1763,E$1)</f>
        <v>CHEESE</v>
      </c>
      <c r="F1763" s="26" t="s">
        <v>363</v>
      </c>
      <c r="G1763" s="26" t="s">
        <v>1685</v>
      </c>
      <c r="H1763" s="26" t="s">
        <v>2692</v>
      </c>
      <c r="I1763" s="54">
        <f>_xll.DBRW($A$1,$F$14,$F$15,$C1763,$A$2,$F1763,$G1763,$H1763,I$1)</f>
        <v>236</v>
      </c>
      <c r="J1763" s="25">
        <f>_xll.DBRW($A$1,$F$14,$F$15,$C1763,$A$2,$F1763,$G1763,$H1763,J$19)</f>
        <v>232</v>
      </c>
    </row>
    <row r="1764" spans="1:10" s="23" customFormat="1" outlineLevel="1" thickBot="1" x14ac:dyDescent="0.3">
      <c r="A1764" s="44"/>
      <c r="B1764" s="31" t="str">
        <f>IF(_xll.TM1RPTELISCONSOLIDATED($H$20,$H1764),IF(_xll.TM1RPTELLEV($H$20,$H1764)&lt;=5,_xll.TM1RPTELLEV($H$20,$H1764),"Default"),"Leaf")</f>
        <v>Leaf</v>
      </c>
      <c r="C1764" s="26" t="s">
        <v>18</v>
      </c>
      <c r="D1764" s="24" t="str">
        <f>_xll.DBRW("TM1-S1_DEV:}ElementAttributes_SP_SKU",$F1764,D$1)</f>
        <v>Primary</v>
      </c>
      <c r="E1764" s="24" t="str">
        <f>_xll.DBRW("TM1-S1_DEV:}ElementAttributes_SP_SKU",$F1764,E$1)</f>
        <v>PAPER</v>
      </c>
      <c r="F1764" s="26" t="s">
        <v>3239</v>
      </c>
      <c r="G1764" s="26" t="s">
        <v>1686</v>
      </c>
      <c r="H1764" s="26" t="s">
        <v>2715</v>
      </c>
      <c r="I1764" s="54">
        <f>_xll.DBRW($A$1,$F$14,$F$15,$C1764,$A$2,$F1764,$G1764,$H1764,I$1)</f>
        <v>56</v>
      </c>
      <c r="J1764" s="25">
        <f>_xll.DBRW($A$1,$F$14,$F$15,$C1764,$A$2,$F1764,$G1764,$H1764,J$19)</f>
        <v>52</v>
      </c>
    </row>
    <row r="1765" spans="1:10" s="23" customFormat="1" outlineLevel="1" thickBot="1" x14ac:dyDescent="0.3">
      <c r="A1765" s="44"/>
      <c r="B1765" s="31" t="str">
        <f>IF(_xll.TM1RPTELISCONSOLIDATED($H$20,$H1765),IF(_xll.TM1RPTELLEV($H$20,$H1765)&lt;=5,_xll.TM1RPTELLEV($H$20,$H1765),"Default"),"Leaf")</f>
        <v>Leaf</v>
      </c>
      <c r="C1765" s="26" t="s">
        <v>18</v>
      </c>
      <c r="D1765" s="24" t="str">
        <f>_xll.DBRW("TM1-S1_DEV:}ElementAttributes_SP_SKU",$F1765,D$1)</f>
        <v>Primary</v>
      </c>
      <c r="E1765" s="24" t="str">
        <f>_xll.DBRW("TM1-S1_DEV:}ElementAttributes_SP_SKU",$F1765,E$1)</f>
        <v>BOWL</v>
      </c>
      <c r="F1765" s="26" t="s">
        <v>32</v>
      </c>
      <c r="G1765" s="26" t="s">
        <v>1687</v>
      </c>
      <c r="H1765" s="26" t="s">
        <v>2708</v>
      </c>
      <c r="I1765" s="54">
        <f>_xll.DBRW($A$1,$F$14,$F$15,$C1765,$A$2,$F1765,$G1765,$H1765,I$1)</f>
        <v>22</v>
      </c>
      <c r="J1765" s="25">
        <f>_xll.DBRW($A$1,$F$14,$F$15,$C1765,$A$2,$F1765,$G1765,$H1765,J$19)</f>
        <v>20</v>
      </c>
    </row>
    <row r="1766" spans="1:10" s="23" customFormat="1" outlineLevel="1" thickBot="1" x14ac:dyDescent="0.3">
      <c r="A1766" s="44"/>
      <c r="B1766" s="31" t="str">
        <f>IF(_xll.TM1RPTELISCONSOLIDATED($H$20,$H1766),IF(_xll.TM1RPTELLEV($H$20,$H1766)&lt;=5,_xll.TM1RPTELLEV($H$20,$H1766),"Default"),"Leaf")</f>
        <v>Leaf</v>
      </c>
      <c r="C1766" s="26" t="s">
        <v>18</v>
      </c>
      <c r="D1766" s="24" t="str">
        <f>_xll.DBRW("TM1-S1_DEV:}ElementAttributes_SP_SKU",$F1766,D$1)</f>
        <v>Primary</v>
      </c>
      <c r="E1766" s="24" t="str">
        <f>_xll.DBRW("TM1-S1_DEV:}ElementAttributes_SP_SKU",$F1766,E$1)</f>
        <v>BOWL</v>
      </c>
      <c r="F1766" s="26" t="s">
        <v>33</v>
      </c>
      <c r="G1766" s="26" t="s">
        <v>1688</v>
      </c>
      <c r="H1766" s="26" t="s">
        <v>2708</v>
      </c>
      <c r="I1766" s="54">
        <f>_xll.DBRW($A$1,$F$14,$F$15,$C1766,$A$2,$F1766,$G1766,$H1766,I$1)</f>
        <v>19</v>
      </c>
      <c r="J1766" s="25">
        <f>_xll.DBRW($A$1,$F$14,$F$15,$C1766,$A$2,$F1766,$G1766,$H1766,J$19)</f>
        <v>18</v>
      </c>
    </row>
    <row r="1767" spans="1:10" s="23" customFormat="1" outlineLevel="1" thickBot="1" x14ac:dyDescent="0.3">
      <c r="A1767" s="44"/>
      <c r="B1767" s="31" t="str">
        <f>IF(_xll.TM1RPTELISCONSOLIDATED($H$20,$H1767),IF(_xll.TM1RPTELLEV($H$20,$H1767)&lt;=5,_xll.TM1RPTELLEV($H$20,$H1767),"Default"),"Leaf")</f>
        <v>Leaf</v>
      </c>
      <c r="C1767" s="26" t="s">
        <v>18</v>
      </c>
      <c r="D1767" s="24" t="str">
        <f>_xll.DBRW("TM1-S1_DEV:}ElementAttributes_SP_SKU",$F1767,D$1)</f>
        <v>Primary</v>
      </c>
      <c r="E1767" s="24" t="str">
        <f>_xll.DBRW("TM1-S1_DEV:}ElementAttributes_SP_SKU",$F1767,E$1)</f>
        <v>PAPER</v>
      </c>
      <c r="F1767" s="26" t="s">
        <v>364</v>
      </c>
      <c r="G1767" s="26" t="s">
        <v>1593</v>
      </c>
      <c r="H1767" s="26" t="s">
        <v>2807</v>
      </c>
      <c r="I1767" s="54">
        <f>_xll.DBRW($A$1,$F$14,$F$15,$C1767,$A$2,$F1767,$G1767,$H1767,I$1)</f>
        <v>8</v>
      </c>
      <c r="J1767" s="25">
        <f>_xll.DBRW($A$1,$F$14,$F$15,$C1767,$A$2,$F1767,$G1767,$H1767,J$19)</f>
        <v>8</v>
      </c>
    </row>
    <row r="1768" spans="1:10" s="23" customFormat="1" outlineLevel="1" thickBot="1" x14ac:dyDescent="0.3">
      <c r="A1768" s="44"/>
      <c r="B1768" s="31" t="str">
        <f>IF(_xll.TM1RPTELISCONSOLIDATED($H$20,$H1768),IF(_xll.TM1RPTELLEV($H$20,$H1768)&lt;=5,_xll.TM1RPTELLEV($H$20,$H1768),"Default"),"Leaf")</f>
        <v>Leaf</v>
      </c>
      <c r="C1768" s="26" t="s">
        <v>18</v>
      </c>
      <c r="D1768" s="24" t="str">
        <f>_xll.DBRW("TM1-S1_DEV:}ElementAttributes_SP_SKU",$F1768,D$1)</f>
        <v>Primary</v>
      </c>
      <c r="E1768" s="24" t="str">
        <f>_xll.DBRW("TM1-S1_DEV:}ElementAttributes_SP_SKU",$F1768,E$1)</f>
        <v>TRAY</v>
      </c>
      <c r="F1768" s="26" t="s">
        <v>365</v>
      </c>
      <c r="G1768" s="26" t="s">
        <v>1689</v>
      </c>
      <c r="H1768" s="26" t="s">
        <v>2773</v>
      </c>
      <c r="I1768" s="54">
        <f>_xll.DBRW($A$1,$F$14,$F$15,$C1768,$A$2,$F1768,$G1768,$H1768,I$1)</f>
        <v>44</v>
      </c>
      <c r="J1768" s="25">
        <f>_xll.DBRW($A$1,$F$14,$F$15,$C1768,$A$2,$F1768,$G1768,$H1768,J$19)</f>
        <v>42</v>
      </c>
    </row>
    <row r="1769" spans="1:10" s="23" customFormat="1" outlineLevel="1" thickBot="1" x14ac:dyDescent="0.3">
      <c r="A1769" s="44"/>
      <c r="B1769" s="31" t="str">
        <f>IF(_xll.TM1RPTELISCONSOLIDATED($H$20,$H1769),IF(_xll.TM1RPTELLEV($H$20,$H1769)&lt;=5,_xll.TM1RPTELLEV($H$20,$H1769),"Default"),"Leaf")</f>
        <v>Leaf</v>
      </c>
      <c r="C1769" s="26" t="s">
        <v>18</v>
      </c>
      <c r="D1769" s="24" t="str">
        <f>_xll.DBRW("TM1-S1_DEV:}ElementAttributes_SP_SKU",$F1769,D$1)</f>
        <v>Primary</v>
      </c>
      <c r="E1769" s="24" t="str">
        <f>_xll.DBRW("TM1-S1_DEV:}ElementAttributes_SP_SKU",$F1769,E$1)</f>
        <v>TRAY</v>
      </c>
      <c r="F1769" s="26" t="s">
        <v>366</v>
      </c>
      <c r="G1769" s="26" t="s">
        <v>1690</v>
      </c>
      <c r="H1769" s="26" t="s">
        <v>2773</v>
      </c>
      <c r="I1769" s="54">
        <f>_xll.DBRW($A$1,$F$14,$F$15,$C1769,$A$2,$F1769,$G1769,$H1769,I$1)</f>
        <v>50</v>
      </c>
      <c r="J1769" s="25">
        <f>_xll.DBRW($A$1,$F$14,$F$15,$C1769,$A$2,$F1769,$G1769,$H1769,J$19)</f>
        <v>48</v>
      </c>
    </row>
    <row r="1770" spans="1:10" s="23" customFormat="1" outlineLevel="1" thickBot="1" x14ac:dyDescent="0.3">
      <c r="A1770" s="44"/>
      <c r="B1770" s="31" t="str">
        <f>IF(_xll.TM1RPTELISCONSOLIDATED($H$20,$H1770),IF(_xll.TM1RPTELLEV($H$20,$H1770)&lt;=5,_xll.TM1RPTELLEV($H$20,$H1770),"Default"),"Leaf")</f>
        <v>Leaf</v>
      </c>
      <c r="C1770" s="26" t="s">
        <v>18</v>
      </c>
      <c r="D1770" s="24" t="str">
        <f>_xll.DBRW("TM1-S1_DEV:}ElementAttributes_SP_SKU",$F1770,D$1)</f>
        <v>Primary</v>
      </c>
      <c r="E1770" s="24" t="str">
        <f>_xll.DBRW("TM1-S1_DEV:}ElementAttributes_SP_SKU",$F1770,E$1)</f>
        <v>TRAY</v>
      </c>
      <c r="F1770" s="26" t="s">
        <v>367</v>
      </c>
      <c r="G1770" s="26" t="s">
        <v>1691</v>
      </c>
      <c r="H1770" s="26" t="s">
        <v>2773</v>
      </c>
      <c r="I1770" s="54">
        <f>_xll.DBRW($A$1,$F$14,$F$15,$C1770,$A$2,$F1770,$G1770,$H1770,I$1)</f>
        <v>55</v>
      </c>
      <c r="J1770" s="25">
        <f>_xll.DBRW($A$1,$F$14,$F$15,$C1770,$A$2,$F1770,$G1770,$H1770,J$19)</f>
        <v>54</v>
      </c>
    </row>
    <row r="1771" spans="1:10" s="23" customFormat="1" outlineLevel="1" thickBot="1" x14ac:dyDescent="0.3">
      <c r="A1771" s="44"/>
      <c r="B1771" s="31" t="str">
        <f>IF(_xll.TM1RPTELISCONSOLIDATED($H$20,$H1771),IF(_xll.TM1RPTELLEV($H$20,$H1771)&lt;=5,_xll.TM1RPTELLEV($H$20,$H1771),"Default"),"Leaf")</f>
        <v>Leaf</v>
      </c>
      <c r="C1771" s="26" t="s">
        <v>18</v>
      </c>
      <c r="D1771" s="24" t="str">
        <f>_xll.DBRW("TM1-S1_DEV:}ElementAttributes_SP_SKU",$F1771,D$1)</f>
        <v>Primary</v>
      </c>
      <c r="E1771" s="24" t="str">
        <f>_xll.DBRW("TM1-S1_DEV:}ElementAttributes_SP_SKU",$F1771,E$1)</f>
        <v>TRAY</v>
      </c>
      <c r="F1771" s="26" t="s">
        <v>368</v>
      </c>
      <c r="G1771" s="26" t="s">
        <v>1692</v>
      </c>
      <c r="H1771" s="26" t="s">
        <v>2773</v>
      </c>
      <c r="I1771" s="54">
        <f>_xll.DBRW($A$1,$F$14,$F$15,$C1771,$A$2,$F1771,$G1771,$H1771,I$1)</f>
        <v>52</v>
      </c>
      <c r="J1771" s="25">
        <f>_xll.DBRW($A$1,$F$14,$F$15,$C1771,$A$2,$F1771,$G1771,$H1771,J$19)</f>
        <v>50</v>
      </c>
    </row>
    <row r="1772" spans="1:10" s="23" customFormat="1" outlineLevel="1" thickBot="1" x14ac:dyDescent="0.3">
      <c r="A1772" s="44"/>
      <c r="B1772" s="31" t="str">
        <f>IF(_xll.TM1RPTELISCONSOLIDATED($H$20,$H1772),IF(_xll.TM1RPTELLEV($H$20,$H1772)&lt;=5,_xll.TM1RPTELLEV($H$20,$H1772),"Default"),"Leaf")</f>
        <v>Leaf</v>
      </c>
      <c r="C1772" s="26" t="s">
        <v>18</v>
      </c>
      <c r="D1772" s="24" t="str">
        <f>_xll.DBRW("TM1-S1_DEV:}ElementAttributes_SP_SKU",$F1772,D$1)</f>
        <v>Primary</v>
      </c>
      <c r="E1772" s="24" t="str">
        <f>_xll.DBRW("TM1-S1_DEV:}ElementAttributes_SP_SKU",$F1772,E$1)</f>
        <v>TRAY</v>
      </c>
      <c r="F1772" s="26" t="s">
        <v>369</v>
      </c>
      <c r="G1772" s="26" t="s">
        <v>1693</v>
      </c>
      <c r="H1772" s="26" t="s">
        <v>2773</v>
      </c>
      <c r="I1772" s="54">
        <f>_xll.DBRW($A$1,$F$14,$F$15,$C1772,$A$2,$F1772,$G1772,$H1772,I$1)</f>
        <v>103</v>
      </c>
      <c r="J1772" s="25">
        <f>_xll.DBRW($A$1,$F$14,$F$15,$C1772,$A$2,$F1772,$G1772,$H1772,J$19)</f>
        <v>100</v>
      </c>
    </row>
    <row r="1773" spans="1:10" s="23" customFormat="1" outlineLevel="1" thickBot="1" x14ac:dyDescent="0.3">
      <c r="A1773" s="44"/>
      <c r="B1773" s="31" t="str">
        <f>IF(_xll.TM1RPTELISCONSOLIDATED($H$20,$H1773),IF(_xll.TM1RPTELLEV($H$20,$H1773)&lt;=5,_xll.TM1RPTELLEV($H$20,$H1773),"Default"),"Leaf")</f>
        <v>Leaf</v>
      </c>
      <c r="C1773" s="26" t="s">
        <v>18</v>
      </c>
      <c r="D1773" s="24" t="str">
        <f>_xll.DBRW("TM1-S1_DEV:}ElementAttributes_SP_SKU",$F1773,D$1)</f>
        <v>Primary</v>
      </c>
      <c r="E1773" s="24" t="str">
        <f>_xll.DBRW("TM1-S1_DEV:}ElementAttributes_SP_SKU",$F1773,E$1)</f>
        <v>TRAY</v>
      </c>
      <c r="F1773" s="26" t="s">
        <v>2996</v>
      </c>
      <c r="G1773" s="26" t="s">
        <v>3055</v>
      </c>
      <c r="H1773" s="26" t="s">
        <v>2773</v>
      </c>
      <c r="I1773" s="54">
        <f>_xll.DBRW($A$1,$F$14,$F$15,$C1773,$A$2,$F1773,$G1773,$H1773,I$1)</f>
        <v>0</v>
      </c>
      <c r="J1773" s="25">
        <f>_xll.DBRW($A$1,$F$14,$F$15,$C1773,$A$2,$F1773,$G1773,$H1773,J$19)</f>
        <v>-3</v>
      </c>
    </row>
    <row r="1774" spans="1:10" s="23" customFormat="1" outlineLevel="1" thickBot="1" x14ac:dyDescent="0.3">
      <c r="A1774" s="44"/>
      <c r="B1774" s="31" t="str">
        <f>IF(_xll.TM1RPTELISCONSOLIDATED($H$20,$H1774),IF(_xll.TM1RPTELLEV($H$20,$H1774)&lt;=5,_xll.TM1RPTELLEV($H$20,$H1774),"Default"),"Leaf")</f>
        <v>Leaf</v>
      </c>
      <c r="C1774" s="26" t="s">
        <v>18</v>
      </c>
      <c r="D1774" s="24" t="str">
        <f>_xll.DBRW("TM1-S1_DEV:}ElementAttributes_SP_SKU",$F1774,D$1)</f>
        <v>Primary</v>
      </c>
      <c r="E1774" s="24" t="str">
        <f>_xll.DBRW("TM1-S1_DEV:}ElementAttributes_SP_SKU",$F1774,E$1)</f>
        <v>BOWL</v>
      </c>
      <c r="F1774" s="26" t="s">
        <v>370</v>
      </c>
      <c r="G1774" s="26" t="s">
        <v>1694</v>
      </c>
      <c r="H1774" s="26" t="s">
        <v>2773</v>
      </c>
      <c r="I1774" s="54">
        <f>_xll.DBRW($A$1,$F$14,$F$15,$C1774,$A$2,$F1774,$G1774,$H1774,I$1)</f>
        <v>14</v>
      </c>
      <c r="J1774" s="25">
        <f>_xll.DBRW($A$1,$F$14,$F$15,$C1774,$A$2,$F1774,$G1774,$H1774,J$19)</f>
        <v>12</v>
      </c>
    </row>
    <row r="1775" spans="1:10" s="23" customFormat="1" outlineLevel="1" thickBot="1" x14ac:dyDescent="0.3">
      <c r="A1775" s="44"/>
      <c r="B1775" s="31" t="str">
        <f>IF(_xll.TM1RPTELISCONSOLIDATED($H$20,$H1775),IF(_xll.TM1RPTELLEV($H$20,$H1775)&lt;=5,_xll.TM1RPTELLEV($H$20,$H1775),"Default"),"Leaf")</f>
        <v>Leaf</v>
      </c>
      <c r="C1775" s="26" t="s">
        <v>18</v>
      </c>
      <c r="D1775" s="24" t="str">
        <f>_xll.DBRW("TM1-S1_DEV:}ElementAttributes_SP_SKU",$F1775,D$1)</f>
        <v>Primary</v>
      </c>
      <c r="E1775" s="24" t="str">
        <f>_xll.DBRW("TM1-S1_DEV:}ElementAttributes_SP_SKU",$F1775,E$1)</f>
        <v>BOWL</v>
      </c>
      <c r="F1775" s="26" t="s">
        <v>371</v>
      </c>
      <c r="G1775" s="26" t="s">
        <v>1695</v>
      </c>
      <c r="H1775" s="26" t="s">
        <v>2773</v>
      </c>
      <c r="I1775" s="54">
        <f>_xll.DBRW($A$1,$F$14,$F$15,$C1775,$A$2,$F1775,$G1775,$H1775,I$1)</f>
        <v>13</v>
      </c>
      <c r="J1775" s="25">
        <f>_xll.DBRW($A$1,$F$14,$F$15,$C1775,$A$2,$F1775,$G1775,$H1775,J$19)</f>
        <v>12</v>
      </c>
    </row>
    <row r="1776" spans="1:10" s="23" customFormat="1" outlineLevel="1" thickBot="1" x14ac:dyDescent="0.3">
      <c r="A1776" s="44"/>
      <c r="B1776" s="31" t="str">
        <f>IF(_xll.TM1RPTELISCONSOLIDATED($H$20,$H1776),IF(_xll.TM1RPTELLEV($H$20,$H1776)&lt;=5,_xll.TM1RPTELLEV($H$20,$H1776),"Default"),"Leaf")</f>
        <v>Leaf</v>
      </c>
      <c r="C1776" s="26" t="s">
        <v>18</v>
      </c>
      <c r="D1776" s="24" t="str">
        <f>_xll.DBRW("TM1-S1_DEV:}ElementAttributes_SP_SKU",$F1776,D$1)</f>
        <v>Primary</v>
      </c>
      <c r="E1776" s="24" t="str">
        <f>_xll.DBRW("TM1-S1_DEV:}ElementAttributes_SP_SKU",$F1776,E$1)</f>
        <v>UTENSIL</v>
      </c>
      <c r="F1776" s="26" t="s">
        <v>2997</v>
      </c>
      <c r="G1776" s="26" t="s">
        <v>3056</v>
      </c>
      <c r="H1776" s="26" t="s">
        <v>2773</v>
      </c>
      <c r="I1776" s="54">
        <f>_xll.DBRW($A$1,$F$14,$F$15,$C1776,$A$2,$F1776,$G1776,$H1776,I$1)</f>
        <v>0</v>
      </c>
      <c r="J1776" s="25">
        <f>_xll.DBRW($A$1,$F$14,$F$15,$C1776,$A$2,$F1776,$G1776,$H1776,J$19)</f>
        <v>-2</v>
      </c>
    </row>
    <row r="1777" spans="1:10" s="23" customFormat="1" outlineLevel="1" thickBot="1" x14ac:dyDescent="0.3">
      <c r="A1777" s="44"/>
      <c r="B1777" s="31" t="str">
        <f>IF(_xll.TM1RPTELISCONSOLIDATED($H$20,$H1777),IF(_xll.TM1RPTELLEV($H$20,$H1777)&lt;=5,_xll.TM1RPTELLEV($H$20,$H1777),"Default"),"Leaf")</f>
        <v>Leaf</v>
      </c>
      <c r="C1777" s="26" t="s">
        <v>18</v>
      </c>
      <c r="D1777" s="24" t="str">
        <f>_xll.DBRW("TM1-S1_DEV:}ElementAttributes_SP_SKU",$F1777,D$1)</f>
        <v>Primary</v>
      </c>
      <c r="E1777" s="24" t="str">
        <f>_xll.DBRW("TM1-S1_DEV:}ElementAttributes_SP_SKU",$F1777,E$1)</f>
        <v>UTENSIL</v>
      </c>
      <c r="F1777" s="26" t="s">
        <v>372</v>
      </c>
      <c r="G1777" s="26" t="s">
        <v>1696</v>
      </c>
      <c r="H1777" s="26" t="s">
        <v>2773</v>
      </c>
      <c r="I1777" s="54">
        <f>_xll.DBRW($A$1,$F$14,$F$15,$C1777,$A$2,$F1777,$G1777,$H1777,I$1)</f>
        <v>19</v>
      </c>
      <c r="J1777" s="25">
        <f>_xll.DBRW($A$1,$F$14,$F$15,$C1777,$A$2,$F1777,$G1777,$H1777,J$19)</f>
        <v>17</v>
      </c>
    </row>
    <row r="1778" spans="1:10" s="23" customFormat="1" outlineLevel="1" thickBot="1" x14ac:dyDescent="0.3">
      <c r="A1778" s="44"/>
      <c r="B1778" s="31" t="str">
        <f>IF(_xll.TM1RPTELISCONSOLIDATED($H$20,$H1778),IF(_xll.TM1RPTELLEV($H$20,$H1778)&lt;=5,_xll.TM1RPTELLEV($H$20,$H1778),"Default"),"Leaf")</f>
        <v>Leaf</v>
      </c>
      <c r="C1778" s="26" t="s">
        <v>18</v>
      </c>
      <c r="D1778" s="24" t="str">
        <f>_xll.DBRW("TM1-S1_DEV:}ElementAttributes_SP_SKU",$F1778,D$1)</f>
        <v>Primary</v>
      </c>
      <c r="E1778" s="24" t="str">
        <f>_xll.DBRW("TM1-S1_DEV:}ElementAttributes_SP_SKU",$F1778,E$1)</f>
        <v>GLOVES</v>
      </c>
      <c r="F1778" s="26" t="s">
        <v>373</v>
      </c>
      <c r="G1778" s="26" t="s">
        <v>942</v>
      </c>
      <c r="H1778" s="26" t="s">
        <v>2861</v>
      </c>
      <c r="I1778" s="54">
        <f>_xll.DBRW($A$1,$F$14,$F$15,$C1778,$A$2,$F1778,$G1778,$H1778,I$1)</f>
        <v>164</v>
      </c>
      <c r="J1778" s="25">
        <f>_xll.DBRW($A$1,$F$14,$F$15,$C1778,$A$2,$F1778,$G1778,$H1778,J$19)</f>
        <v>240</v>
      </c>
    </row>
    <row r="1779" spans="1:10" s="23" customFormat="1" outlineLevel="1" thickBot="1" x14ac:dyDescent="0.3">
      <c r="A1779" s="44"/>
      <c r="B1779" s="31" t="str">
        <f>IF(_xll.TM1RPTELISCONSOLIDATED($H$20,$H1779),IF(_xll.TM1RPTELLEV($H$20,$H1779)&lt;=5,_xll.TM1RPTELLEV($H$20,$H1779),"Default"),"Leaf")</f>
        <v>Leaf</v>
      </c>
      <c r="C1779" s="26" t="s">
        <v>18</v>
      </c>
      <c r="D1779" s="24" t="str">
        <f>_xll.DBRW("TM1-S1_DEV:}ElementAttributes_SP_SKU",$F1779,D$1)</f>
        <v>Primary</v>
      </c>
      <c r="E1779" s="24" t="str">
        <f>_xll.DBRW("TM1-S1_DEV:}ElementAttributes_SP_SKU",$F1779,E$1)</f>
        <v>GLOVES</v>
      </c>
      <c r="F1779" s="26" t="s">
        <v>374</v>
      </c>
      <c r="G1779" s="26" t="s">
        <v>1697</v>
      </c>
      <c r="H1779" s="26" t="s">
        <v>2861</v>
      </c>
      <c r="I1779" s="54">
        <f>_xll.DBRW($A$1,$F$14,$F$15,$C1779,$A$2,$F1779,$G1779,$H1779,I$1)</f>
        <v>192</v>
      </c>
      <c r="J1779" s="25">
        <f>_xll.DBRW($A$1,$F$14,$F$15,$C1779,$A$2,$F1779,$G1779,$H1779,J$19)</f>
        <v>307</v>
      </c>
    </row>
    <row r="1780" spans="1:10" s="23" customFormat="1" outlineLevel="1" thickBot="1" x14ac:dyDescent="0.3">
      <c r="A1780" s="44"/>
      <c r="B1780" s="31" t="str">
        <f>IF(_xll.TM1RPTELISCONSOLIDATED($H$20,$H1780),IF(_xll.TM1RPTELLEV($H$20,$H1780)&lt;=5,_xll.TM1RPTELLEV($H$20,$H1780),"Default"),"Leaf")</f>
        <v>Leaf</v>
      </c>
      <c r="C1780" s="26" t="s">
        <v>18</v>
      </c>
      <c r="D1780" s="24" t="str">
        <f>_xll.DBRW("TM1-S1_DEV:}ElementAttributes_SP_SKU",$F1780,D$1)</f>
        <v>Primary</v>
      </c>
      <c r="E1780" s="24" t="str">
        <f>_xll.DBRW("TM1-S1_DEV:}ElementAttributes_SP_SKU",$F1780,E$1)</f>
        <v>GLOVES</v>
      </c>
      <c r="F1780" s="26" t="s">
        <v>375</v>
      </c>
      <c r="G1780" s="26" t="s">
        <v>1698</v>
      </c>
      <c r="H1780" s="26" t="s">
        <v>2861</v>
      </c>
      <c r="I1780" s="54">
        <f>_xll.DBRW($A$1,$F$14,$F$15,$C1780,$A$2,$F1780,$G1780,$H1780,I$1)</f>
        <v>192</v>
      </c>
      <c r="J1780" s="25">
        <f>_xll.DBRW($A$1,$F$14,$F$15,$C1780,$A$2,$F1780,$G1780,$H1780,J$19)</f>
        <v>435</v>
      </c>
    </row>
    <row r="1781" spans="1:10" s="23" customFormat="1" outlineLevel="1" thickBot="1" x14ac:dyDescent="0.3">
      <c r="A1781" s="44"/>
      <c r="B1781" s="31" t="str">
        <f>IF(_xll.TM1RPTELISCONSOLIDATED($H$20,$H1781),IF(_xll.TM1RPTELLEV($H$20,$H1781)&lt;=5,_xll.TM1RPTELLEV($H$20,$H1781),"Default"),"Leaf")</f>
        <v>Leaf</v>
      </c>
      <c r="C1781" s="26" t="s">
        <v>18</v>
      </c>
      <c r="D1781" s="24" t="str">
        <f>_xll.DBRW("TM1-S1_DEV:}ElementAttributes_SP_SKU",$F1781,D$1)</f>
        <v>Primary</v>
      </c>
      <c r="E1781" s="24" t="str">
        <f>_xll.DBRW("TM1-S1_DEV:}ElementAttributes_SP_SKU",$F1781,E$1)</f>
        <v>BAG</v>
      </c>
      <c r="F1781" s="26" t="s">
        <v>376</v>
      </c>
      <c r="G1781" s="26" t="s">
        <v>1699</v>
      </c>
      <c r="H1781" s="26" t="s">
        <v>2755</v>
      </c>
      <c r="I1781" s="54">
        <f>_xll.DBRW($A$1,$F$14,$F$15,$C1781,$A$2,$F1781,$G1781,$H1781,I$1)</f>
        <v>257</v>
      </c>
      <c r="J1781" s="25">
        <f>_xll.DBRW($A$1,$F$14,$F$15,$C1781,$A$2,$F1781,$G1781,$H1781,J$19)</f>
        <v>252</v>
      </c>
    </row>
    <row r="1782" spans="1:10" s="23" customFormat="1" outlineLevel="1" thickBot="1" x14ac:dyDescent="0.3">
      <c r="A1782" s="44"/>
      <c r="B1782" s="31" t="str">
        <f>IF(_xll.TM1RPTELISCONSOLIDATED($H$20,$H1782),IF(_xll.TM1RPTELLEV($H$20,$H1782)&lt;=5,_xll.TM1RPTELLEV($H$20,$H1782),"Default"),"Leaf")</f>
        <v>Leaf</v>
      </c>
      <c r="C1782" s="26" t="s">
        <v>18</v>
      </c>
      <c r="D1782" s="24" t="str">
        <f>_xll.DBRW("TM1-S1_DEV:}ElementAttributes_SP_SKU",$F1782,D$1)</f>
        <v>Primary</v>
      </c>
      <c r="E1782" s="24" t="str">
        <f>_xll.DBRW("TM1-S1_DEV:}ElementAttributes_SP_SKU",$F1782,E$1)</f>
        <v>GLOVES</v>
      </c>
      <c r="F1782" s="26" t="s">
        <v>377</v>
      </c>
      <c r="G1782" s="26" t="s">
        <v>1700</v>
      </c>
      <c r="H1782" s="26" t="s">
        <v>2861</v>
      </c>
      <c r="I1782" s="54">
        <f>_xll.DBRW($A$1,$F$14,$F$15,$C1782,$A$2,$F1782,$G1782,$H1782,I$1)</f>
        <v>16</v>
      </c>
      <c r="J1782" s="25">
        <f>_xll.DBRW($A$1,$F$14,$F$15,$C1782,$A$2,$F1782,$G1782,$H1782,J$19)</f>
        <v>16</v>
      </c>
    </row>
    <row r="1783" spans="1:10" s="23" customFormat="1" outlineLevel="1" thickBot="1" x14ac:dyDescent="0.3">
      <c r="A1783" s="44"/>
      <c r="B1783" s="31" t="str">
        <f>IF(_xll.TM1RPTELISCONSOLIDATED($H$20,$H1783),IF(_xll.TM1RPTELLEV($H$20,$H1783)&lt;=5,_xll.TM1RPTELLEV($H$20,$H1783),"Default"),"Leaf")</f>
        <v>Leaf</v>
      </c>
      <c r="C1783" s="26" t="s">
        <v>18</v>
      </c>
      <c r="D1783" s="24" t="str">
        <f>_xll.DBRW("TM1-S1_DEV:}ElementAttributes_SP_SKU",$F1783,D$1)</f>
        <v>Primary</v>
      </c>
      <c r="E1783" s="24" t="str">
        <f>_xll.DBRW("TM1-S1_DEV:}ElementAttributes_SP_SKU",$F1783,E$1)</f>
        <v>BAG</v>
      </c>
      <c r="F1783" s="26" t="s">
        <v>378</v>
      </c>
      <c r="G1783" s="26" t="s">
        <v>1701</v>
      </c>
      <c r="H1783" s="26" t="s">
        <v>2862</v>
      </c>
      <c r="I1783" s="54">
        <f>_xll.DBRW($A$1,$F$14,$F$15,$C1783,$A$2,$F1783,$G1783,$H1783,I$1)</f>
        <v>28</v>
      </c>
      <c r="J1783" s="25">
        <f>_xll.DBRW($A$1,$F$14,$F$15,$C1783,$A$2,$F1783,$G1783,$H1783,J$19)</f>
        <v>28</v>
      </c>
    </row>
    <row r="1784" spans="1:10" s="23" customFormat="1" outlineLevel="1" thickBot="1" x14ac:dyDescent="0.3">
      <c r="A1784" s="44"/>
      <c r="B1784" s="31" t="str">
        <f>IF(_xll.TM1RPTELISCONSOLIDATED($H$20,$H1784),IF(_xll.TM1RPTELLEV($H$20,$H1784)&lt;=5,_xll.TM1RPTELLEV($H$20,$H1784),"Default"),"Leaf")</f>
        <v>Leaf</v>
      </c>
      <c r="C1784" s="26" t="s">
        <v>18</v>
      </c>
      <c r="D1784" s="24" t="str">
        <f>_xll.DBRW("TM1-S1_DEV:}ElementAttributes_SP_SKU",$F1784,D$1)</f>
        <v>Primary</v>
      </c>
      <c r="E1784" s="24" t="str">
        <f>_xll.DBRW("TM1-S1_DEV:}ElementAttributes_SP_SKU",$F1784,E$1)</f>
        <v>PLATE</v>
      </c>
      <c r="F1784" s="26" t="s">
        <v>379</v>
      </c>
      <c r="G1784" s="26" t="s">
        <v>1702</v>
      </c>
      <c r="H1784" s="26" t="s">
        <v>2754</v>
      </c>
      <c r="I1784" s="54">
        <f>_xll.DBRW($A$1,$F$14,$F$15,$C1784,$A$2,$F1784,$G1784,$H1784,I$1)</f>
        <v>44</v>
      </c>
      <c r="J1784" s="25">
        <f>_xll.DBRW($A$1,$F$14,$F$15,$C1784,$A$2,$F1784,$G1784,$H1784,J$19)</f>
        <v>59</v>
      </c>
    </row>
    <row r="1785" spans="1:10" s="23" customFormat="1" outlineLevel="1" thickBot="1" x14ac:dyDescent="0.3">
      <c r="A1785" s="44"/>
      <c r="B1785" s="31" t="str">
        <f>IF(_xll.TM1RPTELISCONSOLIDATED($H$20,$H1785),IF(_xll.TM1RPTELLEV($H$20,$H1785)&lt;=5,_xll.TM1RPTELLEV($H$20,$H1785),"Default"),"Leaf")</f>
        <v>Leaf</v>
      </c>
      <c r="C1785" s="26" t="s">
        <v>18</v>
      </c>
      <c r="D1785" s="24" t="str">
        <f>_xll.DBRW("TM1-S1_DEV:}ElementAttributes_SP_SKU",$F1785,D$1)</f>
        <v>Primary</v>
      </c>
      <c r="E1785" s="24" t="str">
        <f>_xll.DBRW("TM1-S1_DEV:}ElementAttributes_SP_SKU",$F1785,E$1)</f>
        <v>UTENSIL</v>
      </c>
      <c r="F1785" s="26" t="s">
        <v>380</v>
      </c>
      <c r="G1785" s="26" t="s">
        <v>1703</v>
      </c>
      <c r="H1785" s="26" t="s">
        <v>2861</v>
      </c>
      <c r="I1785" s="54">
        <f>_xll.DBRW($A$1,$F$14,$F$15,$C1785,$A$2,$F1785,$G1785,$H1785,I$1)</f>
        <v>24</v>
      </c>
      <c r="J1785" s="25">
        <f>_xll.DBRW($A$1,$F$14,$F$15,$C1785,$A$2,$F1785,$G1785,$H1785,J$19)</f>
        <v>23</v>
      </c>
    </row>
    <row r="1786" spans="1:10" s="23" customFormat="1" outlineLevel="1" thickBot="1" x14ac:dyDescent="0.3">
      <c r="A1786" s="44"/>
      <c r="B1786" s="31" t="str">
        <f>IF(_xll.TM1RPTELISCONSOLIDATED($H$20,$H1786),IF(_xll.TM1RPTELLEV($H$20,$H1786)&lt;=5,_xll.TM1RPTELLEV($H$20,$H1786),"Default"),"Leaf")</f>
        <v>Leaf</v>
      </c>
      <c r="C1786" s="26" t="s">
        <v>18</v>
      </c>
      <c r="D1786" s="24" t="str">
        <f>_xll.DBRW("TM1-S1_DEV:}ElementAttributes_SP_SKU",$F1786,D$1)</f>
        <v>Primary</v>
      </c>
      <c r="E1786" s="24" t="str">
        <f>_xll.DBRW("TM1-S1_DEV:}ElementAttributes_SP_SKU",$F1786,E$1)</f>
        <v>UTENSIL</v>
      </c>
      <c r="F1786" s="26" t="s">
        <v>381</v>
      </c>
      <c r="G1786" s="26" t="s">
        <v>1704</v>
      </c>
      <c r="H1786" s="26" t="s">
        <v>2861</v>
      </c>
      <c r="I1786" s="54">
        <f>_xll.DBRW($A$1,$F$14,$F$15,$C1786,$A$2,$F1786,$G1786,$H1786,I$1)</f>
        <v>186</v>
      </c>
      <c r="J1786" s="25">
        <f>_xll.DBRW($A$1,$F$14,$F$15,$C1786,$A$2,$F1786,$G1786,$H1786,J$19)</f>
        <v>184</v>
      </c>
    </row>
    <row r="1787" spans="1:10" s="23" customFormat="1" outlineLevel="1" thickBot="1" x14ac:dyDescent="0.3">
      <c r="A1787" s="44"/>
      <c r="B1787" s="31" t="str">
        <f>IF(_xll.TM1RPTELISCONSOLIDATED($H$20,$H1787),IF(_xll.TM1RPTELLEV($H$20,$H1787)&lt;=5,_xll.TM1RPTELLEV($H$20,$H1787),"Default"),"Leaf")</f>
        <v>Leaf</v>
      </c>
      <c r="C1787" s="26" t="s">
        <v>18</v>
      </c>
      <c r="D1787" s="24" t="str">
        <f>_xll.DBRW("TM1-S1_DEV:}ElementAttributes_SP_SKU",$F1787,D$1)</f>
        <v>Primary</v>
      </c>
      <c r="E1787" s="24" t="str">
        <f>_xll.DBRW("TM1-S1_DEV:}ElementAttributes_SP_SKU",$F1787,E$1)</f>
        <v>FILM</v>
      </c>
      <c r="F1787" s="26" t="s">
        <v>2998</v>
      </c>
      <c r="G1787" s="26" t="s">
        <v>3057</v>
      </c>
      <c r="H1787" s="26" t="s">
        <v>3090</v>
      </c>
      <c r="I1787" s="54">
        <f>_xll.DBRW($A$1,$F$14,$F$15,$C1787,$A$2,$F1787,$G1787,$H1787,I$1)</f>
        <v>0</v>
      </c>
      <c r="J1787" s="25">
        <f>_xll.DBRW($A$1,$F$14,$F$15,$C1787,$A$2,$F1787,$G1787,$H1787,J$19)</f>
        <v>-4</v>
      </c>
    </row>
    <row r="1788" spans="1:10" s="23" customFormat="1" outlineLevel="1" thickBot="1" x14ac:dyDescent="0.3">
      <c r="A1788" s="44"/>
      <c r="B1788" s="31" t="str">
        <f>IF(_xll.TM1RPTELISCONSOLIDATED($H$20,$H1788),IF(_xll.TM1RPTELLEV($H$20,$H1788)&lt;=5,_xll.TM1RPTELLEV($H$20,$H1788),"Default"),"Leaf")</f>
        <v>Leaf</v>
      </c>
      <c r="C1788" s="26" t="s">
        <v>18</v>
      </c>
      <c r="D1788" s="24" t="str">
        <f>_xll.DBRW("TM1-S1_DEV:}ElementAttributes_SP_SKU",$F1788,D$1)</f>
        <v>Primary</v>
      </c>
      <c r="E1788" s="24" t="str">
        <f>_xll.DBRW("TM1-S1_DEV:}ElementAttributes_SP_SKU",$F1788,E$1)</f>
        <v>BAG</v>
      </c>
      <c r="F1788" s="26" t="s">
        <v>382</v>
      </c>
      <c r="G1788" s="26" t="s">
        <v>1705</v>
      </c>
      <c r="H1788" s="26" t="s">
        <v>2863</v>
      </c>
      <c r="I1788" s="54">
        <f>_xll.DBRW($A$1,$F$14,$F$15,$C1788,$A$2,$F1788,$G1788,$H1788,I$1)</f>
        <v>26</v>
      </c>
      <c r="J1788" s="25">
        <f>_xll.DBRW($A$1,$F$14,$F$15,$C1788,$A$2,$F1788,$G1788,$H1788,J$19)</f>
        <v>25</v>
      </c>
    </row>
    <row r="1789" spans="1:10" s="23" customFormat="1" outlineLevel="1" thickBot="1" x14ac:dyDescent="0.3">
      <c r="A1789" s="44"/>
      <c r="B1789" s="31" t="str">
        <f>IF(_xll.TM1RPTELISCONSOLIDATED($H$20,$H1789),IF(_xll.TM1RPTELLEV($H$20,$H1789)&lt;=5,_xll.TM1RPTELLEV($H$20,$H1789),"Default"),"Leaf")</f>
        <v>Leaf</v>
      </c>
      <c r="C1789" s="26" t="s">
        <v>18</v>
      </c>
      <c r="D1789" s="24" t="str">
        <f>_xll.DBRW("TM1-S1_DEV:}ElementAttributes_SP_SKU",$F1789,D$1)</f>
        <v>Primary</v>
      </c>
      <c r="E1789" s="24" t="str">
        <f>_xll.DBRW("TM1-S1_DEV:}ElementAttributes_SP_SKU",$F1789,E$1)</f>
        <v>FILM</v>
      </c>
      <c r="F1789" s="26" t="s">
        <v>2999</v>
      </c>
      <c r="G1789" s="26" t="s">
        <v>3058</v>
      </c>
      <c r="H1789" s="26" t="s">
        <v>2758</v>
      </c>
      <c r="I1789" s="54">
        <f>_xll.DBRW($A$1,$F$14,$F$15,$C1789,$A$2,$F1789,$G1789,$H1789,I$1)</f>
        <v>0</v>
      </c>
      <c r="J1789" s="25">
        <f>_xll.DBRW($A$1,$F$14,$F$15,$C1789,$A$2,$F1789,$G1789,$H1789,J$19)</f>
        <v>-4</v>
      </c>
    </row>
    <row r="1790" spans="1:10" s="23" customFormat="1" outlineLevel="1" thickBot="1" x14ac:dyDescent="0.3">
      <c r="A1790" s="44"/>
      <c r="B1790" s="31" t="str">
        <f>IF(_xll.TM1RPTELISCONSOLIDATED($H$20,$H1790),IF(_xll.TM1RPTELLEV($H$20,$H1790)&lt;=5,_xll.TM1RPTELLEV($H$20,$H1790),"Default"),"Leaf")</f>
        <v>Leaf</v>
      </c>
      <c r="C1790" s="26" t="s">
        <v>18</v>
      </c>
      <c r="D1790" s="24" t="str">
        <f>_xll.DBRW("TM1-S1_DEV:}ElementAttributes_SP_SKU",$F1790,D$1)</f>
        <v>Primary</v>
      </c>
      <c r="E1790" s="24" t="str">
        <f>_xll.DBRW("TM1-S1_DEV:}ElementAttributes_SP_SKU",$F1790,E$1)</f>
        <v>PAPER</v>
      </c>
      <c r="F1790" s="26" t="s">
        <v>383</v>
      </c>
      <c r="G1790" s="26" t="s">
        <v>1706</v>
      </c>
      <c r="H1790" s="26" t="s">
        <v>2714</v>
      </c>
      <c r="I1790" s="54">
        <f>_xll.DBRW($A$1,$F$14,$F$15,$C1790,$A$2,$F1790,$G1790,$H1790,I$1)</f>
        <v>194</v>
      </c>
      <c r="J1790" s="25">
        <f>_xll.DBRW($A$1,$F$14,$F$15,$C1790,$A$2,$F1790,$G1790,$H1790,J$19)</f>
        <v>193</v>
      </c>
    </row>
    <row r="1791" spans="1:10" s="23" customFormat="1" outlineLevel="1" thickBot="1" x14ac:dyDescent="0.3">
      <c r="A1791" s="44"/>
      <c r="B1791" s="31" t="str">
        <f>IF(_xll.TM1RPTELISCONSOLIDATED($H$20,$H1791),IF(_xll.TM1RPTELLEV($H$20,$H1791)&lt;=5,_xll.TM1RPTELLEV($H$20,$H1791),"Default"),"Leaf")</f>
        <v>Leaf</v>
      </c>
      <c r="C1791" s="26" t="s">
        <v>18</v>
      </c>
      <c r="D1791" s="24" t="str">
        <f>_xll.DBRW("TM1-S1_DEV:}ElementAttributes_SP_SKU",$F1791,D$1)</f>
        <v>Primary</v>
      </c>
      <c r="E1791" s="24" t="str">
        <f>_xll.DBRW("TM1-S1_DEV:}ElementAttributes_SP_SKU",$F1791,E$1)</f>
        <v>UTENSIL</v>
      </c>
      <c r="F1791" s="26" t="s">
        <v>384</v>
      </c>
      <c r="G1791" s="26" t="s">
        <v>1707</v>
      </c>
      <c r="H1791" s="26" t="s">
        <v>2861</v>
      </c>
      <c r="I1791" s="54">
        <f>_xll.DBRW($A$1,$F$14,$F$15,$C1791,$A$2,$F1791,$G1791,$H1791,I$1)</f>
        <v>128</v>
      </c>
      <c r="J1791" s="25">
        <f>_xll.DBRW($A$1,$F$14,$F$15,$C1791,$A$2,$F1791,$G1791,$H1791,J$19)</f>
        <v>128</v>
      </c>
    </row>
    <row r="1792" spans="1:10" s="23" customFormat="1" outlineLevel="1" thickBot="1" x14ac:dyDescent="0.3">
      <c r="A1792" s="44"/>
      <c r="B1792" s="31" t="str">
        <f>IF(_xll.TM1RPTELISCONSOLIDATED($H$20,$H1792),IF(_xll.TM1RPTELLEV($H$20,$H1792)&lt;=5,_xll.TM1RPTELLEV($H$20,$H1792),"Default"),"Leaf")</f>
        <v>Leaf</v>
      </c>
      <c r="C1792" s="26" t="s">
        <v>18</v>
      </c>
      <c r="D1792" s="24" t="str">
        <f>_xll.DBRW("TM1-S1_DEV:}ElementAttributes_SP_SKU",$F1792,D$1)</f>
        <v>Primary</v>
      </c>
      <c r="E1792" s="24" t="str">
        <f>_xll.DBRW("TM1-S1_DEV:}ElementAttributes_SP_SKU",$F1792,E$1)</f>
        <v>PLATE</v>
      </c>
      <c r="F1792" s="26" t="s">
        <v>385</v>
      </c>
      <c r="G1792" s="26" t="s">
        <v>1708</v>
      </c>
      <c r="H1792" s="26" t="s">
        <v>2829</v>
      </c>
      <c r="I1792" s="54">
        <f>_xll.DBRW($A$1,$F$14,$F$15,$C1792,$A$2,$F1792,$G1792,$H1792,I$1)</f>
        <v>56</v>
      </c>
      <c r="J1792" s="25">
        <f>_xll.DBRW($A$1,$F$14,$F$15,$C1792,$A$2,$F1792,$G1792,$H1792,J$19)</f>
        <v>54</v>
      </c>
    </row>
    <row r="1793" spans="1:10" s="23" customFormat="1" outlineLevel="1" thickBot="1" x14ac:dyDescent="0.3">
      <c r="A1793" s="44"/>
      <c r="B1793" s="31" t="str">
        <f>IF(_xll.TM1RPTELISCONSOLIDATED($H$20,$H1793),IF(_xll.TM1RPTELLEV($H$20,$H1793)&lt;=5,_xll.TM1RPTELLEV($H$20,$H1793),"Default"),"Leaf")</f>
        <v>Leaf</v>
      </c>
      <c r="C1793" s="26" t="s">
        <v>18</v>
      </c>
      <c r="D1793" s="24" t="str">
        <f>_xll.DBRW("TM1-S1_DEV:}ElementAttributes_SP_SKU",$F1793,D$1)</f>
        <v>Primary</v>
      </c>
      <c r="E1793" s="24" t="str">
        <f>_xll.DBRW("TM1-S1_DEV:}ElementAttributes_SP_SKU",$F1793,E$1)</f>
        <v>FOIL</v>
      </c>
      <c r="F1793" s="26" t="s">
        <v>386</v>
      </c>
      <c r="G1793" s="26" t="s">
        <v>1709</v>
      </c>
      <c r="H1793" s="26" t="s">
        <v>2716</v>
      </c>
      <c r="I1793" s="54">
        <f>_xll.DBRW($A$1,$F$14,$F$15,$C1793,$A$2,$F1793,$G1793,$H1793,I$1)</f>
        <v>38</v>
      </c>
      <c r="J1793" s="25">
        <f>_xll.DBRW($A$1,$F$14,$F$15,$C1793,$A$2,$F1793,$G1793,$H1793,J$19)</f>
        <v>38</v>
      </c>
    </row>
    <row r="1794" spans="1:10" s="23" customFormat="1" outlineLevel="1" thickBot="1" x14ac:dyDescent="0.3">
      <c r="A1794" s="44"/>
      <c r="B1794" s="31" t="str">
        <f>IF(_xll.TM1RPTELISCONSOLIDATED($H$20,$H1794),IF(_xll.TM1RPTELLEV($H$20,$H1794)&lt;=5,_xll.TM1RPTELLEV($H$20,$H1794),"Default"),"Leaf")</f>
        <v>Leaf</v>
      </c>
      <c r="C1794" s="26" t="s">
        <v>18</v>
      </c>
      <c r="D1794" s="24" t="str">
        <f>_xll.DBRW("TM1-S1_DEV:}ElementAttributes_SP_SKU",$F1794,D$1)</f>
        <v>Primary</v>
      </c>
      <c r="E1794" s="24" t="str">
        <f>_xll.DBRW("TM1-S1_DEV:}ElementAttributes_SP_SKU",$F1794,E$1)</f>
        <v>PAPER</v>
      </c>
      <c r="F1794" s="26" t="s">
        <v>3000</v>
      </c>
      <c r="G1794" s="26" t="s">
        <v>3059</v>
      </c>
      <c r="H1794" s="26" t="s">
        <v>2864</v>
      </c>
      <c r="I1794" s="54">
        <f>_xll.DBRW($A$1,$F$14,$F$15,$C1794,$A$2,$F1794,$G1794,$H1794,I$1)</f>
        <v>0</v>
      </c>
      <c r="J1794" s="25">
        <f>_xll.DBRW($A$1,$F$14,$F$15,$C1794,$A$2,$F1794,$G1794,$H1794,J$19)</f>
        <v>-2</v>
      </c>
    </row>
    <row r="1795" spans="1:10" s="23" customFormat="1" outlineLevel="1" thickBot="1" x14ac:dyDescent="0.3">
      <c r="A1795" s="44"/>
      <c r="B1795" s="31" t="str">
        <f>IF(_xll.TM1RPTELISCONSOLIDATED($H$20,$H1795),IF(_xll.TM1RPTELLEV($H$20,$H1795)&lt;=5,_xll.TM1RPTELLEV($H$20,$H1795),"Default"),"Leaf")</f>
        <v>Leaf</v>
      </c>
      <c r="C1795" s="26" t="s">
        <v>18</v>
      </c>
      <c r="D1795" s="24" t="str">
        <f>_xll.DBRW("TM1-S1_DEV:}ElementAttributes_SP_SKU",$F1795,D$1)</f>
        <v>Primary</v>
      </c>
      <c r="E1795" s="24" t="str">
        <f>_xll.DBRW("TM1-S1_DEV:}ElementAttributes_SP_SKU",$F1795,E$1)</f>
        <v>PAPER</v>
      </c>
      <c r="F1795" s="26" t="s">
        <v>387</v>
      </c>
      <c r="G1795" s="26" t="s">
        <v>1710</v>
      </c>
      <c r="H1795" s="26" t="s">
        <v>2865</v>
      </c>
      <c r="I1795" s="54">
        <f>_xll.DBRW($A$1,$F$14,$F$15,$C1795,$A$2,$F1795,$G1795,$H1795,I$1)</f>
        <v>67</v>
      </c>
      <c r="J1795" s="25">
        <f>_xll.DBRW($A$1,$F$14,$F$15,$C1795,$A$2,$F1795,$G1795,$H1795,J$19)</f>
        <v>65</v>
      </c>
    </row>
    <row r="1796" spans="1:10" s="23" customFormat="1" outlineLevel="1" thickBot="1" x14ac:dyDescent="0.3">
      <c r="A1796" s="44"/>
      <c r="B1796" s="31" t="str">
        <f>IF(_xll.TM1RPTELISCONSOLIDATED($H$20,$H1796),IF(_xll.TM1RPTELLEV($H$20,$H1796)&lt;=5,_xll.TM1RPTELLEV($H$20,$H1796),"Default"),"Leaf")</f>
        <v>Leaf</v>
      </c>
      <c r="C1796" s="26" t="s">
        <v>18</v>
      </c>
      <c r="D1796" s="24" t="str">
        <f>_xll.DBRW("TM1-S1_DEV:}ElementAttributes_SP_SKU",$F1796,D$1)</f>
        <v>Primary</v>
      </c>
      <c r="E1796" s="24" t="str">
        <f>_xll.DBRW("TM1-S1_DEV:}ElementAttributes_SP_SKU",$F1796,E$1)</f>
        <v>PAPER</v>
      </c>
      <c r="F1796" s="26" t="s">
        <v>388</v>
      </c>
      <c r="G1796" s="26" t="s">
        <v>1711</v>
      </c>
      <c r="H1796" s="26" t="s">
        <v>2864</v>
      </c>
      <c r="I1796" s="54">
        <f>_xll.DBRW($A$1,$F$14,$F$15,$C1796,$A$2,$F1796,$G1796,$H1796,I$1)</f>
        <v>137</v>
      </c>
      <c r="J1796" s="25">
        <f>_xll.DBRW($A$1,$F$14,$F$15,$C1796,$A$2,$F1796,$G1796,$H1796,J$19)</f>
        <v>137</v>
      </c>
    </row>
    <row r="1797" spans="1:10" s="23" customFormat="1" outlineLevel="1" thickBot="1" x14ac:dyDescent="0.3">
      <c r="A1797" s="44"/>
      <c r="B1797" s="31" t="str">
        <f>IF(_xll.TM1RPTELISCONSOLIDATED($H$20,$H1797),IF(_xll.TM1RPTELLEV($H$20,$H1797)&lt;=5,_xll.TM1RPTELLEV($H$20,$H1797),"Default"),"Leaf")</f>
        <v>Leaf</v>
      </c>
      <c r="C1797" s="26" t="s">
        <v>18</v>
      </c>
      <c r="D1797" s="24" t="str">
        <f>_xll.DBRW("TM1-S1_DEV:}ElementAttributes_SP_SKU",$F1797,D$1)</f>
        <v>Primary</v>
      </c>
      <c r="E1797" s="24" t="str">
        <f>_xll.DBRW("TM1-S1_DEV:}ElementAttributes_SP_SKU",$F1797,E$1)</f>
        <v>INGREDIENT</v>
      </c>
      <c r="F1797" s="26" t="s">
        <v>3240</v>
      </c>
      <c r="G1797" s="26" t="s">
        <v>1712</v>
      </c>
      <c r="H1797" s="26" t="s">
        <v>2728</v>
      </c>
      <c r="I1797" s="54">
        <f>_xll.DBRW($A$1,$F$14,$F$15,$C1797,$A$2,$F1797,$G1797,$H1797,I$1)</f>
        <v>56</v>
      </c>
      <c r="J1797" s="25">
        <f>_xll.DBRW($A$1,$F$14,$F$15,$C1797,$A$2,$F1797,$G1797,$H1797,J$19)</f>
        <v>46</v>
      </c>
    </row>
    <row r="1798" spans="1:10" s="23" customFormat="1" outlineLevel="1" thickBot="1" x14ac:dyDescent="0.3">
      <c r="A1798" s="44"/>
      <c r="B1798" s="31" t="str">
        <f>IF(_xll.TM1RPTELISCONSOLIDATED($H$20,$H1798),IF(_xll.TM1RPTELLEV($H$20,$H1798)&lt;=5,_xll.TM1RPTELLEV($H$20,$H1798),"Default"),"Leaf")</f>
        <v>Leaf</v>
      </c>
      <c r="C1798" s="26" t="s">
        <v>18</v>
      </c>
      <c r="D1798" s="24" t="str">
        <f>_xll.DBRW("TM1-S1_DEV:}ElementAttributes_SP_SKU",$F1798,D$1)</f>
        <v>Primary</v>
      </c>
      <c r="E1798" s="24" t="str">
        <f>_xll.DBRW("TM1-S1_DEV:}ElementAttributes_SP_SKU",$F1798,E$1)</f>
        <v>INGREDIENT</v>
      </c>
      <c r="F1798" s="26" t="s">
        <v>3241</v>
      </c>
      <c r="G1798" s="26" t="s">
        <v>1713</v>
      </c>
      <c r="H1798" s="26" t="s">
        <v>2729</v>
      </c>
      <c r="I1798" s="54">
        <f>_xll.DBRW($A$1,$F$14,$F$15,$C1798,$A$2,$F1798,$G1798,$H1798,I$1)</f>
        <v>924</v>
      </c>
      <c r="J1798" s="25">
        <f>_xll.DBRW($A$1,$F$14,$F$15,$C1798,$A$2,$F1798,$G1798,$H1798,J$19)</f>
        <v>745</v>
      </c>
    </row>
    <row r="1799" spans="1:10" s="23" customFormat="1" outlineLevel="1" thickBot="1" x14ac:dyDescent="0.3">
      <c r="A1799" s="44"/>
      <c r="B1799" s="31" t="str">
        <f>IF(_xll.TM1RPTELISCONSOLIDATED($H$20,$H1799),IF(_xll.TM1RPTELLEV($H$20,$H1799)&lt;=5,_xll.TM1RPTELLEV($H$20,$H1799),"Default"),"Leaf")</f>
        <v>Leaf</v>
      </c>
      <c r="C1799" s="26" t="s">
        <v>18</v>
      </c>
      <c r="D1799" s="24" t="str">
        <f>_xll.DBRW("TM1-S1_DEV:}ElementAttributes_SP_SKU",$F1799,D$1)</f>
        <v>Primary</v>
      </c>
      <c r="E1799" s="24" t="str">
        <f>_xll.DBRW("TM1-S1_DEV:}ElementAttributes_SP_SKU",$F1799,E$1)</f>
        <v>INGREDIENT</v>
      </c>
      <c r="F1799" s="26" t="s">
        <v>3241</v>
      </c>
      <c r="G1799" s="26" t="s">
        <v>1713</v>
      </c>
      <c r="H1799" s="26" t="s">
        <v>2734</v>
      </c>
      <c r="I1799" s="54">
        <f>_xll.DBRW($A$1,$F$14,$F$15,$C1799,$A$2,$F1799,$G1799,$H1799,I$1)</f>
        <v>924</v>
      </c>
      <c r="J1799" s="25">
        <f>_xll.DBRW($A$1,$F$14,$F$15,$C1799,$A$2,$F1799,$G1799,$H1799,J$19)</f>
        <v>745</v>
      </c>
    </row>
    <row r="1800" spans="1:10" s="23" customFormat="1" outlineLevel="1" thickBot="1" x14ac:dyDescent="0.3">
      <c r="A1800" s="44"/>
      <c r="B1800" s="31" t="str">
        <f>IF(_xll.TM1RPTELISCONSOLIDATED($H$20,$H1800),IF(_xll.TM1RPTELLEV($H$20,$H1800)&lt;=5,_xll.TM1RPTELLEV($H$20,$H1800),"Default"),"Leaf")</f>
        <v>Leaf</v>
      </c>
      <c r="C1800" s="26" t="s">
        <v>18</v>
      </c>
      <c r="D1800" s="24" t="str">
        <f>_xll.DBRW("TM1-S1_DEV:}ElementAttributes_SP_SKU",$F1800,D$1)</f>
        <v>Unassigned PSP</v>
      </c>
      <c r="E1800" s="24" t="str">
        <f>_xll.DBRW("TM1-S1_DEV:}ElementAttributes_SP_SKU",$F1800,E$1)</f>
        <v>PAPER</v>
      </c>
      <c r="F1800" s="26" t="s">
        <v>99</v>
      </c>
      <c r="G1800" s="26" t="s">
        <v>1714</v>
      </c>
      <c r="H1800" s="26" t="s">
        <v>2763</v>
      </c>
      <c r="I1800" s="54">
        <f>_xll.DBRW($A$1,$F$14,$F$15,$C1800,$A$2,$F1800,$G1800,$H1800,I$1)</f>
        <v>17</v>
      </c>
      <c r="J1800" s="25">
        <f>_xll.DBRW($A$1,$F$14,$F$15,$C1800,$A$2,$F1800,$G1800,$H1800,J$19)</f>
        <v>17</v>
      </c>
    </row>
    <row r="1801" spans="1:10" s="23" customFormat="1" outlineLevel="1" thickBot="1" x14ac:dyDescent="0.3">
      <c r="A1801" s="44"/>
      <c r="B1801" s="31" t="str">
        <f>IF(_xll.TM1RPTELISCONSOLIDATED($H$20,$H1801),IF(_xll.TM1RPTELLEV($H$20,$H1801)&lt;=5,_xll.TM1RPTELLEV($H$20,$H1801),"Default"),"Leaf")</f>
        <v>Leaf</v>
      </c>
      <c r="C1801" s="26" t="s">
        <v>18</v>
      </c>
      <c r="D1801" s="24" t="str">
        <f>_xll.DBRW("TM1-S1_DEV:}ElementAttributes_SP_SKU",$F1801,D$1)</f>
        <v>Primary</v>
      </c>
      <c r="E1801" s="24" t="str">
        <f>_xll.DBRW("TM1-S1_DEV:}ElementAttributes_SP_SKU",$F1801,E$1)</f>
        <v>CONTAINER</v>
      </c>
      <c r="F1801" s="26" t="s">
        <v>3242</v>
      </c>
      <c r="G1801" s="26" t="s">
        <v>1715</v>
      </c>
      <c r="H1801" s="26" t="s">
        <v>2708</v>
      </c>
      <c r="I1801" s="54">
        <f>_xll.DBRW($A$1,$F$14,$F$15,$C1801,$A$2,$F1801,$G1801,$H1801,I$1)</f>
        <v>147</v>
      </c>
      <c r="J1801" s="25">
        <f>_xll.DBRW($A$1,$F$14,$F$15,$C1801,$A$2,$F1801,$G1801,$H1801,J$19)</f>
        <v>139</v>
      </c>
    </row>
    <row r="1802" spans="1:10" s="23" customFormat="1" outlineLevel="1" thickBot="1" x14ac:dyDescent="0.3">
      <c r="A1802" s="44"/>
      <c r="B1802" s="31" t="str">
        <f>IF(_xll.TM1RPTELISCONSOLIDATED($H$20,$H1802),IF(_xll.TM1RPTELLEV($H$20,$H1802)&lt;=5,_xll.TM1RPTELLEV($H$20,$H1802),"Default"),"Leaf")</f>
        <v>Leaf</v>
      </c>
      <c r="C1802" s="26" t="s">
        <v>18</v>
      </c>
      <c r="D1802" s="24" t="str">
        <f>_xll.DBRW("TM1-S1_DEV:}ElementAttributes_SP_SKU",$F1802,D$1)</f>
        <v>Primary</v>
      </c>
      <c r="E1802" s="24" t="str">
        <f>_xll.DBRW("TM1-S1_DEV:}ElementAttributes_SP_SKU",$F1802,E$1)</f>
        <v>PAPER</v>
      </c>
      <c r="F1802" s="26" t="s">
        <v>3243</v>
      </c>
      <c r="G1802" s="26" t="s">
        <v>1716</v>
      </c>
      <c r="H1802" s="26" t="s">
        <v>2730</v>
      </c>
      <c r="I1802" s="54">
        <f>_xll.DBRW($A$1,$F$14,$F$15,$C1802,$A$2,$F1802,$G1802,$H1802,I$1)</f>
        <v>14</v>
      </c>
      <c r="J1802" s="25">
        <f>_xll.DBRW($A$1,$F$14,$F$15,$C1802,$A$2,$F1802,$G1802,$H1802,J$19)</f>
        <v>13</v>
      </c>
    </row>
    <row r="1803" spans="1:10" s="23" customFormat="1" outlineLevel="1" thickBot="1" x14ac:dyDescent="0.3">
      <c r="A1803" s="44"/>
      <c r="B1803" s="31" t="str">
        <f>IF(_xll.TM1RPTELISCONSOLIDATED($H$20,$H1803),IF(_xll.TM1RPTELLEV($H$20,$H1803)&lt;=5,_xll.TM1RPTELLEV($H$20,$H1803),"Default"),"Leaf")</f>
        <v>Leaf</v>
      </c>
      <c r="C1803" s="26" t="s">
        <v>18</v>
      </c>
      <c r="D1803" s="24" t="str">
        <f>_xll.DBRW("TM1-S1_DEV:}ElementAttributes_SP_SKU",$F1803,D$1)</f>
        <v>Primary</v>
      </c>
      <c r="E1803" s="24" t="str">
        <f>_xll.DBRW("TM1-S1_DEV:}ElementAttributes_SP_SKU",$F1803,E$1)</f>
        <v>PROTEIN</v>
      </c>
      <c r="F1803" s="26" t="s">
        <v>3244</v>
      </c>
      <c r="G1803" s="26" t="s">
        <v>1717</v>
      </c>
      <c r="H1803" s="26" t="s">
        <v>2670</v>
      </c>
      <c r="I1803" s="54">
        <f>_xll.DBRW($A$1,$F$14,$F$15,$C1803,$A$2,$F1803,$G1803,$H1803,I$1)</f>
        <v>50</v>
      </c>
      <c r="J1803" s="25">
        <f>_xll.DBRW($A$1,$F$14,$F$15,$C1803,$A$2,$F1803,$G1803,$H1803,J$19)</f>
        <v>32</v>
      </c>
    </row>
    <row r="1804" spans="1:10" s="23" customFormat="1" outlineLevel="1" thickBot="1" x14ac:dyDescent="0.3">
      <c r="A1804" s="44"/>
      <c r="B1804" s="31" t="str">
        <f>IF(_xll.TM1RPTELISCONSOLIDATED($H$20,$H1804),IF(_xll.TM1RPTELLEV($H$20,$H1804)&lt;=5,_xll.TM1RPTELLEV($H$20,$H1804),"Default"),"Leaf")</f>
        <v>Leaf</v>
      </c>
      <c r="C1804" s="26" t="s">
        <v>18</v>
      </c>
      <c r="D1804" s="24" t="str">
        <f>_xll.DBRW("TM1-S1_DEV:}ElementAttributes_SP_SKU",$F1804,D$1)</f>
        <v>Primary</v>
      </c>
      <c r="E1804" s="24" t="str">
        <f>_xll.DBRW("TM1-S1_DEV:}ElementAttributes_SP_SKU",$F1804,E$1)</f>
        <v>PAD</v>
      </c>
      <c r="F1804" s="26" t="s">
        <v>3245</v>
      </c>
      <c r="G1804" s="26" t="s">
        <v>1718</v>
      </c>
      <c r="H1804" s="26" t="s">
        <v>2731</v>
      </c>
      <c r="I1804" s="54">
        <f>_xll.DBRW($A$1,$F$14,$F$15,$C1804,$A$2,$F1804,$G1804,$H1804,I$1)</f>
        <v>70</v>
      </c>
      <c r="J1804" s="25">
        <f>_xll.DBRW($A$1,$F$14,$F$15,$C1804,$A$2,$F1804,$G1804,$H1804,J$19)</f>
        <v>64</v>
      </c>
    </row>
    <row r="1805" spans="1:10" s="23" customFormat="1" outlineLevel="1" thickBot="1" x14ac:dyDescent="0.3">
      <c r="A1805" s="44"/>
      <c r="B1805" s="31" t="str">
        <f>IF(_xll.TM1RPTELISCONSOLIDATED($H$20,$H1805),IF(_xll.TM1RPTELLEV($H$20,$H1805)&lt;=5,_xll.TM1RPTELLEV($H$20,$H1805),"Default"),"Leaf")</f>
        <v>Leaf</v>
      </c>
      <c r="C1805" s="26" t="s">
        <v>18</v>
      </c>
      <c r="D1805" s="24" t="str">
        <f>_xll.DBRW("TM1-S1_DEV:}ElementAttributes_SP_SKU",$F1805,D$1)</f>
        <v/>
      </c>
      <c r="E1805" s="24" t="str">
        <f>_xll.DBRW("TM1-S1_DEV:}ElementAttributes_SP_SKU",$F1805,E$1)</f>
        <v/>
      </c>
      <c r="F1805" s="26" t="s">
        <v>389</v>
      </c>
      <c r="G1805" s="26" t="s">
        <v>1719</v>
      </c>
      <c r="H1805" s="26" t="s">
        <v>2711</v>
      </c>
      <c r="I1805" s="54">
        <f>_xll.DBRW($A$1,$F$14,$F$15,$C1805,$A$2,$F1805,$G1805,$H1805,I$1)</f>
        <v>7</v>
      </c>
      <c r="J1805" s="25">
        <f>_xll.DBRW($A$1,$F$14,$F$15,$C1805,$A$2,$F1805,$G1805,$H1805,J$19)</f>
        <v>7</v>
      </c>
    </row>
    <row r="1806" spans="1:10" s="23" customFormat="1" outlineLevel="1" thickBot="1" x14ac:dyDescent="0.3">
      <c r="A1806" s="44"/>
      <c r="B1806" s="31" t="str">
        <f>IF(_xll.TM1RPTELISCONSOLIDATED($H$20,$H1806),IF(_xll.TM1RPTELLEV($H$20,$H1806)&lt;=5,_xll.TM1RPTELLEV($H$20,$H1806),"Default"),"Leaf")</f>
        <v>Leaf</v>
      </c>
      <c r="C1806" s="26" t="s">
        <v>19</v>
      </c>
      <c r="D1806" s="24" t="str">
        <f>_xll.DBRW("TM1-S1_DEV:}ElementAttributes_SP_SKU",$F1806,D$1)</f>
        <v>Primary</v>
      </c>
      <c r="E1806" s="24" t="str">
        <f>_xll.DBRW("TM1-S1_DEV:}ElementAttributes_SP_SKU",$F1806,E$1)</f>
        <v>PROTEIN</v>
      </c>
      <c r="F1806" s="26" t="s">
        <v>3270</v>
      </c>
      <c r="G1806" s="26" t="s">
        <v>1720</v>
      </c>
      <c r="H1806" s="26" t="s">
        <v>2670</v>
      </c>
      <c r="I1806" s="54">
        <f>_xll.DBRW($A$1,$F$14,$F$15,$C1806,$A$2,$F1806,$G1806,$H1806,I$1)</f>
        <v>339</v>
      </c>
      <c r="J1806" s="25">
        <f>_xll.DBRW($A$1,$F$14,$F$15,$C1806,$A$2,$F1806,$G1806,$H1806,J$19)</f>
        <v>10</v>
      </c>
    </row>
    <row r="1807" spans="1:10" s="23" customFormat="1" outlineLevel="1" thickBot="1" x14ac:dyDescent="0.3">
      <c r="A1807" s="44"/>
      <c r="B1807" s="31" t="str">
        <f>IF(_xll.TM1RPTELISCONSOLIDATED($H$20,$H1807),IF(_xll.TM1RPTELLEV($H$20,$H1807)&lt;=5,_xll.TM1RPTELLEV($H$20,$H1807),"Default"),"Leaf")</f>
        <v>Leaf</v>
      </c>
      <c r="C1807" s="26" t="s">
        <v>19</v>
      </c>
      <c r="D1807" s="24" t="str">
        <f>_xll.DBRW("TM1-S1_DEV:}ElementAttributes_SP_SKU",$F1807,D$1)</f>
        <v>Primary</v>
      </c>
      <c r="E1807" s="24" t="str">
        <f>_xll.DBRW("TM1-S1_DEV:}ElementAttributes_SP_SKU",$F1807,E$1)</f>
        <v>PROTEIN</v>
      </c>
      <c r="F1807" s="26" t="s">
        <v>3105</v>
      </c>
      <c r="G1807" s="26" t="s">
        <v>1721</v>
      </c>
      <c r="H1807" s="26" t="s">
        <v>2670</v>
      </c>
      <c r="I1807" s="54">
        <f>_xll.DBRW($A$1,$F$14,$F$15,$C1807,$A$2,$F1807,$G1807,$H1807,I$1)</f>
        <v>523</v>
      </c>
      <c r="J1807" s="25">
        <f>_xll.DBRW($A$1,$F$14,$F$15,$C1807,$A$2,$F1807,$G1807,$H1807,J$19)</f>
        <v>13</v>
      </c>
    </row>
    <row r="1808" spans="1:10" s="23" customFormat="1" outlineLevel="1" thickBot="1" x14ac:dyDescent="0.3">
      <c r="A1808" s="44"/>
      <c r="B1808" s="31" t="str">
        <f>IF(_xll.TM1RPTELISCONSOLIDATED($H$20,$H1808),IF(_xll.TM1RPTELLEV($H$20,$H1808)&lt;=5,_xll.TM1RPTELLEV($H$20,$H1808),"Default"),"Leaf")</f>
        <v>Leaf</v>
      </c>
      <c r="C1808" s="26" t="s">
        <v>19</v>
      </c>
      <c r="D1808" s="24" t="str">
        <f>_xll.DBRW("TM1-S1_DEV:}ElementAttributes_SP_SKU",$F1808,D$1)</f>
        <v>Primary</v>
      </c>
      <c r="E1808" s="24" t="str">
        <f>_xll.DBRW("TM1-S1_DEV:}ElementAttributes_SP_SKU",$F1808,E$1)</f>
        <v>PROTEIN</v>
      </c>
      <c r="F1808" s="26" t="s">
        <v>3106</v>
      </c>
      <c r="G1808" s="26" t="s">
        <v>1722</v>
      </c>
      <c r="H1808" s="26" t="s">
        <v>2670</v>
      </c>
      <c r="I1808" s="54">
        <f>_xll.DBRW($A$1,$F$14,$F$15,$C1808,$A$2,$F1808,$G1808,$H1808,I$1)</f>
        <v>584</v>
      </c>
      <c r="J1808" s="25">
        <f>_xll.DBRW($A$1,$F$14,$F$15,$C1808,$A$2,$F1808,$G1808,$H1808,J$19)</f>
        <v>10</v>
      </c>
    </row>
    <row r="1809" spans="1:10" s="23" customFormat="1" outlineLevel="1" thickBot="1" x14ac:dyDescent="0.3">
      <c r="A1809" s="44"/>
      <c r="B1809" s="31" t="str">
        <f>IF(_xll.TM1RPTELISCONSOLIDATED($H$20,$H1809),IF(_xll.TM1RPTELLEV($H$20,$H1809)&lt;=5,_xll.TM1RPTELLEV($H$20,$H1809),"Default"),"Leaf")</f>
        <v>Leaf</v>
      </c>
      <c r="C1809" s="26" t="s">
        <v>19</v>
      </c>
      <c r="D1809" s="24" t="str">
        <f>_xll.DBRW("TM1-S1_DEV:}ElementAttributes_SP_SKU",$F1809,D$1)</f>
        <v>Primary</v>
      </c>
      <c r="E1809" s="24" t="str">
        <f>_xll.DBRW("TM1-S1_DEV:}ElementAttributes_SP_SKU",$F1809,E$1)</f>
        <v>HAM</v>
      </c>
      <c r="F1809" s="26" t="s">
        <v>3107</v>
      </c>
      <c r="G1809" s="26" t="s">
        <v>1723</v>
      </c>
      <c r="H1809" s="26" t="s">
        <v>2670</v>
      </c>
      <c r="I1809" s="54">
        <f>_xll.DBRW($A$1,$F$14,$F$15,$C1809,$A$2,$F1809,$G1809,$H1809,I$1)</f>
        <v>0</v>
      </c>
      <c r="J1809" s="25">
        <f>_xll.DBRW($A$1,$F$14,$F$15,$C1809,$A$2,$F1809,$G1809,$H1809,J$19)</f>
        <v>-132</v>
      </c>
    </row>
    <row r="1810" spans="1:10" s="23" customFormat="1" outlineLevel="1" thickBot="1" x14ac:dyDescent="0.3">
      <c r="A1810" s="44"/>
      <c r="B1810" s="31" t="str">
        <f>IF(_xll.TM1RPTELISCONSOLIDATED($H$20,$H1810),IF(_xll.TM1RPTELLEV($H$20,$H1810)&lt;=5,_xll.TM1RPTELLEV($H$20,$H1810),"Default"),"Leaf")</f>
        <v>Leaf</v>
      </c>
      <c r="C1810" s="26" t="s">
        <v>19</v>
      </c>
      <c r="D1810" s="24" t="str">
        <f>_xll.DBRW("TM1-S1_DEV:}ElementAttributes_SP_SKU",$F1810,D$1)</f>
        <v>Primary</v>
      </c>
      <c r="E1810" s="24" t="str">
        <f>_xll.DBRW("TM1-S1_DEV:}ElementAttributes_SP_SKU",$F1810,E$1)</f>
        <v>HAM</v>
      </c>
      <c r="F1810" s="26" t="s">
        <v>3108</v>
      </c>
      <c r="G1810" s="26" t="s">
        <v>1724</v>
      </c>
      <c r="H1810" s="26" t="s">
        <v>2670</v>
      </c>
      <c r="I1810" s="54">
        <f>_xll.DBRW($A$1,$F$14,$F$15,$C1810,$A$2,$F1810,$G1810,$H1810,I$1)</f>
        <v>256</v>
      </c>
      <c r="J1810" s="25">
        <f>_xll.DBRW($A$1,$F$14,$F$15,$C1810,$A$2,$F1810,$G1810,$H1810,J$19)</f>
        <v>2</v>
      </c>
    </row>
    <row r="1811" spans="1:10" s="23" customFormat="1" outlineLevel="1" thickBot="1" x14ac:dyDescent="0.3">
      <c r="A1811" s="44"/>
      <c r="B1811" s="31" t="str">
        <f>IF(_xll.TM1RPTELISCONSOLIDATED($H$20,$H1811),IF(_xll.TM1RPTELLEV($H$20,$H1811)&lt;=5,_xll.TM1RPTELLEV($H$20,$H1811),"Default"),"Leaf")</f>
        <v>Leaf</v>
      </c>
      <c r="C1811" s="26" t="s">
        <v>19</v>
      </c>
      <c r="D1811" s="24" t="str">
        <f>_xll.DBRW("TM1-S1_DEV:}ElementAttributes_SP_SKU",$F1811,D$1)</f>
        <v>Primary</v>
      </c>
      <c r="E1811" s="24" t="str">
        <f>_xll.DBRW("TM1-S1_DEV:}ElementAttributes_SP_SKU",$F1811,E$1)</f>
        <v>HAM</v>
      </c>
      <c r="F1811" s="26" t="s">
        <v>3109</v>
      </c>
      <c r="G1811" s="26" t="s">
        <v>1725</v>
      </c>
      <c r="H1811" s="26" t="s">
        <v>2670</v>
      </c>
      <c r="I1811" s="54">
        <f>_xll.DBRW($A$1,$F$14,$F$15,$C1811,$A$2,$F1811,$G1811,$H1811,I$1)</f>
        <v>534</v>
      </c>
      <c r="J1811" s="25">
        <f>_xll.DBRW($A$1,$F$14,$F$15,$C1811,$A$2,$F1811,$G1811,$H1811,J$19)</f>
        <v>8</v>
      </c>
    </row>
    <row r="1812" spans="1:10" s="23" customFormat="1" outlineLevel="1" thickBot="1" x14ac:dyDescent="0.3">
      <c r="A1812" s="44"/>
      <c r="B1812" s="31" t="str">
        <f>IF(_xll.TM1RPTELISCONSOLIDATED($H$20,$H1812),IF(_xll.TM1RPTELLEV($H$20,$H1812)&lt;=5,_xll.TM1RPTELLEV($H$20,$H1812),"Default"),"Leaf")</f>
        <v>Leaf</v>
      </c>
      <c r="C1812" s="26" t="s">
        <v>19</v>
      </c>
      <c r="D1812" s="24" t="str">
        <f>_xll.DBRW("TM1-S1_DEV:}ElementAttributes_SP_SKU",$F1812,D$1)</f>
        <v>Primary</v>
      </c>
      <c r="E1812" s="24" t="str">
        <f>_xll.DBRW("TM1-S1_DEV:}ElementAttributes_SP_SKU",$F1812,E$1)</f>
        <v>TURKEY</v>
      </c>
      <c r="F1812" s="26" t="s">
        <v>3110</v>
      </c>
      <c r="G1812" s="26" t="s">
        <v>1726</v>
      </c>
      <c r="H1812" s="26" t="s">
        <v>2671</v>
      </c>
      <c r="I1812" s="54">
        <f>_xll.DBRW($A$1,$F$14,$F$15,$C1812,$A$2,$F1812,$G1812,$H1812,I$1)</f>
        <v>137</v>
      </c>
      <c r="J1812" s="25">
        <f>_xll.DBRW($A$1,$F$14,$F$15,$C1812,$A$2,$F1812,$G1812,$H1812,J$19)</f>
        <v>234</v>
      </c>
    </row>
    <row r="1813" spans="1:10" s="23" customFormat="1" outlineLevel="1" thickBot="1" x14ac:dyDescent="0.3">
      <c r="A1813" s="44"/>
      <c r="B1813" s="31" t="str">
        <f>IF(_xll.TM1RPTELISCONSOLIDATED($H$20,$H1813),IF(_xll.TM1RPTELLEV($H$20,$H1813)&lt;=5,_xll.TM1RPTELLEV($H$20,$H1813),"Default"),"Leaf")</f>
        <v>Leaf</v>
      </c>
      <c r="C1813" s="26" t="s">
        <v>19</v>
      </c>
      <c r="D1813" s="24" t="str">
        <f>_xll.DBRW("TM1-S1_DEV:}ElementAttributes_SP_SKU",$F1813,D$1)</f>
        <v>Primary</v>
      </c>
      <c r="E1813" s="24" t="str">
        <f>_xll.DBRW("TM1-S1_DEV:}ElementAttributes_SP_SKU",$F1813,E$1)</f>
        <v>TURKEY</v>
      </c>
      <c r="F1813" s="26" t="s">
        <v>3111</v>
      </c>
      <c r="G1813" s="26" t="s">
        <v>1727</v>
      </c>
      <c r="H1813" s="26" t="s">
        <v>2671</v>
      </c>
      <c r="I1813" s="54">
        <f>_xll.DBRW($A$1,$F$14,$F$15,$C1813,$A$2,$F1813,$G1813,$H1813,I$1)</f>
        <v>125</v>
      </c>
      <c r="J1813" s="25">
        <f>_xll.DBRW($A$1,$F$14,$F$15,$C1813,$A$2,$F1813,$G1813,$H1813,J$19)</f>
        <v>221</v>
      </c>
    </row>
    <row r="1814" spans="1:10" s="23" customFormat="1" outlineLevel="1" thickBot="1" x14ac:dyDescent="0.3">
      <c r="A1814" s="44"/>
      <c r="B1814" s="31" t="str">
        <f>IF(_xll.TM1RPTELISCONSOLIDATED($H$20,$H1814),IF(_xll.TM1RPTELLEV($H$20,$H1814)&lt;=5,_xll.TM1RPTELLEV($H$20,$H1814),"Default"),"Leaf")</f>
        <v>Leaf</v>
      </c>
      <c r="C1814" s="26" t="s">
        <v>19</v>
      </c>
      <c r="D1814" s="24" t="str">
        <f>_xll.DBRW("TM1-S1_DEV:}ElementAttributes_SP_SKU",$F1814,D$1)</f>
        <v>Primary</v>
      </c>
      <c r="E1814" s="24" t="str">
        <f>_xll.DBRW("TM1-S1_DEV:}ElementAttributes_SP_SKU",$F1814,E$1)</f>
        <v>PROTEIN</v>
      </c>
      <c r="F1814" s="26" t="s">
        <v>3112</v>
      </c>
      <c r="G1814" s="26" t="s">
        <v>1728</v>
      </c>
      <c r="H1814" s="26" t="s">
        <v>2672</v>
      </c>
      <c r="I1814" s="54">
        <f>_xll.DBRW($A$1,$F$14,$F$15,$C1814,$A$2,$F1814,$G1814,$H1814,I$1)</f>
        <v>25</v>
      </c>
      <c r="J1814" s="25">
        <f>_xll.DBRW($A$1,$F$14,$F$15,$C1814,$A$2,$F1814,$G1814,$H1814,J$19)</f>
        <v>36</v>
      </c>
    </row>
    <row r="1815" spans="1:10" s="23" customFormat="1" outlineLevel="1" thickBot="1" x14ac:dyDescent="0.3">
      <c r="A1815" s="44"/>
      <c r="B1815" s="31" t="str">
        <f>IF(_xll.TM1RPTELISCONSOLIDATED($H$20,$H1815),IF(_xll.TM1RPTELLEV($H$20,$H1815)&lt;=5,_xll.TM1RPTELLEV($H$20,$H1815),"Default"),"Leaf")</f>
        <v>Leaf</v>
      </c>
      <c r="C1815" s="26" t="s">
        <v>19</v>
      </c>
      <c r="D1815" s="24" t="str">
        <f>_xll.DBRW("TM1-S1_DEV:}ElementAttributes_SP_SKU",$F1815,D$1)</f>
        <v>Primary</v>
      </c>
      <c r="E1815" s="24" t="str">
        <f>_xll.DBRW("TM1-S1_DEV:}ElementAttributes_SP_SKU",$F1815,E$1)</f>
        <v>PROTEIN</v>
      </c>
      <c r="F1815" s="26" t="s">
        <v>3113</v>
      </c>
      <c r="G1815" s="26" t="s">
        <v>1729</v>
      </c>
      <c r="H1815" s="26" t="s">
        <v>2673</v>
      </c>
      <c r="I1815" s="54">
        <f>_xll.DBRW($A$1,$F$14,$F$15,$C1815,$A$2,$F1815,$G1815,$H1815,I$1)</f>
        <v>1</v>
      </c>
      <c r="J1815" s="25">
        <f>_xll.DBRW($A$1,$F$14,$F$15,$C1815,$A$2,$F1815,$G1815,$H1815,J$19)</f>
        <v>1</v>
      </c>
    </row>
    <row r="1816" spans="1:10" s="23" customFormat="1" outlineLevel="1" thickBot="1" x14ac:dyDescent="0.3">
      <c r="A1816" s="44"/>
      <c r="B1816" s="31" t="str">
        <f>IF(_xll.TM1RPTELISCONSOLIDATED($H$20,$H1816),IF(_xll.TM1RPTELLEV($H$20,$H1816)&lt;=5,_xll.TM1RPTELLEV($H$20,$H1816),"Default"),"Leaf")</f>
        <v>Leaf</v>
      </c>
      <c r="C1816" s="26" t="s">
        <v>19</v>
      </c>
      <c r="D1816" s="24" t="str">
        <f>_xll.DBRW("TM1-S1_DEV:}ElementAttributes_SP_SKU",$F1816,D$1)</f>
        <v>Primary</v>
      </c>
      <c r="E1816" s="24" t="str">
        <f>_xll.DBRW("TM1-S1_DEV:}ElementAttributes_SP_SKU",$F1816,E$1)</f>
        <v>PROTEIN</v>
      </c>
      <c r="F1816" s="26" t="s">
        <v>3114</v>
      </c>
      <c r="G1816" s="26" t="s">
        <v>1730</v>
      </c>
      <c r="H1816" s="26" t="s">
        <v>2672</v>
      </c>
      <c r="I1816" s="54">
        <f>_xll.DBRW($A$1,$F$14,$F$15,$C1816,$A$2,$F1816,$G1816,$H1816,I$1)</f>
        <v>17</v>
      </c>
      <c r="J1816" s="25">
        <f>_xll.DBRW($A$1,$F$14,$F$15,$C1816,$A$2,$F1816,$G1816,$H1816,J$19)</f>
        <v>17</v>
      </c>
    </row>
    <row r="1817" spans="1:10" s="23" customFormat="1" outlineLevel="1" thickBot="1" x14ac:dyDescent="0.3">
      <c r="A1817" s="44"/>
      <c r="B1817" s="31" t="str">
        <f>IF(_xll.TM1RPTELISCONSOLIDATED($H$20,$H1817),IF(_xll.TM1RPTELLEV($H$20,$H1817)&lt;=5,_xll.TM1RPTELLEV($H$20,$H1817),"Default"),"Leaf")</f>
        <v>Leaf</v>
      </c>
      <c r="C1817" s="26" t="s">
        <v>19</v>
      </c>
      <c r="D1817" s="24" t="str">
        <f>_xll.DBRW("TM1-S1_DEV:}ElementAttributes_SP_SKU",$F1817,D$1)</f>
        <v>Primary</v>
      </c>
      <c r="E1817" s="24" t="str">
        <f>_xll.DBRW("TM1-S1_DEV:}ElementAttributes_SP_SKU",$F1817,E$1)</f>
        <v>PROTEIN</v>
      </c>
      <c r="F1817" s="26" t="s">
        <v>3115</v>
      </c>
      <c r="G1817" s="26" t="s">
        <v>1731</v>
      </c>
      <c r="H1817" s="26" t="s">
        <v>2672</v>
      </c>
      <c r="I1817" s="54">
        <f>_xll.DBRW($A$1,$F$14,$F$15,$C1817,$A$2,$F1817,$G1817,$H1817,I$1)</f>
        <v>17</v>
      </c>
      <c r="J1817" s="25">
        <f>_xll.DBRW($A$1,$F$14,$F$15,$C1817,$A$2,$F1817,$G1817,$H1817,J$19)</f>
        <v>17</v>
      </c>
    </row>
    <row r="1818" spans="1:10" s="23" customFormat="1" outlineLevel="1" thickBot="1" x14ac:dyDescent="0.3">
      <c r="A1818" s="44"/>
      <c r="B1818" s="31" t="str">
        <f>IF(_xll.TM1RPTELISCONSOLIDATED($H$20,$H1818),IF(_xll.TM1RPTELLEV($H$20,$H1818)&lt;=5,_xll.TM1RPTELLEV($H$20,$H1818),"Default"),"Leaf")</f>
        <v>Leaf</v>
      </c>
      <c r="C1818" s="26" t="s">
        <v>19</v>
      </c>
      <c r="D1818" s="24" t="str">
        <f>_xll.DBRW("TM1-S1_DEV:}ElementAttributes_SP_SKU",$F1818,D$1)</f>
        <v>Primary</v>
      </c>
      <c r="E1818" s="24" t="str">
        <f>_xll.DBRW("TM1-S1_DEV:}ElementAttributes_SP_SKU",$F1818,E$1)</f>
        <v>SOUP</v>
      </c>
      <c r="F1818" s="26" t="s">
        <v>3116</v>
      </c>
      <c r="G1818" s="26" t="s">
        <v>1732</v>
      </c>
      <c r="H1818" s="26" t="s">
        <v>2674</v>
      </c>
      <c r="I1818" s="54">
        <f>_xll.DBRW($A$1,$F$14,$F$15,$C1818,$A$2,$F1818,$G1818,$H1818,I$1)</f>
        <v>15</v>
      </c>
      <c r="J1818" s="25">
        <f>_xll.DBRW($A$1,$F$14,$F$15,$C1818,$A$2,$F1818,$G1818,$H1818,J$19)</f>
        <v>39</v>
      </c>
    </row>
    <row r="1819" spans="1:10" s="23" customFormat="1" outlineLevel="1" thickBot="1" x14ac:dyDescent="0.3">
      <c r="A1819" s="44"/>
      <c r="B1819" s="31" t="str">
        <f>IF(_xll.TM1RPTELISCONSOLIDATED($H$20,$H1819),IF(_xll.TM1RPTELLEV($H$20,$H1819)&lt;=5,_xll.TM1RPTELLEV($H$20,$H1819),"Default"),"Leaf")</f>
        <v>Leaf</v>
      </c>
      <c r="C1819" s="26" t="s">
        <v>19</v>
      </c>
      <c r="D1819" s="24" t="str">
        <f>_xll.DBRW("TM1-S1_DEV:}ElementAttributes_SP_SKU",$F1819,D$1)</f>
        <v>Primary</v>
      </c>
      <c r="E1819" s="24" t="str">
        <f>_xll.DBRW("TM1-S1_DEV:}ElementAttributes_SP_SKU",$F1819,E$1)</f>
        <v>SOUP</v>
      </c>
      <c r="F1819" s="26" t="s">
        <v>3117</v>
      </c>
      <c r="G1819" s="26" t="s">
        <v>1733</v>
      </c>
      <c r="H1819" s="26" t="s">
        <v>2674</v>
      </c>
      <c r="I1819" s="54">
        <f>_xll.DBRW($A$1,$F$14,$F$15,$C1819,$A$2,$F1819,$G1819,$H1819,I$1)</f>
        <v>4</v>
      </c>
      <c r="J1819" s="25">
        <f>_xll.DBRW($A$1,$F$14,$F$15,$C1819,$A$2,$F1819,$G1819,$H1819,J$19)</f>
        <v>17</v>
      </c>
    </row>
    <row r="1820" spans="1:10" s="23" customFormat="1" outlineLevel="1" thickBot="1" x14ac:dyDescent="0.3">
      <c r="A1820" s="44"/>
      <c r="B1820" s="31" t="str">
        <f>IF(_xll.TM1RPTELISCONSOLIDATED($H$20,$H1820),IF(_xll.TM1RPTELLEV($H$20,$H1820)&lt;=5,_xll.TM1RPTELLEV($H$20,$H1820),"Default"),"Leaf")</f>
        <v>Leaf</v>
      </c>
      <c r="C1820" s="26" t="s">
        <v>19</v>
      </c>
      <c r="D1820" s="24" t="str">
        <f>_xll.DBRW("TM1-S1_DEV:}ElementAttributes_SP_SKU",$F1820,D$1)</f>
        <v>Primary</v>
      </c>
      <c r="E1820" s="24" t="str">
        <f>_xll.DBRW("TM1-S1_DEV:}ElementAttributes_SP_SKU",$F1820,E$1)</f>
        <v>SOUP</v>
      </c>
      <c r="F1820" s="26" t="s">
        <v>3118</v>
      </c>
      <c r="G1820" s="26" t="s">
        <v>1734</v>
      </c>
      <c r="H1820" s="26" t="s">
        <v>2674</v>
      </c>
      <c r="I1820" s="54">
        <f>_xll.DBRW($A$1,$F$14,$F$15,$C1820,$A$2,$F1820,$G1820,$H1820,I$1)</f>
        <v>0</v>
      </c>
      <c r="J1820" s="25">
        <f>_xll.DBRW($A$1,$F$14,$F$15,$C1820,$A$2,$F1820,$G1820,$H1820,J$19)</f>
        <v>13</v>
      </c>
    </row>
    <row r="1821" spans="1:10" s="23" customFormat="1" outlineLevel="1" thickBot="1" x14ac:dyDescent="0.3">
      <c r="A1821" s="44"/>
      <c r="B1821" s="31" t="str">
        <f>IF(_xll.TM1RPTELISCONSOLIDATED($H$20,$H1821),IF(_xll.TM1RPTELLEV($H$20,$H1821)&lt;=5,_xll.TM1RPTELLEV($H$20,$H1821),"Default"),"Leaf")</f>
        <v>Leaf</v>
      </c>
      <c r="C1821" s="26" t="s">
        <v>19</v>
      </c>
      <c r="D1821" s="24" t="str">
        <f>_xll.DBRW("TM1-S1_DEV:}ElementAttributes_SP_SKU",$F1821,D$1)</f>
        <v>Primary</v>
      </c>
      <c r="E1821" s="24" t="str">
        <f>_xll.DBRW("TM1-S1_DEV:}ElementAttributes_SP_SKU",$F1821,E$1)</f>
        <v>PROTEIN</v>
      </c>
      <c r="F1821" s="26" t="s">
        <v>3119</v>
      </c>
      <c r="G1821" s="26" t="s">
        <v>1735</v>
      </c>
      <c r="H1821" s="26" t="s">
        <v>2670</v>
      </c>
      <c r="I1821" s="54">
        <f>_xll.DBRW($A$1,$F$14,$F$15,$C1821,$A$2,$F1821,$G1821,$H1821,I$1)</f>
        <v>15</v>
      </c>
      <c r="J1821" s="25">
        <f>_xll.DBRW($A$1,$F$14,$F$15,$C1821,$A$2,$F1821,$G1821,$H1821,J$19)</f>
        <v>11</v>
      </c>
    </row>
    <row r="1822" spans="1:10" s="23" customFormat="1" outlineLevel="1" thickBot="1" x14ac:dyDescent="0.3">
      <c r="A1822" s="44"/>
      <c r="B1822" s="31" t="str">
        <f>IF(_xll.TM1RPTELISCONSOLIDATED($H$20,$H1822),IF(_xll.TM1RPTELLEV($H$20,$H1822)&lt;=5,_xll.TM1RPTELLEV($H$20,$H1822),"Default"),"Leaf")</f>
        <v>Leaf</v>
      </c>
      <c r="C1822" s="26" t="s">
        <v>19</v>
      </c>
      <c r="D1822" s="24" t="str">
        <f>_xll.DBRW("TM1-S1_DEV:}ElementAttributes_SP_SKU",$F1822,D$1)</f>
        <v>Primary</v>
      </c>
      <c r="E1822" s="24" t="str">
        <f>_xll.DBRW("TM1-S1_DEV:}ElementAttributes_SP_SKU",$F1822,E$1)</f>
        <v>PROTEIN</v>
      </c>
      <c r="F1822" s="26" t="s">
        <v>3120</v>
      </c>
      <c r="G1822" s="26" t="s">
        <v>1736</v>
      </c>
      <c r="H1822" s="26" t="s">
        <v>2670</v>
      </c>
      <c r="I1822" s="54">
        <f>_xll.DBRW($A$1,$F$14,$F$15,$C1822,$A$2,$F1822,$G1822,$H1822,I$1)</f>
        <v>8</v>
      </c>
      <c r="J1822" s="25">
        <f>_xll.DBRW($A$1,$F$14,$F$15,$C1822,$A$2,$F1822,$G1822,$H1822,J$19)</f>
        <v>7</v>
      </c>
    </row>
    <row r="1823" spans="1:10" s="23" customFormat="1" outlineLevel="1" thickBot="1" x14ac:dyDescent="0.3">
      <c r="A1823" s="44"/>
      <c r="B1823" s="31" t="str">
        <f>IF(_xll.TM1RPTELISCONSOLIDATED($H$20,$H1823),IF(_xll.TM1RPTELLEV($H$20,$H1823)&lt;=5,_xll.TM1RPTELLEV($H$20,$H1823),"Default"),"Leaf")</f>
        <v>Leaf</v>
      </c>
      <c r="C1823" s="26" t="s">
        <v>19</v>
      </c>
      <c r="D1823" s="24" t="str">
        <f>_xll.DBRW("TM1-S1_DEV:}ElementAttributes_SP_SKU",$F1823,D$1)</f>
        <v>Primary</v>
      </c>
      <c r="E1823" s="24" t="str">
        <f>_xll.DBRW("TM1-S1_DEV:}ElementAttributes_SP_SKU",$F1823,E$1)</f>
        <v>SOUP</v>
      </c>
      <c r="F1823" s="26" t="s">
        <v>3121</v>
      </c>
      <c r="G1823" s="26" t="s">
        <v>1737</v>
      </c>
      <c r="H1823" s="26" t="s">
        <v>2675</v>
      </c>
      <c r="I1823" s="54">
        <f>_xll.DBRW($A$1,$F$14,$F$15,$C1823,$A$2,$F1823,$G1823,$H1823,I$1)</f>
        <v>5</v>
      </c>
      <c r="J1823" s="25">
        <f>_xll.DBRW($A$1,$F$14,$F$15,$C1823,$A$2,$F1823,$G1823,$H1823,J$19)</f>
        <v>5</v>
      </c>
    </row>
    <row r="1824" spans="1:10" s="23" customFormat="1" outlineLevel="1" thickBot="1" x14ac:dyDescent="0.3">
      <c r="A1824" s="44"/>
      <c r="B1824" s="31" t="str">
        <f>IF(_xll.TM1RPTELISCONSOLIDATED($H$20,$H1824),IF(_xll.TM1RPTELLEV($H$20,$H1824)&lt;=5,_xll.TM1RPTELLEV($H$20,$H1824),"Default"),"Leaf")</f>
        <v>Leaf</v>
      </c>
      <c r="C1824" s="26" t="s">
        <v>19</v>
      </c>
      <c r="D1824" s="24" t="str">
        <f>_xll.DBRW("TM1-S1_DEV:}ElementAttributes_SP_SKU",$F1824,D$1)</f>
        <v>Primary</v>
      </c>
      <c r="E1824" s="24" t="str">
        <f>_xll.DBRW("TM1-S1_DEV:}ElementAttributes_SP_SKU",$F1824,E$1)</f>
        <v>SOUP</v>
      </c>
      <c r="F1824" s="26" t="s">
        <v>3122</v>
      </c>
      <c r="G1824" s="26" t="s">
        <v>1738</v>
      </c>
      <c r="H1824" s="26" t="s">
        <v>2675</v>
      </c>
      <c r="I1824" s="54">
        <f>_xll.DBRW($A$1,$F$14,$F$15,$C1824,$A$2,$F1824,$G1824,$H1824,I$1)</f>
        <v>3</v>
      </c>
      <c r="J1824" s="25">
        <f>_xll.DBRW($A$1,$F$14,$F$15,$C1824,$A$2,$F1824,$G1824,$H1824,J$19)</f>
        <v>2</v>
      </c>
    </row>
    <row r="1825" spans="1:10" s="23" customFormat="1" outlineLevel="1" thickBot="1" x14ac:dyDescent="0.3">
      <c r="A1825" s="44"/>
      <c r="B1825" s="31" t="str">
        <f>IF(_xll.TM1RPTELISCONSOLIDATED($H$20,$H1825),IF(_xll.TM1RPTELLEV($H$20,$H1825)&lt;=5,_xll.TM1RPTELLEV($H$20,$H1825),"Default"),"Leaf")</f>
        <v>Leaf</v>
      </c>
      <c r="C1825" s="26" t="s">
        <v>19</v>
      </c>
      <c r="D1825" s="24" t="str">
        <f>_xll.DBRW("TM1-S1_DEV:}ElementAttributes_SP_SKU",$F1825,D$1)</f>
        <v>Primary</v>
      </c>
      <c r="E1825" s="24" t="str">
        <f>_xll.DBRW("TM1-S1_DEV:}ElementAttributes_SP_SKU",$F1825,E$1)</f>
        <v>SIDES</v>
      </c>
      <c r="F1825" s="26" t="s">
        <v>3123</v>
      </c>
      <c r="G1825" s="26" t="s">
        <v>1739</v>
      </c>
      <c r="H1825" s="26" t="s">
        <v>2676</v>
      </c>
      <c r="I1825" s="54">
        <f>_xll.DBRW($A$1,$F$14,$F$15,$C1825,$A$2,$F1825,$G1825,$H1825,I$1)</f>
        <v>82</v>
      </c>
      <c r="J1825" s="25">
        <f>_xll.DBRW($A$1,$F$14,$F$15,$C1825,$A$2,$F1825,$G1825,$H1825,J$19)</f>
        <v>58</v>
      </c>
    </row>
    <row r="1826" spans="1:10" s="23" customFormat="1" outlineLevel="1" thickBot="1" x14ac:dyDescent="0.3">
      <c r="A1826" s="44"/>
      <c r="B1826" s="31" t="str">
        <f>IF(_xll.TM1RPTELISCONSOLIDATED($H$20,$H1826),IF(_xll.TM1RPTELLEV($H$20,$H1826)&lt;=5,_xll.TM1RPTELLEV($H$20,$H1826),"Default"),"Leaf")</f>
        <v>Leaf</v>
      </c>
      <c r="C1826" s="26" t="s">
        <v>19</v>
      </c>
      <c r="D1826" s="24" t="str">
        <f>_xll.DBRW("TM1-S1_DEV:}ElementAttributes_SP_SKU",$F1826,D$1)</f>
        <v>Primary</v>
      </c>
      <c r="E1826" s="24" t="str">
        <f>_xll.DBRW("TM1-S1_DEV:}ElementAttributes_SP_SKU",$F1826,E$1)</f>
        <v>SIDES</v>
      </c>
      <c r="F1826" s="26" t="s">
        <v>3124</v>
      </c>
      <c r="G1826" s="26" t="s">
        <v>1740</v>
      </c>
      <c r="H1826" s="26" t="s">
        <v>2676</v>
      </c>
      <c r="I1826" s="54">
        <f>_xll.DBRW($A$1,$F$14,$F$15,$C1826,$A$2,$F1826,$G1826,$H1826,I$1)</f>
        <v>84</v>
      </c>
      <c r="J1826" s="25">
        <f>_xll.DBRW($A$1,$F$14,$F$15,$C1826,$A$2,$F1826,$G1826,$H1826,J$19)</f>
        <v>40</v>
      </c>
    </row>
    <row r="1827" spans="1:10" s="23" customFormat="1" outlineLevel="1" thickBot="1" x14ac:dyDescent="0.3">
      <c r="A1827" s="44"/>
      <c r="B1827" s="31" t="str">
        <f>IF(_xll.TM1RPTELISCONSOLIDATED($H$20,$H1827),IF(_xll.TM1RPTELLEV($H$20,$H1827)&lt;=5,_xll.TM1RPTELLEV($H$20,$H1827),"Default"),"Leaf")</f>
        <v>Leaf</v>
      </c>
      <c r="C1827" s="26" t="s">
        <v>19</v>
      </c>
      <c r="D1827" s="24" t="str">
        <f>_xll.DBRW("TM1-S1_DEV:}ElementAttributes_SP_SKU",$F1827,D$1)</f>
        <v>Primary</v>
      </c>
      <c r="E1827" s="24" t="str">
        <f>_xll.DBRW("TM1-S1_DEV:}ElementAttributes_SP_SKU",$F1827,E$1)</f>
        <v>SIDES</v>
      </c>
      <c r="F1827" s="26" t="s">
        <v>3125</v>
      </c>
      <c r="G1827" s="26" t="s">
        <v>1741</v>
      </c>
      <c r="H1827" s="26" t="s">
        <v>2676</v>
      </c>
      <c r="I1827" s="54">
        <f>_xll.DBRW($A$1,$F$14,$F$15,$C1827,$A$2,$F1827,$G1827,$H1827,I$1)</f>
        <v>61</v>
      </c>
      <c r="J1827" s="25">
        <f>_xll.DBRW($A$1,$F$14,$F$15,$C1827,$A$2,$F1827,$G1827,$H1827,J$19)</f>
        <v>44</v>
      </c>
    </row>
    <row r="1828" spans="1:10" s="23" customFormat="1" outlineLevel="1" thickBot="1" x14ac:dyDescent="0.3">
      <c r="A1828" s="44"/>
      <c r="B1828" s="31" t="str">
        <f>IF(_xll.TM1RPTELISCONSOLIDATED($H$20,$H1828),IF(_xll.TM1RPTELLEV($H$20,$H1828)&lt;=5,_xll.TM1RPTELLEV($H$20,$H1828),"Default"),"Leaf")</f>
        <v>Leaf</v>
      </c>
      <c r="C1828" s="26" t="s">
        <v>19</v>
      </c>
      <c r="D1828" s="24" t="str">
        <f>_xll.DBRW("TM1-S1_DEV:}ElementAttributes_SP_SKU",$F1828,D$1)</f>
        <v>Primary</v>
      </c>
      <c r="E1828" s="24" t="str">
        <f>_xll.DBRW("TM1-S1_DEV:}ElementAttributes_SP_SKU",$F1828,E$1)</f>
        <v>SIDES</v>
      </c>
      <c r="F1828" s="26" t="s">
        <v>3126</v>
      </c>
      <c r="G1828" s="26" t="s">
        <v>1742</v>
      </c>
      <c r="H1828" s="26" t="s">
        <v>2676</v>
      </c>
      <c r="I1828" s="54">
        <f>_xll.DBRW($A$1,$F$14,$F$15,$C1828,$A$2,$F1828,$G1828,$H1828,I$1)</f>
        <v>79</v>
      </c>
      <c r="J1828" s="25">
        <f>_xll.DBRW($A$1,$F$14,$F$15,$C1828,$A$2,$F1828,$G1828,$H1828,J$19)</f>
        <v>27</v>
      </c>
    </row>
    <row r="1829" spans="1:10" s="23" customFormat="1" outlineLevel="1" thickBot="1" x14ac:dyDescent="0.3">
      <c r="A1829" s="44"/>
      <c r="B1829" s="31" t="str">
        <f>IF(_xll.TM1RPTELISCONSOLIDATED($H$20,$H1829),IF(_xll.TM1RPTELLEV($H$20,$H1829)&lt;=5,_xll.TM1RPTELLEV($H$20,$H1829),"Default"),"Leaf")</f>
        <v>Leaf</v>
      </c>
      <c r="C1829" s="26" t="s">
        <v>19</v>
      </c>
      <c r="D1829" s="24" t="str">
        <f>_xll.DBRW("TM1-S1_DEV:}ElementAttributes_SP_SKU",$F1829,D$1)</f>
        <v>Primary</v>
      </c>
      <c r="E1829" s="24" t="str">
        <f>_xll.DBRW("TM1-S1_DEV:}ElementAttributes_SP_SKU",$F1829,E$1)</f>
        <v>SIDES</v>
      </c>
      <c r="F1829" s="26" t="s">
        <v>3127</v>
      </c>
      <c r="G1829" s="26" t="s">
        <v>1743</v>
      </c>
      <c r="H1829" s="26" t="s">
        <v>2676</v>
      </c>
      <c r="I1829" s="54">
        <f>_xll.DBRW($A$1,$F$14,$F$15,$C1829,$A$2,$F1829,$G1829,$H1829,I$1)</f>
        <v>105</v>
      </c>
      <c r="J1829" s="25">
        <f>_xll.DBRW($A$1,$F$14,$F$15,$C1829,$A$2,$F1829,$G1829,$H1829,J$19)</f>
        <v>59</v>
      </c>
    </row>
    <row r="1830" spans="1:10" s="23" customFormat="1" outlineLevel="1" thickBot="1" x14ac:dyDescent="0.3">
      <c r="A1830" s="44"/>
      <c r="B1830" s="31" t="str">
        <f>IF(_xll.TM1RPTELISCONSOLIDATED($H$20,$H1830),IF(_xll.TM1RPTELLEV($H$20,$H1830)&lt;=5,_xll.TM1RPTELLEV($H$20,$H1830),"Default"),"Leaf")</f>
        <v>Leaf</v>
      </c>
      <c r="C1830" s="26" t="s">
        <v>19</v>
      </c>
      <c r="D1830" s="24" t="str">
        <f>_xll.DBRW("TM1-S1_DEV:}ElementAttributes_SP_SKU",$F1830,D$1)</f>
        <v>Primary</v>
      </c>
      <c r="E1830" s="24" t="str">
        <f>_xll.DBRW("TM1-S1_DEV:}ElementAttributes_SP_SKU",$F1830,E$1)</f>
        <v>SIDES</v>
      </c>
      <c r="F1830" s="26" t="s">
        <v>3128</v>
      </c>
      <c r="G1830" s="26" t="s">
        <v>1744</v>
      </c>
      <c r="H1830" s="26" t="s">
        <v>2676</v>
      </c>
      <c r="I1830" s="54">
        <f>_xll.DBRW($A$1,$F$14,$F$15,$C1830,$A$2,$F1830,$G1830,$H1830,I$1)</f>
        <v>91</v>
      </c>
      <c r="J1830" s="25">
        <f>_xll.DBRW($A$1,$F$14,$F$15,$C1830,$A$2,$F1830,$G1830,$H1830,J$19)</f>
        <v>6</v>
      </c>
    </row>
    <row r="1831" spans="1:10" s="23" customFormat="1" outlineLevel="1" thickBot="1" x14ac:dyDescent="0.3">
      <c r="A1831" s="44"/>
      <c r="B1831" s="31" t="str">
        <f>IF(_xll.TM1RPTELISCONSOLIDATED($H$20,$H1831),IF(_xll.TM1RPTELLEV($H$20,$H1831)&lt;=5,_xll.TM1RPTELLEV($H$20,$H1831),"Default"),"Leaf")</f>
        <v>Leaf</v>
      </c>
      <c r="C1831" s="26" t="s">
        <v>19</v>
      </c>
      <c r="D1831" s="24" t="str">
        <f>_xll.DBRW("TM1-S1_DEV:}ElementAttributes_SP_SKU",$F1831,D$1)</f>
        <v>Primary</v>
      </c>
      <c r="E1831" s="24" t="str">
        <f>_xll.DBRW("TM1-S1_DEV:}ElementAttributes_SP_SKU",$F1831,E$1)</f>
        <v>SIDES</v>
      </c>
      <c r="F1831" s="26" t="s">
        <v>3129</v>
      </c>
      <c r="G1831" s="26" t="s">
        <v>1745</v>
      </c>
      <c r="H1831" s="26" t="s">
        <v>2676</v>
      </c>
      <c r="I1831" s="54">
        <f>_xll.DBRW($A$1,$F$14,$F$15,$C1831,$A$2,$F1831,$G1831,$H1831,I$1)</f>
        <v>118</v>
      </c>
      <c r="J1831" s="25">
        <f>_xll.DBRW($A$1,$F$14,$F$15,$C1831,$A$2,$F1831,$G1831,$H1831,J$19)</f>
        <v>85</v>
      </c>
    </row>
    <row r="1832" spans="1:10" s="23" customFormat="1" outlineLevel="1" thickBot="1" x14ac:dyDescent="0.3">
      <c r="A1832" s="44"/>
      <c r="B1832" s="31" t="str">
        <f>IF(_xll.TM1RPTELISCONSOLIDATED($H$20,$H1832),IF(_xll.TM1RPTELLEV($H$20,$H1832)&lt;=5,_xll.TM1RPTELLEV($H$20,$H1832),"Default"),"Leaf")</f>
        <v>Leaf</v>
      </c>
      <c r="C1832" s="26" t="s">
        <v>19</v>
      </c>
      <c r="D1832" s="24" t="str">
        <f>_xll.DBRW("TM1-S1_DEV:}ElementAttributes_SP_SKU",$F1832,D$1)</f>
        <v>Primary</v>
      </c>
      <c r="E1832" s="24" t="str">
        <f>_xll.DBRW("TM1-S1_DEV:}ElementAttributes_SP_SKU",$F1832,E$1)</f>
        <v>SIDES</v>
      </c>
      <c r="F1832" s="26" t="s">
        <v>3130</v>
      </c>
      <c r="G1832" s="26" t="s">
        <v>1746</v>
      </c>
      <c r="H1832" s="26" t="s">
        <v>2676</v>
      </c>
      <c r="I1832" s="54">
        <f>_xll.DBRW($A$1,$F$14,$F$15,$C1832,$A$2,$F1832,$G1832,$H1832,I$1)</f>
        <v>85</v>
      </c>
      <c r="J1832" s="25">
        <f>_xll.DBRW($A$1,$F$14,$F$15,$C1832,$A$2,$F1832,$G1832,$H1832,J$19)</f>
        <v>78</v>
      </c>
    </row>
    <row r="1833" spans="1:10" s="23" customFormat="1" outlineLevel="1" thickBot="1" x14ac:dyDescent="0.3">
      <c r="A1833" s="44"/>
      <c r="B1833" s="31" t="str">
        <f>IF(_xll.TM1RPTELISCONSOLIDATED($H$20,$H1833),IF(_xll.TM1RPTELLEV($H$20,$H1833)&lt;=5,_xll.TM1RPTELLEV($H$20,$H1833),"Default"),"Leaf")</f>
        <v>Leaf</v>
      </c>
      <c r="C1833" s="26" t="s">
        <v>19</v>
      </c>
      <c r="D1833" s="24" t="str">
        <f>_xll.DBRW("TM1-S1_DEV:}ElementAttributes_SP_SKU",$F1833,D$1)</f>
        <v>Primary</v>
      </c>
      <c r="E1833" s="24" t="str">
        <f>_xll.DBRW("TM1-S1_DEV:}ElementAttributes_SP_SKU",$F1833,E$1)</f>
        <v>SIDES</v>
      </c>
      <c r="F1833" s="26" t="s">
        <v>3131</v>
      </c>
      <c r="G1833" s="26" t="s">
        <v>1747</v>
      </c>
      <c r="H1833" s="26" t="s">
        <v>2676</v>
      </c>
      <c r="I1833" s="54">
        <f>_xll.DBRW($A$1,$F$14,$F$15,$C1833,$A$2,$F1833,$G1833,$H1833,I$1)</f>
        <v>88</v>
      </c>
      <c r="J1833" s="25">
        <f>_xll.DBRW($A$1,$F$14,$F$15,$C1833,$A$2,$F1833,$G1833,$H1833,J$19)</f>
        <v>68</v>
      </c>
    </row>
    <row r="1834" spans="1:10" s="23" customFormat="1" outlineLevel="1" thickBot="1" x14ac:dyDescent="0.3">
      <c r="A1834" s="44"/>
      <c r="B1834" s="31" t="str">
        <f>IF(_xll.TM1RPTELISCONSOLIDATED($H$20,$H1834),IF(_xll.TM1RPTELLEV($H$20,$H1834)&lt;=5,_xll.TM1RPTELLEV($H$20,$H1834),"Default"),"Leaf")</f>
        <v>Leaf</v>
      </c>
      <c r="C1834" s="26" t="s">
        <v>19</v>
      </c>
      <c r="D1834" s="24" t="str">
        <f>_xll.DBRW("TM1-S1_DEV:}ElementAttributes_SP_SKU",$F1834,D$1)</f>
        <v>Primary</v>
      </c>
      <c r="E1834" s="24" t="str">
        <f>_xll.DBRW("TM1-S1_DEV:}ElementAttributes_SP_SKU",$F1834,E$1)</f>
        <v>SIDES</v>
      </c>
      <c r="F1834" s="26" t="s">
        <v>3132</v>
      </c>
      <c r="G1834" s="26" t="s">
        <v>1748</v>
      </c>
      <c r="H1834" s="26" t="s">
        <v>2676</v>
      </c>
      <c r="I1834" s="54">
        <f>_xll.DBRW($A$1,$F$14,$F$15,$C1834,$A$2,$F1834,$G1834,$H1834,I$1)</f>
        <v>124</v>
      </c>
      <c r="J1834" s="25">
        <f>_xll.DBRW($A$1,$F$14,$F$15,$C1834,$A$2,$F1834,$G1834,$H1834,J$19)</f>
        <v>51</v>
      </c>
    </row>
    <row r="1835" spans="1:10" s="23" customFormat="1" outlineLevel="1" thickBot="1" x14ac:dyDescent="0.3">
      <c r="A1835" s="44"/>
      <c r="B1835" s="31" t="str">
        <f>IF(_xll.TM1RPTELISCONSOLIDATED($H$20,$H1835),IF(_xll.TM1RPTELLEV($H$20,$H1835)&lt;=5,_xll.TM1RPTELLEV($H$20,$H1835),"Default"),"Leaf")</f>
        <v>Leaf</v>
      </c>
      <c r="C1835" s="26" t="s">
        <v>19</v>
      </c>
      <c r="D1835" s="24" t="str">
        <f>_xll.DBRW("TM1-S1_DEV:}ElementAttributes_SP_SKU",$F1835,D$1)</f>
        <v>Primary</v>
      </c>
      <c r="E1835" s="24" t="str">
        <f>_xll.DBRW("TM1-S1_DEV:}ElementAttributes_SP_SKU",$F1835,E$1)</f>
        <v>DESSERT</v>
      </c>
      <c r="F1835" s="26" t="s">
        <v>29</v>
      </c>
      <c r="G1835" s="26" t="s">
        <v>1749</v>
      </c>
      <c r="H1835" s="26" t="s">
        <v>2677</v>
      </c>
      <c r="I1835" s="54">
        <f>_xll.DBRW($A$1,$F$14,$F$15,$C1835,$A$2,$F1835,$G1835,$H1835,I$1)</f>
        <v>12</v>
      </c>
      <c r="J1835" s="25">
        <f>_xll.DBRW($A$1,$F$14,$F$15,$C1835,$A$2,$F1835,$G1835,$H1835,J$19)</f>
        <v>12</v>
      </c>
    </row>
    <row r="1836" spans="1:10" s="23" customFormat="1" outlineLevel="1" thickBot="1" x14ac:dyDescent="0.3">
      <c r="A1836" s="44"/>
      <c r="B1836" s="31" t="str">
        <f>IF(_xll.TM1RPTELISCONSOLIDATED($H$20,$H1836),IF(_xll.TM1RPTELLEV($H$20,$H1836)&lt;=5,_xll.TM1RPTELLEV($H$20,$H1836),"Default"),"Leaf")</f>
        <v>Leaf</v>
      </c>
      <c r="C1836" s="26" t="s">
        <v>19</v>
      </c>
      <c r="D1836" s="24" t="str">
        <f>_xll.DBRW("TM1-S1_DEV:}ElementAttributes_SP_SKU",$F1836,D$1)</f>
        <v>Primary</v>
      </c>
      <c r="E1836" s="24" t="str">
        <f>_xll.DBRW("TM1-S1_DEV:}ElementAttributes_SP_SKU",$F1836,E$1)</f>
        <v>PIE</v>
      </c>
      <c r="F1836" s="26" t="s">
        <v>3133</v>
      </c>
      <c r="G1836" s="26" t="s">
        <v>1750</v>
      </c>
      <c r="H1836" s="26" t="s">
        <v>2678</v>
      </c>
      <c r="I1836" s="54">
        <f>_xll.DBRW($A$1,$F$14,$F$15,$C1836,$A$2,$F1836,$G1836,$H1836,I$1)</f>
        <v>1</v>
      </c>
      <c r="J1836" s="25">
        <f>_xll.DBRW($A$1,$F$14,$F$15,$C1836,$A$2,$F1836,$G1836,$H1836,J$19)</f>
        <v>19</v>
      </c>
    </row>
    <row r="1837" spans="1:10" s="23" customFormat="1" outlineLevel="1" thickBot="1" x14ac:dyDescent="0.3">
      <c r="A1837" s="44"/>
      <c r="B1837" s="31" t="str">
        <f>IF(_xll.TM1RPTELISCONSOLIDATED($H$20,$H1837),IF(_xll.TM1RPTELLEV($H$20,$H1837)&lt;=5,_xll.TM1RPTELLEV($H$20,$H1837),"Default"),"Leaf")</f>
        <v>Leaf</v>
      </c>
      <c r="C1837" s="26" t="s">
        <v>19</v>
      </c>
      <c r="D1837" s="24" t="str">
        <f>_xll.DBRW("TM1-S1_DEV:}ElementAttributes_SP_SKU",$F1837,D$1)</f>
        <v>Primary</v>
      </c>
      <c r="E1837" s="24" t="str">
        <f>_xll.DBRW("TM1-S1_DEV:}ElementAttributes_SP_SKU",$F1837,E$1)</f>
        <v>PIE</v>
      </c>
      <c r="F1837" s="26" t="s">
        <v>3134</v>
      </c>
      <c r="G1837" s="26" t="s">
        <v>1751</v>
      </c>
      <c r="H1837" s="26" t="s">
        <v>2678</v>
      </c>
      <c r="I1837" s="54">
        <f>_xll.DBRW($A$1,$F$14,$F$15,$C1837,$A$2,$F1837,$G1837,$H1837,I$1)</f>
        <v>35</v>
      </c>
      <c r="J1837" s="25">
        <f>_xll.DBRW($A$1,$F$14,$F$15,$C1837,$A$2,$F1837,$G1837,$H1837,J$19)</f>
        <v>28</v>
      </c>
    </row>
    <row r="1838" spans="1:10" s="23" customFormat="1" outlineLevel="1" thickBot="1" x14ac:dyDescent="0.3">
      <c r="A1838" s="44"/>
      <c r="B1838" s="31" t="str">
        <f>IF(_xll.TM1RPTELISCONSOLIDATED($H$20,$H1838),IF(_xll.TM1RPTELLEV($H$20,$H1838)&lt;=5,_xll.TM1RPTELLEV($H$20,$H1838),"Default"),"Leaf")</f>
        <v>Leaf</v>
      </c>
      <c r="C1838" s="26" t="s">
        <v>19</v>
      </c>
      <c r="D1838" s="24" t="str">
        <f>_xll.DBRW("TM1-S1_DEV:}ElementAttributes_SP_SKU",$F1838,D$1)</f>
        <v>Primary</v>
      </c>
      <c r="E1838" s="24" t="str">
        <f>_xll.DBRW("TM1-S1_DEV:}ElementAttributes_SP_SKU",$F1838,E$1)</f>
        <v>CAKE</v>
      </c>
      <c r="F1838" s="26" t="s">
        <v>3135</v>
      </c>
      <c r="G1838" s="26" t="s">
        <v>1752</v>
      </c>
      <c r="H1838" s="26" t="s">
        <v>2679</v>
      </c>
      <c r="I1838" s="54">
        <f>_xll.DBRW($A$1,$F$14,$F$15,$C1838,$A$2,$F1838,$G1838,$H1838,I$1)</f>
        <v>41</v>
      </c>
      <c r="J1838" s="25">
        <f>_xll.DBRW($A$1,$F$14,$F$15,$C1838,$A$2,$F1838,$G1838,$H1838,J$19)</f>
        <v>19</v>
      </c>
    </row>
    <row r="1839" spans="1:10" s="23" customFormat="1" outlineLevel="1" thickBot="1" x14ac:dyDescent="0.3">
      <c r="A1839" s="44"/>
      <c r="B1839" s="31" t="str">
        <f>IF(_xll.TM1RPTELISCONSOLIDATED($H$20,$H1839),IF(_xll.TM1RPTELLEV($H$20,$H1839)&lt;=5,_xll.TM1RPTELLEV($H$20,$H1839),"Default"),"Leaf")</f>
        <v>Leaf</v>
      </c>
      <c r="C1839" s="26" t="s">
        <v>19</v>
      </c>
      <c r="D1839" s="24" t="str">
        <f>_xll.DBRW("TM1-S1_DEV:}ElementAttributes_SP_SKU",$F1839,D$1)</f>
        <v>Primary</v>
      </c>
      <c r="E1839" s="24" t="str">
        <f>_xll.DBRW("TM1-S1_DEV:}ElementAttributes_SP_SKU",$F1839,E$1)</f>
        <v>CAKE</v>
      </c>
      <c r="F1839" s="26" t="s">
        <v>3136</v>
      </c>
      <c r="G1839" s="26" t="s">
        <v>1753</v>
      </c>
      <c r="H1839" s="26" t="s">
        <v>2679</v>
      </c>
      <c r="I1839" s="54">
        <f>_xll.DBRW($A$1,$F$14,$F$15,$C1839,$A$2,$F1839,$G1839,$H1839,I$1)</f>
        <v>24</v>
      </c>
      <c r="J1839" s="25">
        <f>_xll.DBRW($A$1,$F$14,$F$15,$C1839,$A$2,$F1839,$G1839,$H1839,J$19)</f>
        <v>37</v>
      </c>
    </row>
    <row r="1840" spans="1:10" s="23" customFormat="1" outlineLevel="1" thickBot="1" x14ac:dyDescent="0.3">
      <c r="A1840" s="44"/>
      <c r="B1840" s="31" t="str">
        <f>IF(_xll.TM1RPTELISCONSOLIDATED($H$20,$H1840),IF(_xll.TM1RPTELLEV($H$20,$H1840)&lt;=5,_xll.TM1RPTELLEV($H$20,$H1840),"Default"),"Leaf")</f>
        <v>Leaf</v>
      </c>
      <c r="C1840" s="26" t="s">
        <v>19</v>
      </c>
      <c r="D1840" s="24" t="str">
        <f>_xll.DBRW("TM1-S1_DEV:}ElementAttributes_SP_SKU",$F1840,D$1)</f>
        <v>Primary</v>
      </c>
      <c r="E1840" s="24" t="str">
        <f>_xll.DBRW("TM1-S1_DEV:}ElementAttributes_SP_SKU",$F1840,E$1)</f>
        <v>CAKE</v>
      </c>
      <c r="F1840" s="26" t="s">
        <v>3137</v>
      </c>
      <c r="G1840" s="26" t="s">
        <v>1754</v>
      </c>
      <c r="H1840" s="26" t="s">
        <v>2679</v>
      </c>
      <c r="I1840" s="54">
        <f>_xll.DBRW($A$1,$F$14,$F$15,$C1840,$A$2,$F1840,$G1840,$H1840,I$1)</f>
        <v>25</v>
      </c>
      <c r="J1840" s="25">
        <f>_xll.DBRW($A$1,$F$14,$F$15,$C1840,$A$2,$F1840,$G1840,$H1840,J$19)</f>
        <v>11</v>
      </c>
    </row>
    <row r="1841" spans="1:10" s="23" customFormat="1" outlineLevel="1" thickBot="1" x14ac:dyDescent="0.3">
      <c r="A1841" s="44"/>
      <c r="B1841" s="31" t="str">
        <f>IF(_xll.TM1RPTELISCONSOLIDATED($H$20,$H1841),IF(_xll.TM1RPTELLEV($H$20,$H1841)&lt;=5,_xll.TM1RPTELLEV($H$20,$H1841),"Default"),"Leaf")</f>
        <v>Leaf</v>
      </c>
      <c r="C1841" s="26" t="s">
        <v>19</v>
      </c>
      <c r="D1841" s="24" t="str">
        <f>_xll.DBRW("TM1-S1_DEV:}ElementAttributes_SP_SKU",$F1841,D$1)</f>
        <v>Primary</v>
      </c>
      <c r="E1841" s="24" t="str">
        <f>_xll.DBRW("TM1-S1_DEV:}ElementAttributes_SP_SKU",$F1841,E$1)</f>
        <v>CAKE</v>
      </c>
      <c r="F1841" s="26" t="s">
        <v>3138</v>
      </c>
      <c r="G1841" s="26" t="s">
        <v>1755</v>
      </c>
      <c r="H1841" s="26" t="s">
        <v>2680</v>
      </c>
      <c r="I1841" s="54">
        <f>_xll.DBRW($A$1,$F$14,$F$15,$C1841,$A$2,$F1841,$G1841,$H1841,I$1)</f>
        <v>7</v>
      </c>
      <c r="J1841" s="25">
        <f>_xll.DBRW($A$1,$F$14,$F$15,$C1841,$A$2,$F1841,$G1841,$H1841,J$19)</f>
        <v>4</v>
      </c>
    </row>
    <row r="1842" spans="1:10" s="23" customFormat="1" outlineLevel="1" thickBot="1" x14ac:dyDescent="0.3">
      <c r="A1842" s="44"/>
      <c r="B1842" s="31" t="str">
        <f>IF(_xll.TM1RPTELISCONSOLIDATED($H$20,$H1842),IF(_xll.TM1RPTELLEV($H$20,$H1842)&lt;=5,_xll.TM1RPTELLEV($H$20,$H1842),"Default"),"Leaf")</f>
        <v>Leaf</v>
      </c>
      <c r="C1842" s="26" t="s">
        <v>19</v>
      </c>
      <c r="D1842" s="24" t="str">
        <f>_xll.DBRW("TM1-S1_DEV:}ElementAttributes_SP_SKU",$F1842,D$1)</f>
        <v>Primary</v>
      </c>
      <c r="E1842" s="24" t="str">
        <f>_xll.DBRW("TM1-S1_DEV:}ElementAttributes_SP_SKU",$F1842,E$1)</f>
        <v>DESSERT</v>
      </c>
      <c r="F1842" s="26" t="s">
        <v>3139</v>
      </c>
      <c r="G1842" s="26" t="s">
        <v>1756</v>
      </c>
      <c r="H1842" s="26" t="s">
        <v>2681</v>
      </c>
      <c r="I1842" s="54">
        <f>_xll.DBRW($A$1,$F$14,$F$15,$C1842,$A$2,$F1842,$G1842,$H1842,I$1)</f>
        <v>30</v>
      </c>
      <c r="J1842" s="25">
        <f>_xll.DBRW($A$1,$F$14,$F$15,$C1842,$A$2,$F1842,$G1842,$H1842,J$19)</f>
        <v>29</v>
      </c>
    </row>
    <row r="1843" spans="1:10" s="23" customFormat="1" outlineLevel="1" thickBot="1" x14ac:dyDescent="0.3">
      <c r="A1843" s="44"/>
      <c r="B1843" s="31" t="str">
        <f>IF(_xll.TM1RPTELISCONSOLIDATED($H$20,$H1843),IF(_xll.TM1RPTELLEV($H$20,$H1843)&lt;=5,_xll.TM1RPTELLEV($H$20,$H1843),"Default"),"Leaf")</f>
        <v>Leaf</v>
      </c>
      <c r="C1843" s="26" t="s">
        <v>19</v>
      </c>
      <c r="D1843" s="24" t="str">
        <f>_xll.DBRW("TM1-S1_DEV:}ElementAttributes_SP_SKU",$F1843,D$1)</f>
        <v>Primary</v>
      </c>
      <c r="E1843" s="24" t="str">
        <f>_xll.DBRW("TM1-S1_DEV:}ElementAttributes_SP_SKU",$F1843,E$1)</f>
        <v>DESSERT</v>
      </c>
      <c r="F1843" s="26" t="s">
        <v>3140</v>
      </c>
      <c r="G1843" s="26" t="s">
        <v>1757</v>
      </c>
      <c r="H1843" s="26" t="s">
        <v>2681</v>
      </c>
      <c r="I1843" s="54">
        <f>_xll.DBRW($A$1,$F$14,$F$15,$C1843,$A$2,$F1843,$G1843,$H1843,I$1)</f>
        <v>30</v>
      </c>
      <c r="J1843" s="25">
        <f>_xll.DBRW($A$1,$F$14,$F$15,$C1843,$A$2,$F1843,$G1843,$H1843,J$19)</f>
        <v>38</v>
      </c>
    </row>
    <row r="1844" spans="1:10" s="23" customFormat="1" outlineLevel="1" thickBot="1" x14ac:dyDescent="0.3">
      <c r="A1844" s="44"/>
      <c r="B1844" s="31" t="str">
        <f>IF(_xll.TM1RPTELISCONSOLIDATED($H$20,$H1844),IF(_xll.TM1RPTELLEV($H$20,$H1844)&lt;=5,_xll.TM1RPTELLEV($H$20,$H1844),"Default"),"Leaf")</f>
        <v>Leaf</v>
      </c>
      <c r="C1844" s="26" t="s">
        <v>19</v>
      </c>
      <c r="D1844" s="24" t="str">
        <f>_xll.DBRW("TM1-S1_DEV:}ElementAttributes_SP_SKU",$F1844,D$1)</f>
        <v>Primary</v>
      </c>
      <c r="E1844" s="24" t="str">
        <f>_xll.DBRW("TM1-S1_DEV:}ElementAttributes_SP_SKU",$F1844,E$1)</f>
        <v>PIE</v>
      </c>
      <c r="F1844" s="26" t="s">
        <v>3141</v>
      </c>
      <c r="G1844" s="26" t="s">
        <v>1758</v>
      </c>
      <c r="H1844" s="26" t="s">
        <v>2678</v>
      </c>
      <c r="I1844" s="54">
        <f>_xll.DBRW($A$1,$F$14,$F$15,$C1844,$A$2,$F1844,$G1844,$H1844,I$1)</f>
        <v>1</v>
      </c>
      <c r="J1844" s="25">
        <f>_xll.DBRW($A$1,$F$14,$F$15,$C1844,$A$2,$F1844,$G1844,$H1844,J$19)</f>
        <v>1</v>
      </c>
    </row>
    <row r="1845" spans="1:10" s="23" customFormat="1" outlineLevel="1" thickBot="1" x14ac:dyDescent="0.3">
      <c r="A1845" s="44"/>
      <c r="B1845" s="31" t="str">
        <f>IF(_xll.TM1RPTELISCONSOLIDATED($H$20,$H1845),IF(_xll.TM1RPTELLEV($H$20,$H1845)&lt;=5,_xll.TM1RPTELLEV($H$20,$H1845),"Default"),"Leaf")</f>
        <v>Leaf</v>
      </c>
      <c r="C1845" s="26" t="s">
        <v>19</v>
      </c>
      <c r="D1845" s="24" t="str">
        <f>_xll.DBRW("TM1-S1_DEV:}ElementAttributes_SP_SKU",$F1845,D$1)</f>
        <v>Primary</v>
      </c>
      <c r="E1845" s="24" t="str">
        <f>_xll.DBRW("TM1-S1_DEV:}ElementAttributes_SP_SKU",$F1845,E$1)</f>
        <v>CAKE</v>
      </c>
      <c r="F1845" s="26" t="s">
        <v>3142</v>
      </c>
      <c r="G1845" s="26" t="s">
        <v>1759</v>
      </c>
      <c r="H1845" s="26" t="s">
        <v>2682</v>
      </c>
      <c r="I1845" s="54">
        <f>_xll.DBRW($A$1,$F$14,$F$15,$C1845,$A$2,$F1845,$G1845,$H1845,I$1)</f>
        <v>18</v>
      </c>
      <c r="J1845" s="25">
        <f>_xll.DBRW($A$1,$F$14,$F$15,$C1845,$A$2,$F1845,$G1845,$H1845,J$19)</f>
        <v>30</v>
      </c>
    </row>
    <row r="1846" spans="1:10" s="23" customFormat="1" outlineLevel="1" thickBot="1" x14ac:dyDescent="0.3">
      <c r="A1846" s="44"/>
      <c r="B1846" s="31" t="str">
        <f>IF(_xll.TM1RPTELISCONSOLIDATED($H$20,$H1846),IF(_xll.TM1RPTELLEV($H$20,$H1846)&lt;=5,_xll.TM1RPTELLEV($H$20,$H1846),"Default"),"Leaf")</f>
        <v>Leaf</v>
      </c>
      <c r="C1846" s="26" t="s">
        <v>19</v>
      </c>
      <c r="D1846" s="24" t="str">
        <f>_xll.DBRW("TM1-S1_DEV:}ElementAttributes_SP_SKU",$F1846,D$1)</f>
        <v>Primary</v>
      </c>
      <c r="E1846" s="24" t="str">
        <f>_xll.DBRW("TM1-S1_DEV:}ElementAttributes_SP_SKU",$F1846,E$1)</f>
        <v>CAKE</v>
      </c>
      <c r="F1846" s="26" t="s">
        <v>3143</v>
      </c>
      <c r="G1846" s="26" t="s">
        <v>1760</v>
      </c>
      <c r="H1846" s="26" t="s">
        <v>2682</v>
      </c>
      <c r="I1846" s="54">
        <f>_xll.DBRW($A$1,$F$14,$F$15,$C1846,$A$2,$F1846,$G1846,$H1846,I$1)</f>
        <v>20</v>
      </c>
      <c r="J1846" s="25">
        <f>_xll.DBRW($A$1,$F$14,$F$15,$C1846,$A$2,$F1846,$G1846,$H1846,J$19)</f>
        <v>14</v>
      </c>
    </row>
    <row r="1847" spans="1:10" s="23" customFormat="1" outlineLevel="1" thickBot="1" x14ac:dyDescent="0.3">
      <c r="A1847" s="44"/>
      <c r="B1847" s="31" t="str">
        <f>IF(_xll.TM1RPTELISCONSOLIDATED($H$20,$H1847),IF(_xll.TM1RPTELLEV($H$20,$H1847)&lt;=5,_xll.TM1RPTELLEV($H$20,$H1847),"Default"),"Leaf")</f>
        <v>Leaf</v>
      </c>
      <c r="C1847" s="26" t="s">
        <v>19</v>
      </c>
      <c r="D1847" s="24" t="str">
        <f>_xll.DBRW("TM1-S1_DEV:}ElementAttributes_SP_SKU",$F1847,D$1)</f>
        <v>Primary</v>
      </c>
      <c r="E1847" s="24" t="str">
        <f>_xll.DBRW("TM1-S1_DEV:}ElementAttributes_SP_SKU",$F1847,E$1)</f>
        <v>CAKE</v>
      </c>
      <c r="F1847" s="26" t="s">
        <v>3145</v>
      </c>
      <c r="G1847" s="26" t="s">
        <v>1761</v>
      </c>
      <c r="H1847" s="26" t="s">
        <v>2680</v>
      </c>
      <c r="I1847" s="54">
        <f>_xll.DBRW($A$1,$F$14,$F$15,$C1847,$A$2,$F1847,$G1847,$H1847,I$1)</f>
        <v>5</v>
      </c>
      <c r="J1847" s="25">
        <f>_xll.DBRW($A$1,$F$14,$F$15,$C1847,$A$2,$F1847,$G1847,$H1847,J$19)</f>
        <v>4</v>
      </c>
    </row>
    <row r="1848" spans="1:10" s="23" customFormat="1" outlineLevel="1" thickBot="1" x14ac:dyDescent="0.3">
      <c r="A1848" s="44"/>
      <c r="B1848" s="31" t="str">
        <f>IF(_xll.TM1RPTELISCONSOLIDATED($H$20,$H1848),IF(_xll.TM1RPTELLEV($H$20,$H1848)&lt;=5,_xll.TM1RPTELLEV($H$20,$H1848),"Default"),"Leaf")</f>
        <v>Leaf</v>
      </c>
      <c r="C1848" s="26" t="s">
        <v>19</v>
      </c>
      <c r="D1848" s="24" t="str">
        <f>_xll.DBRW("TM1-S1_DEV:}ElementAttributes_SP_SKU",$F1848,D$1)</f>
        <v>Primary</v>
      </c>
      <c r="E1848" s="24" t="str">
        <f>_xll.DBRW("TM1-S1_DEV:}ElementAttributes_SP_SKU",$F1848,E$1)</f>
        <v>CAKE</v>
      </c>
      <c r="F1848" s="26" t="s">
        <v>3146</v>
      </c>
      <c r="G1848" s="26" t="s">
        <v>1762</v>
      </c>
      <c r="H1848" s="26" t="s">
        <v>2680</v>
      </c>
      <c r="I1848" s="54">
        <f>_xll.DBRW($A$1,$F$14,$F$15,$C1848,$A$2,$F1848,$G1848,$H1848,I$1)</f>
        <v>53</v>
      </c>
      <c r="J1848" s="25">
        <f>_xll.DBRW($A$1,$F$14,$F$15,$C1848,$A$2,$F1848,$G1848,$H1848,J$19)</f>
        <v>50</v>
      </c>
    </row>
    <row r="1849" spans="1:10" s="23" customFormat="1" outlineLevel="1" thickBot="1" x14ac:dyDescent="0.3">
      <c r="A1849" s="44"/>
      <c r="B1849" s="31" t="str">
        <f>IF(_xll.TM1RPTELISCONSOLIDATED($H$20,$H1849),IF(_xll.TM1RPTELLEV($H$20,$H1849)&lt;=5,_xll.TM1RPTELLEV($H$20,$H1849),"Default"),"Leaf")</f>
        <v>Leaf</v>
      </c>
      <c r="C1849" s="26" t="s">
        <v>19</v>
      </c>
      <c r="D1849" s="24" t="str">
        <f>_xll.DBRW("TM1-S1_DEV:}ElementAttributes_SP_SKU",$F1849,D$1)</f>
        <v>Primary</v>
      </c>
      <c r="E1849" s="24" t="str">
        <f>_xll.DBRW("TM1-S1_DEV:}ElementAttributes_SP_SKU",$F1849,E$1)</f>
        <v>CONDIMENT</v>
      </c>
      <c r="F1849" s="26" t="s">
        <v>3147</v>
      </c>
      <c r="G1849" s="26" t="s">
        <v>1763</v>
      </c>
      <c r="H1849" s="26" t="s">
        <v>2683</v>
      </c>
      <c r="I1849" s="54">
        <f>_xll.DBRW($A$1,$F$14,$F$15,$C1849,$A$2,$F1849,$G1849,$H1849,I$1)</f>
        <v>10</v>
      </c>
      <c r="J1849" s="25">
        <f>_xll.DBRW($A$1,$F$14,$F$15,$C1849,$A$2,$F1849,$G1849,$H1849,J$19)</f>
        <v>8</v>
      </c>
    </row>
    <row r="1850" spans="1:10" s="23" customFormat="1" outlineLevel="1" thickBot="1" x14ac:dyDescent="0.3">
      <c r="A1850" s="44"/>
      <c r="B1850" s="31" t="str">
        <f>IF(_xll.TM1RPTELISCONSOLIDATED($H$20,$H1850),IF(_xll.TM1RPTELLEV($H$20,$H1850)&lt;=5,_xll.TM1RPTELLEV($H$20,$H1850),"Default"),"Leaf")</f>
        <v>Leaf</v>
      </c>
      <c r="C1850" s="26" t="s">
        <v>19</v>
      </c>
      <c r="D1850" s="24" t="str">
        <f>_xll.DBRW("TM1-S1_DEV:}ElementAttributes_SP_SKU",$F1850,D$1)</f>
        <v>Primary</v>
      </c>
      <c r="E1850" s="24" t="str">
        <f>_xll.DBRW("TM1-S1_DEV:}ElementAttributes_SP_SKU",$F1850,E$1)</f>
        <v>CONDIMENT</v>
      </c>
      <c r="F1850" s="26" t="s">
        <v>3148</v>
      </c>
      <c r="G1850" s="26" t="s">
        <v>1764</v>
      </c>
      <c r="H1850" s="26" t="s">
        <v>2684</v>
      </c>
      <c r="I1850" s="54">
        <f>_xll.DBRW($A$1,$F$14,$F$15,$C1850,$A$2,$F1850,$G1850,$H1850,I$1)</f>
        <v>12</v>
      </c>
      <c r="J1850" s="25">
        <f>_xll.DBRW($A$1,$F$14,$F$15,$C1850,$A$2,$F1850,$G1850,$H1850,J$19)</f>
        <v>34</v>
      </c>
    </row>
    <row r="1851" spans="1:10" s="23" customFormat="1" outlineLevel="1" thickBot="1" x14ac:dyDescent="0.3">
      <c r="A1851" s="44"/>
      <c r="B1851" s="31" t="str">
        <f>IF(_xll.TM1RPTELISCONSOLIDATED($H$20,$H1851),IF(_xll.TM1RPTELLEV($H$20,$H1851)&lt;=5,_xll.TM1RPTELLEV($H$20,$H1851),"Default"),"Leaf")</f>
        <v>Leaf</v>
      </c>
      <c r="C1851" s="26" t="s">
        <v>19</v>
      </c>
      <c r="D1851" s="24" t="str">
        <f>_xll.DBRW("TM1-S1_DEV:}ElementAttributes_SP_SKU",$F1851,D$1)</f>
        <v>Primary</v>
      </c>
      <c r="E1851" s="24" t="str">
        <f>_xll.DBRW("TM1-S1_DEV:}ElementAttributes_SP_SKU",$F1851,E$1)</f>
        <v>CONDIMENT</v>
      </c>
      <c r="F1851" s="26" t="s">
        <v>3149</v>
      </c>
      <c r="G1851" s="26" t="s">
        <v>1765</v>
      </c>
      <c r="H1851" s="26" t="s">
        <v>2684</v>
      </c>
      <c r="I1851" s="54">
        <f>_xll.DBRW($A$1,$F$14,$F$15,$C1851,$A$2,$F1851,$G1851,$H1851,I$1)</f>
        <v>15</v>
      </c>
      <c r="J1851" s="25">
        <f>_xll.DBRW($A$1,$F$14,$F$15,$C1851,$A$2,$F1851,$G1851,$H1851,J$19)</f>
        <v>33</v>
      </c>
    </row>
    <row r="1852" spans="1:10" s="23" customFormat="1" outlineLevel="1" thickBot="1" x14ac:dyDescent="0.3">
      <c r="A1852" s="44"/>
      <c r="B1852" s="31" t="str">
        <f>IF(_xll.TM1RPTELISCONSOLIDATED($H$20,$H1852),IF(_xll.TM1RPTELLEV($H$20,$H1852)&lt;=5,_xll.TM1RPTELLEV($H$20,$H1852),"Default"),"Leaf")</f>
        <v>Leaf</v>
      </c>
      <c r="C1852" s="26" t="s">
        <v>19</v>
      </c>
      <c r="D1852" s="24" t="str">
        <f>_xll.DBRW("TM1-S1_DEV:}ElementAttributes_SP_SKU",$F1852,D$1)</f>
        <v>Primary</v>
      </c>
      <c r="E1852" s="24" t="str">
        <f>_xll.DBRW("TM1-S1_DEV:}ElementAttributes_SP_SKU",$F1852,E$1)</f>
        <v>CONDIMENT</v>
      </c>
      <c r="F1852" s="26" t="s">
        <v>3150</v>
      </c>
      <c r="G1852" s="26" t="s">
        <v>1766</v>
      </c>
      <c r="H1852" s="26" t="s">
        <v>2684</v>
      </c>
      <c r="I1852" s="54">
        <f>_xll.DBRW($A$1,$F$14,$F$15,$C1852,$A$2,$F1852,$G1852,$H1852,I$1)</f>
        <v>24</v>
      </c>
      <c r="J1852" s="25">
        <f>_xll.DBRW($A$1,$F$14,$F$15,$C1852,$A$2,$F1852,$G1852,$H1852,J$19)</f>
        <v>38</v>
      </c>
    </row>
    <row r="1853" spans="1:10" s="23" customFormat="1" outlineLevel="1" thickBot="1" x14ac:dyDescent="0.3">
      <c r="A1853" s="44"/>
      <c r="B1853" s="31" t="str">
        <f>IF(_xll.TM1RPTELISCONSOLIDATED($H$20,$H1853),IF(_xll.TM1RPTELLEV($H$20,$H1853)&lt;=5,_xll.TM1RPTELLEV($H$20,$H1853),"Default"),"Leaf")</f>
        <v>Leaf</v>
      </c>
      <c r="C1853" s="26" t="s">
        <v>19</v>
      </c>
      <c r="D1853" s="24" t="str">
        <f>_xll.DBRW("TM1-S1_DEV:}ElementAttributes_SP_SKU",$F1853,D$1)</f>
        <v>Primary</v>
      </c>
      <c r="E1853" s="24" t="str">
        <f>_xll.DBRW("TM1-S1_DEV:}ElementAttributes_SP_SKU",$F1853,E$1)</f>
        <v>CONDIMENT</v>
      </c>
      <c r="F1853" s="26" t="s">
        <v>3151</v>
      </c>
      <c r="G1853" s="26" t="s">
        <v>1767</v>
      </c>
      <c r="H1853" s="26" t="s">
        <v>2684</v>
      </c>
      <c r="I1853" s="54">
        <f>_xll.DBRW($A$1,$F$14,$F$15,$C1853,$A$2,$F1853,$G1853,$H1853,I$1)</f>
        <v>11</v>
      </c>
      <c r="J1853" s="25">
        <f>_xll.DBRW($A$1,$F$14,$F$15,$C1853,$A$2,$F1853,$G1853,$H1853,J$19)</f>
        <v>31</v>
      </c>
    </row>
    <row r="1854" spans="1:10" s="23" customFormat="1" outlineLevel="1" thickBot="1" x14ac:dyDescent="0.3">
      <c r="A1854" s="44"/>
      <c r="B1854" s="31" t="str">
        <f>IF(_xll.TM1RPTELISCONSOLIDATED($H$20,$H1854),IF(_xll.TM1RPTELLEV($H$20,$H1854)&lt;=5,_xll.TM1RPTELLEV($H$20,$H1854),"Default"),"Leaf")</f>
        <v>Leaf</v>
      </c>
      <c r="C1854" s="26" t="s">
        <v>19</v>
      </c>
      <c r="D1854" s="24" t="str">
        <f>_xll.DBRW("TM1-S1_DEV:}ElementAttributes_SP_SKU",$F1854,D$1)</f>
        <v>Primary</v>
      </c>
      <c r="E1854" s="24" t="str">
        <f>_xll.DBRW("TM1-S1_DEV:}ElementAttributes_SP_SKU",$F1854,E$1)</f>
        <v>CONDIMENT</v>
      </c>
      <c r="F1854" s="26" t="s">
        <v>3152</v>
      </c>
      <c r="G1854" s="26" t="s">
        <v>1768</v>
      </c>
      <c r="H1854" s="26" t="s">
        <v>2684</v>
      </c>
      <c r="I1854" s="54">
        <f>_xll.DBRW($A$1,$F$14,$F$15,$C1854,$A$2,$F1854,$G1854,$H1854,I$1)</f>
        <v>18</v>
      </c>
      <c r="J1854" s="25">
        <f>_xll.DBRW($A$1,$F$14,$F$15,$C1854,$A$2,$F1854,$G1854,$H1854,J$19)</f>
        <v>24</v>
      </c>
    </row>
    <row r="1855" spans="1:10" s="23" customFormat="1" outlineLevel="1" thickBot="1" x14ac:dyDescent="0.3">
      <c r="A1855" s="44"/>
      <c r="B1855" s="31" t="str">
        <f>IF(_xll.TM1RPTELISCONSOLIDATED($H$20,$H1855),IF(_xll.TM1RPTELLEV($H$20,$H1855)&lt;=5,_xll.TM1RPTELLEV($H$20,$H1855),"Default"),"Leaf")</f>
        <v>Leaf</v>
      </c>
      <c r="C1855" s="26" t="s">
        <v>19</v>
      </c>
      <c r="D1855" s="24" t="str">
        <f>_xll.DBRW("TM1-S1_DEV:}ElementAttributes_SP_SKU",$F1855,D$1)</f>
        <v>Primary</v>
      </c>
      <c r="E1855" s="24" t="str">
        <f>_xll.DBRW("TM1-S1_DEV:}ElementAttributes_SP_SKU",$F1855,E$1)</f>
        <v>CONDIMENT</v>
      </c>
      <c r="F1855" s="26" t="s">
        <v>3153</v>
      </c>
      <c r="G1855" s="26" t="s">
        <v>1769</v>
      </c>
      <c r="H1855" s="26" t="s">
        <v>2684</v>
      </c>
      <c r="I1855" s="54">
        <f>_xll.DBRW($A$1,$F$14,$F$15,$C1855,$A$2,$F1855,$G1855,$H1855,I$1)</f>
        <v>9</v>
      </c>
      <c r="J1855" s="25">
        <f>_xll.DBRW($A$1,$F$14,$F$15,$C1855,$A$2,$F1855,$G1855,$H1855,J$19)</f>
        <v>31</v>
      </c>
    </row>
    <row r="1856" spans="1:10" s="23" customFormat="1" outlineLevel="1" thickBot="1" x14ac:dyDescent="0.3">
      <c r="A1856" s="44"/>
      <c r="B1856" s="31" t="str">
        <f>IF(_xll.TM1RPTELISCONSOLIDATED($H$20,$H1856),IF(_xll.TM1RPTELLEV($H$20,$H1856)&lt;=5,_xll.TM1RPTELLEV($H$20,$H1856),"Default"),"Leaf")</f>
        <v>Leaf</v>
      </c>
      <c r="C1856" s="26" t="s">
        <v>19</v>
      </c>
      <c r="D1856" s="24" t="str">
        <f>_xll.DBRW("TM1-S1_DEV:}ElementAttributes_SP_SKU",$F1856,D$1)</f>
        <v>Primary</v>
      </c>
      <c r="E1856" s="24" t="str">
        <f>_xll.DBRW("TM1-S1_DEV:}ElementAttributes_SP_SKU",$F1856,E$1)</f>
        <v>CONDIMENT</v>
      </c>
      <c r="F1856" s="26" t="s">
        <v>3154</v>
      </c>
      <c r="G1856" s="26" t="s">
        <v>1770</v>
      </c>
      <c r="H1856" s="26" t="s">
        <v>2684</v>
      </c>
      <c r="I1856" s="54">
        <f>_xll.DBRW($A$1,$F$14,$F$15,$C1856,$A$2,$F1856,$G1856,$H1856,I$1)</f>
        <v>25</v>
      </c>
      <c r="J1856" s="25">
        <f>_xll.DBRW($A$1,$F$14,$F$15,$C1856,$A$2,$F1856,$G1856,$H1856,J$19)</f>
        <v>86</v>
      </c>
    </row>
    <row r="1857" spans="1:10" s="23" customFormat="1" outlineLevel="1" thickBot="1" x14ac:dyDescent="0.3">
      <c r="A1857" s="44"/>
      <c r="B1857" s="31" t="str">
        <f>IF(_xll.TM1RPTELISCONSOLIDATED($H$20,$H1857),IF(_xll.TM1RPTELLEV($H$20,$H1857)&lt;=5,_xll.TM1RPTELLEV($H$20,$H1857),"Default"),"Leaf")</f>
        <v>Leaf</v>
      </c>
      <c r="C1857" s="26" t="s">
        <v>19</v>
      </c>
      <c r="D1857" s="24" t="str">
        <f>_xll.DBRW("TM1-S1_DEV:}ElementAttributes_SP_SKU",$F1857,D$1)</f>
        <v>Primary</v>
      </c>
      <c r="E1857" s="24" t="str">
        <f>_xll.DBRW("TM1-S1_DEV:}ElementAttributes_SP_SKU",$F1857,E$1)</f>
        <v>DRESSING</v>
      </c>
      <c r="F1857" s="26" t="s">
        <v>3156</v>
      </c>
      <c r="G1857" s="26" t="s">
        <v>1771</v>
      </c>
      <c r="H1857" s="26" t="s">
        <v>2685</v>
      </c>
      <c r="I1857" s="54">
        <f>_xll.DBRW($A$1,$F$14,$F$15,$C1857,$A$2,$F1857,$G1857,$H1857,I$1)</f>
        <v>7</v>
      </c>
      <c r="J1857" s="25">
        <f>_xll.DBRW($A$1,$F$14,$F$15,$C1857,$A$2,$F1857,$G1857,$H1857,J$19)</f>
        <v>17</v>
      </c>
    </row>
    <row r="1858" spans="1:10" s="23" customFormat="1" outlineLevel="1" thickBot="1" x14ac:dyDescent="0.3">
      <c r="A1858" s="44"/>
      <c r="B1858" s="31" t="str">
        <f>IF(_xll.TM1RPTELISCONSOLIDATED($H$20,$H1858),IF(_xll.TM1RPTELLEV($H$20,$H1858)&lt;=5,_xll.TM1RPTELLEV($H$20,$H1858),"Default"),"Leaf")</f>
        <v>Leaf</v>
      </c>
      <c r="C1858" s="26" t="s">
        <v>19</v>
      </c>
      <c r="D1858" s="24" t="str">
        <f>_xll.DBRW("TM1-S1_DEV:}ElementAttributes_SP_SKU",$F1858,D$1)</f>
        <v>Primary</v>
      </c>
      <c r="E1858" s="24" t="str">
        <f>_xll.DBRW("TM1-S1_DEV:}ElementAttributes_SP_SKU",$F1858,E$1)</f>
        <v>INGREDIENT</v>
      </c>
      <c r="F1858" s="26" t="s">
        <v>3273</v>
      </c>
      <c r="G1858" s="26" t="s">
        <v>1772</v>
      </c>
      <c r="H1858" s="26" t="s">
        <v>2684</v>
      </c>
      <c r="I1858" s="54">
        <f>_xll.DBRW($A$1,$F$14,$F$15,$C1858,$A$2,$F1858,$G1858,$H1858,I$1)</f>
        <v>72</v>
      </c>
      <c r="J1858" s="25">
        <f>_xll.DBRW($A$1,$F$14,$F$15,$C1858,$A$2,$F1858,$G1858,$H1858,J$19)</f>
        <v>72</v>
      </c>
    </row>
    <row r="1859" spans="1:10" s="23" customFormat="1" outlineLevel="1" thickBot="1" x14ac:dyDescent="0.3">
      <c r="A1859" s="44"/>
      <c r="B1859" s="31" t="str">
        <f>IF(_xll.TM1RPTELISCONSOLIDATED($H$20,$H1859),IF(_xll.TM1RPTELLEV($H$20,$H1859)&lt;=5,_xll.TM1RPTELLEV($H$20,$H1859),"Default"),"Leaf")</f>
        <v>Leaf</v>
      </c>
      <c r="C1859" s="26" t="s">
        <v>19</v>
      </c>
      <c r="D1859" s="24" t="str">
        <f>_xll.DBRW("TM1-S1_DEV:}ElementAttributes_SP_SKU",$F1859,D$1)</f>
        <v>Primary</v>
      </c>
      <c r="E1859" s="24" t="str">
        <f>_xll.DBRW("TM1-S1_DEV:}ElementAttributes_SP_SKU",$F1859,E$1)</f>
        <v>CONDIMENT</v>
      </c>
      <c r="F1859" s="26" t="s">
        <v>3162</v>
      </c>
      <c r="G1859" s="26" t="s">
        <v>1773</v>
      </c>
      <c r="H1859" s="26" t="s">
        <v>2686</v>
      </c>
      <c r="I1859" s="54">
        <f>_xll.DBRW($A$1,$F$14,$F$15,$C1859,$A$2,$F1859,$G1859,$H1859,I$1)</f>
        <v>7</v>
      </c>
      <c r="J1859" s="25">
        <f>_xll.DBRW($A$1,$F$14,$F$15,$C1859,$A$2,$F1859,$G1859,$H1859,J$19)</f>
        <v>7</v>
      </c>
    </row>
    <row r="1860" spans="1:10" s="23" customFormat="1" outlineLevel="1" thickBot="1" x14ac:dyDescent="0.3">
      <c r="A1860" s="44"/>
      <c r="B1860" s="31" t="str">
        <f>IF(_xll.TM1RPTELISCONSOLIDATED($H$20,$H1860),IF(_xll.TM1RPTELLEV($H$20,$H1860)&lt;=5,_xll.TM1RPTELLEV($H$20,$H1860),"Default"),"Leaf")</f>
        <v>Leaf</v>
      </c>
      <c r="C1860" s="26" t="s">
        <v>19</v>
      </c>
      <c r="D1860" s="24" t="str">
        <f>_xll.DBRW("TM1-S1_DEV:}ElementAttributes_SP_SKU",$F1860,D$1)</f>
        <v>Primary</v>
      </c>
      <c r="E1860" s="24" t="str">
        <f>_xll.DBRW("TM1-S1_DEV:}ElementAttributes_SP_SKU",$F1860,E$1)</f>
        <v>BREAD</v>
      </c>
      <c r="F1860" s="26" t="s">
        <v>3163</v>
      </c>
      <c r="G1860" s="26" t="s">
        <v>1774</v>
      </c>
      <c r="H1860" s="26" t="s">
        <v>2687</v>
      </c>
      <c r="I1860" s="54">
        <f>_xll.DBRW($A$1,$F$14,$F$15,$C1860,$A$2,$F1860,$G1860,$H1860,I$1)</f>
        <v>95</v>
      </c>
      <c r="J1860" s="25">
        <f>_xll.DBRW($A$1,$F$14,$F$15,$C1860,$A$2,$F1860,$G1860,$H1860,J$19)</f>
        <v>117</v>
      </c>
    </row>
    <row r="1861" spans="1:10" s="23" customFormat="1" outlineLevel="1" thickBot="1" x14ac:dyDescent="0.3">
      <c r="A1861" s="44"/>
      <c r="B1861" s="31" t="str">
        <f>IF(_xll.TM1RPTELISCONSOLIDATED($H$20,$H1861),IF(_xll.TM1RPTELLEV($H$20,$H1861)&lt;=5,_xll.TM1RPTELLEV($H$20,$H1861),"Default"),"Leaf")</f>
        <v>Leaf</v>
      </c>
      <c r="C1861" s="26" t="s">
        <v>19</v>
      </c>
      <c r="D1861" s="24" t="str">
        <f>_xll.DBRW("TM1-S1_DEV:}ElementAttributes_SP_SKU",$F1861,D$1)</f>
        <v>Primary</v>
      </c>
      <c r="E1861" s="24" t="str">
        <f>_xll.DBRW("TM1-S1_DEV:}ElementAttributes_SP_SKU",$F1861,E$1)</f>
        <v>BREAD</v>
      </c>
      <c r="F1861" s="26" t="s">
        <v>3164</v>
      </c>
      <c r="G1861" s="26" t="s">
        <v>1775</v>
      </c>
      <c r="H1861" s="26" t="s">
        <v>2687</v>
      </c>
      <c r="I1861" s="54">
        <f>_xll.DBRW($A$1,$F$14,$F$15,$C1861,$A$2,$F1861,$G1861,$H1861,I$1)</f>
        <v>26</v>
      </c>
      <c r="J1861" s="25">
        <f>_xll.DBRW($A$1,$F$14,$F$15,$C1861,$A$2,$F1861,$G1861,$H1861,J$19)</f>
        <v>65</v>
      </c>
    </row>
    <row r="1862" spans="1:10" s="23" customFormat="1" outlineLevel="1" thickBot="1" x14ac:dyDescent="0.3">
      <c r="A1862" s="44"/>
      <c r="B1862" s="31" t="str">
        <f>IF(_xll.TM1RPTELISCONSOLIDATED($H$20,$H1862),IF(_xll.TM1RPTELLEV($H$20,$H1862)&lt;=5,_xll.TM1RPTELLEV($H$20,$H1862),"Default"),"Leaf")</f>
        <v>Leaf</v>
      </c>
      <c r="C1862" s="26" t="s">
        <v>19</v>
      </c>
      <c r="D1862" s="24" t="str">
        <f>_xll.DBRW("TM1-S1_DEV:}ElementAttributes_SP_SKU",$F1862,D$1)</f>
        <v>Primary</v>
      </c>
      <c r="E1862" s="24" t="str">
        <f>_xll.DBRW("TM1-S1_DEV:}ElementAttributes_SP_SKU",$F1862,E$1)</f>
        <v>BREAD</v>
      </c>
      <c r="F1862" s="26" t="s">
        <v>3165</v>
      </c>
      <c r="G1862" s="26" t="s">
        <v>1776</v>
      </c>
      <c r="H1862" s="26" t="s">
        <v>2688</v>
      </c>
      <c r="I1862" s="54">
        <f>_xll.DBRW($A$1,$F$14,$F$15,$C1862,$A$2,$F1862,$G1862,$H1862,I$1)</f>
        <v>106</v>
      </c>
      <c r="J1862" s="25">
        <f>_xll.DBRW($A$1,$F$14,$F$15,$C1862,$A$2,$F1862,$G1862,$H1862,J$19)</f>
        <v>146</v>
      </c>
    </row>
    <row r="1863" spans="1:10" s="23" customFormat="1" outlineLevel="1" thickBot="1" x14ac:dyDescent="0.3">
      <c r="A1863" s="44"/>
      <c r="B1863" s="31" t="str">
        <f>IF(_xll.TM1RPTELISCONSOLIDATED($H$20,$H1863),IF(_xll.TM1RPTELLEV($H$20,$H1863)&lt;=5,_xll.TM1RPTELLEV($H$20,$H1863),"Default"),"Leaf")</f>
        <v>Leaf</v>
      </c>
      <c r="C1863" s="26" t="s">
        <v>19</v>
      </c>
      <c r="D1863" s="24" t="str">
        <f>_xll.DBRW("TM1-S1_DEV:}ElementAttributes_SP_SKU",$F1863,D$1)</f>
        <v>Primary</v>
      </c>
      <c r="E1863" s="24" t="str">
        <f>_xll.DBRW("TM1-S1_DEV:}ElementAttributes_SP_SKU",$F1863,E$1)</f>
        <v>BREAD</v>
      </c>
      <c r="F1863" s="26" t="s">
        <v>3166</v>
      </c>
      <c r="G1863" s="26" t="s">
        <v>1777</v>
      </c>
      <c r="H1863" s="26" t="s">
        <v>2689</v>
      </c>
      <c r="I1863" s="54">
        <f>_xll.DBRW($A$1,$F$14,$F$15,$C1863,$A$2,$F1863,$G1863,$H1863,I$1)</f>
        <v>68</v>
      </c>
      <c r="J1863" s="25">
        <f>_xll.DBRW($A$1,$F$14,$F$15,$C1863,$A$2,$F1863,$G1863,$H1863,J$19)</f>
        <v>96</v>
      </c>
    </row>
    <row r="1864" spans="1:10" s="23" customFormat="1" outlineLevel="1" thickBot="1" x14ac:dyDescent="0.3">
      <c r="A1864" s="44"/>
      <c r="B1864" s="31" t="str">
        <f>IF(_xll.TM1RPTELISCONSOLIDATED($H$20,$H1864),IF(_xll.TM1RPTELLEV($H$20,$H1864)&lt;=5,_xll.TM1RPTELLEV($H$20,$H1864),"Default"),"Leaf")</f>
        <v>Leaf</v>
      </c>
      <c r="C1864" s="26" t="s">
        <v>19</v>
      </c>
      <c r="D1864" s="24" t="str">
        <f>_xll.DBRW("TM1-S1_DEV:}ElementAttributes_SP_SKU",$F1864,D$1)</f>
        <v>Primary</v>
      </c>
      <c r="E1864" s="24" t="str">
        <f>_xll.DBRW("TM1-S1_DEV:}ElementAttributes_SP_SKU",$F1864,E$1)</f>
        <v>BREAD</v>
      </c>
      <c r="F1864" s="26" t="s">
        <v>3167</v>
      </c>
      <c r="G1864" s="26" t="s">
        <v>1778</v>
      </c>
      <c r="H1864" s="26" t="s">
        <v>2688</v>
      </c>
      <c r="I1864" s="54">
        <f>_xll.DBRW($A$1,$F$14,$F$15,$C1864,$A$2,$F1864,$G1864,$H1864,I$1)</f>
        <v>28</v>
      </c>
      <c r="J1864" s="25">
        <f>_xll.DBRW($A$1,$F$14,$F$15,$C1864,$A$2,$F1864,$G1864,$H1864,J$19)</f>
        <v>41</v>
      </c>
    </row>
    <row r="1865" spans="1:10" s="23" customFormat="1" outlineLevel="1" thickBot="1" x14ac:dyDescent="0.3">
      <c r="A1865" s="44"/>
      <c r="B1865" s="31" t="str">
        <f>IF(_xll.TM1RPTELISCONSOLIDATED($H$20,$H1865),IF(_xll.TM1RPTELLEV($H$20,$H1865)&lt;=5,_xll.TM1RPTELLEV($H$20,$H1865),"Default"),"Leaf")</f>
        <v>Leaf</v>
      </c>
      <c r="C1865" s="26" t="s">
        <v>19</v>
      </c>
      <c r="D1865" s="24" t="str">
        <f>_xll.DBRW("TM1-S1_DEV:}ElementAttributes_SP_SKU",$F1865,D$1)</f>
        <v>Primary</v>
      </c>
      <c r="E1865" s="24" t="str">
        <f>_xll.DBRW("TM1-S1_DEV:}ElementAttributes_SP_SKU",$F1865,E$1)</f>
        <v>BREAD</v>
      </c>
      <c r="F1865" s="26" t="s">
        <v>3168</v>
      </c>
      <c r="G1865" s="26" t="s">
        <v>1779</v>
      </c>
      <c r="H1865" s="26" t="s">
        <v>2688</v>
      </c>
      <c r="I1865" s="54">
        <f>_xll.DBRW($A$1,$F$14,$F$15,$C1865,$A$2,$F1865,$G1865,$H1865,I$1)</f>
        <v>41</v>
      </c>
      <c r="J1865" s="25">
        <f>_xll.DBRW($A$1,$F$14,$F$15,$C1865,$A$2,$F1865,$G1865,$H1865,J$19)</f>
        <v>34</v>
      </c>
    </row>
    <row r="1866" spans="1:10" s="23" customFormat="1" outlineLevel="1" thickBot="1" x14ac:dyDescent="0.3">
      <c r="A1866" s="44"/>
      <c r="B1866" s="31" t="str">
        <f>IF(_xll.TM1RPTELISCONSOLIDATED($H$20,$H1866),IF(_xll.TM1RPTELLEV($H$20,$H1866)&lt;=5,_xll.TM1RPTELLEV($H$20,$H1866),"Default"),"Leaf")</f>
        <v>Leaf</v>
      </c>
      <c r="C1866" s="26" t="s">
        <v>19</v>
      </c>
      <c r="D1866" s="24" t="str">
        <f>_xll.DBRW("TM1-S1_DEV:}ElementAttributes_SP_SKU",$F1866,D$1)</f>
        <v>Primary</v>
      </c>
      <c r="E1866" s="24" t="str">
        <f>_xll.DBRW("TM1-S1_DEV:}ElementAttributes_SP_SKU",$F1866,E$1)</f>
        <v>BREAD</v>
      </c>
      <c r="F1866" s="26" t="s">
        <v>3169</v>
      </c>
      <c r="G1866" s="26" t="s">
        <v>1780</v>
      </c>
      <c r="H1866" s="26" t="s">
        <v>2690</v>
      </c>
      <c r="I1866" s="54">
        <f>_xll.DBRW($A$1,$F$14,$F$15,$C1866,$A$2,$F1866,$G1866,$H1866,I$1)</f>
        <v>28</v>
      </c>
      <c r="J1866" s="25">
        <f>_xll.DBRW($A$1,$F$14,$F$15,$C1866,$A$2,$F1866,$G1866,$H1866,J$19)</f>
        <v>49</v>
      </c>
    </row>
    <row r="1867" spans="1:10" s="23" customFormat="1" outlineLevel="1" thickBot="1" x14ac:dyDescent="0.3">
      <c r="A1867" s="44"/>
      <c r="B1867" s="31" t="str">
        <f>IF(_xll.TM1RPTELISCONSOLIDATED($H$20,$H1867),IF(_xll.TM1RPTELLEV($H$20,$H1867)&lt;=5,_xll.TM1RPTELLEV($H$20,$H1867),"Default"),"Leaf")</f>
        <v>Leaf</v>
      </c>
      <c r="C1867" s="26" t="s">
        <v>19</v>
      </c>
      <c r="D1867" s="24" t="str">
        <f>_xll.DBRW("TM1-S1_DEV:}ElementAttributes_SP_SKU",$F1867,D$1)</f>
        <v>Primary</v>
      </c>
      <c r="E1867" s="24" t="str">
        <f>_xll.DBRW("TM1-S1_DEV:}ElementAttributes_SP_SKU",$F1867,E$1)</f>
        <v>BREAD</v>
      </c>
      <c r="F1867" s="26" t="s">
        <v>3170</v>
      </c>
      <c r="G1867" s="26" t="s">
        <v>1781</v>
      </c>
      <c r="H1867" s="26" t="s">
        <v>2690</v>
      </c>
      <c r="I1867" s="54">
        <f>_xll.DBRW($A$1,$F$14,$F$15,$C1867,$A$2,$F1867,$G1867,$H1867,I$1)</f>
        <v>12</v>
      </c>
      <c r="J1867" s="25">
        <f>_xll.DBRW($A$1,$F$14,$F$15,$C1867,$A$2,$F1867,$G1867,$H1867,J$19)</f>
        <v>11</v>
      </c>
    </row>
    <row r="1868" spans="1:10" s="23" customFormat="1" outlineLevel="1" thickBot="1" x14ac:dyDescent="0.3">
      <c r="A1868" s="44"/>
      <c r="B1868" s="31" t="str">
        <f>IF(_xll.TM1RPTELISCONSOLIDATED($H$20,$H1868),IF(_xll.TM1RPTELLEV($H$20,$H1868)&lt;=5,_xll.TM1RPTELLEV($H$20,$H1868),"Default"),"Leaf")</f>
        <v>Leaf</v>
      </c>
      <c r="C1868" s="26" t="s">
        <v>19</v>
      </c>
      <c r="D1868" s="24" t="str">
        <f>_xll.DBRW("TM1-S1_DEV:}ElementAttributes_SP_SKU",$F1868,D$1)</f>
        <v>Primary</v>
      </c>
      <c r="E1868" s="24" t="str">
        <f>_xll.DBRW("TM1-S1_DEV:}ElementAttributes_SP_SKU",$F1868,E$1)</f>
        <v>BREAD</v>
      </c>
      <c r="F1868" s="26" t="s">
        <v>3171</v>
      </c>
      <c r="G1868" s="26" t="s">
        <v>1782</v>
      </c>
      <c r="H1868" s="26" t="s">
        <v>2690</v>
      </c>
      <c r="I1868" s="54">
        <f>_xll.DBRW($A$1,$F$14,$F$15,$C1868,$A$2,$F1868,$G1868,$H1868,I$1)</f>
        <v>3</v>
      </c>
      <c r="J1868" s="25">
        <f>_xll.DBRW($A$1,$F$14,$F$15,$C1868,$A$2,$F1868,$G1868,$H1868,J$19)</f>
        <v>9</v>
      </c>
    </row>
    <row r="1869" spans="1:10" s="23" customFormat="1" outlineLevel="1" thickBot="1" x14ac:dyDescent="0.3">
      <c r="A1869" s="44"/>
      <c r="B1869" s="31" t="str">
        <f>IF(_xll.TM1RPTELISCONSOLIDATED($H$20,$H1869),IF(_xll.TM1RPTELLEV($H$20,$H1869)&lt;=5,_xll.TM1RPTELLEV($H$20,$H1869),"Default"),"Leaf")</f>
        <v>Leaf</v>
      </c>
      <c r="C1869" s="26" t="s">
        <v>19</v>
      </c>
      <c r="D1869" s="24" t="str">
        <f>_xll.DBRW("TM1-S1_DEV:}ElementAttributes_SP_SKU",$F1869,D$1)</f>
        <v>Primary</v>
      </c>
      <c r="E1869" s="24" t="str">
        <f>_xll.DBRW("TM1-S1_DEV:}ElementAttributes_SP_SKU",$F1869,E$1)</f>
        <v>BREAD</v>
      </c>
      <c r="F1869" s="26" t="s">
        <v>3172</v>
      </c>
      <c r="G1869" s="26" t="s">
        <v>1783</v>
      </c>
      <c r="H1869" s="26" t="s">
        <v>2690</v>
      </c>
      <c r="I1869" s="54">
        <f>_xll.DBRW($A$1,$F$14,$F$15,$C1869,$A$2,$F1869,$G1869,$H1869,I$1)</f>
        <v>13</v>
      </c>
      <c r="J1869" s="25">
        <f>_xll.DBRW($A$1,$F$14,$F$15,$C1869,$A$2,$F1869,$G1869,$H1869,J$19)</f>
        <v>8</v>
      </c>
    </row>
    <row r="1870" spans="1:10" s="23" customFormat="1" outlineLevel="1" thickBot="1" x14ac:dyDescent="0.3">
      <c r="A1870" s="44"/>
      <c r="B1870" s="31" t="str">
        <f>IF(_xll.TM1RPTELISCONSOLIDATED($H$20,$H1870),IF(_xll.TM1RPTELLEV($H$20,$H1870)&lt;=5,_xll.TM1RPTELLEV($H$20,$H1870),"Default"),"Leaf")</f>
        <v>Leaf</v>
      </c>
      <c r="C1870" s="26" t="s">
        <v>19</v>
      </c>
      <c r="D1870" s="24" t="str">
        <f>_xll.DBRW("TM1-S1_DEV:}ElementAttributes_SP_SKU",$F1870,D$1)</f>
        <v>Primary</v>
      </c>
      <c r="E1870" s="24" t="str">
        <f>_xll.DBRW("TM1-S1_DEV:}ElementAttributes_SP_SKU",$F1870,E$1)</f>
        <v>BREAD</v>
      </c>
      <c r="F1870" s="26" t="s">
        <v>3252</v>
      </c>
      <c r="G1870" s="26" t="s">
        <v>1784</v>
      </c>
      <c r="H1870" s="26" t="s">
        <v>2691</v>
      </c>
      <c r="I1870" s="54">
        <f>_xll.DBRW($A$1,$F$14,$F$15,$C1870,$A$2,$F1870,$G1870,$H1870,I$1)</f>
        <v>4</v>
      </c>
      <c r="J1870" s="25">
        <f>_xll.DBRW($A$1,$F$14,$F$15,$C1870,$A$2,$F1870,$G1870,$H1870,J$19)</f>
        <v>3</v>
      </c>
    </row>
    <row r="1871" spans="1:10" s="23" customFormat="1" outlineLevel="1" thickBot="1" x14ac:dyDescent="0.3">
      <c r="A1871" s="44"/>
      <c r="B1871" s="31" t="str">
        <f>IF(_xll.TM1RPTELISCONSOLIDATED($H$20,$H1871),IF(_xll.TM1RPTELLEV($H$20,$H1871)&lt;=5,_xll.TM1RPTELLEV($H$20,$H1871),"Default"),"Leaf")</f>
        <v>Leaf</v>
      </c>
      <c r="C1871" s="26" t="s">
        <v>19</v>
      </c>
      <c r="D1871" s="24" t="str">
        <f>_xll.DBRW("TM1-S1_DEV:}ElementAttributes_SP_SKU",$F1871,D$1)</f>
        <v>Primary</v>
      </c>
      <c r="E1871" s="24" t="str">
        <f>_xll.DBRW("TM1-S1_DEV:}ElementAttributes_SP_SKU",$F1871,E$1)</f>
        <v>CHEESE</v>
      </c>
      <c r="F1871" s="26" t="s">
        <v>3173</v>
      </c>
      <c r="G1871" s="26" t="s">
        <v>1785</v>
      </c>
      <c r="H1871" s="26" t="s">
        <v>2692</v>
      </c>
      <c r="I1871" s="54">
        <f>_xll.DBRW($A$1,$F$14,$F$15,$C1871,$A$2,$F1871,$G1871,$H1871,I$1)</f>
        <v>68</v>
      </c>
      <c r="J1871" s="25">
        <f>_xll.DBRW($A$1,$F$14,$F$15,$C1871,$A$2,$F1871,$G1871,$H1871,J$19)</f>
        <v>228</v>
      </c>
    </row>
    <row r="1872" spans="1:10" s="23" customFormat="1" outlineLevel="1" thickBot="1" x14ac:dyDescent="0.3">
      <c r="A1872" s="44"/>
      <c r="B1872" s="31" t="str">
        <f>IF(_xll.TM1RPTELISCONSOLIDATED($H$20,$H1872),IF(_xll.TM1RPTELLEV($H$20,$H1872)&lt;=5,_xll.TM1RPTELLEV($H$20,$H1872),"Default"),"Leaf")</f>
        <v>Leaf</v>
      </c>
      <c r="C1872" s="26" t="s">
        <v>19</v>
      </c>
      <c r="D1872" s="24" t="str">
        <f>_xll.DBRW("TM1-S1_DEV:}ElementAttributes_SP_SKU",$F1872,D$1)</f>
        <v>Primary</v>
      </c>
      <c r="E1872" s="24" t="str">
        <f>_xll.DBRW("TM1-S1_DEV:}ElementAttributes_SP_SKU",$F1872,E$1)</f>
        <v>CONDIMENT</v>
      </c>
      <c r="F1872" s="26" t="s">
        <v>3174</v>
      </c>
      <c r="G1872" s="26" t="s">
        <v>1786</v>
      </c>
      <c r="H1872" s="26" t="s">
        <v>2684</v>
      </c>
      <c r="I1872" s="54">
        <f>_xll.DBRW($A$1,$F$14,$F$15,$C1872,$A$2,$F1872,$G1872,$H1872,I$1)</f>
        <v>0</v>
      </c>
      <c r="J1872" s="25">
        <f>_xll.DBRW($A$1,$F$14,$F$15,$C1872,$A$2,$F1872,$G1872,$H1872,J$19)</f>
        <v>23</v>
      </c>
    </row>
    <row r="1873" spans="1:10" s="23" customFormat="1" outlineLevel="1" thickBot="1" x14ac:dyDescent="0.3">
      <c r="A1873" s="44"/>
      <c r="B1873" s="31" t="str">
        <f>IF(_xll.TM1RPTELISCONSOLIDATED($H$20,$H1873),IF(_xll.TM1RPTELLEV($H$20,$H1873)&lt;=5,_xll.TM1RPTELLEV($H$20,$H1873),"Default"),"Leaf")</f>
        <v>Leaf</v>
      </c>
      <c r="C1873" s="26" t="s">
        <v>19</v>
      </c>
      <c r="D1873" s="24" t="str">
        <f>_xll.DBRW("TM1-S1_DEV:}ElementAttributes_SP_SKU",$F1873,D$1)</f>
        <v>Primary</v>
      </c>
      <c r="E1873" s="24" t="str">
        <f>_xll.DBRW("TM1-S1_DEV:}ElementAttributes_SP_SKU",$F1873,E$1)</f>
        <v>CHEESE</v>
      </c>
      <c r="F1873" s="26" t="s">
        <v>3175</v>
      </c>
      <c r="G1873" s="26" t="s">
        <v>1787</v>
      </c>
      <c r="H1873" s="26" t="s">
        <v>2692</v>
      </c>
      <c r="I1873" s="54">
        <f>_xll.DBRW($A$1,$F$14,$F$15,$C1873,$A$2,$F1873,$G1873,$H1873,I$1)</f>
        <v>86</v>
      </c>
      <c r="J1873" s="25">
        <f>_xll.DBRW($A$1,$F$14,$F$15,$C1873,$A$2,$F1873,$G1873,$H1873,J$19)</f>
        <v>176</v>
      </c>
    </row>
    <row r="1874" spans="1:10" s="23" customFormat="1" outlineLevel="1" thickBot="1" x14ac:dyDescent="0.3">
      <c r="A1874" s="44"/>
      <c r="B1874" s="31" t="str">
        <f>IF(_xll.TM1RPTELISCONSOLIDATED($H$20,$H1874),IF(_xll.TM1RPTELLEV($H$20,$H1874)&lt;=5,_xll.TM1RPTELLEV($H$20,$H1874),"Default"),"Leaf")</f>
        <v>Leaf</v>
      </c>
      <c r="C1874" s="26" t="s">
        <v>19</v>
      </c>
      <c r="D1874" s="24" t="str">
        <f>_xll.DBRW("TM1-S1_DEV:}ElementAttributes_SP_SKU",$F1874,D$1)</f>
        <v>Primary</v>
      </c>
      <c r="E1874" s="24" t="str">
        <f>_xll.DBRW("TM1-S1_DEV:}ElementAttributes_SP_SKU",$F1874,E$1)</f>
        <v>CONDIMENT</v>
      </c>
      <c r="F1874" s="26" t="s">
        <v>3176</v>
      </c>
      <c r="G1874" s="26" t="s">
        <v>1788</v>
      </c>
      <c r="H1874" s="26" t="s">
        <v>2684</v>
      </c>
      <c r="I1874" s="54">
        <f>_xll.DBRW($A$1,$F$14,$F$15,$C1874,$A$2,$F1874,$G1874,$H1874,I$1)</f>
        <v>9</v>
      </c>
      <c r="J1874" s="25">
        <f>_xll.DBRW($A$1,$F$14,$F$15,$C1874,$A$2,$F1874,$G1874,$H1874,J$19)</f>
        <v>28</v>
      </c>
    </row>
    <row r="1875" spans="1:10" s="23" customFormat="1" outlineLevel="1" thickBot="1" x14ac:dyDescent="0.3">
      <c r="A1875" s="44"/>
      <c r="B1875" s="31" t="str">
        <f>IF(_xll.TM1RPTELISCONSOLIDATED($H$20,$H1875),IF(_xll.TM1RPTELLEV($H$20,$H1875)&lt;=5,_xll.TM1RPTELLEV($H$20,$H1875),"Default"),"Leaf")</f>
        <v>Leaf</v>
      </c>
      <c r="C1875" s="26" t="s">
        <v>19</v>
      </c>
      <c r="D1875" s="24" t="str">
        <f>_xll.DBRW("TM1-S1_DEV:}ElementAttributes_SP_SKU",$F1875,D$1)</f>
        <v>Primary</v>
      </c>
      <c r="E1875" s="24" t="str">
        <f>_xll.DBRW("TM1-S1_DEV:}ElementAttributes_SP_SKU",$F1875,E$1)</f>
        <v>CONDIMENT</v>
      </c>
      <c r="F1875" s="26" t="s">
        <v>3253</v>
      </c>
      <c r="G1875" s="26" t="s">
        <v>1789</v>
      </c>
      <c r="H1875" s="26" t="s">
        <v>2686</v>
      </c>
      <c r="I1875" s="54">
        <f>_xll.DBRW($A$1,$F$14,$F$15,$C1875,$A$2,$F1875,$G1875,$H1875,I$1)</f>
        <v>51</v>
      </c>
      <c r="J1875" s="25">
        <f>_xll.DBRW($A$1,$F$14,$F$15,$C1875,$A$2,$F1875,$G1875,$H1875,J$19)</f>
        <v>57</v>
      </c>
    </row>
    <row r="1876" spans="1:10" s="23" customFormat="1" outlineLevel="1" thickBot="1" x14ac:dyDescent="0.3">
      <c r="A1876" s="44"/>
      <c r="B1876" s="31" t="str">
        <f>IF(_xll.TM1RPTELISCONSOLIDATED($H$20,$H1876),IF(_xll.TM1RPTELLEV($H$20,$H1876)&lt;=5,_xll.TM1RPTELLEV($H$20,$H1876),"Default"),"Leaf")</f>
        <v>Leaf</v>
      </c>
      <c r="C1876" s="26" t="s">
        <v>19</v>
      </c>
      <c r="D1876" s="24" t="str">
        <f>_xll.DBRW("TM1-S1_DEV:}ElementAttributes_SP_SKU",$F1876,D$1)</f>
        <v>Primary</v>
      </c>
      <c r="E1876" s="24" t="str">
        <f>_xll.DBRW("TM1-S1_DEV:}ElementAttributes_SP_SKU",$F1876,E$1)</f>
        <v>INGREDIENT</v>
      </c>
      <c r="F1876" s="26" t="s">
        <v>3177</v>
      </c>
      <c r="G1876" s="26" t="s">
        <v>1790</v>
      </c>
      <c r="H1876" s="26" t="s">
        <v>2686</v>
      </c>
      <c r="I1876" s="54">
        <f>_xll.DBRW($A$1,$F$14,$F$15,$C1876,$A$2,$F1876,$G1876,$H1876,I$1)</f>
        <v>1</v>
      </c>
      <c r="J1876" s="25">
        <f>_xll.DBRW($A$1,$F$14,$F$15,$C1876,$A$2,$F1876,$G1876,$H1876,J$19)</f>
        <v>2</v>
      </c>
    </row>
    <row r="1877" spans="1:10" s="23" customFormat="1" outlineLevel="1" thickBot="1" x14ac:dyDescent="0.3">
      <c r="A1877" s="44"/>
      <c r="B1877" s="31" t="str">
        <f>IF(_xll.TM1RPTELISCONSOLIDATED($H$20,$H1877),IF(_xll.TM1RPTELLEV($H$20,$H1877)&lt;=5,_xll.TM1RPTELLEV($H$20,$H1877),"Default"),"Leaf")</f>
        <v>Leaf</v>
      </c>
      <c r="C1877" s="26" t="s">
        <v>19</v>
      </c>
      <c r="D1877" s="24" t="str">
        <f>_xll.DBRW("TM1-S1_DEV:}ElementAttributes_SP_SKU",$F1877,D$1)</f>
        <v>Primary</v>
      </c>
      <c r="E1877" s="24" t="str">
        <f>_xll.DBRW("TM1-S1_DEV:}ElementAttributes_SP_SKU",$F1877,E$1)</f>
        <v>CONDIMENT</v>
      </c>
      <c r="F1877" s="26" t="s">
        <v>3178</v>
      </c>
      <c r="G1877" s="26" t="s">
        <v>1791</v>
      </c>
      <c r="H1877" s="26" t="s">
        <v>2684</v>
      </c>
      <c r="I1877" s="54">
        <f>_xll.DBRW($A$1,$F$14,$F$15,$C1877,$A$2,$F1877,$G1877,$H1877,I$1)</f>
        <v>7</v>
      </c>
      <c r="J1877" s="25">
        <f>_xll.DBRW($A$1,$F$14,$F$15,$C1877,$A$2,$F1877,$G1877,$H1877,J$19)</f>
        <v>7</v>
      </c>
    </row>
    <row r="1878" spans="1:10" s="23" customFormat="1" outlineLevel="1" thickBot="1" x14ac:dyDescent="0.3">
      <c r="A1878" s="44"/>
      <c r="B1878" s="31" t="str">
        <f>IF(_xll.TM1RPTELISCONSOLIDATED($H$20,$H1878),IF(_xll.TM1RPTELLEV($H$20,$H1878)&lt;=5,_xll.TM1RPTELLEV($H$20,$H1878),"Default"),"Leaf")</f>
        <v>Leaf</v>
      </c>
      <c r="C1878" s="26" t="s">
        <v>19</v>
      </c>
      <c r="D1878" s="24" t="str">
        <f>_xll.DBRW("TM1-S1_DEV:}ElementAttributes_SP_SKU",$F1878,D$1)</f>
        <v>Primary</v>
      </c>
      <c r="E1878" s="24" t="str">
        <f>_xll.DBRW("TM1-S1_DEV:}ElementAttributes_SP_SKU",$F1878,E$1)</f>
        <v>CONDIMENT</v>
      </c>
      <c r="F1878" s="26" t="s">
        <v>3179</v>
      </c>
      <c r="G1878" s="26" t="s">
        <v>1792</v>
      </c>
      <c r="H1878" s="26" t="s">
        <v>2684</v>
      </c>
      <c r="I1878" s="54">
        <f>_xll.DBRW($A$1,$F$14,$F$15,$C1878,$A$2,$F1878,$G1878,$H1878,I$1)</f>
        <v>14</v>
      </c>
      <c r="J1878" s="25">
        <f>_xll.DBRW($A$1,$F$14,$F$15,$C1878,$A$2,$F1878,$G1878,$H1878,J$19)</f>
        <v>14</v>
      </c>
    </row>
    <row r="1879" spans="1:10" s="23" customFormat="1" outlineLevel="1" thickBot="1" x14ac:dyDescent="0.3">
      <c r="A1879" s="44"/>
      <c r="B1879" s="31" t="str">
        <f>IF(_xll.TM1RPTELISCONSOLIDATED($H$20,$H1879),IF(_xll.TM1RPTELLEV($H$20,$H1879)&lt;=5,_xll.TM1RPTELLEV($H$20,$H1879),"Default"),"Leaf")</f>
        <v>Leaf</v>
      </c>
      <c r="C1879" s="26" t="s">
        <v>19</v>
      </c>
      <c r="D1879" s="24" t="str">
        <f>_xll.DBRW("TM1-S1_DEV:}ElementAttributes_SP_SKU",$F1879,D$1)</f>
        <v>Primary</v>
      </c>
      <c r="E1879" s="24" t="str">
        <f>_xll.DBRW("TM1-S1_DEV:}ElementAttributes_SP_SKU",$F1879,E$1)</f>
        <v>COOKIE</v>
      </c>
      <c r="F1879" s="26" t="s">
        <v>3180</v>
      </c>
      <c r="G1879" s="26" t="s">
        <v>1793</v>
      </c>
      <c r="H1879" s="26" t="s">
        <v>2691</v>
      </c>
      <c r="I1879" s="54">
        <f>_xll.DBRW($A$1,$F$14,$F$15,$C1879,$A$2,$F1879,$G1879,$H1879,I$1)</f>
        <v>8</v>
      </c>
      <c r="J1879" s="25">
        <f>_xll.DBRW($A$1,$F$14,$F$15,$C1879,$A$2,$F1879,$G1879,$H1879,J$19)</f>
        <v>21</v>
      </c>
    </row>
    <row r="1880" spans="1:10" s="23" customFormat="1" outlineLevel="1" thickBot="1" x14ac:dyDescent="0.3">
      <c r="A1880" s="44"/>
      <c r="B1880" s="31" t="str">
        <f>IF(_xll.TM1RPTELISCONSOLIDATED($H$20,$H1880),IF(_xll.TM1RPTELLEV($H$20,$H1880)&lt;=5,_xll.TM1RPTELLEV($H$20,$H1880),"Default"),"Leaf")</f>
        <v>Leaf</v>
      </c>
      <c r="C1880" s="26" t="s">
        <v>19</v>
      </c>
      <c r="D1880" s="24" t="str">
        <f>_xll.DBRW("TM1-S1_DEV:}ElementAttributes_SP_SKU",$F1880,D$1)</f>
        <v>Primary</v>
      </c>
      <c r="E1880" s="24" t="str">
        <f>_xll.DBRW("TM1-S1_DEV:}ElementAttributes_SP_SKU",$F1880,E$1)</f>
        <v>COOKIE</v>
      </c>
      <c r="F1880" s="26" t="s">
        <v>3181</v>
      </c>
      <c r="G1880" s="26" t="s">
        <v>1794</v>
      </c>
      <c r="H1880" s="26" t="s">
        <v>2691</v>
      </c>
      <c r="I1880" s="54">
        <f>_xll.DBRW($A$1,$F$14,$F$15,$C1880,$A$2,$F1880,$G1880,$H1880,I$1)</f>
        <v>21</v>
      </c>
      <c r="J1880" s="25">
        <f>_xll.DBRW($A$1,$F$14,$F$15,$C1880,$A$2,$F1880,$G1880,$H1880,J$19)</f>
        <v>33</v>
      </c>
    </row>
    <row r="1881" spans="1:10" s="23" customFormat="1" outlineLevel="1" thickBot="1" x14ac:dyDescent="0.3">
      <c r="A1881" s="44"/>
      <c r="B1881" s="31" t="str">
        <f>IF(_xll.TM1RPTELISCONSOLIDATED($H$20,$H1881),IF(_xll.TM1RPTELLEV($H$20,$H1881)&lt;=5,_xll.TM1RPTELLEV($H$20,$H1881),"Default"),"Leaf")</f>
        <v>Leaf</v>
      </c>
      <c r="C1881" s="26" t="s">
        <v>19</v>
      </c>
      <c r="D1881" s="24" t="str">
        <f>_xll.DBRW("TM1-S1_DEV:}ElementAttributes_SP_SKU",$F1881,D$1)</f>
        <v>Primary</v>
      </c>
      <c r="E1881" s="24" t="str">
        <f>_xll.DBRW("TM1-S1_DEV:}ElementAttributes_SP_SKU",$F1881,E$1)</f>
        <v>COOKIE</v>
      </c>
      <c r="F1881" s="26" t="s">
        <v>3182</v>
      </c>
      <c r="G1881" s="26" t="s">
        <v>1795</v>
      </c>
      <c r="H1881" s="26" t="s">
        <v>2691</v>
      </c>
      <c r="I1881" s="54">
        <f>_xll.DBRW($A$1,$F$14,$F$15,$C1881,$A$2,$F1881,$G1881,$H1881,I$1)</f>
        <v>12</v>
      </c>
      <c r="J1881" s="25">
        <f>_xll.DBRW($A$1,$F$14,$F$15,$C1881,$A$2,$F1881,$G1881,$H1881,J$19)</f>
        <v>25</v>
      </c>
    </row>
    <row r="1882" spans="1:10" s="23" customFormat="1" outlineLevel="1" thickBot="1" x14ac:dyDescent="0.3">
      <c r="A1882" s="44"/>
      <c r="B1882" s="31" t="str">
        <f>IF(_xll.TM1RPTELISCONSOLIDATED($H$20,$H1882),IF(_xll.TM1RPTELLEV($H$20,$H1882)&lt;=5,_xll.TM1RPTELLEV($H$20,$H1882),"Default"),"Leaf")</f>
        <v>Leaf</v>
      </c>
      <c r="C1882" s="26" t="s">
        <v>19</v>
      </c>
      <c r="D1882" s="24" t="str">
        <f>_xll.DBRW("TM1-S1_DEV:}ElementAttributes_SP_SKU",$F1882,D$1)</f>
        <v>Primary</v>
      </c>
      <c r="E1882" s="24" t="str">
        <f>_xll.DBRW("TM1-S1_DEV:}ElementAttributes_SP_SKU",$F1882,E$1)</f>
        <v>COOKIE</v>
      </c>
      <c r="F1882" s="26" t="s">
        <v>3183</v>
      </c>
      <c r="G1882" s="26" t="s">
        <v>1796</v>
      </c>
      <c r="H1882" s="26" t="s">
        <v>2691</v>
      </c>
      <c r="I1882" s="54">
        <f>_xll.DBRW($A$1,$F$14,$F$15,$C1882,$A$2,$F1882,$G1882,$H1882,I$1)</f>
        <v>46</v>
      </c>
      <c r="J1882" s="25">
        <f>_xll.DBRW($A$1,$F$14,$F$15,$C1882,$A$2,$F1882,$G1882,$H1882,J$19)</f>
        <v>30</v>
      </c>
    </row>
    <row r="1883" spans="1:10" s="23" customFormat="1" outlineLevel="1" thickBot="1" x14ac:dyDescent="0.3">
      <c r="A1883" s="44"/>
      <c r="B1883" s="31" t="str">
        <f>IF(_xll.TM1RPTELISCONSOLIDATED($H$20,$H1883),IF(_xll.TM1RPTELLEV($H$20,$H1883)&lt;=5,_xll.TM1RPTELLEV($H$20,$H1883),"Default"),"Leaf")</f>
        <v>Leaf</v>
      </c>
      <c r="C1883" s="26" t="s">
        <v>19</v>
      </c>
      <c r="D1883" s="24" t="str">
        <f>_xll.DBRW("TM1-S1_DEV:}ElementAttributes_SP_SKU",$F1883,D$1)</f>
        <v>Primary</v>
      </c>
      <c r="E1883" s="24" t="str">
        <f>_xll.DBRW("TM1-S1_DEV:}ElementAttributes_SP_SKU",$F1883,E$1)</f>
        <v>SOUP</v>
      </c>
      <c r="F1883" s="26" t="s">
        <v>3184</v>
      </c>
      <c r="G1883" s="26" t="s">
        <v>1797</v>
      </c>
      <c r="H1883" s="26" t="s">
        <v>2675</v>
      </c>
      <c r="I1883" s="54">
        <f>_xll.DBRW($A$1,$F$14,$F$15,$C1883,$A$2,$F1883,$G1883,$H1883,I$1)</f>
        <v>10</v>
      </c>
      <c r="J1883" s="25">
        <f>_xll.DBRW($A$1,$F$14,$F$15,$C1883,$A$2,$F1883,$G1883,$H1883,J$19)</f>
        <v>18</v>
      </c>
    </row>
    <row r="1884" spans="1:10" s="23" customFormat="1" outlineLevel="1" thickBot="1" x14ac:dyDescent="0.3">
      <c r="A1884" s="44"/>
      <c r="B1884" s="31" t="str">
        <f>IF(_xll.TM1RPTELISCONSOLIDATED($H$20,$H1884),IF(_xll.TM1RPTELLEV($H$20,$H1884)&lt;=5,_xll.TM1RPTELLEV($H$20,$H1884),"Default"),"Leaf")</f>
        <v>Leaf</v>
      </c>
      <c r="C1884" s="26" t="s">
        <v>19</v>
      </c>
      <c r="D1884" s="24" t="str">
        <f>_xll.DBRW("TM1-S1_DEV:}ElementAttributes_SP_SKU",$F1884,D$1)</f>
        <v>Primary</v>
      </c>
      <c r="E1884" s="24" t="str">
        <f>_xll.DBRW("TM1-S1_DEV:}ElementAttributes_SP_SKU",$F1884,E$1)</f>
        <v>INGREDIENT</v>
      </c>
      <c r="F1884" s="26" t="s">
        <v>3185</v>
      </c>
      <c r="G1884" s="26" t="s">
        <v>1798</v>
      </c>
      <c r="H1884" s="26" t="s">
        <v>2693</v>
      </c>
      <c r="I1884" s="54">
        <f>_xll.DBRW($A$1,$F$14,$F$15,$C1884,$A$2,$F1884,$G1884,$H1884,I$1)</f>
        <v>22</v>
      </c>
      <c r="J1884" s="25">
        <f>_xll.DBRW($A$1,$F$14,$F$15,$C1884,$A$2,$F1884,$G1884,$H1884,J$19)</f>
        <v>49</v>
      </c>
    </row>
    <row r="1885" spans="1:10" s="23" customFormat="1" outlineLevel="1" thickBot="1" x14ac:dyDescent="0.3">
      <c r="A1885" s="44"/>
      <c r="B1885" s="31" t="str">
        <f>IF(_xll.TM1RPTELISCONSOLIDATED($H$20,$H1885),IF(_xll.TM1RPTELLEV($H$20,$H1885)&lt;=5,_xll.TM1RPTELLEV($H$20,$H1885),"Default"),"Leaf")</f>
        <v>Leaf</v>
      </c>
      <c r="C1885" s="26" t="s">
        <v>19</v>
      </c>
      <c r="D1885" s="24" t="str">
        <f>_xll.DBRW("TM1-S1_DEV:}ElementAttributes_SP_SKU",$F1885,D$1)</f>
        <v>Primary</v>
      </c>
      <c r="E1885" s="24" t="str">
        <f>_xll.DBRW("TM1-S1_DEV:}ElementAttributes_SP_SKU",$F1885,E$1)</f>
        <v>INGREDIENT</v>
      </c>
      <c r="F1885" s="26" t="s">
        <v>3186</v>
      </c>
      <c r="G1885" s="26" t="s">
        <v>1799</v>
      </c>
      <c r="H1885" s="26" t="s">
        <v>2694</v>
      </c>
      <c r="I1885" s="54">
        <f>_xll.DBRW($A$1,$F$14,$F$15,$C1885,$A$2,$F1885,$G1885,$H1885,I$1)</f>
        <v>1</v>
      </c>
      <c r="J1885" s="25">
        <f>_xll.DBRW($A$1,$F$14,$F$15,$C1885,$A$2,$F1885,$G1885,$H1885,J$19)</f>
        <v>2</v>
      </c>
    </row>
    <row r="1886" spans="1:10" s="23" customFormat="1" outlineLevel="1" thickBot="1" x14ac:dyDescent="0.3">
      <c r="A1886" s="44"/>
      <c r="B1886" s="31" t="str">
        <f>IF(_xll.TM1RPTELISCONSOLIDATED($H$20,$H1886),IF(_xll.TM1RPTELLEV($H$20,$H1886)&lt;=5,_xll.TM1RPTELLEV($H$20,$H1886),"Default"),"Leaf")</f>
        <v>Leaf</v>
      </c>
      <c r="C1886" s="26" t="s">
        <v>19</v>
      </c>
      <c r="D1886" s="24" t="str">
        <f>_xll.DBRW("TM1-S1_DEV:}ElementAttributes_SP_SKU",$F1886,D$1)</f>
        <v>Primary</v>
      </c>
      <c r="E1886" s="24" t="str">
        <f>_xll.DBRW("TM1-S1_DEV:}ElementAttributes_SP_SKU",$F1886,E$1)</f>
        <v>CRACKERS</v>
      </c>
      <c r="F1886" s="26" t="s">
        <v>3282</v>
      </c>
      <c r="G1886" s="26" t="s">
        <v>1800</v>
      </c>
      <c r="H1886" s="26" t="s">
        <v>2859</v>
      </c>
      <c r="I1886" s="54">
        <f>_xll.DBRW($A$1,$F$14,$F$15,$C1886,$A$2,$F1886,$G1886,$H1886,I$1)</f>
        <v>64</v>
      </c>
      <c r="J1886" s="25">
        <f>_xll.DBRW($A$1,$F$14,$F$15,$C1886,$A$2,$F1886,$G1886,$H1886,J$19)</f>
        <v>64</v>
      </c>
    </row>
    <row r="1887" spans="1:10" s="23" customFormat="1" outlineLevel="1" thickBot="1" x14ac:dyDescent="0.3">
      <c r="A1887" s="44"/>
      <c r="B1887" s="31" t="str">
        <f>IF(_xll.TM1RPTELISCONSOLIDATED($H$20,$H1887),IF(_xll.TM1RPTELLEV($H$20,$H1887)&lt;=5,_xll.TM1RPTELLEV($H$20,$H1887),"Default"),"Leaf")</f>
        <v>Leaf</v>
      </c>
      <c r="C1887" s="26" t="s">
        <v>19</v>
      </c>
      <c r="D1887" s="24" t="str">
        <f>_xll.DBRW("TM1-S1_DEV:}ElementAttributes_SP_SKU",$F1887,D$1)</f>
        <v>Primary</v>
      </c>
      <c r="E1887" s="24" t="str">
        <f>_xll.DBRW("TM1-S1_DEV:}ElementAttributes_SP_SKU",$F1887,E$1)</f>
        <v>INGREDIENT</v>
      </c>
      <c r="F1887" s="26" t="s">
        <v>3187</v>
      </c>
      <c r="G1887" s="26" t="s">
        <v>1801</v>
      </c>
      <c r="H1887" s="26" t="s">
        <v>2695</v>
      </c>
      <c r="I1887" s="54">
        <f>_xll.DBRW($A$1,$F$14,$F$15,$C1887,$A$2,$F1887,$G1887,$H1887,I$1)</f>
        <v>9</v>
      </c>
      <c r="J1887" s="25">
        <f>_xll.DBRW($A$1,$F$14,$F$15,$C1887,$A$2,$F1887,$G1887,$H1887,J$19)</f>
        <v>9</v>
      </c>
    </row>
    <row r="1888" spans="1:10" s="23" customFormat="1" outlineLevel="1" thickBot="1" x14ac:dyDescent="0.3">
      <c r="A1888" s="44"/>
      <c r="B1888" s="31" t="str">
        <f>IF(_xll.TM1RPTELISCONSOLIDATED($H$20,$H1888),IF(_xll.TM1RPTELLEV($H$20,$H1888)&lt;=5,_xll.TM1RPTELLEV($H$20,$H1888),"Default"),"Leaf")</f>
        <v>Leaf</v>
      </c>
      <c r="C1888" s="26" t="s">
        <v>19</v>
      </c>
      <c r="D1888" s="24" t="str">
        <f>_xll.DBRW("TM1-S1_DEV:}ElementAttributes_SP_SKU",$F1888,D$1)</f>
        <v>Primary</v>
      </c>
      <c r="E1888" s="24" t="str">
        <f>_xll.DBRW("TM1-S1_DEV:}ElementAttributes_SP_SKU",$F1888,E$1)</f>
        <v>CHIPS</v>
      </c>
      <c r="F1888" s="26" t="s">
        <v>3255</v>
      </c>
      <c r="G1888" s="26" t="s">
        <v>1802</v>
      </c>
      <c r="H1888" s="26" t="s">
        <v>2736</v>
      </c>
      <c r="I1888" s="54">
        <f>_xll.DBRW($A$1,$F$14,$F$15,$C1888,$A$2,$F1888,$G1888,$H1888,I$1)</f>
        <v>64</v>
      </c>
      <c r="J1888" s="25">
        <f>_xll.DBRW($A$1,$F$14,$F$15,$C1888,$A$2,$F1888,$G1888,$H1888,J$19)</f>
        <v>113</v>
      </c>
    </row>
    <row r="1889" spans="1:10" s="23" customFormat="1" outlineLevel="1" thickBot="1" x14ac:dyDescent="0.3">
      <c r="A1889" s="44"/>
      <c r="B1889" s="31" t="str">
        <f>IF(_xll.TM1RPTELISCONSOLIDATED($H$20,$H1889),IF(_xll.TM1RPTELLEV($H$20,$H1889)&lt;=5,_xll.TM1RPTELLEV($H$20,$H1889),"Default"),"Leaf")</f>
        <v>Leaf</v>
      </c>
      <c r="C1889" s="26" t="s">
        <v>19</v>
      </c>
      <c r="D1889" s="24" t="str">
        <f>_xll.DBRW("TM1-S1_DEV:}ElementAttributes_SP_SKU",$F1889,D$1)</f>
        <v>Primary</v>
      </c>
      <c r="E1889" s="24" t="str">
        <f>_xll.DBRW("TM1-S1_DEV:}ElementAttributes_SP_SKU",$F1889,E$1)</f>
        <v>CHIPS</v>
      </c>
      <c r="F1889" s="26" t="s">
        <v>3256</v>
      </c>
      <c r="G1889" s="26" t="s">
        <v>1803</v>
      </c>
      <c r="H1889" s="26" t="s">
        <v>2736</v>
      </c>
      <c r="I1889" s="54">
        <f>_xll.DBRW($A$1,$F$14,$F$15,$C1889,$A$2,$F1889,$G1889,$H1889,I$1)</f>
        <v>62</v>
      </c>
      <c r="J1889" s="25">
        <f>_xll.DBRW($A$1,$F$14,$F$15,$C1889,$A$2,$F1889,$G1889,$H1889,J$19)</f>
        <v>52</v>
      </c>
    </row>
    <row r="1890" spans="1:10" s="23" customFormat="1" outlineLevel="1" thickBot="1" x14ac:dyDescent="0.3">
      <c r="A1890" s="44"/>
      <c r="B1890" s="31" t="str">
        <f>IF(_xll.TM1RPTELISCONSOLIDATED($H$20,$H1890),IF(_xll.TM1RPTELLEV($H$20,$H1890)&lt;=5,_xll.TM1RPTELLEV($H$20,$H1890),"Default"),"Leaf")</f>
        <v>Leaf</v>
      </c>
      <c r="C1890" s="26" t="s">
        <v>19</v>
      </c>
      <c r="D1890" s="24" t="str">
        <f>_xll.DBRW("TM1-S1_DEV:}ElementAttributes_SP_SKU",$F1890,D$1)</f>
        <v>Primary</v>
      </c>
      <c r="E1890" s="24" t="str">
        <f>_xll.DBRW("TM1-S1_DEV:}ElementAttributes_SP_SKU",$F1890,E$1)</f>
        <v>CHIPS</v>
      </c>
      <c r="F1890" s="26" t="s">
        <v>3257</v>
      </c>
      <c r="G1890" s="26" t="s">
        <v>1804</v>
      </c>
      <c r="H1890" s="26" t="s">
        <v>2736</v>
      </c>
      <c r="I1890" s="54">
        <f>_xll.DBRW($A$1,$F$14,$F$15,$C1890,$A$2,$F1890,$G1890,$H1890,I$1)</f>
        <v>90</v>
      </c>
      <c r="J1890" s="25">
        <f>_xll.DBRW($A$1,$F$14,$F$15,$C1890,$A$2,$F1890,$G1890,$H1890,J$19)</f>
        <v>130</v>
      </c>
    </row>
    <row r="1891" spans="1:10" s="23" customFormat="1" outlineLevel="1" thickBot="1" x14ac:dyDescent="0.3">
      <c r="A1891" s="44"/>
      <c r="B1891" s="31" t="str">
        <f>IF(_xll.TM1RPTELISCONSOLIDATED($H$20,$H1891),IF(_xll.TM1RPTELLEV($H$20,$H1891)&lt;=5,_xll.TM1RPTELLEV($H$20,$H1891),"Default"),"Leaf")</f>
        <v>Leaf</v>
      </c>
      <c r="C1891" s="26" t="s">
        <v>19</v>
      </c>
      <c r="D1891" s="24" t="str">
        <f>_xll.DBRW("TM1-S1_DEV:}ElementAttributes_SP_SKU",$F1891,D$1)</f>
        <v>Primary</v>
      </c>
      <c r="E1891" s="24" t="str">
        <f>_xll.DBRW("TM1-S1_DEV:}ElementAttributes_SP_SKU",$F1891,E$1)</f>
        <v>CHIPS</v>
      </c>
      <c r="F1891" s="26" t="s">
        <v>3258</v>
      </c>
      <c r="G1891" s="26" t="s">
        <v>1805</v>
      </c>
      <c r="H1891" s="26" t="s">
        <v>2736</v>
      </c>
      <c r="I1891" s="54">
        <f>_xll.DBRW($A$1,$F$14,$F$15,$C1891,$A$2,$F1891,$G1891,$H1891,I$1)</f>
        <v>43</v>
      </c>
      <c r="J1891" s="25">
        <f>_xll.DBRW($A$1,$F$14,$F$15,$C1891,$A$2,$F1891,$G1891,$H1891,J$19)</f>
        <v>93</v>
      </c>
    </row>
    <row r="1892" spans="1:10" s="23" customFormat="1" outlineLevel="1" thickBot="1" x14ac:dyDescent="0.3">
      <c r="A1892" s="44"/>
      <c r="B1892" s="31" t="str">
        <f>IF(_xll.TM1RPTELISCONSOLIDATED($H$20,$H1892),IF(_xll.TM1RPTELLEV($H$20,$H1892)&lt;=5,_xll.TM1RPTELLEV($H$20,$H1892),"Default"),"Leaf")</f>
        <v>Leaf</v>
      </c>
      <c r="C1892" s="26" t="s">
        <v>19</v>
      </c>
      <c r="D1892" s="24" t="str">
        <f>_xll.DBRW("TM1-S1_DEV:}ElementAttributes_SP_SKU",$F1892,D$1)</f>
        <v>Primary</v>
      </c>
      <c r="E1892" s="24" t="str">
        <f>_xll.DBRW("TM1-S1_DEV:}ElementAttributes_SP_SKU",$F1892,E$1)</f>
        <v>SIDES</v>
      </c>
      <c r="F1892" s="26" t="s">
        <v>3188</v>
      </c>
      <c r="G1892" s="26" t="s">
        <v>1806</v>
      </c>
      <c r="H1892" s="26" t="s">
        <v>2686</v>
      </c>
      <c r="I1892" s="54">
        <f>_xll.DBRW($A$1,$F$14,$F$15,$C1892,$A$2,$F1892,$G1892,$H1892,I$1)</f>
        <v>29</v>
      </c>
      <c r="J1892" s="25">
        <f>_xll.DBRW($A$1,$F$14,$F$15,$C1892,$A$2,$F1892,$G1892,$H1892,J$19)</f>
        <v>28</v>
      </c>
    </row>
    <row r="1893" spans="1:10" s="23" customFormat="1" outlineLevel="1" thickBot="1" x14ac:dyDescent="0.3">
      <c r="A1893" s="44"/>
      <c r="B1893" s="31" t="str">
        <f>IF(_xll.TM1RPTELISCONSOLIDATED($H$20,$H1893),IF(_xll.TM1RPTELLEV($H$20,$H1893)&lt;=5,_xll.TM1RPTELLEV($H$20,$H1893),"Default"),"Leaf")</f>
        <v>Leaf</v>
      </c>
      <c r="C1893" s="26" t="s">
        <v>19</v>
      </c>
      <c r="D1893" s="24" t="str">
        <f>_xll.DBRW("TM1-S1_DEV:}ElementAttributes_SP_SKU",$F1893,D$1)</f>
        <v>Primary</v>
      </c>
      <c r="E1893" s="24" t="str">
        <f>_xll.DBRW("TM1-S1_DEV:}ElementAttributes_SP_SKU",$F1893,E$1)</f>
        <v>CONDIMENT</v>
      </c>
      <c r="F1893" s="26" t="s">
        <v>3189</v>
      </c>
      <c r="G1893" s="26" t="s">
        <v>1807</v>
      </c>
      <c r="H1893" s="26" t="s">
        <v>2686</v>
      </c>
      <c r="I1893" s="54">
        <f>_xll.DBRW($A$1,$F$14,$F$15,$C1893,$A$2,$F1893,$G1893,$H1893,I$1)</f>
        <v>57</v>
      </c>
      <c r="J1893" s="25">
        <f>_xll.DBRW($A$1,$F$14,$F$15,$C1893,$A$2,$F1893,$G1893,$H1893,J$19)</f>
        <v>53</v>
      </c>
    </row>
    <row r="1894" spans="1:10" s="23" customFormat="1" outlineLevel="1" thickBot="1" x14ac:dyDescent="0.3">
      <c r="A1894" s="44"/>
      <c r="B1894" s="31" t="str">
        <f>IF(_xll.TM1RPTELISCONSOLIDATED($H$20,$H1894),IF(_xll.TM1RPTELLEV($H$20,$H1894)&lt;=5,_xll.TM1RPTELLEV($H$20,$H1894),"Default"),"Leaf")</f>
        <v>Leaf</v>
      </c>
      <c r="C1894" s="26" t="s">
        <v>19</v>
      </c>
      <c r="D1894" s="24" t="str">
        <f>_xll.DBRW("TM1-S1_DEV:}ElementAttributes_SP_SKU",$F1894,D$1)</f>
        <v>Primary</v>
      </c>
      <c r="E1894" s="24" t="str">
        <f>_xll.DBRW("TM1-S1_DEV:}ElementAttributes_SP_SKU",$F1894,E$1)</f>
        <v>INGREDIENT</v>
      </c>
      <c r="F1894" s="26" t="s">
        <v>3190</v>
      </c>
      <c r="G1894" s="26" t="s">
        <v>1808</v>
      </c>
      <c r="H1894" s="26" t="s">
        <v>2696</v>
      </c>
      <c r="I1894" s="54">
        <f>_xll.DBRW($A$1,$F$14,$F$15,$C1894,$A$2,$F1894,$G1894,$H1894,I$1)</f>
        <v>12</v>
      </c>
      <c r="J1894" s="25">
        <f>_xll.DBRW($A$1,$F$14,$F$15,$C1894,$A$2,$F1894,$G1894,$H1894,J$19)</f>
        <v>12</v>
      </c>
    </row>
    <row r="1895" spans="1:10" s="23" customFormat="1" outlineLevel="1" thickBot="1" x14ac:dyDescent="0.3">
      <c r="A1895" s="44"/>
      <c r="B1895" s="31" t="str">
        <f>IF(_xll.TM1RPTELISCONSOLIDATED($H$20,$H1895),IF(_xll.TM1RPTELLEV($H$20,$H1895)&lt;=5,_xll.TM1RPTELLEV($H$20,$H1895),"Default"),"Leaf")</f>
        <v>Leaf</v>
      </c>
      <c r="C1895" s="26" t="s">
        <v>19</v>
      </c>
      <c r="D1895" s="24" t="str">
        <f>_xll.DBRW("TM1-S1_DEV:}ElementAttributes_SP_SKU",$F1895,D$1)</f>
        <v>Primary</v>
      </c>
      <c r="E1895" s="24" t="str">
        <f>_xll.DBRW("TM1-S1_DEV:}ElementAttributes_SP_SKU",$F1895,E$1)</f>
        <v>INGREDIENT</v>
      </c>
      <c r="F1895" s="26" t="s">
        <v>3191</v>
      </c>
      <c r="G1895" s="26" t="s">
        <v>1809</v>
      </c>
      <c r="H1895" s="26" t="s">
        <v>2697</v>
      </c>
      <c r="I1895" s="54">
        <f>_xll.DBRW($A$1,$F$14,$F$15,$C1895,$A$2,$F1895,$G1895,$H1895,I$1)</f>
        <v>3</v>
      </c>
      <c r="J1895" s="25">
        <f>_xll.DBRW($A$1,$F$14,$F$15,$C1895,$A$2,$F1895,$G1895,$H1895,J$19)</f>
        <v>18</v>
      </c>
    </row>
    <row r="1896" spans="1:10" s="23" customFormat="1" outlineLevel="1" thickBot="1" x14ac:dyDescent="0.3">
      <c r="A1896" s="44"/>
      <c r="B1896" s="31" t="str">
        <f>IF(_xll.TM1RPTELISCONSOLIDATED($H$20,$H1896),IF(_xll.TM1RPTELLEV($H$20,$H1896)&lt;=5,_xll.TM1RPTELLEV($H$20,$H1896),"Default"),"Leaf")</f>
        <v>Leaf</v>
      </c>
      <c r="C1896" s="26" t="s">
        <v>19</v>
      </c>
      <c r="D1896" s="24" t="str">
        <f>_xll.DBRW("TM1-S1_DEV:}ElementAttributes_SP_SKU",$F1896,D$1)</f>
        <v>Primary</v>
      </c>
      <c r="E1896" s="24" t="str">
        <f>_xll.DBRW("TM1-S1_DEV:}ElementAttributes_SP_SKU",$F1896,E$1)</f>
        <v>INGREDIENT</v>
      </c>
      <c r="F1896" s="26" t="s">
        <v>3192</v>
      </c>
      <c r="G1896" s="26" t="s">
        <v>1810</v>
      </c>
      <c r="H1896" s="26" t="s">
        <v>2698</v>
      </c>
      <c r="I1896" s="54">
        <f>_xll.DBRW($A$1,$F$14,$F$15,$C1896,$A$2,$F1896,$G1896,$H1896,I$1)</f>
        <v>5</v>
      </c>
      <c r="J1896" s="25">
        <f>_xll.DBRW($A$1,$F$14,$F$15,$C1896,$A$2,$F1896,$G1896,$H1896,J$19)</f>
        <v>5</v>
      </c>
    </row>
    <row r="1897" spans="1:10" s="23" customFormat="1" outlineLevel="1" thickBot="1" x14ac:dyDescent="0.3">
      <c r="A1897" s="44"/>
      <c r="B1897" s="31" t="str">
        <f>IF(_xll.TM1RPTELISCONSOLIDATED($H$20,$H1897),IF(_xll.TM1RPTELLEV($H$20,$H1897)&lt;=5,_xll.TM1RPTELLEV($H$20,$H1897),"Default"),"Leaf")</f>
        <v>Leaf</v>
      </c>
      <c r="C1897" s="26" t="s">
        <v>19</v>
      </c>
      <c r="D1897" s="24" t="str">
        <f>_xll.DBRW("TM1-S1_DEV:}ElementAttributes_SP_SKU",$F1897,D$1)</f>
        <v>Primary</v>
      </c>
      <c r="E1897" s="24" t="str">
        <f>_xll.DBRW("TM1-S1_DEV:}ElementAttributes_SP_SKU",$F1897,E$1)</f>
        <v>INGREDIENT</v>
      </c>
      <c r="F1897" s="26" t="s">
        <v>3193</v>
      </c>
      <c r="G1897" s="26" t="s">
        <v>1811</v>
      </c>
      <c r="H1897" s="26" t="s">
        <v>2699</v>
      </c>
      <c r="I1897" s="54">
        <f>_xll.DBRW($A$1,$F$14,$F$15,$C1897,$A$2,$F1897,$G1897,$H1897,I$1)</f>
        <v>30</v>
      </c>
      <c r="J1897" s="25">
        <f>_xll.DBRW($A$1,$F$14,$F$15,$C1897,$A$2,$F1897,$G1897,$H1897,J$19)</f>
        <v>85</v>
      </c>
    </row>
    <row r="1898" spans="1:10" s="23" customFormat="1" outlineLevel="1" thickBot="1" x14ac:dyDescent="0.3">
      <c r="A1898" s="44"/>
      <c r="B1898" s="31" t="str">
        <f>IF(_xll.TM1RPTELISCONSOLIDATED($H$20,$H1898),IF(_xll.TM1RPTELLEV($H$20,$H1898)&lt;=5,_xll.TM1RPTELLEV($H$20,$H1898),"Default"),"Leaf")</f>
        <v>Leaf</v>
      </c>
      <c r="C1898" s="26" t="s">
        <v>19</v>
      </c>
      <c r="D1898" s="24" t="str">
        <f>_xll.DBRW("TM1-S1_DEV:}ElementAttributes_SP_SKU",$F1898,D$1)</f>
        <v>Primary</v>
      </c>
      <c r="E1898" s="24" t="str">
        <f>_xll.DBRW("TM1-S1_DEV:}ElementAttributes_SP_SKU",$F1898,E$1)</f>
        <v>COOKIE</v>
      </c>
      <c r="F1898" s="26" t="s">
        <v>3194</v>
      </c>
      <c r="G1898" s="26" t="s">
        <v>1812</v>
      </c>
      <c r="H1898" s="26" t="s">
        <v>2691</v>
      </c>
      <c r="I1898" s="54">
        <f>_xll.DBRW($A$1,$F$14,$F$15,$C1898,$A$2,$F1898,$G1898,$H1898,I$1)</f>
        <v>21</v>
      </c>
      <c r="J1898" s="25">
        <f>_xll.DBRW($A$1,$F$14,$F$15,$C1898,$A$2,$F1898,$G1898,$H1898,J$19)</f>
        <v>16</v>
      </c>
    </row>
    <row r="1899" spans="1:10" s="23" customFormat="1" outlineLevel="1" thickBot="1" x14ac:dyDescent="0.3">
      <c r="A1899" s="44"/>
      <c r="B1899" s="31" t="str">
        <f>IF(_xll.TM1RPTELISCONSOLIDATED($H$20,$H1899),IF(_xll.TM1RPTELLEV($H$20,$H1899)&lt;=5,_xll.TM1RPTELLEV($H$20,$H1899),"Default"),"Leaf")</f>
        <v>Leaf</v>
      </c>
      <c r="C1899" s="26" t="s">
        <v>19</v>
      </c>
      <c r="D1899" s="24" t="str">
        <f>_xll.DBRW("TM1-S1_DEV:}ElementAttributes_SP_SKU",$F1899,D$1)</f>
        <v>Primary</v>
      </c>
      <c r="E1899" s="24" t="str">
        <f>_xll.DBRW("TM1-S1_DEV:}ElementAttributes_SP_SKU",$F1899,E$1)</f>
        <v>COOKIE</v>
      </c>
      <c r="F1899" s="26" t="s">
        <v>3195</v>
      </c>
      <c r="G1899" s="26" t="s">
        <v>1813</v>
      </c>
      <c r="H1899" s="26" t="s">
        <v>2691</v>
      </c>
      <c r="I1899" s="54">
        <f>_xll.DBRW($A$1,$F$14,$F$15,$C1899,$A$2,$F1899,$G1899,$H1899,I$1)</f>
        <v>21</v>
      </c>
      <c r="J1899" s="25">
        <f>_xll.DBRW($A$1,$F$14,$F$15,$C1899,$A$2,$F1899,$G1899,$H1899,J$19)</f>
        <v>17</v>
      </c>
    </row>
    <row r="1900" spans="1:10" s="23" customFormat="1" outlineLevel="1" thickBot="1" x14ac:dyDescent="0.3">
      <c r="A1900" s="44"/>
      <c r="B1900" s="31" t="str">
        <f>IF(_xll.TM1RPTELISCONSOLIDATED($H$20,$H1900),IF(_xll.TM1RPTELLEV($H$20,$H1900)&lt;=5,_xll.TM1RPTELLEV($H$20,$H1900),"Default"),"Leaf")</f>
        <v>Leaf</v>
      </c>
      <c r="C1900" s="26" t="s">
        <v>19</v>
      </c>
      <c r="D1900" s="24" t="str">
        <f>_xll.DBRW("TM1-S1_DEV:}ElementAttributes_SP_SKU",$F1900,D$1)</f>
        <v>Primary</v>
      </c>
      <c r="E1900" s="24" t="str">
        <f>_xll.DBRW("TM1-S1_DEV:}ElementAttributes_SP_SKU",$F1900,E$1)</f>
        <v>COOKIE</v>
      </c>
      <c r="F1900" s="26" t="s">
        <v>3196</v>
      </c>
      <c r="G1900" s="26" t="s">
        <v>1814</v>
      </c>
      <c r="H1900" s="26" t="s">
        <v>2691</v>
      </c>
      <c r="I1900" s="54">
        <f>_xll.DBRW($A$1,$F$14,$F$15,$C1900,$A$2,$F1900,$G1900,$H1900,I$1)</f>
        <v>17</v>
      </c>
      <c r="J1900" s="25">
        <f>_xll.DBRW($A$1,$F$14,$F$15,$C1900,$A$2,$F1900,$G1900,$H1900,J$19)</f>
        <v>15</v>
      </c>
    </row>
    <row r="1901" spans="1:10" s="23" customFormat="1" outlineLevel="1" thickBot="1" x14ac:dyDescent="0.3">
      <c r="A1901" s="44"/>
      <c r="B1901" s="31" t="str">
        <f>IF(_xll.TM1RPTELISCONSOLIDATED($H$20,$H1901),IF(_xll.TM1RPTELLEV($H$20,$H1901)&lt;=5,_xll.TM1RPTELLEV($H$20,$H1901),"Default"),"Leaf")</f>
        <v>Leaf</v>
      </c>
      <c r="C1901" s="26" t="s">
        <v>19</v>
      </c>
      <c r="D1901" s="24" t="str">
        <f>_xll.DBRW("TM1-S1_DEV:}ElementAttributes_SP_SKU",$F1901,D$1)</f>
        <v>Primary</v>
      </c>
      <c r="E1901" s="24" t="str">
        <f>_xll.DBRW("TM1-S1_DEV:}ElementAttributes_SP_SKU",$F1901,E$1)</f>
        <v>INGREDIENT</v>
      </c>
      <c r="F1901" s="26" t="s">
        <v>3197</v>
      </c>
      <c r="G1901" s="26" t="s">
        <v>1815</v>
      </c>
      <c r="H1901" s="26" t="s">
        <v>2686</v>
      </c>
      <c r="I1901" s="54">
        <f>_xll.DBRW($A$1,$F$14,$F$15,$C1901,$A$2,$F1901,$G1901,$H1901,I$1)</f>
        <v>10</v>
      </c>
      <c r="J1901" s="25">
        <f>_xll.DBRW($A$1,$F$14,$F$15,$C1901,$A$2,$F1901,$G1901,$H1901,J$19)</f>
        <v>10</v>
      </c>
    </row>
    <row r="1902" spans="1:10" s="23" customFormat="1" outlineLevel="1" thickBot="1" x14ac:dyDescent="0.3">
      <c r="A1902" s="44"/>
      <c r="B1902" s="31" t="str">
        <f>IF(_xll.TM1RPTELISCONSOLIDATED($H$20,$H1902),IF(_xll.TM1RPTELLEV($H$20,$H1902)&lt;=5,_xll.TM1RPTELLEV($H$20,$H1902),"Default"),"Leaf")</f>
        <v>Leaf</v>
      </c>
      <c r="C1902" s="26" t="s">
        <v>19</v>
      </c>
      <c r="D1902" s="24" t="str">
        <f>_xll.DBRW("TM1-S1_DEV:}ElementAttributes_SP_SKU",$F1902,D$1)</f>
        <v>Primary</v>
      </c>
      <c r="E1902" s="24" t="str">
        <f>_xll.DBRW("TM1-S1_DEV:}ElementAttributes_SP_SKU",$F1902,E$1)</f>
        <v>INGREDIENT</v>
      </c>
      <c r="F1902" s="26" t="s">
        <v>30</v>
      </c>
      <c r="G1902" s="26" t="s">
        <v>1816</v>
      </c>
      <c r="H1902" s="26" t="s">
        <v>2700</v>
      </c>
      <c r="I1902" s="54">
        <f>_xll.DBRW($A$1,$F$14,$F$15,$C1902,$A$2,$F1902,$G1902,$H1902,I$1)</f>
        <v>24</v>
      </c>
      <c r="J1902" s="25">
        <f>_xll.DBRW($A$1,$F$14,$F$15,$C1902,$A$2,$F1902,$G1902,$H1902,J$19)</f>
        <v>24</v>
      </c>
    </row>
    <row r="1903" spans="1:10" s="23" customFormat="1" outlineLevel="1" thickBot="1" x14ac:dyDescent="0.3">
      <c r="A1903" s="44"/>
      <c r="B1903" s="31" t="str">
        <f>IF(_xll.TM1RPTELISCONSOLIDATED($H$20,$H1903),IF(_xll.TM1RPTELLEV($H$20,$H1903)&lt;=5,_xll.TM1RPTELLEV($H$20,$H1903),"Default"),"Leaf")</f>
        <v>Leaf</v>
      </c>
      <c r="C1903" s="26" t="s">
        <v>19</v>
      </c>
      <c r="D1903" s="24" t="str">
        <f>_xll.DBRW("TM1-S1_DEV:}ElementAttributes_SP_SKU",$F1903,D$1)</f>
        <v>Primary</v>
      </c>
      <c r="E1903" s="24" t="str">
        <f>_xll.DBRW("TM1-S1_DEV:}ElementAttributes_SP_SKU",$F1903,E$1)</f>
        <v>INGREDIENT</v>
      </c>
      <c r="F1903" s="26" t="s">
        <v>3198</v>
      </c>
      <c r="G1903" s="26" t="s">
        <v>1817</v>
      </c>
      <c r="H1903" s="26" t="s">
        <v>2701</v>
      </c>
      <c r="I1903" s="54">
        <f>_xll.DBRW($A$1,$F$14,$F$15,$C1903,$A$2,$F1903,$G1903,$H1903,I$1)</f>
        <v>2</v>
      </c>
      <c r="J1903" s="25">
        <f>_xll.DBRW($A$1,$F$14,$F$15,$C1903,$A$2,$F1903,$G1903,$H1903,J$19)</f>
        <v>11</v>
      </c>
    </row>
    <row r="1904" spans="1:10" s="23" customFormat="1" outlineLevel="1" thickBot="1" x14ac:dyDescent="0.3">
      <c r="A1904" s="44"/>
      <c r="B1904" s="31" t="str">
        <f>IF(_xll.TM1RPTELISCONSOLIDATED($H$20,$H1904),IF(_xll.TM1RPTELLEV($H$20,$H1904)&lt;=5,_xll.TM1RPTELLEV($H$20,$H1904),"Default"),"Leaf")</f>
        <v>Leaf</v>
      </c>
      <c r="C1904" s="26" t="s">
        <v>19</v>
      </c>
      <c r="D1904" s="24" t="str">
        <f>_xll.DBRW("TM1-S1_DEV:}ElementAttributes_SP_SKU",$F1904,D$1)</f>
        <v>Primary</v>
      </c>
      <c r="E1904" s="24" t="str">
        <f>_xll.DBRW("TM1-S1_DEV:}ElementAttributes_SP_SKU",$F1904,E$1)</f>
        <v>TRAY</v>
      </c>
      <c r="F1904" s="26" t="s">
        <v>3200</v>
      </c>
      <c r="G1904" s="26" t="s">
        <v>1818</v>
      </c>
      <c r="H1904" s="26" t="s">
        <v>2703</v>
      </c>
      <c r="I1904" s="54">
        <f>_xll.DBRW($A$1,$F$14,$F$15,$C1904,$A$2,$F1904,$G1904,$H1904,I$1)</f>
        <v>6</v>
      </c>
      <c r="J1904" s="25">
        <f>_xll.DBRW($A$1,$F$14,$F$15,$C1904,$A$2,$F1904,$G1904,$H1904,J$19)</f>
        <v>12</v>
      </c>
    </row>
    <row r="1905" spans="1:10" s="23" customFormat="1" outlineLevel="1" thickBot="1" x14ac:dyDescent="0.3">
      <c r="A1905" s="44"/>
      <c r="B1905" s="31" t="str">
        <f>IF(_xll.TM1RPTELISCONSOLIDATED($H$20,$H1905),IF(_xll.TM1RPTELLEV($H$20,$H1905)&lt;=5,_xll.TM1RPTELLEV($H$20,$H1905),"Default"),"Leaf")</f>
        <v>Leaf</v>
      </c>
      <c r="C1905" s="26" t="s">
        <v>19</v>
      </c>
      <c r="D1905" s="24" t="str">
        <f>_xll.DBRW("TM1-S1_DEV:}ElementAttributes_SP_SKU",$F1905,D$1)</f>
        <v>Primary</v>
      </c>
      <c r="E1905" s="24" t="str">
        <f>_xll.DBRW("TM1-S1_DEV:}ElementAttributes_SP_SKU",$F1905,E$1)</f>
        <v>TRAY</v>
      </c>
      <c r="F1905" s="26" t="s">
        <v>3201</v>
      </c>
      <c r="G1905" s="26" t="s">
        <v>1819</v>
      </c>
      <c r="H1905" s="26" t="s">
        <v>2703</v>
      </c>
      <c r="I1905" s="54">
        <f>_xll.DBRW($A$1,$F$14,$F$15,$C1905,$A$2,$F1905,$G1905,$H1905,I$1)</f>
        <v>11</v>
      </c>
      <c r="J1905" s="25">
        <f>_xll.DBRW($A$1,$F$14,$F$15,$C1905,$A$2,$F1905,$G1905,$H1905,J$19)</f>
        <v>9</v>
      </c>
    </row>
    <row r="1906" spans="1:10" s="23" customFormat="1" outlineLevel="1" thickBot="1" x14ac:dyDescent="0.3">
      <c r="A1906" s="44"/>
      <c r="B1906" s="31" t="str">
        <f>IF(_xll.TM1RPTELISCONSOLIDATED($H$20,$H1906),IF(_xll.TM1RPTELLEV($H$20,$H1906)&lt;=5,_xll.TM1RPTELLEV($H$20,$H1906),"Default"),"Leaf")</f>
        <v>Leaf</v>
      </c>
      <c r="C1906" s="26" t="s">
        <v>19</v>
      </c>
      <c r="D1906" s="24" t="str">
        <f>_xll.DBRW("TM1-S1_DEV:}ElementAttributes_SP_SKU",$F1906,D$1)</f>
        <v>Primary</v>
      </c>
      <c r="E1906" s="24" t="str">
        <f>_xll.DBRW("TM1-S1_DEV:}ElementAttributes_SP_SKU",$F1906,E$1)</f>
        <v>TRAY</v>
      </c>
      <c r="F1906" s="26" t="s">
        <v>3202</v>
      </c>
      <c r="G1906" s="26" t="s">
        <v>1820</v>
      </c>
      <c r="H1906" s="26" t="s">
        <v>2703</v>
      </c>
      <c r="I1906" s="54">
        <f>_xll.DBRW($A$1,$F$14,$F$15,$C1906,$A$2,$F1906,$G1906,$H1906,I$1)</f>
        <v>16</v>
      </c>
      <c r="J1906" s="25">
        <f>_xll.DBRW($A$1,$F$14,$F$15,$C1906,$A$2,$F1906,$G1906,$H1906,J$19)</f>
        <v>16</v>
      </c>
    </row>
    <row r="1907" spans="1:10" s="23" customFormat="1" outlineLevel="1" thickBot="1" x14ac:dyDescent="0.3">
      <c r="A1907" s="44"/>
      <c r="B1907" s="31" t="str">
        <f>IF(_xll.TM1RPTELISCONSOLIDATED($H$20,$H1907),IF(_xll.TM1RPTELLEV($H$20,$H1907)&lt;=5,_xll.TM1RPTELLEV($H$20,$H1907),"Default"),"Leaf")</f>
        <v>Leaf</v>
      </c>
      <c r="C1907" s="26" t="s">
        <v>19</v>
      </c>
      <c r="D1907" s="24" t="str">
        <f>_xll.DBRW("TM1-S1_DEV:}ElementAttributes_SP_SKU",$F1907,D$1)</f>
        <v>Primary</v>
      </c>
      <c r="E1907" s="24" t="str">
        <f>_xll.DBRW("TM1-S1_DEV:}ElementAttributes_SP_SKU",$F1907,E$1)</f>
        <v>TRAY</v>
      </c>
      <c r="F1907" s="26" t="s">
        <v>3203</v>
      </c>
      <c r="G1907" s="26" t="s">
        <v>1821</v>
      </c>
      <c r="H1907" s="26" t="s">
        <v>2703</v>
      </c>
      <c r="I1907" s="54">
        <f>_xll.DBRW($A$1,$F$14,$F$15,$C1907,$A$2,$F1907,$G1907,$H1907,I$1)</f>
        <v>13</v>
      </c>
      <c r="J1907" s="25">
        <f>_xll.DBRW($A$1,$F$14,$F$15,$C1907,$A$2,$F1907,$G1907,$H1907,J$19)</f>
        <v>13</v>
      </c>
    </row>
    <row r="1908" spans="1:10" s="23" customFormat="1" outlineLevel="1" thickBot="1" x14ac:dyDescent="0.3">
      <c r="A1908" s="44"/>
      <c r="B1908" s="31" t="str">
        <f>IF(_xll.TM1RPTELISCONSOLIDATED($H$20,$H1908),IF(_xll.TM1RPTELLEV($H$20,$H1908)&lt;=5,_xll.TM1RPTELLEV($H$20,$H1908),"Default"),"Leaf")</f>
        <v>Leaf</v>
      </c>
      <c r="C1908" s="26" t="s">
        <v>19</v>
      </c>
      <c r="D1908" s="24" t="str">
        <f>_xll.DBRW("TM1-S1_DEV:}ElementAttributes_SP_SKU",$F1908,D$1)</f>
        <v>Primary</v>
      </c>
      <c r="E1908" s="24" t="str">
        <f>_xll.DBRW("TM1-S1_DEV:}ElementAttributes_SP_SKU",$F1908,E$1)</f>
        <v>FOIL</v>
      </c>
      <c r="F1908" s="26" t="s">
        <v>3204</v>
      </c>
      <c r="G1908" s="26" t="s">
        <v>1822</v>
      </c>
      <c r="H1908" s="26" t="s">
        <v>2704</v>
      </c>
      <c r="I1908" s="54">
        <f>_xll.DBRW($A$1,$F$14,$F$15,$C1908,$A$2,$F1908,$G1908,$H1908,I$1)</f>
        <v>40</v>
      </c>
      <c r="J1908" s="25">
        <f>_xll.DBRW($A$1,$F$14,$F$15,$C1908,$A$2,$F1908,$G1908,$H1908,J$19)</f>
        <v>69</v>
      </c>
    </row>
    <row r="1909" spans="1:10" s="23" customFormat="1" outlineLevel="1" thickBot="1" x14ac:dyDescent="0.3">
      <c r="A1909" s="44"/>
      <c r="B1909" s="31" t="str">
        <f>IF(_xll.TM1RPTELISCONSOLIDATED($H$20,$H1909),IF(_xll.TM1RPTELLEV($H$20,$H1909)&lt;=5,_xll.TM1RPTELLEV($H$20,$H1909),"Default"),"Leaf")</f>
        <v>Leaf</v>
      </c>
      <c r="C1909" s="26" t="s">
        <v>19</v>
      </c>
      <c r="D1909" s="24" t="str">
        <f>_xll.DBRW("TM1-S1_DEV:}ElementAttributes_SP_SKU",$F1909,D$1)</f>
        <v>Primary</v>
      </c>
      <c r="E1909" s="24" t="str">
        <f>_xll.DBRW("TM1-S1_DEV:}ElementAttributes_SP_SKU",$F1909,E$1)</f>
        <v>BAG</v>
      </c>
      <c r="F1909" s="26" t="s">
        <v>3205</v>
      </c>
      <c r="G1909" s="26" t="s">
        <v>1823</v>
      </c>
      <c r="H1909" s="26" t="s">
        <v>2705</v>
      </c>
      <c r="I1909" s="54">
        <f>_xll.DBRW($A$1,$F$14,$F$15,$C1909,$A$2,$F1909,$G1909,$H1909,I$1)</f>
        <v>18</v>
      </c>
      <c r="J1909" s="25">
        <f>_xll.DBRW($A$1,$F$14,$F$15,$C1909,$A$2,$F1909,$G1909,$H1909,J$19)</f>
        <v>18</v>
      </c>
    </row>
    <row r="1910" spans="1:10" s="23" customFormat="1" outlineLevel="1" thickBot="1" x14ac:dyDescent="0.3">
      <c r="A1910" s="44"/>
      <c r="B1910" s="31" t="str">
        <f>IF(_xll.TM1RPTELISCONSOLIDATED($H$20,$H1910),IF(_xll.TM1RPTELLEV($H$20,$H1910)&lt;=5,_xll.TM1RPTELLEV($H$20,$H1910),"Default"),"Leaf")</f>
        <v>Leaf</v>
      </c>
      <c r="C1910" s="26" t="s">
        <v>19</v>
      </c>
      <c r="D1910" s="24" t="str">
        <f>_xll.DBRW("TM1-S1_DEV:}ElementAttributes_SP_SKU",$F1910,D$1)</f>
        <v>Primary</v>
      </c>
      <c r="E1910" s="24" t="str">
        <f>_xll.DBRW("TM1-S1_DEV:}ElementAttributes_SP_SKU",$F1910,E$1)</f>
        <v>FOIL</v>
      </c>
      <c r="F1910" s="26" t="s">
        <v>3206</v>
      </c>
      <c r="G1910" s="26" t="s">
        <v>1824</v>
      </c>
      <c r="H1910" s="26" t="s">
        <v>2704</v>
      </c>
      <c r="I1910" s="54">
        <f>_xll.DBRW($A$1,$F$14,$F$15,$C1910,$A$2,$F1910,$G1910,$H1910,I$1)</f>
        <v>45</v>
      </c>
      <c r="J1910" s="25">
        <f>_xll.DBRW($A$1,$F$14,$F$15,$C1910,$A$2,$F1910,$G1910,$H1910,J$19)</f>
        <v>33</v>
      </c>
    </row>
    <row r="1911" spans="1:10" s="23" customFormat="1" outlineLevel="1" thickBot="1" x14ac:dyDescent="0.3">
      <c r="A1911" s="44"/>
      <c r="B1911" s="31" t="str">
        <f>IF(_xll.TM1RPTELISCONSOLIDATED($H$20,$H1911),IF(_xll.TM1RPTELLEV($H$20,$H1911)&lt;=5,_xll.TM1RPTELLEV($H$20,$H1911),"Default"),"Leaf")</f>
        <v>Leaf</v>
      </c>
      <c r="C1911" s="26" t="s">
        <v>19</v>
      </c>
      <c r="D1911" s="24" t="str">
        <f>_xll.DBRW("TM1-S1_DEV:}ElementAttributes_SP_SKU",$F1911,D$1)</f>
        <v>Primary</v>
      </c>
      <c r="E1911" s="24" t="str">
        <f>_xll.DBRW("TM1-S1_DEV:}ElementAttributes_SP_SKU",$F1911,E$1)</f>
        <v>FOIL</v>
      </c>
      <c r="F1911" s="26" t="s">
        <v>3207</v>
      </c>
      <c r="G1911" s="26" t="s">
        <v>1825</v>
      </c>
      <c r="H1911" s="26" t="s">
        <v>2704</v>
      </c>
      <c r="I1911" s="54">
        <f>_xll.DBRW($A$1,$F$14,$F$15,$C1911,$A$2,$F1911,$G1911,$H1911,I$1)</f>
        <v>6</v>
      </c>
      <c r="J1911" s="25">
        <f>_xll.DBRW($A$1,$F$14,$F$15,$C1911,$A$2,$F1911,$G1911,$H1911,J$19)</f>
        <v>4</v>
      </c>
    </row>
    <row r="1912" spans="1:10" s="23" customFormat="1" outlineLevel="1" thickBot="1" x14ac:dyDescent="0.3">
      <c r="A1912" s="44"/>
      <c r="B1912" s="31" t="str">
        <f>IF(_xll.TM1RPTELISCONSOLIDATED($H$20,$H1912),IF(_xll.TM1RPTELLEV($H$20,$H1912)&lt;=5,_xll.TM1RPTELLEV($H$20,$H1912),"Default"),"Leaf")</f>
        <v>Leaf</v>
      </c>
      <c r="C1912" s="26" t="s">
        <v>19</v>
      </c>
      <c r="D1912" s="24" t="str">
        <f>_xll.DBRW("TM1-S1_DEV:}ElementAttributes_SP_SKU",$F1912,D$1)</f>
        <v>Primary</v>
      </c>
      <c r="E1912" s="24" t="str">
        <f>_xll.DBRW("TM1-S1_DEV:}ElementAttributes_SP_SKU",$F1912,E$1)</f>
        <v>BAG</v>
      </c>
      <c r="F1912" s="26" t="s">
        <v>3208</v>
      </c>
      <c r="G1912" s="26" t="s">
        <v>1826</v>
      </c>
      <c r="H1912" s="26" t="s">
        <v>2705</v>
      </c>
      <c r="I1912" s="54">
        <f>_xll.DBRW($A$1,$F$14,$F$15,$C1912,$A$2,$F1912,$G1912,$H1912,I$1)</f>
        <v>23</v>
      </c>
      <c r="J1912" s="25">
        <f>_xll.DBRW($A$1,$F$14,$F$15,$C1912,$A$2,$F1912,$G1912,$H1912,J$19)</f>
        <v>20</v>
      </c>
    </row>
    <row r="1913" spans="1:10" s="23" customFormat="1" outlineLevel="1" thickBot="1" x14ac:dyDescent="0.3">
      <c r="A1913" s="44"/>
      <c r="B1913" s="31" t="str">
        <f>IF(_xll.TM1RPTELISCONSOLIDATED($H$20,$H1913),IF(_xll.TM1RPTELLEV($H$20,$H1913)&lt;=5,_xll.TM1RPTELLEV($H$20,$H1913),"Default"),"Leaf")</f>
        <v>Leaf</v>
      </c>
      <c r="C1913" s="26" t="s">
        <v>19</v>
      </c>
      <c r="D1913" s="24" t="str">
        <f>_xll.DBRW("TM1-S1_DEV:}ElementAttributes_SP_SKU",$F1913,D$1)</f>
        <v>Primary</v>
      </c>
      <c r="E1913" s="24" t="str">
        <f>_xll.DBRW("TM1-S1_DEV:}ElementAttributes_SP_SKU",$F1913,E$1)</f>
        <v>BAG</v>
      </c>
      <c r="F1913" s="26" t="s">
        <v>3209</v>
      </c>
      <c r="G1913" s="26" t="s">
        <v>1827</v>
      </c>
      <c r="H1913" s="26" t="s">
        <v>2705</v>
      </c>
      <c r="I1913" s="54">
        <f>_xll.DBRW($A$1,$F$14,$F$15,$C1913,$A$2,$F1913,$G1913,$H1913,I$1)</f>
        <v>41</v>
      </c>
      <c r="J1913" s="25">
        <f>_xll.DBRW($A$1,$F$14,$F$15,$C1913,$A$2,$F1913,$G1913,$H1913,J$19)</f>
        <v>65</v>
      </c>
    </row>
    <row r="1914" spans="1:10" s="23" customFormat="1" outlineLevel="1" thickBot="1" x14ac:dyDescent="0.3">
      <c r="A1914" s="44"/>
      <c r="B1914" s="31" t="str">
        <f>IF(_xll.TM1RPTELISCONSOLIDATED($H$20,$H1914),IF(_xll.TM1RPTELLEV($H$20,$H1914)&lt;=5,_xll.TM1RPTELLEV($H$20,$H1914),"Default"),"Leaf")</f>
        <v>Leaf</v>
      </c>
      <c r="C1914" s="26" t="s">
        <v>19</v>
      </c>
      <c r="D1914" s="24" t="str">
        <f>_xll.DBRW("TM1-S1_DEV:}ElementAttributes_SP_SKU",$F1914,D$1)</f>
        <v>Primary</v>
      </c>
      <c r="E1914" s="24" t="str">
        <f>_xll.DBRW("TM1-S1_DEV:}ElementAttributes_SP_SKU",$F1914,E$1)</f>
        <v>BAG</v>
      </c>
      <c r="F1914" s="26" t="s">
        <v>3210</v>
      </c>
      <c r="G1914" s="26" t="s">
        <v>1828</v>
      </c>
      <c r="H1914" s="26" t="s">
        <v>2705</v>
      </c>
      <c r="I1914" s="54">
        <f>_xll.DBRW($A$1,$F$14,$F$15,$C1914,$A$2,$F1914,$G1914,$H1914,I$1)</f>
        <v>5</v>
      </c>
      <c r="J1914" s="25">
        <f>_xll.DBRW($A$1,$F$14,$F$15,$C1914,$A$2,$F1914,$G1914,$H1914,J$19)</f>
        <v>15</v>
      </c>
    </row>
    <row r="1915" spans="1:10" s="23" customFormat="1" outlineLevel="1" thickBot="1" x14ac:dyDescent="0.3">
      <c r="A1915" s="44"/>
      <c r="B1915" s="31" t="str">
        <f>IF(_xll.TM1RPTELISCONSOLIDATED($H$20,$H1915),IF(_xll.TM1RPTELLEV($H$20,$H1915)&lt;=5,_xll.TM1RPTELLEV($H$20,$H1915),"Default"),"Leaf")</f>
        <v>Leaf</v>
      </c>
      <c r="C1915" s="26" t="s">
        <v>19</v>
      </c>
      <c r="D1915" s="24" t="str">
        <f>_xll.DBRW("TM1-S1_DEV:}ElementAttributes_SP_SKU",$F1915,D$1)</f>
        <v>Primary</v>
      </c>
      <c r="E1915" s="24" t="str">
        <f>_xll.DBRW("TM1-S1_DEV:}ElementAttributes_SP_SKU",$F1915,E$1)</f>
        <v>BOX</v>
      </c>
      <c r="F1915" s="26" t="s">
        <v>3211</v>
      </c>
      <c r="G1915" s="26" t="s">
        <v>1829</v>
      </c>
      <c r="H1915" s="26" t="s">
        <v>2706</v>
      </c>
      <c r="I1915" s="54">
        <f>_xll.DBRW($A$1,$F$14,$F$15,$C1915,$A$2,$F1915,$G1915,$H1915,I$1)</f>
        <v>52</v>
      </c>
      <c r="J1915" s="25">
        <f>_xll.DBRW($A$1,$F$14,$F$15,$C1915,$A$2,$F1915,$G1915,$H1915,J$19)</f>
        <v>92</v>
      </c>
    </row>
    <row r="1916" spans="1:10" s="23" customFormat="1" outlineLevel="1" thickBot="1" x14ac:dyDescent="0.3">
      <c r="A1916" s="44"/>
      <c r="B1916" s="31" t="str">
        <f>IF(_xll.TM1RPTELISCONSOLIDATED($H$20,$H1916),IF(_xll.TM1RPTELLEV($H$20,$H1916)&lt;=5,_xll.TM1RPTELLEV($H$20,$H1916),"Default"),"Leaf")</f>
        <v>Leaf</v>
      </c>
      <c r="C1916" s="26" t="s">
        <v>19</v>
      </c>
      <c r="D1916" s="24" t="str">
        <f>_xll.DBRW("TM1-S1_DEV:}ElementAttributes_SP_SKU",$F1916,D$1)</f>
        <v>Primary</v>
      </c>
      <c r="E1916" s="24" t="str">
        <f>_xll.DBRW("TM1-S1_DEV:}ElementAttributes_SP_SKU",$F1916,E$1)</f>
        <v>FOIL</v>
      </c>
      <c r="F1916" s="26" t="s">
        <v>3212</v>
      </c>
      <c r="G1916" s="26" t="s">
        <v>1830</v>
      </c>
      <c r="H1916" s="26" t="s">
        <v>2704</v>
      </c>
      <c r="I1916" s="54">
        <f>_xll.DBRW($A$1,$F$14,$F$15,$C1916,$A$2,$F1916,$G1916,$H1916,I$1)</f>
        <v>133</v>
      </c>
      <c r="J1916" s="25">
        <f>_xll.DBRW($A$1,$F$14,$F$15,$C1916,$A$2,$F1916,$G1916,$H1916,J$19)</f>
        <v>133</v>
      </c>
    </row>
    <row r="1917" spans="1:10" s="23" customFormat="1" outlineLevel="1" thickBot="1" x14ac:dyDescent="0.3">
      <c r="A1917" s="44"/>
      <c r="B1917" s="31" t="str">
        <f>IF(_xll.TM1RPTELISCONSOLIDATED($H$20,$H1917),IF(_xll.TM1RPTELLEV($H$20,$H1917)&lt;=5,_xll.TM1RPTELLEV($H$20,$H1917),"Default"),"Leaf")</f>
        <v>Leaf</v>
      </c>
      <c r="C1917" s="26" t="s">
        <v>19</v>
      </c>
      <c r="D1917" s="24" t="str">
        <f>_xll.DBRW("TM1-S1_DEV:}ElementAttributes_SP_SKU",$F1917,D$1)</f>
        <v>Primary</v>
      </c>
      <c r="E1917" s="24" t="str">
        <f>_xll.DBRW("TM1-S1_DEV:}ElementAttributes_SP_SKU",$F1917,E$1)</f>
        <v>TRAY</v>
      </c>
      <c r="F1917" s="26" t="s">
        <v>3213</v>
      </c>
      <c r="G1917" s="26" t="s">
        <v>1831</v>
      </c>
      <c r="H1917" s="26" t="s">
        <v>2703</v>
      </c>
      <c r="I1917" s="54">
        <f>_xll.DBRW($A$1,$F$14,$F$15,$C1917,$A$2,$F1917,$G1917,$H1917,I$1)</f>
        <v>33</v>
      </c>
      <c r="J1917" s="25">
        <f>_xll.DBRW($A$1,$F$14,$F$15,$C1917,$A$2,$F1917,$G1917,$H1917,J$19)</f>
        <v>33</v>
      </c>
    </row>
    <row r="1918" spans="1:10" s="23" customFormat="1" outlineLevel="1" thickBot="1" x14ac:dyDescent="0.3">
      <c r="A1918" s="44"/>
      <c r="B1918" s="31" t="str">
        <f>IF(_xll.TM1RPTELISCONSOLIDATED($H$20,$H1918),IF(_xll.TM1RPTELLEV($H$20,$H1918)&lt;=5,_xll.TM1RPTELLEV($H$20,$H1918),"Default"),"Leaf")</f>
        <v>Leaf</v>
      </c>
      <c r="C1918" s="26" t="s">
        <v>19</v>
      </c>
      <c r="D1918" s="24" t="str">
        <f>_xll.DBRW("TM1-S1_DEV:}ElementAttributes_SP_SKU",$F1918,D$1)</f>
        <v>Primary</v>
      </c>
      <c r="E1918" s="24" t="str">
        <f>_xll.DBRW("TM1-S1_DEV:}ElementAttributes_SP_SKU",$F1918,E$1)</f>
        <v>TRAY</v>
      </c>
      <c r="F1918" s="26" t="s">
        <v>3214</v>
      </c>
      <c r="G1918" s="26" t="s">
        <v>1832</v>
      </c>
      <c r="H1918" s="26" t="s">
        <v>2703</v>
      </c>
      <c r="I1918" s="54">
        <f>_xll.DBRW($A$1,$F$14,$F$15,$C1918,$A$2,$F1918,$G1918,$H1918,I$1)</f>
        <v>6</v>
      </c>
      <c r="J1918" s="25">
        <f>_xll.DBRW($A$1,$F$14,$F$15,$C1918,$A$2,$F1918,$G1918,$H1918,J$19)</f>
        <v>12</v>
      </c>
    </row>
    <row r="1919" spans="1:10" s="23" customFormat="1" outlineLevel="1" thickBot="1" x14ac:dyDescent="0.3">
      <c r="A1919" s="44"/>
      <c r="B1919" s="31" t="str">
        <f>IF(_xll.TM1RPTELISCONSOLIDATED($H$20,$H1919),IF(_xll.TM1RPTELLEV($H$20,$H1919)&lt;=5,_xll.TM1RPTELLEV($H$20,$H1919),"Default"),"Leaf")</f>
        <v>Leaf</v>
      </c>
      <c r="C1919" s="26" t="s">
        <v>19</v>
      </c>
      <c r="D1919" s="24" t="str">
        <f>_xll.DBRW("TM1-S1_DEV:}ElementAttributes_SP_SKU",$F1919,D$1)</f>
        <v>Primary</v>
      </c>
      <c r="E1919" s="24" t="str">
        <f>_xll.DBRW("TM1-S1_DEV:}ElementAttributes_SP_SKU",$F1919,E$1)</f>
        <v>BOWL</v>
      </c>
      <c r="F1919" s="26" t="s">
        <v>3215</v>
      </c>
      <c r="G1919" s="26" t="s">
        <v>1833</v>
      </c>
      <c r="H1919" s="26" t="s">
        <v>2703</v>
      </c>
      <c r="I1919" s="54">
        <f>_xll.DBRW($A$1,$F$14,$F$15,$C1919,$A$2,$F1919,$G1919,$H1919,I$1)</f>
        <v>5</v>
      </c>
      <c r="J1919" s="25">
        <f>_xll.DBRW($A$1,$F$14,$F$15,$C1919,$A$2,$F1919,$G1919,$H1919,J$19)</f>
        <v>7</v>
      </c>
    </row>
    <row r="1920" spans="1:10" s="23" customFormat="1" outlineLevel="1" thickBot="1" x14ac:dyDescent="0.3">
      <c r="A1920" s="44"/>
      <c r="B1920" s="31" t="str">
        <f>IF(_xll.TM1RPTELISCONSOLIDATED($H$20,$H1920),IF(_xll.TM1RPTELLEV($H$20,$H1920)&lt;=5,_xll.TM1RPTELLEV($H$20,$H1920),"Default"),"Leaf")</f>
        <v>Leaf</v>
      </c>
      <c r="C1920" s="26" t="s">
        <v>19</v>
      </c>
      <c r="D1920" s="24" t="str">
        <f>_xll.DBRW("TM1-S1_DEV:}ElementAttributes_SP_SKU",$F1920,D$1)</f>
        <v>Primary</v>
      </c>
      <c r="E1920" s="24" t="str">
        <f>_xll.DBRW("TM1-S1_DEV:}ElementAttributes_SP_SKU",$F1920,E$1)</f>
        <v>BOWL</v>
      </c>
      <c r="F1920" s="26" t="s">
        <v>3216</v>
      </c>
      <c r="G1920" s="26" t="s">
        <v>1834</v>
      </c>
      <c r="H1920" s="26" t="s">
        <v>2703</v>
      </c>
      <c r="I1920" s="54">
        <f>_xll.DBRW($A$1,$F$14,$F$15,$C1920,$A$2,$F1920,$G1920,$H1920,I$1)</f>
        <v>9</v>
      </c>
      <c r="J1920" s="25">
        <f>_xll.DBRW($A$1,$F$14,$F$15,$C1920,$A$2,$F1920,$G1920,$H1920,J$19)</f>
        <v>8</v>
      </c>
    </row>
    <row r="1921" spans="1:10" s="23" customFormat="1" outlineLevel="1" thickBot="1" x14ac:dyDescent="0.3">
      <c r="A1921" s="44"/>
      <c r="B1921" s="31" t="str">
        <f>IF(_xll.TM1RPTELISCONSOLIDATED($H$20,$H1921),IF(_xll.TM1RPTELLEV($H$20,$H1921)&lt;=5,_xll.TM1RPTELLEV($H$20,$H1921),"Default"),"Leaf")</f>
        <v>Leaf</v>
      </c>
      <c r="C1921" s="26" t="s">
        <v>19</v>
      </c>
      <c r="D1921" s="24" t="str">
        <f>_xll.DBRW("TM1-S1_DEV:}ElementAttributes_SP_SKU",$F1921,D$1)</f>
        <v>Primary</v>
      </c>
      <c r="E1921" s="24" t="str">
        <f>_xll.DBRW("TM1-S1_DEV:}ElementAttributes_SP_SKU",$F1921,E$1)</f>
        <v>UTENSIL</v>
      </c>
      <c r="F1921" s="26" t="s">
        <v>3217</v>
      </c>
      <c r="G1921" s="26" t="s">
        <v>1835</v>
      </c>
      <c r="H1921" s="26" t="s">
        <v>2703</v>
      </c>
      <c r="I1921" s="54">
        <f>_xll.DBRW($A$1,$F$14,$F$15,$C1921,$A$2,$F1921,$G1921,$H1921,I$1)</f>
        <v>14</v>
      </c>
      <c r="J1921" s="25">
        <f>_xll.DBRW($A$1,$F$14,$F$15,$C1921,$A$2,$F1921,$G1921,$H1921,J$19)</f>
        <v>13</v>
      </c>
    </row>
    <row r="1922" spans="1:10" s="23" customFormat="1" outlineLevel="1" thickBot="1" x14ac:dyDescent="0.3">
      <c r="A1922" s="44"/>
      <c r="B1922" s="31" t="str">
        <f>IF(_xll.TM1RPTELISCONSOLIDATED($H$20,$H1922),IF(_xll.TM1RPTELLEV($H$20,$H1922)&lt;=5,_xll.TM1RPTELLEV($H$20,$H1922),"Default"),"Leaf")</f>
        <v>Leaf</v>
      </c>
      <c r="C1922" s="26" t="s">
        <v>19</v>
      </c>
      <c r="D1922" s="24" t="str">
        <f>_xll.DBRW("TM1-S1_DEV:}ElementAttributes_SP_SKU",$F1922,D$1)</f>
        <v>Primary</v>
      </c>
      <c r="E1922" s="24" t="str">
        <f>_xll.DBRW("TM1-S1_DEV:}ElementAttributes_SP_SKU",$F1922,E$1)</f>
        <v>UTENSIL</v>
      </c>
      <c r="F1922" s="26" t="s">
        <v>3218</v>
      </c>
      <c r="G1922" s="26" t="s">
        <v>1836</v>
      </c>
      <c r="H1922" s="26" t="s">
        <v>2703</v>
      </c>
      <c r="I1922" s="54">
        <f>_xll.DBRW($A$1,$F$14,$F$15,$C1922,$A$2,$F1922,$G1922,$H1922,I$1)</f>
        <v>50</v>
      </c>
      <c r="J1922" s="25">
        <f>_xll.DBRW($A$1,$F$14,$F$15,$C1922,$A$2,$F1922,$G1922,$H1922,J$19)</f>
        <v>49</v>
      </c>
    </row>
    <row r="1923" spans="1:10" s="23" customFormat="1" outlineLevel="1" thickBot="1" x14ac:dyDescent="0.3">
      <c r="A1923" s="44"/>
      <c r="B1923" s="31" t="str">
        <f>IF(_xll.TM1RPTELISCONSOLIDATED($H$20,$H1923),IF(_xll.TM1RPTELLEV($H$20,$H1923)&lt;=5,_xll.TM1RPTELLEV($H$20,$H1923),"Default"),"Leaf")</f>
        <v>Leaf</v>
      </c>
      <c r="C1923" s="26" t="s">
        <v>19</v>
      </c>
      <c r="D1923" s="24" t="str">
        <f>_xll.DBRW("TM1-S1_DEV:}ElementAttributes_SP_SKU",$F1923,D$1)</f>
        <v>Primary</v>
      </c>
      <c r="E1923" s="24" t="str">
        <f>_xll.DBRW("TM1-S1_DEV:}ElementAttributes_SP_SKU",$F1923,E$1)</f>
        <v>BAG</v>
      </c>
      <c r="F1923" s="26" t="s">
        <v>3219</v>
      </c>
      <c r="G1923" s="26" t="s">
        <v>1837</v>
      </c>
      <c r="H1923" s="26" t="s">
        <v>2705</v>
      </c>
      <c r="I1923" s="54">
        <f>_xll.DBRW($A$1,$F$14,$F$15,$C1923,$A$2,$F1923,$G1923,$H1923,I$1)</f>
        <v>33</v>
      </c>
      <c r="J1923" s="25">
        <f>_xll.DBRW($A$1,$F$14,$F$15,$C1923,$A$2,$F1923,$G1923,$H1923,J$19)</f>
        <v>23</v>
      </c>
    </row>
    <row r="1924" spans="1:10" s="23" customFormat="1" outlineLevel="1" thickBot="1" x14ac:dyDescent="0.3">
      <c r="A1924" s="44"/>
      <c r="B1924" s="31" t="str">
        <f>IF(_xll.TM1RPTELISCONSOLIDATED($H$20,$H1924),IF(_xll.TM1RPTELLEV($H$20,$H1924)&lt;=5,_xll.TM1RPTELLEV($H$20,$H1924),"Default"),"Leaf")</f>
        <v>Leaf</v>
      </c>
      <c r="C1924" s="26" t="s">
        <v>19</v>
      </c>
      <c r="D1924" s="24" t="str">
        <f>_xll.DBRW("TM1-S1_DEV:}ElementAttributes_SP_SKU",$F1924,D$1)</f>
        <v>Primary</v>
      </c>
      <c r="E1924" s="24" t="str">
        <f>_xll.DBRW("TM1-S1_DEV:}ElementAttributes_SP_SKU",$F1924,E$1)</f>
        <v>BOX</v>
      </c>
      <c r="F1924" s="26" t="s">
        <v>3220</v>
      </c>
      <c r="G1924" s="26" t="s">
        <v>1838</v>
      </c>
      <c r="H1924" s="26" t="s">
        <v>2702</v>
      </c>
      <c r="I1924" s="54">
        <f>_xll.DBRW($A$1,$F$14,$F$15,$C1924,$A$2,$F1924,$G1924,$H1924,I$1)</f>
        <v>1</v>
      </c>
      <c r="J1924" s="25">
        <f>_xll.DBRW($A$1,$F$14,$F$15,$C1924,$A$2,$F1924,$G1924,$H1924,J$19)</f>
        <v>1</v>
      </c>
    </row>
    <row r="1925" spans="1:10" s="23" customFormat="1" outlineLevel="1" thickBot="1" x14ac:dyDescent="0.3">
      <c r="A1925" s="44"/>
      <c r="B1925" s="31" t="str">
        <f>IF(_xll.TM1RPTELISCONSOLIDATED($H$20,$H1925),IF(_xll.TM1RPTELLEV($H$20,$H1925)&lt;=5,_xll.TM1RPTELLEV($H$20,$H1925),"Default"),"Leaf")</f>
        <v>Leaf</v>
      </c>
      <c r="C1925" s="26" t="s">
        <v>19</v>
      </c>
      <c r="D1925" s="24" t="str">
        <f>_xll.DBRW("TM1-S1_DEV:}ElementAttributes_SP_SKU",$F1925,D$1)</f>
        <v>Primary</v>
      </c>
      <c r="E1925" s="24" t="str">
        <f>_xll.DBRW("TM1-S1_DEV:}ElementAttributes_SP_SKU",$F1925,E$1)</f>
        <v>BOX</v>
      </c>
      <c r="F1925" s="26" t="s">
        <v>3221</v>
      </c>
      <c r="G1925" s="26" t="s">
        <v>1839</v>
      </c>
      <c r="H1925" s="26" t="s">
        <v>2702</v>
      </c>
      <c r="I1925" s="54">
        <f>_xll.DBRW($A$1,$F$14,$F$15,$C1925,$A$2,$F1925,$G1925,$H1925,I$1)</f>
        <v>16</v>
      </c>
      <c r="J1925" s="25">
        <f>_xll.DBRW($A$1,$F$14,$F$15,$C1925,$A$2,$F1925,$G1925,$H1925,J$19)</f>
        <v>16</v>
      </c>
    </row>
    <row r="1926" spans="1:10" s="23" customFormat="1" outlineLevel="1" thickBot="1" x14ac:dyDescent="0.3">
      <c r="A1926" s="44"/>
      <c r="B1926" s="31" t="str">
        <f>IF(_xll.TM1RPTELISCONSOLIDATED($H$20,$H1926),IF(_xll.TM1RPTELLEV($H$20,$H1926)&lt;=5,_xll.TM1RPTELLEV($H$20,$H1926),"Default"),"Leaf")</f>
        <v>Leaf</v>
      </c>
      <c r="C1926" s="26" t="s">
        <v>19</v>
      </c>
      <c r="D1926" s="24" t="str">
        <f>_xll.DBRW("TM1-S1_DEV:}ElementAttributes_SP_SKU",$F1926,D$1)</f>
        <v>Primary</v>
      </c>
      <c r="E1926" s="24" t="str">
        <f>_xll.DBRW("TM1-S1_DEV:}ElementAttributes_SP_SKU",$F1926,E$1)</f>
        <v>BOX</v>
      </c>
      <c r="F1926" s="26" t="s">
        <v>3222</v>
      </c>
      <c r="G1926" s="26" t="s">
        <v>1840</v>
      </c>
      <c r="H1926" s="26" t="s">
        <v>2702</v>
      </c>
      <c r="I1926" s="54">
        <f>_xll.DBRW($A$1,$F$14,$F$15,$C1926,$A$2,$F1926,$G1926,$H1926,I$1)</f>
        <v>20</v>
      </c>
      <c r="J1926" s="25">
        <f>_xll.DBRW($A$1,$F$14,$F$15,$C1926,$A$2,$F1926,$G1926,$H1926,J$19)</f>
        <v>20</v>
      </c>
    </row>
    <row r="1927" spans="1:10" s="23" customFormat="1" outlineLevel="1" thickBot="1" x14ac:dyDescent="0.3">
      <c r="A1927" s="44"/>
      <c r="B1927" s="31" t="str">
        <f>IF(_xll.TM1RPTELISCONSOLIDATED($H$20,$H1927),IF(_xll.TM1RPTELLEV($H$20,$H1927)&lt;=5,_xll.TM1RPTELLEV($H$20,$H1927),"Default"),"Leaf")</f>
        <v>Leaf</v>
      </c>
      <c r="C1927" s="26" t="s">
        <v>19</v>
      </c>
      <c r="D1927" s="24" t="str">
        <f>_xll.DBRW("TM1-S1_DEV:}ElementAttributes_SP_SKU",$F1927,D$1)</f>
        <v>Primary</v>
      </c>
      <c r="E1927" s="24" t="str">
        <f>_xll.DBRW("TM1-S1_DEV:}ElementAttributes_SP_SKU",$F1927,E$1)</f>
        <v>BOWL</v>
      </c>
      <c r="F1927" s="26" t="s">
        <v>3223</v>
      </c>
      <c r="G1927" s="26" t="s">
        <v>1841</v>
      </c>
      <c r="H1927" s="26" t="s">
        <v>2703</v>
      </c>
      <c r="I1927" s="54">
        <f>_xll.DBRW($A$1,$F$14,$F$15,$C1927,$A$2,$F1927,$G1927,$H1927,I$1)</f>
        <v>6</v>
      </c>
      <c r="J1927" s="25">
        <f>_xll.DBRW($A$1,$F$14,$F$15,$C1927,$A$2,$F1927,$G1927,$H1927,J$19)</f>
        <v>6</v>
      </c>
    </row>
    <row r="1928" spans="1:10" s="23" customFormat="1" outlineLevel="1" thickBot="1" x14ac:dyDescent="0.3">
      <c r="A1928" s="44"/>
      <c r="B1928" s="31" t="str">
        <f>IF(_xll.TM1RPTELISCONSOLIDATED($H$20,$H1928),IF(_xll.TM1RPTELLEV($H$20,$H1928)&lt;=5,_xll.TM1RPTELLEV($H$20,$H1928),"Default"),"Leaf")</f>
        <v>Leaf</v>
      </c>
      <c r="C1928" s="26" t="s">
        <v>19</v>
      </c>
      <c r="D1928" s="24" t="str">
        <f>_xll.DBRW("TM1-S1_DEV:}ElementAttributes_SP_SKU",$F1928,D$1)</f>
        <v>Primary</v>
      </c>
      <c r="E1928" s="24" t="str">
        <f>_xll.DBRW("TM1-S1_DEV:}ElementAttributes_SP_SKU",$F1928,E$1)</f>
        <v>BAG</v>
      </c>
      <c r="F1928" s="26" t="s">
        <v>3224</v>
      </c>
      <c r="G1928" s="26" t="s">
        <v>1842</v>
      </c>
      <c r="H1928" s="26" t="s">
        <v>2705</v>
      </c>
      <c r="I1928" s="54">
        <f>_xll.DBRW($A$1,$F$14,$F$15,$C1928,$A$2,$F1928,$G1928,$H1928,I$1)</f>
        <v>19</v>
      </c>
      <c r="J1928" s="25">
        <f>_xll.DBRW($A$1,$F$14,$F$15,$C1928,$A$2,$F1928,$G1928,$H1928,J$19)</f>
        <v>18</v>
      </c>
    </row>
    <row r="1929" spans="1:10" s="23" customFormat="1" outlineLevel="1" thickBot="1" x14ac:dyDescent="0.3">
      <c r="A1929" s="44"/>
      <c r="B1929" s="31" t="str">
        <f>IF(_xll.TM1RPTELISCONSOLIDATED($H$20,$H1929),IF(_xll.TM1RPTELLEV($H$20,$H1929)&lt;=5,_xll.TM1RPTELLEV($H$20,$H1929),"Default"),"Leaf")</f>
        <v>Leaf</v>
      </c>
      <c r="C1929" s="26" t="s">
        <v>19</v>
      </c>
      <c r="D1929" s="24" t="str">
        <f>_xll.DBRW("TM1-S1_DEV:}ElementAttributes_SP_SKU",$F1929,D$1)</f>
        <v>Primary</v>
      </c>
      <c r="E1929" s="24" t="str">
        <f>_xll.DBRW("TM1-S1_DEV:}ElementAttributes_SP_SKU",$F1929,E$1)</f>
        <v>CUP</v>
      </c>
      <c r="F1929" s="26" t="s">
        <v>3225</v>
      </c>
      <c r="G1929" s="26" t="s">
        <v>1843</v>
      </c>
      <c r="H1929" s="26" t="s">
        <v>2707</v>
      </c>
      <c r="I1929" s="54">
        <f>_xll.DBRW($A$1,$F$14,$F$15,$C1929,$A$2,$F1929,$G1929,$H1929,I$1)</f>
        <v>9</v>
      </c>
      <c r="J1929" s="25">
        <f>_xll.DBRW($A$1,$F$14,$F$15,$C1929,$A$2,$F1929,$G1929,$H1929,J$19)</f>
        <v>9</v>
      </c>
    </row>
    <row r="1930" spans="1:10" s="23" customFormat="1" outlineLevel="1" thickBot="1" x14ac:dyDescent="0.3">
      <c r="A1930" s="44"/>
      <c r="B1930" s="31" t="str">
        <f>IF(_xll.TM1RPTELISCONSOLIDATED($H$20,$H1930),IF(_xll.TM1RPTELLEV($H$20,$H1930)&lt;=5,_xll.TM1RPTELLEV($H$20,$H1930),"Default"),"Leaf")</f>
        <v>Leaf</v>
      </c>
      <c r="C1930" s="26" t="s">
        <v>19</v>
      </c>
      <c r="D1930" s="24" t="str">
        <f>_xll.DBRW("TM1-S1_DEV:}ElementAttributes_SP_SKU",$F1930,D$1)</f>
        <v>Primary</v>
      </c>
      <c r="E1930" s="24" t="str">
        <f>_xll.DBRW("TM1-S1_DEV:}ElementAttributes_SP_SKU",$F1930,E$1)</f>
        <v>CUP</v>
      </c>
      <c r="F1930" s="26" t="s">
        <v>3226</v>
      </c>
      <c r="G1930" s="26" t="s">
        <v>1844</v>
      </c>
      <c r="H1930" s="26" t="s">
        <v>2707</v>
      </c>
      <c r="I1930" s="54">
        <f>_xll.DBRW($A$1,$F$14,$F$15,$C1930,$A$2,$F1930,$G1930,$H1930,I$1)</f>
        <v>13</v>
      </c>
      <c r="J1930" s="25">
        <f>_xll.DBRW($A$1,$F$14,$F$15,$C1930,$A$2,$F1930,$G1930,$H1930,J$19)</f>
        <v>13</v>
      </c>
    </row>
    <row r="1931" spans="1:10" s="23" customFormat="1" outlineLevel="1" thickBot="1" x14ac:dyDescent="0.3">
      <c r="A1931" s="44"/>
      <c r="B1931" s="31" t="str">
        <f>IF(_xll.TM1RPTELISCONSOLIDATED($H$20,$H1931),IF(_xll.TM1RPTELLEV($H$20,$H1931)&lt;=5,_xll.TM1RPTELLEV($H$20,$H1931),"Default"),"Leaf")</f>
        <v>Leaf</v>
      </c>
      <c r="C1931" s="26" t="s">
        <v>19</v>
      </c>
      <c r="D1931" s="24" t="str">
        <f>_xll.DBRW("TM1-S1_DEV:}ElementAttributes_SP_SKU",$F1931,D$1)</f>
        <v>Primary</v>
      </c>
      <c r="E1931" s="24" t="str">
        <f>_xll.DBRW("TM1-S1_DEV:}ElementAttributes_SP_SKU",$F1931,E$1)</f>
        <v>PROTEIN</v>
      </c>
      <c r="F1931" s="26" t="s">
        <v>3227</v>
      </c>
      <c r="G1931" s="26" t="s">
        <v>1845</v>
      </c>
      <c r="H1931" s="26" t="s">
        <v>2673</v>
      </c>
      <c r="I1931" s="54">
        <f>_xll.DBRW($A$1,$F$14,$F$15,$C1931,$A$2,$F1931,$G1931,$H1931,I$1)</f>
        <v>31</v>
      </c>
      <c r="J1931" s="25">
        <f>_xll.DBRW($A$1,$F$14,$F$15,$C1931,$A$2,$F1931,$G1931,$H1931,J$19)</f>
        <v>46</v>
      </c>
    </row>
    <row r="1932" spans="1:10" s="23" customFormat="1" outlineLevel="1" thickBot="1" x14ac:dyDescent="0.3">
      <c r="A1932" s="44"/>
      <c r="B1932" s="31" t="str">
        <f>IF(_xll.TM1RPTELISCONSOLIDATED($H$20,$H1932),IF(_xll.TM1RPTELLEV($H$20,$H1932)&lt;=5,_xll.TM1RPTELLEV($H$20,$H1932),"Default"),"Leaf")</f>
        <v>Leaf</v>
      </c>
      <c r="C1932" s="26" t="s">
        <v>19</v>
      </c>
      <c r="D1932" s="24" t="str">
        <f>_xll.DBRW("TM1-S1_DEV:}ElementAttributes_SP_SKU",$F1932,D$1)</f>
        <v>Primary</v>
      </c>
      <c r="E1932" s="24" t="str">
        <f>_xll.DBRW("TM1-S1_DEV:}ElementAttributes_SP_SKU",$F1932,E$1)</f>
        <v>TRAY</v>
      </c>
      <c r="F1932" s="26" t="s">
        <v>3228</v>
      </c>
      <c r="G1932" s="26" t="s">
        <v>1846</v>
      </c>
      <c r="H1932" s="26" t="s">
        <v>2708</v>
      </c>
      <c r="I1932" s="54">
        <f>_xll.DBRW($A$1,$F$14,$F$15,$C1932,$A$2,$F1932,$G1932,$H1932,I$1)</f>
        <v>13</v>
      </c>
      <c r="J1932" s="25">
        <f>_xll.DBRW($A$1,$F$14,$F$15,$C1932,$A$2,$F1932,$G1932,$H1932,J$19)</f>
        <v>12</v>
      </c>
    </row>
    <row r="1933" spans="1:10" s="23" customFormat="1" outlineLevel="1" thickBot="1" x14ac:dyDescent="0.3">
      <c r="A1933" s="44"/>
      <c r="B1933" s="31" t="str">
        <f>IF(_xll.TM1RPTELISCONSOLIDATED($H$20,$H1933),IF(_xll.TM1RPTELLEV($H$20,$H1933)&lt;=5,_xll.TM1RPTELLEV($H$20,$H1933),"Default"),"Leaf")</f>
        <v>Leaf</v>
      </c>
      <c r="C1933" s="26" t="s">
        <v>19</v>
      </c>
      <c r="D1933" s="24" t="str">
        <f>_xll.DBRW("TM1-S1_DEV:}ElementAttributes_SP_SKU",$F1933,D$1)</f>
        <v>Primary</v>
      </c>
      <c r="E1933" s="24" t="str">
        <f>_xll.DBRW("TM1-S1_DEV:}ElementAttributes_SP_SKU",$F1933,E$1)</f>
        <v>TRAY</v>
      </c>
      <c r="F1933" s="26" t="s">
        <v>3229</v>
      </c>
      <c r="G1933" s="26" t="s">
        <v>1847</v>
      </c>
      <c r="H1933" s="26" t="s">
        <v>2708</v>
      </c>
      <c r="I1933" s="54">
        <f>_xll.DBRW($A$1,$F$14,$F$15,$C1933,$A$2,$F1933,$G1933,$H1933,I$1)</f>
        <v>12</v>
      </c>
      <c r="J1933" s="25">
        <f>_xll.DBRW($A$1,$F$14,$F$15,$C1933,$A$2,$F1933,$G1933,$H1933,J$19)</f>
        <v>11</v>
      </c>
    </row>
    <row r="1934" spans="1:10" s="23" customFormat="1" outlineLevel="1" thickBot="1" x14ac:dyDescent="0.3">
      <c r="A1934" s="44"/>
      <c r="B1934" s="31" t="str">
        <f>IF(_xll.TM1RPTELISCONSOLIDATED($H$20,$H1934),IF(_xll.TM1RPTELLEV($H$20,$H1934)&lt;=5,_xll.TM1RPTELLEV($H$20,$H1934),"Default"),"Leaf")</f>
        <v>Leaf</v>
      </c>
      <c r="C1934" s="26" t="s">
        <v>19</v>
      </c>
      <c r="D1934" s="24" t="str">
        <f>_xll.DBRW("TM1-S1_DEV:}ElementAttributes_SP_SKU",$F1934,D$1)</f>
        <v>Primary</v>
      </c>
      <c r="E1934" s="24" t="str">
        <f>_xll.DBRW("TM1-S1_DEV:}ElementAttributes_SP_SKU",$F1934,E$1)</f>
        <v>BOWL</v>
      </c>
      <c r="F1934" s="26" t="s">
        <v>3230</v>
      </c>
      <c r="G1934" s="26" t="s">
        <v>1848</v>
      </c>
      <c r="H1934" s="26" t="s">
        <v>2703</v>
      </c>
      <c r="I1934" s="54">
        <f>_xll.DBRW($A$1,$F$14,$F$15,$C1934,$A$2,$F1934,$G1934,$H1934,I$1)</f>
        <v>4</v>
      </c>
      <c r="J1934" s="25">
        <f>_xll.DBRW($A$1,$F$14,$F$15,$C1934,$A$2,$F1934,$G1934,$H1934,J$19)</f>
        <v>4</v>
      </c>
    </row>
    <row r="1935" spans="1:10" s="23" customFormat="1" outlineLevel="1" thickBot="1" x14ac:dyDescent="0.3">
      <c r="A1935" s="44"/>
      <c r="B1935" s="31" t="str">
        <f>IF(_xll.TM1RPTELISCONSOLIDATED($H$20,$H1935),IF(_xll.TM1RPTELLEV($H$20,$H1935)&lt;=5,_xll.TM1RPTELLEV($H$20,$H1935),"Default"),"Leaf")</f>
        <v>Leaf</v>
      </c>
      <c r="C1935" s="26" t="s">
        <v>19</v>
      </c>
      <c r="D1935" s="24" t="str">
        <f>_xll.DBRW("TM1-S1_DEV:}ElementAttributes_SP_SKU",$F1935,D$1)</f>
        <v>Primary</v>
      </c>
      <c r="E1935" s="24" t="str">
        <f>_xll.DBRW("TM1-S1_DEV:}ElementAttributes_SP_SKU",$F1935,E$1)</f>
        <v>BREAD</v>
      </c>
      <c r="F1935" s="26" t="s">
        <v>3260</v>
      </c>
      <c r="G1935" s="26" t="s">
        <v>1849</v>
      </c>
      <c r="H1935" s="26" t="s">
        <v>2710</v>
      </c>
      <c r="I1935" s="54">
        <f>_xll.DBRW($A$1,$F$14,$F$15,$C1935,$A$2,$F1935,$G1935,$H1935,I$1)</f>
        <v>3</v>
      </c>
      <c r="J1935" s="25">
        <f>_xll.DBRW($A$1,$F$14,$F$15,$C1935,$A$2,$F1935,$G1935,$H1935,J$19)</f>
        <v>17</v>
      </c>
    </row>
    <row r="1936" spans="1:10" s="23" customFormat="1" outlineLevel="1" thickBot="1" x14ac:dyDescent="0.3">
      <c r="A1936" s="44"/>
      <c r="B1936" s="31" t="str">
        <f>IF(_xll.TM1RPTELISCONSOLIDATED($H$20,$H1936),IF(_xll.TM1RPTELLEV($H$20,$H1936)&lt;=5,_xll.TM1RPTELLEV($H$20,$H1936),"Default"),"Leaf")</f>
        <v>Leaf</v>
      </c>
      <c r="C1936" s="26" t="s">
        <v>19</v>
      </c>
      <c r="D1936" s="24" t="str">
        <f>_xll.DBRW("TM1-S1_DEV:}ElementAttributes_SP_SKU",$F1936,D$1)</f>
        <v>Primary</v>
      </c>
      <c r="E1936" s="24" t="str">
        <f>_xll.DBRW("TM1-S1_DEV:}ElementAttributes_SP_SKU",$F1936,E$1)</f>
        <v>TRAY</v>
      </c>
      <c r="F1936" s="26" t="s">
        <v>3231</v>
      </c>
      <c r="G1936" s="26" t="s">
        <v>1850</v>
      </c>
      <c r="H1936" s="26" t="s">
        <v>2711</v>
      </c>
      <c r="I1936" s="54">
        <f>_xll.DBRW($A$1,$F$14,$F$15,$C1936,$A$2,$F1936,$G1936,$H1936,I$1)</f>
        <v>22</v>
      </c>
      <c r="J1936" s="25">
        <f>_xll.DBRW($A$1,$F$14,$F$15,$C1936,$A$2,$F1936,$G1936,$H1936,J$19)</f>
        <v>22</v>
      </c>
    </row>
    <row r="1937" spans="1:10" s="23" customFormat="1" outlineLevel="1" thickBot="1" x14ac:dyDescent="0.3">
      <c r="A1937" s="44"/>
      <c r="B1937" s="31" t="str">
        <f>IF(_xll.TM1RPTELISCONSOLIDATED($H$20,$H1937),IF(_xll.TM1RPTELLEV($H$20,$H1937)&lt;=5,_xll.TM1RPTELLEV($H$20,$H1937),"Default"),"Leaf")</f>
        <v>Leaf</v>
      </c>
      <c r="C1937" s="26" t="s">
        <v>19</v>
      </c>
      <c r="D1937" s="24" t="str">
        <f>_xll.DBRW("TM1-S1_DEV:}ElementAttributes_SP_SKU",$F1937,D$1)</f>
        <v>Primary</v>
      </c>
      <c r="E1937" s="24" t="str">
        <f>_xll.DBRW("TM1-S1_DEV:}ElementAttributes_SP_SKU",$F1937,E$1)</f>
        <v>BAG</v>
      </c>
      <c r="F1937" s="26" t="s">
        <v>3232</v>
      </c>
      <c r="G1937" s="26" t="s">
        <v>1851</v>
      </c>
      <c r="H1937" s="26" t="s">
        <v>2712</v>
      </c>
      <c r="I1937" s="54">
        <f>_xll.DBRW($A$1,$F$14,$F$15,$C1937,$A$2,$F1937,$G1937,$H1937,I$1)</f>
        <v>104</v>
      </c>
      <c r="J1937" s="25">
        <f>_xll.DBRW($A$1,$F$14,$F$15,$C1937,$A$2,$F1937,$G1937,$H1937,J$19)</f>
        <v>262</v>
      </c>
    </row>
    <row r="1938" spans="1:10" s="23" customFormat="1" outlineLevel="1" thickBot="1" x14ac:dyDescent="0.3">
      <c r="A1938" s="44"/>
      <c r="B1938" s="31" t="str">
        <f>IF(_xll.TM1RPTELISCONSOLIDATED($H$20,$H1938),IF(_xll.TM1RPTELLEV($H$20,$H1938)&lt;=5,_xll.TM1RPTELLEV($H$20,$H1938),"Default"),"Leaf")</f>
        <v>Leaf</v>
      </c>
      <c r="C1938" s="26" t="s">
        <v>19</v>
      </c>
      <c r="D1938" s="24" t="str">
        <f>_xll.DBRW("TM1-S1_DEV:}ElementAttributes_SP_SKU",$F1938,D$1)</f>
        <v>Primary</v>
      </c>
      <c r="E1938" s="24" t="str">
        <f>_xll.DBRW("TM1-S1_DEV:}ElementAttributes_SP_SKU",$F1938,E$1)</f>
        <v>CONTAINER</v>
      </c>
      <c r="F1938" s="26" t="s">
        <v>3287</v>
      </c>
      <c r="G1938" s="26" t="s">
        <v>1852</v>
      </c>
      <c r="H1938" s="26" t="s">
        <v>2711</v>
      </c>
      <c r="I1938" s="54">
        <f>_xll.DBRW($A$1,$F$14,$F$15,$C1938,$A$2,$F1938,$G1938,$H1938,I$1)</f>
        <v>3</v>
      </c>
      <c r="J1938" s="25">
        <f>_xll.DBRW($A$1,$F$14,$F$15,$C1938,$A$2,$F1938,$G1938,$H1938,J$19)</f>
        <v>3</v>
      </c>
    </row>
    <row r="1939" spans="1:10" s="23" customFormat="1" outlineLevel="1" thickBot="1" x14ac:dyDescent="0.3">
      <c r="A1939" s="44"/>
      <c r="B1939" s="31" t="str">
        <f>IF(_xll.TM1RPTELISCONSOLIDATED($H$20,$H1939),IF(_xll.TM1RPTELLEV($H$20,$H1939)&lt;=5,_xll.TM1RPTELLEV($H$20,$H1939),"Default"),"Leaf")</f>
        <v>Leaf</v>
      </c>
      <c r="C1939" s="26" t="s">
        <v>19</v>
      </c>
      <c r="D1939" s="24" t="str">
        <f>_xll.DBRW("TM1-S1_DEV:}ElementAttributes_SP_SKU",$F1939,D$1)</f>
        <v>Primary</v>
      </c>
      <c r="E1939" s="24" t="str">
        <f>_xll.DBRW("TM1-S1_DEV:}ElementAttributes_SP_SKU",$F1939,E$1)</f>
        <v>CONTAINER</v>
      </c>
      <c r="F1939" s="26" t="s">
        <v>3284</v>
      </c>
      <c r="G1939" s="26" t="s">
        <v>1853</v>
      </c>
      <c r="H1939" s="26" t="s">
        <v>2860</v>
      </c>
      <c r="I1939" s="54">
        <f>_xll.DBRW($A$1,$F$14,$F$15,$C1939,$A$2,$F1939,$G1939,$H1939,I$1)</f>
        <v>13</v>
      </c>
      <c r="J1939" s="25">
        <f>_xll.DBRW($A$1,$F$14,$F$15,$C1939,$A$2,$F1939,$G1939,$H1939,J$19)</f>
        <v>13</v>
      </c>
    </row>
    <row r="1940" spans="1:10" s="23" customFormat="1" outlineLevel="1" thickBot="1" x14ac:dyDescent="0.3">
      <c r="A1940" s="44"/>
      <c r="B1940" s="31" t="str">
        <f>IF(_xll.TM1RPTELISCONSOLIDATED($H$20,$H1940),IF(_xll.TM1RPTELLEV($H$20,$H1940)&lt;=5,_xll.TM1RPTELLEV($H$20,$H1940),"Default"),"Leaf")</f>
        <v>Leaf</v>
      </c>
      <c r="C1940" s="26" t="s">
        <v>19</v>
      </c>
      <c r="D1940" s="24" t="str">
        <f>_xll.DBRW("TM1-S1_DEV:}ElementAttributes_SP_SKU",$F1940,D$1)</f>
        <v>Primary</v>
      </c>
      <c r="E1940" s="24" t="str">
        <f>_xll.DBRW("TM1-S1_DEV:}ElementAttributes_SP_SKU",$F1940,E$1)</f>
        <v>BAG</v>
      </c>
      <c r="F1940" s="26" t="s">
        <v>3234</v>
      </c>
      <c r="G1940" s="26" t="s">
        <v>1854</v>
      </c>
      <c r="H1940" s="26" t="s">
        <v>2714</v>
      </c>
      <c r="I1940" s="54">
        <f>_xll.DBRW($A$1,$F$14,$F$15,$C1940,$A$2,$F1940,$G1940,$H1940,I$1)</f>
        <v>61</v>
      </c>
      <c r="J1940" s="25">
        <f>_xll.DBRW($A$1,$F$14,$F$15,$C1940,$A$2,$F1940,$G1940,$H1940,J$19)</f>
        <v>97</v>
      </c>
    </row>
    <row r="1941" spans="1:10" s="23" customFormat="1" outlineLevel="1" thickBot="1" x14ac:dyDescent="0.3">
      <c r="A1941" s="44"/>
      <c r="B1941" s="31" t="str">
        <f>IF(_xll.TM1RPTELISCONSOLIDATED($H$20,$H1941),IF(_xll.TM1RPTELLEV($H$20,$H1941)&lt;=5,_xll.TM1RPTELLEV($H$20,$H1941),"Default"),"Leaf")</f>
        <v>Leaf</v>
      </c>
      <c r="C1941" s="26" t="s">
        <v>19</v>
      </c>
      <c r="D1941" s="24" t="str">
        <f>_xll.DBRW("TM1-S1_DEV:}ElementAttributes_SP_SKU",$F1941,D$1)</f>
        <v>Primary</v>
      </c>
      <c r="E1941" s="24" t="str">
        <f>_xll.DBRW("TM1-S1_DEV:}ElementAttributes_SP_SKU",$F1941,E$1)</f>
        <v>BREAD</v>
      </c>
      <c r="F1941" s="26" t="s">
        <v>31</v>
      </c>
      <c r="G1941" s="26" t="s">
        <v>1855</v>
      </c>
      <c r="H1941" s="26" t="s">
        <v>2689</v>
      </c>
      <c r="I1941" s="54">
        <f>_xll.DBRW($A$1,$F$14,$F$15,$C1941,$A$2,$F1941,$G1941,$H1941,I$1)</f>
        <v>15</v>
      </c>
      <c r="J1941" s="25">
        <f>_xll.DBRW($A$1,$F$14,$F$15,$C1941,$A$2,$F1941,$G1941,$H1941,J$19)</f>
        <v>12</v>
      </c>
    </row>
    <row r="1942" spans="1:10" s="23" customFormat="1" outlineLevel="1" thickBot="1" x14ac:dyDescent="0.3">
      <c r="A1942" s="44"/>
      <c r="B1942" s="31" t="str">
        <f>IF(_xll.TM1RPTELISCONSOLIDATED($H$20,$H1942),IF(_xll.TM1RPTELLEV($H$20,$H1942)&lt;=5,_xll.TM1RPTELLEV($H$20,$H1942),"Default"),"Leaf")</f>
        <v>Leaf</v>
      </c>
      <c r="C1942" s="26" t="s">
        <v>19</v>
      </c>
      <c r="D1942" s="24" t="str">
        <f>_xll.DBRW("TM1-S1_DEV:}ElementAttributes_SP_SKU",$F1942,D$1)</f>
        <v>Primary</v>
      </c>
      <c r="E1942" s="24" t="str">
        <f>_xll.DBRW("TM1-S1_DEV:}ElementAttributes_SP_SKU",$F1942,E$1)</f>
        <v>BREAD</v>
      </c>
      <c r="F1942" s="26" t="s">
        <v>3236</v>
      </c>
      <c r="G1942" s="26" t="s">
        <v>1856</v>
      </c>
      <c r="H1942" s="26" t="s">
        <v>2689</v>
      </c>
      <c r="I1942" s="54">
        <f>_xll.DBRW($A$1,$F$14,$F$15,$C1942,$A$2,$F1942,$G1942,$H1942,I$1)</f>
        <v>10</v>
      </c>
      <c r="J1942" s="25">
        <f>_xll.DBRW($A$1,$F$14,$F$15,$C1942,$A$2,$F1942,$G1942,$H1942,J$19)</f>
        <v>15</v>
      </c>
    </row>
    <row r="1943" spans="1:10" s="23" customFormat="1" outlineLevel="1" thickBot="1" x14ac:dyDescent="0.3">
      <c r="A1943" s="44"/>
      <c r="B1943" s="31" t="str">
        <f>IF(_xll.TM1RPTELISCONSOLIDATED($H$20,$H1943),IF(_xll.TM1RPTELLEV($H$20,$H1943)&lt;=5,_xll.TM1RPTELLEV($H$20,$H1943),"Default"),"Leaf")</f>
        <v>Leaf</v>
      </c>
      <c r="C1943" s="26" t="s">
        <v>19</v>
      </c>
      <c r="D1943" s="24" t="str">
        <f>_xll.DBRW("TM1-S1_DEV:}ElementAttributes_SP_SKU",$F1943,D$1)</f>
        <v>Primary</v>
      </c>
      <c r="E1943" s="24" t="str">
        <f>_xll.DBRW("TM1-S1_DEV:}ElementAttributes_SP_SKU",$F1943,E$1)</f>
        <v>BREAD</v>
      </c>
      <c r="F1943" s="26" t="s">
        <v>3277</v>
      </c>
      <c r="G1943" s="26" t="s">
        <v>1857</v>
      </c>
      <c r="H1943" s="26" t="s">
        <v>2689</v>
      </c>
      <c r="I1943" s="54">
        <f>_xll.DBRW($A$1,$F$14,$F$15,$C1943,$A$2,$F1943,$G1943,$H1943,I$1)</f>
        <v>3</v>
      </c>
      <c r="J1943" s="25">
        <f>_xll.DBRW($A$1,$F$14,$F$15,$C1943,$A$2,$F1943,$G1943,$H1943,J$19)</f>
        <v>3</v>
      </c>
    </row>
    <row r="1944" spans="1:10" s="23" customFormat="1" outlineLevel="1" thickBot="1" x14ac:dyDescent="0.3">
      <c r="A1944" s="44"/>
      <c r="B1944" s="31" t="str">
        <f>IF(_xll.TM1RPTELISCONSOLIDATED($H$20,$H1944),IF(_xll.TM1RPTELLEV($H$20,$H1944)&lt;=5,_xll.TM1RPTELLEV($H$20,$H1944),"Default"),"Leaf")</f>
        <v>Leaf</v>
      </c>
      <c r="C1944" s="26" t="s">
        <v>19</v>
      </c>
      <c r="D1944" s="24" t="str">
        <f>_xll.DBRW("TM1-S1_DEV:}ElementAttributes_SP_SKU",$F1944,D$1)</f>
        <v>Primary</v>
      </c>
      <c r="E1944" s="24" t="str">
        <f>_xll.DBRW("TM1-S1_DEV:}ElementAttributes_SP_SKU",$F1944,E$1)</f>
        <v>BOWL</v>
      </c>
      <c r="F1944" s="26" t="s">
        <v>3238</v>
      </c>
      <c r="G1944" s="26" t="s">
        <v>1858</v>
      </c>
      <c r="H1944" s="26" t="s">
        <v>2703</v>
      </c>
      <c r="I1944" s="54">
        <f>_xll.DBRW($A$1,$F$14,$F$15,$C1944,$A$2,$F1944,$G1944,$H1944,I$1)</f>
        <v>25</v>
      </c>
      <c r="J1944" s="25">
        <f>_xll.DBRW($A$1,$F$14,$F$15,$C1944,$A$2,$F1944,$G1944,$H1944,J$19)</f>
        <v>24</v>
      </c>
    </row>
    <row r="1945" spans="1:10" s="23" customFormat="1" outlineLevel="1" thickBot="1" x14ac:dyDescent="0.3">
      <c r="A1945" s="44"/>
      <c r="B1945" s="31" t="str">
        <f>IF(_xll.TM1RPTELISCONSOLIDATED($H$20,$H1945),IF(_xll.TM1RPTELLEV($H$20,$H1945)&lt;=5,_xll.TM1RPTELLEV($H$20,$H1945),"Default"),"Leaf")</f>
        <v>Leaf</v>
      </c>
      <c r="C1945" s="26" t="s">
        <v>19</v>
      </c>
      <c r="D1945" s="24" t="str">
        <f>_xll.DBRW("TM1-S1_DEV:}ElementAttributes_SP_SKU",$F1945,D$1)</f>
        <v>Primary</v>
      </c>
      <c r="E1945" s="24" t="str">
        <f>_xll.DBRW("TM1-S1_DEV:}ElementAttributes_SP_SKU",$F1945,E$1)</f>
        <v>TRAY</v>
      </c>
      <c r="F1945" s="26" t="s">
        <v>360</v>
      </c>
      <c r="G1945" s="26" t="s">
        <v>1859</v>
      </c>
      <c r="H1945" s="26" t="s">
        <v>2703</v>
      </c>
      <c r="I1945" s="54">
        <f>_xll.DBRW($A$1,$F$14,$F$15,$C1945,$A$2,$F1945,$G1945,$H1945,I$1)</f>
        <v>5</v>
      </c>
      <c r="J1945" s="25">
        <f>_xll.DBRW($A$1,$F$14,$F$15,$C1945,$A$2,$F1945,$G1945,$H1945,J$19)</f>
        <v>4</v>
      </c>
    </row>
    <row r="1946" spans="1:10" s="23" customFormat="1" outlineLevel="1" thickBot="1" x14ac:dyDescent="0.3">
      <c r="A1946" s="44"/>
      <c r="B1946" s="31" t="str">
        <f>IF(_xll.TM1RPTELISCONSOLIDATED($H$20,$H1946),IF(_xll.TM1RPTELLEV($H$20,$H1946)&lt;=5,_xll.TM1RPTELLEV($H$20,$H1946),"Default"),"Leaf")</f>
        <v>Leaf</v>
      </c>
      <c r="C1946" s="26" t="s">
        <v>19</v>
      </c>
      <c r="D1946" s="24" t="str">
        <f>_xll.DBRW("TM1-S1_DEV:}ElementAttributes_SP_SKU",$F1946,D$1)</f>
        <v>Primary</v>
      </c>
      <c r="E1946" s="24" t="str">
        <f>_xll.DBRW("TM1-S1_DEV:}ElementAttributes_SP_SKU",$F1946,E$1)</f>
        <v>PAPER</v>
      </c>
      <c r="F1946" s="26" t="s">
        <v>3239</v>
      </c>
      <c r="G1946" s="26" t="s">
        <v>1860</v>
      </c>
      <c r="H1946" s="26" t="s">
        <v>2715</v>
      </c>
      <c r="I1946" s="54">
        <f>_xll.DBRW($A$1,$F$14,$F$15,$C1946,$A$2,$F1946,$G1946,$H1946,I$1)</f>
        <v>6</v>
      </c>
      <c r="J1946" s="25">
        <f>_xll.DBRW($A$1,$F$14,$F$15,$C1946,$A$2,$F1946,$G1946,$H1946,J$19)</f>
        <v>11</v>
      </c>
    </row>
    <row r="1947" spans="1:10" s="23" customFormat="1" outlineLevel="1" thickBot="1" x14ac:dyDescent="0.3">
      <c r="A1947" s="44"/>
      <c r="B1947" s="31" t="str">
        <f>IF(_xll.TM1RPTELISCONSOLIDATED($H$20,$H1947),IF(_xll.TM1RPTELLEV($H$20,$H1947)&lt;=5,_xll.TM1RPTELLEV($H$20,$H1947),"Default"),"Leaf")</f>
        <v>Leaf</v>
      </c>
      <c r="C1947" s="26" t="s">
        <v>19</v>
      </c>
      <c r="D1947" s="24" t="str">
        <f>_xll.DBRW("TM1-S1_DEV:}ElementAttributes_SP_SKU",$F1947,D$1)</f>
        <v>Primary</v>
      </c>
      <c r="E1947" s="24" t="str">
        <f>_xll.DBRW("TM1-S1_DEV:}ElementAttributes_SP_SKU",$F1947,E$1)</f>
        <v>BOWL</v>
      </c>
      <c r="F1947" s="26" t="s">
        <v>32</v>
      </c>
      <c r="G1947" s="26" t="s">
        <v>3060</v>
      </c>
      <c r="H1947" s="26" t="s">
        <v>2708</v>
      </c>
      <c r="I1947" s="54">
        <f>_xll.DBRW($A$1,$F$14,$F$15,$C1947,$A$2,$F1947,$G1947,$H1947,I$1)</f>
        <v>7</v>
      </c>
      <c r="J1947" s="25">
        <f>_xll.DBRW($A$1,$F$14,$F$15,$C1947,$A$2,$F1947,$G1947,$H1947,J$19)</f>
        <v>7</v>
      </c>
    </row>
    <row r="1948" spans="1:10" s="23" customFormat="1" outlineLevel="1" thickBot="1" x14ac:dyDescent="0.3">
      <c r="A1948" s="44"/>
      <c r="B1948" s="31" t="str">
        <f>IF(_xll.TM1RPTELISCONSOLIDATED($H$20,$H1948),IF(_xll.TM1RPTELLEV($H$20,$H1948)&lt;=5,_xll.TM1RPTELLEV($H$20,$H1948),"Default"),"Leaf")</f>
        <v>Leaf</v>
      </c>
      <c r="C1948" s="26" t="s">
        <v>19</v>
      </c>
      <c r="D1948" s="24" t="str">
        <f>_xll.DBRW("TM1-S1_DEV:}ElementAttributes_SP_SKU",$F1948,D$1)</f>
        <v>Primary</v>
      </c>
      <c r="E1948" s="24" t="str">
        <f>_xll.DBRW("TM1-S1_DEV:}ElementAttributes_SP_SKU",$F1948,E$1)</f>
        <v>BOWL</v>
      </c>
      <c r="F1948" s="26" t="s">
        <v>33</v>
      </c>
      <c r="G1948" s="26" t="s">
        <v>1861</v>
      </c>
      <c r="H1948" s="26" t="s">
        <v>2708</v>
      </c>
      <c r="I1948" s="54">
        <f>_xll.DBRW($A$1,$F$14,$F$15,$C1948,$A$2,$F1948,$G1948,$H1948,I$1)</f>
        <v>5</v>
      </c>
      <c r="J1948" s="25">
        <f>_xll.DBRW($A$1,$F$14,$F$15,$C1948,$A$2,$F1948,$G1948,$H1948,J$19)</f>
        <v>5</v>
      </c>
    </row>
    <row r="1949" spans="1:10" s="23" customFormat="1" outlineLevel="1" thickBot="1" x14ac:dyDescent="0.3">
      <c r="A1949" s="44"/>
      <c r="B1949" s="31" t="str">
        <f>IF(_xll.TM1RPTELISCONSOLIDATED($H$20,$H1949),IF(_xll.TM1RPTELLEV($H$20,$H1949)&lt;=5,_xll.TM1RPTELLEV($H$20,$H1949),"Default"),"Leaf")</f>
        <v>Leaf</v>
      </c>
      <c r="C1949" s="26" t="s">
        <v>19</v>
      </c>
      <c r="D1949" s="24" t="str">
        <f>_xll.DBRW("TM1-S1_DEV:}ElementAttributes_SP_SKU",$F1949,D$1)</f>
        <v>Primary</v>
      </c>
      <c r="E1949" s="24" t="str">
        <f>_xll.DBRW("TM1-S1_DEV:}ElementAttributes_SP_SKU",$F1949,E$1)</f>
        <v>FOIL</v>
      </c>
      <c r="F1949" s="26" t="s">
        <v>34</v>
      </c>
      <c r="G1949" s="26" t="s">
        <v>1862</v>
      </c>
      <c r="H1949" s="26" t="s">
        <v>2716</v>
      </c>
      <c r="I1949" s="54">
        <f>_xll.DBRW($A$1,$F$14,$F$15,$C1949,$A$2,$F1949,$G1949,$H1949,I$1)</f>
        <v>3</v>
      </c>
      <c r="J1949" s="25">
        <f>_xll.DBRW($A$1,$F$14,$F$15,$C1949,$A$2,$F1949,$G1949,$H1949,J$19)</f>
        <v>3</v>
      </c>
    </row>
    <row r="1950" spans="1:10" s="23" customFormat="1" outlineLevel="1" thickBot="1" x14ac:dyDescent="0.3">
      <c r="A1950" s="44"/>
      <c r="B1950" s="31" t="str">
        <f>IF(_xll.TM1RPTELISCONSOLIDATED($H$20,$H1950),IF(_xll.TM1RPTELLEV($H$20,$H1950)&lt;=5,_xll.TM1RPTELLEV($H$20,$H1950),"Default"),"Leaf")</f>
        <v>Leaf</v>
      </c>
      <c r="C1950" s="26" t="s">
        <v>19</v>
      </c>
      <c r="D1950" s="24" t="str">
        <f>_xll.DBRW("TM1-S1_DEV:}ElementAttributes_SP_SKU",$F1950,D$1)</f>
        <v>Primary</v>
      </c>
      <c r="E1950" s="24" t="str">
        <f>_xll.DBRW("TM1-S1_DEV:}ElementAttributes_SP_SKU",$F1950,E$1)</f>
        <v>BAG</v>
      </c>
      <c r="F1950" s="26" t="s">
        <v>391</v>
      </c>
      <c r="G1950" s="26" t="s">
        <v>1863</v>
      </c>
      <c r="H1950" s="26" t="s">
        <v>2755</v>
      </c>
      <c r="I1950" s="54">
        <f>_xll.DBRW($A$1,$F$14,$F$15,$C1950,$A$2,$F1950,$G1950,$H1950,I$1)</f>
        <v>241</v>
      </c>
      <c r="J1950" s="25">
        <f>_xll.DBRW($A$1,$F$14,$F$15,$C1950,$A$2,$F1950,$G1950,$H1950,J$19)</f>
        <v>239</v>
      </c>
    </row>
    <row r="1951" spans="1:10" s="23" customFormat="1" outlineLevel="1" thickBot="1" x14ac:dyDescent="0.3">
      <c r="A1951" s="44"/>
      <c r="B1951" s="31" t="str">
        <f>IF(_xll.TM1RPTELISCONSOLIDATED($H$20,$H1951),IF(_xll.TM1RPTELLEV($H$20,$H1951)&lt;=5,_xll.TM1RPTELLEV($H$20,$H1951),"Default"),"Leaf")</f>
        <v>Leaf</v>
      </c>
      <c r="C1951" s="26" t="s">
        <v>19</v>
      </c>
      <c r="D1951" s="24" t="str">
        <f>_xll.DBRW("TM1-S1_DEV:}ElementAttributes_SP_SKU",$F1951,D$1)</f>
        <v>Primary</v>
      </c>
      <c r="E1951" s="24" t="str">
        <f>_xll.DBRW("TM1-S1_DEV:}ElementAttributes_SP_SKU",$F1951,E$1)</f>
        <v>CHEESE</v>
      </c>
      <c r="F1951" s="26" t="s">
        <v>392</v>
      </c>
      <c r="G1951" s="26" t="s">
        <v>1864</v>
      </c>
      <c r="H1951" s="26" t="s">
        <v>2692</v>
      </c>
      <c r="I1951" s="54">
        <f>_xll.DBRW($A$1,$F$14,$F$15,$C1951,$A$2,$F1951,$G1951,$H1951,I$1)</f>
        <v>64</v>
      </c>
      <c r="J1951" s="25">
        <f>_xll.DBRW($A$1,$F$14,$F$15,$C1951,$A$2,$F1951,$G1951,$H1951,J$19)</f>
        <v>152</v>
      </c>
    </row>
    <row r="1952" spans="1:10" s="23" customFormat="1" outlineLevel="1" thickBot="1" x14ac:dyDescent="0.3">
      <c r="A1952" s="44"/>
      <c r="B1952" s="31" t="str">
        <f>IF(_xll.TM1RPTELISCONSOLIDATED($H$20,$H1952),IF(_xll.TM1RPTELLEV($H$20,$H1952)&lt;=5,_xll.TM1RPTELLEV($H$20,$H1952),"Default"),"Leaf")</f>
        <v>Leaf</v>
      </c>
      <c r="C1952" s="26" t="s">
        <v>19</v>
      </c>
      <c r="D1952" s="24" t="str">
        <f>_xll.DBRW("TM1-S1_DEV:}ElementAttributes_SP_SKU",$F1952,D$1)</f>
        <v>Primary</v>
      </c>
      <c r="E1952" s="24" t="str">
        <f>_xll.DBRW("TM1-S1_DEV:}ElementAttributes_SP_SKU",$F1952,E$1)</f>
        <v>FILM</v>
      </c>
      <c r="F1952" s="26" t="s">
        <v>393</v>
      </c>
      <c r="G1952" s="26" t="s">
        <v>1865</v>
      </c>
      <c r="H1952" s="26" t="s">
        <v>2755</v>
      </c>
      <c r="I1952" s="54">
        <f>_xll.DBRW($A$1,$F$14,$F$15,$C1952,$A$2,$F1952,$G1952,$H1952,I$1)</f>
        <v>188</v>
      </c>
      <c r="J1952" s="25">
        <f>_xll.DBRW($A$1,$F$14,$F$15,$C1952,$A$2,$F1952,$G1952,$H1952,J$19)</f>
        <v>187</v>
      </c>
    </row>
    <row r="1953" spans="1:10" s="23" customFormat="1" outlineLevel="1" thickBot="1" x14ac:dyDescent="0.3">
      <c r="A1953" s="44"/>
      <c r="B1953" s="31" t="str">
        <f>IF(_xll.TM1RPTELISCONSOLIDATED($H$20,$H1953),IF(_xll.TM1RPTELLEV($H$20,$H1953)&lt;=5,_xll.TM1RPTELLEV($H$20,$H1953),"Default"),"Leaf")</f>
        <v>Leaf</v>
      </c>
      <c r="C1953" s="26" t="s">
        <v>19</v>
      </c>
      <c r="D1953" s="24" t="str">
        <f>_xll.DBRW("TM1-S1_DEV:}ElementAttributes_SP_SKU",$F1953,D$1)</f>
        <v>Primary</v>
      </c>
      <c r="E1953" s="24" t="str">
        <f>_xll.DBRW("TM1-S1_DEV:}ElementAttributes_SP_SKU",$F1953,E$1)</f>
        <v>GLOVES</v>
      </c>
      <c r="F1953" s="26" t="s">
        <v>394</v>
      </c>
      <c r="G1953" s="26" t="s">
        <v>1866</v>
      </c>
      <c r="H1953" s="26" t="s">
        <v>2712</v>
      </c>
      <c r="I1953" s="54">
        <f>_xll.DBRW($A$1,$F$14,$F$15,$C1953,$A$2,$F1953,$G1953,$H1953,I$1)</f>
        <v>102</v>
      </c>
      <c r="J1953" s="25">
        <f>_xll.DBRW($A$1,$F$14,$F$15,$C1953,$A$2,$F1953,$G1953,$H1953,J$19)</f>
        <v>335</v>
      </c>
    </row>
    <row r="1954" spans="1:10" s="23" customFormat="1" outlineLevel="1" thickBot="1" x14ac:dyDescent="0.3">
      <c r="A1954" s="44"/>
      <c r="B1954" s="31" t="str">
        <f>IF(_xll.TM1RPTELISCONSOLIDATED($H$20,$H1954),IF(_xll.TM1RPTELLEV($H$20,$H1954)&lt;=5,_xll.TM1RPTELLEV($H$20,$H1954),"Default"),"Leaf")</f>
        <v>Leaf</v>
      </c>
      <c r="C1954" s="26" t="s">
        <v>19</v>
      </c>
      <c r="D1954" s="24" t="str">
        <f>_xll.DBRW("TM1-S1_DEV:}ElementAttributes_SP_SKU",$F1954,D$1)</f>
        <v>Primary</v>
      </c>
      <c r="E1954" s="24" t="str">
        <f>_xll.DBRW("TM1-S1_DEV:}ElementAttributes_SP_SKU",$F1954,E$1)</f>
        <v>GLOVES</v>
      </c>
      <c r="F1954" s="26" t="s">
        <v>395</v>
      </c>
      <c r="G1954" s="26" t="s">
        <v>1867</v>
      </c>
      <c r="H1954" s="26" t="s">
        <v>2712</v>
      </c>
      <c r="I1954" s="54">
        <f>_xll.DBRW($A$1,$F$14,$F$15,$C1954,$A$2,$F1954,$G1954,$H1954,I$1)</f>
        <v>43</v>
      </c>
      <c r="J1954" s="25">
        <f>_xll.DBRW($A$1,$F$14,$F$15,$C1954,$A$2,$F1954,$G1954,$H1954,J$19)</f>
        <v>134</v>
      </c>
    </row>
    <row r="1955" spans="1:10" s="23" customFormat="1" outlineLevel="1" thickBot="1" x14ac:dyDescent="0.3">
      <c r="A1955" s="44"/>
      <c r="B1955" s="31" t="str">
        <f>IF(_xll.TM1RPTELISCONSOLIDATED($H$20,$H1955),IF(_xll.TM1RPTELLEV($H$20,$H1955)&lt;=5,_xll.TM1RPTELLEV($H$20,$H1955),"Default"),"Leaf")</f>
        <v>Leaf</v>
      </c>
      <c r="C1955" s="26" t="s">
        <v>19</v>
      </c>
      <c r="D1955" s="24" t="str">
        <f>_xll.DBRW("TM1-S1_DEV:}ElementAttributes_SP_SKU",$F1955,D$1)</f>
        <v>Primary</v>
      </c>
      <c r="E1955" s="24" t="str">
        <f>_xll.DBRW("TM1-S1_DEV:}ElementAttributes_SP_SKU",$F1955,E$1)</f>
        <v>GLOVES</v>
      </c>
      <c r="F1955" s="26" t="s">
        <v>3288</v>
      </c>
      <c r="G1955" s="26" t="s">
        <v>3326</v>
      </c>
      <c r="H1955" s="26" t="s">
        <v>2712</v>
      </c>
      <c r="I1955" s="54">
        <f>_xll.DBRW($A$1,$F$14,$F$15,$C1955,$A$2,$F1955,$G1955,$H1955,I$1)</f>
        <v>0</v>
      </c>
      <c r="J1955" s="25">
        <f>_xll.DBRW($A$1,$F$14,$F$15,$C1955,$A$2,$F1955,$G1955,$H1955,J$19)</f>
        <v>-1</v>
      </c>
    </row>
    <row r="1956" spans="1:10" s="23" customFormat="1" outlineLevel="1" thickBot="1" x14ac:dyDescent="0.3">
      <c r="A1956" s="44"/>
      <c r="B1956" s="31" t="str">
        <f>IF(_xll.TM1RPTELISCONSOLIDATED($H$20,$H1956),IF(_xll.TM1RPTELLEV($H$20,$H1956)&lt;=5,_xll.TM1RPTELLEV($H$20,$H1956),"Default"),"Leaf")</f>
        <v>Leaf</v>
      </c>
      <c r="C1956" s="26" t="s">
        <v>19</v>
      </c>
      <c r="D1956" s="24" t="str">
        <f>_xll.DBRW("TM1-S1_DEV:}ElementAttributes_SP_SKU",$F1956,D$1)</f>
        <v>Primary</v>
      </c>
      <c r="E1956" s="24" t="str">
        <f>_xll.DBRW("TM1-S1_DEV:}ElementAttributes_SP_SKU",$F1956,E$1)</f>
        <v>GLOVES</v>
      </c>
      <c r="F1956" s="26" t="s">
        <v>396</v>
      </c>
      <c r="G1956" s="26" t="s">
        <v>1868</v>
      </c>
      <c r="H1956" s="26" t="s">
        <v>2712</v>
      </c>
      <c r="I1956" s="54">
        <f>_xll.DBRW($A$1,$F$14,$F$15,$C1956,$A$2,$F1956,$G1956,$H1956,I$1)</f>
        <v>206</v>
      </c>
      <c r="J1956" s="25">
        <f>_xll.DBRW($A$1,$F$14,$F$15,$C1956,$A$2,$F1956,$G1956,$H1956,J$19)</f>
        <v>777</v>
      </c>
    </row>
    <row r="1957" spans="1:10" s="23" customFormat="1" outlineLevel="1" thickBot="1" x14ac:dyDescent="0.3">
      <c r="A1957" s="44"/>
      <c r="B1957" s="31" t="str">
        <f>IF(_xll.TM1RPTELISCONSOLIDATED($H$20,$H1957),IF(_xll.TM1RPTELLEV($H$20,$H1957)&lt;=5,_xll.TM1RPTELLEV($H$20,$H1957),"Default"),"Leaf")</f>
        <v>Leaf</v>
      </c>
      <c r="C1957" s="26" t="s">
        <v>19</v>
      </c>
      <c r="D1957" s="24" t="str">
        <f>_xll.DBRW("TM1-S1_DEV:}ElementAttributes_SP_SKU",$F1957,D$1)</f>
        <v>Unassigned PSP</v>
      </c>
      <c r="E1957" s="24" t="str">
        <f>_xll.DBRW("TM1-S1_DEV:}ElementAttributes_SP_SKU",$F1957,E$1)</f>
        <v>INGREDIENT</v>
      </c>
      <c r="F1957" s="26" t="s">
        <v>397</v>
      </c>
      <c r="G1957" s="26" t="s">
        <v>1869</v>
      </c>
      <c r="H1957" s="26" t="s">
        <v>2695</v>
      </c>
      <c r="I1957" s="54">
        <f>_xll.DBRW($A$1,$F$14,$F$15,$C1957,$A$2,$F1957,$G1957,$H1957,I$1)</f>
        <v>20</v>
      </c>
      <c r="J1957" s="25">
        <f>_xll.DBRW($A$1,$F$14,$F$15,$C1957,$A$2,$F1957,$G1957,$H1957,J$19)</f>
        <v>18</v>
      </c>
    </row>
    <row r="1958" spans="1:10" s="23" customFormat="1" outlineLevel="1" thickBot="1" x14ac:dyDescent="0.3">
      <c r="A1958" s="44"/>
      <c r="B1958" s="31" t="str">
        <f>IF(_xll.TM1RPTELISCONSOLIDATED($H$20,$H1958),IF(_xll.TM1RPTELLEV($H$20,$H1958)&lt;=5,_xll.TM1RPTELLEV($H$20,$H1958),"Default"),"Leaf")</f>
        <v>Leaf</v>
      </c>
      <c r="C1958" s="26" t="s">
        <v>19</v>
      </c>
      <c r="D1958" s="24" t="str">
        <f>_xll.DBRW("TM1-S1_DEV:}ElementAttributes_SP_SKU",$F1958,D$1)</f>
        <v>Primary</v>
      </c>
      <c r="E1958" s="24" t="str">
        <f>_xll.DBRW("TM1-S1_DEV:}ElementAttributes_SP_SKU",$F1958,E$1)</f>
        <v>PAPER</v>
      </c>
      <c r="F1958" s="26" t="s">
        <v>398</v>
      </c>
      <c r="G1958" s="26" t="s">
        <v>1870</v>
      </c>
      <c r="H1958" s="26" t="s">
        <v>2778</v>
      </c>
      <c r="I1958" s="54">
        <f>_xll.DBRW($A$1,$F$14,$F$15,$C1958,$A$2,$F1958,$G1958,$H1958,I$1)</f>
        <v>27</v>
      </c>
      <c r="J1958" s="25">
        <f>_xll.DBRW($A$1,$F$14,$F$15,$C1958,$A$2,$F1958,$G1958,$H1958,J$19)</f>
        <v>27</v>
      </c>
    </row>
    <row r="1959" spans="1:10" s="23" customFormat="1" outlineLevel="1" thickBot="1" x14ac:dyDescent="0.3">
      <c r="A1959" s="44"/>
      <c r="B1959" s="31" t="str">
        <f>IF(_xll.TM1RPTELISCONSOLIDATED($H$20,$H1959),IF(_xll.TM1RPTELLEV($H$20,$H1959)&lt;=5,_xll.TM1RPTELLEV($H$20,$H1959),"Default"),"Leaf")</f>
        <v>Leaf</v>
      </c>
      <c r="C1959" s="26" t="s">
        <v>19</v>
      </c>
      <c r="D1959" s="24" t="str">
        <f>_xll.DBRW("TM1-S1_DEV:}ElementAttributes_SP_SKU",$F1959,D$1)</f>
        <v>Primary</v>
      </c>
      <c r="E1959" s="24" t="str">
        <f>_xll.DBRW("TM1-S1_DEV:}ElementAttributes_SP_SKU",$F1959,E$1)</f>
        <v>PAPER</v>
      </c>
      <c r="F1959" s="26" t="s">
        <v>399</v>
      </c>
      <c r="G1959" s="26" t="s">
        <v>1871</v>
      </c>
      <c r="H1959" s="26" t="s">
        <v>2778</v>
      </c>
      <c r="I1959" s="54">
        <f>_xll.DBRW($A$1,$F$14,$F$15,$C1959,$A$2,$F1959,$G1959,$H1959,I$1)</f>
        <v>61</v>
      </c>
      <c r="J1959" s="25">
        <f>_xll.DBRW($A$1,$F$14,$F$15,$C1959,$A$2,$F1959,$G1959,$H1959,J$19)</f>
        <v>61</v>
      </c>
    </row>
    <row r="1960" spans="1:10" s="23" customFormat="1" outlineLevel="1" thickBot="1" x14ac:dyDescent="0.3">
      <c r="A1960" s="44"/>
      <c r="B1960" s="31" t="str">
        <f>IF(_xll.TM1RPTELISCONSOLIDATED($H$20,$H1960),IF(_xll.TM1RPTELLEV($H$20,$H1960)&lt;=5,_xll.TM1RPTELLEV($H$20,$H1960),"Default"),"Leaf")</f>
        <v>Leaf</v>
      </c>
      <c r="C1960" s="26" t="s">
        <v>19</v>
      </c>
      <c r="D1960" s="24" t="str">
        <f>_xll.DBRW("TM1-S1_DEV:}ElementAttributes_SP_SKU",$F1960,D$1)</f>
        <v>Primary</v>
      </c>
      <c r="E1960" s="24" t="str">
        <f>_xll.DBRW("TM1-S1_DEV:}ElementAttributes_SP_SKU",$F1960,E$1)</f>
        <v>PLATE</v>
      </c>
      <c r="F1960" s="26" t="s">
        <v>3001</v>
      </c>
      <c r="G1960" s="26" t="s">
        <v>3061</v>
      </c>
      <c r="H1960" s="26" t="s">
        <v>2711</v>
      </c>
      <c r="I1960" s="54">
        <f>_xll.DBRW($A$1,$F$14,$F$15,$C1960,$A$2,$F1960,$G1960,$H1960,I$1)</f>
        <v>6</v>
      </c>
      <c r="J1960" s="25">
        <f>_xll.DBRW($A$1,$F$14,$F$15,$C1960,$A$2,$F1960,$G1960,$H1960,J$19)</f>
        <v>6</v>
      </c>
    </row>
    <row r="1961" spans="1:10" s="23" customFormat="1" outlineLevel="1" thickBot="1" x14ac:dyDescent="0.3">
      <c r="A1961" s="44"/>
      <c r="B1961" s="31" t="str">
        <f>IF(_xll.TM1RPTELISCONSOLIDATED($H$20,$H1961),IF(_xll.TM1RPTELLEV($H$20,$H1961)&lt;=5,_xll.TM1RPTELLEV($H$20,$H1961),"Default"),"Leaf")</f>
        <v>Leaf</v>
      </c>
      <c r="C1961" s="26" t="s">
        <v>19</v>
      </c>
      <c r="D1961" s="24" t="str">
        <f>_xll.DBRW("TM1-S1_DEV:}ElementAttributes_SP_SKU",$F1961,D$1)</f>
        <v>Primary</v>
      </c>
      <c r="E1961" s="24" t="str">
        <f>_xll.DBRW("TM1-S1_DEV:}ElementAttributes_SP_SKU",$F1961,E$1)</f>
        <v>PLATE</v>
      </c>
      <c r="F1961" s="26" t="s">
        <v>400</v>
      </c>
      <c r="G1961" s="26" t="s">
        <v>1872</v>
      </c>
      <c r="H1961" s="26" t="s">
        <v>2757</v>
      </c>
      <c r="I1961" s="54">
        <f>_xll.DBRW($A$1,$F$14,$F$15,$C1961,$A$2,$F1961,$G1961,$H1961,I$1)</f>
        <v>2</v>
      </c>
      <c r="J1961" s="25">
        <f>_xll.DBRW($A$1,$F$14,$F$15,$C1961,$A$2,$F1961,$G1961,$H1961,J$19)</f>
        <v>2</v>
      </c>
    </row>
    <row r="1962" spans="1:10" s="23" customFormat="1" outlineLevel="1" thickBot="1" x14ac:dyDescent="0.3">
      <c r="A1962" s="44"/>
      <c r="B1962" s="31" t="str">
        <f>IF(_xll.TM1RPTELISCONSOLIDATED($H$20,$H1962),IF(_xll.TM1RPTELLEV($H$20,$H1962)&lt;=5,_xll.TM1RPTELLEV($H$20,$H1962),"Default"),"Leaf")</f>
        <v>Leaf</v>
      </c>
      <c r="C1962" s="26" t="s">
        <v>19</v>
      </c>
      <c r="D1962" s="24" t="str">
        <f>_xll.DBRW("TM1-S1_DEV:}ElementAttributes_SP_SKU",$F1962,D$1)</f>
        <v>Primary</v>
      </c>
      <c r="E1962" s="24" t="str">
        <f>_xll.DBRW("TM1-S1_DEV:}ElementAttributes_SP_SKU",$F1962,E$1)</f>
        <v>PLATE</v>
      </c>
      <c r="F1962" s="26" t="s">
        <v>401</v>
      </c>
      <c r="G1962" s="26" t="s">
        <v>1873</v>
      </c>
      <c r="H1962" s="26" t="s">
        <v>2711</v>
      </c>
      <c r="I1962" s="54">
        <f>_xll.DBRW($A$1,$F$14,$F$15,$C1962,$A$2,$F1962,$G1962,$H1962,I$1)</f>
        <v>7</v>
      </c>
      <c r="J1962" s="25">
        <f>_xll.DBRW($A$1,$F$14,$F$15,$C1962,$A$2,$F1962,$G1962,$H1962,J$19)</f>
        <v>7</v>
      </c>
    </row>
    <row r="1963" spans="1:10" s="23" customFormat="1" outlineLevel="1" thickBot="1" x14ac:dyDescent="0.3">
      <c r="A1963" s="44"/>
      <c r="B1963" s="31" t="str">
        <f>IF(_xll.TM1RPTELISCONSOLIDATED($H$20,$H1963),IF(_xll.TM1RPTELLEV($H$20,$H1963)&lt;=5,_xll.TM1RPTELLEV($H$20,$H1963),"Default"),"Leaf")</f>
        <v>Leaf</v>
      </c>
      <c r="C1963" s="26" t="s">
        <v>19</v>
      </c>
      <c r="D1963" s="24" t="str">
        <f>_xll.DBRW("TM1-S1_DEV:}ElementAttributes_SP_SKU",$F1963,D$1)</f>
        <v>Primary</v>
      </c>
      <c r="E1963" s="24" t="str">
        <f>_xll.DBRW("TM1-S1_DEV:}ElementAttributes_SP_SKU",$F1963,E$1)</f>
        <v>UTENSIL</v>
      </c>
      <c r="F1963" s="26" t="s">
        <v>402</v>
      </c>
      <c r="G1963" s="26" t="s">
        <v>1874</v>
      </c>
      <c r="H1963" s="26" t="s">
        <v>2866</v>
      </c>
      <c r="I1963" s="54">
        <f>_xll.DBRW($A$1,$F$14,$F$15,$C1963,$A$2,$F1963,$G1963,$H1963,I$1)</f>
        <v>14</v>
      </c>
      <c r="J1963" s="25">
        <f>_xll.DBRW($A$1,$F$14,$F$15,$C1963,$A$2,$F1963,$G1963,$H1963,J$19)</f>
        <v>14</v>
      </c>
    </row>
    <row r="1964" spans="1:10" s="23" customFormat="1" outlineLevel="1" thickBot="1" x14ac:dyDescent="0.3">
      <c r="A1964" s="44"/>
      <c r="B1964" s="31" t="str">
        <f>IF(_xll.TM1RPTELISCONSOLIDATED($H$20,$H1964),IF(_xll.TM1RPTELLEV($H$20,$H1964)&lt;=5,_xll.TM1RPTELLEV($H$20,$H1964),"Default"),"Leaf")</f>
        <v>Leaf</v>
      </c>
      <c r="C1964" s="26" t="s">
        <v>19</v>
      </c>
      <c r="D1964" s="24" t="str">
        <f>_xll.DBRW("TM1-S1_DEV:}ElementAttributes_SP_SKU",$F1964,D$1)</f>
        <v>Primary</v>
      </c>
      <c r="E1964" s="24" t="str">
        <f>_xll.DBRW("TM1-S1_DEV:}ElementAttributes_SP_SKU",$F1964,E$1)</f>
        <v>PAPER</v>
      </c>
      <c r="F1964" s="26" t="s">
        <v>364</v>
      </c>
      <c r="G1964" s="26" t="s">
        <v>1593</v>
      </c>
      <c r="H1964" s="26" t="s">
        <v>2807</v>
      </c>
      <c r="I1964" s="54">
        <f>_xll.DBRW($A$1,$F$14,$F$15,$C1964,$A$2,$F1964,$G1964,$H1964,I$1)</f>
        <v>49</v>
      </c>
      <c r="J1964" s="25">
        <f>_xll.DBRW($A$1,$F$14,$F$15,$C1964,$A$2,$F1964,$G1964,$H1964,J$19)</f>
        <v>76</v>
      </c>
    </row>
    <row r="1965" spans="1:10" s="23" customFormat="1" outlineLevel="1" thickBot="1" x14ac:dyDescent="0.3">
      <c r="A1965" s="44"/>
      <c r="B1965" s="31" t="str">
        <f>IF(_xll.TM1RPTELISCONSOLIDATED($H$20,$H1965),IF(_xll.TM1RPTELLEV($H$20,$H1965)&lt;=5,_xll.TM1RPTELLEV($H$20,$H1965),"Default"),"Leaf")</f>
        <v>Leaf</v>
      </c>
      <c r="C1965" s="26" t="s">
        <v>19</v>
      </c>
      <c r="D1965" s="24" t="str">
        <f>_xll.DBRW("TM1-S1_DEV:}ElementAttributes_SP_SKU",$F1965,D$1)</f>
        <v>Primary</v>
      </c>
      <c r="E1965" s="24" t="str">
        <f>_xll.DBRW("TM1-S1_DEV:}ElementAttributes_SP_SKU",$F1965,E$1)</f>
        <v>DRESSING</v>
      </c>
      <c r="F1965" s="26" t="s">
        <v>403</v>
      </c>
      <c r="G1965" s="26" t="s">
        <v>1875</v>
      </c>
      <c r="H1965" s="26" t="s">
        <v>2867</v>
      </c>
      <c r="I1965" s="54">
        <f>_xll.DBRW($A$1,$F$14,$F$15,$C1965,$A$2,$F1965,$G1965,$H1965,I$1)</f>
        <v>3</v>
      </c>
      <c r="J1965" s="25">
        <f>_xll.DBRW($A$1,$F$14,$F$15,$C1965,$A$2,$F1965,$G1965,$H1965,J$19)</f>
        <v>3</v>
      </c>
    </row>
    <row r="1966" spans="1:10" s="23" customFormat="1" outlineLevel="1" thickBot="1" x14ac:dyDescent="0.3">
      <c r="A1966" s="44"/>
      <c r="B1966" s="31" t="str">
        <f>IF(_xll.TM1RPTELISCONSOLIDATED($H$20,$H1966),IF(_xll.TM1RPTELLEV($H$20,$H1966)&lt;=5,_xll.TM1RPTELLEV($H$20,$H1966),"Default"),"Leaf")</f>
        <v>Leaf</v>
      </c>
      <c r="C1966" s="26" t="s">
        <v>19</v>
      </c>
      <c r="D1966" s="24" t="str">
        <f>_xll.DBRW("TM1-S1_DEV:}ElementAttributes_SP_SKU",$F1966,D$1)</f>
        <v>Primary</v>
      </c>
      <c r="E1966" s="24" t="str">
        <f>_xll.DBRW("TM1-S1_DEV:}ElementAttributes_SP_SKU",$F1966,E$1)</f>
        <v>DRESSING</v>
      </c>
      <c r="F1966" s="26" t="s">
        <v>404</v>
      </c>
      <c r="G1966" s="26" t="s">
        <v>1876</v>
      </c>
      <c r="H1966" s="26" t="s">
        <v>2867</v>
      </c>
      <c r="I1966" s="54">
        <f>_xll.DBRW($A$1,$F$14,$F$15,$C1966,$A$2,$F1966,$G1966,$H1966,I$1)</f>
        <v>6</v>
      </c>
      <c r="J1966" s="25">
        <f>_xll.DBRW($A$1,$F$14,$F$15,$C1966,$A$2,$F1966,$G1966,$H1966,J$19)</f>
        <v>6</v>
      </c>
    </row>
    <row r="1967" spans="1:10" s="23" customFormat="1" outlineLevel="1" thickBot="1" x14ac:dyDescent="0.3">
      <c r="A1967" s="44"/>
      <c r="B1967" s="31" t="str">
        <f>IF(_xll.TM1RPTELISCONSOLIDATED($H$20,$H1967),IF(_xll.TM1RPTELLEV($H$20,$H1967)&lt;=5,_xll.TM1RPTELLEV($H$20,$H1967),"Default"),"Leaf")</f>
        <v>Leaf</v>
      </c>
      <c r="C1967" s="26" t="s">
        <v>19</v>
      </c>
      <c r="D1967" s="24" t="str">
        <f>_xll.DBRW("TM1-S1_DEV:}ElementAttributes_SP_SKU",$F1967,D$1)</f>
        <v>Primary</v>
      </c>
      <c r="E1967" s="24" t="str">
        <f>_xll.DBRW("TM1-S1_DEV:}ElementAttributes_SP_SKU",$F1967,E$1)</f>
        <v>DRESSING</v>
      </c>
      <c r="F1967" s="26" t="s">
        <v>405</v>
      </c>
      <c r="G1967" s="26" t="s">
        <v>1877</v>
      </c>
      <c r="H1967" s="26" t="s">
        <v>2867</v>
      </c>
      <c r="I1967" s="54">
        <f>_xll.DBRW($A$1,$F$14,$F$15,$C1967,$A$2,$F1967,$G1967,$H1967,I$1)</f>
        <v>2</v>
      </c>
      <c r="J1967" s="25">
        <f>_xll.DBRW($A$1,$F$14,$F$15,$C1967,$A$2,$F1967,$G1967,$H1967,J$19)</f>
        <v>4</v>
      </c>
    </row>
    <row r="1968" spans="1:10" s="23" customFormat="1" outlineLevel="1" thickBot="1" x14ac:dyDescent="0.3">
      <c r="A1968" s="44"/>
      <c r="B1968" s="31" t="str">
        <f>IF(_xll.TM1RPTELISCONSOLIDATED($H$20,$H1968),IF(_xll.TM1RPTELLEV($H$20,$H1968)&lt;=5,_xll.TM1RPTELLEV($H$20,$H1968),"Default"),"Leaf")</f>
        <v>Leaf</v>
      </c>
      <c r="C1968" s="26" t="s">
        <v>19</v>
      </c>
      <c r="D1968" s="24" t="str">
        <f>_xll.DBRW("TM1-S1_DEV:}ElementAttributes_SP_SKU",$F1968,D$1)</f>
        <v>Primary</v>
      </c>
      <c r="E1968" s="24" t="str">
        <f>_xll.DBRW("TM1-S1_DEV:}ElementAttributes_SP_SKU",$F1968,E$1)</f>
        <v>DRESSING</v>
      </c>
      <c r="F1968" s="26" t="s">
        <v>406</v>
      </c>
      <c r="G1968" s="26" t="s">
        <v>1878</v>
      </c>
      <c r="H1968" s="26" t="s">
        <v>2867</v>
      </c>
      <c r="I1968" s="54">
        <f>_xll.DBRW($A$1,$F$14,$F$15,$C1968,$A$2,$F1968,$G1968,$H1968,I$1)</f>
        <v>7</v>
      </c>
      <c r="J1968" s="25">
        <f>_xll.DBRW($A$1,$F$14,$F$15,$C1968,$A$2,$F1968,$G1968,$H1968,J$19)</f>
        <v>13</v>
      </c>
    </row>
    <row r="1969" spans="1:10" s="23" customFormat="1" outlineLevel="1" thickBot="1" x14ac:dyDescent="0.3">
      <c r="A1969" s="44"/>
      <c r="B1969" s="31" t="str">
        <f>IF(_xll.TM1RPTELISCONSOLIDATED($H$20,$H1969),IF(_xll.TM1RPTELLEV($H$20,$H1969)&lt;=5,_xll.TM1RPTELLEV($H$20,$H1969),"Default"),"Leaf")</f>
        <v>Leaf</v>
      </c>
      <c r="C1969" s="26" t="s">
        <v>19</v>
      </c>
      <c r="D1969" s="24" t="str">
        <f>_xll.DBRW("TM1-S1_DEV:}ElementAttributes_SP_SKU",$F1969,D$1)</f>
        <v>Primary</v>
      </c>
      <c r="E1969" s="24" t="str">
        <f>_xll.DBRW("TM1-S1_DEV:}ElementAttributes_SP_SKU",$F1969,E$1)</f>
        <v>DRESSING</v>
      </c>
      <c r="F1969" s="26" t="s">
        <v>407</v>
      </c>
      <c r="G1969" s="26" t="s">
        <v>1879</v>
      </c>
      <c r="H1969" s="26" t="s">
        <v>2867</v>
      </c>
      <c r="I1969" s="54">
        <f>_xll.DBRW($A$1,$F$14,$F$15,$C1969,$A$2,$F1969,$G1969,$H1969,I$1)</f>
        <v>28</v>
      </c>
      <c r="J1969" s="25">
        <f>_xll.DBRW($A$1,$F$14,$F$15,$C1969,$A$2,$F1969,$G1969,$H1969,J$19)</f>
        <v>56</v>
      </c>
    </row>
    <row r="1970" spans="1:10" s="23" customFormat="1" outlineLevel="1" thickBot="1" x14ac:dyDescent="0.3">
      <c r="A1970" s="44"/>
      <c r="B1970" s="31" t="str">
        <f>IF(_xll.TM1RPTELISCONSOLIDATED($H$20,$H1970),IF(_xll.TM1RPTELLEV($H$20,$H1970)&lt;=5,_xll.TM1RPTELLEV($H$20,$H1970),"Default"),"Leaf")</f>
        <v>Leaf</v>
      </c>
      <c r="C1970" s="26" t="s">
        <v>19</v>
      </c>
      <c r="D1970" s="24" t="str">
        <f>_xll.DBRW("TM1-S1_DEV:}ElementAttributes_SP_SKU",$F1970,D$1)</f>
        <v>Primary</v>
      </c>
      <c r="E1970" s="24" t="str">
        <f>_xll.DBRW("TM1-S1_DEV:}ElementAttributes_SP_SKU",$F1970,E$1)</f>
        <v>DRESSING</v>
      </c>
      <c r="F1970" s="26" t="s">
        <v>408</v>
      </c>
      <c r="G1970" s="26" t="s">
        <v>1880</v>
      </c>
      <c r="H1970" s="26" t="s">
        <v>2867</v>
      </c>
      <c r="I1970" s="54">
        <f>_xll.DBRW($A$1,$F$14,$F$15,$C1970,$A$2,$F1970,$G1970,$H1970,I$1)</f>
        <v>45</v>
      </c>
      <c r="J1970" s="25">
        <f>_xll.DBRW($A$1,$F$14,$F$15,$C1970,$A$2,$F1970,$G1970,$H1970,J$19)</f>
        <v>67</v>
      </c>
    </row>
    <row r="1971" spans="1:10" s="23" customFormat="1" outlineLevel="1" thickBot="1" x14ac:dyDescent="0.3">
      <c r="A1971" s="44"/>
      <c r="B1971" s="31" t="str">
        <f>IF(_xll.TM1RPTELISCONSOLIDATED($H$20,$H1971),IF(_xll.TM1RPTELLEV($H$20,$H1971)&lt;=5,_xll.TM1RPTELLEV($H$20,$H1971),"Default"),"Leaf")</f>
        <v>Leaf</v>
      </c>
      <c r="C1971" s="26" t="s">
        <v>19</v>
      </c>
      <c r="D1971" s="24" t="str">
        <f>_xll.DBRW("TM1-S1_DEV:}ElementAttributes_SP_SKU",$F1971,D$1)</f>
        <v>Primary</v>
      </c>
      <c r="E1971" s="24" t="str">
        <f>_xll.DBRW("TM1-S1_DEV:}ElementAttributes_SP_SKU",$F1971,E$1)</f>
        <v>INGREDIENT</v>
      </c>
      <c r="F1971" s="26" t="s">
        <v>409</v>
      </c>
      <c r="G1971" s="26" t="s">
        <v>1881</v>
      </c>
      <c r="H1971" s="26" t="s">
        <v>2867</v>
      </c>
      <c r="I1971" s="54">
        <f>_xll.DBRW($A$1,$F$14,$F$15,$C1971,$A$2,$F1971,$G1971,$H1971,I$1)</f>
        <v>10</v>
      </c>
      <c r="J1971" s="25">
        <f>_xll.DBRW($A$1,$F$14,$F$15,$C1971,$A$2,$F1971,$G1971,$H1971,J$19)</f>
        <v>10</v>
      </c>
    </row>
    <row r="1972" spans="1:10" s="23" customFormat="1" outlineLevel="1" thickBot="1" x14ac:dyDescent="0.3">
      <c r="A1972" s="44"/>
      <c r="B1972" s="31" t="str">
        <f>IF(_xll.TM1RPTELISCONSOLIDATED($H$20,$H1972),IF(_xll.TM1RPTELLEV($H$20,$H1972)&lt;=5,_xll.TM1RPTELLEV($H$20,$H1972),"Default"),"Leaf")</f>
        <v>Leaf</v>
      </c>
      <c r="C1972" s="26" t="s">
        <v>19</v>
      </c>
      <c r="D1972" s="24" t="str">
        <f>_xll.DBRW("TM1-S1_DEV:}ElementAttributes_SP_SKU",$F1972,D$1)</f>
        <v>Primary</v>
      </c>
      <c r="E1972" s="24" t="str">
        <f>_xll.DBRW("TM1-S1_DEV:}ElementAttributes_SP_SKU",$F1972,E$1)</f>
        <v>INGREDIENT</v>
      </c>
      <c r="F1972" s="26" t="s">
        <v>410</v>
      </c>
      <c r="G1972" s="26" t="s">
        <v>1788</v>
      </c>
      <c r="H1972" s="26" t="s">
        <v>2867</v>
      </c>
      <c r="I1972" s="54">
        <f>_xll.DBRW($A$1,$F$14,$F$15,$C1972,$A$2,$F1972,$G1972,$H1972,I$1)</f>
        <v>9</v>
      </c>
      <c r="J1972" s="25">
        <f>_xll.DBRW($A$1,$F$14,$F$15,$C1972,$A$2,$F1972,$G1972,$H1972,J$19)</f>
        <v>33</v>
      </c>
    </row>
    <row r="1973" spans="1:10" s="23" customFormat="1" outlineLevel="1" thickBot="1" x14ac:dyDescent="0.3">
      <c r="A1973" s="44"/>
      <c r="B1973" s="31" t="str">
        <f>IF(_xll.TM1RPTELISCONSOLIDATED($H$20,$H1973),IF(_xll.TM1RPTELLEV($H$20,$H1973)&lt;=5,_xll.TM1RPTELLEV($H$20,$H1973),"Default"),"Leaf")</f>
        <v>Leaf</v>
      </c>
      <c r="C1973" s="26" t="s">
        <v>19</v>
      </c>
      <c r="D1973" s="24" t="str">
        <f>_xll.DBRW("TM1-S1_DEV:}ElementAttributes_SP_SKU",$F1973,D$1)</f>
        <v>Primary</v>
      </c>
      <c r="E1973" s="24" t="str">
        <f>_xll.DBRW("TM1-S1_DEV:}ElementAttributes_SP_SKU",$F1973,E$1)</f>
        <v>INGREDIENT</v>
      </c>
      <c r="F1973" s="26" t="s">
        <v>411</v>
      </c>
      <c r="G1973" s="26" t="s">
        <v>1790</v>
      </c>
      <c r="H1973" s="26" t="s">
        <v>2867</v>
      </c>
      <c r="I1973" s="54">
        <f>_xll.DBRW($A$1,$F$14,$F$15,$C1973,$A$2,$F1973,$G1973,$H1973,I$1)</f>
        <v>1</v>
      </c>
      <c r="J1973" s="25">
        <f>_xll.DBRW($A$1,$F$14,$F$15,$C1973,$A$2,$F1973,$G1973,$H1973,J$19)</f>
        <v>2</v>
      </c>
    </row>
    <row r="1974" spans="1:10" s="23" customFormat="1" outlineLevel="1" thickBot="1" x14ac:dyDescent="0.3">
      <c r="A1974" s="44"/>
      <c r="B1974" s="31" t="str">
        <f>IF(_xll.TM1RPTELISCONSOLIDATED($H$20,$H1974),IF(_xll.TM1RPTELLEV($H$20,$H1974)&lt;=5,_xll.TM1RPTELLEV($H$20,$H1974),"Default"),"Leaf")</f>
        <v>Leaf</v>
      </c>
      <c r="C1974" s="26" t="s">
        <v>19</v>
      </c>
      <c r="D1974" s="24" t="str">
        <f>_xll.DBRW("TM1-S1_DEV:}ElementAttributes_SP_SKU",$F1974,D$1)</f>
        <v>Primary</v>
      </c>
      <c r="E1974" s="24" t="str">
        <f>_xll.DBRW("TM1-S1_DEV:}ElementAttributes_SP_SKU",$F1974,E$1)</f>
        <v>FILM</v>
      </c>
      <c r="F1974" s="26" t="s">
        <v>3002</v>
      </c>
      <c r="G1974" s="26" t="s">
        <v>3062</v>
      </c>
      <c r="H1974" s="26" t="s">
        <v>2755</v>
      </c>
      <c r="I1974" s="54">
        <f>_xll.DBRW($A$1,$F$14,$F$15,$C1974,$A$2,$F1974,$G1974,$H1974,I$1)</f>
        <v>0</v>
      </c>
      <c r="J1974" s="25">
        <f>_xll.DBRW($A$1,$F$14,$F$15,$C1974,$A$2,$F1974,$G1974,$H1974,J$19)</f>
        <v>-1</v>
      </c>
    </row>
    <row r="1975" spans="1:10" s="23" customFormat="1" outlineLevel="1" thickBot="1" x14ac:dyDescent="0.3">
      <c r="A1975" s="44"/>
      <c r="B1975" s="31" t="str">
        <f>IF(_xll.TM1RPTELISCONSOLIDATED($H$20,$H1975),IF(_xll.TM1RPTELLEV($H$20,$H1975)&lt;=5,_xll.TM1RPTELLEV($H$20,$H1975),"Default"),"Leaf")</f>
        <v>Leaf</v>
      </c>
      <c r="C1975" s="26" t="s">
        <v>19</v>
      </c>
      <c r="D1975" s="24" t="str">
        <f>_xll.DBRW("TM1-S1_DEV:}ElementAttributes_SP_SKU",$F1975,D$1)</f>
        <v>Unassigned PSP</v>
      </c>
      <c r="E1975" s="24" t="str">
        <f>_xll.DBRW("TM1-S1_DEV:}ElementAttributes_SP_SKU",$F1975,E$1)</f>
        <v>CONTAINER</v>
      </c>
      <c r="F1975" s="26" t="s">
        <v>412</v>
      </c>
      <c r="G1975" s="26" t="s">
        <v>1852</v>
      </c>
      <c r="H1975" s="26" t="s">
        <v>2829</v>
      </c>
      <c r="I1975" s="54">
        <f>_xll.DBRW($A$1,$F$14,$F$15,$C1975,$A$2,$F1975,$G1975,$H1975,I$1)</f>
        <v>3</v>
      </c>
      <c r="J1975" s="25">
        <f>_xll.DBRW($A$1,$F$14,$F$15,$C1975,$A$2,$F1975,$G1975,$H1975,J$19)</f>
        <v>3</v>
      </c>
    </row>
    <row r="1976" spans="1:10" s="23" customFormat="1" outlineLevel="1" thickBot="1" x14ac:dyDescent="0.3">
      <c r="A1976" s="44"/>
      <c r="B1976" s="31" t="str">
        <f>IF(_xll.TM1RPTELISCONSOLIDATED($H$20,$H1976),IF(_xll.TM1RPTELLEV($H$20,$H1976)&lt;=5,_xll.TM1RPTELLEV($H$20,$H1976),"Default"),"Leaf")</f>
        <v>Leaf</v>
      </c>
      <c r="C1976" s="26" t="s">
        <v>19</v>
      </c>
      <c r="D1976" s="24" t="str">
        <f>_xll.DBRW("TM1-S1_DEV:}ElementAttributes_SP_SKU",$F1976,D$1)</f>
        <v>Primary</v>
      </c>
      <c r="E1976" s="24" t="str">
        <f>_xll.DBRW("TM1-S1_DEV:}ElementAttributes_SP_SKU",$F1976,E$1)</f>
        <v>INGREDIENT</v>
      </c>
      <c r="F1976" s="26" t="s">
        <v>3240</v>
      </c>
      <c r="G1976" s="26" t="s">
        <v>1882</v>
      </c>
      <c r="H1976" s="26" t="s">
        <v>2728</v>
      </c>
      <c r="I1976" s="54">
        <f>_xll.DBRW($A$1,$F$14,$F$15,$C1976,$A$2,$F1976,$G1976,$H1976,I$1)</f>
        <v>33</v>
      </c>
      <c r="J1976" s="25">
        <f>_xll.DBRW($A$1,$F$14,$F$15,$C1976,$A$2,$F1976,$G1976,$H1976,J$19)</f>
        <v>25</v>
      </c>
    </row>
    <row r="1977" spans="1:10" s="23" customFormat="1" outlineLevel="1" thickBot="1" x14ac:dyDescent="0.3">
      <c r="A1977" s="44"/>
      <c r="B1977" s="31" t="str">
        <f>IF(_xll.TM1RPTELISCONSOLIDATED($H$20,$H1977),IF(_xll.TM1RPTELLEV($H$20,$H1977)&lt;=5,_xll.TM1RPTELLEV($H$20,$H1977),"Default"),"Leaf")</f>
        <v>Leaf</v>
      </c>
      <c r="C1977" s="26" t="s">
        <v>19</v>
      </c>
      <c r="D1977" s="24" t="str">
        <f>_xll.DBRW("TM1-S1_DEV:}ElementAttributes_SP_SKU",$F1977,D$1)</f>
        <v>Primary</v>
      </c>
      <c r="E1977" s="24" t="str">
        <f>_xll.DBRW("TM1-S1_DEV:}ElementAttributes_SP_SKU",$F1977,E$1)</f>
        <v>INGREDIENT</v>
      </c>
      <c r="F1977" s="26" t="s">
        <v>3241</v>
      </c>
      <c r="G1977" s="26" t="s">
        <v>1883</v>
      </c>
      <c r="H1977" s="26" t="s">
        <v>2734</v>
      </c>
      <c r="I1977" s="54">
        <f>_xll.DBRW($A$1,$F$14,$F$15,$C1977,$A$2,$F1977,$G1977,$H1977,I$1)</f>
        <v>651</v>
      </c>
      <c r="J1977" s="25">
        <f>_xll.DBRW($A$1,$F$14,$F$15,$C1977,$A$2,$F1977,$G1977,$H1977,J$19)</f>
        <v>651</v>
      </c>
    </row>
    <row r="1978" spans="1:10" s="23" customFormat="1" outlineLevel="1" thickBot="1" x14ac:dyDescent="0.3">
      <c r="A1978" s="44"/>
      <c r="B1978" s="31" t="str">
        <f>IF(_xll.TM1RPTELISCONSOLIDATED($H$20,$H1978),IF(_xll.TM1RPTELLEV($H$20,$H1978)&lt;=5,_xll.TM1RPTELLEV($H$20,$H1978),"Default"),"Leaf")</f>
        <v>Leaf</v>
      </c>
      <c r="C1978" s="26" t="s">
        <v>19</v>
      </c>
      <c r="D1978" s="24" t="str">
        <f>_xll.DBRW("TM1-S1_DEV:}ElementAttributes_SP_SKU",$F1978,D$1)</f>
        <v>Primary</v>
      </c>
      <c r="E1978" s="24" t="str">
        <f>_xll.DBRW("TM1-S1_DEV:}ElementAttributes_SP_SKU",$F1978,E$1)</f>
        <v>INGREDIENT</v>
      </c>
      <c r="F1978" s="26" t="s">
        <v>3241</v>
      </c>
      <c r="G1978" s="26" t="s">
        <v>3063</v>
      </c>
      <c r="H1978" s="26" t="s">
        <v>2729</v>
      </c>
      <c r="I1978" s="54">
        <f>_xll.DBRW($A$1,$F$14,$F$15,$C1978,$A$2,$F1978,$G1978,$H1978,I$1)</f>
        <v>0</v>
      </c>
      <c r="J1978" s="25">
        <f>_xll.DBRW($A$1,$F$14,$F$15,$C1978,$A$2,$F1978,$G1978,$H1978,J$19)</f>
        <v>-153</v>
      </c>
    </row>
    <row r="1979" spans="1:10" s="23" customFormat="1" outlineLevel="1" thickBot="1" x14ac:dyDescent="0.3">
      <c r="A1979" s="44"/>
      <c r="B1979" s="31" t="str">
        <f>IF(_xll.TM1RPTELISCONSOLIDATED($H$20,$H1979),IF(_xll.TM1RPTELLEV($H$20,$H1979)&lt;=5,_xll.TM1RPTELLEV($H$20,$H1979),"Default"),"Leaf")</f>
        <v>Leaf</v>
      </c>
      <c r="C1979" s="26" t="s">
        <v>19</v>
      </c>
      <c r="D1979" s="24" t="str">
        <f>_xll.DBRW("TM1-S1_DEV:}ElementAttributes_SP_SKU",$F1979,D$1)</f>
        <v>Primary</v>
      </c>
      <c r="E1979" s="24" t="str">
        <f>_xll.DBRW("TM1-S1_DEV:}ElementAttributes_SP_SKU",$F1979,E$1)</f>
        <v>CONTAINER</v>
      </c>
      <c r="F1979" s="26" t="s">
        <v>3242</v>
      </c>
      <c r="G1979" s="26" t="s">
        <v>1884</v>
      </c>
      <c r="H1979" s="26" t="s">
        <v>2708</v>
      </c>
      <c r="I1979" s="54">
        <f>_xll.DBRW($A$1,$F$14,$F$15,$C1979,$A$2,$F1979,$G1979,$H1979,I$1)</f>
        <v>43</v>
      </c>
      <c r="J1979" s="25">
        <f>_xll.DBRW($A$1,$F$14,$F$15,$C1979,$A$2,$F1979,$G1979,$H1979,J$19)</f>
        <v>73</v>
      </c>
    </row>
    <row r="1980" spans="1:10" s="23" customFormat="1" outlineLevel="1" thickBot="1" x14ac:dyDescent="0.3">
      <c r="A1980" s="44"/>
      <c r="B1980" s="31" t="str">
        <f>IF(_xll.TM1RPTELISCONSOLIDATED($H$20,$H1980),IF(_xll.TM1RPTELLEV($H$20,$H1980)&lt;=5,_xll.TM1RPTELLEV($H$20,$H1980),"Default"),"Leaf")</f>
        <v>Leaf</v>
      </c>
      <c r="C1980" s="26" t="s">
        <v>19</v>
      </c>
      <c r="D1980" s="24" t="str">
        <f>_xll.DBRW("TM1-S1_DEV:}ElementAttributes_SP_SKU",$F1980,D$1)</f>
        <v>Primary</v>
      </c>
      <c r="E1980" s="24" t="str">
        <f>_xll.DBRW("TM1-S1_DEV:}ElementAttributes_SP_SKU",$F1980,E$1)</f>
        <v>PAPER</v>
      </c>
      <c r="F1980" s="26" t="s">
        <v>3243</v>
      </c>
      <c r="G1980" s="26" t="s">
        <v>1885</v>
      </c>
      <c r="H1980" s="26" t="s">
        <v>2730</v>
      </c>
      <c r="I1980" s="54">
        <f>_xll.DBRW($A$1,$F$14,$F$15,$C1980,$A$2,$F1980,$G1980,$H1980,I$1)</f>
        <v>15</v>
      </c>
      <c r="J1980" s="25">
        <f>_xll.DBRW($A$1,$F$14,$F$15,$C1980,$A$2,$F1980,$G1980,$H1980,J$19)</f>
        <v>15</v>
      </c>
    </row>
    <row r="1981" spans="1:10" s="23" customFormat="1" outlineLevel="1" thickBot="1" x14ac:dyDescent="0.3">
      <c r="A1981" s="44"/>
      <c r="B1981" s="31" t="str">
        <f>IF(_xll.TM1RPTELISCONSOLIDATED($H$20,$H1981),IF(_xll.TM1RPTELLEV($H$20,$H1981)&lt;=5,_xll.TM1RPTELLEV($H$20,$H1981),"Default"),"Leaf")</f>
        <v>Leaf</v>
      </c>
      <c r="C1981" s="26" t="s">
        <v>19</v>
      </c>
      <c r="D1981" s="24" t="str">
        <f>_xll.DBRW("TM1-S1_DEV:}ElementAttributes_SP_SKU",$F1981,D$1)</f>
        <v>Primary</v>
      </c>
      <c r="E1981" s="24" t="str">
        <f>_xll.DBRW("TM1-S1_DEV:}ElementAttributes_SP_SKU",$F1981,E$1)</f>
        <v>PROTEIN</v>
      </c>
      <c r="F1981" s="26" t="s">
        <v>3244</v>
      </c>
      <c r="G1981" s="26" t="s">
        <v>1886</v>
      </c>
      <c r="H1981" s="26" t="s">
        <v>2670</v>
      </c>
      <c r="I1981" s="54">
        <f>_xll.DBRW($A$1,$F$14,$F$15,$C1981,$A$2,$F1981,$G1981,$H1981,I$1)</f>
        <v>13</v>
      </c>
      <c r="J1981" s="25">
        <f>_xll.DBRW($A$1,$F$14,$F$15,$C1981,$A$2,$F1981,$G1981,$H1981,J$19)</f>
        <v>36</v>
      </c>
    </row>
    <row r="1982" spans="1:10" s="23" customFormat="1" outlineLevel="1" thickBot="1" x14ac:dyDescent="0.3">
      <c r="A1982" s="44"/>
      <c r="B1982" s="31" t="str">
        <f>IF(_xll.TM1RPTELISCONSOLIDATED($H$20,$H1982),IF(_xll.TM1RPTELLEV($H$20,$H1982)&lt;=5,_xll.TM1RPTELLEV($H$20,$H1982),"Default"),"Leaf")</f>
        <v>Leaf</v>
      </c>
      <c r="C1982" s="26" t="s">
        <v>19</v>
      </c>
      <c r="D1982" s="24" t="str">
        <f>_xll.DBRW("TM1-S1_DEV:}ElementAttributes_SP_SKU",$F1982,D$1)</f>
        <v>Primary</v>
      </c>
      <c r="E1982" s="24" t="str">
        <f>_xll.DBRW("TM1-S1_DEV:}ElementAttributes_SP_SKU",$F1982,E$1)</f>
        <v>PAD</v>
      </c>
      <c r="F1982" s="26" t="s">
        <v>3245</v>
      </c>
      <c r="G1982" s="26" t="s">
        <v>1887</v>
      </c>
      <c r="H1982" s="26" t="s">
        <v>2731</v>
      </c>
      <c r="I1982" s="54">
        <f>_xll.DBRW($A$1,$F$14,$F$15,$C1982,$A$2,$F1982,$G1982,$H1982,I$1)</f>
        <v>1</v>
      </c>
      <c r="J1982" s="25">
        <f>_xll.DBRW($A$1,$F$14,$F$15,$C1982,$A$2,$F1982,$G1982,$H1982,J$19)</f>
        <v>54</v>
      </c>
    </row>
    <row r="1983" spans="1:10" s="23" customFormat="1" outlineLevel="1" thickBot="1" x14ac:dyDescent="0.3">
      <c r="A1983" s="44"/>
      <c r="B1983" s="31" t="str">
        <f>IF(_xll.TM1RPTELISCONSOLIDATED($H$20,$H1983),IF(_xll.TM1RPTELLEV($H$20,$H1983)&lt;=5,_xll.TM1RPTELLEV($H$20,$H1983),"Default"),"Leaf")</f>
        <v>Leaf</v>
      </c>
      <c r="C1983" s="26" t="s">
        <v>19</v>
      </c>
      <c r="D1983" s="24" t="str">
        <f>_xll.DBRW("TM1-S1_DEV:}ElementAttributes_SP_SKU",$F1983,D$1)</f>
        <v>Primary</v>
      </c>
      <c r="E1983" s="24" t="str">
        <f>_xll.DBRW("TM1-S1_DEV:}ElementAttributes_SP_SKU",$F1983,E$1)</f>
        <v>PAPER</v>
      </c>
      <c r="F1983" s="26" t="s">
        <v>3289</v>
      </c>
      <c r="G1983" s="26" t="s">
        <v>1888</v>
      </c>
      <c r="H1983" s="26" t="s">
        <v>2868</v>
      </c>
      <c r="I1983" s="54">
        <f>_xll.DBRW($A$1,$F$14,$F$15,$C1983,$A$2,$F1983,$G1983,$H1983,I$1)</f>
        <v>39</v>
      </c>
      <c r="J1983" s="25">
        <f>_xll.DBRW($A$1,$F$14,$F$15,$C1983,$A$2,$F1983,$G1983,$H1983,J$19)</f>
        <v>39</v>
      </c>
    </row>
    <row r="1984" spans="1:10" s="23" customFormat="1" outlineLevel="1" thickBot="1" x14ac:dyDescent="0.3">
      <c r="A1984" s="44"/>
      <c r="B1984" s="31" t="str">
        <f>IF(_xll.TM1RPTELISCONSOLIDATED($H$20,$H1984),IF(_xll.TM1RPTELLEV($H$20,$H1984)&lt;=5,_xll.TM1RPTELLEV($H$20,$H1984),"Default"),"Leaf")</f>
        <v>Leaf</v>
      </c>
      <c r="C1984" s="26" t="s">
        <v>19</v>
      </c>
      <c r="D1984" s="24" t="str">
        <f>_xll.DBRW("TM1-S1_DEV:}ElementAttributes_SP_SKU",$F1984,D$1)</f>
        <v>Primary</v>
      </c>
      <c r="E1984" s="24" t="str">
        <f>_xll.DBRW("TM1-S1_DEV:}ElementAttributes_SP_SKU",$F1984,E$1)</f>
        <v>PAPER</v>
      </c>
      <c r="F1984" s="26" t="s">
        <v>3290</v>
      </c>
      <c r="G1984" s="26" t="s">
        <v>1889</v>
      </c>
      <c r="H1984" s="26" t="s">
        <v>2869</v>
      </c>
      <c r="I1984" s="54">
        <f>_xll.DBRW($A$1,$F$14,$F$15,$C1984,$A$2,$F1984,$G1984,$H1984,I$1)</f>
        <v>4</v>
      </c>
      <c r="J1984" s="25">
        <f>_xll.DBRW($A$1,$F$14,$F$15,$C1984,$A$2,$F1984,$G1984,$H1984,J$19)</f>
        <v>4</v>
      </c>
    </row>
    <row r="1985" spans="1:10" s="23" customFormat="1" outlineLevel="1" thickBot="1" x14ac:dyDescent="0.3">
      <c r="A1985" s="44"/>
      <c r="B1985" s="31" t="str">
        <f>IF(_xll.TM1RPTELISCONSOLIDATED($H$20,$H1985),IF(_xll.TM1RPTELLEV($H$20,$H1985)&lt;=5,_xll.TM1RPTELLEV($H$20,$H1985),"Default"),"Leaf")</f>
        <v>Leaf</v>
      </c>
      <c r="C1985" s="26" t="s">
        <v>20</v>
      </c>
      <c r="D1985" s="24" t="str">
        <f>_xll.DBRW("TM1-S1_DEV:}ElementAttributes_SP_SKU",$F1985,D$1)</f>
        <v>Primary</v>
      </c>
      <c r="E1985" s="24" t="str">
        <f>_xll.DBRW("TM1-S1_DEV:}ElementAttributes_SP_SKU",$F1985,E$1)</f>
        <v>HAM</v>
      </c>
      <c r="F1985" s="26" t="s">
        <v>3246</v>
      </c>
      <c r="G1985" s="26" t="s">
        <v>1890</v>
      </c>
      <c r="H1985" s="26" t="s">
        <v>2673</v>
      </c>
      <c r="I1985" s="54">
        <f>_xll.DBRW($A$1,$F$14,$F$15,$C1985,$A$2,$F1985,$G1985,$H1985,I$1)</f>
        <v>226</v>
      </c>
      <c r="J1985" s="25">
        <f>_xll.DBRW($A$1,$F$14,$F$15,$C1985,$A$2,$F1985,$G1985,$H1985,J$19)</f>
        <v>0</v>
      </c>
    </row>
    <row r="1986" spans="1:10" s="23" customFormat="1" outlineLevel="1" thickBot="1" x14ac:dyDescent="0.3">
      <c r="A1986" s="44"/>
      <c r="B1986" s="31" t="str">
        <f>IF(_xll.TM1RPTELISCONSOLIDATED($H$20,$H1986),IF(_xll.TM1RPTELLEV($H$20,$H1986)&lt;=5,_xll.TM1RPTELLEV($H$20,$H1986),"Default"),"Leaf")</f>
        <v>Leaf</v>
      </c>
      <c r="C1986" s="26" t="s">
        <v>20</v>
      </c>
      <c r="D1986" s="24" t="str">
        <f>_xll.DBRW("TM1-S1_DEV:}ElementAttributes_SP_SKU",$F1986,D$1)</f>
        <v>Primary</v>
      </c>
      <c r="E1986" s="24" t="str">
        <f>_xll.DBRW("TM1-S1_DEV:}ElementAttributes_SP_SKU",$F1986,E$1)</f>
        <v>HAM</v>
      </c>
      <c r="F1986" s="26" t="s">
        <v>3247</v>
      </c>
      <c r="G1986" s="26" t="s">
        <v>1891</v>
      </c>
      <c r="H1986" s="26" t="s">
        <v>2673</v>
      </c>
      <c r="I1986" s="54">
        <f>_xll.DBRW($A$1,$F$14,$F$15,$C1986,$A$2,$F1986,$G1986,$H1986,I$1)</f>
        <v>244</v>
      </c>
      <c r="J1986" s="25">
        <f>_xll.DBRW($A$1,$F$14,$F$15,$C1986,$A$2,$F1986,$G1986,$H1986,J$19)</f>
        <v>0</v>
      </c>
    </row>
    <row r="1987" spans="1:10" s="23" customFormat="1" outlineLevel="1" thickBot="1" x14ac:dyDescent="0.3">
      <c r="A1987" s="44"/>
      <c r="B1987" s="31" t="str">
        <f>IF(_xll.TM1RPTELISCONSOLIDATED($H$20,$H1987),IF(_xll.TM1RPTELLEV($H$20,$H1987)&lt;=5,_xll.TM1RPTELLEV($H$20,$H1987),"Default"),"Leaf")</f>
        <v>Leaf</v>
      </c>
      <c r="C1987" s="26" t="s">
        <v>20</v>
      </c>
      <c r="D1987" s="24" t="str">
        <f>_xll.DBRW("TM1-S1_DEV:}ElementAttributes_SP_SKU",$F1987,D$1)</f>
        <v>Primary</v>
      </c>
      <c r="E1987" s="24" t="str">
        <f>_xll.DBRW("TM1-S1_DEV:}ElementAttributes_SP_SKU",$F1987,E$1)</f>
        <v>HAM</v>
      </c>
      <c r="F1987" s="26" t="s">
        <v>3248</v>
      </c>
      <c r="G1987" s="26" t="s">
        <v>1892</v>
      </c>
      <c r="H1987" s="26" t="s">
        <v>2673</v>
      </c>
      <c r="I1987" s="54">
        <f>_xll.DBRW($A$1,$F$14,$F$15,$C1987,$A$2,$F1987,$G1987,$H1987,I$1)</f>
        <v>214</v>
      </c>
      <c r="J1987" s="25">
        <f>_xll.DBRW($A$1,$F$14,$F$15,$C1987,$A$2,$F1987,$G1987,$H1987,J$19)</f>
        <v>0</v>
      </c>
    </row>
    <row r="1988" spans="1:10" s="23" customFormat="1" outlineLevel="1" thickBot="1" x14ac:dyDescent="0.3">
      <c r="A1988" s="44"/>
      <c r="B1988" s="31" t="str">
        <f>IF(_xll.TM1RPTELISCONSOLIDATED($H$20,$H1988),IF(_xll.TM1RPTELLEV($H$20,$H1988)&lt;=5,_xll.TM1RPTELLEV($H$20,$H1988),"Default"),"Leaf")</f>
        <v>Leaf</v>
      </c>
      <c r="C1988" s="26" t="s">
        <v>20</v>
      </c>
      <c r="D1988" s="24" t="str">
        <f>_xll.DBRW("TM1-S1_DEV:}ElementAttributes_SP_SKU",$F1988,D$1)</f>
        <v>Primary</v>
      </c>
      <c r="E1988" s="24" t="str">
        <f>_xll.DBRW("TM1-S1_DEV:}ElementAttributes_SP_SKU",$F1988,E$1)</f>
        <v>HAM</v>
      </c>
      <c r="F1988" s="26" t="s">
        <v>3249</v>
      </c>
      <c r="G1988" s="26" t="s">
        <v>1893</v>
      </c>
      <c r="H1988" s="26" t="s">
        <v>2673</v>
      </c>
      <c r="I1988" s="54">
        <f>_xll.DBRW($A$1,$F$14,$F$15,$C1988,$A$2,$F1988,$G1988,$H1988,I$1)</f>
        <v>134</v>
      </c>
      <c r="J1988" s="25">
        <f>_xll.DBRW($A$1,$F$14,$F$15,$C1988,$A$2,$F1988,$G1988,$H1988,J$19)</f>
        <v>0</v>
      </c>
    </row>
    <row r="1989" spans="1:10" s="23" customFormat="1" outlineLevel="1" thickBot="1" x14ac:dyDescent="0.3">
      <c r="A1989" s="44"/>
      <c r="B1989" s="31" t="str">
        <f>IF(_xll.TM1RPTELISCONSOLIDATED($H$20,$H1989),IF(_xll.TM1RPTELLEV($H$20,$H1989)&lt;=5,_xll.TM1RPTELLEV($H$20,$H1989),"Default"),"Leaf")</f>
        <v>Leaf</v>
      </c>
      <c r="C1989" s="26" t="s">
        <v>20</v>
      </c>
      <c r="D1989" s="24" t="str">
        <f>_xll.DBRW("TM1-S1_DEV:}ElementAttributes_SP_SKU",$F1989,D$1)</f>
        <v>Primary</v>
      </c>
      <c r="E1989" s="24" t="str">
        <f>_xll.DBRW("TM1-S1_DEV:}ElementAttributes_SP_SKU",$F1989,E$1)</f>
        <v>HAM</v>
      </c>
      <c r="F1989" s="26" t="s">
        <v>3250</v>
      </c>
      <c r="G1989" s="26" t="s">
        <v>1894</v>
      </c>
      <c r="H1989" s="26" t="s">
        <v>2673</v>
      </c>
      <c r="I1989" s="54">
        <f>_xll.DBRW($A$1,$F$14,$F$15,$C1989,$A$2,$F1989,$G1989,$H1989,I$1)</f>
        <v>120</v>
      </c>
      <c r="J1989" s="25">
        <f>_xll.DBRW($A$1,$F$14,$F$15,$C1989,$A$2,$F1989,$G1989,$H1989,J$19)</f>
        <v>0</v>
      </c>
    </row>
    <row r="1990" spans="1:10" s="23" customFormat="1" outlineLevel="1" thickBot="1" x14ac:dyDescent="0.3">
      <c r="A1990" s="44"/>
      <c r="B1990" s="31" t="str">
        <f>IF(_xll.TM1RPTELISCONSOLIDATED($H$20,$H1990),IF(_xll.TM1RPTELLEV($H$20,$H1990)&lt;=5,_xll.TM1RPTELLEV($H$20,$H1990),"Default"),"Leaf")</f>
        <v>Leaf</v>
      </c>
      <c r="C1990" s="26" t="s">
        <v>20</v>
      </c>
      <c r="D1990" s="24" t="str">
        <f>_xll.DBRW("TM1-S1_DEV:}ElementAttributes_SP_SKU",$F1990,D$1)</f>
        <v>Primary</v>
      </c>
      <c r="E1990" s="24" t="str">
        <f>_xll.DBRW("TM1-S1_DEV:}ElementAttributes_SP_SKU",$F1990,E$1)</f>
        <v>HAM</v>
      </c>
      <c r="F1990" s="26" t="s">
        <v>3251</v>
      </c>
      <c r="G1990" s="26" t="s">
        <v>1895</v>
      </c>
      <c r="H1990" s="26" t="s">
        <v>2673</v>
      </c>
      <c r="I1990" s="54">
        <f>_xll.DBRW($A$1,$F$14,$F$15,$C1990,$A$2,$F1990,$G1990,$H1990,I$1)</f>
        <v>203</v>
      </c>
      <c r="J1990" s="25">
        <f>_xll.DBRW($A$1,$F$14,$F$15,$C1990,$A$2,$F1990,$G1990,$H1990,J$19)</f>
        <v>0</v>
      </c>
    </row>
    <row r="1991" spans="1:10" s="23" customFormat="1" outlineLevel="1" thickBot="1" x14ac:dyDescent="0.3">
      <c r="A1991" s="44"/>
      <c r="B1991" s="31" t="str">
        <f>IF(_xll.TM1RPTELISCONSOLIDATED($H$20,$H1991),IF(_xll.TM1RPTELLEV($H$20,$H1991)&lt;=5,_xll.TM1RPTELLEV($H$20,$H1991),"Default"),"Leaf")</f>
        <v>Leaf</v>
      </c>
      <c r="C1991" s="26" t="s">
        <v>20</v>
      </c>
      <c r="D1991" s="24" t="str">
        <f>_xll.DBRW("TM1-S1_DEV:}ElementAttributes_SP_SKU",$F1991,D$1)</f>
        <v>Primary</v>
      </c>
      <c r="E1991" s="24" t="str">
        <f>_xll.DBRW("TM1-S1_DEV:}ElementAttributes_SP_SKU",$F1991,E$1)</f>
        <v>TURKEY</v>
      </c>
      <c r="F1991" s="26" t="s">
        <v>3291</v>
      </c>
      <c r="G1991" s="26" t="s">
        <v>1896</v>
      </c>
      <c r="H1991" s="26" t="s">
        <v>2671</v>
      </c>
      <c r="I1991" s="54">
        <f>_xll.DBRW($A$1,$F$14,$F$15,$C1991,$A$2,$F1991,$G1991,$H1991,I$1)</f>
        <v>12</v>
      </c>
      <c r="J1991" s="25">
        <f>_xll.DBRW($A$1,$F$14,$F$15,$C1991,$A$2,$F1991,$G1991,$H1991,J$19)</f>
        <v>12</v>
      </c>
    </row>
    <row r="1992" spans="1:10" s="23" customFormat="1" outlineLevel="1" thickBot="1" x14ac:dyDescent="0.3">
      <c r="A1992" s="44"/>
      <c r="B1992" s="31" t="str">
        <f>IF(_xll.TM1RPTELISCONSOLIDATED($H$20,$H1992),IF(_xll.TM1RPTELLEV($H$20,$H1992)&lt;=5,_xll.TM1RPTELLEV($H$20,$H1992),"Default"),"Leaf")</f>
        <v>Leaf</v>
      </c>
      <c r="C1992" s="26" t="s">
        <v>20</v>
      </c>
      <c r="D1992" s="24" t="str">
        <f>_xll.DBRW("TM1-S1_DEV:}ElementAttributes_SP_SKU",$F1992,D$1)</f>
        <v>Primary</v>
      </c>
      <c r="E1992" s="24" t="str">
        <f>_xll.DBRW("TM1-S1_DEV:}ElementAttributes_SP_SKU",$F1992,E$1)</f>
        <v>TURKEY</v>
      </c>
      <c r="F1992" s="26" t="s">
        <v>3110</v>
      </c>
      <c r="G1992" s="26" t="s">
        <v>1897</v>
      </c>
      <c r="H1992" s="26" t="s">
        <v>2671</v>
      </c>
      <c r="I1992" s="54">
        <f>_xll.DBRW($A$1,$F$14,$F$15,$C1992,$A$2,$F1992,$G1992,$H1992,I$1)</f>
        <v>83</v>
      </c>
      <c r="J1992" s="25">
        <f>_xll.DBRW($A$1,$F$14,$F$15,$C1992,$A$2,$F1992,$G1992,$H1992,J$19)</f>
        <v>32</v>
      </c>
    </row>
    <row r="1993" spans="1:10" s="23" customFormat="1" outlineLevel="1" thickBot="1" x14ac:dyDescent="0.3">
      <c r="A1993" s="44"/>
      <c r="B1993" s="31" t="str">
        <f>IF(_xll.TM1RPTELISCONSOLIDATED($H$20,$H1993),IF(_xll.TM1RPTELLEV($H$20,$H1993)&lt;=5,_xll.TM1RPTELLEV($H$20,$H1993),"Default"),"Leaf")</f>
        <v>Leaf</v>
      </c>
      <c r="C1993" s="26" t="s">
        <v>20</v>
      </c>
      <c r="D1993" s="24" t="str">
        <f>_xll.DBRW("TM1-S1_DEV:}ElementAttributes_SP_SKU",$F1993,D$1)</f>
        <v>Primary</v>
      </c>
      <c r="E1993" s="24" t="str">
        <f>_xll.DBRW("TM1-S1_DEV:}ElementAttributes_SP_SKU",$F1993,E$1)</f>
        <v>TURKEY</v>
      </c>
      <c r="F1993" s="26" t="s">
        <v>3111</v>
      </c>
      <c r="G1993" s="26" t="s">
        <v>1898</v>
      </c>
      <c r="H1993" s="26" t="s">
        <v>2671</v>
      </c>
      <c r="I1993" s="54">
        <f>_xll.DBRW($A$1,$F$14,$F$15,$C1993,$A$2,$F1993,$G1993,$H1993,I$1)</f>
        <v>71</v>
      </c>
      <c r="J1993" s="25">
        <f>_xll.DBRW($A$1,$F$14,$F$15,$C1993,$A$2,$F1993,$G1993,$H1993,J$19)</f>
        <v>12</v>
      </c>
    </row>
    <row r="1994" spans="1:10" s="23" customFormat="1" outlineLevel="1" thickBot="1" x14ac:dyDescent="0.3">
      <c r="A1994" s="44"/>
      <c r="B1994" s="31" t="str">
        <f>IF(_xll.TM1RPTELISCONSOLIDATED($H$20,$H1994),IF(_xll.TM1RPTELLEV($H$20,$H1994)&lt;=5,_xll.TM1RPTELLEV($H$20,$H1994),"Default"),"Leaf")</f>
        <v>Leaf</v>
      </c>
      <c r="C1994" s="26" t="s">
        <v>20</v>
      </c>
      <c r="D1994" s="24" t="str">
        <f>_xll.DBRW("TM1-S1_DEV:}ElementAttributes_SP_SKU",$F1994,D$1)</f>
        <v>Primary</v>
      </c>
      <c r="E1994" s="24" t="str">
        <f>_xll.DBRW("TM1-S1_DEV:}ElementAttributes_SP_SKU",$F1994,E$1)</f>
        <v>PROTEIN</v>
      </c>
      <c r="F1994" s="26" t="s">
        <v>3112</v>
      </c>
      <c r="G1994" s="26" t="s">
        <v>1899</v>
      </c>
      <c r="H1994" s="26" t="s">
        <v>2672</v>
      </c>
      <c r="I1994" s="54">
        <f>_xll.DBRW($A$1,$F$14,$F$15,$C1994,$A$2,$F1994,$G1994,$H1994,I$1)</f>
        <v>3</v>
      </c>
      <c r="J1994" s="25">
        <f>_xll.DBRW($A$1,$F$14,$F$15,$C1994,$A$2,$F1994,$G1994,$H1994,J$19)</f>
        <v>2</v>
      </c>
    </row>
    <row r="1995" spans="1:10" s="23" customFormat="1" outlineLevel="1" thickBot="1" x14ac:dyDescent="0.3">
      <c r="A1995" s="44"/>
      <c r="B1995" s="31" t="str">
        <f>IF(_xll.TM1RPTELISCONSOLIDATED($H$20,$H1995),IF(_xll.TM1RPTELLEV($H$20,$H1995)&lt;=5,_xll.TM1RPTELLEV($H$20,$H1995),"Default"),"Leaf")</f>
        <v>Leaf</v>
      </c>
      <c r="C1995" s="26" t="s">
        <v>20</v>
      </c>
      <c r="D1995" s="24" t="str">
        <f>_xll.DBRW("TM1-S1_DEV:}ElementAttributes_SP_SKU",$F1995,D$1)</f>
        <v>Primary</v>
      </c>
      <c r="E1995" s="24" t="str">
        <f>_xll.DBRW("TM1-S1_DEV:}ElementAttributes_SP_SKU",$F1995,E$1)</f>
        <v>PROTEIN</v>
      </c>
      <c r="F1995" s="26" t="s">
        <v>3114</v>
      </c>
      <c r="G1995" s="26" t="s">
        <v>1900</v>
      </c>
      <c r="H1995" s="26" t="s">
        <v>2672</v>
      </c>
      <c r="I1995" s="54">
        <f>_xll.DBRW($A$1,$F$14,$F$15,$C1995,$A$2,$F1995,$G1995,$H1995,I$1)</f>
        <v>2</v>
      </c>
      <c r="J1995" s="25">
        <f>_xll.DBRW($A$1,$F$14,$F$15,$C1995,$A$2,$F1995,$G1995,$H1995,J$19)</f>
        <v>-1</v>
      </c>
    </row>
    <row r="1996" spans="1:10" s="23" customFormat="1" outlineLevel="1" thickBot="1" x14ac:dyDescent="0.3">
      <c r="A1996" s="44"/>
      <c r="B1996" s="31" t="str">
        <f>IF(_xll.TM1RPTELISCONSOLIDATED($H$20,$H1996),IF(_xll.TM1RPTELLEV($H$20,$H1996)&lt;=5,_xll.TM1RPTELLEV($H$20,$H1996),"Default"),"Leaf")</f>
        <v>Leaf</v>
      </c>
      <c r="C1996" s="26" t="s">
        <v>20</v>
      </c>
      <c r="D1996" s="24" t="str">
        <f>_xll.DBRW("TM1-S1_DEV:}ElementAttributes_SP_SKU",$F1996,D$1)</f>
        <v>Primary</v>
      </c>
      <c r="E1996" s="24" t="str">
        <f>_xll.DBRW("TM1-S1_DEV:}ElementAttributes_SP_SKU",$F1996,E$1)</f>
        <v>PROTEIN</v>
      </c>
      <c r="F1996" s="26" t="s">
        <v>3115</v>
      </c>
      <c r="G1996" s="26" t="s">
        <v>1901</v>
      </c>
      <c r="H1996" s="26" t="s">
        <v>2672</v>
      </c>
      <c r="I1996" s="54">
        <f>_xll.DBRW($A$1,$F$14,$F$15,$C1996,$A$2,$F1996,$G1996,$H1996,I$1)</f>
        <v>2</v>
      </c>
      <c r="J1996" s="25">
        <f>_xll.DBRW($A$1,$F$14,$F$15,$C1996,$A$2,$F1996,$G1996,$H1996,J$19)</f>
        <v>1</v>
      </c>
    </row>
    <row r="1997" spans="1:10" s="23" customFormat="1" outlineLevel="1" thickBot="1" x14ac:dyDescent="0.3">
      <c r="A1997" s="44"/>
      <c r="B1997" s="31" t="str">
        <f>IF(_xll.TM1RPTELISCONSOLIDATED($H$20,$H1997),IF(_xll.TM1RPTELLEV($H$20,$H1997)&lt;=5,_xll.TM1RPTELLEV($H$20,$H1997),"Default"),"Leaf")</f>
        <v>Leaf</v>
      </c>
      <c r="C1997" s="26" t="s">
        <v>20</v>
      </c>
      <c r="D1997" s="24" t="str">
        <f>_xll.DBRW("TM1-S1_DEV:}ElementAttributes_SP_SKU",$F1997,D$1)</f>
        <v>Primary</v>
      </c>
      <c r="E1997" s="24" t="str">
        <f>_xll.DBRW("TM1-S1_DEV:}ElementAttributes_SP_SKU",$F1997,E$1)</f>
        <v>SOUP</v>
      </c>
      <c r="F1997" s="26" t="s">
        <v>3117</v>
      </c>
      <c r="G1997" s="26" t="s">
        <v>1902</v>
      </c>
      <c r="H1997" s="26" t="s">
        <v>2674</v>
      </c>
      <c r="I1997" s="54">
        <f>_xll.DBRW($A$1,$F$14,$F$15,$C1997,$A$2,$F1997,$G1997,$H1997,I$1)</f>
        <v>1</v>
      </c>
      <c r="J1997" s="25">
        <f>_xll.DBRW($A$1,$F$14,$F$15,$C1997,$A$2,$F1997,$G1997,$H1997,J$19)</f>
        <v>1</v>
      </c>
    </row>
    <row r="1998" spans="1:10" s="23" customFormat="1" outlineLevel="1" thickBot="1" x14ac:dyDescent="0.3">
      <c r="A1998" s="44"/>
      <c r="B1998" s="31" t="str">
        <f>IF(_xll.TM1RPTELISCONSOLIDATED($H$20,$H1998),IF(_xll.TM1RPTELLEV($H$20,$H1998)&lt;=5,_xll.TM1RPTELLEV($H$20,$H1998),"Default"),"Leaf")</f>
        <v>Leaf</v>
      </c>
      <c r="C1998" s="26" t="s">
        <v>20</v>
      </c>
      <c r="D1998" s="24" t="str">
        <f>_xll.DBRW("TM1-S1_DEV:}ElementAttributes_SP_SKU",$F1998,D$1)</f>
        <v>Primary</v>
      </c>
      <c r="E1998" s="24" t="str">
        <f>_xll.DBRW("TM1-S1_DEV:}ElementAttributes_SP_SKU",$F1998,E$1)</f>
        <v>PROTEIN</v>
      </c>
      <c r="F1998" s="26" t="s">
        <v>3119</v>
      </c>
      <c r="G1998" s="26" t="s">
        <v>1903</v>
      </c>
      <c r="H1998" s="26" t="s">
        <v>2670</v>
      </c>
      <c r="I1998" s="54">
        <f>_xll.DBRW($A$1,$F$14,$F$15,$C1998,$A$2,$F1998,$G1998,$H1998,I$1)</f>
        <v>4</v>
      </c>
      <c r="J1998" s="25">
        <f>_xll.DBRW($A$1,$F$14,$F$15,$C1998,$A$2,$F1998,$G1998,$H1998,J$19)</f>
        <v>1</v>
      </c>
    </row>
    <row r="1999" spans="1:10" s="23" customFormat="1" outlineLevel="1" thickBot="1" x14ac:dyDescent="0.3">
      <c r="A1999" s="44"/>
      <c r="B1999" s="31" t="str">
        <f>IF(_xll.TM1RPTELISCONSOLIDATED($H$20,$H1999),IF(_xll.TM1RPTELLEV($H$20,$H1999)&lt;=5,_xll.TM1RPTELLEV($H$20,$H1999),"Default"),"Leaf")</f>
        <v>Leaf</v>
      </c>
      <c r="C1999" s="26" t="s">
        <v>20</v>
      </c>
      <c r="D1999" s="24" t="str">
        <f>_xll.DBRW("TM1-S1_DEV:}ElementAttributes_SP_SKU",$F1999,D$1)</f>
        <v>Primary</v>
      </c>
      <c r="E1999" s="24" t="str">
        <f>_xll.DBRW("TM1-S1_DEV:}ElementAttributes_SP_SKU",$F1999,E$1)</f>
        <v>PROTEIN</v>
      </c>
      <c r="F1999" s="26" t="s">
        <v>3120</v>
      </c>
      <c r="G1999" s="26" t="s">
        <v>1904</v>
      </c>
      <c r="H1999" s="26" t="s">
        <v>2670</v>
      </c>
      <c r="I1999" s="54">
        <f>_xll.DBRW($A$1,$F$14,$F$15,$C1999,$A$2,$F1999,$G1999,$H1999,I$1)</f>
        <v>7</v>
      </c>
      <c r="J1999" s="25">
        <f>_xll.DBRW($A$1,$F$14,$F$15,$C1999,$A$2,$F1999,$G1999,$H1999,J$19)</f>
        <v>5</v>
      </c>
    </row>
    <row r="2000" spans="1:10" s="23" customFormat="1" outlineLevel="1" thickBot="1" x14ac:dyDescent="0.3">
      <c r="A2000" s="44"/>
      <c r="B2000" s="31" t="str">
        <f>IF(_xll.TM1RPTELISCONSOLIDATED($H$20,$H2000),IF(_xll.TM1RPTELLEV($H$20,$H2000)&lt;=5,_xll.TM1RPTELLEV($H$20,$H2000),"Default"),"Leaf")</f>
        <v>Leaf</v>
      </c>
      <c r="C2000" s="26" t="s">
        <v>20</v>
      </c>
      <c r="D2000" s="24" t="str">
        <f>_xll.DBRW("TM1-S1_DEV:}ElementAttributes_SP_SKU",$F2000,D$1)</f>
        <v>Primary</v>
      </c>
      <c r="E2000" s="24" t="str">
        <f>_xll.DBRW("TM1-S1_DEV:}ElementAttributes_SP_SKU",$F2000,E$1)</f>
        <v>SOUP</v>
      </c>
      <c r="F2000" s="26" t="s">
        <v>3121</v>
      </c>
      <c r="G2000" s="26" t="s">
        <v>1905</v>
      </c>
      <c r="H2000" s="26" t="s">
        <v>2675</v>
      </c>
      <c r="I2000" s="54">
        <f>_xll.DBRW($A$1,$F$14,$F$15,$C2000,$A$2,$F2000,$G2000,$H2000,I$1)</f>
        <v>20</v>
      </c>
      <c r="J2000" s="25">
        <f>_xll.DBRW($A$1,$F$14,$F$15,$C2000,$A$2,$F2000,$G2000,$H2000,J$19)</f>
        <v>20</v>
      </c>
    </row>
    <row r="2001" spans="1:10" s="23" customFormat="1" outlineLevel="1" thickBot="1" x14ac:dyDescent="0.3">
      <c r="A2001" s="44"/>
      <c r="B2001" s="31" t="str">
        <f>IF(_xll.TM1RPTELISCONSOLIDATED($H$20,$H2001),IF(_xll.TM1RPTELLEV($H$20,$H2001)&lt;=5,_xll.TM1RPTELLEV($H$20,$H2001),"Default"),"Leaf")</f>
        <v>Leaf</v>
      </c>
      <c r="C2001" s="26" t="s">
        <v>20</v>
      </c>
      <c r="D2001" s="24" t="str">
        <f>_xll.DBRW("TM1-S1_DEV:}ElementAttributes_SP_SKU",$F2001,D$1)</f>
        <v>Primary</v>
      </c>
      <c r="E2001" s="24" t="str">
        <f>_xll.DBRW("TM1-S1_DEV:}ElementAttributes_SP_SKU",$F2001,E$1)</f>
        <v>SOUP</v>
      </c>
      <c r="F2001" s="26" t="s">
        <v>3122</v>
      </c>
      <c r="G2001" s="26" t="s">
        <v>1906</v>
      </c>
      <c r="H2001" s="26" t="s">
        <v>2675</v>
      </c>
      <c r="I2001" s="54">
        <f>_xll.DBRW($A$1,$F$14,$F$15,$C2001,$A$2,$F2001,$G2001,$H2001,I$1)</f>
        <v>14</v>
      </c>
      <c r="J2001" s="25">
        <f>_xll.DBRW($A$1,$F$14,$F$15,$C2001,$A$2,$F2001,$G2001,$H2001,J$19)</f>
        <v>13</v>
      </c>
    </row>
    <row r="2002" spans="1:10" s="23" customFormat="1" outlineLevel="1" thickBot="1" x14ac:dyDescent="0.3">
      <c r="A2002" s="44"/>
      <c r="B2002" s="31" t="str">
        <f>IF(_xll.TM1RPTELISCONSOLIDATED($H$20,$H2002),IF(_xll.TM1RPTELLEV($H$20,$H2002)&lt;=5,_xll.TM1RPTELLEV($H$20,$H2002),"Default"),"Leaf")</f>
        <v>Leaf</v>
      </c>
      <c r="C2002" s="26" t="s">
        <v>20</v>
      </c>
      <c r="D2002" s="24" t="str">
        <f>_xll.DBRW("TM1-S1_DEV:}ElementAttributes_SP_SKU",$F2002,D$1)</f>
        <v>Primary</v>
      </c>
      <c r="E2002" s="24" t="str">
        <f>_xll.DBRW("TM1-S1_DEV:}ElementAttributes_SP_SKU",$F2002,E$1)</f>
        <v>SIDES</v>
      </c>
      <c r="F2002" s="26" t="s">
        <v>3123</v>
      </c>
      <c r="G2002" s="26" t="s">
        <v>1907</v>
      </c>
      <c r="H2002" s="26" t="s">
        <v>2676</v>
      </c>
      <c r="I2002" s="54">
        <f>_xll.DBRW($A$1,$F$14,$F$15,$C2002,$A$2,$F2002,$G2002,$H2002,I$1)</f>
        <v>14</v>
      </c>
      <c r="J2002" s="25">
        <f>_xll.DBRW($A$1,$F$14,$F$15,$C2002,$A$2,$F2002,$G2002,$H2002,J$19)</f>
        <v>9</v>
      </c>
    </row>
    <row r="2003" spans="1:10" s="23" customFormat="1" outlineLevel="1" thickBot="1" x14ac:dyDescent="0.3">
      <c r="A2003" s="44"/>
      <c r="B2003" s="31" t="str">
        <f>IF(_xll.TM1RPTELISCONSOLIDATED($H$20,$H2003),IF(_xll.TM1RPTELLEV($H$20,$H2003)&lt;=5,_xll.TM1RPTELLEV($H$20,$H2003),"Default"),"Leaf")</f>
        <v>Leaf</v>
      </c>
      <c r="C2003" s="26" t="s">
        <v>20</v>
      </c>
      <c r="D2003" s="24" t="str">
        <f>_xll.DBRW("TM1-S1_DEV:}ElementAttributes_SP_SKU",$F2003,D$1)</f>
        <v>Primary</v>
      </c>
      <c r="E2003" s="24" t="str">
        <f>_xll.DBRW("TM1-S1_DEV:}ElementAttributes_SP_SKU",$F2003,E$1)</f>
        <v>SIDES</v>
      </c>
      <c r="F2003" s="26" t="s">
        <v>3124</v>
      </c>
      <c r="G2003" s="26" t="s">
        <v>1908</v>
      </c>
      <c r="H2003" s="26" t="s">
        <v>2676</v>
      </c>
      <c r="I2003" s="54">
        <f>_xll.DBRW($A$1,$F$14,$F$15,$C2003,$A$2,$F2003,$G2003,$H2003,I$1)</f>
        <v>18</v>
      </c>
      <c r="J2003" s="25">
        <f>_xll.DBRW($A$1,$F$14,$F$15,$C2003,$A$2,$F2003,$G2003,$H2003,J$19)</f>
        <v>12</v>
      </c>
    </row>
    <row r="2004" spans="1:10" s="23" customFormat="1" outlineLevel="1" thickBot="1" x14ac:dyDescent="0.3">
      <c r="A2004" s="44"/>
      <c r="B2004" s="31" t="str">
        <f>IF(_xll.TM1RPTELISCONSOLIDATED($H$20,$H2004),IF(_xll.TM1RPTELLEV($H$20,$H2004)&lt;=5,_xll.TM1RPTELLEV($H$20,$H2004),"Default"),"Leaf")</f>
        <v>Leaf</v>
      </c>
      <c r="C2004" s="26" t="s">
        <v>20</v>
      </c>
      <c r="D2004" s="24" t="str">
        <f>_xll.DBRW("TM1-S1_DEV:}ElementAttributes_SP_SKU",$F2004,D$1)</f>
        <v>Primary</v>
      </c>
      <c r="E2004" s="24" t="str">
        <f>_xll.DBRW("TM1-S1_DEV:}ElementAttributes_SP_SKU",$F2004,E$1)</f>
        <v>SIDES</v>
      </c>
      <c r="F2004" s="26" t="s">
        <v>3125</v>
      </c>
      <c r="G2004" s="26" t="s">
        <v>1909</v>
      </c>
      <c r="H2004" s="26" t="s">
        <v>2676</v>
      </c>
      <c r="I2004" s="54">
        <f>_xll.DBRW($A$1,$F$14,$F$15,$C2004,$A$2,$F2004,$G2004,$H2004,I$1)</f>
        <v>15</v>
      </c>
      <c r="J2004" s="25">
        <f>_xll.DBRW($A$1,$F$14,$F$15,$C2004,$A$2,$F2004,$G2004,$H2004,J$19)</f>
        <v>8</v>
      </c>
    </row>
    <row r="2005" spans="1:10" s="23" customFormat="1" outlineLevel="1" thickBot="1" x14ac:dyDescent="0.3">
      <c r="A2005" s="44"/>
      <c r="B2005" s="31" t="str">
        <f>IF(_xll.TM1RPTELISCONSOLIDATED($H$20,$H2005),IF(_xll.TM1RPTELLEV($H$20,$H2005)&lt;=5,_xll.TM1RPTELLEV($H$20,$H2005),"Default"),"Leaf")</f>
        <v>Leaf</v>
      </c>
      <c r="C2005" s="26" t="s">
        <v>20</v>
      </c>
      <c r="D2005" s="24" t="str">
        <f>_xll.DBRW("TM1-S1_DEV:}ElementAttributes_SP_SKU",$F2005,D$1)</f>
        <v>Primary</v>
      </c>
      <c r="E2005" s="24" t="str">
        <f>_xll.DBRW("TM1-S1_DEV:}ElementAttributes_SP_SKU",$F2005,E$1)</f>
        <v>SIDES</v>
      </c>
      <c r="F2005" s="26" t="s">
        <v>3126</v>
      </c>
      <c r="G2005" s="26" t="s">
        <v>1910</v>
      </c>
      <c r="H2005" s="26" t="s">
        <v>2676</v>
      </c>
      <c r="I2005" s="54">
        <f>_xll.DBRW($A$1,$F$14,$F$15,$C2005,$A$2,$F2005,$G2005,$H2005,I$1)</f>
        <v>29</v>
      </c>
      <c r="J2005" s="25">
        <f>_xll.DBRW($A$1,$F$14,$F$15,$C2005,$A$2,$F2005,$G2005,$H2005,J$19)</f>
        <v>21</v>
      </c>
    </row>
    <row r="2006" spans="1:10" s="23" customFormat="1" outlineLevel="1" thickBot="1" x14ac:dyDescent="0.3">
      <c r="A2006" s="44"/>
      <c r="B2006" s="31" t="str">
        <f>IF(_xll.TM1RPTELISCONSOLIDATED($H$20,$H2006),IF(_xll.TM1RPTELLEV($H$20,$H2006)&lt;=5,_xll.TM1RPTELLEV($H$20,$H2006),"Default"),"Leaf")</f>
        <v>Leaf</v>
      </c>
      <c r="C2006" s="26" t="s">
        <v>20</v>
      </c>
      <c r="D2006" s="24" t="str">
        <f>_xll.DBRW("TM1-S1_DEV:}ElementAttributes_SP_SKU",$F2006,D$1)</f>
        <v>Primary</v>
      </c>
      <c r="E2006" s="24" t="str">
        <f>_xll.DBRW("TM1-S1_DEV:}ElementAttributes_SP_SKU",$F2006,E$1)</f>
        <v>SIDES</v>
      </c>
      <c r="F2006" s="26" t="s">
        <v>3127</v>
      </c>
      <c r="G2006" s="26" t="s">
        <v>1911</v>
      </c>
      <c r="H2006" s="26" t="s">
        <v>2676</v>
      </c>
      <c r="I2006" s="54">
        <f>_xll.DBRW($A$1,$F$14,$F$15,$C2006,$A$2,$F2006,$G2006,$H2006,I$1)</f>
        <v>9</v>
      </c>
      <c r="J2006" s="25">
        <f>_xll.DBRW($A$1,$F$14,$F$15,$C2006,$A$2,$F2006,$G2006,$H2006,J$19)</f>
        <v>4</v>
      </c>
    </row>
    <row r="2007" spans="1:10" s="23" customFormat="1" outlineLevel="1" thickBot="1" x14ac:dyDescent="0.3">
      <c r="A2007" s="44"/>
      <c r="B2007" s="31" t="str">
        <f>IF(_xll.TM1RPTELISCONSOLIDATED($H$20,$H2007),IF(_xll.TM1RPTELLEV($H$20,$H2007)&lt;=5,_xll.TM1RPTELLEV($H$20,$H2007),"Default"),"Leaf")</f>
        <v>Leaf</v>
      </c>
      <c r="C2007" s="26" t="s">
        <v>20</v>
      </c>
      <c r="D2007" s="24" t="str">
        <f>_xll.DBRW("TM1-S1_DEV:}ElementAttributes_SP_SKU",$F2007,D$1)</f>
        <v>Primary</v>
      </c>
      <c r="E2007" s="24" t="str">
        <f>_xll.DBRW("TM1-S1_DEV:}ElementAttributes_SP_SKU",$F2007,E$1)</f>
        <v>SIDES</v>
      </c>
      <c r="F2007" s="26" t="s">
        <v>3128</v>
      </c>
      <c r="G2007" s="26" t="s">
        <v>1912</v>
      </c>
      <c r="H2007" s="26" t="s">
        <v>2676</v>
      </c>
      <c r="I2007" s="54">
        <f>_xll.DBRW($A$1,$F$14,$F$15,$C2007,$A$2,$F2007,$G2007,$H2007,I$1)</f>
        <v>18</v>
      </c>
      <c r="J2007" s="25">
        <f>_xll.DBRW($A$1,$F$14,$F$15,$C2007,$A$2,$F2007,$G2007,$H2007,J$19)</f>
        <v>11</v>
      </c>
    </row>
    <row r="2008" spans="1:10" s="23" customFormat="1" outlineLevel="1" thickBot="1" x14ac:dyDescent="0.3">
      <c r="A2008" s="44"/>
      <c r="B2008" s="31" t="str">
        <f>IF(_xll.TM1RPTELISCONSOLIDATED($H$20,$H2008),IF(_xll.TM1RPTELLEV($H$20,$H2008)&lt;=5,_xll.TM1RPTELLEV($H$20,$H2008),"Default"),"Leaf")</f>
        <v>Leaf</v>
      </c>
      <c r="C2008" s="26" t="s">
        <v>20</v>
      </c>
      <c r="D2008" s="24" t="str">
        <f>_xll.DBRW("TM1-S1_DEV:}ElementAttributes_SP_SKU",$F2008,D$1)</f>
        <v>Primary</v>
      </c>
      <c r="E2008" s="24" t="str">
        <f>_xll.DBRW("TM1-S1_DEV:}ElementAttributes_SP_SKU",$F2008,E$1)</f>
        <v>SIDES</v>
      </c>
      <c r="F2008" s="26" t="s">
        <v>3129</v>
      </c>
      <c r="G2008" s="26" t="s">
        <v>1913</v>
      </c>
      <c r="H2008" s="26" t="s">
        <v>2676</v>
      </c>
      <c r="I2008" s="54">
        <f>_xll.DBRW($A$1,$F$14,$F$15,$C2008,$A$2,$F2008,$G2008,$H2008,I$1)</f>
        <v>16</v>
      </c>
      <c r="J2008" s="25">
        <f>_xll.DBRW($A$1,$F$14,$F$15,$C2008,$A$2,$F2008,$G2008,$H2008,J$19)</f>
        <v>5</v>
      </c>
    </row>
    <row r="2009" spans="1:10" s="23" customFormat="1" outlineLevel="1" thickBot="1" x14ac:dyDescent="0.3">
      <c r="A2009" s="44"/>
      <c r="B2009" s="31" t="str">
        <f>IF(_xll.TM1RPTELISCONSOLIDATED($H$20,$H2009),IF(_xll.TM1RPTELLEV($H$20,$H2009)&lt;=5,_xll.TM1RPTELLEV($H$20,$H2009),"Default"),"Leaf")</f>
        <v>Leaf</v>
      </c>
      <c r="C2009" s="26" t="s">
        <v>20</v>
      </c>
      <c r="D2009" s="24" t="str">
        <f>_xll.DBRW("TM1-S1_DEV:}ElementAttributes_SP_SKU",$F2009,D$1)</f>
        <v>Primary</v>
      </c>
      <c r="E2009" s="24" t="str">
        <f>_xll.DBRW("TM1-S1_DEV:}ElementAttributes_SP_SKU",$F2009,E$1)</f>
        <v>SIDES</v>
      </c>
      <c r="F2009" s="26" t="s">
        <v>3130</v>
      </c>
      <c r="G2009" s="26" t="s">
        <v>1914</v>
      </c>
      <c r="H2009" s="26" t="s">
        <v>2676</v>
      </c>
      <c r="I2009" s="54">
        <f>_xll.DBRW($A$1,$F$14,$F$15,$C2009,$A$2,$F2009,$G2009,$H2009,I$1)</f>
        <v>7</v>
      </c>
      <c r="J2009" s="25">
        <f>_xll.DBRW($A$1,$F$14,$F$15,$C2009,$A$2,$F2009,$G2009,$H2009,J$19)</f>
        <v>4</v>
      </c>
    </row>
    <row r="2010" spans="1:10" s="23" customFormat="1" outlineLevel="1" thickBot="1" x14ac:dyDescent="0.3">
      <c r="A2010" s="44"/>
      <c r="B2010" s="31" t="str">
        <f>IF(_xll.TM1RPTELISCONSOLIDATED($H$20,$H2010),IF(_xll.TM1RPTELLEV($H$20,$H2010)&lt;=5,_xll.TM1RPTELLEV($H$20,$H2010),"Default"),"Leaf")</f>
        <v>Leaf</v>
      </c>
      <c r="C2010" s="26" t="s">
        <v>20</v>
      </c>
      <c r="D2010" s="24" t="str">
        <f>_xll.DBRW("TM1-S1_DEV:}ElementAttributes_SP_SKU",$F2010,D$1)</f>
        <v>Primary</v>
      </c>
      <c r="E2010" s="24" t="str">
        <f>_xll.DBRW("TM1-S1_DEV:}ElementAttributes_SP_SKU",$F2010,E$1)</f>
        <v>SIDES</v>
      </c>
      <c r="F2010" s="26" t="s">
        <v>3131</v>
      </c>
      <c r="G2010" s="26" t="s">
        <v>1915</v>
      </c>
      <c r="H2010" s="26" t="s">
        <v>2676</v>
      </c>
      <c r="I2010" s="54">
        <f>_xll.DBRW($A$1,$F$14,$F$15,$C2010,$A$2,$F2010,$G2010,$H2010,I$1)</f>
        <v>12</v>
      </c>
      <c r="J2010" s="25">
        <f>_xll.DBRW($A$1,$F$14,$F$15,$C2010,$A$2,$F2010,$G2010,$H2010,J$19)</f>
        <v>9</v>
      </c>
    </row>
    <row r="2011" spans="1:10" s="23" customFormat="1" outlineLevel="1" thickBot="1" x14ac:dyDescent="0.3">
      <c r="A2011" s="44"/>
      <c r="B2011" s="31" t="str">
        <f>IF(_xll.TM1RPTELISCONSOLIDATED($H$20,$H2011),IF(_xll.TM1RPTELLEV($H$20,$H2011)&lt;=5,_xll.TM1RPTELLEV($H$20,$H2011),"Default"),"Leaf")</f>
        <v>Leaf</v>
      </c>
      <c r="C2011" s="26" t="s">
        <v>20</v>
      </c>
      <c r="D2011" s="24" t="str">
        <f>_xll.DBRW("TM1-S1_DEV:}ElementAttributes_SP_SKU",$F2011,D$1)</f>
        <v>Primary</v>
      </c>
      <c r="E2011" s="24" t="str">
        <f>_xll.DBRW("TM1-S1_DEV:}ElementAttributes_SP_SKU",$F2011,E$1)</f>
        <v>SIDES</v>
      </c>
      <c r="F2011" s="26" t="s">
        <v>3132</v>
      </c>
      <c r="G2011" s="26" t="s">
        <v>1916</v>
      </c>
      <c r="H2011" s="26" t="s">
        <v>2676</v>
      </c>
      <c r="I2011" s="54">
        <f>_xll.DBRW($A$1,$F$14,$F$15,$C2011,$A$2,$F2011,$G2011,$H2011,I$1)</f>
        <v>33</v>
      </c>
      <c r="J2011" s="25">
        <f>_xll.DBRW($A$1,$F$14,$F$15,$C2011,$A$2,$F2011,$G2011,$H2011,J$19)</f>
        <v>19</v>
      </c>
    </row>
    <row r="2012" spans="1:10" s="23" customFormat="1" outlineLevel="1" thickBot="1" x14ac:dyDescent="0.3">
      <c r="A2012" s="44"/>
      <c r="B2012" s="31" t="str">
        <f>IF(_xll.TM1RPTELISCONSOLIDATED($H$20,$H2012),IF(_xll.TM1RPTELLEV($H$20,$H2012)&lt;=5,_xll.TM1RPTELLEV($H$20,$H2012),"Default"),"Leaf")</f>
        <v>Leaf</v>
      </c>
      <c r="C2012" s="26" t="s">
        <v>20</v>
      </c>
      <c r="D2012" s="24" t="str">
        <f>_xll.DBRW("TM1-S1_DEV:}ElementAttributes_SP_SKU",$F2012,D$1)</f>
        <v>Primary</v>
      </c>
      <c r="E2012" s="24" t="str">
        <f>_xll.DBRW("TM1-S1_DEV:}ElementAttributes_SP_SKU",$F2012,E$1)</f>
        <v>DESSERT</v>
      </c>
      <c r="F2012" s="26" t="s">
        <v>29</v>
      </c>
      <c r="G2012" s="26" t="s">
        <v>1917</v>
      </c>
      <c r="H2012" s="26" t="s">
        <v>2677</v>
      </c>
      <c r="I2012" s="54">
        <f>_xll.DBRW($A$1,$F$14,$F$15,$C2012,$A$2,$F2012,$G2012,$H2012,I$1)</f>
        <v>3</v>
      </c>
      <c r="J2012" s="25">
        <f>_xll.DBRW($A$1,$F$14,$F$15,$C2012,$A$2,$F2012,$G2012,$H2012,J$19)</f>
        <v>3</v>
      </c>
    </row>
    <row r="2013" spans="1:10" s="23" customFormat="1" outlineLevel="1" thickBot="1" x14ac:dyDescent="0.3">
      <c r="A2013" s="44"/>
      <c r="B2013" s="31" t="str">
        <f>IF(_xll.TM1RPTELISCONSOLIDATED($H$20,$H2013),IF(_xll.TM1RPTELLEV($H$20,$H2013)&lt;=5,_xll.TM1RPTELLEV($H$20,$H2013),"Default"),"Leaf")</f>
        <v>Leaf</v>
      </c>
      <c r="C2013" s="26" t="s">
        <v>20</v>
      </c>
      <c r="D2013" s="24" t="str">
        <f>_xll.DBRW("TM1-S1_DEV:}ElementAttributes_SP_SKU",$F2013,D$1)</f>
        <v>Primary</v>
      </c>
      <c r="E2013" s="24" t="str">
        <f>_xll.DBRW("TM1-S1_DEV:}ElementAttributes_SP_SKU",$F2013,E$1)</f>
        <v>PIE</v>
      </c>
      <c r="F2013" s="26" t="s">
        <v>3133</v>
      </c>
      <c r="G2013" s="26" t="s">
        <v>1918</v>
      </c>
      <c r="H2013" s="26" t="s">
        <v>2678</v>
      </c>
      <c r="I2013" s="54">
        <f>_xll.DBRW($A$1,$F$14,$F$15,$C2013,$A$2,$F2013,$G2013,$H2013,I$1)</f>
        <v>5</v>
      </c>
      <c r="J2013" s="25">
        <f>_xll.DBRW($A$1,$F$14,$F$15,$C2013,$A$2,$F2013,$G2013,$H2013,J$19)</f>
        <v>4</v>
      </c>
    </row>
    <row r="2014" spans="1:10" s="23" customFormat="1" outlineLevel="1" thickBot="1" x14ac:dyDescent="0.3">
      <c r="A2014" s="44"/>
      <c r="B2014" s="31" t="str">
        <f>IF(_xll.TM1RPTELISCONSOLIDATED($H$20,$H2014),IF(_xll.TM1RPTELLEV($H$20,$H2014)&lt;=5,_xll.TM1RPTELLEV($H$20,$H2014),"Default"),"Leaf")</f>
        <v>Leaf</v>
      </c>
      <c r="C2014" s="26" t="s">
        <v>20</v>
      </c>
      <c r="D2014" s="24" t="str">
        <f>_xll.DBRW("TM1-S1_DEV:}ElementAttributes_SP_SKU",$F2014,D$1)</f>
        <v>Primary</v>
      </c>
      <c r="E2014" s="24" t="str">
        <f>_xll.DBRW("TM1-S1_DEV:}ElementAttributes_SP_SKU",$F2014,E$1)</f>
        <v>PIE</v>
      </c>
      <c r="F2014" s="26" t="s">
        <v>3134</v>
      </c>
      <c r="G2014" s="26" t="s">
        <v>1919</v>
      </c>
      <c r="H2014" s="26" t="s">
        <v>2678</v>
      </c>
      <c r="I2014" s="54">
        <f>_xll.DBRW($A$1,$F$14,$F$15,$C2014,$A$2,$F2014,$G2014,$H2014,I$1)</f>
        <v>1</v>
      </c>
      <c r="J2014" s="25">
        <f>_xll.DBRW($A$1,$F$14,$F$15,$C2014,$A$2,$F2014,$G2014,$H2014,J$19)</f>
        <v>0</v>
      </c>
    </row>
    <row r="2015" spans="1:10" s="23" customFormat="1" outlineLevel="1" thickBot="1" x14ac:dyDescent="0.3">
      <c r="A2015" s="44"/>
      <c r="B2015" s="31" t="str">
        <f>IF(_xll.TM1RPTELISCONSOLIDATED($H$20,$H2015),IF(_xll.TM1RPTELLEV($H$20,$H2015)&lt;=5,_xll.TM1RPTELLEV($H$20,$H2015),"Default"),"Leaf")</f>
        <v>Leaf</v>
      </c>
      <c r="C2015" s="26" t="s">
        <v>20</v>
      </c>
      <c r="D2015" s="24" t="str">
        <f>_xll.DBRW("TM1-S1_DEV:}ElementAttributes_SP_SKU",$F2015,D$1)</f>
        <v>Primary</v>
      </c>
      <c r="E2015" s="24" t="str">
        <f>_xll.DBRW("TM1-S1_DEV:}ElementAttributes_SP_SKU",$F2015,E$1)</f>
        <v>CAKE</v>
      </c>
      <c r="F2015" s="26" t="s">
        <v>3135</v>
      </c>
      <c r="G2015" s="26" t="s">
        <v>1920</v>
      </c>
      <c r="H2015" s="26" t="s">
        <v>2679</v>
      </c>
      <c r="I2015" s="54">
        <f>_xll.DBRW($A$1,$F$14,$F$15,$C2015,$A$2,$F2015,$G2015,$H2015,I$1)</f>
        <v>9</v>
      </c>
      <c r="J2015" s="25">
        <f>_xll.DBRW($A$1,$F$14,$F$15,$C2015,$A$2,$F2015,$G2015,$H2015,J$19)</f>
        <v>6</v>
      </c>
    </row>
    <row r="2016" spans="1:10" s="23" customFormat="1" outlineLevel="1" thickBot="1" x14ac:dyDescent="0.3">
      <c r="A2016" s="44"/>
      <c r="B2016" s="31" t="str">
        <f>IF(_xll.TM1RPTELISCONSOLIDATED($H$20,$H2016),IF(_xll.TM1RPTELLEV($H$20,$H2016)&lt;=5,_xll.TM1RPTELLEV($H$20,$H2016),"Default"),"Leaf")</f>
        <v>Leaf</v>
      </c>
      <c r="C2016" s="26" t="s">
        <v>20</v>
      </c>
      <c r="D2016" s="24" t="str">
        <f>_xll.DBRW("TM1-S1_DEV:}ElementAttributes_SP_SKU",$F2016,D$1)</f>
        <v>Primary</v>
      </c>
      <c r="E2016" s="24" t="str">
        <f>_xll.DBRW("TM1-S1_DEV:}ElementAttributes_SP_SKU",$F2016,E$1)</f>
        <v>CAKE</v>
      </c>
      <c r="F2016" s="26" t="s">
        <v>3136</v>
      </c>
      <c r="G2016" s="26" t="s">
        <v>1921</v>
      </c>
      <c r="H2016" s="26" t="s">
        <v>2679</v>
      </c>
      <c r="I2016" s="54">
        <f>_xll.DBRW($A$1,$F$14,$F$15,$C2016,$A$2,$F2016,$G2016,$H2016,I$1)</f>
        <v>7</v>
      </c>
      <c r="J2016" s="25">
        <f>_xll.DBRW($A$1,$F$14,$F$15,$C2016,$A$2,$F2016,$G2016,$H2016,J$19)</f>
        <v>5</v>
      </c>
    </row>
    <row r="2017" spans="1:10" s="23" customFormat="1" outlineLevel="1" thickBot="1" x14ac:dyDescent="0.3">
      <c r="A2017" s="44"/>
      <c r="B2017" s="31" t="str">
        <f>IF(_xll.TM1RPTELISCONSOLIDATED($H$20,$H2017),IF(_xll.TM1RPTELLEV($H$20,$H2017)&lt;=5,_xll.TM1RPTELLEV($H$20,$H2017),"Default"),"Leaf")</f>
        <v>Leaf</v>
      </c>
      <c r="C2017" s="26" t="s">
        <v>20</v>
      </c>
      <c r="D2017" s="24" t="str">
        <f>_xll.DBRW("TM1-S1_DEV:}ElementAttributes_SP_SKU",$F2017,D$1)</f>
        <v>Primary</v>
      </c>
      <c r="E2017" s="24" t="str">
        <f>_xll.DBRW("TM1-S1_DEV:}ElementAttributes_SP_SKU",$F2017,E$1)</f>
        <v>CAKE</v>
      </c>
      <c r="F2017" s="26" t="s">
        <v>3137</v>
      </c>
      <c r="G2017" s="26" t="s">
        <v>1922</v>
      </c>
      <c r="H2017" s="26" t="s">
        <v>2679</v>
      </c>
      <c r="I2017" s="54">
        <f>_xll.DBRW($A$1,$F$14,$F$15,$C2017,$A$2,$F2017,$G2017,$H2017,I$1)</f>
        <v>20</v>
      </c>
      <c r="J2017" s="25">
        <f>_xll.DBRW($A$1,$F$14,$F$15,$C2017,$A$2,$F2017,$G2017,$H2017,J$19)</f>
        <v>10</v>
      </c>
    </row>
    <row r="2018" spans="1:10" s="23" customFormat="1" outlineLevel="1" thickBot="1" x14ac:dyDescent="0.3">
      <c r="A2018" s="44"/>
      <c r="B2018" s="31" t="str">
        <f>IF(_xll.TM1RPTELISCONSOLIDATED($H$20,$H2018),IF(_xll.TM1RPTELLEV($H$20,$H2018)&lt;=5,_xll.TM1RPTELLEV($H$20,$H2018),"Default"),"Leaf")</f>
        <v>Leaf</v>
      </c>
      <c r="C2018" s="26" t="s">
        <v>20</v>
      </c>
      <c r="D2018" s="24" t="str">
        <f>_xll.DBRW("TM1-S1_DEV:}ElementAttributes_SP_SKU",$F2018,D$1)</f>
        <v>Primary</v>
      </c>
      <c r="E2018" s="24" t="str">
        <f>_xll.DBRW("TM1-S1_DEV:}ElementAttributes_SP_SKU",$F2018,E$1)</f>
        <v>DESSERT</v>
      </c>
      <c r="F2018" s="26" t="s">
        <v>3139</v>
      </c>
      <c r="G2018" s="26" t="s">
        <v>1923</v>
      </c>
      <c r="H2018" s="26" t="s">
        <v>2681</v>
      </c>
      <c r="I2018" s="54">
        <f>_xll.DBRW($A$1,$F$14,$F$15,$C2018,$A$2,$F2018,$G2018,$H2018,I$1)</f>
        <v>2</v>
      </c>
      <c r="J2018" s="25">
        <f>_xll.DBRW($A$1,$F$14,$F$15,$C2018,$A$2,$F2018,$G2018,$H2018,J$19)</f>
        <v>2</v>
      </c>
    </row>
    <row r="2019" spans="1:10" s="23" customFormat="1" outlineLevel="1" thickBot="1" x14ac:dyDescent="0.3">
      <c r="A2019" s="44"/>
      <c r="B2019" s="31" t="str">
        <f>IF(_xll.TM1RPTELISCONSOLIDATED($H$20,$H2019),IF(_xll.TM1RPTELLEV($H$20,$H2019)&lt;=5,_xll.TM1RPTELLEV($H$20,$H2019),"Default"),"Leaf")</f>
        <v>Leaf</v>
      </c>
      <c r="C2019" s="26" t="s">
        <v>20</v>
      </c>
      <c r="D2019" s="24" t="str">
        <f>_xll.DBRW("TM1-S1_DEV:}ElementAttributes_SP_SKU",$F2019,D$1)</f>
        <v>Primary</v>
      </c>
      <c r="E2019" s="24" t="str">
        <f>_xll.DBRW("TM1-S1_DEV:}ElementAttributes_SP_SKU",$F2019,E$1)</f>
        <v>DESSERT</v>
      </c>
      <c r="F2019" s="26" t="s">
        <v>3140</v>
      </c>
      <c r="G2019" s="26" t="s">
        <v>1924</v>
      </c>
      <c r="H2019" s="26" t="s">
        <v>2681</v>
      </c>
      <c r="I2019" s="54">
        <f>_xll.DBRW($A$1,$F$14,$F$15,$C2019,$A$2,$F2019,$G2019,$H2019,I$1)</f>
        <v>10</v>
      </c>
      <c r="J2019" s="25">
        <f>_xll.DBRW($A$1,$F$14,$F$15,$C2019,$A$2,$F2019,$G2019,$H2019,J$19)</f>
        <v>3</v>
      </c>
    </row>
    <row r="2020" spans="1:10" s="23" customFormat="1" outlineLevel="1" thickBot="1" x14ac:dyDescent="0.3">
      <c r="A2020" s="44"/>
      <c r="B2020" s="31" t="str">
        <f>IF(_xll.TM1RPTELISCONSOLIDATED($H$20,$H2020),IF(_xll.TM1RPTELLEV($H$20,$H2020)&lt;=5,_xll.TM1RPTELLEV($H$20,$H2020),"Default"),"Leaf")</f>
        <v>Leaf</v>
      </c>
      <c r="C2020" s="26" t="s">
        <v>20</v>
      </c>
      <c r="D2020" s="24" t="str">
        <f>_xll.DBRW("TM1-S1_DEV:}ElementAttributes_SP_SKU",$F2020,D$1)</f>
        <v>Primary</v>
      </c>
      <c r="E2020" s="24" t="str">
        <f>_xll.DBRW("TM1-S1_DEV:}ElementAttributes_SP_SKU",$F2020,E$1)</f>
        <v>CAKE</v>
      </c>
      <c r="F2020" s="26" t="s">
        <v>3142</v>
      </c>
      <c r="G2020" s="26" t="s">
        <v>1925</v>
      </c>
      <c r="H2020" s="26" t="s">
        <v>2682</v>
      </c>
      <c r="I2020" s="54">
        <f>_xll.DBRW($A$1,$F$14,$F$15,$C2020,$A$2,$F2020,$G2020,$H2020,I$1)</f>
        <v>4</v>
      </c>
      <c r="J2020" s="25">
        <f>_xll.DBRW($A$1,$F$14,$F$15,$C2020,$A$2,$F2020,$G2020,$H2020,J$19)</f>
        <v>4</v>
      </c>
    </row>
    <row r="2021" spans="1:10" s="23" customFormat="1" outlineLevel="1" thickBot="1" x14ac:dyDescent="0.3">
      <c r="A2021" s="44"/>
      <c r="B2021" s="31" t="str">
        <f>IF(_xll.TM1RPTELISCONSOLIDATED($H$20,$H2021),IF(_xll.TM1RPTELLEV($H$20,$H2021)&lt;=5,_xll.TM1RPTELLEV($H$20,$H2021),"Default"),"Leaf")</f>
        <v>Leaf</v>
      </c>
      <c r="C2021" s="26" t="s">
        <v>20</v>
      </c>
      <c r="D2021" s="24" t="str">
        <f>_xll.DBRW("TM1-S1_DEV:}ElementAttributes_SP_SKU",$F2021,D$1)</f>
        <v>Primary</v>
      </c>
      <c r="E2021" s="24" t="str">
        <f>_xll.DBRW("TM1-S1_DEV:}ElementAttributes_SP_SKU",$F2021,E$1)</f>
        <v>CAKE</v>
      </c>
      <c r="F2021" s="26" t="s">
        <v>3143</v>
      </c>
      <c r="G2021" s="26" t="s">
        <v>1926</v>
      </c>
      <c r="H2021" s="26" t="s">
        <v>2682</v>
      </c>
      <c r="I2021" s="54">
        <f>_xll.DBRW($A$1,$F$14,$F$15,$C2021,$A$2,$F2021,$G2021,$H2021,I$1)</f>
        <v>8</v>
      </c>
      <c r="J2021" s="25">
        <f>_xll.DBRW($A$1,$F$14,$F$15,$C2021,$A$2,$F2021,$G2021,$H2021,J$19)</f>
        <v>7</v>
      </c>
    </row>
    <row r="2022" spans="1:10" s="23" customFormat="1" outlineLevel="1" thickBot="1" x14ac:dyDescent="0.3">
      <c r="A2022" s="44"/>
      <c r="B2022" s="31" t="str">
        <f>IF(_xll.TM1RPTELISCONSOLIDATED($H$20,$H2022),IF(_xll.TM1RPTELLEV($H$20,$H2022)&lt;=5,_xll.TM1RPTELLEV($H$20,$H2022),"Default"),"Leaf")</f>
        <v>Leaf</v>
      </c>
      <c r="C2022" s="26" t="s">
        <v>20</v>
      </c>
      <c r="D2022" s="24" t="str">
        <f>_xll.DBRW("TM1-S1_DEV:}ElementAttributes_SP_SKU",$F2022,D$1)</f>
        <v>Primary</v>
      </c>
      <c r="E2022" s="24" t="str">
        <f>_xll.DBRW("TM1-S1_DEV:}ElementAttributes_SP_SKU",$F2022,E$1)</f>
        <v>CONDIMENT</v>
      </c>
      <c r="F2022" s="26" t="s">
        <v>3147</v>
      </c>
      <c r="G2022" s="26" t="s">
        <v>1927</v>
      </c>
      <c r="H2022" s="26" t="s">
        <v>2683</v>
      </c>
      <c r="I2022" s="54">
        <f>_xll.DBRW($A$1,$F$14,$F$15,$C2022,$A$2,$F2022,$G2022,$H2022,I$1)</f>
        <v>7</v>
      </c>
      <c r="J2022" s="25">
        <f>_xll.DBRW($A$1,$F$14,$F$15,$C2022,$A$2,$F2022,$G2022,$H2022,J$19)</f>
        <v>6</v>
      </c>
    </row>
    <row r="2023" spans="1:10" s="23" customFormat="1" outlineLevel="1" thickBot="1" x14ac:dyDescent="0.3">
      <c r="A2023" s="44"/>
      <c r="B2023" s="31" t="str">
        <f>IF(_xll.TM1RPTELISCONSOLIDATED($H$20,$H2023),IF(_xll.TM1RPTELLEV($H$20,$H2023)&lt;=5,_xll.TM1RPTELLEV($H$20,$H2023),"Default"),"Leaf")</f>
        <v>Leaf</v>
      </c>
      <c r="C2023" s="26" t="s">
        <v>20</v>
      </c>
      <c r="D2023" s="24" t="str">
        <f>_xll.DBRW("TM1-S1_DEV:}ElementAttributes_SP_SKU",$F2023,D$1)</f>
        <v>Primary</v>
      </c>
      <c r="E2023" s="24" t="str">
        <f>_xll.DBRW("TM1-S1_DEV:}ElementAttributes_SP_SKU",$F2023,E$1)</f>
        <v>CONDIMENT</v>
      </c>
      <c r="F2023" s="26" t="s">
        <v>3148</v>
      </c>
      <c r="G2023" s="26" t="s">
        <v>1928</v>
      </c>
      <c r="H2023" s="26" t="s">
        <v>2684</v>
      </c>
      <c r="I2023" s="54">
        <f>_xll.DBRW($A$1,$F$14,$F$15,$C2023,$A$2,$F2023,$G2023,$H2023,I$1)</f>
        <v>6</v>
      </c>
      <c r="J2023" s="25">
        <f>_xll.DBRW($A$1,$F$14,$F$15,$C2023,$A$2,$F2023,$G2023,$H2023,J$19)</f>
        <v>5</v>
      </c>
    </row>
    <row r="2024" spans="1:10" s="23" customFormat="1" outlineLevel="1" thickBot="1" x14ac:dyDescent="0.3">
      <c r="A2024" s="44"/>
      <c r="B2024" s="31" t="str">
        <f>IF(_xll.TM1RPTELISCONSOLIDATED($H$20,$H2024),IF(_xll.TM1RPTELLEV($H$20,$H2024)&lt;=5,_xll.TM1RPTELLEV($H$20,$H2024),"Default"),"Leaf")</f>
        <v>Leaf</v>
      </c>
      <c r="C2024" s="26" t="s">
        <v>20</v>
      </c>
      <c r="D2024" s="24" t="str">
        <f>_xll.DBRW("TM1-S1_DEV:}ElementAttributes_SP_SKU",$F2024,D$1)</f>
        <v>Primary</v>
      </c>
      <c r="E2024" s="24" t="str">
        <f>_xll.DBRW("TM1-S1_DEV:}ElementAttributes_SP_SKU",$F2024,E$1)</f>
        <v>CONDIMENT</v>
      </c>
      <c r="F2024" s="26" t="s">
        <v>3149</v>
      </c>
      <c r="G2024" s="26" t="s">
        <v>1929</v>
      </c>
      <c r="H2024" s="26" t="s">
        <v>2684</v>
      </c>
      <c r="I2024" s="54">
        <f>_xll.DBRW($A$1,$F$14,$F$15,$C2024,$A$2,$F2024,$G2024,$H2024,I$1)</f>
        <v>3</v>
      </c>
      <c r="J2024" s="25">
        <f>_xll.DBRW($A$1,$F$14,$F$15,$C2024,$A$2,$F2024,$G2024,$H2024,J$19)</f>
        <v>1</v>
      </c>
    </row>
    <row r="2025" spans="1:10" s="23" customFormat="1" outlineLevel="1" thickBot="1" x14ac:dyDescent="0.3">
      <c r="A2025" s="44"/>
      <c r="B2025" s="31" t="str">
        <f>IF(_xll.TM1RPTELISCONSOLIDATED($H$20,$H2025),IF(_xll.TM1RPTELLEV($H$20,$H2025)&lt;=5,_xll.TM1RPTELLEV($H$20,$H2025),"Default"),"Leaf")</f>
        <v>Leaf</v>
      </c>
      <c r="C2025" s="26" t="s">
        <v>20</v>
      </c>
      <c r="D2025" s="24" t="str">
        <f>_xll.DBRW("TM1-S1_DEV:}ElementAttributes_SP_SKU",$F2025,D$1)</f>
        <v>Primary</v>
      </c>
      <c r="E2025" s="24" t="str">
        <f>_xll.DBRW("TM1-S1_DEV:}ElementAttributes_SP_SKU",$F2025,E$1)</f>
        <v>CONDIMENT</v>
      </c>
      <c r="F2025" s="26" t="s">
        <v>3150</v>
      </c>
      <c r="G2025" s="26" t="s">
        <v>1930</v>
      </c>
      <c r="H2025" s="26" t="s">
        <v>2684</v>
      </c>
      <c r="I2025" s="54">
        <f>_xll.DBRW($A$1,$F$14,$F$15,$C2025,$A$2,$F2025,$G2025,$H2025,I$1)</f>
        <v>4</v>
      </c>
      <c r="J2025" s="25">
        <f>_xll.DBRW($A$1,$F$14,$F$15,$C2025,$A$2,$F2025,$G2025,$H2025,J$19)</f>
        <v>2</v>
      </c>
    </row>
    <row r="2026" spans="1:10" s="23" customFormat="1" outlineLevel="1" thickBot="1" x14ac:dyDescent="0.3">
      <c r="A2026" s="44"/>
      <c r="B2026" s="31" t="str">
        <f>IF(_xll.TM1RPTELISCONSOLIDATED($H$20,$H2026),IF(_xll.TM1RPTELLEV($H$20,$H2026)&lt;=5,_xll.TM1RPTELLEV($H$20,$H2026),"Default"),"Leaf")</f>
        <v>Leaf</v>
      </c>
      <c r="C2026" s="26" t="s">
        <v>20</v>
      </c>
      <c r="D2026" s="24" t="str">
        <f>_xll.DBRW("TM1-S1_DEV:}ElementAttributes_SP_SKU",$F2026,D$1)</f>
        <v>Primary</v>
      </c>
      <c r="E2026" s="24" t="str">
        <f>_xll.DBRW("TM1-S1_DEV:}ElementAttributes_SP_SKU",$F2026,E$1)</f>
        <v>CONDIMENT</v>
      </c>
      <c r="F2026" s="26" t="s">
        <v>3151</v>
      </c>
      <c r="G2026" s="26" t="s">
        <v>1931</v>
      </c>
      <c r="H2026" s="26" t="s">
        <v>2684</v>
      </c>
      <c r="I2026" s="54">
        <f>_xll.DBRW($A$1,$F$14,$F$15,$C2026,$A$2,$F2026,$G2026,$H2026,I$1)</f>
        <v>8</v>
      </c>
      <c r="J2026" s="25">
        <f>_xll.DBRW($A$1,$F$14,$F$15,$C2026,$A$2,$F2026,$G2026,$H2026,J$19)</f>
        <v>7</v>
      </c>
    </row>
    <row r="2027" spans="1:10" s="23" customFormat="1" outlineLevel="1" thickBot="1" x14ac:dyDescent="0.3">
      <c r="A2027" s="44"/>
      <c r="B2027" s="31" t="str">
        <f>IF(_xll.TM1RPTELISCONSOLIDATED($H$20,$H2027),IF(_xll.TM1RPTELLEV($H$20,$H2027)&lt;=5,_xll.TM1RPTELLEV($H$20,$H2027),"Default"),"Leaf")</f>
        <v>Leaf</v>
      </c>
      <c r="C2027" s="26" t="s">
        <v>20</v>
      </c>
      <c r="D2027" s="24" t="str">
        <f>_xll.DBRW("TM1-S1_DEV:}ElementAttributes_SP_SKU",$F2027,D$1)</f>
        <v>Primary</v>
      </c>
      <c r="E2027" s="24" t="str">
        <f>_xll.DBRW("TM1-S1_DEV:}ElementAttributes_SP_SKU",$F2027,E$1)</f>
        <v>CONDIMENT</v>
      </c>
      <c r="F2027" s="26" t="s">
        <v>3152</v>
      </c>
      <c r="G2027" s="26" t="s">
        <v>1932</v>
      </c>
      <c r="H2027" s="26" t="s">
        <v>2684</v>
      </c>
      <c r="I2027" s="54">
        <f>_xll.DBRW($A$1,$F$14,$F$15,$C2027,$A$2,$F2027,$G2027,$H2027,I$1)</f>
        <v>2</v>
      </c>
      <c r="J2027" s="25">
        <f>_xll.DBRW($A$1,$F$14,$F$15,$C2027,$A$2,$F2027,$G2027,$H2027,J$19)</f>
        <v>0</v>
      </c>
    </row>
    <row r="2028" spans="1:10" s="23" customFormat="1" outlineLevel="1" thickBot="1" x14ac:dyDescent="0.3">
      <c r="A2028" s="44"/>
      <c r="B2028" s="31" t="str">
        <f>IF(_xll.TM1RPTELISCONSOLIDATED($H$20,$H2028),IF(_xll.TM1RPTELLEV($H$20,$H2028)&lt;=5,_xll.TM1RPTELLEV($H$20,$H2028),"Default"),"Leaf")</f>
        <v>Leaf</v>
      </c>
      <c r="C2028" s="26" t="s">
        <v>20</v>
      </c>
      <c r="D2028" s="24" t="str">
        <f>_xll.DBRW("TM1-S1_DEV:}ElementAttributes_SP_SKU",$F2028,D$1)</f>
        <v>Primary</v>
      </c>
      <c r="E2028" s="24" t="str">
        <f>_xll.DBRW("TM1-S1_DEV:}ElementAttributes_SP_SKU",$F2028,E$1)</f>
        <v>CONDIMENT</v>
      </c>
      <c r="F2028" s="26" t="s">
        <v>3153</v>
      </c>
      <c r="G2028" s="26" t="s">
        <v>1933</v>
      </c>
      <c r="H2028" s="26" t="s">
        <v>2684</v>
      </c>
      <c r="I2028" s="54">
        <f>_xll.DBRW($A$1,$F$14,$F$15,$C2028,$A$2,$F2028,$G2028,$H2028,I$1)</f>
        <v>5</v>
      </c>
      <c r="J2028" s="25">
        <f>_xll.DBRW($A$1,$F$14,$F$15,$C2028,$A$2,$F2028,$G2028,$H2028,J$19)</f>
        <v>3</v>
      </c>
    </row>
    <row r="2029" spans="1:10" s="23" customFormat="1" outlineLevel="1" thickBot="1" x14ac:dyDescent="0.3">
      <c r="A2029" s="44"/>
      <c r="B2029" s="31" t="str">
        <f>IF(_xll.TM1RPTELISCONSOLIDATED($H$20,$H2029),IF(_xll.TM1RPTELLEV($H$20,$H2029)&lt;=5,_xll.TM1RPTELLEV($H$20,$H2029),"Default"),"Leaf")</f>
        <v>Leaf</v>
      </c>
      <c r="C2029" s="26" t="s">
        <v>20</v>
      </c>
      <c r="D2029" s="24" t="str">
        <f>_xll.DBRW("TM1-S1_DEV:}ElementAttributes_SP_SKU",$F2029,D$1)</f>
        <v>Primary</v>
      </c>
      <c r="E2029" s="24" t="str">
        <f>_xll.DBRW("TM1-S1_DEV:}ElementAttributes_SP_SKU",$F2029,E$1)</f>
        <v>CONDIMENT</v>
      </c>
      <c r="F2029" s="26" t="s">
        <v>3154</v>
      </c>
      <c r="G2029" s="26" t="s">
        <v>1934</v>
      </c>
      <c r="H2029" s="26" t="s">
        <v>2684</v>
      </c>
      <c r="I2029" s="54">
        <f>_xll.DBRW($A$1,$F$14,$F$15,$C2029,$A$2,$F2029,$G2029,$H2029,I$1)</f>
        <v>3</v>
      </c>
      <c r="J2029" s="25">
        <f>_xll.DBRW($A$1,$F$14,$F$15,$C2029,$A$2,$F2029,$G2029,$H2029,J$19)</f>
        <v>-1</v>
      </c>
    </row>
    <row r="2030" spans="1:10" s="23" customFormat="1" outlineLevel="1" thickBot="1" x14ac:dyDescent="0.3">
      <c r="A2030" s="44"/>
      <c r="B2030" s="31" t="str">
        <f>IF(_xll.TM1RPTELISCONSOLIDATED($H$20,$H2030),IF(_xll.TM1RPTELLEV($H$20,$H2030)&lt;=5,_xll.TM1RPTELLEV($H$20,$H2030),"Default"),"Leaf")</f>
        <v>Leaf</v>
      </c>
      <c r="C2030" s="26" t="s">
        <v>20</v>
      </c>
      <c r="D2030" s="24" t="str">
        <f>_xll.DBRW("TM1-S1_DEV:}ElementAttributes_SP_SKU",$F2030,D$1)</f>
        <v>Primary</v>
      </c>
      <c r="E2030" s="24" t="str">
        <f>_xll.DBRW("TM1-S1_DEV:}ElementAttributes_SP_SKU",$F2030,E$1)</f>
        <v>DRESSING</v>
      </c>
      <c r="F2030" s="26" t="s">
        <v>3155</v>
      </c>
      <c r="G2030" s="26" t="s">
        <v>1935</v>
      </c>
      <c r="H2030" s="26" t="s">
        <v>2685</v>
      </c>
      <c r="I2030" s="54">
        <f>_xll.DBRW($A$1,$F$14,$F$15,$C2030,$A$2,$F2030,$G2030,$H2030,I$1)</f>
        <v>1</v>
      </c>
      <c r="J2030" s="25">
        <f>_xll.DBRW($A$1,$F$14,$F$15,$C2030,$A$2,$F2030,$G2030,$H2030,J$19)</f>
        <v>31</v>
      </c>
    </row>
    <row r="2031" spans="1:10" s="23" customFormat="1" outlineLevel="1" thickBot="1" x14ac:dyDescent="0.3">
      <c r="A2031" s="44"/>
      <c r="B2031" s="31" t="str">
        <f>IF(_xll.TM1RPTELISCONSOLIDATED($H$20,$H2031),IF(_xll.TM1RPTELLEV($H$20,$H2031)&lt;=5,_xll.TM1RPTELLEV($H$20,$H2031),"Default"),"Leaf")</f>
        <v>Leaf</v>
      </c>
      <c r="C2031" s="26" t="s">
        <v>20</v>
      </c>
      <c r="D2031" s="24" t="str">
        <f>_xll.DBRW("TM1-S1_DEV:}ElementAttributes_SP_SKU",$F2031,D$1)</f>
        <v>Primary</v>
      </c>
      <c r="E2031" s="24" t="str">
        <f>_xll.DBRW("TM1-S1_DEV:}ElementAttributes_SP_SKU",$F2031,E$1)</f>
        <v>DRESSING</v>
      </c>
      <c r="F2031" s="26" t="s">
        <v>3156</v>
      </c>
      <c r="G2031" s="26" t="s">
        <v>1936</v>
      </c>
      <c r="H2031" s="26" t="s">
        <v>2685</v>
      </c>
      <c r="I2031" s="54">
        <f>_xll.DBRW($A$1,$F$14,$F$15,$C2031,$A$2,$F2031,$G2031,$H2031,I$1)</f>
        <v>2</v>
      </c>
      <c r="J2031" s="25">
        <f>_xll.DBRW($A$1,$F$14,$F$15,$C2031,$A$2,$F2031,$G2031,$H2031,J$19)</f>
        <v>2</v>
      </c>
    </row>
    <row r="2032" spans="1:10" s="23" customFormat="1" outlineLevel="1" thickBot="1" x14ac:dyDescent="0.3">
      <c r="A2032" s="44"/>
      <c r="B2032" s="31" t="str">
        <f>IF(_xll.TM1RPTELISCONSOLIDATED($H$20,$H2032),IF(_xll.TM1RPTELLEV($H$20,$H2032)&lt;=5,_xll.TM1RPTELLEV($H$20,$H2032),"Default"),"Leaf")</f>
        <v>Leaf</v>
      </c>
      <c r="C2032" s="26" t="s">
        <v>20</v>
      </c>
      <c r="D2032" s="24" t="str">
        <f>_xll.DBRW("TM1-S1_DEV:}ElementAttributes_SP_SKU",$F2032,D$1)</f>
        <v>Primary</v>
      </c>
      <c r="E2032" s="24" t="str">
        <f>_xll.DBRW("TM1-S1_DEV:}ElementAttributes_SP_SKU",$F2032,E$1)</f>
        <v>DRESSING</v>
      </c>
      <c r="F2032" s="26" t="s">
        <v>3157</v>
      </c>
      <c r="G2032" s="26" t="s">
        <v>1937</v>
      </c>
      <c r="H2032" s="26" t="s">
        <v>2685</v>
      </c>
      <c r="I2032" s="54">
        <f>_xll.DBRW($A$1,$F$14,$F$15,$C2032,$A$2,$F2032,$G2032,$H2032,I$1)</f>
        <v>3</v>
      </c>
      <c r="J2032" s="25">
        <f>_xll.DBRW($A$1,$F$14,$F$15,$C2032,$A$2,$F2032,$G2032,$H2032,J$19)</f>
        <v>3</v>
      </c>
    </row>
    <row r="2033" spans="1:10" s="23" customFormat="1" outlineLevel="1" thickBot="1" x14ac:dyDescent="0.3">
      <c r="A2033" s="44"/>
      <c r="B2033" s="31" t="str">
        <f>IF(_xll.TM1RPTELISCONSOLIDATED($H$20,$H2033),IF(_xll.TM1RPTELLEV($H$20,$H2033)&lt;=5,_xll.TM1RPTELLEV($H$20,$H2033),"Default"),"Leaf")</f>
        <v>Leaf</v>
      </c>
      <c r="C2033" s="26" t="s">
        <v>20</v>
      </c>
      <c r="D2033" s="24" t="str">
        <f>_xll.DBRW("TM1-S1_DEV:}ElementAttributes_SP_SKU",$F2033,D$1)</f>
        <v>Primary</v>
      </c>
      <c r="E2033" s="24" t="str">
        <f>_xll.DBRW("TM1-S1_DEV:}ElementAttributes_SP_SKU",$F2033,E$1)</f>
        <v>DRESSING</v>
      </c>
      <c r="F2033" s="26" t="s">
        <v>3158</v>
      </c>
      <c r="G2033" s="26" t="s">
        <v>1938</v>
      </c>
      <c r="H2033" s="26" t="s">
        <v>2685</v>
      </c>
      <c r="I2033" s="54">
        <f>_xll.DBRW($A$1,$F$14,$F$15,$C2033,$A$2,$F2033,$G2033,$H2033,I$1)</f>
        <v>4</v>
      </c>
      <c r="J2033" s="25">
        <f>_xll.DBRW($A$1,$F$14,$F$15,$C2033,$A$2,$F2033,$G2033,$H2033,J$19)</f>
        <v>4</v>
      </c>
    </row>
    <row r="2034" spans="1:10" s="23" customFormat="1" outlineLevel="1" thickBot="1" x14ac:dyDescent="0.3">
      <c r="A2034" s="44"/>
      <c r="B2034" s="31" t="str">
        <f>IF(_xll.TM1RPTELISCONSOLIDATED($H$20,$H2034),IF(_xll.TM1RPTELLEV($H$20,$H2034)&lt;=5,_xll.TM1RPTELLEV($H$20,$H2034),"Default"),"Leaf")</f>
        <v>Leaf</v>
      </c>
      <c r="C2034" s="26" t="s">
        <v>20</v>
      </c>
      <c r="D2034" s="24" t="str">
        <f>_xll.DBRW("TM1-S1_DEV:}ElementAttributes_SP_SKU",$F2034,D$1)</f>
        <v>Primary</v>
      </c>
      <c r="E2034" s="24" t="str">
        <f>_xll.DBRW("TM1-S1_DEV:}ElementAttributes_SP_SKU",$F2034,E$1)</f>
        <v>DRESSING</v>
      </c>
      <c r="F2034" s="26" t="s">
        <v>3159</v>
      </c>
      <c r="G2034" s="26" t="s">
        <v>1939</v>
      </c>
      <c r="H2034" s="26" t="s">
        <v>2685</v>
      </c>
      <c r="I2034" s="54">
        <f>_xll.DBRW($A$1,$F$14,$F$15,$C2034,$A$2,$F2034,$G2034,$H2034,I$1)</f>
        <v>3</v>
      </c>
      <c r="J2034" s="25">
        <f>_xll.DBRW($A$1,$F$14,$F$15,$C2034,$A$2,$F2034,$G2034,$H2034,J$19)</f>
        <v>33</v>
      </c>
    </row>
    <row r="2035" spans="1:10" s="23" customFormat="1" outlineLevel="1" thickBot="1" x14ac:dyDescent="0.3">
      <c r="A2035" s="44"/>
      <c r="B2035" s="31" t="str">
        <f>IF(_xll.TM1RPTELISCONSOLIDATED($H$20,$H2035),IF(_xll.TM1RPTELLEV($H$20,$H2035)&lt;=5,_xll.TM1RPTELLEV($H$20,$H2035),"Default"),"Leaf")</f>
        <v>Leaf</v>
      </c>
      <c r="C2035" s="26" t="s">
        <v>20</v>
      </c>
      <c r="D2035" s="24" t="str">
        <f>_xll.DBRW("TM1-S1_DEV:}ElementAttributes_SP_SKU",$F2035,D$1)</f>
        <v>Primary</v>
      </c>
      <c r="E2035" s="24" t="str">
        <f>_xll.DBRW("TM1-S1_DEV:}ElementAttributes_SP_SKU",$F2035,E$1)</f>
        <v>DRESSING</v>
      </c>
      <c r="F2035" s="26" t="s">
        <v>3160</v>
      </c>
      <c r="G2035" s="26" t="s">
        <v>1940</v>
      </c>
      <c r="H2035" s="26" t="s">
        <v>2686</v>
      </c>
      <c r="I2035" s="54">
        <f>_xll.DBRW($A$1,$F$14,$F$15,$C2035,$A$2,$F2035,$G2035,$H2035,I$1)</f>
        <v>5</v>
      </c>
      <c r="J2035" s="25">
        <f>_xll.DBRW($A$1,$F$14,$F$15,$C2035,$A$2,$F2035,$G2035,$H2035,J$19)</f>
        <v>5</v>
      </c>
    </row>
    <row r="2036" spans="1:10" s="23" customFormat="1" outlineLevel="1" thickBot="1" x14ac:dyDescent="0.3">
      <c r="A2036" s="44"/>
      <c r="B2036" s="31" t="str">
        <f>IF(_xll.TM1RPTELISCONSOLIDATED($H$20,$H2036),IF(_xll.TM1RPTELLEV($H$20,$H2036)&lt;=5,_xll.TM1RPTELLEV($H$20,$H2036),"Default"),"Leaf")</f>
        <v>Leaf</v>
      </c>
      <c r="C2036" s="26" t="s">
        <v>20</v>
      </c>
      <c r="D2036" s="24" t="str">
        <f>_xll.DBRW("TM1-S1_DEV:}ElementAttributes_SP_SKU",$F2036,D$1)</f>
        <v>Primary</v>
      </c>
      <c r="E2036" s="24" t="str">
        <f>_xll.DBRW("TM1-S1_DEV:}ElementAttributes_SP_SKU",$F2036,E$1)</f>
        <v>DRESSING</v>
      </c>
      <c r="F2036" s="26" t="s">
        <v>3161</v>
      </c>
      <c r="G2036" s="26" t="s">
        <v>1941</v>
      </c>
      <c r="H2036" s="26" t="s">
        <v>2685</v>
      </c>
      <c r="I2036" s="54">
        <f>_xll.DBRW($A$1,$F$14,$F$15,$C2036,$A$2,$F2036,$G2036,$H2036,I$1)</f>
        <v>4</v>
      </c>
      <c r="J2036" s="25">
        <f>_xll.DBRW($A$1,$F$14,$F$15,$C2036,$A$2,$F2036,$G2036,$H2036,J$19)</f>
        <v>4</v>
      </c>
    </row>
    <row r="2037" spans="1:10" s="23" customFormat="1" outlineLevel="1" thickBot="1" x14ac:dyDescent="0.3">
      <c r="A2037" s="44"/>
      <c r="B2037" s="31" t="str">
        <f>IF(_xll.TM1RPTELISCONSOLIDATED($H$20,$H2037),IF(_xll.TM1RPTELLEV($H$20,$H2037)&lt;=5,_xll.TM1RPTELLEV($H$20,$H2037),"Default"),"Leaf")</f>
        <v>Leaf</v>
      </c>
      <c r="C2037" s="26" t="s">
        <v>20</v>
      </c>
      <c r="D2037" s="24" t="str">
        <f>_xll.DBRW("TM1-S1_DEV:}ElementAttributes_SP_SKU",$F2037,D$1)</f>
        <v>Primary</v>
      </c>
      <c r="E2037" s="24" t="str">
        <f>_xll.DBRW("TM1-S1_DEV:}ElementAttributes_SP_SKU",$F2037,E$1)</f>
        <v>INGREDIENT</v>
      </c>
      <c r="F2037" s="26" t="s">
        <v>3273</v>
      </c>
      <c r="G2037" s="26" t="s">
        <v>1942</v>
      </c>
      <c r="H2037" s="26" t="s">
        <v>2684</v>
      </c>
      <c r="I2037" s="54">
        <f>_xll.DBRW($A$1,$F$14,$F$15,$C2037,$A$2,$F2037,$G2037,$H2037,I$1)</f>
        <v>2</v>
      </c>
      <c r="J2037" s="25">
        <f>_xll.DBRW($A$1,$F$14,$F$15,$C2037,$A$2,$F2037,$G2037,$H2037,J$19)</f>
        <v>2</v>
      </c>
    </row>
    <row r="2038" spans="1:10" s="23" customFormat="1" outlineLevel="1" thickBot="1" x14ac:dyDescent="0.3">
      <c r="A2038" s="44"/>
      <c r="B2038" s="31" t="str">
        <f>IF(_xll.TM1RPTELISCONSOLIDATED($H$20,$H2038),IF(_xll.TM1RPTELLEV($H$20,$H2038)&lt;=5,_xll.TM1RPTELLEV($H$20,$H2038),"Default"),"Leaf")</f>
        <v>Leaf</v>
      </c>
      <c r="C2038" s="26" t="s">
        <v>20</v>
      </c>
      <c r="D2038" s="24" t="str">
        <f>_xll.DBRW("TM1-S1_DEV:}ElementAttributes_SP_SKU",$F2038,D$1)</f>
        <v>Primary</v>
      </c>
      <c r="E2038" s="24" t="str">
        <f>_xll.DBRW("TM1-S1_DEV:}ElementAttributes_SP_SKU",$F2038,E$1)</f>
        <v>BREAD</v>
      </c>
      <c r="F2038" s="26" t="s">
        <v>3163</v>
      </c>
      <c r="G2038" s="26" t="s">
        <v>1943</v>
      </c>
      <c r="H2038" s="26" t="s">
        <v>2687</v>
      </c>
      <c r="I2038" s="54">
        <f>_xll.DBRW($A$1,$F$14,$F$15,$C2038,$A$2,$F2038,$G2038,$H2038,I$1)</f>
        <v>8</v>
      </c>
      <c r="J2038" s="25">
        <f>_xll.DBRW($A$1,$F$14,$F$15,$C2038,$A$2,$F2038,$G2038,$H2038,J$19)</f>
        <v>2</v>
      </c>
    </row>
    <row r="2039" spans="1:10" s="23" customFormat="1" outlineLevel="1" thickBot="1" x14ac:dyDescent="0.3">
      <c r="A2039" s="44"/>
      <c r="B2039" s="31" t="str">
        <f>IF(_xll.TM1RPTELISCONSOLIDATED($H$20,$H2039),IF(_xll.TM1RPTELLEV($H$20,$H2039)&lt;=5,_xll.TM1RPTELLEV($H$20,$H2039),"Default"),"Leaf")</f>
        <v>Leaf</v>
      </c>
      <c r="C2039" s="26" t="s">
        <v>20</v>
      </c>
      <c r="D2039" s="24" t="str">
        <f>_xll.DBRW("TM1-S1_DEV:}ElementAttributes_SP_SKU",$F2039,D$1)</f>
        <v>Primary</v>
      </c>
      <c r="E2039" s="24" t="str">
        <f>_xll.DBRW("TM1-S1_DEV:}ElementAttributes_SP_SKU",$F2039,E$1)</f>
        <v>BREAD</v>
      </c>
      <c r="F2039" s="26" t="s">
        <v>3164</v>
      </c>
      <c r="G2039" s="26" t="s">
        <v>1944</v>
      </c>
      <c r="H2039" s="26" t="s">
        <v>2687</v>
      </c>
      <c r="I2039" s="54">
        <f>_xll.DBRW($A$1,$F$14,$F$15,$C2039,$A$2,$F2039,$G2039,$H2039,I$1)</f>
        <v>10</v>
      </c>
      <c r="J2039" s="25">
        <f>_xll.DBRW($A$1,$F$14,$F$15,$C2039,$A$2,$F2039,$G2039,$H2039,J$19)</f>
        <v>9</v>
      </c>
    </row>
    <row r="2040" spans="1:10" s="23" customFormat="1" outlineLevel="1" thickBot="1" x14ac:dyDescent="0.3">
      <c r="A2040" s="44"/>
      <c r="B2040" s="31" t="str">
        <f>IF(_xll.TM1RPTELISCONSOLIDATED($H$20,$H2040),IF(_xll.TM1RPTELLEV($H$20,$H2040)&lt;=5,_xll.TM1RPTELLEV($H$20,$H2040),"Default"),"Leaf")</f>
        <v>Leaf</v>
      </c>
      <c r="C2040" s="26" t="s">
        <v>20</v>
      </c>
      <c r="D2040" s="24" t="str">
        <f>_xll.DBRW("TM1-S1_DEV:}ElementAttributes_SP_SKU",$F2040,D$1)</f>
        <v>Primary</v>
      </c>
      <c r="E2040" s="24" t="str">
        <f>_xll.DBRW("TM1-S1_DEV:}ElementAttributes_SP_SKU",$F2040,E$1)</f>
        <v>BREAD</v>
      </c>
      <c r="F2040" s="26" t="s">
        <v>3165</v>
      </c>
      <c r="G2040" s="26" t="s">
        <v>1945</v>
      </c>
      <c r="H2040" s="26" t="s">
        <v>2688</v>
      </c>
      <c r="I2040" s="54">
        <f>_xll.DBRW($A$1,$F$14,$F$15,$C2040,$A$2,$F2040,$G2040,$H2040,I$1)</f>
        <v>0</v>
      </c>
      <c r="J2040" s="25">
        <f>_xll.DBRW($A$1,$F$14,$F$15,$C2040,$A$2,$F2040,$G2040,$H2040,J$19)</f>
        <v>-1</v>
      </c>
    </row>
    <row r="2041" spans="1:10" s="23" customFormat="1" outlineLevel="1" thickBot="1" x14ac:dyDescent="0.3">
      <c r="A2041" s="44"/>
      <c r="B2041" s="31" t="str">
        <f>IF(_xll.TM1RPTELISCONSOLIDATED($H$20,$H2041),IF(_xll.TM1RPTELLEV($H$20,$H2041)&lt;=5,_xll.TM1RPTELLEV($H$20,$H2041),"Default"),"Leaf")</f>
        <v>Leaf</v>
      </c>
      <c r="C2041" s="26" t="s">
        <v>20</v>
      </c>
      <c r="D2041" s="24" t="str">
        <f>_xll.DBRW("TM1-S1_DEV:}ElementAttributes_SP_SKU",$F2041,D$1)</f>
        <v>Primary</v>
      </c>
      <c r="E2041" s="24" t="str">
        <f>_xll.DBRW("TM1-S1_DEV:}ElementAttributes_SP_SKU",$F2041,E$1)</f>
        <v>BREAD</v>
      </c>
      <c r="F2041" s="26" t="s">
        <v>3166</v>
      </c>
      <c r="G2041" s="26" t="s">
        <v>1946</v>
      </c>
      <c r="H2041" s="26" t="s">
        <v>2689</v>
      </c>
      <c r="I2041" s="54">
        <f>_xll.DBRW($A$1,$F$14,$F$15,$C2041,$A$2,$F2041,$G2041,$H2041,I$1)</f>
        <v>11</v>
      </c>
      <c r="J2041" s="25">
        <f>_xll.DBRW($A$1,$F$14,$F$15,$C2041,$A$2,$F2041,$G2041,$H2041,J$19)</f>
        <v>5</v>
      </c>
    </row>
    <row r="2042" spans="1:10" s="23" customFormat="1" outlineLevel="1" thickBot="1" x14ac:dyDescent="0.3">
      <c r="A2042" s="44"/>
      <c r="B2042" s="31" t="str">
        <f>IF(_xll.TM1RPTELISCONSOLIDATED($H$20,$H2042),IF(_xll.TM1RPTELLEV($H$20,$H2042)&lt;=5,_xll.TM1RPTELLEV($H$20,$H2042),"Default"),"Leaf")</f>
        <v>Leaf</v>
      </c>
      <c r="C2042" s="26" t="s">
        <v>20</v>
      </c>
      <c r="D2042" s="24" t="str">
        <f>_xll.DBRW("TM1-S1_DEV:}ElementAttributes_SP_SKU",$F2042,D$1)</f>
        <v>Primary</v>
      </c>
      <c r="E2042" s="24" t="str">
        <f>_xll.DBRW("TM1-S1_DEV:}ElementAttributes_SP_SKU",$F2042,E$1)</f>
        <v>BREAD</v>
      </c>
      <c r="F2042" s="26" t="s">
        <v>3167</v>
      </c>
      <c r="G2042" s="26" t="s">
        <v>1947</v>
      </c>
      <c r="H2042" s="26" t="s">
        <v>2688</v>
      </c>
      <c r="I2042" s="54">
        <f>_xll.DBRW($A$1,$F$14,$F$15,$C2042,$A$2,$F2042,$G2042,$H2042,I$1)</f>
        <v>0</v>
      </c>
      <c r="J2042" s="25">
        <f>_xll.DBRW($A$1,$F$14,$F$15,$C2042,$A$2,$F2042,$G2042,$H2042,J$19)</f>
        <v>-1</v>
      </c>
    </row>
    <row r="2043" spans="1:10" s="23" customFormat="1" outlineLevel="1" thickBot="1" x14ac:dyDescent="0.3">
      <c r="A2043" s="44"/>
      <c r="B2043" s="31" t="str">
        <f>IF(_xll.TM1RPTELISCONSOLIDATED($H$20,$H2043),IF(_xll.TM1RPTELLEV($H$20,$H2043)&lt;=5,_xll.TM1RPTELLEV($H$20,$H2043),"Default"),"Leaf")</f>
        <v>Leaf</v>
      </c>
      <c r="C2043" s="26" t="s">
        <v>20</v>
      </c>
      <c r="D2043" s="24" t="str">
        <f>_xll.DBRW("TM1-S1_DEV:}ElementAttributes_SP_SKU",$F2043,D$1)</f>
        <v>Primary</v>
      </c>
      <c r="E2043" s="24" t="str">
        <f>_xll.DBRW("TM1-S1_DEV:}ElementAttributes_SP_SKU",$F2043,E$1)</f>
        <v>BREAD</v>
      </c>
      <c r="F2043" s="26" t="s">
        <v>3168</v>
      </c>
      <c r="G2043" s="26" t="s">
        <v>1948</v>
      </c>
      <c r="H2043" s="26" t="s">
        <v>2688</v>
      </c>
      <c r="I2043" s="54">
        <f>_xll.DBRW($A$1,$F$14,$F$15,$C2043,$A$2,$F2043,$G2043,$H2043,I$1)</f>
        <v>5</v>
      </c>
      <c r="J2043" s="25">
        <f>_xll.DBRW($A$1,$F$14,$F$15,$C2043,$A$2,$F2043,$G2043,$H2043,J$19)</f>
        <v>5</v>
      </c>
    </row>
    <row r="2044" spans="1:10" s="23" customFormat="1" outlineLevel="1" thickBot="1" x14ac:dyDescent="0.3">
      <c r="A2044" s="44"/>
      <c r="B2044" s="31" t="str">
        <f>IF(_xll.TM1RPTELISCONSOLIDATED($H$20,$H2044),IF(_xll.TM1RPTELLEV($H$20,$H2044)&lt;=5,_xll.TM1RPTELLEV($H$20,$H2044),"Default"),"Leaf")</f>
        <v>Leaf</v>
      </c>
      <c r="C2044" s="26" t="s">
        <v>20</v>
      </c>
      <c r="D2044" s="24" t="str">
        <f>_xll.DBRW("TM1-S1_DEV:}ElementAttributes_SP_SKU",$F2044,D$1)</f>
        <v>Primary</v>
      </c>
      <c r="E2044" s="24" t="str">
        <f>_xll.DBRW("TM1-S1_DEV:}ElementAttributes_SP_SKU",$F2044,E$1)</f>
        <v>BREAD</v>
      </c>
      <c r="F2044" s="26" t="s">
        <v>3169</v>
      </c>
      <c r="G2044" s="26" t="s">
        <v>1949</v>
      </c>
      <c r="H2044" s="26" t="s">
        <v>2690</v>
      </c>
      <c r="I2044" s="54">
        <f>_xll.DBRW($A$1,$F$14,$F$15,$C2044,$A$2,$F2044,$G2044,$H2044,I$1)</f>
        <v>17</v>
      </c>
      <c r="J2044" s="25">
        <f>_xll.DBRW($A$1,$F$14,$F$15,$C2044,$A$2,$F2044,$G2044,$H2044,J$19)</f>
        <v>17</v>
      </c>
    </row>
    <row r="2045" spans="1:10" s="23" customFormat="1" outlineLevel="1" thickBot="1" x14ac:dyDescent="0.3">
      <c r="A2045" s="44"/>
      <c r="B2045" s="31" t="str">
        <f>IF(_xll.TM1RPTELISCONSOLIDATED($H$20,$H2045),IF(_xll.TM1RPTELLEV($H$20,$H2045)&lt;=5,_xll.TM1RPTELLEV($H$20,$H2045),"Default"),"Leaf")</f>
        <v>Leaf</v>
      </c>
      <c r="C2045" s="26" t="s">
        <v>20</v>
      </c>
      <c r="D2045" s="24" t="str">
        <f>_xll.DBRW("TM1-S1_DEV:}ElementAttributes_SP_SKU",$F2045,D$1)</f>
        <v>Primary</v>
      </c>
      <c r="E2045" s="24" t="str">
        <f>_xll.DBRW("TM1-S1_DEV:}ElementAttributes_SP_SKU",$F2045,E$1)</f>
        <v>BREAD</v>
      </c>
      <c r="F2045" s="26" t="s">
        <v>3171</v>
      </c>
      <c r="G2045" s="26" t="s">
        <v>1950</v>
      </c>
      <c r="H2045" s="26" t="s">
        <v>2690</v>
      </c>
      <c r="I2045" s="54">
        <f>_xll.DBRW($A$1,$F$14,$F$15,$C2045,$A$2,$F2045,$G2045,$H2045,I$1)</f>
        <v>4</v>
      </c>
      <c r="J2045" s="25">
        <f>_xll.DBRW($A$1,$F$14,$F$15,$C2045,$A$2,$F2045,$G2045,$H2045,J$19)</f>
        <v>4</v>
      </c>
    </row>
    <row r="2046" spans="1:10" s="23" customFormat="1" outlineLevel="1" thickBot="1" x14ac:dyDescent="0.3">
      <c r="A2046" s="44"/>
      <c r="B2046" s="31" t="str">
        <f>IF(_xll.TM1RPTELISCONSOLIDATED($H$20,$H2046),IF(_xll.TM1RPTELLEV($H$20,$H2046)&lt;=5,_xll.TM1RPTELLEV($H$20,$H2046),"Default"),"Leaf")</f>
        <v>Leaf</v>
      </c>
      <c r="C2046" s="26" t="s">
        <v>20</v>
      </c>
      <c r="D2046" s="24" t="str">
        <f>_xll.DBRW("TM1-S1_DEV:}ElementAttributes_SP_SKU",$F2046,D$1)</f>
        <v>Primary</v>
      </c>
      <c r="E2046" s="24" t="str">
        <f>_xll.DBRW("TM1-S1_DEV:}ElementAttributes_SP_SKU",$F2046,E$1)</f>
        <v>BREAD</v>
      </c>
      <c r="F2046" s="26" t="s">
        <v>3252</v>
      </c>
      <c r="G2046" s="26" t="s">
        <v>1951</v>
      </c>
      <c r="H2046" s="26" t="s">
        <v>2691</v>
      </c>
      <c r="I2046" s="54">
        <f>_xll.DBRW($A$1,$F$14,$F$15,$C2046,$A$2,$F2046,$G2046,$H2046,I$1)</f>
        <v>2</v>
      </c>
      <c r="J2046" s="25">
        <f>_xll.DBRW($A$1,$F$14,$F$15,$C2046,$A$2,$F2046,$G2046,$H2046,J$19)</f>
        <v>2</v>
      </c>
    </row>
    <row r="2047" spans="1:10" s="23" customFormat="1" outlineLevel="1" thickBot="1" x14ac:dyDescent="0.3">
      <c r="A2047" s="44"/>
      <c r="B2047" s="31" t="str">
        <f>IF(_xll.TM1RPTELISCONSOLIDATED($H$20,$H2047),IF(_xll.TM1RPTELLEV($H$20,$H2047)&lt;=5,_xll.TM1RPTELLEV($H$20,$H2047),"Default"),"Leaf")</f>
        <v>Leaf</v>
      </c>
      <c r="C2047" s="26" t="s">
        <v>20</v>
      </c>
      <c r="D2047" s="24" t="str">
        <f>_xll.DBRW("TM1-S1_DEV:}ElementAttributes_SP_SKU",$F2047,D$1)</f>
        <v>Primary</v>
      </c>
      <c r="E2047" s="24" t="str">
        <f>_xll.DBRW("TM1-S1_DEV:}ElementAttributes_SP_SKU",$F2047,E$1)</f>
        <v>CHEESE</v>
      </c>
      <c r="F2047" s="26" t="s">
        <v>3173</v>
      </c>
      <c r="G2047" s="26" t="s">
        <v>1952</v>
      </c>
      <c r="H2047" s="26" t="s">
        <v>2692</v>
      </c>
      <c r="I2047" s="54">
        <f>_xll.DBRW($A$1,$F$14,$F$15,$C2047,$A$2,$F2047,$G2047,$H2047,I$1)</f>
        <v>56</v>
      </c>
      <c r="J2047" s="25">
        <f>_xll.DBRW($A$1,$F$14,$F$15,$C2047,$A$2,$F2047,$G2047,$H2047,J$19)</f>
        <v>112</v>
      </c>
    </row>
    <row r="2048" spans="1:10" s="23" customFormat="1" outlineLevel="1" thickBot="1" x14ac:dyDescent="0.3">
      <c r="A2048" s="44"/>
      <c r="B2048" s="31" t="str">
        <f>IF(_xll.TM1RPTELISCONSOLIDATED($H$20,$H2048),IF(_xll.TM1RPTELLEV($H$20,$H2048)&lt;=5,_xll.TM1RPTELLEV($H$20,$H2048),"Default"),"Leaf")</f>
        <v>Leaf</v>
      </c>
      <c r="C2048" s="26" t="s">
        <v>20</v>
      </c>
      <c r="D2048" s="24" t="str">
        <f>_xll.DBRW("TM1-S1_DEV:}ElementAttributes_SP_SKU",$F2048,D$1)</f>
        <v>Primary</v>
      </c>
      <c r="E2048" s="24" t="str">
        <f>_xll.DBRW("TM1-S1_DEV:}ElementAttributes_SP_SKU",$F2048,E$1)</f>
        <v>CHIPS</v>
      </c>
      <c r="F2048" s="26" t="s">
        <v>3292</v>
      </c>
      <c r="G2048" s="26" t="s">
        <v>1953</v>
      </c>
      <c r="H2048" s="26" t="s">
        <v>2717</v>
      </c>
      <c r="I2048" s="54">
        <f>_xll.DBRW($A$1,$F$14,$F$15,$C2048,$A$2,$F2048,$G2048,$H2048,I$1)</f>
        <v>6</v>
      </c>
      <c r="J2048" s="25">
        <f>_xll.DBRW($A$1,$F$14,$F$15,$C2048,$A$2,$F2048,$G2048,$H2048,J$19)</f>
        <v>24</v>
      </c>
    </row>
    <row r="2049" spans="1:10" s="23" customFormat="1" outlineLevel="1" thickBot="1" x14ac:dyDescent="0.3">
      <c r="A2049" s="44"/>
      <c r="B2049" s="31" t="str">
        <f>IF(_xll.TM1RPTELISCONSOLIDATED($H$20,$H2049),IF(_xll.TM1RPTELLEV($H$20,$H2049)&lt;=5,_xll.TM1RPTELLEV($H$20,$H2049),"Default"),"Leaf")</f>
        <v>Leaf</v>
      </c>
      <c r="C2049" s="26" t="s">
        <v>20</v>
      </c>
      <c r="D2049" s="24" t="str">
        <f>_xll.DBRW("TM1-S1_DEV:}ElementAttributes_SP_SKU",$F2049,D$1)</f>
        <v>Primary</v>
      </c>
      <c r="E2049" s="24" t="str">
        <f>_xll.DBRW("TM1-S1_DEV:}ElementAttributes_SP_SKU",$F2049,E$1)</f>
        <v>CONDIMENT</v>
      </c>
      <c r="F2049" s="26" t="s">
        <v>3174</v>
      </c>
      <c r="G2049" s="26" t="s">
        <v>1954</v>
      </c>
      <c r="H2049" s="26" t="s">
        <v>2684</v>
      </c>
      <c r="I2049" s="54">
        <f>_xll.DBRW($A$1,$F$14,$F$15,$C2049,$A$2,$F2049,$G2049,$H2049,I$1)</f>
        <v>3</v>
      </c>
      <c r="J2049" s="25">
        <f>_xll.DBRW($A$1,$F$14,$F$15,$C2049,$A$2,$F2049,$G2049,$H2049,J$19)</f>
        <v>2</v>
      </c>
    </row>
    <row r="2050" spans="1:10" s="23" customFormat="1" outlineLevel="1" thickBot="1" x14ac:dyDescent="0.3">
      <c r="A2050" s="44"/>
      <c r="B2050" s="31" t="str">
        <f>IF(_xll.TM1RPTELISCONSOLIDATED($H$20,$H2050),IF(_xll.TM1RPTELLEV($H$20,$H2050)&lt;=5,_xll.TM1RPTELLEV($H$20,$H2050),"Default"),"Leaf")</f>
        <v>Leaf</v>
      </c>
      <c r="C2050" s="26" t="s">
        <v>20</v>
      </c>
      <c r="D2050" s="24" t="str">
        <f>_xll.DBRW("TM1-S1_DEV:}ElementAttributes_SP_SKU",$F2050,D$1)</f>
        <v>Primary</v>
      </c>
      <c r="E2050" s="24" t="str">
        <f>_xll.DBRW("TM1-S1_DEV:}ElementAttributes_SP_SKU",$F2050,E$1)</f>
        <v>CHEESE</v>
      </c>
      <c r="F2050" s="26" t="s">
        <v>3175</v>
      </c>
      <c r="G2050" s="26" t="s">
        <v>1955</v>
      </c>
      <c r="H2050" s="26" t="s">
        <v>2692</v>
      </c>
      <c r="I2050" s="54">
        <f>_xll.DBRW($A$1,$F$14,$F$15,$C2050,$A$2,$F2050,$G2050,$H2050,I$1)</f>
        <v>157</v>
      </c>
      <c r="J2050" s="25">
        <f>_xll.DBRW($A$1,$F$14,$F$15,$C2050,$A$2,$F2050,$G2050,$H2050,J$19)</f>
        <v>209</v>
      </c>
    </row>
    <row r="2051" spans="1:10" s="23" customFormat="1" outlineLevel="1" thickBot="1" x14ac:dyDescent="0.3">
      <c r="A2051" s="44"/>
      <c r="B2051" s="31" t="str">
        <f>IF(_xll.TM1RPTELISCONSOLIDATED($H$20,$H2051),IF(_xll.TM1RPTELLEV($H$20,$H2051)&lt;=5,_xll.TM1RPTELLEV($H$20,$H2051),"Default"),"Leaf")</f>
        <v>Leaf</v>
      </c>
      <c r="C2051" s="26" t="s">
        <v>20</v>
      </c>
      <c r="D2051" s="24" t="str">
        <f>_xll.DBRW("TM1-S1_DEV:}ElementAttributes_SP_SKU",$F2051,D$1)</f>
        <v>Primary</v>
      </c>
      <c r="E2051" s="24" t="str">
        <f>_xll.DBRW("TM1-S1_DEV:}ElementAttributes_SP_SKU",$F2051,E$1)</f>
        <v>CONDIMENT</v>
      </c>
      <c r="F2051" s="26" t="s">
        <v>3176</v>
      </c>
      <c r="G2051" s="26" t="s">
        <v>1956</v>
      </c>
      <c r="H2051" s="26" t="s">
        <v>2684</v>
      </c>
      <c r="I2051" s="54">
        <f>_xll.DBRW($A$1,$F$14,$F$15,$C2051,$A$2,$F2051,$G2051,$H2051,I$1)</f>
        <v>3</v>
      </c>
      <c r="J2051" s="25">
        <f>_xll.DBRW($A$1,$F$14,$F$15,$C2051,$A$2,$F2051,$G2051,$H2051,J$19)</f>
        <v>0</v>
      </c>
    </row>
    <row r="2052" spans="1:10" s="23" customFormat="1" outlineLevel="1" thickBot="1" x14ac:dyDescent="0.3">
      <c r="A2052" s="44"/>
      <c r="B2052" s="31" t="str">
        <f>IF(_xll.TM1RPTELISCONSOLIDATED($H$20,$H2052),IF(_xll.TM1RPTELLEV($H$20,$H2052)&lt;=5,_xll.TM1RPTELLEV($H$20,$H2052),"Default"),"Leaf")</f>
        <v>Leaf</v>
      </c>
      <c r="C2052" s="26" t="s">
        <v>20</v>
      </c>
      <c r="D2052" s="24" t="str">
        <f>_xll.DBRW("TM1-S1_DEV:}ElementAttributes_SP_SKU",$F2052,D$1)</f>
        <v>Primary</v>
      </c>
      <c r="E2052" s="24" t="str">
        <f>_xll.DBRW("TM1-S1_DEV:}ElementAttributes_SP_SKU",$F2052,E$1)</f>
        <v>CONDIMENT</v>
      </c>
      <c r="F2052" s="26" t="s">
        <v>3253</v>
      </c>
      <c r="G2052" s="26" t="s">
        <v>1957</v>
      </c>
      <c r="H2052" s="26" t="s">
        <v>2686</v>
      </c>
      <c r="I2052" s="54">
        <f>_xll.DBRW($A$1,$F$14,$F$15,$C2052,$A$2,$F2052,$G2052,$H2052,I$1)</f>
        <v>3</v>
      </c>
      <c r="J2052" s="25">
        <f>_xll.DBRW($A$1,$F$14,$F$15,$C2052,$A$2,$F2052,$G2052,$H2052,J$19)</f>
        <v>13</v>
      </c>
    </row>
    <row r="2053" spans="1:10" s="23" customFormat="1" outlineLevel="1" thickBot="1" x14ac:dyDescent="0.3">
      <c r="A2053" s="44"/>
      <c r="B2053" s="31" t="str">
        <f>IF(_xll.TM1RPTELISCONSOLIDATED($H$20,$H2053),IF(_xll.TM1RPTELLEV($H$20,$H2053)&lt;=5,_xll.TM1RPTELLEV($H$20,$H2053),"Default"),"Leaf")</f>
        <v>Leaf</v>
      </c>
      <c r="C2053" s="26" t="s">
        <v>20</v>
      </c>
      <c r="D2053" s="24" t="str">
        <f>_xll.DBRW("TM1-S1_DEV:}ElementAttributes_SP_SKU",$F2053,D$1)</f>
        <v>Primary</v>
      </c>
      <c r="E2053" s="24" t="str">
        <f>_xll.DBRW("TM1-S1_DEV:}ElementAttributes_SP_SKU",$F2053,E$1)</f>
        <v>INGREDIENT</v>
      </c>
      <c r="F2053" s="26" t="s">
        <v>3177</v>
      </c>
      <c r="G2053" s="26" t="s">
        <v>3327</v>
      </c>
      <c r="H2053" s="26" t="s">
        <v>2686</v>
      </c>
      <c r="I2053" s="54">
        <f>_xll.DBRW($A$1,$F$14,$F$15,$C2053,$A$2,$F2053,$G2053,$H2053,I$1)</f>
        <v>0</v>
      </c>
      <c r="J2053" s="25">
        <f>_xll.DBRW($A$1,$F$14,$F$15,$C2053,$A$2,$F2053,$G2053,$H2053,J$19)</f>
        <v>3</v>
      </c>
    </row>
    <row r="2054" spans="1:10" s="23" customFormat="1" outlineLevel="1" thickBot="1" x14ac:dyDescent="0.3">
      <c r="A2054" s="44"/>
      <c r="B2054" s="31" t="str">
        <f>IF(_xll.TM1RPTELISCONSOLIDATED($H$20,$H2054),IF(_xll.TM1RPTELLEV($H$20,$H2054)&lt;=5,_xll.TM1RPTELLEV($H$20,$H2054),"Default"),"Leaf")</f>
        <v>Leaf</v>
      </c>
      <c r="C2054" s="26" t="s">
        <v>20</v>
      </c>
      <c r="D2054" s="24" t="str">
        <f>_xll.DBRW("TM1-S1_DEV:}ElementAttributes_SP_SKU",$F2054,D$1)</f>
        <v>Primary</v>
      </c>
      <c r="E2054" s="24" t="str">
        <f>_xll.DBRW("TM1-S1_DEV:}ElementAttributes_SP_SKU",$F2054,E$1)</f>
        <v>CONDIMENT</v>
      </c>
      <c r="F2054" s="26" t="s">
        <v>3178</v>
      </c>
      <c r="G2054" s="26" t="s">
        <v>1958</v>
      </c>
      <c r="H2054" s="26" t="s">
        <v>2684</v>
      </c>
      <c r="I2054" s="54">
        <f>_xll.DBRW($A$1,$F$14,$F$15,$C2054,$A$2,$F2054,$G2054,$H2054,I$1)</f>
        <v>4</v>
      </c>
      <c r="J2054" s="25">
        <f>_xll.DBRW($A$1,$F$14,$F$15,$C2054,$A$2,$F2054,$G2054,$H2054,J$19)</f>
        <v>4</v>
      </c>
    </row>
    <row r="2055" spans="1:10" s="23" customFormat="1" outlineLevel="1" thickBot="1" x14ac:dyDescent="0.3">
      <c r="A2055" s="44"/>
      <c r="B2055" s="31" t="str">
        <f>IF(_xll.TM1RPTELISCONSOLIDATED($H$20,$H2055),IF(_xll.TM1RPTELLEV($H$20,$H2055)&lt;=5,_xll.TM1RPTELLEV($H$20,$H2055),"Default"),"Leaf")</f>
        <v>Leaf</v>
      </c>
      <c r="C2055" s="26" t="s">
        <v>20</v>
      </c>
      <c r="D2055" s="24" t="str">
        <f>_xll.DBRW("TM1-S1_DEV:}ElementAttributes_SP_SKU",$F2055,D$1)</f>
        <v>Primary</v>
      </c>
      <c r="E2055" s="24" t="str">
        <f>_xll.DBRW("TM1-S1_DEV:}ElementAttributes_SP_SKU",$F2055,E$1)</f>
        <v>CONDIMENT</v>
      </c>
      <c r="F2055" s="26" t="s">
        <v>3179</v>
      </c>
      <c r="G2055" s="26" t="s">
        <v>1959</v>
      </c>
      <c r="H2055" s="26" t="s">
        <v>2684</v>
      </c>
      <c r="I2055" s="54">
        <f>_xll.DBRW($A$1,$F$14,$F$15,$C2055,$A$2,$F2055,$G2055,$H2055,I$1)</f>
        <v>5</v>
      </c>
      <c r="J2055" s="25">
        <f>_xll.DBRW($A$1,$F$14,$F$15,$C2055,$A$2,$F2055,$G2055,$H2055,J$19)</f>
        <v>5</v>
      </c>
    </row>
    <row r="2056" spans="1:10" s="23" customFormat="1" outlineLevel="1" thickBot="1" x14ac:dyDescent="0.3">
      <c r="A2056" s="44"/>
      <c r="B2056" s="31" t="str">
        <f>IF(_xll.TM1RPTELISCONSOLIDATED($H$20,$H2056),IF(_xll.TM1RPTELLEV($H$20,$H2056)&lt;=5,_xll.TM1RPTELLEV($H$20,$H2056),"Default"),"Leaf")</f>
        <v>Leaf</v>
      </c>
      <c r="C2056" s="26" t="s">
        <v>20</v>
      </c>
      <c r="D2056" s="24" t="str">
        <f>_xll.DBRW("TM1-S1_DEV:}ElementAttributes_SP_SKU",$F2056,D$1)</f>
        <v>Primary</v>
      </c>
      <c r="E2056" s="24" t="str">
        <f>_xll.DBRW("TM1-S1_DEV:}ElementAttributes_SP_SKU",$F2056,E$1)</f>
        <v>COOKIE</v>
      </c>
      <c r="F2056" s="26" t="s">
        <v>3180</v>
      </c>
      <c r="G2056" s="26" t="s">
        <v>1960</v>
      </c>
      <c r="H2056" s="26" t="s">
        <v>2691</v>
      </c>
      <c r="I2056" s="54">
        <f>_xll.DBRW($A$1,$F$14,$F$15,$C2056,$A$2,$F2056,$G2056,$H2056,I$1)</f>
        <v>1</v>
      </c>
      <c r="J2056" s="25">
        <f>_xll.DBRW($A$1,$F$14,$F$15,$C2056,$A$2,$F2056,$G2056,$H2056,J$19)</f>
        <v>1</v>
      </c>
    </row>
    <row r="2057" spans="1:10" s="23" customFormat="1" outlineLevel="1" thickBot="1" x14ac:dyDescent="0.3">
      <c r="A2057" s="44"/>
      <c r="B2057" s="31" t="str">
        <f>IF(_xll.TM1RPTELISCONSOLIDATED($H$20,$H2057),IF(_xll.TM1RPTELLEV($H$20,$H2057)&lt;=5,_xll.TM1RPTELLEV($H$20,$H2057),"Default"),"Leaf")</f>
        <v>Leaf</v>
      </c>
      <c r="C2057" s="26" t="s">
        <v>20</v>
      </c>
      <c r="D2057" s="24" t="str">
        <f>_xll.DBRW("TM1-S1_DEV:}ElementAttributes_SP_SKU",$F2057,D$1)</f>
        <v>Primary</v>
      </c>
      <c r="E2057" s="24" t="str">
        <f>_xll.DBRW("TM1-S1_DEV:}ElementAttributes_SP_SKU",$F2057,E$1)</f>
        <v>COOKIE</v>
      </c>
      <c r="F2057" s="26" t="s">
        <v>3181</v>
      </c>
      <c r="G2057" s="26" t="s">
        <v>1961</v>
      </c>
      <c r="H2057" s="26" t="s">
        <v>2691</v>
      </c>
      <c r="I2057" s="54">
        <f>_xll.DBRW($A$1,$F$14,$F$15,$C2057,$A$2,$F2057,$G2057,$H2057,I$1)</f>
        <v>1</v>
      </c>
      <c r="J2057" s="25">
        <f>_xll.DBRW($A$1,$F$14,$F$15,$C2057,$A$2,$F2057,$G2057,$H2057,J$19)</f>
        <v>-1</v>
      </c>
    </row>
    <row r="2058" spans="1:10" s="23" customFormat="1" outlineLevel="1" thickBot="1" x14ac:dyDescent="0.3">
      <c r="A2058" s="44"/>
      <c r="B2058" s="31" t="str">
        <f>IF(_xll.TM1RPTELISCONSOLIDATED($H$20,$H2058),IF(_xll.TM1RPTELLEV($H$20,$H2058)&lt;=5,_xll.TM1RPTELLEV($H$20,$H2058),"Default"),"Leaf")</f>
        <v>Leaf</v>
      </c>
      <c r="C2058" s="26" t="s">
        <v>20</v>
      </c>
      <c r="D2058" s="24" t="str">
        <f>_xll.DBRW("TM1-S1_DEV:}ElementAttributes_SP_SKU",$F2058,D$1)</f>
        <v>Primary</v>
      </c>
      <c r="E2058" s="24" t="str">
        <f>_xll.DBRW("TM1-S1_DEV:}ElementAttributes_SP_SKU",$F2058,E$1)</f>
        <v>COOKIE</v>
      </c>
      <c r="F2058" s="26" t="s">
        <v>3182</v>
      </c>
      <c r="G2058" s="26" t="s">
        <v>1962</v>
      </c>
      <c r="H2058" s="26" t="s">
        <v>2691</v>
      </c>
      <c r="I2058" s="54">
        <f>_xll.DBRW($A$1,$F$14,$F$15,$C2058,$A$2,$F2058,$G2058,$H2058,I$1)</f>
        <v>2</v>
      </c>
      <c r="J2058" s="25">
        <f>_xll.DBRW($A$1,$F$14,$F$15,$C2058,$A$2,$F2058,$G2058,$H2058,J$19)</f>
        <v>2</v>
      </c>
    </row>
    <row r="2059" spans="1:10" s="23" customFormat="1" outlineLevel="1" thickBot="1" x14ac:dyDescent="0.3">
      <c r="A2059" s="44"/>
      <c r="B2059" s="31" t="str">
        <f>IF(_xll.TM1RPTELISCONSOLIDATED($H$20,$H2059),IF(_xll.TM1RPTELLEV($H$20,$H2059)&lt;=5,_xll.TM1RPTELLEV($H$20,$H2059),"Default"),"Leaf")</f>
        <v>Leaf</v>
      </c>
      <c r="C2059" s="26" t="s">
        <v>20</v>
      </c>
      <c r="D2059" s="24" t="str">
        <f>_xll.DBRW("TM1-S1_DEV:}ElementAttributes_SP_SKU",$F2059,D$1)</f>
        <v>Primary</v>
      </c>
      <c r="E2059" s="24" t="str">
        <f>_xll.DBRW("TM1-S1_DEV:}ElementAttributes_SP_SKU",$F2059,E$1)</f>
        <v>COOKIE</v>
      </c>
      <c r="F2059" s="26" t="s">
        <v>3183</v>
      </c>
      <c r="G2059" s="26" t="s">
        <v>1963</v>
      </c>
      <c r="H2059" s="26" t="s">
        <v>2691</v>
      </c>
      <c r="I2059" s="54">
        <f>_xll.DBRW($A$1,$F$14,$F$15,$C2059,$A$2,$F2059,$G2059,$H2059,I$1)</f>
        <v>15</v>
      </c>
      <c r="J2059" s="25">
        <f>_xll.DBRW($A$1,$F$14,$F$15,$C2059,$A$2,$F2059,$G2059,$H2059,J$19)</f>
        <v>13</v>
      </c>
    </row>
    <row r="2060" spans="1:10" s="23" customFormat="1" outlineLevel="1" thickBot="1" x14ac:dyDescent="0.3">
      <c r="A2060" s="44"/>
      <c r="B2060" s="31" t="str">
        <f>IF(_xll.TM1RPTELISCONSOLIDATED($H$20,$H2060),IF(_xll.TM1RPTELLEV($H$20,$H2060)&lt;=5,_xll.TM1RPTELLEV($H$20,$H2060),"Default"),"Leaf")</f>
        <v>Leaf</v>
      </c>
      <c r="C2060" s="26" t="s">
        <v>20</v>
      </c>
      <c r="D2060" s="24" t="str">
        <f>_xll.DBRW("TM1-S1_DEV:}ElementAttributes_SP_SKU",$F2060,D$1)</f>
        <v>Primary</v>
      </c>
      <c r="E2060" s="24" t="str">
        <f>_xll.DBRW("TM1-S1_DEV:}ElementAttributes_SP_SKU",$F2060,E$1)</f>
        <v>SOUP</v>
      </c>
      <c r="F2060" s="26" t="s">
        <v>3184</v>
      </c>
      <c r="G2060" s="26" t="s">
        <v>1964</v>
      </c>
      <c r="H2060" s="26" t="s">
        <v>2675</v>
      </c>
      <c r="I2060" s="54">
        <f>_xll.DBRW($A$1,$F$14,$F$15,$C2060,$A$2,$F2060,$G2060,$H2060,I$1)</f>
        <v>6</v>
      </c>
      <c r="J2060" s="25">
        <f>_xll.DBRW($A$1,$F$14,$F$15,$C2060,$A$2,$F2060,$G2060,$H2060,J$19)</f>
        <v>5</v>
      </c>
    </row>
    <row r="2061" spans="1:10" s="23" customFormat="1" outlineLevel="1" thickBot="1" x14ac:dyDescent="0.3">
      <c r="A2061" s="44"/>
      <c r="B2061" s="31" t="str">
        <f>IF(_xll.TM1RPTELISCONSOLIDATED($H$20,$H2061),IF(_xll.TM1RPTELLEV($H$20,$H2061)&lt;=5,_xll.TM1RPTELLEV($H$20,$H2061),"Default"),"Leaf")</f>
        <v>Leaf</v>
      </c>
      <c r="C2061" s="26" t="s">
        <v>20</v>
      </c>
      <c r="D2061" s="24" t="str">
        <f>_xll.DBRW("TM1-S1_DEV:}ElementAttributes_SP_SKU",$F2061,D$1)</f>
        <v>Primary</v>
      </c>
      <c r="E2061" s="24" t="str">
        <f>_xll.DBRW("TM1-S1_DEV:}ElementAttributes_SP_SKU",$F2061,E$1)</f>
        <v>INGREDIENT</v>
      </c>
      <c r="F2061" s="26" t="s">
        <v>3186</v>
      </c>
      <c r="G2061" s="26" t="s">
        <v>1965</v>
      </c>
      <c r="H2061" s="26" t="s">
        <v>2694</v>
      </c>
      <c r="I2061" s="54">
        <f>_xll.DBRW($A$1,$F$14,$F$15,$C2061,$A$2,$F2061,$G2061,$H2061,I$1)</f>
        <v>5</v>
      </c>
      <c r="J2061" s="25">
        <f>_xll.DBRW($A$1,$F$14,$F$15,$C2061,$A$2,$F2061,$G2061,$H2061,J$19)</f>
        <v>5</v>
      </c>
    </row>
    <row r="2062" spans="1:10" s="23" customFormat="1" outlineLevel="1" thickBot="1" x14ac:dyDescent="0.3">
      <c r="A2062" s="44"/>
      <c r="B2062" s="31" t="str">
        <f>IF(_xll.TM1RPTELISCONSOLIDATED($H$20,$H2062),IF(_xll.TM1RPTELLEV($H$20,$H2062)&lt;=5,_xll.TM1RPTELLEV($H$20,$H2062),"Default"),"Leaf")</f>
        <v>Leaf</v>
      </c>
      <c r="C2062" s="26" t="s">
        <v>20</v>
      </c>
      <c r="D2062" s="24" t="str">
        <f>_xll.DBRW("TM1-S1_DEV:}ElementAttributes_SP_SKU",$F2062,D$1)</f>
        <v>Primary</v>
      </c>
      <c r="E2062" s="24" t="str">
        <f>_xll.DBRW("TM1-S1_DEV:}ElementAttributes_SP_SKU",$F2062,E$1)</f>
        <v>CRACKERS</v>
      </c>
      <c r="F2062" s="26" t="s">
        <v>3282</v>
      </c>
      <c r="G2062" s="26" t="s">
        <v>1966</v>
      </c>
      <c r="H2062" s="26" t="s">
        <v>2859</v>
      </c>
      <c r="I2062" s="54">
        <f>_xll.DBRW($A$1,$F$14,$F$15,$C2062,$A$2,$F2062,$G2062,$H2062,I$1)</f>
        <v>60</v>
      </c>
      <c r="J2062" s="25">
        <f>_xll.DBRW($A$1,$F$14,$F$15,$C2062,$A$2,$F2062,$G2062,$H2062,J$19)</f>
        <v>60</v>
      </c>
    </row>
    <row r="2063" spans="1:10" s="23" customFormat="1" outlineLevel="1" thickBot="1" x14ac:dyDescent="0.3">
      <c r="A2063" s="44"/>
      <c r="B2063" s="31" t="str">
        <f>IF(_xll.TM1RPTELISCONSOLIDATED($H$20,$H2063),IF(_xll.TM1RPTELLEV($H$20,$H2063)&lt;=5,_xll.TM1RPTELLEV($H$20,$H2063),"Default"),"Leaf")</f>
        <v>Leaf</v>
      </c>
      <c r="C2063" s="26" t="s">
        <v>20</v>
      </c>
      <c r="D2063" s="24" t="str">
        <f>_xll.DBRW("TM1-S1_DEV:}ElementAttributes_SP_SKU",$F2063,D$1)</f>
        <v>Primary</v>
      </c>
      <c r="E2063" s="24" t="str">
        <f>_xll.DBRW("TM1-S1_DEV:}ElementAttributes_SP_SKU",$F2063,E$1)</f>
        <v>INGREDIENT</v>
      </c>
      <c r="F2063" s="26" t="s">
        <v>3187</v>
      </c>
      <c r="G2063" s="26" t="s">
        <v>1967</v>
      </c>
      <c r="H2063" s="26" t="s">
        <v>2695</v>
      </c>
      <c r="I2063" s="54">
        <f>_xll.DBRW($A$1,$F$14,$F$15,$C2063,$A$2,$F2063,$G2063,$H2063,I$1)</f>
        <v>2</v>
      </c>
      <c r="J2063" s="25">
        <f>_xll.DBRW($A$1,$F$14,$F$15,$C2063,$A$2,$F2063,$G2063,$H2063,J$19)</f>
        <v>1</v>
      </c>
    </row>
    <row r="2064" spans="1:10" s="23" customFormat="1" outlineLevel="1" thickBot="1" x14ac:dyDescent="0.3">
      <c r="A2064" s="44"/>
      <c r="B2064" s="31" t="str">
        <f>IF(_xll.TM1RPTELISCONSOLIDATED($H$20,$H2064),IF(_xll.TM1RPTELLEV($H$20,$H2064)&lt;=5,_xll.TM1RPTELLEV($H$20,$H2064),"Default"),"Leaf")</f>
        <v>Leaf</v>
      </c>
      <c r="C2064" s="26" t="s">
        <v>20</v>
      </c>
      <c r="D2064" s="24" t="str">
        <f>_xll.DBRW("TM1-S1_DEV:}ElementAttributes_SP_SKU",$F2064,D$1)</f>
        <v>Primary</v>
      </c>
      <c r="E2064" s="24" t="str">
        <f>_xll.DBRW("TM1-S1_DEV:}ElementAttributes_SP_SKU",$F2064,E$1)</f>
        <v>CHIPS</v>
      </c>
      <c r="F2064" s="26" t="s">
        <v>3255</v>
      </c>
      <c r="G2064" s="26" t="s">
        <v>1968</v>
      </c>
      <c r="H2064" s="26" t="s">
        <v>2736</v>
      </c>
      <c r="I2064" s="54">
        <f>_xll.DBRW($A$1,$F$14,$F$15,$C2064,$A$2,$F2064,$G2064,$H2064,I$1)</f>
        <v>2</v>
      </c>
      <c r="J2064" s="25">
        <f>_xll.DBRW($A$1,$F$14,$F$15,$C2064,$A$2,$F2064,$G2064,$H2064,J$19)</f>
        <v>2</v>
      </c>
    </row>
    <row r="2065" spans="1:10" s="23" customFormat="1" outlineLevel="1" thickBot="1" x14ac:dyDescent="0.3">
      <c r="A2065" s="44"/>
      <c r="B2065" s="31" t="str">
        <f>IF(_xll.TM1RPTELISCONSOLIDATED($H$20,$H2065),IF(_xll.TM1RPTELLEV($H$20,$H2065)&lt;=5,_xll.TM1RPTELLEV($H$20,$H2065),"Default"),"Leaf")</f>
        <v>Leaf</v>
      </c>
      <c r="C2065" s="26" t="s">
        <v>20</v>
      </c>
      <c r="D2065" s="24" t="str">
        <f>_xll.DBRW("TM1-S1_DEV:}ElementAttributes_SP_SKU",$F2065,D$1)</f>
        <v>Primary</v>
      </c>
      <c r="E2065" s="24" t="str">
        <f>_xll.DBRW("TM1-S1_DEV:}ElementAttributes_SP_SKU",$F2065,E$1)</f>
        <v>CHIPS</v>
      </c>
      <c r="F2065" s="26" t="s">
        <v>3256</v>
      </c>
      <c r="G2065" s="26" t="s">
        <v>1969</v>
      </c>
      <c r="H2065" s="26" t="s">
        <v>2736</v>
      </c>
      <c r="I2065" s="54">
        <f>_xll.DBRW($A$1,$F$14,$F$15,$C2065,$A$2,$F2065,$G2065,$H2065,I$1)</f>
        <v>1</v>
      </c>
      <c r="J2065" s="25">
        <f>_xll.DBRW($A$1,$F$14,$F$15,$C2065,$A$2,$F2065,$G2065,$H2065,J$19)</f>
        <v>6</v>
      </c>
    </row>
    <row r="2066" spans="1:10" s="23" customFormat="1" outlineLevel="1" thickBot="1" x14ac:dyDescent="0.3">
      <c r="A2066" s="44"/>
      <c r="B2066" s="31" t="str">
        <f>IF(_xll.TM1RPTELISCONSOLIDATED($H$20,$H2066),IF(_xll.TM1RPTELLEV($H$20,$H2066)&lt;=5,_xll.TM1RPTELLEV($H$20,$H2066),"Default"),"Leaf")</f>
        <v>Leaf</v>
      </c>
      <c r="C2066" s="26" t="s">
        <v>20</v>
      </c>
      <c r="D2066" s="24" t="str">
        <f>_xll.DBRW("TM1-S1_DEV:}ElementAttributes_SP_SKU",$F2066,D$1)</f>
        <v>Primary</v>
      </c>
      <c r="E2066" s="24" t="str">
        <f>_xll.DBRW("TM1-S1_DEV:}ElementAttributes_SP_SKU",$F2066,E$1)</f>
        <v>CHIPS</v>
      </c>
      <c r="F2066" s="26" t="s">
        <v>3257</v>
      </c>
      <c r="G2066" s="26" t="s">
        <v>1970</v>
      </c>
      <c r="H2066" s="26" t="s">
        <v>2736</v>
      </c>
      <c r="I2066" s="54">
        <f>_xll.DBRW($A$1,$F$14,$F$15,$C2066,$A$2,$F2066,$G2066,$H2066,I$1)</f>
        <v>14</v>
      </c>
      <c r="J2066" s="25">
        <f>_xll.DBRW($A$1,$F$14,$F$15,$C2066,$A$2,$F2066,$G2066,$H2066,J$19)</f>
        <v>9</v>
      </c>
    </row>
    <row r="2067" spans="1:10" s="23" customFormat="1" outlineLevel="1" thickBot="1" x14ac:dyDescent="0.3">
      <c r="A2067" s="44"/>
      <c r="B2067" s="31" t="str">
        <f>IF(_xll.TM1RPTELISCONSOLIDATED($H$20,$H2067),IF(_xll.TM1RPTELLEV($H$20,$H2067)&lt;=5,_xll.TM1RPTELLEV($H$20,$H2067),"Default"),"Leaf")</f>
        <v>Leaf</v>
      </c>
      <c r="C2067" s="26" t="s">
        <v>20</v>
      </c>
      <c r="D2067" s="24" t="str">
        <f>_xll.DBRW("TM1-S1_DEV:}ElementAttributes_SP_SKU",$F2067,D$1)</f>
        <v>Primary</v>
      </c>
      <c r="E2067" s="24" t="str">
        <f>_xll.DBRW("TM1-S1_DEV:}ElementAttributes_SP_SKU",$F2067,E$1)</f>
        <v>CHIPS</v>
      </c>
      <c r="F2067" s="26" t="s">
        <v>3258</v>
      </c>
      <c r="G2067" s="26" t="s">
        <v>1971</v>
      </c>
      <c r="H2067" s="26" t="s">
        <v>2736</v>
      </c>
      <c r="I2067" s="54">
        <f>_xll.DBRW($A$1,$F$14,$F$15,$C2067,$A$2,$F2067,$G2067,$H2067,I$1)</f>
        <v>2</v>
      </c>
      <c r="J2067" s="25">
        <f>_xll.DBRW($A$1,$F$14,$F$15,$C2067,$A$2,$F2067,$G2067,$H2067,J$19)</f>
        <v>2</v>
      </c>
    </row>
    <row r="2068" spans="1:10" s="23" customFormat="1" outlineLevel="1" thickBot="1" x14ac:dyDescent="0.3">
      <c r="A2068" s="44"/>
      <c r="B2068" s="31" t="str">
        <f>IF(_xll.TM1RPTELISCONSOLIDATED($H$20,$H2068),IF(_xll.TM1RPTELLEV($H$20,$H2068)&lt;=5,_xll.TM1RPTELLEV($H$20,$H2068),"Default"),"Leaf")</f>
        <v>Leaf</v>
      </c>
      <c r="C2068" s="26" t="s">
        <v>20</v>
      </c>
      <c r="D2068" s="24" t="str">
        <f>_xll.DBRW("TM1-S1_DEV:}ElementAttributes_SP_SKU",$F2068,D$1)</f>
        <v>Primary</v>
      </c>
      <c r="E2068" s="24" t="str">
        <f>_xll.DBRW("TM1-S1_DEV:}ElementAttributes_SP_SKU",$F2068,E$1)</f>
        <v>SIDES</v>
      </c>
      <c r="F2068" s="26" t="s">
        <v>3188</v>
      </c>
      <c r="G2068" s="26" t="s">
        <v>1972</v>
      </c>
      <c r="H2068" s="26" t="s">
        <v>2686</v>
      </c>
      <c r="I2068" s="54">
        <f>_xll.DBRW($A$1,$F$14,$F$15,$C2068,$A$2,$F2068,$G2068,$H2068,I$1)</f>
        <v>4</v>
      </c>
      <c r="J2068" s="25">
        <f>_xll.DBRW($A$1,$F$14,$F$15,$C2068,$A$2,$F2068,$G2068,$H2068,J$19)</f>
        <v>3</v>
      </c>
    </row>
    <row r="2069" spans="1:10" s="23" customFormat="1" outlineLevel="1" thickBot="1" x14ac:dyDescent="0.3">
      <c r="A2069" s="44"/>
      <c r="B2069" s="31" t="str">
        <f>IF(_xll.TM1RPTELISCONSOLIDATED($H$20,$H2069),IF(_xll.TM1RPTELLEV($H$20,$H2069)&lt;=5,_xll.TM1RPTELLEV($H$20,$H2069),"Default"),"Leaf")</f>
        <v>Leaf</v>
      </c>
      <c r="C2069" s="26" t="s">
        <v>20</v>
      </c>
      <c r="D2069" s="24" t="str">
        <f>_xll.DBRW("TM1-S1_DEV:}ElementAttributes_SP_SKU",$F2069,D$1)</f>
        <v>Primary</v>
      </c>
      <c r="E2069" s="24" t="str">
        <f>_xll.DBRW("TM1-S1_DEV:}ElementAttributes_SP_SKU",$F2069,E$1)</f>
        <v>INGREDIENT</v>
      </c>
      <c r="F2069" s="26" t="s">
        <v>3190</v>
      </c>
      <c r="G2069" s="26" t="s">
        <v>1973</v>
      </c>
      <c r="H2069" s="26" t="s">
        <v>2696</v>
      </c>
      <c r="I2069" s="54">
        <f>_xll.DBRW($A$1,$F$14,$F$15,$C2069,$A$2,$F2069,$G2069,$H2069,I$1)</f>
        <v>7</v>
      </c>
      <c r="J2069" s="25">
        <f>_xll.DBRW($A$1,$F$14,$F$15,$C2069,$A$2,$F2069,$G2069,$H2069,J$19)</f>
        <v>9</v>
      </c>
    </row>
    <row r="2070" spans="1:10" s="23" customFormat="1" outlineLevel="1" thickBot="1" x14ac:dyDescent="0.3">
      <c r="A2070" s="44"/>
      <c r="B2070" s="31" t="str">
        <f>IF(_xll.TM1RPTELISCONSOLIDATED($H$20,$H2070),IF(_xll.TM1RPTELLEV($H$20,$H2070)&lt;=5,_xll.TM1RPTELLEV($H$20,$H2070),"Default"),"Leaf")</f>
        <v>Leaf</v>
      </c>
      <c r="C2070" s="26" t="s">
        <v>20</v>
      </c>
      <c r="D2070" s="24" t="str">
        <f>_xll.DBRW("TM1-S1_DEV:}ElementAttributes_SP_SKU",$F2070,D$1)</f>
        <v>Primary</v>
      </c>
      <c r="E2070" s="24" t="str">
        <f>_xll.DBRW("TM1-S1_DEV:}ElementAttributes_SP_SKU",$F2070,E$1)</f>
        <v>INGREDIENT</v>
      </c>
      <c r="F2070" s="26" t="s">
        <v>3191</v>
      </c>
      <c r="G2070" s="26" t="s">
        <v>1974</v>
      </c>
      <c r="H2070" s="26" t="s">
        <v>2697</v>
      </c>
      <c r="I2070" s="54">
        <f>_xll.DBRW($A$1,$F$14,$F$15,$C2070,$A$2,$F2070,$G2070,$H2070,I$1)</f>
        <v>36</v>
      </c>
      <c r="J2070" s="25">
        <f>_xll.DBRW($A$1,$F$14,$F$15,$C2070,$A$2,$F2070,$G2070,$H2070,J$19)</f>
        <v>35</v>
      </c>
    </row>
    <row r="2071" spans="1:10" s="23" customFormat="1" outlineLevel="1" thickBot="1" x14ac:dyDescent="0.3">
      <c r="A2071" s="44"/>
      <c r="B2071" s="31" t="str">
        <f>IF(_xll.TM1RPTELISCONSOLIDATED($H$20,$H2071),IF(_xll.TM1RPTELLEV($H$20,$H2071)&lt;=5,_xll.TM1RPTELLEV($H$20,$H2071),"Default"),"Leaf")</f>
        <v>Leaf</v>
      </c>
      <c r="C2071" s="26" t="s">
        <v>20</v>
      </c>
      <c r="D2071" s="24" t="str">
        <f>_xll.DBRW("TM1-S1_DEV:}ElementAttributes_SP_SKU",$F2071,D$1)</f>
        <v>Primary</v>
      </c>
      <c r="E2071" s="24" t="str">
        <f>_xll.DBRW("TM1-S1_DEV:}ElementAttributes_SP_SKU",$F2071,E$1)</f>
        <v>INGREDIENT</v>
      </c>
      <c r="F2071" s="26" t="s">
        <v>3192</v>
      </c>
      <c r="G2071" s="26" t="s">
        <v>1975</v>
      </c>
      <c r="H2071" s="26" t="s">
        <v>2698</v>
      </c>
      <c r="I2071" s="54">
        <f>_xll.DBRW($A$1,$F$14,$F$15,$C2071,$A$2,$F2071,$G2071,$H2071,I$1)</f>
        <v>4</v>
      </c>
      <c r="J2071" s="25">
        <f>_xll.DBRW($A$1,$F$14,$F$15,$C2071,$A$2,$F2071,$G2071,$H2071,J$19)</f>
        <v>4</v>
      </c>
    </row>
    <row r="2072" spans="1:10" s="23" customFormat="1" outlineLevel="1" thickBot="1" x14ac:dyDescent="0.3">
      <c r="A2072" s="44"/>
      <c r="B2072" s="31" t="str">
        <f>IF(_xll.TM1RPTELISCONSOLIDATED($H$20,$H2072),IF(_xll.TM1RPTELLEV($H$20,$H2072)&lt;=5,_xll.TM1RPTELLEV($H$20,$H2072),"Default"),"Leaf")</f>
        <v>Leaf</v>
      </c>
      <c r="C2072" s="26" t="s">
        <v>20</v>
      </c>
      <c r="D2072" s="24" t="str">
        <f>_xll.DBRW("TM1-S1_DEV:}ElementAttributes_SP_SKU",$F2072,D$1)</f>
        <v>Primary</v>
      </c>
      <c r="E2072" s="24" t="str">
        <f>_xll.DBRW("TM1-S1_DEV:}ElementAttributes_SP_SKU",$F2072,E$1)</f>
        <v>INGREDIENT</v>
      </c>
      <c r="F2072" s="26" t="s">
        <v>3193</v>
      </c>
      <c r="G2072" s="26" t="s">
        <v>1976</v>
      </c>
      <c r="H2072" s="26" t="s">
        <v>2699</v>
      </c>
      <c r="I2072" s="54">
        <f>_xll.DBRW($A$1,$F$14,$F$15,$C2072,$A$2,$F2072,$G2072,$H2072,I$1)</f>
        <v>2</v>
      </c>
      <c r="J2072" s="25">
        <f>_xll.DBRW($A$1,$F$14,$F$15,$C2072,$A$2,$F2072,$G2072,$H2072,J$19)</f>
        <v>2</v>
      </c>
    </row>
    <row r="2073" spans="1:10" s="23" customFormat="1" outlineLevel="1" thickBot="1" x14ac:dyDescent="0.3">
      <c r="A2073" s="44"/>
      <c r="B2073" s="31" t="str">
        <f>IF(_xll.TM1RPTELISCONSOLIDATED($H$20,$H2073),IF(_xll.TM1RPTELLEV($H$20,$H2073)&lt;=5,_xll.TM1RPTELLEV($H$20,$H2073),"Default"),"Leaf")</f>
        <v>Leaf</v>
      </c>
      <c r="C2073" s="26" t="s">
        <v>20</v>
      </c>
      <c r="D2073" s="24" t="str">
        <f>_xll.DBRW("TM1-S1_DEV:}ElementAttributes_SP_SKU",$F2073,D$1)</f>
        <v>Primary</v>
      </c>
      <c r="E2073" s="24" t="str">
        <f>_xll.DBRW("TM1-S1_DEV:}ElementAttributes_SP_SKU",$F2073,E$1)</f>
        <v>INGREDIENT</v>
      </c>
      <c r="F2073" s="26" t="s">
        <v>30</v>
      </c>
      <c r="G2073" s="26" t="s">
        <v>1977</v>
      </c>
      <c r="H2073" s="26" t="s">
        <v>2700</v>
      </c>
      <c r="I2073" s="54">
        <f>_xll.DBRW($A$1,$F$14,$F$15,$C2073,$A$2,$F2073,$G2073,$H2073,I$1)</f>
        <v>2</v>
      </c>
      <c r="J2073" s="25">
        <f>_xll.DBRW($A$1,$F$14,$F$15,$C2073,$A$2,$F2073,$G2073,$H2073,J$19)</f>
        <v>2</v>
      </c>
    </row>
    <row r="2074" spans="1:10" s="23" customFormat="1" outlineLevel="1" thickBot="1" x14ac:dyDescent="0.3">
      <c r="A2074" s="44"/>
      <c r="B2074" s="31" t="str">
        <f>IF(_xll.TM1RPTELISCONSOLIDATED($H$20,$H2074),IF(_xll.TM1RPTELLEV($H$20,$H2074)&lt;=5,_xll.TM1RPTELLEV($H$20,$H2074),"Default"),"Leaf")</f>
        <v>Leaf</v>
      </c>
      <c r="C2074" s="26" t="s">
        <v>20</v>
      </c>
      <c r="D2074" s="24" t="str">
        <f>_xll.DBRW("TM1-S1_DEV:}ElementAttributes_SP_SKU",$F2074,D$1)</f>
        <v>Primary</v>
      </c>
      <c r="E2074" s="24" t="str">
        <f>_xll.DBRW("TM1-S1_DEV:}ElementAttributes_SP_SKU",$F2074,E$1)</f>
        <v>INGREDIENT</v>
      </c>
      <c r="F2074" s="26" t="s">
        <v>3198</v>
      </c>
      <c r="G2074" s="26" t="s">
        <v>1978</v>
      </c>
      <c r="H2074" s="26" t="s">
        <v>2701</v>
      </c>
      <c r="I2074" s="54">
        <f>_xll.DBRW($A$1,$F$14,$F$15,$C2074,$A$2,$F2074,$G2074,$H2074,I$1)</f>
        <v>5</v>
      </c>
      <c r="J2074" s="25">
        <f>_xll.DBRW($A$1,$F$14,$F$15,$C2074,$A$2,$F2074,$G2074,$H2074,J$19)</f>
        <v>4</v>
      </c>
    </row>
    <row r="2075" spans="1:10" s="23" customFormat="1" outlineLevel="1" thickBot="1" x14ac:dyDescent="0.3">
      <c r="A2075" s="44"/>
      <c r="B2075" s="31" t="str">
        <f>IF(_xll.TM1RPTELISCONSOLIDATED($H$20,$H2075),IF(_xll.TM1RPTELLEV($H$20,$H2075)&lt;=5,_xll.TM1RPTELLEV($H$20,$H2075),"Default"),"Leaf")</f>
        <v>Leaf</v>
      </c>
      <c r="C2075" s="26" t="s">
        <v>20</v>
      </c>
      <c r="D2075" s="24" t="str">
        <f>_xll.DBRW("TM1-S1_DEV:}ElementAttributes_SP_SKU",$F2075,D$1)</f>
        <v>Primary</v>
      </c>
      <c r="E2075" s="24" t="str">
        <f>_xll.DBRW("TM1-S1_DEV:}ElementAttributes_SP_SKU",$F2075,E$1)</f>
        <v>TRAY</v>
      </c>
      <c r="F2075" s="26" t="s">
        <v>3200</v>
      </c>
      <c r="G2075" s="26" t="s">
        <v>1979</v>
      </c>
      <c r="H2075" s="26" t="s">
        <v>2703</v>
      </c>
      <c r="I2075" s="54">
        <f>_xll.DBRW($A$1,$F$14,$F$15,$C2075,$A$2,$F2075,$G2075,$H2075,I$1)</f>
        <v>2</v>
      </c>
      <c r="J2075" s="25">
        <f>_xll.DBRW($A$1,$F$14,$F$15,$C2075,$A$2,$F2075,$G2075,$H2075,J$19)</f>
        <v>2</v>
      </c>
    </row>
    <row r="2076" spans="1:10" s="23" customFormat="1" outlineLevel="1" thickBot="1" x14ac:dyDescent="0.3">
      <c r="A2076" s="44"/>
      <c r="B2076" s="31" t="str">
        <f>IF(_xll.TM1RPTELISCONSOLIDATED($H$20,$H2076),IF(_xll.TM1RPTELLEV($H$20,$H2076)&lt;=5,_xll.TM1RPTELLEV($H$20,$H2076),"Default"),"Leaf")</f>
        <v>Leaf</v>
      </c>
      <c r="C2076" s="26" t="s">
        <v>20</v>
      </c>
      <c r="D2076" s="24" t="str">
        <f>_xll.DBRW("TM1-S1_DEV:}ElementAttributes_SP_SKU",$F2076,D$1)</f>
        <v>Primary</v>
      </c>
      <c r="E2076" s="24" t="str">
        <f>_xll.DBRW("TM1-S1_DEV:}ElementAttributes_SP_SKU",$F2076,E$1)</f>
        <v>TRAY</v>
      </c>
      <c r="F2076" s="26" t="s">
        <v>3201</v>
      </c>
      <c r="G2076" s="26" t="s">
        <v>1980</v>
      </c>
      <c r="H2076" s="26" t="s">
        <v>2703</v>
      </c>
      <c r="I2076" s="54">
        <f>_xll.DBRW($A$1,$F$14,$F$15,$C2076,$A$2,$F2076,$G2076,$H2076,I$1)</f>
        <v>2</v>
      </c>
      <c r="J2076" s="25">
        <f>_xll.DBRW($A$1,$F$14,$F$15,$C2076,$A$2,$F2076,$G2076,$H2076,J$19)</f>
        <v>2</v>
      </c>
    </row>
    <row r="2077" spans="1:10" s="23" customFormat="1" outlineLevel="1" thickBot="1" x14ac:dyDescent="0.3">
      <c r="A2077" s="44"/>
      <c r="B2077" s="31" t="str">
        <f>IF(_xll.TM1RPTELISCONSOLIDATED($H$20,$H2077),IF(_xll.TM1RPTELLEV($H$20,$H2077)&lt;=5,_xll.TM1RPTELLEV($H$20,$H2077),"Default"),"Leaf")</f>
        <v>Leaf</v>
      </c>
      <c r="C2077" s="26" t="s">
        <v>20</v>
      </c>
      <c r="D2077" s="24" t="str">
        <f>_xll.DBRW("TM1-S1_DEV:}ElementAttributes_SP_SKU",$F2077,D$1)</f>
        <v>Primary</v>
      </c>
      <c r="E2077" s="24" t="str">
        <f>_xll.DBRW("TM1-S1_DEV:}ElementAttributes_SP_SKU",$F2077,E$1)</f>
        <v>TRAY</v>
      </c>
      <c r="F2077" s="26" t="s">
        <v>3202</v>
      </c>
      <c r="G2077" s="26" t="s">
        <v>1981</v>
      </c>
      <c r="H2077" s="26" t="s">
        <v>2703</v>
      </c>
      <c r="I2077" s="54">
        <f>_xll.DBRW($A$1,$F$14,$F$15,$C2077,$A$2,$F2077,$G2077,$H2077,I$1)</f>
        <v>2</v>
      </c>
      <c r="J2077" s="25">
        <f>_xll.DBRW($A$1,$F$14,$F$15,$C2077,$A$2,$F2077,$G2077,$H2077,J$19)</f>
        <v>2</v>
      </c>
    </row>
    <row r="2078" spans="1:10" s="23" customFormat="1" outlineLevel="1" thickBot="1" x14ac:dyDescent="0.3">
      <c r="A2078" s="44"/>
      <c r="B2078" s="31" t="str">
        <f>IF(_xll.TM1RPTELISCONSOLIDATED($H$20,$H2078),IF(_xll.TM1RPTELLEV($H$20,$H2078)&lt;=5,_xll.TM1RPTELLEV($H$20,$H2078),"Default"),"Leaf")</f>
        <v>Leaf</v>
      </c>
      <c r="C2078" s="26" t="s">
        <v>20</v>
      </c>
      <c r="D2078" s="24" t="str">
        <f>_xll.DBRW("TM1-S1_DEV:}ElementAttributes_SP_SKU",$F2078,D$1)</f>
        <v>Primary</v>
      </c>
      <c r="E2078" s="24" t="str">
        <f>_xll.DBRW("TM1-S1_DEV:}ElementAttributes_SP_SKU",$F2078,E$1)</f>
        <v>TRAY</v>
      </c>
      <c r="F2078" s="26" t="s">
        <v>3203</v>
      </c>
      <c r="G2078" s="26" t="s">
        <v>1982</v>
      </c>
      <c r="H2078" s="26" t="s">
        <v>2703</v>
      </c>
      <c r="I2078" s="54">
        <f>_xll.DBRW($A$1,$F$14,$F$15,$C2078,$A$2,$F2078,$G2078,$H2078,I$1)</f>
        <v>4</v>
      </c>
      <c r="J2078" s="25">
        <f>_xll.DBRW($A$1,$F$14,$F$15,$C2078,$A$2,$F2078,$G2078,$H2078,J$19)</f>
        <v>3</v>
      </c>
    </row>
    <row r="2079" spans="1:10" s="23" customFormat="1" outlineLevel="1" thickBot="1" x14ac:dyDescent="0.3">
      <c r="A2079" s="44"/>
      <c r="B2079" s="31" t="str">
        <f>IF(_xll.TM1RPTELISCONSOLIDATED($H$20,$H2079),IF(_xll.TM1RPTELLEV($H$20,$H2079)&lt;=5,_xll.TM1RPTELLEV($H$20,$H2079),"Default"),"Leaf")</f>
        <v>Leaf</v>
      </c>
      <c r="C2079" s="26" t="s">
        <v>20</v>
      </c>
      <c r="D2079" s="24" t="str">
        <f>_xll.DBRW("TM1-S1_DEV:}ElementAttributes_SP_SKU",$F2079,D$1)</f>
        <v>Primary</v>
      </c>
      <c r="E2079" s="24" t="str">
        <f>_xll.DBRW("TM1-S1_DEV:}ElementAttributes_SP_SKU",$F2079,E$1)</f>
        <v>FOIL</v>
      </c>
      <c r="F2079" s="26" t="s">
        <v>3204</v>
      </c>
      <c r="G2079" s="26" t="s">
        <v>1983</v>
      </c>
      <c r="H2079" s="26" t="s">
        <v>2704</v>
      </c>
      <c r="I2079" s="54">
        <f>_xll.DBRW($A$1,$F$14,$F$15,$C2079,$A$2,$F2079,$G2079,$H2079,I$1)</f>
        <v>7</v>
      </c>
      <c r="J2079" s="25">
        <f>_xll.DBRW($A$1,$F$14,$F$15,$C2079,$A$2,$F2079,$G2079,$H2079,J$19)</f>
        <v>2</v>
      </c>
    </row>
    <row r="2080" spans="1:10" s="23" customFormat="1" outlineLevel="1" thickBot="1" x14ac:dyDescent="0.3">
      <c r="A2080" s="44"/>
      <c r="B2080" s="31" t="str">
        <f>IF(_xll.TM1RPTELISCONSOLIDATED($H$20,$H2080),IF(_xll.TM1RPTELLEV($H$20,$H2080)&lt;=5,_xll.TM1RPTELLEV($H$20,$H2080),"Default"),"Leaf")</f>
        <v>Leaf</v>
      </c>
      <c r="C2080" s="26" t="s">
        <v>20</v>
      </c>
      <c r="D2080" s="24" t="str">
        <f>_xll.DBRW("TM1-S1_DEV:}ElementAttributes_SP_SKU",$F2080,D$1)</f>
        <v>Primary</v>
      </c>
      <c r="E2080" s="24" t="str">
        <f>_xll.DBRW("TM1-S1_DEV:}ElementAttributes_SP_SKU",$F2080,E$1)</f>
        <v>BAG</v>
      </c>
      <c r="F2080" s="26" t="s">
        <v>3205</v>
      </c>
      <c r="G2080" s="26" t="s">
        <v>1984</v>
      </c>
      <c r="H2080" s="26" t="s">
        <v>2705</v>
      </c>
      <c r="I2080" s="54">
        <f>_xll.DBRW($A$1,$F$14,$F$15,$C2080,$A$2,$F2080,$G2080,$H2080,I$1)</f>
        <v>5</v>
      </c>
      <c r="J2080" s="25">
        <f>_xll.DBRW($A$1,$F$14,$F$15,$C2080,$A$2,$F2080,$G2080,$H2080,J$19)</f>
        <v>5</v>
      </c>
    </row>
    <row r="2081" spans="1:10" s="23" customFormat="1" outlineLevel="1" thickBot="1" x14ac:dyDescent="0.3">
      <c r="A2081" s="44"/>
      <c r="B2081" s="31" t="str">
        <f>IF(_xll.TM1RPTELISCONSOLIDATED($H$20,$H2081),IF(_xll.TM1RPTELLEV($H$20,$H2081)&lt;=5,_xll.TM1RPTELLEV($H$20,$H2081),"Default"),"Leaf")</f>
        <v>Leaf</v>
      </c>
      <c r="C2081" s="26" t="s">
        <v>20</v>
      </c>
      <c r="D2081" s="24" t="str">
        <f>_xll.DBRW("TM1-S1_DEV:}ElementAttributes_SP_SKU",$F2081,D$1)</f>
        <v>Primary</v>
      </c>
      <c r="E2081" s="24" t="str">
        <f>_xll.DBRW("TM1-S1_DEV:}ElementAttributes_SP_SKU",$F2081,E$1)</f>
        <v>FOIL</v>
      </c>
      <c r="F2081" s="26" t="s">
        <v>3206</v>
      </c>
      <c r="G2081" s="26" t="s">
        <v>1668</v>
      </c>
      <c r="H2081" s="26" t="s">
        <v>2704</v>
      </c>
      <c r="I2081" s="54">
        <f>_xll.DBRW($A$1,$F$14,$F$15,$C2081,$A$2,$F2081,$G2081,$H2081,I$1)</f>
        <v>7</v>
      </c>
      <c r="J2081" s="25">
        <f>_xll.DBRW($A$1,$F$14,$F$15,$C2081,$A$2,$F2081,$G2081,$H2081,J$19)</f>
        <v>6</v>
      </c>
    </row>
    <row r="2082" spans="1:10" s="23" customFormat="1" outlineLevel="1" thickBot="1" x14ac:dyDescent="0.3">
      <c r="A2082" s="44"/>
      <c r="B2082" s="31" t="str">
        <f>IF(_xll.TM1RPTELISCONSOLIDATED($H$20,$H2082),IF(_xll.TM1RPTELLEV($H$20,$H2082)&lt;=5,_xll.TM1RPTELLEV($H$20,$H2082),"Default"),"Leaf")</f>
        <v>Leaf</v>
      </c>
      <c r="C2082" s="26" t="s">
        <v>20</v>
      </c>
      <c r="D2082" s="24" t="str">
        <f>_xll.DBRW("TM1-S1_DEV:}ElementAttributes_SP_SKU",$F2082,D$1)</f>
        <v>Primary</v>
      </c>
      <c r="E2082" s="24" t="str">
        <f>_xll.DBRW("TM1-S1_DEV:}ElementAttributes_SP_SKU",$F2082,E$1)</f>
        <v>BAG</v>
      </c>
      <c r="F2082" s="26" t="s">
        <v>3208</v>
      </c>
      <c r="G2082" s="26" t="s">
        <v>1985</v>
      </c>
      <c r="H2082" s="26" t="s">
        <v>2705</v>
      </c>
      <c r="I2082" s="54">
        <f>_xll.DBRW($A$1,$F$14,$F$15,$C2082,$A$2,$F2082,$G2082,$H2082,I$1)</f>
        <v>5</v>
      </c>
      <c r="J2082" s="25">
        <f>_xll.DBRW($A$1,$F$14,$F$15,$C2082,$A$2,$F2082,$G2082,$H2082,J$19)</f>
        <v>5</v>
      </c>
    </row>
    <row r="2083" spans="1:10" s="23" customFormat="1" outlineLevel="1" thickBot="1" x14ac:dyDescent="0.3">
      <c r="A2083" s="44"/>
      <c r="B2083" s="31" t="str">
        <f>IF(_xll.TM1RPTELISCONSOLIDATED($H$20,$H2083),IF(_xll.TM1RPTELLEV($H$20,$H2083)&lt;=5,_xll.TM1RPTELLEV($H$20,$H2083),"Default"),"Leaf")</f>
        <v>Leaf</v>
      </c>
      <c r="C2083" s="26" t="s">
        <v>20</v>
      </c>
      <c r="D2083" s="24" t="str">
        <f>_xll.DBRW("TM1-S1_DEV:}ElementAttributes_SP_SKU",$F2083,D$1)</f>
        <v>Primary</v>
      </c>
      <c r="E2083" s="24" t="str">
        <f>_xll.DBRW("TM1-S1_DEV:}ElementAttributes_SP_SKU",$F2083,E$1)</f>
        <v>BAG</v>
      </c>
      <c r="F2083" s="26" t="s">
        <v>3209</v>
      </c>
      <c r="G2083" s="26" t="s">
        <v>1986</v>
      </c>
      <c r="H2083" s="26" t="s">
        <v>2705</v>
      </c>
      <c r="I2083" s="54">
        <f>_xll.DBRW($A$1,$F$14,$F$15,$C2083,$A$2,$F2083,$G2083,$H2083,I$1)</f>
        <v>22</v>
      </c>
      <c r="J2083" s="25">
        <f>_xll.DBRW($A$1,$F$14,$F$15,$C2083,$A$2,$F2083,$G2083,$H2083,J$19)</f>
        <v>19</v>
      </c>
    </row>
    <row r="2084" spans="1:10" s="23" customFormat="1" outlineLevel="1" thickBot="1" x14ac:dyDescent="0.3">
      <c r="A2084" s="44"/>
      <c r="B2084" s="31" t="str">
        <f>IF(_xll.TM1RPTELISCONSOLIDATED($H$20,$H2084),IF(_xll.TM1RPTELLEV($H$20,$H2084)&lt;=5,_xll.TM1RPTELLEV($H$20,$H2084),"Default"),"Leaf")</f>
        <v>Leaf</v>
      </c>
      <c r="C2084" s="26" t="s">
        <v>20</v>
      </c>
      <c r="D2084" s="24" t="str">
        <f>_xll.DBRW("TM1-S1_DEV:}ElementAttributes_SP_SKU",$F2084,D$1)</f>
        <v>Primary</v>
      </c>
      <c r="E2084" s="24" t="str">
        <f>_xll.DBRW("TM1-S1_DEV:}ElementAttributes_SP_SKU",$F2084,E$1)</f>
        <v>BAG</v>
      </c>
      <c r="F2084" s="26" t="s">
        <v>3210</v>
      </c>
      <c r="G2084" s="26" t="s">
        <v>1987</v>
      </c>
      <c r="H2084" s="26" t="s">
        <v>2705</v>
      </c>
      <c r="I2084" s="54">
        <f>_xll.DBRW($A$1,$F$14,$F$15,$C2084,$A$2,$F2084,$G2084,$H2084,I$1)</f>
        <v>2</v>
      </c>
      <c r="J2084" s="25">
        <f>_xll.DBRW($A$1,$F$14,$F$15,$C2084,$A$2,$F2084,$G2084,$H2084,J$19)</f>
        <v>1</v>
      </c>
    </row>
    <row r="2085" spans="1:10" s="23" customFormat="1" outlineLevel="1" thickBot="1" x14ac:dyDescent="0.3">
      <c r="A2085" s="44"/>
      <c r="B2085" s="31" t="str">
        <f>IF(_xll.TM1RPTELISCONSOLIDATED($H$20,$H2085),IF(_xll.TM1RPTELLEV($H$20,$H2085)&lt;=5,_xll.TM1RPTELLEV($H$20,$H2085),"Default"),"Leaf")</f>
        <v>Leaf</v>
      </c>
      <c r="C2085" s="26" t="s">
        <v>20</v>
      </c>
      <c r="D2085" s="24" t="str">
        <f>_xll.DBRW("TM1-S1_DEV:}ElementAttributes_SP_SKU",$F2085,D$1)</f>
        <v>Primary</v>
      </c>
      <c r="E2085" s="24" t="str">
        <f>_xll.DBRW("TM1-S1_DEV:}ElementAttributes_SP_SKU",$F2085,E$1)</f>
        <v>BOX</v>
      </c>
      <c r="F2085" s="26" t="s">
        <v>3211</v>
      </c>
      <c r="G2085" s="26" t="s">
        <v>1988</v>
      </c>
      <c r="H2085" s="26" t="s">
        <v>2706</v>
      </c>
      <c r="I2085" s="54">
        <f>_xll.DBRW($A$1,$F$14,$F$15,$C2085,$A$2,$F2085,$G2085,$H2085,I$1)</f>
        <v>0</v>
      </c>
      <c r="J2085" s="25">
        <f>_xll.DBRW($A$1,$F$14,$F$15,$C2085,$A$2,$F2085,$G2085,$H2085,J$19)</f>
        <v>-2</v>
      </c>
    </row>
    <row r="2086" spans="1:10" s="23" customFormat="1" outlineLevel="1" thickBot="1" x14ac:dyDescent="0.3">
      <c r="A2086" s="44"/>
      <c r="B2086" s="31" t="str">
        <f>IF(_xll.TM1RPTELISCONSOLIDATED($H$20,$H2086),IF(_xll.TM1RPTELLEV($H$20,$H2086)&lt;=5,_xll.TM1RPTELLEV($H$20,$H2086),"Default"),"Leaf")</f>
        <v>Leaf</v>
      </c>
      <c r="C2086" s="26" t="s">
        <v>20</v>
      </c>
      <c r="D2086" s="24" t="str">
        <f>_xll.DBRW("TM1-S1_DEV:}ElementAttributes_SP_SKU",$F2086,D$1)</f>
        <v>Primary</v>
      </c>
      <c r="E2086" s="24" t="str">
        <f>_xll.DBRW("TM1-S1_DEV:}ElementAttributes_SP_SKU",$F2086,E$1)</f>
        <v>FOIL</v>
      </c>
      <c r="F2086" s="26" t="s">
        <v>3212</v>
      </c>
      <c r="G2086" s="26" t="s">
        <v>1989</v>
      </c>
      <c r="H2086" s="26" t="s">
        <v>2704</v>
      </c>
      <c r="I2086" s="54">
        <f>_xll.DBRW($A$1,$F$14,$F$15,$C2086,$A$2,$F2086,$G2086,$H2086,I$1)</f>
        <v>4</v>
      </c>
      <c r="J2086" s="25">
        <f>_xll.DBRW($A$1,$F$14,$F$15,$C2086,$A$2,$F2086,$G2086,$H2086,J$19)</f>
        <v>4</v>
      </c>
    </row>
    <row r="2087" spans="1:10" s="23" customFormat="1" outlineLevel="1" thickBot="1" x14ac:dyDescent="0.3">
      <c r="A2087" s="44"/>
      <c r="B2087" s="31" t="str">
        <f>IF(_xll.TM1RPTELISCONSOLIDATED($H$20,$H2087),IF(_xll.TM1RPTELLEV($H$20,$H2087)&lt;=5,_xll.TM1RPTELLEV($H$20,$H2087),"Default"),"Leaf")</f>
        <v>Leaf</v>
      </c>
      <c r="C2087" s="26" t="s">
        <v>20</v>
      </c>
      <c r="D2087" s="24" t="str">
        <f>_xll.DBRW("TM1-S1_DEV:}ElementAttributes_SP_SKU",$F2087,D$1)</f>
        <v>Primary</v>
      </c>
      <c r="E2087" s="24" t="str">
        <f>_xll.DBRW("TM1-S1_DEV:}ElementAttributes_SP_SKU",$F2087,E$1)</f>
        <v>TRAY</v>
      </c>
      <c r="F2087" s="26" t="s">
        <v>3213</v>
      </c>
      <c r="G2087" s="26" t="s">
        <v>1990</v>
      </c>
      <c r="H2087" s="26" t="s">
        <v>2703</v>
      </c>
      <c r="I2087" s="54">
        <f>_xll.DBRW($A$1,$F$14,$F$15,$C2087,$A$2,$F2087,$G2087,$H2087,I$1)</f>
        <v>4</v>
      </c>
      <c r="J2087" s="25">
        <f>_xll.DBRW($A$1,$F$14,$F$15,$C2087,$A$2,$F2087,$G2087,$H2087,J$19)</f>
        <v>3</v>
      </c>
    </row>
    <row r="2088" spans="1:10" s="23" customFormat="1" outlineLevel="1" thickBot="1" x14ac:dyDescent="0.3">
      <c r="A2088" s="44"/>
      <c r="B2088" s="31" t="str">
        <f>IF(_xll.TM1RPTELISCONSOLIDATED($H$20,$H2088),IF(_xll.TM1RPTELLEV($H$20,$H2088)&lt;=5,_xll.TM1RPTELLEV($H$20,$H2088),"Default"),"Leaf")</f>
        <v>Leaf</v>
      </c>
      <c r="C2088" s="26" t="s">
        <v>20</v>
      </c>
      <c r="D2088" s="24" t="str">
        <f>_xll.DBRW("TM1-S1_DEV:}ElementAttributes_SP_SKU",$F2088,D$1)</f>
        <v>Primary</v>
      </c>
      <c r="E2088" s="24" t="str">
        <f>_xll.DBRW("TM1-S1_DEV:}ElementAttributes_SP_SKU",$F2088,E$1)</f>
        <v>TRAY</v>
      </c>
      <c r="F2088" s="26" t="s">
        <v>3214</v>
      </c>
      <c r="G2088" s="26" t="s">
        <v>1991</v>
      </c>
      <c r="H2088" s="26" t="s">
        <v>2703</v>
      </c>
      <c r="I2088" s="54">
        <f>_xll.DBRW($A$1,$F$14,$F$15,$C2088,$A$2,$F2088,$G2088,$H2088,I$1)</f>
        <v>3</v>
      </c>
      <c r="J2088" s="25">
        <f>_xll.DBRW($A$1,$F$14,$F$15,$C2088,$A$2,$F2088,$G2088,$H2088,J$19)</f>
        <v>2</v>
      </c>
    </row>
    <row r="2089" spans="1:10" s="23" customFormat="1" outlineLevel="1" thickBot="1" x14ac:dyDescent="0.3">
      <c r="A2089" s="44"/>
      <c r="B2089" s="31" t="str">
        <f>IF(_xll.TM1RPTELISCONSOLIDATED($H$20,$H2089),IF(_xll.TM1RPTELLEV($H$20,$H2089)&lt;=5,_xll.TM1RPTELLEV($H$20,$H2089),"Default"),"Leaf")</f>
        <v>Leaf</v>
      </c>
      <c r="C2089" s="26" t="s">
        <v>20</v>
      </c>
      <c r="D2089" s="24" t="str">
        <f>_xll.DBRW("TM1-S1_DEV:}ElementAttributes_SP_SKU",$F2089,D$1)</f>
        <v>Primary</v>
      </c>
      <c r="E2089" s="24" t="str">
        <f>_xll.DBRW("TM1-S1_DEV:}ElementAttributes_SP_SKU",$F2089,E$1)</f>
        <v>BOWL</v>
      </c>
      <c r="F2089" s="26" t="s">
        <v>3215</v>
      </c>
      <c r="G2089" s="26" t="s">
        <v>1992</v>
      </c>
      <c r="H2089" s="26" t="s">
        <v>2703</v>
      </c>
      <c r="I2089" s="54">
        <f>_xll.DBRW($A$1,$F$14,$F$15,$C2089,$A$2,$F2089,$G2089,$H2089,I$1)</f>
        <v>4</v>
      </c>
      <c r="J2089" s="25">
        <f>_xll.DBRW($A$1,$F$14,$F$15,$C2089,$A$2,$F2089,$G2089,$H2089,J$19)</f>
        <v>4</v>
      </c>
    </row>
    <row r="2090" spans="1:10" s="23" customFormat="1" outlineLevel="1" thickBot="1" x14ac:dyDescent="0.3">
      <c r="A2090" s="44"/>
      <c r="B2090" s="31" t="str">
        <f>IF(_xll.TM1RPTELISCONSOLIDATED($H$20,$H2090),IF(_xll.TM1RPTELLEV($H$20,$H2090)&lt;=5,_xll.TM1RPTELLEV($H$20,$H2090),"Default"),"Leaf")</f>
        <v>Leaf</v>
      </c>
      <c r="C2090" s="26" t="s">
        <v>20</v>
      </c>
      <c r="D2090" s="24" t="str">
        <f>_xll.DBRW("TM1-S1_DEV:}ElementAttributes_SP_SKU",$F2090,D$1)</f>
        <v>Primary</v>
      </c>
      <c r="E2090" s="24" t="str">
        <f>_xll.DBRW("TM1-S1_DEV:}ElementAttributes_SP_SKU",$F2090,E$1)</f>
        <v>BOWL</v>
      </c>
      <c r="F2090" s="26" t="s">
        <v>3216</v>
      </c>
      <c r="G2090" s="26" t="s">
        <v>1993</v>
      </c>
      <c r="H2090" s="26" t="s">
        <v>2703</v>
      </c>
      <c r="I2090" s="54">
        <f>_xll.DBRW($A$1,$F$14,$F$15,$C2090,$A$2,$F2090,$G2090,$H2090,I$1)</f>
        <v>2</v>
      </c>
      <c r="J2090" s="25">
        <f>_xll.DBRW($A$1,$F$14,$F$15,$C2090,$A$2,$F2090,$G2090,$H2090,J$19)</f>
        <v>2</v>
      </c>
    </row>
    <row r="2091" spans="1:10" s="23" customFormat="1" outlineLevel="1" thickBot="1" x14ac:dyDescent="0.3">
      <c r="A2091" s="44"/>
      <c r="B2091" s="31" t="str">
        <f>IF(_xll.TM1RPTELISCONSOLIDATED($H$20,$H2091),IF(_xll.TM1RPTELLEV($H$20,$H2091)&lt;=5,_xll.TM1RPTELLEV($H$20,$H2091),"Default"),"Leaf")</f>
        <v>Leaf</v>
      </c>
      <c r="C2091" s="26" t="s">
        <v>20</v>
      </c>
      <c r="D2091" s="24" t="str">
        <f>_xll.DBRW("TM1-S1_DEV:}ElementAttributes_SP_SKU",$F2091,D$1)</f>
        <v>Primary</v>
      </c>
      <c r="E2091" s="24" t="str">
        <f>_xll.DBRW("TM1-S1_DEV:}ElementAttributes_SP_SKU",$F2091,E$1)</f>
        <v>UTENSIL</v>
      </c>
      <c r="F2091" s="26" t="s">
        <v>3217</v>
      </c>
      <c r="G2091" s="26" t="s">
        <v>1994</v>
      </c>
      <c r="H2091" s="26" t="s">
        <v>2703</v>
      </c>
      <c r="I2091" s="54">
        <f>_xll.DBRW($A$1,$F$14,$F$15,$C2091,$A$2,$F2091,$G2091,$H2091,I$1)</f>
        <v>5</v>
      </c>
      <c r="J2091" s="25">
        <f>_xll.DBRW($A$1,$F$14,$F$15,$C2091,$A$2,$F2091,$G2091,$H2091,J$19)</f>
        <v>5</v>
      </c>
    </row>
    <row r="2092" spans="1:10" s="23" customFormat="1" outlineLevel="1" thickBot="1" x14ac:dyDescent="0.3">
      <c r="A2092" s="44"/>
      <c r="B2092" s="31" t="str">
        <f>IF(_xll.TM1RPTELISCONSOLIDATED($H$20,$H2092),IF(_xll.TM1RPTELLEV($H$20,$H2092)&lt;=5,_xll.TM1RPTELLEV($H$20,$H2092),"Default"),"Leaf")</f>
        <v>Leaf</v>
      </c>
      <c r="C2092" s="26" t="s">
        <v>20</v>
      </c>
      <c r="D2092" s="24" t="str">
        <f>_xll.DBRW("TM1-S1_DEV:}ElementAttributes_SP_SKU",$F2092,D$1)</f>
        <v>Primary</v>
      </c>
      <c r="E2092" s="24" t="str">
        <f>_xll.DBRW("TM1-S1_DEV:}ElementAttributes_SP_SKU",$F2092,E$1)</f>
        <v>BOX</v>
      </c>
      <c r="F2092" s="26" t="s">
        <v>3221</v>
      </c>
      <c r="G2092" s="26" t="s">
        <v>3328</v>
      </c>
      <c r="H2092" s="26" t="s">
        <v>2702</v>
      </c>
      <c r="I2092" s="54">
        <f>_xll.DBRW($A$1,$F$14,$F$15,$C2092,$A$2,$F2092,$G2092,$H2092,I$1)</f>
        <v>0</v>
      </c>
      <c r="J2092" s="25">
        <f>_xll.DBRW($A$1,$F$14,$F$15,$C2092,$A$2,$F2092,$G2092,$H2092,J$19)</f>
        <v>1</v>
      </c>
    </row>
    <row r="2093" spans="1:10" s="23" customFormat="1" outlineLevel="1" thickBot="1" x14ac:dyDescent="0.3">
      <c r="A2093" s="44"/>
      <c r="B2093" s="31" t="str">
        <f>IF(_xll.TM1RPTELISCONSOLIDATED($H$20,$H2093),IF(_xll.TM1RPTELLEV($H$20,$H2093)&lt;=5,_xll.TM1RPTELLEV($H$20,$H2093),"Default"),"Leaf")</f>
        <v>Leaf</v>
      </c>
      <c r="C2093" s="26" t="s">
        <v>20</v>
      </c>
      <c r="D2093" s="24" t="str">
        <f>_xll.DBRW("TM1-S1_DEV:}ElementAttributes_SP_SKU",$F2093,D$1)</f>
        <v>Primary</v>
      </c>
      <c r="E2093" s="24" t="str">
        <f>_xll.DBRW("TM1-S1_DEV:}ElementAttributes_SP_SKU",$F2093,E$1)</f>
        <v>BAG</v>
      </c>
      <c r="F2093" s="26" t="s">
        <v>3224</v>
      </c>
      <c r="G2093" s="26" t="s">
        <v>1995</v>
      </c>
      <c r="H2093" s="26" t="s">
        <v>2705</v>
      </c>
      <c r="I2093" s="54">
        <f>_xll.DBRW($A$1,$F$14,$F$15,$C2093,$A$2,$F2093,$G2093,$H2093,I$1)</f>
        <v>2</v>
      </c>
      <c r="J2093" s="25">
        <f>_xll.DBRW($A$1,$F$14,$F$15,$C2093,$A$2,$F2093,$G2093,$H2093,J$19)</f>
        <v>2</v>
      </c>
    </row>
    <row r="2094" spans="1:10" s="23" customFormat="1" outlineLevel="1" thickBot="1" x14ac:dyDescent="0.3">
      <c r="A2094" s="44"/>
      <c r="B2094" s="31" t="str">
        <f>IF(_xll.TM1RPTELISCONSOLIDATED($H$20,$H2094),IF(_xll.TM1RPTELLEV($H$20,$H2094)&lt;=5,_xll.TM1RPTELLEV($H$20,$H2094),"Default"),"Leaf")</f>
        <v>Leaf</v>
      </c>
      <c r="C2094" s="26" t="s">
        <v>20</v>
      </c>
      <c r="D2094" s="24" t="str">
        <f>_xll.DBRW("TM1-S1_DEV:}ElementAttributes_SP_SKU",$F2094,D$1)</f>
        <v>Primary</v>
      </c>
      <c r="E2094" s="24" t="str">
        <f>_xll.DBRW("TM1-S1_DEV:}ElementAttributes_SP_SKU",$F2094,E$1)</f>
        <v>CUP</v>
      </c>
      <c r="F2094" s="26" t="s">
        <v>3225</v>
      </c>
      <c r="G2094" s="26" t="s">
        <v>1996</v>
      </c>
      <c r="H2094" s="26" t="s">
        <v>2707</v>
      </c>
      <c r="I2094" s="54">
        <f>_xll.DBRW($A$1,$F$14,$F$15,$C2094,$A$2,$F2094,$G2094,$H2094,I$1)</f>
        <v>3</v>
      </c>
      <c r="J2094" s="25">
        <f>_xll.DBRW($A$1,$F$14,$F$15,$C2094,$A$2,$F2094,$G2094,$H2094,J$19)</f>
        <v>3</v>
      </c>
    </row>
    <row r="2095" spans="1:10" s="23" customFormat="1" outlineLevel="1" thickBot="1" x14ac:dyDescent="0.3">
      <c r="A2095" s="44"/>
      <c r="B2095" s="31" t="str">
        <f>IF(_xll.TM1RPTELISCONSOLIDATED($H$20,$H2095),IF(_xll.TM1RPTELLEV($H$20,$H2095)&lt;=5,_xll.TM1RPTELLEV($H$20,$H2095),"Default"),"Leaf")</f>
        <v>Leaf</v>
      </c>
      <c r="C2095" s="26" t="s">
        <v>20</v>
      </c>
      <c r="D2095" s="24" t="str">
        <f>_xll.DBRW("TM1-S1_DEV:}ElementAttributes_SP_SKU",$F2095,D$1)</f>
        <v>Primary</v>
      </c>
      <c r="E2095" s="24" t="str">
        <f>_xll.DBRW("TM1-S1_DEV:}ElementAttributes_SP_SKU",$F2095,E$1)</f>
        <v>PROTEIN</v>
      </c>
      <c r="F2095" s="26" t="s">
        <v>3227</v>
      </c>
      <c r="G2095" s="26" t="s">
        <v>1997</v>
      </c>
      <c r="H2095" s="26" t="s">
        <v>2673</v>
      </c>
      <c r="I2095" s="54">
        <f>_xll.DBRW($A$1,$F$14,$F$15,$C2095,$A$2,$F2095,$G2095,$H2095,I$1)</f>
        <v>11</v>
      </c>
      <c r="J2095" s="25">
        <f>_xll.DBRW($A$1,$F$14,$F$15,$C2095,$A$2,$F2095,$G2095,$H2095,J$19)</f>
        <v>7</v>
      </c>
    </row>
    <row r="2096" spans="1:10" s="23" customFormat="1" outlineLevel="1" thickBot="1" x14ac:dyDescent="0.3">
      <c r="A2096" s="44"/>
      <c r="B2096" s="31" t="str">
        <f>IF(_xll.TM1RPTELISCONSOLIDATED($H$20,$H2096),IF(_xll.TM1RPTELLEV($H$20,$H2096)&lt;=5,_xll.TM1RPTELLEV($H$20,$H2096),"Default"),"Leaf")</f>
        <v>Leaf</v>
      </c>
      <c r="C2096" s="26" t="s">
        <v>20</v>
      </c>
      <c r="D2096" s="24" t="str">
        <f>_xll.DBRW("TM1-S1_DEV:}ElementAttributes_SP_SKU",$F2096,D$1)</f>
        <v>Primary</v>
      </c>
      <c r="E2096" s="24" t="str">
        <f>_xll.DBRW("TM1-S1_DEV:}ElementAttributes_SP_SKU",$F2096,E$1)</f>
        <v>GLOVES</v>
      </c>
      <c r="F2096" s="26" t="s">
        <v>3276</v>
      </c>
      <c r="G2096" s="26" t="s">
        <v>1998</v>
      </c>
      <c r="H2096" s="26" t="s">
        <v>2712</v>
      </c>
      <c r="I2096" s="54">
        <f>_xll.DBRW($A$1,$F$14,$F$15,$C2096,$A$2,$F2096,$G2096,$H2096,I$1)</f>
        <v>296</v>
      </c>
      <c r="J2096" s="25">
        <f>_xll.DBRW($A$1,$F$14,$F$15,$C2096,$A$2,$F2096,$G2096,$H2096,J$19)</f>
        <v>440</v>
      </c>
    </row>
    <row r="2097" spans="1:10" s="23" customFormat="1" outlineLevel="1" thickBot="1" x14ac:dyDescent="0.3">
      <c r="A2097" s="44"/>
      <c r="B2097" s="31" t="str">
        <f>IF(_xll.TM1RPTELISCONSOLIDATED($H$20,$H2097),IF(_xll.TM1RPTELLEV($H$20,$H2097)&lt;=5,_xll.TM1RPTELLEV($H$20,$H2097),"Default"),"Leaf")</f>
        <v>Leaf</v>
      </c>
      <c r="C2097" s="26" t="s">
        <v>20</v>
      </c>
      <c r="D2097" s="24" t="str">
        <f>_xll.DBRW("TM1-S1_DEV:}ElementAttributes_SP_SKU",$F2097,D$1)</f>
        <v>Primary</v>
      </c>
      <c r="E2097" s="24" t="str">
        <f>_xll.DBRW("TM1-S1_DEV:}ElementAttributes_SP_SKU",$F2097,E$1)</f>
        <v>TRAY</v>
      </c>
      <c r="F2097" s="26" t="s">
        <v>3228</v>
      </c>
      <c r="G2097" s="26" t="s">
        <v>1999</v>
      </c>
      <c r="H2097" s="26" t="s">
        <v>2708</v>
      </c>
      <c r="I2097" s="54">
        <f>_xll.DBRW($A$1,$F$14,$F$15,$C2097,$A$2,$F2097,$G2097,$H2097,I$1)</f>
        <v>4</v>
      </c>
      <c r="J2097" s="25">
        <f>_xll.DBRW($A$1,$F$14,$F$15,$C2097,$A$2,$F2097,$G2097,$H2097,J$19)</f>
        <v>4</v>
      </c>
    </row>
    <row r="2098" spans="1:10" s="23" customFormat="1" outlineLevel="1" thickBot="1" x14ac:dyDescent="0.3">
      <c r="A2098" s="44"/>
      <c r="B2098" s="31" t="str">
        <f>IF(_xll.TM1RPTELISCONSOLIDATED($H$20,$H2098),IF(_xll.TM1RPTELLEV($H$20,$H2098)&lt;=5,_xll.TM1RPTELLEV($H$20,$H2098),"Default"),"Leaf")</f>
        <v>Leaf</v>
      </c>
      <c r="C2098" s="26" t="s">
        <v>20</v>
      </c>
      <c r="D2098" s="24" t="str">
        <f>_xll.DBRW("TM1-S1_DEV:}ElementAttributes_SP_SKU",$F2098,D$1)</f>
        <v>Primary</v>
      </c>
      <c r="E2098" s="24" t="str">
        <f>_xll.DBRW("TM1-S1_DEV:}ElementAttributes_SP_SKU",$F2098,E$1)</f>
        <v>TRAY</v>
      </c>
      <c r="F2098" s="26" t="s">
        <v>3229</v>
      </c>
      <c r="G2098" s="26" t="s">
        <v>2000</v>
      </c>
      <c r="H2098" s="26" t="s">
        <v>2708</v>
      </c>
      <c r="I2098" s="54">
        <f>_xll.DBRW($A$1,$F$14,$F$15,$C2098,$A$2,$F2098,$G2098,$H2098,I$1)</f>
        <v>3</v>
      </c>
      <c r="J2098" s="25">
        <f>_xll.DBRW($A$1,$F$14,$F$15,$C2098,$A$2,$F2098,$G2098,$H2098,J$19)</f>
        <v>3</v>
      </c>
    </row>
    <row r="2099" spans="1:10" s="23" customFormat="1" outlineLevel="1" thickBot="1" x14ac:dyDescent="0.3">
      <c r="A2099" s="44"/>
      <c r="B2099" s="31" t="str">
        <f>IF(_xll.TM1RPTELISCONSOLIDATED($H$20,$H2099),IF(_xll.TM1RPTELLEV($H$20,$H2099)&lt;=5,_xll.TM1RPTELLEV($H$20,$H2099),"Default"),"Leaf")</f>
        <v>Leaf</v>
      </c>
      <c r="C2099" s="26" t="s">
        <v>20</v>
      </c>
      <c r="D2099" s="24" t="str">
        <f>_xll.DBRW("TM1-S1_DEV:}ElementAttributes_SP_SKU",$F2099,D$1)</f>
        <v>Primary</v>
      </c>
      <c r="E2099" s="24" t="str">
        <f>_xll.DBRW("TM1-S1_DEV:}ElementAttributes_SP_SKU",$F2099,E$1)</f>
        <v>BOWL</v>
      </c>
      <c r="F2099" s="26" t="s">
        <v>3230</v>
      </c>
      <c r="G2099" s="26" t="s">
        <v>2001</v>
      </c>
      <c r="H2099" s="26" t="s">
        <v>2703</v>
      </c>
      <c r="I2099" s="54">
        <f>_xll.DBRW($A$1,$F$14,$F$15,$C2099,$A$2,$F2099,$G2099,$H2099,I$1)</f>
        <v>4</v>
      </c>
      <c r="J2099" s="25">
        <f>_xll.DBRW($A$1,$F$14,$F$15,$C2099,$A$2,$F2099,$G2099,$H2099,J$19)</f>
        <v>4</v>
      </c>
    </row>
    <row r="2100" spans="1:10" s="23" customFormat="1" outlineLevel="1" thickBot="1" x14ac:dyDescent="0.3">
      <c r="A2100" s="44"/>
      <c r="B2100" s="31" t="str">
        <f>IF(_xll.TM1RPTELISCONSOLIDATED($H$20,$H2100),IF(_xll.TM1RPTELLEV($H$20,$H2100)&lt;=5,_xll.TM1RPTELLEV($H$20,$H2100),"Default"),"Leaf")</f>
        <v>Leaf</v>
      </c>
      <c r="C2100" s="26" t="s">
        <v>20</v>
      </c>
      <c r="D2100" s="24" t="str">
        <f>_xll.DBRW("TM1-S1_DEV:}ElementAttributes_SP_SKU",$F2100,D$1)</f>
        <v>Primary</v>
      </c>
      <c r="E2100" s="24" t="str">
        <f>_xll.DBRW("TM1-S1_DEV:}ElementAttributes_SP_SKU",$F2100,E$1)</f>
        <v>BREAD</v>
      </c>
      <c r="F2100" s="26" t="s">
        <v>3260</v>
      </c>
      <c r="G2100" s="26" t="s">
        <v>2002</v>
      </c>
      <c r="H2100" s="26" t="s">
        <v>2710</v>
      </c>
      <c r="I2100" s="54">
        <f>_xll.DBRW($A$1,$F$14,$F$15,$C2100,$A$2,$F2100,$G2100,$H2100,I$1)</f>
        <v>4</v>
      </c>
      <c r="J2100" s="25">
        <f>_xll.DBRW($A$1,$F$14,$F$15,$C2100,$A$2,$F2100,$G2100,$H2100,J$19)</f>
        <v>3</v>
      </c>
    </row>
    <row r="2101" spans="1:10" s="23" customFormat="1" outlineLevel="1" thickBot="1" x14ac:dyDescent="0.3">
      <c r="A2101" s="44"/>
      <c r="B2101" s="31" t="str">
        <f>IF(_xll.TM1RPTELISCONSOLIDATED($H$20,$H2101),IF(_xll.TM1RPTELLEV($H$20,$H2101)&lt;=5,_xll.TM1RPTELLEV($H$20,$H2101),"Default"),"Leaf")</f>
        <v>Leaf</v>
      </c>
      <c r="C2101" s="26" t="s">
        <v>20</v>
      </c>
      <c r="D2101" s="24" t="str">
        <f>_xll.DBRW("TM1-S1_DEV:}ElementAttributes_SP_SKU",$F2101,D$1)</f>
        <v>Primary</v>
      </c>
      <c r="E2101" s="24" t="str">
        <f>_xll.DBRW("TM1-S1_DEV:}ElementAttributes_SP_SKU",$F2101,E$1)</f>
        <v>TRAY</v>
      </c>
      <c r="F2101" s="26" t="s">
        <v>3231</v>
      </c>
      <c r="G2101" s="26" t="s">
        <v>2003</v>
      </c>
      <c r="H2101" s="26" t="s">
        <v>2711</v>
      </c>
      <c r="I2101" s="54">
        <f>_xll.DBRW($A$1,$F$14,$F$15,$C2101,$A$2,$F2101,$G2101,$H2101,I$1)</f>
        <v>7</v>
      </c>
      <c r="J2101" s="25">
        <f>_xll.DBRW($A$1,$F$14,$F$15,$C2101,$A$2,$F2101,$G2101,$H2101,J$19)</f>
        <v>7</v>
      </c>
    </row>
    <row r="2102" spans="1:10" s="23" customFormat="1" outlineLevel="1" thickBot="1" x14ac:dyDescent="0.3">
      <c r="A2102" s="44"/>
      <c r="B2102" s="31" t="str">
        <f>IF(_xll.TM1RPTELISCONSOLIDATED($H$20,$H2102),IF(_xll.TM1RPTELLEV($H$20,$H2102)&lt;=5,_xll.TM1RPTELLEV($H$20,$H2102),"Default"),"Leaf")</f>
        <v>Leaf</v>
      </c>
      <c r="C2102" s="26" t="s">
        <v>20</v>
      </c>
      <c r="D2102" s="24" t="str">
        <f>_xll.DBRW("TM1-S1_DEV:}ElementAttributes_SP_SKU",$F2102,D$1)</f>
        <v>Primary</v>
      </c>
      <c r="E2102" s="24" t="str">
        <f>_xll.DBRW("TM1-S1_DEV:}ElementAttributes_SP_SKU",$F2102,E$1)</f>
        <v>UTENSIL</v>
      </c>
      <c r="F2102" s="26" t="s">
        <v>3293</v>
      </c>
      <c r="G2102" s="26" t="s">
        <v>2004</v>
      </c>
      <c r="H2102" s="26" t="s">
        <v>2860</v>
      </c>
      <c r="I2102" s="54">
        <f>_xll.DBRW($A$1,$F$14,$F$15,$C2102,$A$2,$F2102,$G2102,$H2102,I$1)</f>
        <v>16</v>
      </c>
      <c r="J2102" s="25">
        <f>_xll.DBRW($A$1,$F$14,$F$15,$C2102,$A$2,$F2102,$G2102,$H2102,J$19)</f>
        <v>16</v>
      </c>
    </row>
    <row r="2103" spans="1:10" s="23" customFormat="1" outlineLevel="1" thickBot="1" x14ac:dyDescent="0.3">
      <c r="A2103" s="44"/>
      <c r="B2103" s="31" t="str">
        <f>IF(_xll.TM1RPTELISCONSOLIDATED($H$20,$H2103),IF(_xll.TM1RPTELLEV($H$20,$H2103)&lt;=5,_xll.TM1RPTELLEV($H$20,$H2103),"Default"),"Leaf")</f>
        <v>Leaf</v>
      </c>
      <c r="C2103" s="26" t="s">
        <v>20</v>
      </c>
      <c r="D2103" s="24" t="str">
        <f>_xll.DBRW("TM1-S1_DEV:}ElementAttributes_SP_SKU",$F2103,D$1)</f>
        <v>Primary</v>
      </c>
      <c r="E2103" s="24" t="str">
        <f>_xll.DBRW("TM1-S1_DEV:}ElementAttributes_SP_SKU",$F2103,E$1)</f>
        <v>BAG</v>
      </c>
      <c r="F2103" s="26" t="s">
        <v>3234</v>
      </c>
      <c r="G2103" s="26" t="s">
        <v>2005</v>
      </c>
      <c r="H2103" s="26" t="s">
        <v>2714</v>
      </c>
      <c r="I2103" s="54">
        <f>_xll.DBRW($A$1,$F$14,$F$15,$C2103,$A$2,$F2103,$G2103,$H2103,I$1)</f>
        <v>5</v>
      </c>
      <c r="J2103" s="25">
        <f>_xll.DBRW($A$1,$F$14,$F$15,$C2103,$A$2,$F2103,$G2103,$H2103,J$19)</f>
        <v>5</v>
      </c>
    </row>
    <row r="2104" spans="1:10" s="23" customFormat="1" outlineLevel="1" thickBot="1" x14ac:dyDescent="0.3">
      <c r="A2104" s="44"/>
      <c r="B2104" s="31" t="str">
        <f>IF(_xll.TM1RPTELISCONSOLIDATED($H$20,$H2104),IF(_xll.TM1RPTELLEV($H$20,$H2104)&lt;=5,_xll.TM1RPTELLEV($H$20,$H2104),"Default"),"Leaf")</f>
        <v>Leaf</v>
      </c>
      <c r="C2104" s="26" t="s">
        <v>20</v>
      </c>
      <c r="D2104" s="24" t="str">
        <f>_xll.DBRW("TM1-S1_DEV:}ElementAttributes_SP_SKU",$F2104,D$1)</f>
        <v>Primary</v>
      </c>
      <c r="E2104" s="24" t="str">
        <f>_xll.DBRW("TM1-S1_DEV:}ElementAttributes_SP_SKU",$F2104,E$1)</f>
        <v>BOWL</v>
      </c>
      <c r="F2104" s="26" t="s">
        <v>3237</v>
      </c>
      <c r="G2104" s="26" t="s">
        <v>2006</v>
      </c>
      <c r="H2104" s="26" t="s">
        <v>2703</v>
      </c>
      <c r="I2104" s="54">
        <f>_xll.DBRW($A$1,$F$14,$F$15,$C2104,$A$2,$F2104,$G2104,$H2104,I$1)</f>
        <v>3</v>
      </c>
      <c r="J2104" s="25">
        <f>_xll.DBRW($A$1,$F$14,$F$15,$C2104,$A$2,$F2104,$G2104,$H2104,J$19)</f>
        <v>3</v>
      </c>
    </row>
    <row r="2105" spans="1:10" s="23" customFormat="1" outlineLevel="1" thickBot="1" x14ac:dyDescent="0.3">
      <c r="A2105" s="44"/>
      <c r="B2105" s="31" t="str">
        <f>IF(_xll.TM1RPTELISCONSOLIDATED($H$20,$H2105),IF(_xll.TM1RPTELLEV($H$20,$H2105)&lt;=5,_xll.TM1RPTELLEV($H$20,$H2105),"Default"),"Leaf")</f>
        <v>Leaf</v>
      </c>
      <c r="C2105" s="26" t="s">
        <v>20</v>
      </c>
      <c r="D2105" s="24" t="str">
        <f>_xll.DBRW("TM1-S1_DEV:}ElementAttributes_SP_SKU",$F2105,D$1)</f>
        <v>Primary</v>
      </c>
      <c r="E2105" s="24" t="str">
        <f>_xll.DBRW("TM1-S1_DEV:}ElementAttributes_SP_SKU",$F2105,E$1)</f>
        <v>BOWL</v>
      </c>
      <c r="F2105" s="26" t="s">
        <v>3238</v>
      </c>
      <c r="G2105" s="26" t="s">
        <v>2007</v>
      </c>
      <c r="H2105" s="26" t="s">
        <v>2703</v>
      </c>
      <c r="I2105" s="54">
        <f>_xll.DBRW($A$1,$F$14,$F$15,$C2105,$A$2,$F2105,$G2105,$H2105,I$1)</f>
        <v>4</v>
      </c>
      <c r="J2105" s="25">
        <f>_xll.DBRW($A$1,$F$14,$F$15,$C2105,$A$2,$F2105,$G2105,$H2105,J$19)</f>
        <v>4</v>
      </c>
    </row>
    <row r="2106" spans="1:10" s="23" customFormat="1" outlineLevel="1" thickBot="1" x14ac:dyDescent="0.3">
      <c r="A2106" s="44"/>
      <c r="B2106" s="31" t="str">
        <f>IF(_xll.TM1RPTELISCONSOLIDATED($H$20,$H2106),IF(_xll.TM1RPTELLEV($H$20,$H2106)&lt;=5,_xll.TM1RPTELLEV($H$20,$H2106),"Default"),"Leaf")</f>
        <v>Leaf</v>
      </c>
      <c r="C2106" s="26" t="s">
        <v>20</v>
      </c>
      <c r="D2106" s="24" t="str">
        <f>_xll.DBRW("TM1-S1_DEV:}ElementAttributes_SP_SKU",$F2106,D$1)</f>
        <v>Primary</v>
      </c>
      <c r="E2106" s="24" t="str">
        <f>_xll.DBRW("TM1-S1_DEV:}ElementAttributes_SP_SKU",$F2106,E$1)</f>
        <v>PAPER</v>
      </c>
      <c r="F2106" s="26" t="s">
        <v>3239</v>
      </c>
      <c r="G2106" s="26" t="s">
        <v>2008</v>
      </c>
      <c r="H2106" s="26" t="s">
        <v>2715</v>
      </c>
      <c r="I2106" s="54">
        <f>_xll.DBRW($A$1,$F$14,$F$15,$C2106,$A$2,$F2106,$G2106,$H2106,I$1)</f>
        <v>7</v>
      </c>
      <c r="J2106" s="25">
        <f>_xll.DBRW($A$1,$F$14,$F$15,$C2106,$A$2,$F2106,$G2106,$H2106,J$19)</f>
        <v>6</v>
      </c>
    </row>
    <row r="2107" spans="1:10" s="23" customFormat="1" outlineLevel="1" thickBot="1" x14ac:dyDescent="0.3">
      <c r="A2107" s="44"/>
      <c r="B2107" s="31" t="str">
        <f>IF(_xll.TM1RPTELISCONSOLIDATED($H$20,$H2107),IF(_xll.TM1RPTELLEV($H$20,$H2107)&lt;=5,_xll.TM1RPTELLEV($H$20,$H2107),"Default"),"Leaf")</f>
        <v>Leaf</v>
      </c>
      <c r="C2107" s="26" t="s">
        <v>20</v>
      </c>
      <c r="D2107" s="24" t="str">
        <f>_xll.DBRW("TM1-S1_DEV:}ElementAttributes_SP_SKU",$F2107,D$1)</f>
        <v>Primary</v>
      </c>
      <c r="E2107" s="24" t="str">
        <f>_xll.DBRW("TM1-S1_DEV:}ElementAttributes_SP_SKU",$F2107,E$1)</f>
        <v>PLATE</v>
      </c>
      <c r="F2107" s="26" t="s">
        <v>3294</v>
      </c>
      <c r="G2107" s="26" t="s">
        <v>2009</v>
      </c>
      <c r="H2107" s="26" t="s">
        <v>2708</v>
      </c>
      <c r="I2107" s="54">
        <f>_xll.DBRW($A$1,$F$14,$F$15,$C2107,$A$2,$F2107,$G2107,$H2107,I$1)</f>
        <v>1</v>
      </c>
      <c r="J2107" s="25">
        <f>_xll.DBRW($A$1,$F$14,$F$15,$C2107,$A$2,$F2107,$G2107,$H2107,J$19)</f>
        <v>1</v>
      </c>
    </row>
    <row r="2108" spans="1:10" s="23" customFormat="1" outlineLevel="1" thickBot="1" x14ac:dyDescent="0.3">
      <c r="A2108" s="44"/>
      <c r="B2108" s="31" t="str">
        <f>IF(_xll.TM1RPTELISCONSOLIDATED($H$20,$H2108),IF(_xll.TM1RPTELLEV($H$20,$H2108)&lt;=5,_xll.TM1RPTELLEV($H$20,$H2108),"Default"),"Leaf")</f>
        <v>Leaf</v>
      </c>
      <c r="C2108" s="26" t="s">
        <v>20</v>
      </c>
      <c r="D2108" s="24" t="str">
        <f>_xll.DBRW("TM1-S1_DEV:}ElementAttributes_SP_SKU",$F2108,D$1)</f>
        <v>Primary</v>
      </c>
      <c r="E2108" s="24" t="str">
        <f>_xll.DBRW("TM1-S1_DEV:}ElementAttributes_SP_SKU",$F2108,E$1)</f>
        <v>BOWL</v>
      </c>
      <c r="F2108" s="26" t="s">
        <v>33</v>
      </c>
      <c r="G2108" s="26" t="s">
        <v>2010</v>
      </c>
      <c r="H2108" s="26" t="s">
        <v>2708</v>
      </c>
      <c r="I2108" s="54">
        <f>_xll.DBRW($A$1,$F$14,$F$15,$C2108,$A$2,$F2108,$G2108,$H2108,I$1)</f>
        <v>4</v>
      </c>
      <c r="J2108" s="25">
        <f>_xll.DBRW($A$1,$F$14,$F$15,$C2108,$A$2,$F2108,$G2108,$H2108,J$19)</f>
        <v>4</v>
      </c>
    </row>
    <row r="2109" spans="1:10" s="23" customFormat="1" outlineLevel="1" thickBot="1" x14ac:dyDescent="0.3">
      <c r="A2109" s="44"/>
      <c r="B2109" s="31" t="str">
        <f>IF(_xll.TM1RPTELISCONSOLIDATED($H$20,$H2109),IF(_xll.TM1RPTELLEV($H$20,$H2109)&lt;=5,_xll.TM1RPTELLEV($H$20,$H2109),"Default"),"Leaf")</f>
        <v>Leaf</v>
      </c>
      <c r="C2109" s="26" t="s">
        <v>20</v>
      </c>
      <c r="D2109" s="24" t="str">
        <f>_xll.DBRW("TM1-S1_DEV:}ElementAttributes_SP_SKU",$F2109,D$1)</f>
        <v>Primary</v>
      </c>
      <c r="E2109" s="24" t="str">
        <f>_xll.DBRW("TM1-S1_DEV:}ElementAttributes_SP_SKU",$F2109,E$1)</f>
        <v>CONDIMENT</v>
      </c>
      <c r="F2109" s="26" t="s">
        <v>413</v>
      </c>
      <c r="G2109" s="26" t="s">
        <v>2011</v>
      </c>
      <c r="H2109" s="26" t="s">
        <v>2685</v>
      </c>
      <c r="I2109" s="54">
        <f>_xll.DBRW($A$1,$F$14,$F$15,$C2109,$A$2,$F2109,$G2109,$H2109,I$1)</f>
        <v>13</v>
      </c>
      <c r="J2109" s="25">
        <f>_xll.DBRW($A$1,$F$14,$F$15,$C2109,$A$2,$F2109,$G2109,$H2109,J$19)</f>
        <v>37</v>
      </c>
    </row>
    <row r="2110" spans="1:10" s="23" customFormat="1" outlineLevel="1" thickBot="1" x14ac:dyDescent="0.3">
      <c r="A2110" s="44"/>
      <c r="B2110" s="31" t="str">
        <f>IF(_xll.TM1RPTELISCONSOLIDATED($H$20,$H2110),IF(_xll.TM1RPTELLEV($H$20,$H2110)&lt;=5,_xll.TM1RPTELLEV($H$20,$H2110),"Default"),"Leaf")</f>
        <v>Leaf</v>
      </c>
      <c r="C2110" s="26" t="s">
        <v>20</v>
      </c>
      <c r="D2110" s="24" t="str">
        <f>_xll.DBRW("TM1-S1_DEV:}ElementAttributes_SP_SKU",$F2110,D$1)</f>
        <v>Primary</v>
      </c>
      <c r="E2110" s="24" t="str">
        <f>_xll.DBRW("TM1-S1_DEV:}ElementAttributes_SP_SKU",$F2110,E$1)</f>
        <v>CHEESE</v>
      </c>
      <c r="F2110" s="26" t="s">
        <v>414</v>
      </c>
      <c r="G2110" s="26" t="s">
        <v>1952</v>
      </c>
      <c r="H2110" s="26" t="s">
        <v>2870</v>
      </c>
      <c r="I2110" s="54">
        <f>_xll.DBRW($A$1,$F$14,$F$15,$C2110,$A$2,$F2110,$G2110,$H2110,I$1)</f>
        <v>56</v>
      </c>
      <c r="J2110" s="25">
        <f>_xll.DBRW($A$1,$F$14,$F$15,$C2110,$A$2,$F2110,$G2110,$H2110,J$19)</f>
        <v>112</v>
      </c>
    </row>
    <row r="2111" spans="1:10" s="23" customFormat="1" outlineLevel="1" thickBot="1" x14ac:dyDescent="0.3">
      <c r="A2111" s="44"/>
      <c r="B2111" s="31" t="str">
        <f>IF(_xll.TM1RPTELISCONSOLIDATED($H$20,$H2111),IF(_xll.TM1RPTELLEV($H$20,$H2111)&lt;=5,_xll.TM1RPTELLEV($H$20,$H2111),"Default"),"Leaf")</f>
        <v>Leaf</v>
      </c>
      <c r="C2111" s="26" t="s">
        <v>20</v>
      </c>
      <c r="D2111" s="24" t="str">
        <f>_xll.DBRW("TM1-S1_DEV:}ElementAttributes_SP_SKU",$F2111,D$1)</f>
        <v>Primary</v>
      </c>
      <c r="E2111" s="24" t="str">
        <f>_xll.DBRW("TM1-S1_DEV:}ElementAttributes_SP_SKU",$F2111,E$1)</f>
        <v>CHEESE</v>
      </c>
      <c r="F2111" s="26" t="s">
        <v>415</v>
      </c>
      <c r="G2111" s="26" t="s">
        <v>1955</v>
      </c>
      <c r="H2111" s="26" t="s">
        <v>2870</v>
      </c>
      <c r="I2111" s="54">
        <f>_xll.DBRW($A$1,$F$14,$F$15,$C2111,$A$2,$F2111,$G2111,$H2111,I$1)</f>
        <v>157</v>
      </c>
      <c r="J2111" s="25">
        <f>_xll.DBRW($A$1,$F$14,$F$15,$C2111,$A$2,$F2111,$G2111,$H2111,J$19)</f>
        <v>209</v>
      </c>
    </row>
    <row r="2112" spans="1:10" s="23" customFormat="1" outlineLevel="1" thickBot="1" x14ac:dyDescent="0.3">
      <c r="A2112" s="44"/>
      <c r="B2112" s="31" t="str">
        <f>IF(_xll.TM1RPTELISCONSOLIDATED($H$20,$H2112),IF(_xll.TM1RPTELLEV($H$20,$H2112)&lt;=5,_xll.TM1RPTELLEV($H$20,$H2112),"Default"),"Leaf")</f>
        <v>Leaf</v>
      </c>
      <c r="C2112" s="26" t="s">
        <v>20</v>
      </c>
      <c r="D2112" s="24" t="str">
        <f>_xll.DBRW("TM1-S1_DEV:}ElementAttributes_SP_SKU",$F2112,D$1)</f>
        <v>Primary</v>
      </c>
      <c r="E2112" s="24" t="str">
        <f>_xll.DBRW("TM1-S1_DEV:}ElementAttributes_SP_SKU",$F2112,E$1)</f>
        <v>CONDIMENT</v>
      </c>
      <c r="F2112" s="26" t="s">
        <v>416</v>
      </c>
      <c r="G2112" s="26" t="s">
        <v>2012</v>
      </c>
      <c r="H2112" s="26" t="s">
        <v>2685</v>
      </c>
      <c r="I2112" s="54">
        <f>_xll.DBRW($A$1,$F$14,$F$15,$C2112,$A$2,$F2112,$G2112,$H2112,I$1)</f>
        <v>14</v>
      </c>
      <c r="J2112" s="25">
        <f>_xll.DBRW($A$1,$F$14,$F$15,$C2112,$A$2,$F2112,$G2112,$H2112,J$19)</f>
        <v>64</v>
      </c>
    </row>
    <row r="2113" spans="1:10" s="23" customFormat="1" outlineLevel="1" thickBot="1" x14ac:dyDescent="0.3">
      <c r="A2113" s="44"/>
      <c r="B2113" s="31" t="str">
        <f>IF(_xll.TM1RPTELISCONSOLIDATED($H$20,$H2113),IF(_xll.TM1RPTELLEV($H$20,$H2113)&lt;=5,_xll.TM1RPTELLEV($H$20,$H2113),"Default"),"Leaf")</f>
        <v>Leaf</v>
      </c>
      <c r="C2113" s="26" t="s">
        <v>20</v>
      </c>
      <c r="D2113" s="24" t="str">
        <f>_xll.DBRW("TM1-S1_DEV:}ElementAttributes_SP_SKU",$F2113,D$1)</f>
        <v>Primary</v>
      </c>
      <c r="E2113" s="24" t="str">
        <f>_xll.DBRW("TM1-S1_DEV:}ElementAttributes_SP_SKU",$F2113,E$1)</f>
        <v>UTENSIL</v>
      </c>
      <c r="F2113" s="26" t="s">
        <v>417</v>
      </c>
      <c r="G2113" s="26" t="s">
        <v>2013</v>
      </c>
      <c r="H2113" s="26" t="s">
        <v>2871</v>
      </c>
      <c r="I2113" s="54">
        <f>_xll.DBRW($A$1,$F$14,$F$15,$C2113,$A$2,$F2113,$G2113,$H2113,I$1)</f>
        <v>47</v>
      </c>
      <c r="J2113" s="25">
        <f>_xll.DBRW($A$1,$F$14,$F$15,$C2113,$A$2,$F2113,$G2113,$H2113,J$19)</f>
        <v>47</v>
      </c>
    </row>
    <row r="2114" spans="1:10" s="23" customFormat="1" outlineLevel="1" thickBot="1" x14ac:dyDescent="0.3">
      <c r="A2114" s="44"/>
      <c r="B2114" s="31" t="str">
        <f>IF(_xll.TM1RPTELISCONSOLIDATED($H$20,$H2114),IF(_xll.TM1RPTELLEV($H$20,$H2114)&lt;=5,_xll.TM1RPTELLEV($H$20,$H2114),"Default"),"Leaf")</f>
        <v>Leaf</v>
      </c>
      <c r="C2114" s="26" t="s">
        <v>20</v>
      </c>
      <c r="D2114" s="24" t="str">
        <f>_xll.DBRW("TM1-S1_DEV:}ElementAttributes_SP_SKU",$F2114,D$1)</f>
        <v>Primary</v>
      </c>
      <c r="E2114" s="24" t="str">
        <f>_xll.DBRW("TM1-S1_DEV:}ElementAttributes_SP_SKU",$F2114,E$1)</f>
        <v>GLOVES</v>
      </c>
      <c r="F2114" s="26" t="s">
        <v>418</v>
      </c>
      <c r="G2114" s="26" t="s">
        <v>2014</v>
      </c>
      <c r="H2114" s="26" t="s">
        <v>2872</v>
      </c>
      <c r="I2114" s="54">
        <f>_xll.DBRW($A$1,$F$14,$F$15,$C2114,$A$2,$F2114,$G2114,$H2114,I$1)</f>
        <v>20</v>
      </c>
      <c r="J2114" s="25">
        <f>_xll.DBRW($A$1,$F$14,$F$15,$C2114,$A$2,$F2114,$G2114,$H2114,J$19)</f>
        <v>20</v>
      </c>
    </row>
    <row r="2115" spans="1:10" s="23" customFormat="1" outlineLevel="1" thickBot="1" x14ac:dyDescent="0.3">
      <c r="A2115" s="44"/>
      <c r="B2115" s="31" t="str">
        <f>IF(_xll.TM1RPTELISCONSOLIDATED($H$20,$H2115),IF(_xll.TM1RPTELLEV($H$20,$H2115)&lt;=5,_xll.TM1RPTELLEV($H$20,$H2115),"Default"),"Leaf")</f>
        <v>Leaf</v>
      </c>
      <c r="C2115" s="26" t="s">
        <v>20</v>
      </c>
      <c r="D2115" s="24" t="str">
        <f>_xll.DBRW("TM1-S1_DEV:}ElementAttributes_SP_SKU",$F2115,D$1)</f>
        <v>Primary</v>
      </c>
      <c r="E2115" s="24" t="str">
        <f>_xll.DBRW("TM1-S1_DEV:}ElementAttributes_SP_SKU",$F2115,E$1)</f>
        <v>GLOVES</v>
      </c>
      <c r="F2115" s="26" t="s">
        <v>419</v>
      </c>
      <c r="G2115" s="26" t="s">
        <v>2015</v>
      </c>
      <c r="H2115" s="26" t="s">
        <v>2873</v>
      </c>
      <c r="I2115" s="54">
        <f>_xll.DBRW($A$1,$F$14,$F$15,$C2115,$A$2,$F2115,$G2115,$H2115,I$1)</f>
        <v>121</v>
      </c>
      <c r="J2115" s="25">
        <f>_xll.DBRW($A$1,$F$14,$F$15,$C2115,$A$2,$F2115,$G2115,$H2115,J$19)</f>
        <v>265</v>
      </c>
    </row>
    <row r="2116" spans="1:10" s="23" customFormat="1" outlineLevel="1" thickBot="1" x14ac:dyDescent="0.3">
      <c r="A2116" s="44"/>
      <c r="B2116" s="31" t="str">
        <f>IF(_xll.TM1RPTELISCONSOLIDATED($H$20,$H2116),IF(_xll.TM1RPTELLEV($H$20,$H2116)&lt;=5,_xll.TM1RPTELLEV($H$20,$H2116),"Default"),"Leaf")</f>
        <v>Leaf</v>
      </c>
      <c r="C2116" s="26" t="s">
        <v>20</v>
      </c>
      <c r="D2116" s="24" t="str">
        <f>_xll.DBRW("TM1-S1_DEV:}ElementAttributes_SP_SKU",$F2116,D$1)</f>
        <v>Primary</v>
      </c>
      <c r="E2116" s="24" t="str">
        <f>_xll.DBRW("TM1-S1_DEV:}ElementAttributes_SP_SKU",$F2116,E$1)</f>
        <v>GLOVES</v>
      </c>
      <c r="F2116" s="26" t="s">
        <v>420</v>
      </c>
      <c r="G2116" s="26" t="s">
        <v>2016</v>
      </c>
      <c r="H2116" s="26" t="s">
        <v>2873</v>
      </c>
      <c r="I2116" s="54">
        <f>_xll.DBRW($A$1,$F$14,$F$15,$C2116,$A$2,$F2116,$G2116,$H2116,I$1)</f>
        <v>253</v>
      </c>
      <c r="J2116" s="25">
        <f>_xll.DBRW($A$1,$F$14,$F$15,$C2116,$A$2,$F2116,$G2116,$H2116,J$19)</f>
        <v>365</v>
      </c>
    </row>
    <row r="2117" spans="1:10" s="23" customFormat="1" outlineLevel="1" thickBot="1" x14ac:dyDescent="0.3">
      <c r="A2117" s="44"/>
      <c r="B2117" s="31" t="str">
        <f>IF(_xll.TM1RPTELISCONSOLIDATED($H$20,$H2117),IF(_xll.TM1RPTELLEV($H$20,$H2117)&lt;=5,_xll.TM1RPTELLEV($H$20,$H2117),"Default"),"Leaf")</f>
        <v>Leaf</v>
      </c>
      <c r="C2117" s="26" t="s">
        <v>20</v>
      </c>
      <c r="D2117" s="24" t="str">
        <f>_xll.DBRW("TM1-S1_DEV:}ElementAttributes_SP_SKU",$F2117,D$1)</f>
        <v>Primary</v>
      </c>
      <c r="E2117" s="24" t="str">
        <f>_xll.DBRW("TM1-S1_DEV:}ElementAttributes_SP_SKU",$F2117,E$1)</f>
        <v>GLOVES</v>
      </c>
      <c r="F2117" s="26" t="s">
        <v>421</v>
      </c>
      <c r="G2117" s="26" t="s">
        <v>1998</v>
      </c>
      <c r="H2117" s="26" t="s">
        <v>2873</v>
      </c>
      <c r="I2117" s="54">
        <f>_xll.DBRW($A$1,$F$14,$F$15,$C2117,$A$2,$F2117,$G2117,$H2117,I$1)</f>
        <v>296</v>
      </c>
      <c r="J2117" s="25">
        <f>_xll.DBRW($A$1,$F$14,$F$15,$C2117,$A$2,$F2117,$G2117,$H2117,J$19)</f>
        <v>440</v>
      </c>
    </row>
    <row r="2118" spans="1:10" s="23" customFormat="1" outlineLevel="1" thickBot="1" x14ac:dyDescent="0.3">
      <c r="A2118" s="44"/>
      <c r="B2118" s="31" t="str">
        <f>IF(_xll.TM1RPTELISCONSOLIDATED($H$20,$H2118),IF(_xll.TM1RPTELLEV($H$20,$H2118)&lt;=5,_xll.TM1RPTELLEV($H$20,$H2118),"Default"),"Leaf")</f>
        <v>Leaf</v>
      </c>
      <c r="C2118" s="26" t="s">
        <v>20</v>
      </c>
      <c r="D2118" s="24" t="str">
        <f>_xll.DBRW("TM1-S1_DEV:}ElementAttributes_SP_SKU",$F2118,D$1)</f>
        <v>Primary</v>
      </c>
      <c r="E2118" s="24" t="str">
        <f>_xll.DBRW("TM1-S1_DEV:}ElementAttributes_SP_SKU",$F2118,E$1)</f>
        <v>CHEESE</v>
      </c>
      <c r="F2118" s="26" t="s">
        <v>422</v>
      </c>
      <c r="G2118" s="26" t="s">
        <v>2017</v>
      </c>
      <c r="H2118" s="26" t="s">
        <v>2874</v>
      </c>
      <c r="I2118" s="54">
        <f>_xll.DBRW($A$1,$F$14,$F$15,$C2118,$A$2,$F2118,$G2118,$H2118,I$1)</f>
        <v>148</v>
      </c>
      <c r="J2118" s="25">
        <f>_xll.DBRW($A$1,$F$14,$F$15,$C2118,$A$2,$F2118,$G2118,$H2118,J$19)</f>
        <v>216</v>
      </c>
    </row>
    <row r="2119" spans="1:10" s="23" customFormat="1" outlineLevel="1" thickBot="1" x14ac:dyDescent="0.3">
      <c r="A2119" s="44"/>
      <c r="B2119" s="31" t="str">
        <f>IF(_xll.TM1RPTELISCONSOLIDATED($H$20,$H2119),IF(_xll.TM1RPTELLEV($H$20,$H2119)&lt;=5,_xll.TM1RPTELLEV($H$20,$H2119),"Default"),"Leaf")</f>
        <v>Leaf</v>
      </c>
      <c r="C2119" s="26" t="s">
        <v>20</v>
      </c>
      <c r="D2119" s="24" t="str">
        <f>_xll.DBRW("TM1-S1_DEV:}ElementAttributes_SP_SKU",$F2119,D$1)</f>
        <v>Primary</v>
      </c>
      <c r="E2119" s="24" t="str">
        <f>_xll.DBRW("TM1-S1_DEV:}ElementAttributes_SP_SKU",$F2119,E$1)</f>
        <v>PAPER</v>
      </c>
      <c r="F2119" s="26" t="s">
        <v>423</v>
      </c>
      <c r="G2119" s="26" t="s">
        <v>2018</v>
      </c>
      <c r="H2119" s="26" t="s">
        <v>2875</v>
      </c>
      <c r="I2119" s="54">
        <f>_xll.DBRW($A$1,$F$14,$F$15,$C2119,$A$2,$F2119,$G2119,$H2119,I$1)</f>
        <v>210</v>
      </c>
      <c r="J2119" s="25">
        <f>_xll.DBRW($A$1,$F$14,$F$15,$C2119,$A$2,$F2119,$G2119,$H2119,J$19)</f>
        <v>310</v>
      </c>
    </row>
    <row r="2120" spans="1:10" s="23" customFormat="1" outlineLevel="1" thickBot="1" x14ac:dyDescent="0.3">
      <c r="A2120" s="44"/>
      <c r="B2120" s="31" t="str">
        <f>IF(_xll.TM1RPTELISCONSOLIDATED($H$20,$H2120),IF(_xll.TM1RPTELLEV($H$20,$H2120)&lt;=5,_xll.TM1RPTELLEV($H$20,$H2120),"Default"),"Leaf")</f>
        <v>Leaf</v>
      </c>
      <c r="C2120" s="26" t="s">
        <v>20</v>
      </c>
      <c r="D2120" s="24" t="str">
        <f>_xll.DBRW("TM1-S1_DEV:}ElementAttributes_SP_SKU",$F2120,D$1)</f>
        <v>Primary</v>
      </c>
      <c r="E2120" s="24" t="str">
        <f>_xll.DBRW("TM1-S1_DEV:}ElementAttributes_SP_SKU",$F2120,E$1)</f>
        <v>BAG</v>
      </c>
      <c r="F2120" s="26" t="s">
        <v>424</v>
      </c>
      <c r="G2120" s="26" t="s">
        <v>2019</v>
      </c>
      <c r="H2120" s="26" t="s">
        <v>2713</v>
      </c>
      <c r="I2120" s="54">
        <f>_xll.DBRW($A$1,$F$14,$F$15,$C2120,$A$2,$F2120,$G2120,$H2120,I$1)</f>
        <v>9</v>
      </c>
      <c r="J2120" s="25">
        <f>_xll.DBRW($A$1,$F$14,$F$15,$C2120,$A$2,$F2120,$G2120,$H2120,J$19)</f>
        <v>21</v>
      </c>
    </row>
    <row r="2121" spans="1:10" s="23" customFormat="1" outlineLevel="1" thickBot="1" x14ac:dyDescent="0.3">
      <c r="A2121" s="44"/>
      <c r="B2121" s="31" t="str">
        <f>IF(_xll.TM1RPTELISCONSOLIDATED($H$20,$H2121),IF(_xll.TM1RPTELLEV($H$20,$H2121)&lt;=5,_xll.TM1RPTELLEV($H$20,$H2121),"Default"),"Leaf")</f>
        <v>Leaf</v>
      </c>
      <c r="C2121" s="26" t="s">
        <v>20</v>
      </c>
      <c r="D2121" s="24" t="str">
        <f>_xll.DBRW("TM1-S1_DEV:}ElementAttributes_SP_SKU",$F2121,D$1)</f>
        <v>Primary</v>
      </c>
      <c r="E2121" s="24" t="str">
        <f>_xll.DBRW("TM1-S1_DEV:}ElementAttributes_SP_SKU",$F2121,E$1)</f>
        <v>CONTAINER</v>
      </c>
      <c r="F2121" s="26" t="s">
        <v>425</v>
      </c>
      <c r="G2121" s="26" t="s">
        <v>2020</v>
      </c>
      <c r="H2121" s="26" t="s">
        <v>2876</v>
      </c>
      <c r="I2121" s="54">
        <f>_xll.DBRW($A$1,$F$14,$F$15,$C2121,$A$2,$F2121,$G2121,$H2121,I$1)</f>
        <v>73</v>
      </c>
      <c r="J2121" s="25">
        <f>_xll.DBRW($A$1,$F$14,$F$15,$C2121,$A$2,$F2121,$G2121,$H2121,J$19)</f>
        <v>109</v>
      </c>
    </row>
    <row r="2122" spans="1:10" s="23" customFormat="1" outlineLevel="1" thickBot="1" x14ac:dyDescent="0.3">
      <c r="A2122" s="44"/>
      <c r="B2122" s="31" t="str">
        <f>IF(_xll.TM1RPTELISCONSOLIDATED($H$20,$H2122),IF(_xll.TM1RPTELLEV($H$20,$H2122)&lt;=5,_xll.TM1RPTELLEV($H$20,$H2122),"Default"),"Leaf")</f>
        <v>Leaf</v>
      </c>
      <c r="C2122" s="26" t="s">
        <v>20</v>
      </c>
      <c r="D2122" s="24" t="str">
        <f>_xll.DBRW("TM1-S1_DEV:}ElementAttributes_SP_SKU",$F2122,D$1)</f>
        <v>Primary</v>
      </c>
      <c r="E2122" s="24" t="str">
        <f>_xll.DBRW("TM1-S1_DEV:}ElementAttributes_SP_SKU",$F2122,E$1)</f>
        <v>CONTAINER</v>
      </c>
      <c r="F2122" s="26" t="s">
        <v>426</v>
      </c>
      <c r="G2122" s="26" t="s">
        <v>2021</v>
      </c>
      <c r="H2122" s="26" t="s">
        <v>2876</v>
      </c>
      <c r="I2122" s="54">
        <f>_xll.DBRW($A$1,$F$14,$F$15,$C2122,$A$2,$F2122,$G2122,$H2122,I$1)</f>
        <v>64</v>
      </c>
      <c r="J2122" s="25">
        <f>_xll.DBRW($A$1,$F$14,$F$15,$C2122,$A$2,$F2122,$G2122,$H2122,J$19)</f>
        <v>70</v>
      </c>
    </row>
    <row r="2123" spans="1:10" s="23" customFormat="1" outlineLevel="1" thickBot="1" x14ac:dyDescent="0.3">
      <c r="A2123" s="44"/>
      <c r="B2123" s="31" t="str">
        <f>IF(_xll.TM1RPTELISCONSOLIDATED($H$20,$H2123),IF(_xll.TM1RPTELLEV($H$20,$H2123)&lt;=5,_xll.TM1RPTELLEV($H$20,$H2123),"Default"),"Leaf")</f>
        <v>Leaf</v>
      </c>
      <c r="C2123" s="26" t="s">
        <v>20</v>
      </c>
      <c r="D2123" s="24" t="str">
        <f>_xll.DBRW("TM1-S1_DEV:}ElementAttributes_SP_SKU",$F2123,D$1)</f>
        <v>Primary</v>
      </c>
      <c r="E2123" s="24" t="str">
        <f>_xll.DBRW("TM1-S1_DEV:}ElementAttributes_SP_SKU",$F2123,E$1)</f>
        <v>CONTAINER</v>
      </c>
      <c r="F2123" s="26" t="s">
        <v>3003</v>
      </c>
      <c r="G2123" s="26" t="s">
        <v>3064</v>
      </c>
      <c r="H2123" s="26" t="s">
        <v>2875</v>
      </c>
      <c r="I2123" s="54">
        <f>_xll.DBRW($A$1,$F$14,$F$15,$C2123,$A$2,$F2123,$G2123,$H2123,I$1)</f>
        <v>8</v>
      </c>
      <c r="J2123" s="25">
        <f>_xll.DBRW($A$1,$F$14,$F$15,$C2123,$A$2,$F2123,$G2123,$H2123,J$19)</f>
        <v>12</v>
      </c>
    </row>
    <row r="2124" spans="1:10" s="23" customFormat="1" outlineLevel="1" thickBot="1" x14ac:dyDescent="0.3">
      <c r="A2124" s="44"/>
      <c r="B2124" s="31" t="str">
        <f>IF(_xll.TM1RPTELISCONSOLIDATED($H$20,$H2124),IF(_xll.TM1RPTELLEV($H$20,$H2124)&lt;=5,_xll.TM1RPTELLEV($H$20,$H2124),"Default"),"Leaf")</f>
        <v>Leaf</v>
      </c>
      <c r="C2124" s="26" t="s">
        <v>20</v>
      </c>
      <c r="D2124" s="24" t="str">
        <f>_xll.DBRW("TM1-S1_DEV:}ElementAttributes_SP_SKU",$F2124,D$1)</f>
        <v>Primary</v>
      </c>
      <c r="E2124" s="24" t="str">
        <f>_xll.DBRW("TM1-S1_DEV:}ElementAttributes_SP_SKU",$F2124,E$1)</f>
        <v>CONTAINER</v>
      </c>
      <c r="F2124" s="26" t="s">
        <v>427</v>
      </c>
      <c r="G2124" s="26" t="s">
        <v>2022</v>
      </c>
      <c r="H2124" s="26" t="s">
        <v>2875</v>
      </c>
      <c r="I2124" s="54">
        <f>_xll.DBRW($A$1,$F$14,$F$15,$C2124,$A$2,$F2124,$G2124,$H2124,I$1)</f>
        <v>17</v>
      </c>
      <c r="J2124" s="25">
        <f>_xll.DBRW($A$1,$F$14,$F$15,$C2124,$A$2,$F2124,$G2124,$H2124,J$19)</f>
        <v>17</v>
      </c>
    </row>
    <row r="2125" spans="1:10" s="23" customFormat="1" outlineLevel="1" thickBot="1" x14ac:dyDescent="0.3">
      <c r="A2125" s="44"/>
      <c r="B2125" s="31" t="str">
        <f>IF(_xll.TM1RPTELISCONSOLIDATED($H$20,$H2125),IF(_xll.TM1RPTELLEV($H$20,$H2125)&lt;=5,_xll.TM1RPTELLEV($H$20,$H2125),"Default"),"Leaf")</f>
        <v>Leaf</v>
      </c>
      <c r="C2125" s="26" t="s">
        <v>20</v>
      </c>
      <c r="D2125" s="24" t="str">
        <f>_xll.DBRW("TM1-S1_DEV:}ElementAttributes_SP_SKU",$F2125,D$1)</f>
        <v>Primary</v>
      </c>
      <c r="E2125" s="24" t="str">
        <f>_xll.DBRW("TM1-S1_DEV:}ElementAttributes_SP_SKU",$F2125,E$1)</f>
        <v>FILM</v>
      </c>
      <c r="F2125" s="26" t="s">
        <v>428</v>
      </c>
      <c r="G2125" s="26" t="s">
        <v>2023</v>
      </c>
      <c r="H2125" s="26" t="s">
        <v>2727</v>
      </c>
      <c r="I2125" s="54">
        <f>_xll.DBRW($A$1,$F$14,$F$15,$C2125,$A$2,$F2125,$G2125,$H2125,I$1)</f>
        <v>38</v>
      </c>
      <c r="J2125" s="25">
        <f>_xll.DBRW($A$1,$F$14,$F$15,$C2125,$A$2,$F2125,$G2125,$H2125,J$19)</f>
        <v>38</v>
      </c>
    </row>
    <row r="2126" spans="1:10" s="23" customFormat="1" outlineLevel="1" thickBot="1" x14ac:dyDescent="0.3">
      <c r="A2126" s="44"/>
      <c r="B2126" s="31" t="str">
        <f>IF(_xll.TM1RPTELISCONSOLIDATED($H$20,$H2126),IF(_xll.TM1RPTELLEV($H$20,$H2126)&lt;=5,_xll.TM1RPTELLEV($H$20,$H2126),"Default"),"Leaf")</f>
        <v>Leaf</v>
      </c>
      <c r="C2126" s="26" t="s">
        <v>20</v>
      </c>
      <c r="D2126" s="24" t="str">
        <f>_xll.DBRW("TM1-S1_DEV:}ElementAttributes_SP_SKU",$F2126,D$1)</f>
        <v>Primary</v>
      </c>
      <c r="E2126" s="24" t="str">
        <f>_xll.DBRW("TM1-S1_DEV:}ElementAttributes_SP_SKU",$F2126,E$1)</f>
        <v>FILM</v>
      </c>
      <c r="F2126" s="26" t="s">
        <v>429</v>
      </c>
      <c r="G2126" s="26" t="s">
        <v>2024</v>
      </c>
      <c r="H2126" s="26" t="s">
        <v>2727</v>
      </c>
      <c r="I2126" s="54">
        <f>_xll.DBRW($A$1,$F$14,$F$15,$C2126,$A$2,$F2126,$G2126,$H2126,I$1)</f>
        <v>19</v>
      </c>
      <c r="J2126" s="25">
        <f>_xll.DBRW($A$1,$F$14,$F$15,$C2126,$A$2,$F2126,$G2126,$H2126,J$19)</f>
        <v>19</v>
      </c>
    </row>
    <row r="2127" spans="1:10" s="23" customFormat="1" outlineLevel="1" thickBot="1" x14ac:dyDescent="0.3">
      <c r="A2127" s="44"/>
      <c r="B2127" s="31" t="str">
        <f>IF(_xll.TM1RPTELISCONSOLIDATED($H$20,$H2127),IF(_xll.TM1RPTELLEV($H$20,$H2127)&lt;=5,_xll.TM1RPTELLEV($H$20,$H2127),"Default"),"Leaf")</f>
        <v>Leaf</v>
      </c>
      <c r="C2127" s="26" t="s">
        <v>20</v>
      </c>
      <c r="D2127" s="24" t="str">
        <f>_xll.DBRW("TM1-S1_DEV:}ElementAttributes_SP_SKU",$F2127,D$1)</f>
        <v>Primary</v>
      </c>
      <c r="E2127" s="24" t="str">
        <f>_xll.DBRW("TM1-S1_DEV:}ElementAttributes_SP_SKU",$F2127,E$1)</f>
        <v>PAPER</v>
      </c>
      <c r="F2127" s="26" t="s">
        <v>430</v>
      </c>
      <c r="G2127" s="26" t="s">
        <v>2025</v>
      </c>
      <c r="H2127" s="26" t="s">
        <v>2877</v>
      </c>
      <c r="I2127" s="54">
        <f>_xll.DBRW($A$1,$F$14,$F$15,$C2127,$A$2,$F2127,$G2127,$H2127,I$1)</f>
        <v>16</v>
      </c>
      <c r="J2127" s="25">
        <f>_xll.DBRW($A$1,$F$14,$F$15,$C2127,$A$2,$F2127,$G2127,$H2127,J$19)</f>
        <v>16</v>
      </c>
    </row>
    <row r="2128" spans="1:10" s="23" customFormat="1" outlineLevel="1" thickBot="1" x14ac:dyDescent="0.3">
      <c r="A2128" s="44"/>
      <c r="B2128" s="31" t="str">
        <f>IF(_xll.TM1RPTELISCONSOLIDATED($H$20,$H2128),IF(_xll.TM1RPTELLEV($H$20,$H2128)&lt;=5,_xll.TM1RPTELLEV($H$20,$H2128),"Default"),"Leaf")</f>
        <v>Leaf</v>
      </c>
      <c r="C2128" s="26" t="s">
        <v>20</v>
      </c>
      <c r="D2128" s="24" t="str">
        <f>_xll.DBRW("TM1-S1_DEV:}ElementAttributes_SP_SKU",$F2128,D$1)</f>
        <v>Primary</v>
      </c>
      <c r="E2128" s="24" t="str">
        <f>_xll.DBRW("TM1-S1_DEV:}ElementAttributes_SP_SKU",$F2128,E$1)</f>
        <v>UTENSIL</v>
      </c>
      <c r="F2128" s="26" t="s">
        <v>3295</v>
      </c>
      <c r="G2128" s="26" t="s">
        <v>2026</v>
      </c>
      <c r="H2128" s="26" t="s">
        <v>2875</v>
      </c>
      <c r="I2128" s="54">
        <f>_xll.DBRW($A$1,$F$14,$F$15,$C2128,$A$2,$F2128,$G2128,$H2128,I$1)</f>
        <v>8</v>
      </c>
      <c r="J2128" s="25">
        <f>_xll.DBRW($A$1,$F$14,$F$15,$C2128,$A$2,$F2128,$G2128,$H2128,J$19)</f>
        <v>12</v>
      </c>
    </row>
    <row r="2129" spans="1:10" s="23" customFormat="1" outlineLevel="1" thickBot="1" x14ac:dyDescent="0.3">
      <c r="A2129" s="44"/>
      <c r="B2129" s="31" t="str">
        <f>IF(_xll.TM1RPTELISCONSOLIDATED($H$20,$H2129),IF(_xll.TM1RPTELLEV($H$20,$H2129)&lt;=5,_xll.TM1RPTELLEV($H$20,$H2129),"Default"),"Leaf")</f>
        <v>Leaf</v>
      </c>
      <c r="C2129" s="26" t="s">
        <v>20</v>
      </c>
      <c r="D2129" s="24" t="str">
        <f>_xll.DBRW("TM1-S1_DEV:}ElementAttributes_SP_SKU",$F2129,D$1)</f>
        <v>Primary</v>
      </c>
      <c r="E2129" s="24" t="str">
        <f>_xll.DBRW("TM1-S1_DEV:}ElementAttributes_SP_SKU",$F2129,E$1)</f>
        <v>INGREDIENT</v>
      </c>
      <c r="F2129" s="26" t="s">
        <v>431</v>
      </c>
      <c r="G2129" s="26" t="s">
        <v>2027</v>
      </c>
      <c r="H2129" s="26" t="s">
        <v>2878</v>
      </c>
      <c r="I2129" s="54">
        <f>_xll.DBRW($A$1,$F$14,$F$15,$C2129,$A$2,$F2129,$G2129,$H2129,I$1)</f>
        <v>174</v>
      </c>
      <c r="J2129" s="25">
        <f>_xll.DBRW($A$1,$F$14,$F$15,$C2129,$A$2,$F2129,$G2129,$H2129,J$19)</f>
        <v>294</v>
      </c>
    </row>
    <row r="2130" spans="1:10" s="23" customFormat="1" outlineLevel="1" thickBot="1" x14ac:dyDescent="0.3">
      <c r="A2130" s="44"/>
      <c r="B2130" s="31" t="str">
        <f>IF(_xll.TM1RPTELISCONSOLIDATED($H$20,$H2130),IF(_xll.TM1RPTELLEV($H$20,$H2130)&lt;=5,_xll.TM1RPTELLEV($H$20,$H2130),"Default"),"Leaf")</f>
        <v>Leaf</v>
      </c>
      <c r="C2130" s="26" t="s">
        <v>20</v>
      </c>
      <c r="D2130" s="24" t="str">
        <f>_xll.DBRW("TM1-S1_DEV:}ElementAttributes_SP_SKU",$F2130,D$1)</f>
        <v>Primary</v>
      </c>
      <c r="E2130" s="24" t="str">
        <f>_xll.DBRW("TM1-S1_DEV:}ElementAttributes_SP_SKU",$F2130,E$1)</f>
        <v>BAG</v>
      </c>
      <c r="F2130" s="26" t="s">
        <v>432</v>
      </c>
      <c r="G2130" s="26" t="s">
        <v>2028</v>
      </c>
      <c r="H2130" s="26" t="s">
        <v>2713</v>
      </c>
      <c r="I2130" s="54">
        <f>_xll.DBRW($A$1,$F$14,$F$15,$C2130,$A$2,$F2130,$G2130,$H2130,I$1)</f>
        <v>834</v>
      </c>
      <c r="J2130" s="25">
        <f>_xll.DBRW($A$1,$F$14,$F$15,$C2130,$A$2,$F2130,$G2130,$H2130,J$19)</f>
        <v>834</v>
      </c>
    </row>
    <row r="2131" spans="1:10" s="23" customFormat="1" outlineLevel="1" thickBot="1" x14ac:dyDescent="0.3">
      <c r="A2131" s="44"/>
      <c r="B2131" s="31" t="str">
        <f>IF(_xll.TM1RPTELISCONSOLIDATED($H$20,$H2131),IF(_xll.TM1RPTELLEV($H$20,$H2131)&lt;=5,_xll.TM1RPTELLEV($H$20,$H2131),"Default"),"Leaf")</f>
        <v>Leaf</v>
      </c>
      <c r="C2131" s="26" t="s">
        <v>20</v>
      </c>
      <c r="D2131" s="24" t="str">
        <f>_xll.DBRW("TM1-S1_DEV:}ElementAttributes_SP_SKU",$F2131,D$1)</f>
        <v>Primary</v>
      </c>
      <c r="E2131" s="24" t="str">
        <f>_xll.DBRW("TM1-S1_DEV:}ElementAttributes_SP_SKU",$F2131,E$1)</f>
        <v>PLATE</v>
      </c>
      <c r="F2131" s="26" t="s">
        <v>433</v>
      </c>
      <c r="G2131" s="26" t="s">
        <v>2029</v>
      </c>
      <c r="H2131" s="26" t="s">
        <v>2875</v>
      </c>
      <c r="I2131" s="54">
        <f>_xll.DBRW($A$1,$F$14,$F$15,$C2131,$A$2,$F2131,$G2131,$H2131,I$1)</f>
        <v>59</v>
      </c>
      <c r="J2131" s="25">
        <f>_xll.DBRW($A$1,$F$14,$F$15,$C2131,$A$2,$F2131,$G2131,$H2131,J$19)</f>
        <v>107</v>
      </c>
    </row>
    <row r="2132" spans="1:10" s="23" customFormat="1" outlineLevel="1" thickBot="1" x14ac:dyDescent="0.3">
      <c r="A2132" s="44"/>
      <c r="B2132" s="31" t="str">
        <f>IF(_xll.TM1RPTELISCONSOLIDATED($H$20,$H2132),IF(_xll.TM1RPTELLEV($H$20,$H2132)&lt;=5,_xll.TM1RPTELLEV($H$20,$H2132),"Default"),"Leaf")</f>
        <v>Leaf</v>
      </c>
      <c r="C2132" s="26" t="s">
        <v>20</v>
      </c>
      <c r="D2132" s="24" t="str">
        <f>_xll.DBRW("TM1-S1_DEV:}ElementAttributes_SP_SKU",$F2132,D$1)</f>
        <v>Primary</v>
      </c>
      <c r="E2132" s="24" t="str">
        <f>_xll.DBRW("TM1-S1_DEV:}ElementAttributes_SP_SKU",$F2132,E$1)</f>
        <v>INGREDIENT</v>
      </c>
      <c r="F2132" s="26" t="s">
        <v>3240</v>
      </c>
      <c r="G2132" s="26" t="s">
        <v>2030</v>
      </c>
      <c r="H2132" s="26" t="s">
        <v>2728</v>
      </c>
      <c r="I2132" s="54">
        <f>_xll.DBRW($A$1,$F$14,$F$15,$C2132,$A$2,$F2132,$G2132,$H2132,I$1)</f>
        <v>10</v>
      </c>
      <c r="J2132" s="25">
        <f>_xll.DBRW($A$1,$F$14,$F$15,$C2132,$A$2,$F2132,$G2132,$H2132,J$19)</f>
        <v>9</v>
      </c>
    </row>
    <row r="2133" spans="1:10" s="23" customFormat="1" outlineLevel="1" thickBot="1" x14ac:dyDescent="0.3">
      <c r="A2133" s="44"/>
      <c r="B2133" s="31" t="str">
        <f>IF(_xll.TM1RPTELISCONSOLIDATED($H$20,$H2133),IF(_xll.TM1RPTELLEV($H$20,$H2133)&lt;=5,_xll.TM1RPTELLEV($H$20,$H2133),"Default"),"Leaf")</f>
        <v>Leaf</v>
      </c>
      <c r="C2133" s="26" t="s">
        <v>20</v>
      </c>
      <c r="D2133" s="24" t="str">
        <f>_xll.DBRW("TM1-S1_DEV:}ElementAttributes_SP_SKU",$F2133,D$1)</f>
        <v>Primary</v>
      </c>
      <c r="E2133" s="24" t="str">
        <f>_xll.DBRW("TM1-S1_DEV:}ElementAttributes_SP_SKU",$F2133,E$1)</f>
        <v>INGREDIENT</v>
      </c>
      <c r="F2133" s="26" t="s">
        <v>3241</v>
      </c>
      <c r="G2133" s="26" t="s">
        <v>2031</v>
      </c>
      <c r="H2133" s="26" t="s">
        <v>2734</v>
      </c>
      <c r="I2133" s="54">
        <f>_xll.DBRW($A$1,$F$14,$F$15,$C2133,$A$2,$F2133,$G2133,$H2133,I$1)</f>
        <v>646</v>
      </c>
      <c r="J2133" s="25">
        <f>_xll.DBRW($A$1,$F$14,$F$15,$C2133,$A$2,$F2133,$G2133,$H2133,J$19)</f>
        <v>646</v>
      </c>
    </row>
    <row r="2134" spans="1:10" s="23" customFormat="1" outlineLevel="1" thickBot="1" x14ac:dyDescent="0.3">
      <c r="A2134" s="44"/>
      <c r="B2134" s="31" t="str">
        <f>IF(_xll.TM1RPTELISCONSOLIDATED($H$20,$H2134),IF(_xll.TM1RPTELLEV($H$20,$H2134)&lt;=5,_xll.TM1RPTELLEV($H$20,$H2134),"Default"),"Leaf")</f>
        <v>Leaf</v>
      </c>
      <c r="C2134" s="26" t="s">
        <v>20</v>
      </c>
      <c r="D2134" s="24" t="str">
        <f>_xll.DBRW("TM1-S1_DEV:}ElementAttributes_SP_SKU",$F2134,D$1)</f>
        <v>Primary</v>
      </c>
      <c r="E2134" s="24" t="str">
        <f>_xll.DBRW("TM1-S1_DEV:}ElementAttributes_SP_SKU",$F2134,E$1)</f>
        <v>CONTAINER</v>
      </c>
      <c r="F2134" s="26" t="s">
        <v>3242</v>
      </c>
      <c r="G2134" s="26" t="s">
        <v>2032</v>
      </c>
      <c r="H2134" s="26" t="s">
        <v>2708</v>
      </c>
      <c r="I2134" s="54">
        <f>_xll.DBRW($A$1,$F$14,$F$15,$C2134,$A$2,$F2134,$G2134,$H2134,I$1)</f>
        <v>8</v>
      </c>
      <c r="J2134" s="25">
        <f>_xll.DBRW($A$1,$F$14,$F$15,$C2134,$A$2,$F2134,$G2134,$H2134,J$19)</f>
        <v>8</v>
      </c>
    </row>
    <row r="2135" spans="1:10" s="23" customFormat="1" outlineLevel="1" thickBot="1" x14ac:dyDescent="0.3">
      <c r="A2135" s="44"/>
      <c r="B2135" s="31" t="str">
        <f>IF(_xll.TM1RPTELISCONSOLIDATED($H$20,$H2135),IF(_xll.TM1RPTELLEV($H$20,$H2135)&lt;=5,_xll.TM1RPTELLEV($H$20,$H2135),"Default"),"Leaf")</f>
        <v>Leaf</v>
      </c>
      <c r="C2135" s="26" t="s">
        <v>20</v>
      </c>
      <c r="D2135" s="24" t="str">
        <f>_xll.DBRW("TM1-S1_DEV:}ElementAttributes_SP_SKU",$F2135,D$1)</f>
        <v>Primary</v>
      </c>
      <c r="E2135" s="24" t="str">
        <f>_xll.DBRW("TM1-S1_DEV:}ElementAttributes_SP_SKU",$F2135,E$1)</f>
        <v>PAD</v>
      </c>
      <c r="F2135" s="26" t="s">
        <v>3245</v>
      </c>
      <c r="G2135" s="26" t="s">
        <v>2033</v>
      </c>
      <c r="H2135" s="26" t="s">
        <v>2731</v>
      </c>
      <c r="I2135" s="54">
        <f>_xll.DBRW($A$1,$F$14,$F$15,$C2135,$A$2,$F2135,$G2135,$H2135,I$1)</f>
        <v>13</v>
      </c>
      <c r="J2135" s="25">
        <f>_xll.DBRW($A$1,$F$14,$F$15,$C2135,$A$2,$F2135,$G2135,$H2135,J$19)</f>
        <v>13</v>
      </c>
    </row>
    <row r="2136" spans="1:10" s="23" customFormat="1" outlineLevel="1" thickBot="1" x14ac:dyDescent="0.3">
      <c r="A2136" s="44"/>
      <c r="B2136" s="31" t="str">
        <f>IF(_xll.TM1RPTELISCONSOLIDATED($H$20,$H2136),IF(_xll.TM1RPTELLEV($H$20,$H2136)&lt;=5,_xll.TM1RPTELLEV($H$20,$H2136),"Default"),"Leaf")</f>
        <v>Leaf</v>
      </c>
      <c r="C2136" s="26" t="s">
        <v>21</v>
      </c>
      <c r="D2136" s="24" t="str">
        <f>_xll.DBRW("TM1-S1_DEV:}ElementAttributes_SP_SKU",$F2136,D$1)</f>
        <v>Primary</v>
      </c>
      <c r="E2136" s="24" t="str">
        <f>_xll.DBRW("TM1-S1_DEV:}ElementAttributes_SP_SKU",$F2136,E$1)</f>
        <v>HAM</v>
      </c>
      <c r="F2136" s="26" t="s">
        <v>3246</v>
      </c>
      <c r="G2136" s="26" t="s">
        <v>2034</v>
      </c>
      <c r="H2136" s="26" t="s">
        <v>2673</v>
      </c>
      <c r="I2136" s="54">
        <f>_xll.DBRW($A$1,$F$14,$F$15,$C2136,$A$2,$F2136,$G2136,$H2136,I$1)</f>
        <v>1119</v>
      </c>
      <c r="J2136" s="25">
        <f>_xll.DBRW($A$1,$F$14,$F$15,$C2136,$A$2,$F2136,$G2136,$H2136,J$19)</f>
        <v>4</v>
      </c>
    </row>
    <row r="2137" spans="1:10" s="23" customFormat="1" outlineLevel="1" thickBot="1" x14ac:dyDescent="0.3">
      <c r="A2137" s="44"/>
      <c r="B2137" s="31" t="str">
        <f>IF(_xll.TM1RPTELISCONSOLIDATED($H$20,$H2137),IF(_xll.TM1RPTELLEV($H$20,$H2137)&lt;=5,_xll.TM1RPTELLEV($H$20,$H2137),"Default"),"Leaf")</f>
        <v>Leaf</v>
      </c>
      <c r="C2137" s="26" t="s">
        <v>21</v>
      </c>
      <c r="D2137" s="24" t="str">
        <f>_xll.DBRW("TM1-S1_DEV:}ElementAttributes_SP_SKU",$F2137,D$1)</f>
        <v>Primary</v>
      </c>
      <c r="E2137" s="24" t="str">
        <f>_xll.DBRW("TM1-S1_DEV:}ElementAttributes_SP_SKU",$F2137,E$1)</f>
        <v>HAM</v>
      </c>
      <c r="F2137" s="26" t="s">
        <v>3247</v>
      </c>
      <c r="G2137" s="26" t="s">
        <v>2035</v>
      </c>
      <c r="H2137" s="26" t="s">
        <v>2673</v>
      </c>
      <c r="I2137" s="54">
        <f>_xll.DBRW($A$1,$F$14,$F$15,$C2137,$A$2,$F2137,$G2137,$H2137,I$1)</f>
        <v>1336</v>
      </c>
      <c r="J2137" s="25">
        <f>_xll.DBRW($A$1,$F$14,$F$15,$C2137,$A$2,$F2137,$G2137,$H2137,J$19)</f>
        <v>4</v>
      </c>
    </row>
    <row r="2138" spans="1:10" s="23" customFormat="1" outlineLevel="1" thickBot="1" x14ac:dyDescent="0.3">
      <c r="A2138" s="44"/>
      <c r="B2138" s="31" t="str">
        <f>IF(_xll.TM1RPTELISCONSOLIDATED($H$20,$H2138),IF(_xll.TM1RPTELLEV($H$20,$H2138)&lt;=5,_xll.TM1RPTELLEV($H$20,$H2138),"Default"),"Leaf")</f>
        <v>Leaf</v>
      </c>
      <c r="C2138" s="26" t="s">
        <v>21</v>
      </c>
      <c r="D2138" s="24" t="str">
        <f>_xll.DBRW("TM1-S1_DEV:}ElementAttributes_SP_SKU",$F2138,D$1)</f>
        <v>Primary</v>
      </c>
      <c r="E2138" s="24" t="str">
        <f>_xll.DBRW("TM1-S1_DEV:}ElementAttributes_SP_SKU",$F2138,E$1)</f>
        <v>HAM</v>
      </c>
      <c r="F2138" s="26" t="s">
        <v>3248</v>
      </c>
      <c r="G2138" s="26" t="s">
        <v>2036</v>
      </c>
      <c r="H2138" s="26" t="s">
        <v>2673</v>
      </c>
      <c r="I2138" s="54">
        <f>_xll.DBRW($A$1,$F$14,$F$15,$C2138,$A$2,$F2138,$G2138,$H2138,I$1)</f>
        <v>949</v>
      </c>
      <c r="J2138" s="25">
        <f>_xll.DBRW($A$1,$F$14,$F$15,$C2138,$A$2,$F2138,$G2138,$H2138,J$19)</f>
        <v>4</v>
      </c>
    </row>
    <row r="2139" spans="1:10" s="23" customFormat="1" outlineLevel="1" thickBot="1" x14ac:dyDescent="0.3">
      <c r="A2139" s="44"/>
      <c r="B2139" s="31" t="str">
        <f>IF(_xll.TM1RPTELISCONSOLIDATED($H$20,$H2139),IF(_xll.TM1RPTELLEV($H$20,$H2139)&lt;=5,_xll.TM1RPTELLEV($H$20,$H2139),"Default"),"Leaf")</f>
        <v>Leaf</v>
      </c>
      <c r="C2139" s="26" t="s">
        <v>21</v>
      </c>
      <c r="D2139" s="24" t="str">
        <f>_xll.DBRW("TM1-S1_DEV:}ElementAttributes_SP_SKU",$F2139,D$1)</f>
        <v>Primary</v>
      </c>
      <c r="E2139" s="24" t="str">
        <f>_xll.DBRW("TM1-S1_DEV:}ElementAttributes_SP_SKU",$F2139,E$1)</f>
        <v>HAM</v>
      </c>
      <c r="F2139" s="26" t="s">
        <v>3249</v>
      </c>
      <c r="G2139" s="26" t="s">
        <v>2037</v>
      </c>
      <c r="H2139" s="26" t="s">
        <v>2673</v>
      </c>
      <c r="I2139" s="54">
        <f>_xll.DBRW($A$1,$F$14,$F$15,$C2139,$A$2,$F2139,$G2139,$H2139,I$1)</f>
        <v>484</v>
      </c>
      <c r="J2139" s="25">
        <f>_xll.DBRW($A$1,$F$14,$F$15,$C2139,$A$2,$F2139,$G2139,$H2139,J$19)</f>
        <v>3</v>
      </c>
    </row>
    <row r="2140" spans="1:10" s="23" customFormat="1" outlineLevel="1" thickBot="1" x14ac:dyDescent="0.3">
      <c r="A2140" s="44"/>
      <c r="B2140" s="31" t="str">
        <f>IF(_xll.TM1RPTELISCONSOLIDATED($H$20,$H2140),IF(_xll.TM1RPTELLEV($H$20,$H2140)&lt;=5,_xll.TM1RPTELLEV($H$20,$H2140),"Default"),"Leaf")</f>
        <v>Leaf</v>
      </c>
      <c r="C2140" s="26" t="s">
        <v>21</v>
      </c>
      <c r="D2140" s="24" t="str">
        <f>_xll.DBRW("TM1-S1_DEV:}ElementAttributes_SP_SKU",$F2140,D$1)</f>
        <v>Primary</v>
      </c>
      <c r="E2140" s="24" t="str">
        <f>_xll.DBRW("TM1-S1_DEV:}ElementAttributes_SP_SKU",$F2140,E$1)</f>
        <v>HAM</v>
      </c>
      <c r="F2140" s="26" t="s">
        <v>3250</v>
      </c>
      <c r="G2140" s="26" t="s">
        <v>2038</v>
      </c>
      <c r="H2140" s="26" t="s">
        <v>2673</v>
      </c>
      <c r="I2140" s="54">
        <f>_xll.DBRW($A$1,$F$14,$F$15,$C2140,$A$2,$F2140,$G2140,$H2140,I$1)</f>
        <v>156</v>
      </c>
      <c r="J2140" s="25">
        <f>_xll.DBRW($A$1,$F$14,$F$15,$C2140,$A$2,$F2140,$G2140,$H2140,J$19)</f>
        <v>0</v>
      </c>
    </row>
    <row r="2141" spans="1:10" s="23" customFormat="1" outlineLevel="1" thickBot="1" x14ac:dyDescent="0.3">
      <c r="A2141" s="44"/>
      <c r="B2141" s="31" t="str">
        <f>IF(_xll.TM1RPTELISCONSOLIDATED($H$20,$H2141),IF(_xll.TM1RPTELLEV($H$20,$H2141)&lt;=5,_xll.TM1RPTELLEV($H$20,$H2141),"Default"),"Leaf")</f>
        <v>Leaf</v>
      </c>
      <c r="C2141" s="26" t="s">
        <v>21</v>
      </c>
      <c r="D2141" s="24" t="str">
        <f>_xll.DBRW("TM1-S1_DEV:}ElementAttributes_SP_SKU",$F2141,D$1)</f>
        <v>Primary</v>
      </c>
      <c r="E2141" s="24" t="str">
        <f>_xll.DBRW("TM1-S1_DEV:}ElementAttributes_SP_SKU",$F2141,E$1)</f>
        <v>HAM</v>
      </c>
      <c r="F2141" s="26" t="s">
        <v>3251</v>
      </c>
      <c r="G2141" s="26" t="s">
        <v>2039</v>
      </c>
      <c r="H2141" s="26" t="s">
        <v>2673</v>
      </c>
      <c r="I2141" s="54">
        <f>_xll.DBRW($A$1,$F$14,$F$15,$C2141,$A$2,$F2141,$G2141,$H2141,I$1)</f>
        <v>1006</v>
      </c>
      <c r="J2141" s="25">
        <f>_xll.DBRW($A$1,$F$14,$F$15,$C2141,$A$2,$F2141,$G2141,$H2141,J$19)</f>
        <v>8</v>
      </c>
    </row>
    <row r="2142" spans="1:10" s="23" customFormat="1" outlineLevel="1" thickBot="1" x14ac:dyDescent="0.3">
      <c r="A2142" s="44"/>
      <c r="B2142" s="31" t="str">
        <f>IF(_xll.TM1RPTELISCONSOLIDATED($H$20,$H2142),IF(_xll.TM1RPTELLEV($H$20,$H2142)&lt;=5,_xll.TM1RPTELLEV($H$20,$H2142),"Default"),"Leaf")</f>
        <v>Leaf</v>
      </c>
      <c r="C2142" s="26" t="s">
        <v>21</v>
      </c>
      <c r="D2142" s="24" t="str">
        <f>_xll.DBRW("TM1-S1_DEV:}ElementAttributes_SP_SKU",$F2142,D$1)</f>
        <v>Primary</v>
      </c>
      <c r="E2142" s="24" t="str">
        <f>_xll.DBRW("TM1-S1_DEV:}ElementAttributes_SP_SKU",$F2142,E$1)</f>
        <v>TURKEY</v>
      </c>
      <c r="F2142" s="26" t="s">
        <v>3110</v>
      </c>
      <c r="G2142" s="26" t="s">
        <v>2041</v>
      </c>
      <c r="H2142" s="26" t="s">
        <v>2671</v>
      </c>
      <c r="I2142" s="54">
        <f>_xll.DBRW($A$1,$F$14,$F$15,$C2142,$A$2,$F2142,$G2142,$H2142,I$1)</f>
        <v>494</v>
      </c>
      <c r="J2142" s="25">
        <f>_xll.DBRW($A$1,$F$14,$F$15,$C2142,$A$2,$F2142,$G2142,$H2142,J$19)</f>
        <v>223</v>
      </c>
    </row>
    <row r="2143" spans="1:10" s="23" customFormat="1" outlineLevel="1" thickBot="1" x14ac:dyDescent="0.3">
      <c r="A2143" s="44"/>
      <c r="B2143" s="31" t="str">
        <f>IF(_xll.TM1RPTELISCONSOLIDATED($H$20,$H2143),IF(_xll.TM1RPTELLEV($H$20,$H2143)&lt;=5,_xll.TM1RPTELLEV($H$20,$H2143),"Default"),"Leaf")</f>
        <v>Leaf</v>
      </c>
      <c r="C2143" s="26" t="s">
        <v>21</v>
      </c>
      <c r="D2143" s="24" t="str">
        <f>_xll.DBRW("TM1-S1_DEV:}ElementAttributes_SP_SKU",$F2143,D$1)</f>
        <v>Primary</v>
      </c>
      <c r="E2143" s="24" t="str">
        <f>_xll.DBRW("TM1-S1_DEV:}ElementAttributes_SP_SKU",$F2143,E$1)</f>
        <v>TURKEY</v>
      </c>
      <c r="F2143" s="26" t="s">
        <v>3111</v>
      </c>
      <c r="G2143" s="26" t="s">
        <v>2042</v>
      </c>
      <c r="H2143" s="26" t="s">
        <v>2671</v>
      </c>
      <c r="I2143" s="54">
        <f>_xll.DBRW($A$1,$F$14,$F$15,$C2143,$A$2,$F2143,$G2143,$H2143,I$1)</f>
        <v>343</v>
      </c>
      <c r="J2143" s="25">
        <f>_xll.DBRW($A$1,$F$14,$F$15,$C2143,$A$2,$F2143,$G2143,$H2143,J$19)</f>
        <v>213</v>
      </c>
    </row>
    <row r="2144" spans="1:10" s="23" customFormat="1" outlineLevel="1" thickBot="1" x14ac:dyDescent="0.3">
      <c r="A2144" s="44"/>
      <c r="B2144" s="31" t="str">
        <f>IF(_xll.TM1RPTELISCONSOLIDATED($H$20,$H2144),IF(_xll.TM1RPTELLEV($H$20,$H2144)&lt;=5,_xll.TM1RPTELLEV($H$20,$H2144),"Default"),"Leaf")</f>
        <v>Leaf</v>
      </c>
      <c r="C2144" s="26" t="s">
        <v>21</v>
      </c>
      <c r="D2144" s="24" t="str">
        <f>_xll.DBRW("TM1-S1_DEV:}ElementAttributes_SP_SKU",$F2144,D$1)</f>
        <v>Primary</v>
      </c>
      <c r="E2144" s="24" t="str">
        <f>_xll.DBRW("TM1-S1_DEV:}ElementAttributes_SP_SKU",$F2144,E$1)</f>
        <v>PROTEIN</v>
      </c>
      <c r="F2144" s="26" t="s">
        <v>3112</v>
      </c>
      <c r="G2144" s="26" t="s">
        <v>2043</v>
      </c>
      <c r="H2144" s="26" t="s">
        <v>2672</v>
      </c>
      <c r="I2144" s="54">
        <f>_xll.DBRW($A$1,$F$14,$F$15,$C2144,$A$2,$F2144,$G2144,$H2144,I$1)</f>
        <v>38</v>
      </c>
      <c r="J2144" s="25">
        <f>_xll.DBRW($A$1,$F$14,$F$15,$C2144,$A$2,$F2144,$G2144,$H2144,J$19)</f>
        <v>19</v>
      </c>
    </row>
    <row r="2145" spans="1:10" s="23" customFormat="1" outlineLevel="1" thickBot="1" x14ac:dyDescent="0.3">
      <c r="A2145" s="44"/>
      <c r="B2145" s="31" t="str">
        <f>IF(_xll.TM1RPTELISCONSOLIDATED($H$20,$H2145),IF(_xll.TM1RPTELLEV($H$20,$H2145)&lt;=5,_xll.TM1RPTELLEV($H$20,$H2145),"Default"),"Leaf")</f>
        <v>Leaf</v>
      </c>
      <c r="C2145" s="26" t="s">
        <v>21</v>
      </c>
      <c r="D2145" s="24" t="str">
        <f>_xll.DBRW("TM1-S1_DEV:}ElementAttributes_SP_SKU",$F2145,D$1)</f>
        <v>Primary</v>
      </c>
      <c r="E2145" s="24" t="str">
        <f>_xll.DBRW("TM1-S1_DEV:}ElementAttributes_SP_SKU",$F2145,E$1)</f>
        <v>PROTEIN</v>
      </c>
      <c r="F2145" s="26" t="s">
        <v>3114</v>
      </c>
      <c r="G2145" s="26" t="s">
        <v>2045</v>
      </c>
      <c r="H2145" s="26" t="s">
        <v>2672</v>
      </c>
      <c r="I2145" s="54">
        <f>_xll.DBRW($A$1,$F$14,$F$15,$C2145,$A$2,$F2145,$G2145,$H2145,I$1)</f>
        <v>72</v>
      </c>
      <c r="J2145" s="25">
        <f>_xll.DBRW($A$1,$F$14,$F$15,$C2145,$A$2,$F2145,$G2145,$H2145,J$19)</f>
        <v>40</v>
      </c>
    </row>
    <row r="2146" spans="1:10" s="23" customFormat="1" outlineLevel="1" thickBot="1" x14ac:dyDescent="0.3">
      <c r="A2146" s="44"/>
      <c r="B2146" s="31" t="str">
        <f>IF(_xll.TM1RPTELISCONSOLIDATED($H$20,$H2146),IF(_xll.TM1RPTELLEV($H$20,$H2146)&lt;=5,_xll.TM1RPTELLEV($H$20,$H2146),"Default"),"Leaf")</f>
        <v>Leaf</v>
      </c>
      <c r="C2146" s="26" t="s">
        <v>21</v>
      </c>
      <c r="D2146" s="24" t="str">
        <f>_xll.DBRW("TM1-S1_DEV:}ElementAttributes_SP_SKU",$F2146,D$1)</f>
        <v>Primary</v>
      </c>
      <c r="E2146" s="24" t="str">
        <f>_xll.DBRW("TM1-S1_DEV:}ElementAttributes_SP_SKU",$F2146,E$1)</f>
        <v>PROTEIN</v>
      </c>
      <c r="F2146" s="26" t="s">
        <v>3115</v>
      </c>
      <c r="G2146" s="26" t="s">
        <v>2046</v>
      </c>
      <c r="H2146" s="26" t="s">
        <v>2672</v>
      </c>
      <c r="I2146" s="54">
        <f>_xll.DBRW($A$1,$F$14,$F$15,$C2146,$A$2,$F2146,$G2146,$H2146,I$1)</f>
        <v>28</v>
      </c>
      <c r="J2146" s="25">
        <f>_xll.DBRW($A$1,$F$14,$F$15,$C2146,$A$2,$F2146,$G2146,$H2146,J$19)</f>
        <v>6</v>
      </c>
    </row>
    <row r="2147" spans="1:10" s="23" customFormat="1" outlineLevel="1" thickBot="1" x14ac:dyDescent="0.3">
      <c r="A2147" s="44"/>
      <c r="B2147" s="31" t="str">
        <f>IF(_xll.TM1RPTELISCONSOLIDATED($H$20,$H2147),IF(_xll.TM1RPTELLEV($H$20,$H2147)&lt;=5,_xll.TM1RPTELLEV($H$20,$H2147),"Default"),"Leaf")</f>
        <v>Leaf</v>
      </c>
      <c r="C2147" s="26" t="s">
        <v>21</v>
      </c>
      <c r="D2147" s="24" t="str">
        <f>_xll.DBRW("TM1-S1_DEV:}ElementAttributes_SP_SKU",$F2147,D$1)</f>
        <v>Primary</v>
      </c>
      <c r="E2147" s="24" t="str">
        <f>_xll.DBRW("TM1-S1_DEV:}ElementAttributes_SP_SKU",$F2147,E$1)</f>
        <v>SOUP</v>
      </c>
      <c r="F2147" s="26" t="s">
        <v>3116</v>
      </c>
      <c r="G2147" s="26" t="s">
        <v>2047</v>
      </c>
      <c r="H2147" s="26" t="s">
        <v>2674</v>
      </c>
      <c r="I2147" s="54">
        <f>_xll.DBRW($A$1,$F$14,$F$15,$C2147,$A$2,$F2147,$G2147,$H2147,I$1)</f>
        <v>28</v>
      </c>
      <c r="J2147" s="25">
        <f>_xll.DBRW($A$1,$F$14,$F$15,$C2147,$A$2,$F2147,$G2147,$H2147,J$19)</f>
        <v>23</v>
      </c>
    </row>
    <row r="2148" spans="1:10" s="23" customFormat="1" outlineLevel="1" thickBot="1" x14ac:dyDescent="0.3">
      <c r="A2148" s="44"/>
      <c r="B2148" s="31" t="str">
        <f>IF(_xll.TM1RPTELISCONSOLIDATED($H$20,$H2148),IF(_xll.TM1RPTELLEV($H$20,$H2148)&lt;=5,_xll.TM1RPTELLEV($H$20,$H2148),"Default"),"Leaf")</f>
        <v>Leaf</v>
      </c>
      <c r="C2148" s="26" t="s">
        <v>21</v>
      </c>
      <c r="D2148" s="24" t="str">
        <f>_xll.DBRW("TM1-S1_DEV:}ElementAttributes_SP_SKU",$F2148,D$1)</f>
        <v>Primary</v>
      </c>
      <c r="E2148" s="24" t="str">
        <f>_xll.DBRW("TM1-S1_DEV:}ElementAttributes_SP_SKU",$F2148,E$1)</f>
        <v>SOUP</v>
      </c>
      <c r="F2148" s="26" t="s">
        <v>3117</v>
      </c>
      <c r="G2148" s="26" t="s">
        <v>2048</v>
      </c>
      <c r="H2148" s="26" t="s">
        <v>2674</v>
      </c>
      <c r="I2148" s="54">
        <f>_xll.DBRW($A$1,$F$14,$F$15,$C2148,$A$2,$F2148,$G2148,$H2148,I$1)</f>
        <v>20</v>
      </c>
      <c r="J2148" s="25">
        <f>_xll.DBRW($A$1,$F$14,$F$15,$C2148,$A$2,$F2148,$G2148,$H2148,J$19)</f>
        <v>15</v>
      </c>
    </row>
    <row r="2149" spans="1:10" s="23" customFormat="1" outlineLevel="1" thickBot="1" x14ac:dyDescent="0.3">
      <c r="A2149" s="44"/>
      <c r="B2149" s="31" t="str">
        <f>IF(_xll.TM1RPTELISCONSOLIDATED($H$20,$H2149),IF(_xll.TM1RPTELLEV($H$20,$H2149)&lt;=5,_xll.TM1RPTELLEV($H$20,$H2149),"Default"),"Leaf")</f>
        <v>Leaf</v>
      </c>
      <c r="C2149" s="26" t="s">
        <v>21</v>
      </c>
      <c r="D2149" s="24" t="str">
        <f>_xll.DBRW("TM1-S1_DEV:}ElementAttributes_SP_SKU",$F2149,D$1)</f>
        <v>Primary</v>
      </c>
      <c r="E2149" s="24" t="str">
        <f>_xll.DBRW("TM1-S1_DEV:}ElementAttributes_SP_SKU",$F2149,E$1)</f>
        <v>SOUP</v>
      </c>
      <c r="F2149" s="26" t="s">
        <v>3118</v>
      </c>
      <c r="G2149" s="26" t="s">
        <v>2049</v>
      </c>
      <c r="H2149" s="26" t="s">
        <v>2674</v>
      </c>
      <c r="I2149" s="54">
        <f>_xll.DBRW($A$1,$F$14,$F$15,$C2149,$A$2,$F2149,$G2149,$H2149,I$1)</f>
        <v>23</v>
      </c>
      <c r="J2149" s="25">
        <f>_xll.DBRW($A$1,$F$14,$F$15,$C2149,$A$2,$F2149,$G2149,$H2149,J$19)</f>
        <v>18</v>
      </c>
    </row>
    <row r="2150" spans="1:10" s="23" customFormat="1" outlineLevel="1" thickBot="1" x14ac:dyDescent="0.3">
      <c r="A2150" s="44"/>
      <c r="B2150" s="31" t="str">
        <f>IF(_xll.TM1RPTELISCONSOLIDATED($H$20,$H2150),IF(_xll.TM1RPTELLEV($H$20,$H2150)&lt;=5,_xll.TM1RPTELLEV($H$20,$H2150),"Default"),"Leaf")</f>
        <v>Leaf</v>
      </c>
      <c r="C2150" s="26" t="s">
        <v>21</v>
      </c>
      <c r="D2150" s="24" t="str">
        <f>_xll.DBRW("TM1-S1_DEV:}ElementAttributes_SP_SKU",$F2150,D$1)</f>
        <v>Primary</v>
      </c>
      <c r="E2150" s="24" t="str">
        <f>_xll.DBRW("TM1-S1_DEV:}ElementAttributes_SP_SKU",$F2150,E$1)</f>
        <v>PROTEIN</v>
      </c>
      <c r="F2150" s="26" t="s">
        <v>3119</v>
      </c>
      <c r="G2150" s="26" t="s">
        <v>2050</v>
      </c>
      <c r="H2150" s="26" t="s">
        <v>2670</v>
      </c>
      <c r="I2150" s="54">
        <f>_xll.DBRW($A$1,$F$14,$F$15,$C2150,$A$2,$F2150,$G2150,$H2150,I$1)</f>
        <v>9</v>
      </c>
      <c r="J2150" s="25">
        <f>_xll.DBRW($A$1,$F$14,$F$15,$C2150,$A$2,$F2150,$G2150,$H2150,J$19)</f>
        <v>2</v>
      </c>
    </row>
    <row r="2151" spans="1:10" s="23" customFormat="1" outlineLevel="1" thickBot="1" x14ac:dyDescent="0.3">
      <c r="A2151" s="44"/>
      <c r="B2151" s="31" t="str">
        <f>IF(_xll.TM1RPTELISCONSOLIDATED($H$20,$H2151),IF(_xll.TM1RPTELLEV($H$20,$H2151)&lt;=5,_xll.TM1RPTELLEV($H$20,$H2151),"Default"),"Leaf")</f>
        <v>Leaf</v>
      </c>
      <c r="C2151" s="26" t="s">
        <v>21</v>
      </c>
      <c r="D2151" s="24" t="str">
        <f>_xll.DBRW("TM1-S1_DEV:}ElementAttributes_SP_SKU",$F2151,D$1)</f>
        <v>Primary</v>
      </c>
      <c r="E2151" s="24" t="str">
        <f>_xll.DBRW("TM1-S1_DEV:}ElementAttributes_SP_SKU",$F2151,E$1)</f>
        <v>PROTEIN</v>
      </c>
      <c r="F2151" s="26" t="s">
        <v>3120</v>
      </c>
      <c r="G2151" s="26" t="s">
        <v>2051</v>
      </c>
      <c r="H2151" s="26" t="s">
        <v>2670</v>
      </c>
      <c r="I2151" s="54">
        <f>_xll.DBRW($A$1,$F$14,$F$15,$C2151,$A$2,$F2151,$G2151,$H2151,I$1)</f>
        <v>9</v>
      </c>
      <c r="J2151" s="25">
        <f>_xll.DBRW($A$1,$F$14,$F$15,$C2151,$A$2,$F2151,$G2151,$H2151,J$19)</f>
        <v>3</v>
      </c>
    </row>
    <row r="2152" spans="1:10" s="23" customFormat="1" outlineLevel="1" thickBot="1" x14ac:dyDescent="0.3">
      <c r="A2152" s="44"/>
      <c r="B2152" s="31" t="str">
        <f>IF(_xll.TM1RPTELISCONSOLIDATED($H$20,$H2152),IF(_xll.TM1RPTELLEV($H$20,$H2152)&lt;=5,_xll.TM1RPTELLEV($H$20,$H2152),"Default"),"Leaf")</f>
        <v>Leaf</v>
      </c>
      <c r="C2152" s="26" t="s">
        <v>21</v>
      </c>
      <c r="D2152" s="24" t="str">
        <f>_xll.DBRW("TM1-S1_DEV:}ElementAttributes_SP_SKU",$F2152,D$1)</f>
        <v>Primary</v>
      </c>
      <c r="E2152" s="24" t="str">
        <f>_xll.DBRW("TM1-S1_DEV:}ElementAttributes_SP_SKU",$F2152,E$1)</f>
        <v>SOUP</v>
      </c>
      <c r="F2152" s="26" t="s">
        <v>3121</v>
      </c>
      <c r="G2152" s="26" t="s">
        <v>2052</v>
      </c>
      <c r="H2152" s="26" t="s">
        <v>2675</v>
      </c>
      <c r="I2152" s="54">
        <f>_xll.DBRW($A$1,$F$14,$F$15,$C2152,$A$2,$F2152,$G2152,$H2152,I$1)</f>
        <v>4</v>
      </c>
      <c r="J2152" s="25">
        <f>_xll.DBRW($A$1,$F$14,$F$15,$C2152,$A$2,$F2152,$G2152,$H2152,J$19)</f>
        <v>4</v>
      </c>
    </row>
    <row r="2153" spans="1:10" s="23" customFormat="1" outlineLevel="1" thickBot="1" x14ac:dyDescent="0.3">
      <c r="A2153" s="44"/>
      <c r="B2153" s="31" t="str">
        <f>IF(_xll.TM1RPTELISCONSOLIDATED($H$20,$H2153),IF(_xll.TM1RPTELLEV($H$20,$H2153)&lt;=5,_xll.TM1RPTELLEV($H$20,$H2153),"Default"),"Leaf")</f>
        <v>Leaf</v>
      </c>
      <c r="C2153" s="26" t="s">
        <v>21</v>
      </c>
      <c r="D2153" s="24" t="str">
        <f>_xll.DBRW("TM1-S1_DEV:}ElementAttributes_SP_SKU",$F2153,D$1)</f>
        <v>Primary</v>
      </c>
      <c r="E2153" s="24" t="str">
        <f>_xll.DBRW("TM1-S1_DEV:}ElementAttributes_SP_SKU",$F2153,E$1)</f>
        <v>SOUP</v>
      </c>
      <c r="F2153" s="26" t="s">
        <v>3122</v>
      </c>
      <c r="G2153" s="26" t="s">
        <v>2053</v>
      </c>
      <c r="H2153" s="26" t="s">
        <v>2675</v>
      </c>
      <c r="I2153" s="54">
        <f>_xll.DBRW($A$1,$F$14,$F$15,$C2153,$A$2,$F2153,$G2153,$H2153,I$1)</f>
        <v>4</v>
      </c>
      <c r="J2153" s="25">
        <f>_xll.DBRW($A$1,$F$14,$F$15,$C2153,$A$2,$F2153,$G2153,$H2153,J$19)</f>
        <v>4</v>
      </c>
    </row>
    <row r="2154" spans="1:10" s="23" customFormat="1" outlineLevel="1" thickBot="1" x14ac:dyDescent="0.3">
      <c r="A2154" s="44"/>
      <c r="B2154" s="31" t="str">
        <f>IF(_xll.TM1RPTELISCONSOLIDATED($H$20,$H2154),IF(_xll.TM1RPTELLEV($H$20,$H2154)&lt;=5,_xll.TM1RPTELLEV($H$20,$H2154),"Default"),"Leaf")</f>
        <v>Leaf</v>
      </c>
      <c r="C2154" s="26" t="s">
        <v>21</v>
      </c>
      <c r="D2154" s="24" t="str">
        <f>_xll.DBRW("TM1-S1_DEV:}ElementAttributes_SP_SKU",$F2154,D$1)</f>
        <v>Primary</v>
      </c>
      <c r="E2154" s="24" t="str">
        <f>_xll.DBRW("TM1-S1_DEV:}ElementAttributes_SP_SKU",$F2154,E$1)</f>
        <v>SIDES</v>
      </c>
      <c r="F2154" s="26" t="s">
        <v>3123</v>
      </c>
      <c r="G2154" s="26" t="s">
        <v>2054</v>
      </c>
      <c r="H2154" s="26" t="s">
        <v>2676</v>
      </c>
      <c r="I2154" s="54">
        <f>_xll.DBRW($A$1,$F$14,$F$15,$C2154,$A$2,$F2154,$G2154,$H2154,I$1)</f>
        <v>80</v>
      </c>
      <c r="J2154" s="25">
        <f>_xll.DBRW($A$1,$F$14,$F$15,$C2154,$A$2,$F2154,$G2154,$H2154,J$19)</f>
        <v>28</v>
      </c>
    </row>
    <row r="2155" spans="1:10" s="23" customFormat="1" outlineLevel="1" thickBot="1" x14ac:dyDescent="0.3">
      <c r="A2155" s="44"/>
      <c r="B2155" s="31" t="str">
        <f>IF(_xll.TM1RPTELISCONSOLIDATED($H$20,$H2155),IF(_xll.TM1RPTELLEV($H$20,$H2155)&lt;=5,_xll.TM1RPTELLEV($H$20,$H2155),"Default"),"Leaf")</f>
        <v>Leaf</v>
      </c>
      <c r="C2155" s="26" t="s">
        <v>21</v>
      </c>
      <c r="D2155" s="24" t="str">
        <f>_xll.DBRW("TM1-S1_DEV:}ElementAttributes_SP_SKU",$F2155,D$1)</f>
        <v>Primary</v>
      </c>
      <c r="E2155" s="24" t="str">
        <f>_xll.DBRW("TM1-S1_DEV:}ElementAttributes_SP_SKU",$F2155,E$1)</f>
        <v>SIDES</v>
      </c>
      <c r="F2155" s="26" t="s">
        <v>3124</v>
      </c>
      <c r="G2155" s="26" t="s">
        <v>2055</v>
      </c>
      <c r="H2155" s="26" t="s">
        <v>2676</v>
      </c>
      <c r="I2155" s="54">
        <f>_xll.DBRW($A$1,$F$14,$F$15,$C2155,$A$2,$F2155,$G2155,$H2155,I$1)</f>
        <v>89</v>
      </c>
      <c r="J2155" s="25">
        <f>_xll.DBRW($A$1,$F$14,$F$15,$C2155,$A$2,$F2155,$G2155,$H2155,J$19)</f>
        <v>29</v>
      </c>
    </row>
    <row r="2156" spans="1:10" s="23" customFormat="1" outlineLevel="1" thickBot="1" x14ac:dyDescent="0.3">
      <c r="A2156" s="44"/>
      <c r="B2156" s="31" t="str">
        <f>IF(_xll.TM1RPTELISCONSOLIDATED($H$20,$H2156),IF(_xll.TM1RPTELLEV($H$20,$H2156)&lt;=5,_xll.TM1RPTELLEV($H$20,$H2156),"Default"),"Leaf")</f>
        <v>Leaf</v>
      </c>
      <c r="C2156" s="26" t="s">
        <v>21</v>
      </c>
      <c r="D2156" s="24" t="str">
        <f>_xll.DBRW("TM1-S1_DEV:}ElementAttributes_SP_SKU",$F2156,D$1)</f>
        <v>Primary</v>
      </c>
      <c r="E2156" s="24" t="str">
        <f>_xll.DBRW("TM1-S1_DEV:}ElementAttributes_SP_SKU",$F2156,E$1)</f>
        <v>SIDES</v>
      </c>
      <c r="F2156" s="26" t="s">
        <v>3125</v>
      </c>
      <c r="G2156" s="26" t="s">
        <v>2056</v>
      </c>
      <c r="H2156" s="26" t="s">
        <v>2676</v>
      </c>
      <c r="I2156" s="54">
        <f>_xll.DBRW($A$1,$F$14,$F$15,$C2156,$A$2,$F2156,$G2156,$H2156,I$1)</f>
        <v>90</v>
      </c>
      <c r="J2156" s="25">
        <f>_xll.DBRW($A$1,$F$14,$F$15,$C2156,$A$2,$F2156,$G2156,$H2156,J$19)</f>
        <v>67</v>
      </c>
    </row>
    <row r="2157" spans="1:10" s="23" customFormat="1" outlineLevel="1" thickBot="1" x14ac:dyDescent="0.3">
      <c r="A2157" s="44"/>
      <c r="B2157" s="31" t="str">
        <f>IF(_xll.TM1RPTELISCONSOLIDATED($H$20,$H2157),IF(_xll.TM1RPTELLEV($H$20,$H2157)&lt;=5,_xll.TM1RPTELLEV($H$20,$H2157),"Default"),"Leaf")</f>
        <v>Leaf</v>
      </c>
      <c r="C2157" s="26" t="s">
        <v>21</v>
      </c>
      <c r="D2157" s="24" t="str">
        <f>_xll.DBRW("TM1-S1_DEV:}ElementAttributes_SP_SKU",$F2157,D$1)</f>
        <v>Primary</v>
      </c>
      <c r="E2157" s="24" t="str">
        <f>_xll.DBRW("TM1-S1_DEV:}ElementAttributes_SP_SKU",$F2157,E$1)</f>
        <v>SIDES</v>
      </c>
      <c r="F2157" s="26" t="s">
        <v>3126</v>
      </c>
      <c r="G2157" s="26" t="s">
        <v>2057</v>
      </c>
      <c r="H2157" s="26" t="s">
        <v>2676</v>
      </c>
      <c r="I2157" s="54">
        <f>_xll.DBRW($A$1,$F$14,$F$15,$C2157,$A$2,$F2157,$G2157,$H2157,I$1)</f>
        <v>132</v>
      </c>
      <c r="J2157" s="25">
        <f>_xll.DBRW($A$1,$F$14,$F$15,$C2157,$A$2,$F2157,$G2157,$H2157,J$19)</f>
        <v>49</v>
      </c>
    </row>
    <row r="2158" spans="1:10" s="23" customFormat="1" outlineLevel="1" thickBot="1" x14ac:dyDescent="0.3">
      <c r="A2158" s="44"/>
      <c r="B2158" s="31" t="str">
        <f>IF(_xll.TM1RPTELISCONSOLIDATED($H$20,$H2158),IF(_xll.TM1RPTELLEV($H$20,$H2158)&lt;=5,_xll.TM1RPTELLEV($H$20,$H2158),"Default"),"Leaf")</f>
        <v>Leaf</v>
      </c>
      <c r="C2158" s="26" t="s">
        <v>21</v>
      </c>
      <c r="D2158" s="24" t="str">
        <f>_xll.DBRW("TM1-S1_DEV:}ElementAttributes_SP_SKU",$F2158,D$1)</f>
        <v>Primary</v>
      </c>
      <c r="E2158" s="24" t="str">
        <f>_xll.DBRW("TM1-S1_DEV:}ElementAttributes_SP_SKU",$F2158,E$1)</f>
        <v>SIDES</v>
      </c>
      <c r="F2158" s="26" t="s">
        <v>3127</v>
      </c>
      <c r="G2158" s="26" t="s">
        <v>2058</v>
      </c>
      <c r="H2158" s="26" t="s">
        <v>2676</v>
      </c>
      <c r="I2158" s="54">
        <f>_xll.DBRW($A$1,$F$14,$F$15,$C2158,$A$2,$F2158,$G2158,$H2158,I$1)</f>
        <v>111</v>
      </c>
      <c r="J2158" s="25">
        <f>_xll.DBRW($A$1,$F$14,$F$15,$C2158,$A$2,$F2158,$G2158,$H2158,J$19)</f>
        <v>36</v>
      </c>
    </row>
    <row r="2159" spans="1:10" s="23" customFormat="1" outlineLevel="1" thickBot="1" x14ac:dyDescent="0.3">
      <c r="A2159" s="44"/>
      <c r="B2159" s="31" t="str">
        <f>IF(_xll.TM1RPTELISCONSOLIDATED($H$20,$H2159),IF(_xll.TM1RPTELLEV($H$20,$H2159)&lt;=5,_xll.TM1RPTELLEV($H$20,$H2159),"Default"),"Leaf")</f>
        <v>Leaf</v>
      </c>
      <c r="C2159" s="26" t="s">
        <v>21</v>
      </c>
      <c r="D2159" s="24" t="str">
        <f>_xll.DBRW("TM1-S1_DEV:}ElementAttributes_SP_SKU",$F2159,D$1)</f>
        <v>Primary</v>
      </c>
      <c r="E2159" s="24" t="str">
        <f>_xll.DBRW("TM1-S1_DEV:}ElementAttributes_SP_SKU",$F2159,E$1)</f>
        <v>SIDES</v>
      </c>
      <c r="F2159" s="26" t="s">
        <v>3128</v>
      </c>
      <c r="G2159" s="26" t="s">
        <v>2059</v>
      </c>
      <c r="H2159" s="26" t="s">
        <v>2676</v>
      </c>
      <c r="I2159" s="54">
        <f>_xll.DBRW($A$1,$F$14,$F$15,$C2159,$A$2,$F2159,$G2159,$H2159,I$1)</f>
        <v>168</v>
      </c>
      <c r="J2159" s="25">
        <f>_xll.DBRW($A$1,$F$14,$F$15,$C2159,$A$2,$F2159,$G2159,$H2159,J$19)</f>
        <v>45</v>
      </c>
    </row>
    <row r="2160" spans="1:10" s="23" customFormat="1" outlineLevel="1" thickBot="1" x14ac:dyDescent="0.3">
      <c r="A2160" s="44"/>
      <c r="B2160" s="31" t="str">
        <f>IF(_xll.TM1RPTELISCONSOLIDATED($H$20,$H2160),IF(_xll.TM1RPTELLEV($H$20,$H2160)&lt;=5,_xll.TM1RPTELLEV($H$20,$H2160),"Default"),"Leaf")</f>
        <v>Leaf</v>
      </c>
      <c r="C2160" s="26" t="s">
        <v>21</v>
      </c>
      <c r="D2160" s="24" t="str">
        <f>_xll.DBRW("TM1-S1_DEV:}ElementAttributes_SP_SKU",$F2160,D$1)</f>
        <v>Primary</v>
      </c>
      <c r="E2160" s="24" t="str">
        <f>_xll.DBRW("TM1-S1_DEV:}ElementAttributes_SP_SKU",$F2160,E$1)</f>
        <v>SIDES</v>
      </c>
      <c r="F2160" s="26" t="s">
        <v>3129</v>
      </c>
      <c r="G2160" s="26" t="s">
        <v>2060</v>
      </c>
      <c r="H2160" s="26" t="s">
        <v>2676</v>
      </c>
      <c r="I2160" s="54">
        <f>_xll.DBRW($A$1,$F$14,$F$15,$C2160,$A$2,$F2160,$G2160,$H2160,I$1)</f>
        <v>87</v>
      </c>
      <c r="J2160" s="25">
        <f>_xll.DBRW($A$1,$F$14,$F$15,$C2160,$A$2,$F2160,$G2160,$H2160,J$19)</f>
        <v>46</v>
      </c>
    </row>
    <row r="2161" spans="1:10" s="23" customFormat="1" outlineLevel="1" thickBot="1" x14ac:dyDescent="0.3">
      <c r="A2161" s="44"/>
      <c r="B2161" s="31" t="str">
        <f>IF(_xll.TM1RPTELISCONSOLIDATED($H$20,$H2161),IF(_xll.TM1RPTELLEV($H$20,$H2161)&lt;=5,_xll.TM1RPTELLEV($H$20,$H2161),"Default"),"Leaf")</f>
        <v>Leaf</v>
      </c>
      <c r="C2161" s="26" t="s">
        <v>21</v>
      </c>
      <c r="D2161" s="24" t="str">
        <f>_xll.DBRW("TM1-S1_DEV:}ElementAttributes_SP_SKU",$F2161,D$1)</f>
        <v>Primary</v>
      </c>
      <c r="E2161" s="24" t="str">
        <f>_xll.DBRW("TM1-S1_DEV:}ElementAttributes_SP_SKU",$F2161,E$1)</f>
        <v>SIDES</v>
      </c>
      <c r="F2161" s="26" t="s">
        <v>3130</v>
      </c>
      <c r="G2161" s="26" t="s">
        <v>2061</v>
      </c>
      <c r="H2161" s="26" t="s">
        <v>2676</v>
      </c>
      <c r="I2161" s="54">
        <f>_xll.DBRW($A$1,$F$14,$F$15,$C2161,$A$2,$F2161,$G2161,$H2161,I$1)</f>
        <v>47</v>
      </c>
      <c r="J2161" s="25">
        <f>_xll.DBRW($A$1,$F$14,$F$15,$C2161,$A$2,$F2161,$G2161,$H2161,J$19)</f>
        <v>34</v>
      </c>
    </row>
    <row r="2162" spans="1:10" s="23" customFormat="1" outlineLevel="1" thickBot="1" x14ac:dyDescent="0.3">
      <c r="A2162" s="44"/>
      <c r="B2162" s="31" t="str">
        <f>IF(_xll.TM1RPTELISCONSOLIDATED($H$20,$H2162),IF(_xll.TM1RPTELLEV($H$20,$H2162)&lt;=5,_xll.TM1RPTELLEV($H$20,$H2162),"Default"),"Leaf")</f>
        <v>Leaf</v>
      </c>
      <c r="C2162" s="26" t="s">
        <v>21</v>
      </c>
      <c r="D2162" s="24" t="str">
        <f>_xll.DBRW("TM1-S1_DEV:}ElementAttributes_SP_SKU",$F2162,D$1)</f>
        <v>Primary</v>
      </c>
      <c r="E2162" s="24" t="str">
        <f>_xll.DBRW("TM1-S1_DEV:}ElementAttributes_SP_SKU",$F2162,E$1)</f>
        <v>SIDES</v>
      </c>
      <c r="F2162" s="26" t="s">
        <v>3131</v>
      </c>
      <c r="G2162" s="26" t="s">
        <v>2062</v>
      </c>
      <c r="H2162" s="26" t="s">
        <v>2676</v>
      </c>
      <c r="I2162" s="54">
        <f>_xll.DBRW($A$1,$F$14,$F$15,$C2162,$A$2,$F2162,$G2162,$H2162,I$1)</f>
        <v>60</v>
      </c>
      <c r="J2162" s="25">
        <f>_xll.DBRW($A$1,$F$14,$F$15,$C2162,$A$2,$F2162,$G2162,$H2162,J$19)</f>
        <v>46</v>
      </c>
    </row>
    <row r="2163" spans="1:10" s="23" customFormat="1" outlineLevel="1" thickBot="1" x14ac:dyDescent="0.3">
      <c r="A2163" s="44"/>
      <c r="B2163" s="31" t="str">
        <f>IF(_xll.TM1RPTELISCONSOLIDATED($H$20,$H2163),IF(_xll.TM1RPTELLEV($H$20,$H2163)&lt;=5,_xll.TM1RPTELLEV($H$20,$H2163),"Default"),"Leaf")</f>
        <v>Leaf</v>
      </c>
      <c r="C2163" s="26" t="s">
        <v>21</v>
      </c>
      <c r="D2163" s="24" t="str">
        <f>_xll.DBRW("TM1-S1_DEV:}ElementAttributes_SP_SKU",$F2163,D$1)</f>
        <v>Primary</v>
      </c>
      <c r="E2163" s="24" t="str">
        <f>_xll.DBRW("TM1-S1_DEV:}ElementAttributes_SP_SKU",$F2163,E$1)</f>
        <v>SIDES</v>
      </c>
      <c r="F2163" s="26" t="s">
        <v>3132</v>
      </c>
      <c r="G2163" s="26" t="s">
        <v>2063</v>
      </c>
      <c r="H2163" s="26" t="s">
        <v>2676</v>
      </c>
      <c r="I2163" s="54">
        <f>_xll.DBRW($A$1,$F$14,$F$15,$C2163,$A$2,$F2163,$G2163,$H2163,I$1)</f>
        <v>197</v>
      </c>
      <c r="J2163" s="25">
        <f>_xll.DBRW($A$1,$F$14,$F$15,$C2163,$A$2,$F2163,$G2163,$H2163,J$19)</f>
        <v>61</v>
      </c>
    </row>
    <row r="2164" spans="1:10" s="23" customFormat="1" outlineLevel="1" thickBot="1" x14ac:dyDescent="0.3">
      <c r="A2164" s="44"/>
      <c r="B2164" s="31" t="str">
        <f>IF(_xll.TM1RPTELISCONSOLIDATED($H$20,$H2164),IF(_xll.TM1RPTELLEV($H$20,$H2164)&lt;=5,_xll.TM1RPTELLEV($H$20,$H2164),"Default"),"Leaf")</f>
        <v>Leaf</v>
      </c>
      <c r="C2164" s="26" t="s">
        <v>21</v>
      </c>
      <c r="D2164" s="24" t="str">
        <f>_xll.DBRW("TM1-S1_DEV:}ElementAttributes_SP_SKU",$F2164,D$1)</f>
        <v>Primary</v>
      </c>
      <c r="E2164" s="24" t="str">
        <f>_xll.DBRW("TM1-S1_DEV:}ElementAttributes_SP_SKU",$F2164,E$1)</f>
        <v>DESSERT</v>
      </c>
      <c r="F2164" s="26" t="s">
        <v>29</v>
      </c>
      <c r="G2164" s="26" t="s">
        <v>2064</v>
      </c>
      <c r="H2164" s="26" t="s">
        <v>2677</v>
      </c>
      <c r="I2164" s="54">
        <f>_xll.DBRW($A$1,$F$14,$F$15,$C2164,$A$2,$F2164,$G2164,$H2164,I$1)</f>
        <v>12</v>
      </c>
      <c r="J2164" s="25">
        <f>_xll.DBRW($A$1,$F$14,$F$15,$C2164,$A$2,$F2164,$G2164,$H2164,J$19)</f>
        <v>10</v>
      </c>
    </row>
    <row r="2165" spans="1:10" s="23" customFormat="1" outlineLevel="1" thickBot="1" x14ac:dyDescent="0.3">
      <c r="A2165" s="44"/>
      <c r="B2165" s="31" t="str">
        <f>IF(_xll.TM1RPTELISCONSOLIDATED($H$20,$H2165),IF(_xll.TM1RPTELLEV($H$20,$H2165)&lt;=5,_xll.TM1RPTELLEV($H$20,$H2165),"Default"),"Leaf")</f>
        <v>Leaf</v>
      </c>
      <c r="C2165" s="26" t="s">
        <v>21</v>
      </c>
      <c r="D2165" s="24" t="str">
        <f>_xll.DBRW("TM1-S1_DEV:}ElementAttributes_SP_SKU",$F2165,D$1)</f>
        <v>Primary</v>
      </c>
      <c r="E2165" s="24" t="str">
        <f>_xll.DBRW("TM1-S1_DEV:}ElementAttributes_SP_SKU",$F2165,E$1)</f>
        <v>PIE</v>
      </c>
      <c r="F2165" s="26" t="s">
        <v>3133</v>
      </c>
      <c r="G2165" s="26" t="s">
        <v>2065</v>
      </c>
      <c r="H2165" s="26" t="s">
        <v>2678</v>
      </c>
      <c r="I2165" s="54">
        <f>_xll.DBRW($A$1,$F$14,$F$15,$C2165,$A$2,$F2165,$G2165,$H2165,I$1)</f>
        <v>42</v>
      </c>
      <c r="J2165" s="25">
        <f>_xll.DBRW($A$1,$F$14,$F$15,$C2165,$A$2,$F2165,$G2165,$H2165,J$19)</f>
        <v>31</v>
      </c>
    </row>
    <row r="2166" spans="1:10" s="23" customFormat="1" outlineLevel="1" thickBot="1" x14ac:dyDescent="0.3">
      <c r="A2166" s="44"/>
      <c r="B2166" s="31" t="str">
        <f>IF(_xll.TM1RPTELISCONSOLIDATED($H$20,$H2166),IF(_xll.TM1RPTELLEV($H$20,$H2166)&lt;=5,_xll.TM1RPTELLEV($H$20,$H2166),"Default"),"Leaf")</f>
        <v>Leaf</v>
      </c>
      <c r="C2166" s="26" t="s">
        <v>21</v>
      </c>
      <c r="D2166" s="24" t="str">
        <f>_xll.DBRW("TM1-S1_DEV:}ElementAttributes_SP_SKU",$F2166,D$1)</f>
        <v>Primary</v>
      </c>
      <c r="E2166" s="24" t="str">
        <f>_xll.DBRW("TM1-S1_DEV:}ElementAttributes_SP_SKU",$F2166,E$1)</f>
        <v>PIE</v>
      </c>
      <c r="F2166" s="26" t="s">
        <v>3134</v>
      </c>
      <c r="G2166" s="26" t="s">
        <v>2066</v>
      </c>
      <c r="H2166" s="26" t="s">
        <v>2678</v>
      </c>
      <c r="I2166" s="54">
        <f>_xll.DBRW($A$1,$F$14,$F$15,$C2166,$A$2,$F2166,$G2166,$H2166,I$1)</f>
        <v>48</v>
      </c>
      <c r="J2166" s="25">
        <f>_xll.DBRW($A$1,$F$14,$F$15,$C2166,$A$2,$F2166,$G2166,$H2166,J$19)</f>
        <v>35</v>
      </c>
    </row>
    <row r="2167" spans="1:10" s="23" customFormat="1" outlineLevel="1" thickBot="1" x14ac:dyDescent="0.3">
      <c r="A2167" s="44"/>
      <c r="B2167" s="31" t="str">
        <f>IF(_xll.TM1RPTELISCONSOLIDATED($H$20,$H2167),IF(_xll.TM1RPTELLEV($H$20,$H2167)&lt;=5,_xll.TM1RPTELLEV($H$20,$H2167),"Default"),"Leaf")</f>
        <v>Leaf</v>
      </c>
      <c r="C2167" s="26" t="s">
        <v>21</v>
      </c>
      <c r="D2167" s="24" t="str">
        <f>_xll.DBRW("TM1-S1_DEV:}ElementAttributes_SP_SKU",$F2167,D$1)</f>
        <v>Primary</v>
      </c>
      <c r="E2167" s="24" t="str">
        <f>_xll.DBRW("TM1-S1_DEV:}ElementAttributes_SP_SKU",$F2167,E$1)</f>
        <v>CAKE</v>
      </c>
      <c r="F2167" s="26" t="s">
        <v>3135</v>
      </c>
      <c r="G2167" s="26" t="s">
        <v>2067</v>
      </c>
      <c r="H2167" s="26" t="s">
        <v>2679</v>
      </c>
      <c r="I2167" s="54">
        <f>_xll.DBRW($A$1,$F$14,$F$15,$C2167,$A$2,$F2167,$G2167,$H2167,I$1)</f>
        <v>53</v>
      </c>
      <c r="J2167" s="25">
        <f>_xll.DBRW($A$1,$F$14,$F$15,$C2167,$A$2,$F2167,$G2167,$H2167,J$19)</f>
        <v>42</v>
      </c>
    </row>
    <row r="2168" spans="1:10" s="23" customFormat="1" outlineLevel="1" thickBot="1" x14ac:dyDescent="0.3">
      <c r="A2168" s="44"/>
      <c r="B2168" s="31" t="str">
        <f>IF(_xll.TM1RPTELISCONSOLIDATED($H$20,$H2168),IF(_xll.TM1RPTELLEV($H$20,$H2168)&lt;=5,_xll.TM1RPTELLEV($H$20,$H2168),"Default"),"Leaf")</f>
        <v>Leaf</v>
      </c>
      <c r="C2168" s="26" t="s">
        <v>21</v>
      </c>
      <c r="D2168" s="24" t="str">
        <f>_xll.DBRW("TM1-S1_DEV:}ElementAttributes_SP_SKU",$F2168,D$1)</f>
        <v>Primary</v>
      </c>
      <c r="E2168" s="24" t="str">
        <f>_xll.DBRW("TM1-S1_DEV:}ElementAttributes_SP_SKU",$F2168,E$1)</f>
        <v>CAKE</v>
      </c>
      <c r="F2168" s="26" t="s">
        <v>3136</v>
      </c>
      <c r="G2168" s="26" t="s">
        <v>2068</v>
      </c>
      <c r="H2168" s="26" t="s">
        <v>2679</v>
      </c>
      <c r="I2168" s="54">
        <f>_xll.DBRW($A$1,$F$14,$F$15,$C2168,$A$2,$F2168,$G2168,$H2168,I$1)</f>
        <v>28</v>
      </c>
      <c r="J2168" s="25">
        <f>_xll.DBRW($A$1,$F$14,$F$15,$C2168,$A$2,$F2168,$G2168,$H2168,J$19)</f>
        <v>17</v>
      </c>
    </row>
    <row r="2169" spans="1:10" s="23" customFormat="1" outlineLevel="1" thickBot="1" x14ac:dyDescent="0.3">
      <c r="A2169" s="44"/>
      <c r="B2169" s="31" t="str">
        <f>IF(_xll.TM1RPTELISCONSOLIDATED($H$20,$H2169),IF(_xll.TM1RPTELLEV($H$20,$H2169)&lt;=5,_xll.TM1RPTELLEV($H$20,$H2169),"Default"),"Leaf")</f>
        <v>Leaf</v>
      </c>
      <c r="C2169" s="26" t="s">
        <v>21</v>
      </c>
      <c r="D2169" s="24" t="str">
        <f>_xll.DBRW("TM1-S1_DEV:}ElementAttributes_SP_SKU",$F2169,D$1)</f>
        <v>Primary</v>
      </c>
      <c r="E2169" s="24" t="str">
        <f>_xll.DBRW("TM1-S1_DEV:}ElementAttributes_SP_SKU",$F2169,E$1)</f>
        <v>CAKE</v>
      </c>
      <c r="F2169" s="26" t="s">
        <v>3137</v>
      </c>
      <c r="G2169" s="26" t="s">
        <v>2069</v>
      </c>
      <c r="H2169" s="26" t="s">
        <v>2679</v>
      </c>
      <c r="I2169" s="54">
        <f>_xll.DBRW($A$1,$F$14,$F$15,$C2169,$A$2,$F2169,$G2169,$H2169,I$1)</f>
        <v>42</v>
      </c>
      <c r="J2169" s="25">
        <f>_xll.DBRW($A$1,$F$14,$F$15,$C2169,$A$2,$F2169,$G2169,$H2169,J$19)</f>
        <v>10</v>
      </c>
    </row>
    <row r="2170" spans="1:10" s="23" customFormat="1" outlineLevel="1" thickBot="1" x14ac:dyDescent="0.3">
      <c r="A2170" s="44"/>
      <c r="B2170" s="31" t="str">
        <f>IF(_xll.TM1RPTELISCONSOLIDATED($H$20,$H2170),IF(_xll.TM1RPTELLEV($H$20,$H2170)&lt;=5,_xll.TM1RPTELLEV($H$20,$H2170),"Default"),"Leaf")</f>
        <v>Leaf</v>
      </c>
      <c r="C2170" s="26" t="s">
        <v>21</v>
      </c>
      <c r="D2170" s="24" t="str">
        <f>_xll.DBRW("TM1-S1_DEV:}ElementAttributes_SP_SKU",$F2170,D$1)</f>
        <v>Primary</v>
      </c>
      <c r="E2170" s="24" t="str">
        <f>_xll.DBRW("TM1-S1_DEV:}ElementAttributes_SP_SKU",$F2170,E$1)</f>
        <v>CAKE</v>
      </c>
      <c r="F2170" s="26" t="s">
        <v>3138</v>
      </c>
      <c r="G2170" s="26" t="s">
        <v>2070</v>
      </c>
      <c r="H2170" s="26" t="s">
        <v>2680</v>
      </c>
      <c r="I2170" s="54">
        <f>_xll.DBRW($A$1,$F$14,$F$15,$C2170,$A$2,$F2170,$G2170,$H2170,I$1)</f>
        <v>11</v>
      </c>
      <c r="J2170" s="25">
        <f>_xll.DBRW($A$1,$F$14,$F$15,$C2170,$A$2,$F2170,$G2170,$H2170,J$19)</f>
        <v>5</v>
      </c>
    </row>
    <row r="2171" spans="1:10" s="23" customFormat="1" outlineLevel="1" thickBot="1" x14ac:dyDescent="0.3">
      <c r="A2171" s="44"/>
      <c r="B2171" s="31" t="str">
        <f>IF(_xll.TM1RPTELISCONSOLIDATED($H$20,$H2171),IF(_xll.TM1RPTELLEV($H$20,$H2171)&lt;=5,_xll.TM1RPTELLEV($H$20,$H2171),"Default"),"Leaf")</f>
        <v>Leaf</v>
      </c>
      <c r="C2171" s="26" t="s">
        <v>21</v>
      </c>
      <c r="D2171" s="24" t="str">
        <f>_xll.DBRW("TM1-S1_DEV:}ElementAttributes_SP_SKU",$F2171,D$1)</f>
        <v>Primary</v>
      </c>
      <c r="E2171" s="24" t="str">
        <f>_xll.DBRW("TM1-S1_DEV:}ElementAttributes_SP_SKU",$F2171,E$1)</f>
        <v>DESSERT</v>
      </c>
      <c r="F2171" s="26" t="s">
        <v>3139</v>
      </c>
      <c r="G2171" s="26" t="s">
        <v>2071</v>
      </c>
      <c r="H2171" s="26" t="s">
        <v>2681</v>
      </c>
      <c r="I2171" s="54">
        <f>_xll.DBRW($A$1,$F$14,$F$15,$C2171,$A$2,$F2171,$G2171,$H2171,I$1)</f>
        <v>26</v>
      </c>
      <c r="J2171" s="25">
        <f>_xll.DBRW($A$1,$F$14,$F$15,$C2171,$A$2,$F2171,$G2171,$H2171,J$19)</f>
        <v>18</v>
      </c>
    </row>
    <row r="2172" spans="1:10" s="23" customFormat="1" outlineLevel="1" thickBot="1" x14ac:dyDescent="0.3">
      <c r="A2172" s="44"/>
      <c r="B2172" s="31" t="str">
        <f>IF(_xll.TM1RPTELISCONSOLIDATED($H$20,$H2172),IF(_xll.TM1RPTELLEV($H$20,$H2172)&lt;=5,_xll.TM1RPTELLEV($H$20,$H2172),"Default"),"Leaf")</f>
        <v>Leaf</v>
      </c>
      <c r="C2172" s="26" t="s">
        <v>21</v>
      </c>
      <c r="D2172" s="24" t="str">
        <f>_xll.DBRW("TM1-S1_DEV:}ElementAttributes_SP_SKU",$F2172,D$1)</f>
        <v>Primary</v>
      </c>
      <c r="E2172" s="24" t="str">
        <f>_xll.DBRW("TM1-S1_DEV:}ElementAttributes_SP_SKU",$F2172,E$1)</f>
        <v>DESSERT</v>
      </c>
      <c r="F2172" s="26" t="s">
        <v>3140</v>
      </c>
      <c r="G2172" s="26" t="s">
        <v>2072</v>
      </c>
      <c r="H2172" s="26" t="s">
        <v>2681</v>
      </c>
      <c r="I2172" s="54">
        <f>_xll.DBRW($A$1,$F$14,$F$15,$C2172,$A$2,$F2172,$G2172,$H2172,I$1)</f>
        <v>35</v>
      </c>
      <c r="J2172" s="25">
        <f>_xll.DBRW($A$1,$F$14,$F$15,$C2172,$A$2,$F2172,$G2172,$H2172,J$19)</f>
        <v>25</v>
      </c>
    </row>
    <row r="2173" spans="1:10" s="23" customFormat="1" outlineLevel="1" thickBot="1" x14ac:dyDescent="0.3">
      <c r="A2173" s="44"/>
      <c r="B2173" s="31" t="str">
        <f>IF(_xll.TM1RPTELISCONSOLIDATED($H$20,$H2173),IF(_xll.TM1RPTELLEV($H$20,$H2173)&lt;=5,_xll.TM1RPTELLEV($H$20,$H2173),"Default"),"Leaf")</f>
        <v>Leaf</v>
      </c>
      <c r="C2173" s="26" t="s">
        <v>21</v>
      </c>
      <c r="D2173" s="24" t="str">
        <f>_xll.DBRW("TM1-S1_DEV:}ElementAttributes_SP_SKU",$F2173,D$1)</f>
        <v>Primary</v>
      </c>
      <c r="E2173" s="24" t="str">
        <f>_xll.DBRW("TM1-S1_DEV:}ElementAttributes_SP_SKU",$F2173,E$1)</f>
        <v>PIE</v>
      </c>
      <c r="F2173" s="26" t="s">
        <v>3141</v>
      </c>
      <c r="G2173" s="26" t="s">
        <v>2073</v>
      </c>
      <c r="H2173" s="26" t="s">
        <v>2678</v>
      </c>
      <c r="I2173" s="54">
        <f>_xll.DBRW($A$1,$F$14,$F$15,$C2173,$A$2,$F2173,$G2173,$H2173,I$1)</f>
        <v>18</v>
      </c>
      <c r="J2173" s="25">
        <f>_xll.DBRW($A$1,$F$14,$F$15,$C2173,$A$2,$F2173,$G2173,$H2173,J$19)</f>
        <v>18</v>
      </c>
    </row>
    <row r="2174" spans="1:10" s="23" customFormat="1" outlineLevel="1" thickBot="1" x14ac:dyDescent="0.3">
      <c r="A2174" s="44"/>
      <c r="B2174" s="31" t="str">
        <f>IF(_xll.TM1RPTELISCONSOLIDATED($H$20,$H2174),IF(_xll.TM1RPTELLEV($H$20,$H2174)&lt;=5,_xll.TM1RPTELLEV($H$20,$H2174),"Default"),"Leaf")</f>
        <v>Leaf</v>
      </c>
      <c r="C2174" s="26" t="s">
        <v>21</v>
      </c>
      <c r="D2174" s="24" t="str">
        <f>_xll.DBRW("TM1-S1_DEV:}ElementAttributes_SP_SKU",$F2174,D$1)</f>
        <v>Primary</v>
      </c>
      <c r="E2174" s="24" t="str">
        <f>_xll.DBRW("TM1-S1_DEV:}ElementAttributes_SP_SKU",$F2174,E$1)</f>
        <v>CAKE</v>
      </c>
      <c r="F2174" s="26" t="s">
        <v>3142</v>
      </c>
      <c r="G2174" s="26" t="s">
        <v>2074</v>
      </c>
      <c r="H2174" s="26" t="s">
        <v>2682</v>
      </c>
      <c r="I2174" s="54">
        <f>_xll.DBRW($A$1,$F$14,$F$15,$C2174,$A$2,$F2174,$G2174,$H2174,I$1)</f>
        <v>59</v>
      </c>
      <c r="J2174" s="25">
        <f>_xll.DBRW($A$1,$F$14,$F$15,$C2174,$A$2,$F2174,$G2174,$H2174,J$19)</f>
        <v>43</v>
      </c>
    </row>
    <row r="2175" spans="1:10" s="23" customFormat="1" outlineLevel="1" thickBot="1" x14ac:dyDescent="0.3">
      <c r="A2175" s="44"/>
      <c r="B2175" s="31" t="str">
        <f>IF(_xll.TM1RPTELISCONSOLIDATED($H$20,$H2175),IF(_xll.TM1RPTELLEV($H$20,$H2175)&lt;=5,_xll.TM1RPTELLEV($H$20,$H2175),"Default"),"Leaf")</f>
        <v>Leaf</v>
      </c>
      <c r="C2175" s="26" t="s">
        <v>21</v>
      </c>
      <c r="D2175" s="24" t="str">
        <f>_xll.DBRW("TM1-S1_DEV:}ElementAttributes_SP_SKU",$F2175,D$1)</f>
        <v>Primary</v>
      </c>
      <c r="E2175" s="24" t="str">
        <f>_xll.DBRW("TM1-S1_DEV:}ElementAttributes_SP_SKU",$F2175,E$1)</f>
        <v>CAKE</v>
      </c>
      <c r="F2175" s="26" t="s">
        <v>3143</v>
      </c>
      <c r="G2175" s="26" t="s">
        <v>2075</v>
      </c>
      <c r="H2175" s="26" t="s">
        <v>2682</v>
      </c>
      <c r="I2175" s="54">
        <f>_xll.DBRW($A$1,$F$14,$F$15,$C2175,$A$2,$F2175,$G2175,$H2175,I$1)</f>
        <v>43</v>
      </c>
      <c r="J2175" s="25">
        <f>_xll.DBRW($A$1,$F$14,$F$15,$C2175,$A$2,$F2175,$G2175,$H2175,J$19)</f>
        <v>33</v>
      </c>
    </row>
    <row r="2176" spans="1:10" s="23" customFormat="1" outlineLevel="1" thickBot="1" x14ac:dyDescent="0.3">
      <c r="A2176" s="44"/>
      <c r="B2176" s="31" t="str">
        <f>IF(_xll.TM1RPTELISCONSOLIDATED($H$20,$H2176),IF(_xll.TM1RPTELLEV($H$20,$H2176)&lt;=5,_xll.TM1RPTELLEV($H$20,$H2176),"Default"),"Leaf")</f>
        <v>Leaf</v>
      </c>
      <c r="C2176" s="26" t="s">
        <v>21</v>
      </c>
      <c r="D2176" s="24" t="str">
        <f>_xll.DBRW("TM1-S1_DEV:}ElementAttributes_SP_SKU",$F2176,D$1)</f>
        <v>Primary</v>
      </c>
      <c r="E2176" s="24" t="str">
        <f>_xll.DBRW("TM1-S1_DEV:}ElementAttributes_SP_SKU",$F2176,E$1)</f>
        <v>CAKE</v>
      </c>
      <c r="F2176" s="26" t="s">
        <v>3145</v>
      </c>
      <c r="G2176" s="26" t="s">
        <v>2077</v>
      </c>
      <c r="H2176" s="26" t="s">
        <v>2680</v>
      </c>
      <c r="I2176" s="54">
        <f>_xll.DBRW($A$1,$F$14,$F$15,$C2176,$A$2,$F2176,$G2176,$H2176,I$1)</f>
        <v>4</v>
      </c>
      <c r="J2176" s="25">
        <f>_xll.DBRW($A$1,$F$14,$F$15,$C2176,$A$2,$F2176,$G2176,$H2176,J$19)</f>
        <v>0</v>
      </c>
    </row>
    <row r="2177" spans="1:10" s="23" customFormat="1" outlineLevel="1" thickBot="1" x14ac:dyDescent="0.3">
      <c r="A2177" s="44"/>
      <c r="B2177" s="31" t="str">
        <f>IF(_xll.TM1RPTELISCONSOLIDATED($H$20,$H2177),IF(_xll.TM1RPTELLEV($H$20,$H2177)&lt;=5,_xll.TM1RPTELLEV($H$20,$H2177),"Default"),"Leaf")</f>
        <v>Leaf</v>
      </c>
      <c r="C2177" s="26" t="s">
        <v>21</v>
      </c>
      <c r="D2177" s="24" t="str">
        <f>_xll.DBRW("TM1-S1_DEV:}ElementAttributes_SP_SKU",$F2177,D$1)</f>
        <v>Primary</v>
      </c>
      <c r="E2177" s="24" t="str">
        <f>_xll.DBRW("TM1-S1_DEV:}ElementAttributes_SP_SKU",$F2177,E$1)</f>
        <v>CAKE</v>
      </c>
      <c r="F2177" s="26" t="s">
        <v>3146</v>
      </c>
      <c r="G2177" s="26" t="s">
        <v>2078</v>
      </c>
      <c r="H2177" s="26" t="s">
        <v>2680</v>
      </c>
      <c r="I2177" s="54">
        <f>_xll.DBRW($A$1,$F$14,$F$15,$C2177,$A$2,$F2177,$G2177,$H2177,I$1)</f>
        <v>26</v>
      </c>
      <c r="J2177" s="25">
        <f>_xll.DBRW($A$1,$F$14,$F$15,$C2177,$A$2,$F2177,$G2177,$H2177,J$19)</f>
        <v>14</v>
      </c>
    </row>
    <row r="2178" spans="1:10" s="23" customFormat="1" outlineLevel="1" thickBot="1" x14ac:dyDescent="0.3">
      <c r="A2178" s="44"/>
      <c r="B2178" s="31" t="str">
        <f>IF(_xll.TM1RPTELISCONSOLIDATED($H$20,$H2178),IF(_xll.TM1RPTELLEV($H$20,$H2178)&lt;=5,_xll.TM1RPTELLEV($H$20,$H2178),"Default"),"Leaf")</f>
        <v>Leaf</v>
      </c>
      <c r="C2178" s="26" t="s">
        <v>21</v>
      </c>
      <c r="D2178" s="24" t="str">
        <f>_xll.DBRW("TM1-S1_DEV:}ElementAttributes_SP_SKU",$F2178,D$1)</f>
        <v>Primary</v>
      </c>
      <c r="E2178" s="24" t="str">
        <f>_xll.DBRW("TM1-S1_DEV:}ElementAttributes_SP_SKU",$F2178,E$1)</f>
        <v>CONDIMENT</v>
      </c>
      <c r="F2178" s="26" t="s">
        <v>3147</v>
      </c>
      <c r="G2178" s="26" t="s">
        <v>2079</v>
      </c>
      <c r="H2178" s="26" t="s">
        <v>2683</v>
      </c>
      <c r="I2178" s="54">
        <f>_xll.DBRW($A$1,$F$14,$F$15,$C2178,$A$2,$F2178,$G2178,$H2178,I$1)</f>
        <v>37</v>
      </c>
      <c r="J2178" s="25">
        <f>_xll.DBRW($A$1,$F$14,$F$15,$C2178,$A$2,$F2178,$G2178,$H2178,J$19)</f>
        <v>32</v>
      </c>
    </row>
    <row r="2179" spans="1:10" s="23" customFormat="1" outlineLevel="1" thickBot="1" x14ac:dyDescent="0.3">
      <c r="A2179" s="44"/>
      <c r="B2179" s="31" t="str">
        <f>IF(_xll.TM1RPTELISCONSOLIDATED($H$20,$H2179),IF(_xll.TM1RPTELLEV($H$20,$H2179)&lt;=5,_xll.TM1RPTELLEV($H$20,$H2179),"Default"),"Leaf")</f>
        <v>Leaf</v>
      </c>
      <c r="C2179" s="26" t="s">
        <v>21</v>
      </c>
      <c r="D2179" s="24" t="str">
        <f>_xll.DBRW("TM1-S1_DEV:}ElementAttributes_SP_SKU",$F2179,D$1)</f>
        <v>Primary</v>
      </c>
      <c r="E2179" s="24" t="str">
        <f>_xll.DBRW("TM1-S1_DEV:}ElementAttributes_SP_SKU",$F2179,E$1)</f>
        <v>CONDIMENT</v>
      </c>
      <c r="F2179" s="26" t="s">
        <v>3148</v>
      </c>
      <c r="G2179" s="26" t="s">
        <v>2080</v>
      </c>
      <c r="H2179" s="26" t="s">
        <v>2684</v>
      </c>
      <c r="I2179" s="54">
        <f>_xll.DBRW($A$1,$F$14,$F$15,$C2179,$A$2,$F2179,$G2179,$H2179,I$1)</f>
        <v>34</v>
      </c>
      <c r="J2179" s="25">
        <f>_xll.DBRW($A$1,$F$14,$F$15,$C2179,$A$2,$F2179,$G2179,$H2179,J$19)</f>
        <v>31</v>
      </c>
    </row>
    <row r="2180" spans="1:10" s="23" customFormat="1" outlineLevel="1" thickBot="1" x14ac:dyDescent="0.3">
      <c r="A2180" s="44"/>
      <c r="B2180" s="31" t="str">
        <f>IF(_xll.TM1RPTELISCONSOLIDATED($H$20,$H2180),IF(_xll.TM1RPTELLEV($H$20,$H2180)&lt;=5,_xll.TM1RPTELLEV($H$20,$H2180),"Default"),"Leaf")</f>
        <v>Leaf</v>
      </c>
      <c r="C2180" s="26" t="s">
        <v>21</v>
      </c>
      <c r="D2180" s="24" t="str">
        <f>_xll.DBRW("TM1-S1_DEV:}ElementAttributes_SP_SKU",$F2180,D$1)</f>
        <v>Primary</v>
      </c>
      <c r="E2180" s="24" t="str">
        <f>_xll.DBRW("TM1-S1_DEV:}ElementAttributes_SP_SKU",$F2180,E$1)</f>
        <v>CONDIMENT</v>
      </c>
      <c r="F2180" s="26" t="s">
        <v>3149</v>
      </c>
      <c r="G2180" s="26" t="s">
        <v>2081</v>
      </c>
      <c r="H2180" s="26" t="s">
        <v>2684</v>
      </c>
      <c r="I2180" s="54">
        <f>_xll.DBRW($A$1,$F$14,$F$15,$C2180,$A$2,$F2180,$G2180,$H2180,I$1)</f>
        <v>29</v>
      </c>
      <c r="J2180" s="25">
        <f>_xll.DBRW($A$1,$F$14,$F$15,$C2180,$A$2,$F2180,$G2180,$H2180,J$19)</f>
        <v>27</v>
      </c>
    </row>
    <row r="2181" spans="1:10" s="23" customFormat="1" outlineLevel="1" thickBot="1" x14ac:dyDescent="0.3">
      <c r="A2181" s="44"/>
      <c r="B2181" s="31" t="str">
        <f>IF(_xll.TM1RPTELISCONSOLIDATED($H$20,$H2181),IF(_xll.TM1RPTELLEV($H$20,$H2181)&lt;=5,_xll.TM1RPTELLEV($H$20,$H2181),"Default"),"Leaf")</f>
        <v>Leaf</v>
      </c>
      <c r="C2181" s="26" t="s">
        <v>21</v>
      </c>
      <c r="D2181" s="24" t="str">
        <f>_xll.DBRW("TM1-S1_DEV:}ElementAttributes_SP_SKU",$F2181,D$1)</f>
        <v>Primary</v>
      </c>
      <c r="E2181" s="24" t="str">
        <f>_xll.DBRW("TM1-S1_DEV:}ElementAttributes_SP_SKU",$F2181,E$1)</f>
        <v>CONDIMENT</v>
      </c>
      <c r="F2181" s="26" t="s">
        <v>3150</v>
      </c>
      <c r="G2181" s="26" t="s">
        <v>2082</v>
      </c>
      <c r="H2181" s="26" t="s">
        <v>2684</v>
      </c>
      <c r="I2181" s="54">
        <f>_xll.DBRW($A$1,$F$14,$F$15,$C2181,$A$2,$F2181,$G2181,$H2181,I$1)</f>
        <v>39</v>
      </c>
      <c r="J2181" s="25">
        <f>_xll.DBRW($A$1,$F$14,$F$15,$C2181,$A$2,$F2181,$G2181,$H2181,J$19)</f>
        <v>32</v>
      </c>
    </row>
    <row r="2182" spans="1:10" s="23" customFormat="1" outlineLevel="1" thickBot="1" x14ac:dyDescent="0.3">
      <c r="A2182" s="44"/>
      <c r="B2182" s="31" t="str">
        <f>IF(_xll.TM1RPTELISCONSOLIDATED($H$20,$H2182),IF(_xll.TM1RPTELLEV($H$20,$H2182)&lt;=5,_xll.TM1RPTELLEV($H$20,$H2182),"Default"),"Leaf")</f>
        <v>Leaf</v>
      </c>
      <c r="C2182" s="26" t="s">
        <v>21</v>
      </c>
      <c r="D2182" s="24" t="str">
        <f>_xll.DBRW("TM1-S1_DEV:}ElementAttributes_SP_SKU",$F2182,D$1)</f>
        <v>Primary</v>
      </c>
      <c r="E2182" s="24" t="str">
        <f>_xll.DBRW("TM1-S1_DEV:}ElementAttributes_SP_SKU",$F2182,E$1)</f>
        <v>CONDIMENT</v>
      </c>
      <c r="F2182" s="26" t="s">
        <v>3151</v>
      </c>
      <c r="G2182" s="26" t="s">
        <v>2083</v>
      </c>
      <c r="H2182" s="26" t="s">
        <v>2684</v>
      </c>
      <c r="I2182" s="54">
        <f>_xll.DBRW($A$1,$F$14,$F$15,$C2182,$A$2,$F2182,$G2182,$H2182,I$1)</f>
        <v>23</v>
      </c>
      <c r="J2182" s="25">
        <f>_xll.DBRW($A$1,$F$14,$F$15,$C2182,$A$2,$F2182,$G2182,$H2182,J$19)</f>
        <v>21</v>
      </c>
    </row>
    <row r="2183" spans="1:10" s="23" customFormat="1" outlineLevel="1" thickBot="1" x14ac:dyDescent="0.3">
      <c r="A2183" s="44"/>
      <c r="B2183" s="31" t="str">
        <f>IF(_xll.TM1RPTELISCONSOLIDATED($H$20,$H2183),IF(_xll.TM1RPTELLEV($H$20,$H2183)&lt;=5,_xll.TM1RPTELLEV($H$20,$H2183),"Default"),"Leaf")</f>
        <v>Leaf</v>
      </c>
      <c r="C2183" s="26" t="s">
        <v>21</v>
      </c>
      <c r="D2183" s="24" t="str">
        <f>_xll.DBRW("TM1-S1_DEV:}ElementAttributes_SP_SKU",$F2183,D$1)</f>
        <v>Primary</v>
      </c>
      <c r="E2183" s="24" t="str">
        <f>_xll.DBRW("TM1-S1_DEV:}ElementAttributes_SP_SKU",$F2183,E$1)</f>
        <v>CONDIMENT</v>
      </c>
      <c r="F2183" s="26" t="s">
        <v>3152</v>
      </c>
      <c r="G2183" s="26" t="s">
        <v>2084</v>
      </c>
      <c r="H2183" s="26" t="s">
        <v>2684</v>
      </c>
      <c r="I2183" s="54">
        <f>_xll.DBRW($A$1,$F$14,$F$15,$C2183,$A$2,$F2183,$G2183,$H2183,I$1)</f>
        <v>26</v>
      </c>
      <c r="J2183" s="25">
        <f>_xll.DBRW($A$1,$F$14,$F$15,$C2183,$A$2,$F2183,$G2183,$H2183,J$19)</f>
        <v>21</v>
      </c>
    </row>
    <row r="2184" spans="1:10" s="23" customFormat="1" outlineLevel="1" thickBot="1" x14ac:dyDescent="0.3">
      <c r="A2184" s="44"/>
      <c r="B2184" s="31" t="str">
        <f>IF(_xll.TM1RPTELISCONSOLIDATED($H$20,$H2184),IF(_xll.TM1RPTELLEV($H$20,$H2184)&lt;=5,_xll.TM1RPTELLEV($H$20,$H2184),"Default"),"Leaf")</f>
        <v>Leaf</v>
      </c>
      <c r="C2184" s="26" t="s">
        <v>21</v>
      </c>
      <c r="D2184" s="24" t="str">
        <f>_xll.DBRW("TM1-S1_DEV:}ElementAttributes_SP_SKU",$F2184,D$1)</f>
        <v>Primary</v>
      </c>
      <c r="E2184" s="24" t="str">
        <f>_xll.DBRW("TM1-S1_DEV:}ElementAttributes_SP_SKU",$F2184,E$1)</f>
        <v>CONDIMENT</v>
      </c>
      <c r="F2184" s="26" t="s">
        <v>3153</v>
      </c>
      <c r="G2184" s="26" t="s">
        <v>2085</v>
      </c>
      <c r="H2184" s="26" t="s">
        <v>2684</v>
      </c>
      <c r="I2184" s="54">
        <f>_xll.DBRW($A$1,$F$14,$F$15,$C2184,$A$2,$F2184,$G2184,$H2184,I$1)</f>
        <v>29</v>
      </c>
      <c r="J2184" s="25">
        <f>_xll.DBRW($A$1,$F$14,$F$15,$C2184,$A$2,$F2184,$G2184,$H2184,J$19)</f>
        <v>24</v>
      </c>
    </row>
    <row r="2185" spans="1:10" s="23" customFormat="1" outlineLevel="1" thickBot="1" x14ac:dyDescent="0.3">
      <c r="A2185" s="44"/>
      <c r="B2185" s="31" t="str">
        <f>IF(_xll.TM1RPTELISCONSOLIDATED($H$20,$H2185),IF(_xll.TM1RPTELLEV($H$20,$H2185)&lt;=5,_xll.TM1RPTELLEV($H$20,$H2185),"Default"),"Leaf")</f>
        <v>Leaf</v>
      </c>
      <c r="C2185" s="26" t="s">
        <v>21</v>
      </c>
      <c r="D2185" s="24" t="str">
        <f>_xll.DBRW("TM1-S1_DEV:}ElementAttributes_SP_SKU",$F2185,D$1)</f>
        <v>Primary</v>
      </c>
      <c r="E2185" s="24" t="str">
        <f>_xll.DBRW("TM1-S1_DEV:}ElementAttributes_SP_SKU",$F2185,E$1)</f>
        <v>CONDIMENT</v>
      </c>
      <c r="F2185" s="26" t="s">
        <v>3154</v>
      </c>
      <c r="G2185" s="26" t="s">
        <v>2086</v>
      </c>
      <c r="H2185" s="26" t="s">
        <v>2684</v>
      </c>
      <c r="I2185" s="54">
        <f>_xll.DBRW($A$1,$F$14,$F$15,$C2185,$A$2,$F2185,$G2185,$H2185,I$1)</f>
        <v>83</v>
      </c>
      <c r="J2185" s="25">
        <f>_xll.DBRW($A$1,$F$14,$F$15,$C2185,$A$2,$F2185,$G2185,$H2185,J$19)</f>
        <v>63</v>
      </c>
    </row>
    <row r="2186" spans="1:10" s="23" customFormat="1" outlineLevel="1" thickBot="1" x14ac:dyDescent="0.3">
      <c r="A2186" s="44"/>
      <c r="B2186" s="31" t="str">
        <f>IF(_xll.TM1RPTELISCONSOLIDATED($H$20,$H2186),IF(_xll.TM1RPTELLEV($H$20,$H2186)&lt;=5,_xll.TM1RPTELLEV($H$20,$H2186),"Default"),"Leaf")</f>
        <v>Leaf</v>
      </c>
      <c r="C2186" s="26" t="s">
        <v>21</v>
      </c>
      <c r="D2186" s="24" t="str">
        <f>_xll.DBRW("TM1-S1_DEV:}ElementAttributes_SP_SKU",$F2186,D$1)</f>
        <v>Primary</v>
      </c>
      <c r="E2186" s="24" t="str">
        <f>_xll.DBRW("TM1-S1_DEV:}ElementAttributes_SP_SKU",$F2186,E$1)</f>
        <v>DRESSING</v>
      </c>
      <c r="F2186" s="26" t="s">
        <v>3155</v>
      </c>
      <c r="G2186" s="26" t="s">
        <v>2087</v>
      </c>
      <c r="H2186" s="26" t="s">
        <v>2685</v>
      </c>
      <c r="I2186" s="54">
        <f>_xll.DBRW($A$1,$F$14,$F$15,$C2186,$A$2,$F2186,$G2186,$H2186,I$1)</f>
        <v>9</v>
      </c>
      <c r="J2186" s="25">
        <f>_xll.DBRW($A$1,$F$14,$F$15,$C2186,$A$2,$F2186,$G2186,$H2186,J$19)</f>
        <v>6</v>
      </c>
    </row>
    <row r="2187" spans="1:10" s="23" customFormat="1" outlineLevel="1" thickBot="1" x14ac:dyDescent="0.3">
      <c r="A2187" s="44"/>
      <c r="B2187" s="31" t="str">
        <f>IF(_xll.TM1RPTELISCONSOLIDATED($H$20,$H2187),IF(_xll.TM1RPTELLEV($H$20,$H2187)&lt;=5,_xll.TM1RPTELLEV($H$20,$H2187),"Default"),"Leaf")</f>
        <v>Leaf</v>
      </c>
      <c r="C2187" s="26" t="s">
        <v>21</v>
      </c>
      <c r="D2187" s="24" t="str">
        <f>_xll.DBRW("TM1-S1_DEV:}ElementAttributes_SP_SKU",$F2187,D$1)</f>
        <v>Primary</v>
      </c>
      <c r="E2187" s="24" t="str">
        <f>_xll.DBRW("TM1-S1_DEV:}ElementAttributes_SP_SKU",$F2187,E$1)</f>
        <v>DRESSING</v>
      </c>
      <c r="F2187" s="26" t="s">
        <v>3156</v>
      </c>
      <c r="G2187" s="26" t="s">
        <v>2088</v>
      </c>
      <c r="H2187" s="26" t="s">
        <v>2685</v>
      </c>
      <c r="I2187" s="54">
        <f>_xll.DBRW($A$1,$F$14,$F$15,$C2187,$A$2,$F2187,$G2187,$H2187,I$1)</f>
        <v>15</v>
      </c>
      <c r="J2187" s="25">
        <f>_xll.DBRW($A$1,$F$14,$F$15,$C2187,$A$2,$F2187,$G2187,$H2187,J$19)</f>
        <v>14</v>
      </c>
    </row>
    <row r="2188" spans="1:10" s="23" customFormat="1" outlineLevel="1" thickBot="1" x14ac:dyDescent="0.3">
      <c r="A2188" s="44"/>
      <c r="B2188" s="31" t="str">
        <f>IF(_xll.TM1RPTELISCONSOLIDATED($H$20,$H2188),IF(_xll.TM1RPTELLEV($H$20,$H2188)&lt;=5,_xll.TM1RPTELLEV($H$20,$H2188),"Default"),"Leaf")</f>
        <v>Leaf</v>
      </c>
      <c r="C2188" s="26" t="s">
        <v>21</v>
      </c>
      <c r="D2188" s="24" t="str">
        <f>_xll.DBRW("TM1-S1_DEV:}ElementAttributes_SP_SKU",$F2188,D$1)</f>
        <v>Primary</v>
      </c>
      <c r="E2188" s="24" t="str">
        <f>_xll.DBRW("TM1-S1_DEV:}ElementAttributes_SP_SKU",$F2188,E$1)</f>
        <v>DRESSING</v>
      </c>
      <c r="F2188" s="26" t="s">
        <v>3157</v>
      </c>
      <c r="G2188" s="26" t="s">
        <v>2089</v>
      </c>
      <c r="H2188" s="26" t="s">
        <v>2685</v>
      </c>
      <c r="I2188" s="54">
        <f>_xll.DBRW($A$1,$F$14,$F$15,$C2188,$A$2,$F2188,$G2188,$H2188,I$1)</f>
        <v>7</v>
      </c>
      <c r="J2188" s="25">
        <f>_xll.DBRW($A$1,$F$14,$F$15,$C2188,$A$2,$F2188,$G2188,$H2188,J$19)</f>
        <v>7</v>
      </c>
    </row>
    <row r="2189" spans="1:10" s="23" customFormat="1" outlineLevel="1" thickBot="1" x14ac:dyDescent="0.3">
      <c r="A2189" s="44"/>
      <c r="B2189" s="31" t="str">
        <f>IF(_xll.TM1RPTELISCONSOLIDATED($H$20,$H2189),IF(_xll.TM1RPTELLEV($H$20,$H2189)&lt;=5,_xll.TM1RPTELLEV($H$20,$H2189),"Default"),"Leaf")</f>
        <v>Leaf</v>
      </c>
      <c r="C2189" s="26" t="s">
        <v>21</v>
      </c>
      <c r="D2189" s="24" t="str">
        <f>_xll.DBRW("TM1-S1_DEV:}ElementAttributes_SP_SKU",$F2189,D$1)</f>
        <v>Primary</v>
      </c>
      <c r="E2189" s="24" t="str">
        <f>_xll.DBRW("TM1-S1_DEV:}ElementAttributes_SP_SKU",$F2189,E$1)</f>
        <v>INGREDIENT</v>
      </c>
      <c r="F2189" s="26" t="s">
        <v>3296</v>
      </c>
      <c r="G2189" s="26" t="s">
        <v>2090</v>
      </c>
      <c r="H2189" s="26" t="s">
        <v>2685</v>
      </c>
      <c r="I2189" s="54">
        <f>_xll.DBRW($A$1,$F$14,$F$15,$C2189,$A$2,$F2189,$G2189,$H2189,I$1)</f>
        <v>9</v>
      </c>
      <c r="J2189" s="25">
        <f>_xll.DBRW($A$1,$F$14,$F$15,$C2189,$A$2,$F2189,$G2189,$H2189,J$19)</f>
        <v>9</v>
      </c>
    </row>
    <row r="2190" spans="1:10" s="23" customFormat="1" outlineLevel="1" thickBot="1" x14ac:dyDescent="0.3">
      <c r="A2190" s="44"/>
      <c r="B2190" s="31" t="str">
        <f>IF(_xll.TM1RPTELISCONSOLIDATED($H$20,$H2190),IF(_xll.TM1RPTELLEV($H$20,$H2190)&lt;=5,_xll.TM1RPTELLEV($H$20,$H2190),"Default"),"Leaf")</f>
        <v>Leaf</v>
      </c>
      <c r="C2190" s="26" t="s">
        <v>21</v>
      </c>
      <c r="D2190" s="24" t="str">
        <f>_xll.DBRW("TM1-S1_DEV:}ElementAttributes_SP_SKU",$F2190,D$1)</f>
        <v>Primary</v>
      </c>
      <c r="E2190" s="24" t="str">
        <f>_xll.DBRW("TM1-S1_DEV:}ElementAttributes_SP_SKU",$F2190,E$1)</f>
        <v>DRESSING</v>
      </c>
      <c r="F2190" s="26" t="s">
        <v>3158</v>
      </c>
      <c r="G2190" s="26" t="s">
        <v>2091</v>
      </c>
      <c r="H2190" s="26" t="s">
        <v>2685</v>
      </c>
      <c r="I2190" s="54">
        <f>_xll.DBRW($A$1,$F$14,$F$15,$C2190,$A$2,$F2190,$G2190,$H2190,I$1)</f>
        <v>2</v>
      </c>
      <c r="J2190" s="25">
        <f>_xll.DBRW($A$1,$F$14,$F$15,$C2190,$A$2,$F2190,$G2190,$H2190,J$19)</f>
        <v>2</v>
      </c>
    </row>
    <row r="2191" spans="1:10" s="23" customFormat="1" outlineLevel="1" thickBot="1" x14ac:dyDescent="0.3">
      <c r="A2191" s="44"/>
      <c r="B2191" s="31" t="str">
        <f>IF(_xll.TM1RPTELISCONSOLIDATED($H$20,$H2191),IF(_xll.TM1RPTELLEV($H$20,$H2191)&lt;=5,_xll.TM1RPTELLEV($H$20,$H2191),"Default"),"Leaf")</f>
        <v>Leaf</v>
      </c>
      <c r="C2191" s="26" t="s">
        <v>21</v>
      </c>
      <c r="D2191" s="24" t="str">
        <f>_xll.DBRW("TM1-S1_DEV:}ElementAttributes_SP_SKU",$F2191,D$1)</f>
        <v>Primary</v>
      </c>
      <c r="E2191" s="24" t="str">
        <f>_xll.DBRW("TM1-S1_DEV:}ElementAttributes_SP_SKU",$F2191,E$1)</f>
        <v>DRESSING</v>
      </c>
      <c r="F2191" s="26" t="s">
        <v>3159</v>
      </c>
      <c r="G2191" s="26" t="s">
        <v>2092</v>
      </c>
      <c r="H2191" s="26" t="s">
        <v>2685</v>
      </c>
      <c r="I2191" s="54">
        <f>_xll.DBRW($A$1,$F$14,$F$15,$C2191,$A$2,$F2191,$G2191,$H2191,I$1)</f>
        <v>16</v>
      </c>
      <c r="J2191" s="25">
        <f>_xll.DBRW($A$1,$F$14,$F$15,$C2191,$A$2,$F2191,$G2191,$H2191,J$19)</f>
        <v>15</v>
      </c>
    </row>
    <row r="2192" spans="1:10" s="23" customFormat="1" outlineLevel="1" thickBot="1" x14ac:dyDescent="0.3">
      <c r="A2192" s="44"/>
      <c r="B2192" s="31" t="str">
        <f>IF(_xll.TM1RPTELISCONSOLIDATED($H$20,$H2192),IF(_xll.TM1RPTELLEV($H$20,$H2192)&lt;=5,_xll.TM1RPTELLEV($H$20,$H2192),"Default"),"Leaf")</f>
        <v>Leaf</v>
      </c>
      <c r="C2192" s="26" t="s">
        <v>21</v>
      </c>
      <c r="D2192" s="24" t="str">
        <f>_xll.DBRW("TM1-S1_DEV:}ElementAttributes_SP_SKU",$F2192,D$1)</f>
        <v>Primary</v>
      </c>
      <c r="E2192" s="24" t="str">
        <f>_xll.DBRW("TM1-S1_DEV:}ElementAttributes_SP_SKU",$F2192,E$1)</f>
        <v>DRESSING</v>
      </c>
      <c r="F2192" s="26" t="s">
        <v>3160</v>
      </c>
      <c r="G2192" s="26" t="s">
        <v>2093</v>
      </c>
      <c r="H2192" s="26" t="s">
        <v>2686</v>
      </c>
      <c r="I2192" s="54">
        <f>_xll.DBRW($A$1,$F$14,$F$15,$C2192,$A$2,$F2192,$G2192,$H2192,I$1)</f>
        <v>14</v>
      </c>
      <c r="J2192" s="25">
        <f>_xll.DBRW($A$1,$F$14,$F$15,$C2192,$A$2,$F2192,$G2192,$H2192,J$19)</f>
        <v>14</v>
      </c>
    </row>
    <row r="2193" spans="1:10" s="23" customFormat="1" outlineLevel="1" thickBot="1" x14ac:dyDescent="0.3">
      <c r="A2193" s="44"/>
      <c r="B2193" s="31" t="str">
        <f>IF(_xll.TM1RPTELISCONSOLIDATED($H$20,$H2193),IF(_xll.TM1RPTELLEV($H$20,$H2193)&lt;=5,_xll.TM1RPTELLEV($H$20,$H2193),"Default"),"Leaf")</f>
        <v>Leaf</v>
      </c>
      <c r="C2193" s="26" t="s">
        <v>21</v>
      </c>
      <c r="D2193" s="24" t="str">
        <f>_xll.DBRW("TM1-S1_DEV:}ElementAttributes_SP_SKU",$F2193,D$1)</f>
        <v>Primary</v>
      </c>
      <c r="E2193" s="24" t="str">
        <f>_xll.DBRW("TM1-S1_DEV:}ElementAttributes_SP_SKU",$F2193,E$1)</f>
        <v>DRESSING</v>
      </c>
      <c r="F2193" s="26" t="s">
        <v>3161</v>
      </c>
      <c r="G2193" s="26" t="s">
        <v>2094</v>
      </c>
      <c r="H2193" s="26" t="s">
        <v>2685</v>
      </c>
      <c r="I2193" s="54">
        <f>_xll.DBRW($A$1,$F$14,$F$15,$C2193,$A$2,$F2193,$G2193,$H2193,I$1)</f>
        <v>6</v>
      </c>
      <c r="J2193" s="25">
        <f>_xll.DBRW($A$1,$F$14,$F$15,$C2193,$A$2,$F2193,$G2193,$H2193,J$19)</f>
        <v>6</v>
      </c>
    </row>
    <row r="2194" spans="1:10" s="23" customFormat="1" outlineLevel="1" thickBot="1" x14ac:dyDescent="0.3">
      <c r="A2194" s="44"/>
      <c r="B2194" s="31" t="str">
        <f>IF(_xll.TM1RPTELISCONSOLIDATED($H$20,$H2194),IF(_xll.TM1RPTELLEV($H$20,$H2194)&lt;=5,_xll.TM1RPTELLEV($H$20,$H2194),"Default"),"Leaf")</f>
        <v>Leaf</v>
      </c>
      <c r="C2194" s="26" t="s">
        <v>21</v>
      </c>
      <c r="D2194" s="24" t="str">
        <f>_xll.DBRW("TM1-S1_DEV:}ElementAttributes_SP_SKU",$F2194,D$1)</f>
        <v>Primary</v>
      </c>
      <c r="E2194" s="24" t="str">
        <f>_xll.DBRW("TM1-S1_DEV:}ElementAttributes_SP_SKU",$F2194,E$1)</f>
        <v>INGREDIENT</v>
      </c>
      <c r="F2194" s="26" t="s">
        <v>3273</v>
      </c>
      <c r="G2194" s="26" t="s">
        <v>2095</v>
      </c>
      <c r="H2194" s="26" t="s">
        <v>2684</v>
      </c>
      <c r="I2194" s="54">
        <f>_xll.DBRW($A$1,$F$14,$F$15,$C2194,$A$2,$F2194,$G2194,$H2194,I$1)</f>
        <v>14</v>
      </c>
      <c r="J2194" s="25">
        <f>_xll.DBRW($A$1,$F$14,$F$15,$C2194,$A$2,$F2194,$G2194,$H2194,J$19)</f>
        <v>14</v>
      </c>
    </row>
    <row r="2195" spans="1:10" s="23" customFormat="1" outlineLevel="1" thickBot="1" x14ac:dyDescent="0.3">
      <c r="A2195" s="44"/>
      <c r="B2195" s="31" t="str">
        <f>IF(_xll.TM1RPTELISCONSOLIDATED($H$20,$H2195),IF(_xll.TM1RPTELLEV($H$20,$H2195)&lt;=5,_xll.TM1RPTELLEV($H$20,$H2195),"Default"),"Leaf")</f>
        <v>Leaf</v>
      </c>
      <c r="C2195" s="26" t="s">
        <v>21</v>
      </c>
      <c r="D2195" s="24" t="str">
        <f>_xll.DBRW("TM1-S1_DEV:}ElementAttributes_SP_SKU",$F2195,D$1)</f>
        <v>Primary</v>
      </c>
      <c r="E2195" s="24" t="str">
        <f>_xll.DBRW("TM1-S1_DEV:}ElementAttributes_SP_SKU",$F2195,E$1)</f>
        <v>CONDIMENT</v>
      </c>
      <c r="F2195" s="26" t="s">
        <v>3162</v>
      </c>
      <c r="G2195" s="26" t="s">
        <v>2096</v>
      </c>
      <c r="H2195" s="26" t="s">
        <v>2686</v>
      </c>
      <c r="I2195" s="54">
        <f>_xll.DBRW($A$1,$F$14,$F$15,$C2195,$A$2,$F2195,$G2195,$H2195,I$1)</f>
        <v>13</v>
      </c>
      <c r="J2195" s="25">
        <f>_xll.DBRW($A$1,$F$14,$F$15,$C2195,$A$2,$F2195,$G2195,$H2195,J$19)</f>
        <v>13</v>
      </c>
    </row>
    <row r="2196" spans="1:10" s="23" customFormat="1" outlineLevel="1" thickBot="1" x14ac:dyDescent="0.3">
      <c r="A2196" s="44"/>
      <c r="B2196" s="31" t="str">
        <f>IF(_xll.TM1RPTELISCONSOLIDATED($H$20,$H2196),IF(_xll.TM1RPTELLEV($H$20,$H2196)&lt;=5,_xll.TM1RPTELLEV($H$20,$H2196),"Default"),"Leaf")</f>
        <v>Leaf</v>
      </c>
      <c r="C2196" s="26" t="s">
        <v>21</v>
      </c>
      <c r="D2196" s="24" t="str">
        <f>_xll.DBRW("TM1-S1_DEV:}ElementAttributes_SP_SKU",$F2196,D$1)</f>
        <v>Primary</v>
      </c>
      <c r="E2196" s="24" t="str">
        <f>_xll.DBRW("TM1-S1_DEV:}ElementAttributes_SP_SKU",$F2196,E$1)</f>
        <v>BREAD</v>
      </c>
      <c r="F2196" s="26" t="s">
        <v>3163</v>
      </c>
      <c r="G2196" s="26" t="s">
        <v>2097</v>
      </c>
      <c r="H2196" s="26" t="s">
        <v>2687</v>
      </c>
      <c r="I2196" s="54">
        <f>_xll.DBRW($A$1,$F$14,$F$15,$C2196,$A$2,$F2196,$G2196,$H2196,I$1)</f>
        <v>130</v>
      </c>
      <c r="J2196" s="25">
        <f>_xll.DBRW($A$1,$F$14,$F$15,$C2196,$A$2,$F2196,$G2196,$H2196,J$19)</f>
        <v>83</v>
      </c>
    </row>
    <row r="2197" spans="1:10" s="23" customFormat="1" outlineLevel="1" thickBot="1" x14ac:dyDescent="0.3">
      <c r="A2197" s="44"/>
      <c r="B2197" s="31" t="str">
        <f>IF(_xll.TM1RPTELISCONSOLIDATED($H$20,$H2197),IF(_xll.TM1RPTELLEV($H$20,$H2197)&lt;=5,_xll.TM1RPTELLEV($H$20,$H2197),"Default"),"Leaf")</f>
        <v>Leaf</v>
      </c>
      <c r="C2197" s="26" t="s">
        <v>21</v>
      </c>
      <c r="D2197" s="24" t="str">
        <f>_xll.DBRW("TM1-S1_DEV:}ElementAttributes_SP_SKU",$F2197,D$1)</f>
        <v>Primary</v>
      </c>
      <c r="E2197" s="24" t="str">
        <f>_xll.DBRW("TM1-S1_DEV:}ElementAttributes_SP_SKU",$F2197,E$1)</f>
        <v>BREAD</v>
      </c>
      <c r="F2197" s="26" t="s">
        <v>3164</v>
      </c>
      <c r="G2197" s="26" t="s">
        <v>2098</v>
      </c>
      <c r="H2197" s="26" t="s">
        <v>2687</v>
      </c>
      <c r="I2197" s="54">
        <f>_xll.DBRW($A$1,$F$14,$F$15,$C2197,$A$2,$F2197,$G2197,$H2197,I$1)</f>
        <v>186</v>
      </c>
      <c r="J2197" s="25">
        <f>_xll.DBRW($A$1,$F$14,$F$15,$C2197,$A$2,$F2197,$G2197,$H2197,J$19)</f>
        <v>134</v>
      </c>
    </row>
    <row r="2198" spans="1:10" s="23" customFormat="1" outlineLevel="1" thickBot="1" x14ac:dyDescent="0.3">
      <c r="A2198" s="44"/>
      <c r="B2198" s="31" t="str">
        <f>IF(_xll.TM1RPTELISCONSOLIDATED($H$20,$H2198),IF(_xll.TM1RPTELLEV($H$20,$H2198)&lt;=5,_xll.TM1RPTELLEV($H$20,$H2198),"Default"),"Leaf")</f>
        <v>Leaf</v>
      </c>
      <c r="C2198" s="26" t="s">
        <v>21</v>
      </c>
      <c r="D2198" s="24" t="str">
        <f>_xll.DBRW("TM1-S1_DEV:}ElementAttributes_SP_SKU",$F2198,D$1)</f>
        <v>Primary</v>
      </c>
      <c r="E2198" s="24" t="str">
        <f>_xll.DBRW("TM1-S1_DEV:}ElementAttributes_SP_SKU",$F2198,E$1)</f>
        <v>BREAD</v>
      </c>
      <c r="F2198" s="26" t="s">
        <v>3165</v>
      </c>
      <c r="G2198" s="26" t="s">
        <v>2099</v>
      </c>
      <c r="H2198" s="26" t="s">
        <v>2688</v>
      </c>
      <c r="I2198" s="54">
        <f>_xll.DBRW($A$1,$F$14,$F$15,$C2198,$A$2,$F2198,$G2198,$H2198,I$1)</f>
        <v>228</v>
      </c>
      <c r="J2198" s="25">
        <f>_xll.DBRW($A$1,$F$14,$F$15,$C2198,$A$2,$F2198,$G2198,$H2198,J$19)</f>
        <v>152</v>
      </c>
    </row>
    <row r="2199" spans="1:10" s="23" customFormat="1" outlineLevel="1" thickBot="1" x14ac:dyDescent="0.3">
      <c r="A2199" s="44"/>
      <c r="B2199" s="31" t="str">
        <f>IF(_xll.TM1RPTELISCONSOLIDATED($H$20,$H2199),IF(_xll.TM1RPTELLEV($H$20,$H2199)&lt;=5,_xll.TM1RPTELLEV($H$20,$H2199),"Default"),"Leaf")</f>
        <v>Leaf</v>
      </c>
      <c r="C2199" s="26" t="s">
        <v>21</v>
      </c>
      <c r="D2199" s="24" t="str">
        <f>_xll.DBRW("TM1-S1_DEV:}ElementAttributes_SP_SKU",$F2199,D$1)</f>
        <v>Primary</v>
      </c>
      <c r="E2199" s="24" t="str">
        <f>_xll.DBRW("TM1-S1_DEV:}ElementAttributes_SP_SKU",$F2199,E$1)</f>
        <v>BREAD</v>
      </c>
      <c r="F2199" s="26" t="s">
        <v>3166</v>
      </c>
      <c r="G2199" s="26" t="s">
        <v>2100</v>
      </c>
      <c r="H2199" s="26" t="s">
        <v>2689</v>
      </c>
      <c r="I2199" s="54">
        <f>_xll.DBRW($A$1,$F$14,$F$15,$C2199,$A$2,$F2199,$G2199,$H2199,I$1)</f>
        <v>222</v>
      </c>
      <c r="J2199" s="25">
        <f>_xll.DBRW($A$1,$F$14,$F$15,$C2199,$A$2,$F2199,$G2199,$H2199,J$19)</f>
        <v>164</v>
      </c>
    </row>
    <row r="2200" spans="1:10" s="23" customFormat="1" outlineLevel="1" thickBot="1" x14ac:dyDescent="0.3">
      <c r="A2200" s="44"/>
      <c r="B2200" s="31" t="str">
        <f>IF(_xll.TM1RPTELISCONSOLIDATED($H$20,$H2200),IF(_xll.TM1RPTELLEV($H$20,$H2200)&lt;=5,_xll.TM1RPTELLEV($H$20,$H2200),"Default"),"Leaf")</f>
        <v>Leaf</v>
      </c>
      <c r="C2200" s="26" t="s">
        <v>21</v>
      </c>
      <c r="D2200" s="24" t="str">
        <f>_xll.DBRW("TM1-S1_DEV:}ElementAttributes_SP_SKU",$F2200,D$1)</f>
        <v>Primary</v>
      </c>
      <c r="E2200" s="24" t="str">
        <f>_xll.DBRW("TM1-S1_DEV:}ElementAttributes_SP_SKU",$F2200,E$1)</f>
        <v>BREAD</v>
      </c>
      <c r="F2200" s="26" t="s">
        <v>3167</v>
      </c>
      <c r="G2200" s="26" t="s">
        <v>2101</v>
      </c>
      <c r="H2200" s="26" t="s">
        <v>2688</v>
      </c>
      <c r="I2200" s="54">
        <f>_xll.DBRW($A$1,$F$14,$F$15,$C2200,$A$2,$F2200,$G2200,$H2200,I$1)</f>
        <v>70</v>
      </c>
      <c r="J2200" s="25">
        <f>_xll.DBRW($A$1,$F$14,$F$15,$C2200,$A$2,$F2200,$G2200,$H2200,J$19)</f>
        <v>46</v>
      </c>
    </row>
    <row r="2201" spans="1:10" s="23" customFormat="1" outlineLevel="1" thickBot="1" x14ac:dyDescent="0.3">
      <c r="A2201" s="44"/>
      <c r="B2201" s="31" t="str">
        <f>IF(_xll.TM1RPTELISCONSOLIDATED($H$20,$H2201),IF(_xll.TM1RPTELLEV($H$20,$H2201)&lt;=5,_xll.TM1RPTELLEV($H$20,$H2201),"Default"),"Leaf")</f>
        <v>Leaf</v>
      </c>
      <c r="C2201" s="26" t="s">
        <v>21</v>
      </c>
      <c r="D2201" s="24" t="str">
        <f>_xll.DBRW("TM1-S1_DEV:}ElementAttributes_SP_SKU",$F2201,D$1)</f>
        <v>Primary</v>
      </c>
      <c r="E2201" s="24" t="str">
        <f>_xll.DBRW("TM1-S1_DEV:}ElementAttributes_SP_SKU",$F2201,E$1)</f>
        <v>BREAD</v>
      </c>
      <c r="F2201" s="26" t="s">
        <v>3168</v>
      </c>
      <c r="G2201" s="26" t="s">
        <v>2102</v>
      </c>
      <c r="H2201" s="26" t="s">
        <v>2688</v>
      </c>
      <c r="I2201" s="54">
        <f>_xll.DBRW($A$1,$F$14,$F$15,$C2201,$A$2,$F2201,$G2201,$H2201,I$1)</f>
        <v>55</v>
      </c>
      <c r="J2201" s="25">
        <f>_xll.DBRW($A$1,$F$14,$F$15,$C2201,$A$2,$F2201,$G2201,$H2201,J$19)</f>
        <v>45</v>
      </c>
    </row>
    <row r="2202" spans="1:10" s="23" customFormat="1" outlineLevel="1" thickBot="1" x14ac:dyDescent="0.3">
      <c r="A2202" s="44"/>
      <c r="B2202" s="31" t="str">
        <f>IF(_xll.TM1RPTELISCONSOLIDATED($H$20,$H2202),IF(_xll.TM1RPTELLEV($H$20,$H2202)&lt;=5,_xll.TM1RPTELLEV($H$20,$H2202),"Default"),"Leaf")</f>
        <v>Leaf</v>
      </c>
      <c r="C2202" s="26" t="s">
        <v>21</v>
      </c>
      <c r="D2202" s="24" t="str">
        <f>_xll.DBRW("TM1-S1_DEV:}ElementAttributes_SP_SKU",$F2202,D$1)</f>
        <v>Primary</v>
      </c>
      <c r="E2202" s="24" t="str">
        <f>_xll.DBRW("TM1-S1_DEV:}ElementAttributes_SP_SKU",$F2202,E$1)</f>
        <v>BREAD</v>
      </c>
      <c r="F2202" s="26" t="s">
        <v>3169</v>
      </c>
      <c r="G2202" s="26" t="s">
        <v>2103</v>
      </c>
      <c r="H2202" s="26" t="s">
        <v>2690</v>
      </c>
      <c r="I2202" s="54">
        <f>_xll.DBRW($A$1,$F$14,$F$15,$C2202,$A$2,$F2202,$G2202,$H2202,I$1)</f>
        <v>192</v>
      </c>
      <c r="J2202" s="25">
        <f>_xll.DBRW($A$1,$F$14,$F$15,$C2202,$A$2,$F2202,$G2202,$H2202,J$19)</f>
        <v>140</v>
      </c>
    </row>
    <row r="2203" spans="1:10" s="23" customFormat="1" outlineLevel="1" thickBot="1" x14ac:dyDescent="0.3">
      <c r="A2203" s="44"/>
      <c r="B2203" s="31" t="str">
        <f>IF(_xll.TM1RPTELISCONSOLIDATED($H$20,$H2203),IF(_xll.TM1RPTELLEV($H$20,$H2203)&lt;=5,_xll.TM1RPTELLEV($H$20,$H2203),"Default"),"Leaf")</f>
        <v>Leaf</v>
      </c>
      <c r="C2203" s="26" t="s">
        <v>21</v>
      </c>
      <c r="D2203" s="24" t="str">
        <f>_xll.DBRW("TM1-S1_DEV:}ElementAttributes_SP_SKU",$F2203,D$1)</f>
        <v>Primary</v>
      </c>
      <c r="E2203" s="24" t="str">
        <f>_xll.DBRW("TM1-S1_DEV:}ElementAttributes_SP_SKU",$F2203,E$1)</f>
        <v>BREAD</v>
      </c>
      <c r="F2203" s="26" t="s">
        <v>3170</v>
      </c>
      <c r="G2203" s="26" t="s">
        <v>2104</v>
      </c>
      <c r="H2203" s="26" t="s">
        <v>2690</v>
      </c>
      <c r="I2203" s="54">
        <f>_xll.DBRW($A$1,$F$14,$F$15,$C2203,$A$2,$F2203,$G2203,$H2203,I$1)</f>
        <v>2</v>
      </c>
      <c r="J2203" s="25">
        <f>_xll.DBRW($A$1,$F$14,$F$15,$C2203,$A$2,$F2203,$G2203,$H2203,J$19)</f>
        <v>1</v>
      </c>
    </row>
    <row r="2204" spans="1:10" s="23" customFormat="1" outlineLevel="1" thickBot="1" x14ac:dyDescent="0.3">
      <c r="A2204" s="44"/>
      <c r="B2204" s="31" t="str">
        <f>IF(_xll.TM1RPTELISCONSOLIDATED($H$20,$H2204),IF(_xll.TM1RPTELLEV($H$20,$H2204)&lt;=5,_xll.TM1RPTELLEV($H$20,$H2204),"Default"),"Leaf")</f>
        <v>Leaf</v>
      </c>
      <c r="C2204" s="26" t="s">
        <v>21</v>
      </c>
      <c r="D2204" s="24" t="str">
        <f>_xll.DBRW("TM1-S1_DEV:}ElementAttributes_SP_SKU",$F2204,D$1)</f>
        <v>Primary</v>
      </c>
      <c r="E2204" s="24" t="str">
        <f>_xll.DBRW("TM1-S1_DEV:}ElementAttributes_SP_SKU",$F2204,E$1)</f>
        <v>BREAD</v>
      </c>
      <c r="F2204" s="26" t="s">
        <v>3171</v>
      </c>
      <c r="G2204" s="26" t="s">
        <v>2105</v>
      </c>
      <c r="H2204" s="26" t="s">
        <v>2690</v>
      </c>
      <c r="I2204" s="54">
        <f>_xll.DBRW($A$1,$F$14,$F$15,$C2204,$A$2,$F2204,$G2204,$H2204,I$1)</f>
        <v>8</v>
      </c>
      <c r="J2204" s="25">
        <f>_xll.DBRW($A$1,$F$14,$F$15,$C2204,$A$2,$F2204,$G2204,$H2204,J$19)</f>
        <v>5</v>
      </c>
    </row>
    <row r="2205" spans="1:10" s="23" customFormat="1" outlineLevel="1" thickBot="1" x14ac:dyDescent="0.3">
      <c r="A2205" s="44"/>
      <c r="B2205" s="31" t="str">
        <f>IF(_xll.TM1RPTELISCONSOLIDATED($H$20,$H2205),IF(_xll.TM1RPTELLEV($H$20,$H2205)&lt;=5,_xll.TM1RPTELLEV($H$20,$H2205),"Default"),"Leaf")</f>
        <v>Leaf</v>
      </c>
      <c r="C2205" s="26" t="s">
        <v>21</v>
      </c>
      <c r="D2205" s="24" t="str">
        <f>_xll.DBRW("TM1-S1_DEV:}ElementAttributes_SP_SKU",$F2205,D$1)</f>
        <v>Primary</v>
      </c>
      <c r="E2205" s="24" t="str">
        <f>_xll.DBRW("TM1-S1_DEV:}ElementAttributes_SP_SKU",$F2205,E$1)</f>
        <v>BREAD</v>
      </c>
      <c r="F2205" s="26" t="s">
        <v>3172</v>
      </c>
      <c r="G2205" s="26" t="s">
        <v>2106</v>
      </c>
      <c r="H2205" s="26" t="s">
        <v>2690</v>
      </c>
      <c r="I2205" s="54">
        <f>_xll.DBRW($A$1,$F$14,$F$15,$C2205,$A$2,$F2205,$G2205,$H2205,I$1)</f>
        <v>5</v>
      </c>
      <c r="J2205" s="25">
        <f>_xll.DBRW($A$1,$F$14,$F$15,$C2205,$A$2,$F2205,$G2205,$H2205,J$19)</f>
        <v>3</v>
      </c>
    </row>
    <row r="2206" spans="1:10" s="23" customFormat="1" outlineLevel="1" thickBot="1" x14ac:dyDescent="0.3">
      <c r="A2206" s="44"/>
      <c r="B2206" s="31" t="str">
        <f>IF(_xll.TM1RPTELISCONSOLIDATED($H$20,$H2206),IF(_xll.TM1RPTELLEV($H$20,$H2206)&lt;=5,_xll.TM1RPTELLEV($H$20,$H2206),"Default"),"Leaf")</f>
        <v>Leaf</v>
      </c>
      <c r="C2206" s="26" t="s">
        <v>21</v>
      </c>
      <c r="D2206" s="24" t="str">
        <f>_xll.DBRW("TM1-S1_DEV:}ElementAttributes_SP_SKU",$F2206,D$1)</f>
        <v>Primary</v>
      </c>
      <c r="E2206" s="24" t="str">
        <f>_xll.DBRW("TM1-S1_DEV:}ElementAttributes_SP_SKU",$F2206,E$1)</f>
        <v>BREAD</v>
      </c>
      <c r="F2206" s="26" t="s">
        <v>3252</v>
      </c>
      <c r="G2206" s="26" t="s">
        <v>2107</v>
      </c>
      <c r="H2206" s="26" t="s">
        <v>2691</v>
      </c>
      <c r="I2206" s="54">
        <f>_xll.DBRW($A$1,$F$14,$F$15,$C2206,$A$2,$F2206,$G2206,$H2206,I$1)</f>
        <v>15</v>
      </c>
      <c r="J2206" s="25">
        <f>_xll.DBRW($A$1,$F$14,$F$15,$C2206,$A$2,$F2206,$G2206,$H2206,J$19)</f>
        <v>14</v>
      </c>
    </row>
    <row r="2207" spans="1:10" s="23" customFormat="1" outlineLevel="1" thickBot="1" x14ac:dyDescent="0.3">
      <c r="A2207" s="44"/>
      <c r="B2207" s="31" t="str">
        <f>IF(_xll.TM1RPTELISCONSOLIDATED($H$20,$H2207),IF(_xll.TM1RPTELLEV($H$20,$H2207)&lt;=5,_xll.TM1RPTELLEV($H$20,$H2207),"Default"),"Leaf")</f>
        <v>Leaf</v>
      </c>
      <c r="C2207" s="26" t="s">
        <v>21</v>
      </c>
      <c r="D2207" s="24" t="str">
        <f>_xll.DBRW("TM1-S1_DEV:}ElementAttributes_SP_SKU",$F2207,D$1)</f>
        <v>Primary</v>
      </c>
      <c r="E2207" s="24" t="str">
        <f>_xll.DBRW("TM1-S1_DEV:}ElementAttributes_SP_SKU",$F2207,E$1)</f>
        <v>CHEESE</v>
      </c>
      <c r="F2207" s="26" t="s">
        <v>3173</v>
      </c>
      <c r="G2207" s="26" t="s">
        <v>2108</v>
      </c>
      <c r="H2207" s="26" t="s">
        <v>2692</v>
      </c>
      <c r="I2207" s="54">
        <f>_xll.DBRW($A$1,$F$14,$F$15,$C2207,$A$2,$F2207,$G2207,$H2207,I$1)</f>
        <v>156</v>
      </c>
      <c r="J2207" s="25">
        <f>_xll.DBRW($A$1,$F$14,$F$15,$C2207,$A$2,$F2207,$G2207,$H2207,J$19)</f>
        <v>118</v>
      </c>
    </row>
    <row r="2208" spans="1:10" s="23" customFormat="1" outlineLevel="1" thickBot="1" x14ac:dyDescent="0.3">
      <c r="A2208" s="44"/>
      <c r="B2208" s="31" t="str">
        <f>IF(_xll.TM1RPTELISCONSOLIDATED($H$20,$H2208),IF(_xll.TM1RPTELLEV($H$20,$H2208)&lt;=5,_xll.TM1RPTELLEV($H$20,$H2208),"Default"),"Leaf")</f>
        <v>Leaf</v>
      </c>
      <c r="C2208" s="26" t="s">
        <v>21</v>
      </c>
      <c r="D2208" s="24" t="str">
        <f>_xll.DBRW("TM1-S1_DEV:}ElementAttributes_SP_SKU",$F2208,D$1)</f>
        <v>Primary</v>
      </c>
      <c r="E2208" s="24" t="str">
        <f>_xll.DBRW("TM1-S1_DEV:}ElementAttributes_SP_SKU",$F2208,E$1)</f>
        <v>CONDIMENT</v>
      </c>
      <c r="F2208" s="26" t="s">
        <v>3174</v>
      </c>
      <c r="G2208" s="26" t="s">
        <v>2109</v>
      </c>
      <c r="H2208" s="26" t="s">
        <v>2684</v>
      </c>
      <c r="I2208" s="54">
        <f>_xll.DBRW($A$1,$F$14,$F$15,$C2208,$A$2,$F2208,$G2208,$H2208,I$1)</f>
        <v>55</v>
      </c>
      <c r="J2208" s="25">
        <f>_xll.DBRW($A$1,$F$14,$F$15,$C2208,$A$2,$F2208,$G2208,$H2208,J$19)</f>
        <v>45</v>
      </c>
    </row>
    <row r="2209" spans="1:10" s="23" customFormat="1" outlineLevel="1" thickBot="1" x14ac:dyDescent="0.3">
      <c r="A2209" s="44"/>
      <c r="B2209" s="31" t="str">
        <f>IF(_xll.TM1RPTELISCONSOLIDATED($H$20,$H2209),IF(_xll.TM1RPTELLEV($H$20,$H2209)&lt;=5,_xll.TM1RPTELLEV($H$20,$H2209),"Default"),"Leaf")</f>
        <v>Leaf</v>
      </c>
      <c r="C2209" s="26" t="s">
        <v>21</v>
      </c>
      <c r="D2209" s="24" t="str">
        <f>_xll.DBRW("TM1-S1_DEV:}ElementAttributes_SP_SKU",$F2209,D$1)</f>
        <v>Primary</v>
      </c>
      <c r="E2209" s="24" t="str">
        <f>_xll.DBRW("TM1-S1_DEV:}ElementAttributes_SP_SKU",$F2209,E$1)</f>
        <v>CHEESE</v>
      </c>
      <c r="F2209" s="26" t="s">
        <v>3175</v>
      </c>
      <c r="G2209" s="26" t="s">
        <v>2110</v>
      </c>
      <c r="H2209" s="26" t="s">
        <v>2692</v>
      </c>
      <c r="I2209" s="54">
        <f>_xll.DBRW($A$1,$F$14,$F$15,$C2209,$A$2,$F2209,$G2209,$H2209,I$1)</f>
        <v>95</v>
      </c>
      <c r="J2209" s="25">
        <f>_xll.DBRW($A$1,$F$14,$F$15,$C2209,$A$2,$F2209,$G2209,$H2209,J$19)</f>
        <v>72</v>
      </c>
    </row>
    <row r="2210" spans="1:10" s="23" customFormat="1" outlineLevel="1" thickBot="1" x14ac:dyDescent="0.3">
      <c r="A2210" s="44"/>
      <c r="B2210" s="31" t="str">
        <f>IF(_xll.TM1RPTELISCONSOLIDATED($H$20,$H2210),IF(_xll.TM1RPTELLEV($H$20,$H2210)&lt;=5,_xll.TM1RPTELLEV($H$20,$H2210),"Default"),"Leaf")</f>
        <v>Leaf</v>
      </c>
      <c r="C2210" s="26" t="s">
        <v>21</v>
      </c>
      <c r="D2210" s="24" t="str">
        <f>_xll.DBRW("TM1-S1_DEV:}ElementAttributes_SP_SKU",$F2210,D$1)</f>
        <v>Primary</v>
      </c>
      <c r="E2210" s="24" t="str">
        <f>_xll.DBRW("TM1-S1_DEV:}ElementAttributes_SP_SKU",$F2210,E$1)</f>
        <v>CONDIMENT</v>
      </c>
      <c r="F2210" s="26" t="s">
        <v>3176</v>
      </c>
      <c r="G2210" s="26" t="s">
        <v>2111</v>
      </c>
      <c r="H2210" s="26" t="s">
        <v>2684</v>
      </c>
      <c r="I2210" s="54">
        <f>_xll.DBRW($A$1,$F$14,$F$15,$C2210,$A$2,$F2210,$G2210,$H2210,I$1)</f>
        <v>12</v>
      </c>
      <c r="J2210" s="25">
        <f>_xll.DBRW($A$1,$F$14,$F$15,$C2210,$A$2,$F2210,$G2210,$H2210,J$19)</f>
        <v>9</v>
      </c>
    </row>
    <row r="2211" spans="1:10" s="23" customFormat="1" outlineLevel="1" thickBot="1" x14ac:dyDescent="0.3">
      <c r="A2211" s="44"/>
      <c r="B2211" s="31" t="str">
        <f>IF(_xll.TM1RPTELISCONSOLIDATED($H$20,$H2211),IF(_xll.TM1RPTELLEV($H$20,$H2211)&lt;=5,_xll.TM1RPTELLEV($H$20,$H2211),"Default"),"Leaf")</f>
        <v>Leaf</v>
      </c>
      <c r="C2211" s="26" t="s">
        <v>21</v>
      </c>
      <c r="D2211" s="24" t="str">
        <f>_xll.DBRW("TM1-S1_DEV:}ElementAttributes_SP_SKU",$F2211,D$1)</f>
        <v>Primary</v>
      </c>
      <c r="E2211" s="24" t="str">
        <f>_xll.DBRW("TM1-S1_DEV:}ElementAttributes_SP_SKU",$F2211,E$1)</f>
        <v>CONDIMENT</v>
      </c>
      <c r="F2211" s="26" t="s">
        <v>3253</v>
      </c>
      <c r="G2211" s="26" t="s">
        <v>2112</v>
      </c>
      <c r="H2211" s="26" t="s">
        <v>2686</v>
      </c>
      <c r="I2211" s="54">
        <f>_xll.DBRW($A$1,$F$14,$F$15,$C2211,$A$2,$F2211,$G2211,$H2211,I$1)</f>
        <v>48</v>
      </c>
      <c r="J2211" s="25">
        <f>_xll.DBRW($A$1,$F$14,$F$15,$C2211,$A$2,$F2211,$G2211,$H2211,J$19)</f>
        <v>42</v>
      </c>
    </row>
    <row r="2212" spans="1:10" s="23" customFormat="1" outlineLevel="1" thickBot="1" x14ac:dyDescent="0.3">
      <c r="A2212" s="44"/>
      <c r="B2212" s="31" t="str">
        <f>IF(_xll.TM1RPTELISCONSOLIDATED($H$20,$H2212),IF(_xll.TM1RPTELLEV($H$20,$H2212)&lt;=5,_xll.TM1RPTELLEV($H$20,$H2212),"Default"),"Leaf")</f>
        <v>Leaf</v>
      </c>
      <c r="C2212" s="26" t="s">
        <v>21</v>
      </c>
      <c r="D2212" s="24" t="str">
        <f>_xll.DBRW("TM1-S1_DEV:}ElementAttributes_SP_SKU",$F2212,D$1)</f>
        <v>Primary</v>
      </c>
      <c r="E2212" s="24" t="str">
        <f>_xll.DBRW("TM1-S1_DEV:}ElementAttributes_SP_SKU",$F2212,E$1)</f>
        <v>INGREDIENT</v>
      </c>
      <c r="F2212" s="26" t="s">
        <v>3177</v>
      </c>
      <c r="G2212" s="26" t="s">
        <v>2113</v>
      </c>
      <c r="H2212" s="26" t="s">
        <v>2686</v>
      </c>
      <c r="I2212" s="54">
        <f>_xll.DBRW($A$1,$F$14,$F$15,$C2212,$A$2,$F2212,$G2212,$H2212,I$1)</f>
        <v>14</v>
      </c>
      <c r="J2212" s="25">
        <f>_xll.DBRW($A$1,$F$14,$F$15,$C2212,$A$2,$F2212,$G2212,$H2212,J$19)</f>
        <v>12</v>
      </c>
    </row>
    <row r="2213" spans="1:10" s="23" customFormat="1" outlineLevel="1" thickBot="1" x14ac:dyDescent="0.3">
      <c r="A2213" s="44"/>
      <c r="B2213" s="31" t="str">
        <f>IF(_xll.TM1RPTELISCONSOLIDATED($H$20,$H2213),IF(_xll.TM1RPTELLEV($H$20,$H2213)&lt;=5,_xll.TM1RPTELLEV($H$20,$H2213),"Default"),"Leaf")</f>
        <v>Leaf</v>
      </c>
      <c r="C2213" s="26" t="s">
        <v>21</v>
      </c>
      <c r="D2213" s="24" t="str">
        <f>_xll.DBRW("TM1-S1_DEV:}ElementAttributes_SP_SKU",$F2213,D$1)</f>
        <v>Primary</v>
      </c>
      <c r="E2213" s="24" t="str">
        <f>_xll.DBRW("TM1-S1_DEV:}ElementAttributes_SP_SKU",$F2213,E$1)</f>
        <v>CONDIMENT</v>
      </c>
      <c r="F2213" s="26" t="s">
        <v>3178</v>
      </c>
      <c r="G2213" s="26" t="s">
        <v>2114</v>
      </c>
      <c r="H2213" s="26" t="s">
        <v>2684</v>
      </c>
      <c r="I2213" s="54">
        <f>_xll.DBRW($A$1,$F$14,$F$15,$C2213,$A$2,$F2213,$G2213,$H2213,I$1)</f>
        <v>17</v>
      </c>
      <c r="J2213" s="25">
        <f>_xll.DBRW($A$1,$F$14,$F$15,$C2213,$A$2,$F2213,$G2213,$H2213,J$19)</f>
        <v>16</v>
      </c>
    </row>
    <row r="2214" spans="1:10" s="23" customFormat="1" outlineLevel="1" thickBot="1" x14ac:dyDescent="0.3">
      <c r="A2214" s="44"/>
      <c r="B2214" s="31" t="str">
        <f>IF(_xll.TM1RPTELISCONSOLIDATED($H$20,$H2214),IF(_xll.TM1RPTELLEV($H$20,$H2214)&lt;=5,_xll.TM1RPTELLEV($H$20,$H2214),"Default"),"Leaf")</f>
        <v>Leaf</v>
      </c>
      <c r="C2214" s="26" t="s">
        <v>21</v>
      </c>
      <c r="D2214" s="24" t="str">
        <f>_xll.DBRW("TM1-S1_DEV:}ElementAttributes_SP_SKU",$F2214,D$1)</f>
        <v>Primary</v>
      </c>
      <c r="E2214" s="24" t="str">
        <f>_xll.DBRW("TM1-S1_DEV:}ElementAttributes_SP_SKU",$F2214,E$1)</f>
        <v>CONDIMENT</v>
      </c>
      <c r="F2214" s="26" t="s">
        <v>3179</v>
      </c>
      <c r="G2214" s="26" t="s">
        <v>2115</v>
      </c>
      <c r="H2214" s="26" t="s">
        <v>2684</v>
      </c>
      <c r="I2214" s="54">
        <f>_xll.DBRW($A$1,$F$14,$F$15,$C2214,$A$2,$F2214,$G2214,$H2214,I$1)</f>
        <v>28</v>
      </c>
      <c r="J2214" s="25">
        <f>_xll.DBRW($A$1,$F$14,$F$15,$C2214,$A$2,$F2214,$G2214,$H2214,J$19)</f>
        <v>28</v>
      </c>
    </row>
    <row r="2215" spans="1:10" s="23" customFormat="1" outlineLevel="1" thickBot="1" x14ac:dyDescent="0.3">
      <c r="A2215" s="44"/>
      <c r="B2215" s="31" t="str">
        <f>IF(_xll.TM1RPTELISCONSOLIDATED($H$20,$H2215),IF(_xll.TM1RPTELLEV($H$20,$H2215)&lt;=5,_xll.TM1RPTELLEV($H$20,$H2215),"Default"),"Leaf")</f>
        <v>Leaf</v>
      </c>
      <c r="C2215" s="26" t="s">
        <v>21</v>
      </c>
      <c r="D2215" s="24" t="str">
        <f>_xll.DBRW("TM1-S1_DEV:}ElementAttributes_SP_SKU",$F2215,D$1)</f>
        <v>Primary</v>
      </c>
      <c r="E2215" s="24" t="str">
        <f>_xll.DBRW("TM1-S1_DEV:}ElementAttributes_SP_SKU",$F2215,E$1)</f>
        <v>COOKIE</v>
      </c>
      <c r="F2215" s="26" t="s">
        <v>3180</v>
      </c>
      <c r="G2215" s="26" t="s">
        <v>2116</v>
      </c>
      <c r="H2215" s="26" t="s">
        <v>2691</v>
      </c>
      <c r="I2215" s="54">
        <f>_xll.DBRW($A$1,$F$14,$F$15,$C2215,$A$2,$F2215,$G2215,$H2215,I$1)</f>
        <v>70</v>
      </c>
      <c r="J2215" s="25">
        <f>_xll.DBRW($A$1,$F$14,$F$15,$C2215,$A$2,$F2215,$G2215,$H2215,J$19)</f>
        <v>60</v>
      </c>
    </row>
    <row r="2216" spans="1:10" s="23" customFormat="1" outlineLevel="1" thickBot="1" x14ac:dyDescent="0.3">
      <c r="A2216" s="44"/>
      <c r="B2216" s="31" t="str">
        <f>IF(_xll.TM1RPTELISCONSOLIDATED($H$20,$H2216),IF(_xll.TM1RPTELLEV($H$20,$H2216)&lt;=5,_xll.TM1RPTELLEV($H$20,$H2216),"Default"),"Leaf")</f>
        <v>Leaf</v>
      </c>
      <c r="C2216" s="26" t="s">
        <v>21</v>
      </c>
      <c r="D2216" s="24" t="str">
        <f>_xll.DBRW("TM1-S1_DEV:}ElementAttributes_SP_SKU",$F2216,D$1)</f>
        <v>Primary</v>
      </c>
      <c r="E2216" s="24" t="str">
        <f>_xll.DBRW("TM1-S1_DEV:}ElementAttributes_SP_SKU",$F2216,E$1)</f>
        <v>COOKIE</v>
      </c>
      <c r="F2216" s="26" t="s">
        <v>3181</v>
      </c>
      <c r="G2216" s="26" t="s">
        <v>2117</v>
      </c>
      <c r="H2216" s="26" t="s">
        <v>2691</v>
      </c>
      <c r="I2216" s="54">
        <f>_xll.DBRW($A$1,$F$14,$F$15,$C2216,$A$2,$F2216,$G2216,$H2216,I$1)</f>
        <v>92</v>
      </c>
      <c r="J2216" s="25">
        <f>_xll.DBRW($A$1,$F$14,$F$15,$C2216,$A$2,$F2216,$G2216,$H2216,J$19)</f>
        <v>83</v>
      </c>
    </row>
    <row r="2217" spans="1:10" s="23" customFormat="1" outlineLevel="1" thickBot="1" x14ac:dyDescent="0.3">
      <c r="A2217" s="44"/>
      <c r="B2217" s="31" t="str">
        <f>IF(_xll.TM1RPTELISCONSOLIDATED($H$20,$H2217),IF(_xll.TM1RPTELLEV($H$20,$H2217)&lt;=5,_xll.TM1RPTELLEV($H$20,$H2217),"Default"),"Leaf")</f>
        <v>Leaf</v>
      </c>
      <c r="C2217" s="26" t="s">
        <v>21</v>
      </c>
      <c r="D2217" s="24" t="str">
        <f>_xll.DBRW("TM1-S1_DEV:}ElementAttributes_SP_SKU",$F2217,D$1)</f>
        <v>Primary</v>
      </c>
      <c r="E2217" s="24" t="str">
        <f>_xll.DBRW("TM1-S1_DEV:}ElementAttributes_SP_SKU",$F2217,E$1)</f>
        <v>COOKIE</v>
      </c>
      <c r="F2217" s="26" t="s">
        <v>3182</v>
      </c>
      <c r="G2217" s="26" t="s">
        <v>2118</v>
      </c>
      <c r="H2217" s="26" t="s">
        <v>2691</v>
      </c>
      <c r="I2217" s="54">
        <f>_xll.DBRW($A$1,$F$14,$F$15,$C2217,$A$2,$F2217,$G2217,$H2217,I$1)</f>
        <v>95</v>
      </c>
      <c r="J2217" s="25">
        <f>_xll.DBRW($A$1,$F$14,$F$15,$C2217,$A$2,$F2217,$G2217,$H2217,J$19)</f>
        <v>86</v>
      </c>
    </row>
    <row r="2218" spans="1:10" s="23" customFormat="1" outlineLevel="1" thickBot="1" x14ac:dyDescent="0.3">
      <c r="A2218" s="44"/>
      <c r="B2218" s="31" t="str">
        <f>IF(_xll.TM1RPTELISCONSOLIDATED($H$20,$H2218),IF(_xll.TM1RPTELLEV($H$20,$H2218)&lt;=5,_xll.TM1RPTELLEV($H$20,$H2218),"Default"),"Leaf")</f>
        <v>Leaf</v>
      </c>
      <c r="C2218" s="26" t="s">
        <v>21</v>
      </c>
      <c r="D2218" s="24" t="str">
        <f>_xll.DBRW("TM1-S1_DEV:}ElementAttributes_SP_SKU",$F2218,D$1)</f>
        <v>Primary</v>
      </c>
      <c r="E2218" s="24" t="str">
        <f>_xll.DBRW("TM1-S1_DEV:}ElementAttributes_SP_SKU",$F2218,E$1)</f>
        <v>COOKIE</v>
      </c>
      <c r="F2218" s="26" t="s">
        <v>3183</v>
      </c>
      <c r="G2218" s="26" t="s">
        <v>2119</v>
      </c>
      <c r="H2218" s="26" t="s">
        <v>2691</v>
      </c>
      <c r="I2218" s="54">
        <f>_xll.DBRW($A$1,$F$14,$F$15,$C2218,$A$2,$F2218,$G2218,$H2218,I$1)</f>
        <v>128</v>
      </c>
      <c r="J2218" s="25">
        <f>_xll.DBRW($A$1,$F$14,$F$15,$C2218,$A$2,$F2218,$G2218,$H2218,J$19)</f>
        <v>100</v>
      </c>
    </row>
    <row r="2219" spans="1:10" s="23" customFormat="1" outlineLevel="1" thickBot="1" x14ac:dyDescent="0.3">
      <c r="A2219" s="44"/>
      <c r="B2219" s="31" t="str">
        <f>IF(_xll.TM1RPTELISCONSOLIDATED($H$20,$H2219),IF(_xll.TM1RPTELLEV($H$20,$H2219)&lt;=5,_xll.TM1RPTELLEV($H$20,$H2219),"Default"),"Leaf")</f>
        <v>Leaf</v>
      </c>
      <c r="C2219" s="26" t="s">
        <v>21</v>
      </c>
      <c r="D2219" s="24" t="str">
        <f>_xll.DBRW("TM1-S1_DEV:}ElementAttributes_SP_SKU",$F2219,D$1)</f>
        <v>Primary</v>
      </c>
      <c r="E2219" s="24" t="str">
        <f>_xll.DBRW("TM1-S1_DEV:}ElementAttributes_SP_SKU",$F2219,E$1)</f>
        <v>SOUP</v>
      </c>
      <c r="F2219" s="26" t="s">
        <v>3184</v>
      </c>
      <c r="G2219" s="26" t="s">
        <v>2120</v>
      </c>
      <c r="H2219" s="26" t="s">
        <v>2675</v>
      </c>
      <c r="I2219" s="54">
        <f>_xll.DBRW($A$1,$F$14,$F$15,$C2219,$A$2,$F2219,$G2219,$H2219,I$1)</f>
        <v>1</v>
      </c>
      <c r="J2219" s="25">
        <f>_xll.DBRW($A$1,$F$14,$F$15,$C2219,$A$2,$F2219,$G2219,$H2219,J$19)</f>
        <v>1</v>
      </c>
    </row>
    <row r="2220" spans="1:10" s="23" customFormat="1" outlineLevel="1" thickBot="1" x14ac:dyDescent="0.3">
      <c r="A2220" s="44"/>
      <c r="B2220" s="31" t="str">
        <f>IF(_xll.TM1RPTELISCONSOLIDATED($H$20,$H2220),IF(_xll.TM1RPTELLEV($H$20,$H2220)&lt;=5,_xll.TM1RPTELLEV($H$20,$H2220),"Default"),"Leaf")</f>
        <v>Leaf</v>
      </c>
      <c r="C2220" s="26" t="s">
        <v>21</v>
      </c>
      <c r="D2220" s="24" t="str">
        <f>_xll.DBRW("TM1-S1_DEV:}ElementAttributes_SP_SKU",$F2220,D$1)</f>
        <v>Primary</v>
      </c>
      <c r="E2220" s="24" t="str">
        <f>_xll.DBRW("TM1-S1_DEV:}ElementAttributes_SP_SKU",$F2220,E$1)</f>
        <v>INGREDIENT</v>
      </c>
      <c r="F2220" s="26" t="s">
        <v>3185</v>
      </c>
      <c r="G2220" s="26" t="s">
        <v>2121</v>
      </c>
      <c r="H2220" s="26" t="s">
        <v>2693</v>
      </c>
      <c r="I2220" s="54">
        <f>_xll.DBRW($A$1,$F$14,$F$15,$C2220,$A$2,$F2220,$G2220,$H2220,I$1)</f>
        <v>32</v>
      </c>
      <c r="J2220" s="25">
        <f>_xll.DBRW($A$1,$F$14,$F$15,$C2220,$A$2,$F2220,$G2220,$H2220,J$19)</f>
        <v>25</v>
      </c>
    </row>
    <row r="2221" spans="1:10" s="23" customFormat="1" outlineLevel="1" thickBot="1" x14ac:dyDescent="0.3">
      <c r="A2221" s="44"/>
      <c r="B2221" s="31" t="str">
        <f>IF(_xll.TM1RPTELISCONSOLIDATED($H$20,$H2221),IF(_xll.TM1RPTELLEV($H$20,$H2221)&lt;=5,_xll.TM1RPTELLEV($H$20,$H2221),"Default"),"Leaf")</f>
        <v>Leaf</v>
      </c>
      <c r="C2221" s="26" t="s">
        <v>21</v>
      </c>
      <c r="D2221" s="24" t="str">
        <f>_xll.DBRW("TM1-S1_DEV:}ElementAttributes_SP_SKU",$F2221,D$1)</f>
        <v>Primary</v>
      </c>
      <c r="E2221" s="24" t="str">
        <f>_xll.DBRW("TM1-S1_DEV:}ElementAttributes_SP_SKU",$F2221,E$1)</f>
        <v>INGREDIENT</v>
      </c>
      <c r="F2221" s="26" t="s">
        <v>3186</v>
      </c>
      <c r="G2221" s="26" t="s">
        <v>2122</v>
      </c>
      <c r="H2221" s="26" t="s">
        <v>2694</v>
      </c>
      <c r="I2221" s="54">
        <f>_xll.DBRW($A$1,$F$14,$F$15,$C2221,$A$2,$F2221,$G2221,$H2221,I$1)</f>
        <v>24</v>
      </c>
      <c r="J2221" s="25">
        <f>_xll.DBRW($A$1,$F$14,$F$15,$C2221,$A$2,$F2221,$G2221,$H2221,J$19)</f>
        <v>24</v>
      </c>
    </row>
    <row r="2222" spans="1:10" s="23" customFormat="1" outlineLevel="1" thickBot="1" x14ac:dyDescent="0.3">
      <c r="A2222" s="44"/>
      <c r="B2222" s="31" t="str">
        <f>IF(_xll.TM1RPTELISCONSOLIDATED($H$20,$H2222),IF(_xll.TM1RPTELLEV($H$20,$H2222)&lt;=5,_xll.TM1RPTELLEV($H$20,$H2222),"Default"),"Leaf")</f>
        <v>Leaf</v>
      </c>
      <c r="C2222" s="26" t="s">
        <v>21</v>
      </c>
      <c r="D2222" s="24" t="str">
        <f>_xll.DBRW("TM1-S1_DEV:}ElementAttributes_SP_SKU",$F2222,D$1)</f>
        <v>Primary</v>
      </c>
      <c r="E2222" s="24" t="str">
        <f>_xll.DBRW("TM1-S1_DEV:}ElementAttributes_SP_SKU",$F2222,E$1)</f>
        <v>CRACKERS</v>
      </c>
      <c r="F2222" s="26" t="s">
        <v>3282</v>
      </c>
      <c r="G2222" s="26" t="s">
        <v>2123</v>
      </c>
      <c r="H2222" s="26" t="s">
        <v>2859</v>
      </c>
      <c r="I2222" s="54">
        <f>_xll.DBRW($A$1,$F$14,$F$15,$C2222,$A$2,$F2222,$G2222,$H2222,I$1)</f>
        <v>14</v>
      </c>
      <c r="J2222" s="25">
        <f>_xll.DBRW($A$1,$F$14,$F$15,$C2222,$A$2,$F2222,$G2222,$H2222,J$19)</f>
        <v>14</v>
      </c>
    </row>
    <row r="2223" spans="1:10" s="23" customFormat="1" outlineLevel="1" thickBot="1" x14ac:dyDescent="0.3">
      <c r="A2223" s="44"/>
      <c r="B2223" s="31" t="str">
        <f>IF(_xll.TM1RPTELISCONSOLIDATED($H$20,$H2223),IF(_xll.TM1RPTELLEV($H$20,$H2223)&lt;=5,_xll.TM1RPTELLEV($H$20,$H2223),"Default"),"Leaf")</f>
        <v>Leaf</v>
      </c>
      <c r="C2223" s="26" t="s">
        <v>21</v>
      </c>
      <c r="D2223" s="24" t="str">
        <f>_xll.DBRW("TM1-S1_DEV:}ElementAttributes_SP_SKU",$F2223,D$1)</f>
        <v>Primary</v>
      </c>
      <c r="E2223" s="24" t="str">
        <f>_xll.DBRW("TM1-S1_DEV:}ElementAttributes_SP_SKU",$F2223,E$1)</f>
        <v>INGREDIENT</v>
      </c>
      <c r="F2223" s="26" t="s">
        <v>3187</v>
      </c>
      <c r="G2223" s="26" t="s">
        <v>2124</v>
      </c>
      <c r="H2223" s="26" t="s">
        <v>2695</v>
      </c>
      <c r="I2223" s="54">
        <f>_xll.DBRW($A$1,$F$14,$F$15,$C2223,$A$2,$F2223,$G2223,$H2223,I$1)</f>
        <v>30</v>
      </c>
      <c r="J2223" s="25">
        <f>_xll.DBRW($A$1,$F$14,$F$15,$C2223,$A$2,$F2223,$G2223,$H2223,J$19)</f>
        <v>25</v>
      </c>
    </row>
    <row r="2224" spans="1:10" s="23" customFormat="1" outlineLevel="1" thickBot="1" x14ac:dyDescent="0.3">
      <c r="A2224" s="44"/>
      <c r="B2224" s="31" t="str">
        <f>IF(_xll.TM1RPTELISCONSOLIDATED($H$20,$H2224),IF(_xll.TM1RPTELLEV($H$20,$H2224)&lt;=5,_xll.TM1RPTELLEV($H$20,$H2224),"Default"),"Leaf")</f>
        <v>Leaf</v>
      </c>
      <c r="C2224" s="26" t="s">
        <v>21</v>
      </c>
      <c r="D2224" s="24" t="str">
        <f>_xll.DBRW("TM1-S1_DEV:}ElementAttributes_SP_SKU",$F2224,D$1)</f>
        <v>Primary</v>
      </c>
      <c r="E2224" s="24" t="str">
        <f>_xll.DBRW("TM1-S1_DEV:}ElementAttributes_SP_SKU",$F2224,E$1)</f>
        <v>CHIPS</v>
      </c>
      <c r="F2224" s="26" t="s">
        <v>3255</v>
      </c>
      <c r="G2224" s="26" t="s">
        <v>2125</v>
      </c>
      <c r="H2224" s="26" t="s">
        <v>2736</v>
      </c>
      <c r="I2224" s="54">
        <f>_xll.DBRW($A$1,$F$14,$F$15,$C2224,$A$2,$F2224,$G2224,$H2224,I$1)</f>
        <v>181</v>
      </c>
      <c r="J2224" s="25">
        <f>_xll.DBRW($A$1,$F$14,$F$15,$C2224,$A$2,$F2224,$G2224,$H2224,J$19)</f>
        <v>135</v>
      </c>
    </row>
    <row r="2225" spans="1:10" s="23" customFormat="1" outlineLevel="1" thickBot="1" x14ac:dyDescent="0.3">
      <c r="A2225" s="44"/>
      <c r="B2225" s="31" t="str">
        <f>IF(_xll.TM1RPTELISCONSOLIDATED($H$20,$H2225),IF(_xll.TM1RPTELLEV($H$20,$H2225)&lt;=5,_xll.TM1RPTELLEV($H$20,$H2225),"Default"),"Leaf")</f>
        <v>Leaf</v>
      </c>
      <c r="C2225" s="26" t="s">
        <v>21</v>
      </c>
      <c r="D2225" s="24" t="str">
        <f>_xll.DBRW("TM1-S1_DEV:}ElementAttributes_SP_SKU",$F2225,D$1)</f>
        <v>Primary</v>
      </c>
      <c r="E2225" s="24" t="str">
        <f>_xll.DBRW("TM1-S1_DEV:}ElementAttributes_SP_SKU",$F2225,E$1)</f>
        <v>CHIPS</v>
      </c>
      <c r="F2225" s="26" t="s">
        <v>3256</v>
      </c>
      <c r="G2225" s="26" t="s">
        <v>2126</v>
      </c>
      <c r="H2225" s="26" t="s">
        <v>2736</v>
      </c>
      <c r="I2225" s="54">
        <f>_xll.DBRW($A$1,$F$14,$F$15,$C2225,$A$2,$F2225,$G2225,$H2225,I$1)</f>
        <v>166</v>
      </c>
      <c r="J2225" s="25">
        <f>_xll.DBRW($A$1,$F$14,$F$15,$C2225,$A$2,$F2225,$G2225,$H2225,J$19)</f>
        <v>130</v>
      </c>
    </row>
    <row r="2226" spans="1:10" s="23" customFormat="1" outlineLevel="1" thickBot="1" x14ac:dyDescent="0.3">
      <c r="A2226" s="44"/>
      <c r="B2226" s="31" t="str">
        <f>IF(_xll.TM1RPTELISCONSOLIDATED($H$20,$H2226),IF(_xll.TM1RPTELLEV($H$20,$H2226)&lt;=5,_xll.TM1RPTELLEV($H$20,$H2226),"Default"),"Leaf")</f>
        <v>Leaf</v>
      </c>
      <c r="C2226" s="26" t="s">
        <v>21</v>
      </c>
      <c r="D2226" s="24" t="str">
        <f>_xll.DBRW("TM1-S1_DEV:}ElementAttributes_SP_SKU",$F2226,D$1)</f>
        <v>Primary</v>
      </c>
      <c r="E2226" s="24" t="str">
        <f>_xll.DBRW("TM1-S1_DEV:}ElementAttributes_SP_SKU",$F2226,E$1)</f>
        <v>CHIPS</v>
      </c>
      <c r="F2226" s="26" t="s">
        <v>3257</v>
      </c>
      <c r="G2226" s="26" t="s">
        <v>2127</v>
      </c>
      <c r="H2226" s="26" t="s">
        <v>2736</v>
      </c>
      <c r="I2226" s="54">
        <f>_xll.DBRW($A$1,$F$14,$F$15,$C2226,$A$2,$F2226,$G2226,$H2226,I$1)</f>
        <v>220</v>
      </c>
      <c r="J2226" s="25">
        <f>_xll.DBRW($A$1,$F$14,$F$15,$C2226,$A$2,$F2226,$G2226,$H2226,J$19)</f>
        <v>170</v>
      </c>
    </row>
    <row r="2227" spans="1:10" s="23" customFormat="1" outlineLevel="1" thickBot="1" x14ac:dyDescent="0.3">
      <c r="A2227" s="44"/>
      <c r="B2227" s="31" t="str">
        <f>IF(_xll.TM1RPTELISCONSOLIDATED($H$20,$H2227),IF(_xll.TM1RPTELLEV($H$20,$H2227)&lt;=5,_xll.TM1RPTELLEV($H$20,$H2227),"Default"),"Leaf")</f>
        <v>Leaf</v>
      </c>
      <c r="C2227" s="26" t="s">
        <v>21</v>
      </c>
      <c r="D2227" s="24" t="str">
        <f>_xll.DBRW("TM1-S1_DEV:}ElementAttributes_SP_SKU",$F2227,D$1)</f>
        <v>Primary</v>
      </c>
      <c r="E2227" s="24" t="str">
        <f>_xll.DBRW("TM1-S1_DEV:}ElementAttributes_SP_SKU",$F2227,E$1)</f>
        <v>CHIPS</v>
      </c>
      <c r="F2227" s="26" t="s">
        <v>3258</v>
      </c>
      <c r="G2227" s="26" t="s">
        <v>2128</v>
      </c>
      <c r="H2227" s="26" t="s">
        <v>2736</v>
      </c>
      <c r="I2227" s="54">
        <f>_xll.DBRW($A$1,$F$14,$F$15,$C2227,$A$2,$F2227,$G2227,$H2227,I$1)</f>
        <v>204</v>
      </c>
      <c r="J2227" s="25">
        <f>_xll.DBRW($A$1,$F$14,$F$15,$C2227,$A$2,$F2227,$G2227,$H2227,J$19)</f>
        <v>165</v>
      </c>
    </row>
    <row r="2228" spans="1:10" s="23" customFormat="1" outlineLevel="1" thickBot="1" x14ac:dyDescent="0.3">
      <c r="A2228" s="44"/>
      <c r="B2228" s="31" t="str">
        <f>IF(_xll.TM1RPTELISCONSOLIDATED($H$20,$H2228),IF(_xll.TM1RPTELLEV($H$20,$H2228)&lt;=5,_xll.TM1RPTELLEV($H$20,$H2228),"Default"),"Leaf")</f>
        <v>Leaf</v>
      </c>
      <c r="C2228" s="26" t="s">
        <v>21</v>
      </c>
      <c r="D2228" s="24" t="str">
        <f>_xll.DBRW("TM1-S1_DEV:}ElementAttributes_SP_SKU",$F2228,D$1)</f>
        <v>Primary</v>
      </c>
      <c r="E2228" s="24" t="str">
        <f>_xll.DBRW("TM1-S1_DEV:}ElementAttributes_SP_SKU",$F2228,E$1)</f>
        <v>SIDES</v>
      </c>
      <c r="F2228" s="26" t="s">
        <v>3188</v>
      </c>
      <c r="G2228" s="26" t="s">
        <v>2129</v>
      </c>
      <c r="H2228" s="26" t="s">
        <v>2686</v>
      </c>
      <c r="I2228" s="54">
        <f>_xll.DBRW($A$1,$F$14,$F$15,$C2228,$A$2,$F2228,$G2228,$H2228,I$1)</f>
        <v>19</v>
      </c>
      <c r="J2228" s="25">
        <f>_xll.DBRW($A$1,$F$14,$F$15,$C2228,$A$2,$F2228,$G2228,$H2228,J$19)</f>
        <v>18</v>
      </c>
    </row>
    <row r="2229" spans="1:10" s="23" customFormat="1" outlineLevel="1" thickBot="1" x14ac:dyDescent="0.3">
      <c r="A2229" s="44"/>
      <c r="B2229" s="31" t="str">
        <f>IF(_xll.TM1RPTELISCONSOLIDATED($H$20,$H2229),IF(_xll.TM1RPTELLEV($H$20,$H2229)&lt;=5,_xll.TM1RPTELLEV($H$20,$H2229),"Default"),"Leaf")</f>
        <v>Leaf</v>
      </c>
      <c r="C2229" s="26" t="s">
        <v>21</v>
      </c>
      <c r="D2229" s="24" t="str">
        <f>_xll.DBRW("TM1-S1_DEV:}ElementAttributes_SP_SKU",$F2229,D$1)</f>
        <v>Primary</v>
      </c>
      <c r="E2229" s="24" t="str">
        <f>_xll.DBRW("TM1-S1_DEV:}ElementAttributes_SP_SKU",$F2229,E$1)</f>
        <v>CONDIMENT</v>
      </c>
      <c r="F2229" s="26" t="s">
        <v>3189</v>
      </c>
      <c r="G2229" s="26" t="s">
        <v>2130</v>
      </c>
      <c r="H2229" s="26" t="s">
        <v>2686</v>
      </c>
      <c r="I2229" s="54">
        <f>_xll.DBRW($A$1,$F$14,$F$15,$C2229,$A$2,$F2229,$G2229,$H2229,I$1)</f>
        <v>110</v>
      </c>
      <c r="J2229" s="25">
        <f>_xll.DBRW($A$1,$F$14,$F$15,$C2229,$A$2,$F2229,$G2229,$H2229,J$19)</f>
        <v>99</v>
      </c>
    </row>
    <row r="2230" spans="1:10" s="23" customFormat="1" outlineLevel="1" thickBot="1" x14ac:dyDescent="0.3">
      <c r="A2230" s="44"/>
      <c r="B2230" s="31" t="str">
        <f>IF(_xll.TM1RPTELISCONSOLIDATED($H$20,$H2230),IF(_xll.TM1RPTELLEV($H$20,$H2230)&lt;=5,_xll.TM1RPTELLEV($H$20,$H2230),"Default"),"Leaf")</f>
        <v>Leaf</v>
      </c>
      <c r="C2230" s="26" t="s">
        <v>21</v>
      </c>
      <c r="D2230" s="24" t="str">
        <f>_xll.DBRW("TM1-S1_DEV:}ElementAttributes_SP_SKU",$F2230,D$1)</f>
        <v>Primary</v>
      </c>
      <c r="E2230" s="24" t="str">
        <f>_xll.DBRW("TM1-S1_DEV:}ElementAttributes_SP_SKU",$F2230,E$1)</f>
        <v>INGREDIENT</v>
      </c>
      <c r="F2230" s="26" t="s">
        <v>3190</v>
      </c>
      <c r="G2230" s="26" t="s">
        <v>2131</v>
      </c>
      <c r="H2230" s="26" t="s">
        <v>2696</v>
      </c>
      <c r="I2230" s="54">
        <f>_xll.DBRW($A$1,$F$14,$F$15,$C2230,$A$2,$F2230,$G2230,$H2230,I$1)</f>
        <v>23</v>
      </c>
      <c r="J2230" s="25">
        <f>_xll.DBRW($A$1,$F$14,$F$15,$C2230,$A$2,$F2230,$G2230,$H2230,J$19)</f>
        <v>22</v>
      </c>
    </row>
    <row r="2231" spans="1:10" s="23" customFormat="1" outlineLevel="1" thickBot="1" x14ac:dyDescent="0.3">
      <c r="A2231" s="44"/>
      <c r="B2231" s="31" t="str">
        <f>IF(_xll.TM1RPTELISCONSOLIDATED($H$20,$H2231),IF(_xll.TM1RPTELLEV($H$20,$H2231)&lt;=5,_xll.TM1RPTELLEV($H$20,$H2231),"Default"),"Leaf")</f>
        <v>Leaf</v>
      </c>
      <c r="C2231" s="26" t="s">
        <v>21</v>
      </c>
      <c r="D2231" s="24" t="str">
        <f>_xll.DBRW("TM1-S1_DEV:}ElementAttributes_SP_SKU",$F2231,D$1)</f>
        <v>Primary</v>
      </c>
      <c r="E2231" s="24" t="str">
        <f>_xll.DBRW("TM1-S1_DEV:}ElementAttributes_SP_SKU",$F2231,E$1)</f>
        <v>INGREDIENT</v>
      </c>
      <c r="F2231" s="26" t="s">
        <v>3191</v>
      </c>
      <c r="G2231" s="26" t="s">
        <v>2132</v>
      </c>
      <c r="H2231" s="26" t="s">
        <v>2697</v>
      </c>
      <c r="I2231" s="54">
        <f>_xll.DBRW($A$1,$F$14,$F$15,$C2231,$A$2,$F2231,$G2231,$H2231,I$1)</f>
        <v>71</v>
      </c>
      <c r="J2231" s="25">
        <f>_xll.DBRW($A$1,$F$14,$F$15,$C2231,$A$2,$F2231,$G2231,$H2231,J$19)</f>
        <v>64</v>
      </c>
    </row>
    <row r="2232" spans="1:10" s="23" customFormat="1" outlineLevel="1" thickBot="1" x14ac:dyDescent="0.3">
      <c r="A2232" s="44"/>
      <c r="B2232" s="31" t="str">
        <f>IF(_xll.TM1RPTELISCONSOLIDATED($H$20,$H2232),IF(_xll.TM1RPTELLEV($H$20,$H2232)&lt;=5,_xll.TM1RPTELLEV($H$20,$H2232),"Default"),"Leaf")</f>
        <v>Leaf</v>
      </c>
      <c r="C2232" s="26" t="s">
        <v>21</v>
      </c>
      <c r="D2232" s="24" t="str">
        <f>_xll.DBRW("TM1-S1_DEV:}ElementAttributes_SP_SKU",$F2232,D$1)</f>
        <v>Primary</v>
      </c>
      <c r="E2232" s="24" t="str">
        <f>_xll.DBRW("TM1-S1_DEV:}ElementAttributes_SP_SKU",$F2232,E$1)</f>
        <v>INGREDIENT</v>
      </c>
      <c r="F2232" s="26" t="s">
        <v>3192</v>
      </c>
      <c r="G2232" s="26" t="s">
        <v>2133</v>
      </c>
      <c r="H2232" s="26" t="s">
        <v>2698</v>
      </c>
      <c r="I2232" s="54">
        <f>_xll.DBRW($A$1,$F$14,$F$15,$C2232,$A$2,$F2232,$G2232,$H2232,I$1)</f>
        <v>9</v>
      </c>
      <c r="J2232" s="25">
        <f>_xll.DBRW($A$1,$F$14,$F$15,$C2232,$A$2,$F2232,$G2232,$H2232,J$19)</f>
        <v>9</v>
      </c>
    </row>
    <row r="2233" spans="1:10" s="23" customFormat="1" outlineLevel="1" thickBot="1" x14ac:dyDescent="0.3">
      <c r="A2233" s="44"/>
      <c r="B2233" s="31" t="str">
        <f>IF(_xll.TM1RPTELISCONSOLIDATED($H$20,$H2233),IF(_xll.TM1RPTELLEV($H$20,$H2233)&lt;=5,_xll.TM1RPTELLEV($H$20,$H2233),"Default"),"Leaf")</f>
        <v>Leaf</v>
      </c>
      <c r="C2233" s="26" t="s">
        <v>21</v>
      </c>
      <c r="D2233" s="24" t="str">
        <f>_xll.DBRW("TM1-S1_DEV:}ElementAttributes_SP_SKU",$F2233,D$1)</f>
        <v>Primary</v>
      </c>
      <c r="E2233" s="24" t="str">
        <f>_xll.DBRW("TM1-S1_DEV:}ElementAttributes_SP_SKU",$F2233,E$1)</f>
        <v>INGREDIENT</v>
      </c>
      <c r="F2233" s="26" t="s">
        <v>3193</v>
      </c>
      <c r="G2233" s="26" t="s">
        <v>2134</v>
      </c>
      <c r="H2233" s="26" t="s">
        <v>2699</v>
      </c>
      <c r="I2233" s="54">
        <f>_xll.DBRW($A$1,$F$14,$F$15,$C2233,$A$2,$F2233,$G2233,$H2233,I$1)</f>
        <v>67</v>
      </c>
      <c r="J2233" s="25">
        <f>_xll.DBRW($A$1,$F$14,$F$15,$C2233,$A$2,$F2233,$G2233,$H2233,J$19)</f>
        <v>48</v>
      </c>
    </row>
    <row r="2234" spans="1:10" s="23" customFormat="1" outlineLevel="1" thickBot="1" x14ac:dyDescent="0.3">
      <c r="A2234" s="44"/>
      <c r="B2234" s="31" t="str">
        <f>IF(_xll.TM1RPTELISCONSOLIDATED($H$20,$H2234),IF(_xll.TM1RPTELLEV($H$20,$H2234)&lt;=5,_xll.TM1RPTELLEV($H$20,$H2234),"Default"),"Leaf")</f>
        <v>Leaf</v>
      </c>
      <c r="C2234" s="26" t="s">
        <v>21</v>
      </c>
      <c r="D2234" s="24" t="str">
        <f>_xll.DBRW("TM1-S1_DEV:}ElementAttributes_SP_SKU",$F2234,D$1)</f>
        <v>Primary</v>
      </c>
      <c r="E2234" s="24" t="str">
        <f>_xll.DBRW("TM1-S1_DEV:}ElementAttributes_SP_SKU",$F2234,E$1)</f>
        <v>COOKIE</v>
      </c>
      <c r="F2234" s="26" t="s">
        <v>3194</v>
      </c>
      <c r="G2234" s="26" t="s">
        <v>2135</v>
      </c>
      <c r="H2234" s="26" t="s">
        <v>2691</v>
      </c>
      <c r="I2234" s="54">
        <f>_xll.DBRW($A$1,$F$14,$F$15,$C2234,$A$2,$F2234,$G2234,$H2234,I$1)</f>
        <v>24</v>
      </c>
      <c r="J2234" s="25">
        <f>_xll.DBRW($A$1,$F$14,$F$15,$C2234,$A$2,$F2234,$G2234,$H2234,J$19)</f>
        <v>18</v>
      </c>
    </row>
    <row r="2235" spans="1:10" s="23" customFormat="1" outlineLevel="1" thickBot="1" x14ac:dyDescent="0.3">
      <c r="A2235" s="44"/>
      <c r="B2235" s="31" t="str">
        <f>IF(_xll.TM1RPTELISCONSOLIDATED($H$20,$H2235),IF(_xll.TM1RPTELLEV($H$20,$H2235)&lt;=5,_xll.TM1RPTELLEV($H$20,$H2235),"Default"),"Leaf")</f>
        <v>Leaf</v>
      </c>
      <c r="C2235" s="26" t="s">
        <v>21</v>
      </c>
      <c r="D2235" s="24" t="str">
        <f>_xll.DBRW("TM1-S1_DEV:}ElementAttributes_SP_SKU",$F2235,D$1)</f>
        <v>Primary</v>
      </c>
      <c r="E2235" s="24" t="str">
        <f>_xll.DBRW("TM1-S1_DEV:}ElementAttributes_SP_SKU",$F2235,E$1)</f>
        <v>COOKIE</v>
      </c>
      <c r="F2235" s="26" t="s">
        <v>3195</v>
      </c>
      <c r="G2235" s="26" t="s">
        <v>2136</v>
      </c>
      <c r="H2235" s="26" t="s">
        <v>2691</v>
      </c>
      <c r="I2235" s="54">
        <f>_xll.DBRW($A$1,$F$14,$F$15,$C2235,$A$2,$F2235,$G2235,$H2235,I$1)</f>
        <v>13</v>
      </c>
      <c r="J2235" s="25">
        <f>_xll.DBRW($A$1,$F$14,$F$15,$C2235,$A$2,$F2235,$G2235,$H2235,J$19)</f>
        <v>7</v>
      </c>
    </row>
    <row r="2236" spans="1:10" s="23" customFormat="1" outlineLevel="1" thickBot="1" x14ac:dyDescent="0.3">
      <c r="A2236" s="44"/>
      <c r="B2236" s="31" t="str">
        <f>IF(_xll.TM1RPTELISCONSOLIDATED($H$20,$H2236),IF(_xll.TM1RPTELLEV($H$20,$H2236)&lt;=5,_xll.TM1RPTELLEV($H$20,$H2236),"Default"),"Leaf")</f>
        <v>Leaf</v>
      </c>
      <c r="C2236" s="26" t="s">
        <v>21</v>
      </c>
      <c r="D2236" s="24" t="str">
        <f>_xll.DBRW("TM1-S1_DEV:}ElementAttributes_SP_SKU",$F2236,D$1)</f>
        <v>Primary</v>
      </c>
      <c r="E2236" s="24" t="str">
        <f>_xll.DBRW("TM1-S1_DEV:}ElementAttributes_SP_SKU",$F2236,E$1)</f>
        <v>COOKIE</v>
      </c>
      <c r="F2236" s="26" t="s">
        <v>3196</v>
      </c>
      <c r="G2236" s="26" t="s">
        <v>2137</v>
      </c>
      <c r="H2236" s="26" t="s">
        <v>2691</v>
      </c>
      <c r="I2236" s="54">
        <f>_xll.DBRW($A$1,$F$14,$F$15,$C2236,$A$2,$F2236,$G2236,$H2236,I$1)</f>
        <v>9</v>
      </c>
      <c r="J2236" s="25">
        <f>_xll.DBRW($A$1,$F$14,$F$15,$C2236,$A$2,$F2236,$G2236,$H2236,J$19)</f>
        <v>5</v>
      </c>
    </row>
    <row r="2237" spans="1:10" s="23" customFormat="1" outlineLevel="1" thickBot="1" x14ac:dyDescent="0.3">
      <c r="A2237" s="44"/>
      <c r="B2237" s="31" t="str">
        <f>IF(_xll.TM1RPTELISCONSOLIDATED($H$20,$H2237),IF(_xll.TM1RPTELLEV($H$20,$H2237)&lt;=5,_xll.TM1RPTELLEV($H$20,$H2237),"Default"),"Leaf")</f>
        <v>Leaf</v>
      </c>
      <c r="C2237" s="26" t="s">
        <v>21</v>
      </c>
      <c r="D2237" s="24" t="str">
        <f>_xll.DBRW("TM1-S1_DEV:}ElementAttributes_SP_SKU",$F2237,D$1)</f>
        <v>Primary</v>
      </c>
      <c r="E2237" s="24" t="str">
        <f>_xll.DBRW("TM1-S1_DEV:}ElementAttributes_SP_SKU",$F2237,E$1)</f>
        <v>INGREDIENT</v>
      </c>
      <c r="F2237" s="26" t="s">
        <v>3197</v>
      </c>
      <c r="G2237" s="26" t="s">
        <v>2138</v>
      </c>
      <c r="H2237" s="26" t="s">
        <v>2686</v>
      </c>
      <c r="I2237" s="54">
        <f>_xll.DBRW($A$1,$F$14,$F$15,$C2237,$A$2,$F2237,$G2237,$H2237,I$1)</f>
        <v>33</v>
      </c>
      <c r="J2237" s="25">
        <f>_xll.DBRW($A$1,$F$14,$F$15,$C2237,$A$2,$F2237,$G2237,$H2237,J$19)</f>
        <v>29</v>
      </c>
    </row>
    <row r="2238" spans="1:10" s="23" customFormat="1" outlineLevel="1" thickBot="1" x14ac:dyDescent="0.3">
      <c r="A2238" s="44"/>
      <c r="B2238" s="31" t="str">
        <f>IF(_xll.TM1RPTELISCONSOLIDATED($H$20,$H2238),IF(_xll.TM1RPTELLEV($H$20,$H2238)&lt;=5,_xll.TM1RPTELLEV($H$20,$H2238),"Default"),"Leaf")</f>
        <v>Leaf</v>
      </c>
      <c r="C2238" s="26" t="s">
        <v>21</v>
      </c>
      <c r="D2238" s="24" t="str">
        <f>_xll.DBRW("TM1-S1_DEV:}ElementAttributes_SP_SKU",$F2238,D$1)</f>
        <v>Primary</v>
      </c>
      <c r="E2238" s="24" t="str">
        <f>_xll.DBRW("TM1-S1_DEV:}ElementAttributes_SP_SKU",$F2238,E$1)</f>
        <v>INGREDIENT</v>
      </c>
      <c r="F2238" s="26" t="s">
        <v>30</v>
      </c>
      <c r="G2238" s="26" t="s">
        <v>2139</v>
      </c>
      <c r="H2238" s="26" t="s">
        <v>2700</v>
      </c>
      <c r="I2238" s="54">
        <f>_xll.DBRW($A$1,$F$14,$F$15,$C2238,$A$2,$F2238,$G2238,$H2238,I$1)</f>
        <v>10</v>
      </c>
      <c r="J2238" s="25">
        <f>_xll.DBRW($A$1,$F$14,$F$15,$C2238,$A$2,$F2238,$G2238,$H2238,J$19)</f>
        <v>5</v>
      </c>
    </row>
    <row r="2239" spans="1:10" s="23" customFormat="1" outlineLevel="1" thickBot="1" x14ac:dyDescent="0.3">
      <c r="A2239" s="44"/>
      <c r="B2239" s="31" t="str">
        <f>IF(_xll.TM1RPTELISCONSOLIDATED($H$20,$H2239),IF(_xll.TM1RPTELLEV($H$20,$H2239)&lt;=5,_xll.TM1RPTELLEV($H$20,$H2239),"Default"),"Leaf")</f>
        <v>Leaf</v>
      </c>
      <c r="C2239" s="26" t="s">
        <v>21</v>
      </c>
      <c r="D2239" s="24" t="str">
        <f>_xll.DBRW("TM1-S1_DEV:}ElementAttributes_SP_SKU",$F2239,D$1)</f>
        <v>Primary</v>
      </c>
      <c r="E2239" s="24" t="str">
        <f>_xll.DBRW("TM1-S1_DEV:}ElementAttributes_SP_SKU",$F2239,E$1)</f>
        <v>INGREDIENT</v>
      </c>
      <c r="F2239" s="26" t="s">
        <v>3198</v>
      </c>
      <c r="G2239" s="26" t="s">
        <v>2140</v>
      </c>
      <c r="H2239" s="26" t="s">
        <v>2701</v>
      </c>
      <c r="I2239" s="54">
        <f>_xll.DBRW($A$1,$F$14,$F$15,$C2239,$A$2,$F2239,$G2239,$H2239,I$1)</f>
        <v>46</v>
      </c>
      <c r="J2239" s="25">
        <f>_xll.DBRW($A$1,$F$14,$F$15,$C2239,$A$2,$F2239,$G2239,$H2239,J$19)</f>
        <v>43</v>
      </c>
    </row>
    <row r="2240" spans="1:10" s="23" customFormat="1" outlineLevel="1" thickBot="1" x14ac:dyDescent="0.3">
      <c r="A2240" s="44"/>
      <c r="B2240" s="31" t="str">
        <f>IF(_xll.TM1RPTELISCONSOLIDATED($H$20,$H2240),IF(_xll.TM1RPTELLEV($H$20,$H2240)&lt;=5,_xll.TM1RPTELLEV($H$20,$H2240),"Default"),"Leaf")</f>
        <v>Leaf</v>
      </c>
      <c r="C2240" s="26" t="s">
        <v>21</v>
      </c>
      <c r="D2240" s="24" t="str">
        <f>_xll.DBRW("TM1-S1_DEV:}ElementAttributes_SP_SKU",$F2240,D$1)</f>
        <v>Primary</v>
      </c>
      <c r="E2240" s="24" t="str">
        <f>_xll.DBRW("TM1-S1_DEV:}ElementAttributes_SP_SKU",$F2240,E$1)</f>
        <v>BOX</v>
      </c>
      <c r="F2240" s="26" t="s">
        <v>3199</v>
      </c>
      <c r="G2240" s="26" t="s">
        <v>2141</v>
      </c>
      <c r="H2240" s="26" t="s">
        <v>2702</v>
      </c>
      <c r="I2240" s="54">
        <f>_xll.DBRW($A$1,$F$14,$F$15,$C2240,$A$2,$F2240,$G2240,$H2240,I$1)</f>
        <v>3</v>
      </c>
      <c r="J2240" s="25">
        <f>_xll.DBRW($A$1,$F$14,$F$15,$C2240,$A$2,$F2240,$G2240,$H2240,J$19)</f>
        <v>3</v>
      </c>
    </row>
    <row r="2241" spans="1:10" s="23" customFormat="1" outlineLevel="1" thickBot="1" x14ac:dyDescent="0.3">
      <c r="A2241" s="44"/>
      <c r="B2241" s="31" t="str">
        <f>IF(_xll.TM1RPTELISCONSOLIDATED($H$20,$H2241),IF(_xll.TM1RPTELLEV($H$20,$H2241)&lt;=5,_xll.TM1RPTELLEV($H$20,$H2241),"Default"),"Leaf")</f>
        <v>Leaf</v>
      </c>
      <c r="C2241" s="26" t="s">
        <v>21</v>
      </c>
      <c r="D2241" s="24" t="str">
        <f>_xll.DBRW("TM1-S1_DEV:}ElementAttributes_SP_SKU",$F2241,D$1)</f>
        <v>Primary</v>
      </c>
      <c r="E2241" s="24" t="str">
        <f>_xll.DBRW("TM1-S1_DEV:}ElementAttributes_SP_SKU",$F2241,E$1)</f>
        <v>TRAY</v>
      </c>
      <c r="F2241" s="26" t="s">
        <v>3200</v>
      </c>
      <c r="G2241" s="26" t="s">
        <v>2142</v>
      </c>
      <c r="H2241" s="26" t="s">
        <v>2703</v>
      </c>
      <c r="I2241" s="54">
        <f>_xll.DBRW($A$1,$F$14,$F$15,$C2241,$A$2,$F2241,$G2241,$H2241,I$1)</f>
        <v>38</v>
      </c>
      <c r="J2241" s="25">
        <f>_xll.DBRW($A$1,$F$14,$F$15,$C2241,$A$2,$F2241,$G2241,$H2241,J$19)</f>
        <v>37</v>
      </c>
    </row>
    <row r="2242" spans="1:10" s="23" customFormat="1" outlineLevel="1" thickBot="1" x14ac:dyDescent="0.3">
      <c r="A2242" s="44"/>
      <c r="B2242" s="31" t="str">
        <f>IF(_xll.TM1RPTELISCONSOLIDATED($H$20,$H2242),IF(_xll.TM1RPTELLEV($H$20,$H2242)&lt;=5,_xll.TM1RPTELLEV($H$20,$H2242),"Default"),"Leaf")</f>
        <v>Leaf</v>
      </c>
      <c r="C2242" s="26" t="s">
        <v>21</v>
      </c>
      <c r="D2242" s="24" t="str">
        <f>_xll.DBRW("TM1-S1_DEV:}ElementAttributes_SP_SKU",$F2242,D$1)</f>
        <v>Primary</v>
      </c>
      <c r="E2242" s="24" t="str">
        <f>_xll.DBRW("TM1-S1_DEV:}ElementAttributes_SP_SKU",$F2242,E$1)</f>
        <v>TRAY</v>
      </c>
      <c r="F2242" s="26" t="s">
        <v>3201</v>
      </c>
      <c r="G2242" s="26" t="s">
        <v>2143</v>
      </c>
      <c r="H2242" s="26" t="s">
        <v>2703</v>
      </c>
      <c r="I2242" s="54">
        <f>_xll.DBRW($A$1,$F$14,$F$15,$C2242,$A$2,$F2242,$G2242,$H2242,I$1)</f>
        <v>24</v>
      </c>
      <c r="J2242" s="25">
        <f>_xll.DBRW($A$1,$F$14,$F$15,$C2242,$A$2,$F2242,$G2242,$H2242,J$19)</f>
        <v>23</v>
      </c>
    </row>
    <row r="2243" spans="1:10" s="23" customFormat="1" outlineLevel="1" thickBot="1" x14ac:dyDescent="0.3">
      <c r="A2243" s="44"/>
      <c r="B2243" s="31" t="str">
        <f>IF(_xll.TM1RPTELISCONSOLIDATED($H$20,$H2243),IF(_xll.TM1RPTELLEV($H$20,$H2243)&lt;=5,_xll.TM1RPTELLEV($H$20,$H2243),"Default"),"Leaf")</f>
        <v>Leaf</v>
      </c>
      <c r="C2243" s="26" t="s">
        <v>21</v>
      </c>
      <c r="D2243" s="24" t="str">
        <f>_xll.DBRW("TM1-S1_DEV:}ElementAttributes_SP_SKU",$F2243,D$1)</f>
        <v>Primary</v>
      </c>
      <c r="E2243" s="24" t="str">
        <f>_xll.DBRW("TM1-S1_DEV:}ElementAttributes_SP_SKU",$F2243,E$1)</f>
        <v>TRAY</v>
      </c>
      <c r="F2243" s="26" t="s">
        <v>3202</v>
      </c>
      <c r="G2243" s="26" t="s">
        <v>2144</v>
      </c>
      <c r="H2243" s="26" t="s">
        <v>2703</v>
      </c>
      <c r="I2243" s="54">
        <f>_xll.DBRW($A$1,$F$14,$F$15,$C2243,$A$2,$F2243,$G2243,$H2243,I$1)</f>
        <v>113</v>
      </c>
      <c r="J2243" s="25">
        <f>_xll.DBRW($A$1,$F$14,$F$15,$C2243,$A$2,$F2243,$G2243,$H2243,J$19)</f>
        <v>113</v>
      </c>
    </row>
    <row r="2244" spans="1:10" s="23" customFormat="1" outlineLevel="1" thickBot="1" x14ac:dyDescent="0.3">
      <c r="A2244" s="44"/>
      <c r="B2244" s="31" t="str">
        <f>IF(_xll.TM1RPTELISCONSOLIDATED($H$20,$H2244),IF(_xll.TM1RPTELLEV($H$20,$H2244)&lt;=5,_xll.TM1RPTELLEV($H$20,$H2244),"Default"),"Leaf")</f>
        <v>Leaf</v>
      </c>
      <c r="C2244" s="26" t="s">
        <v>21</v>
      </c>
      <c r="D2244" s="24" t="str">
        <f>_xll.DBRW("TM1-S1_DEV:}ElementAttributes_SP_SKU",$F2244,D$1)</f>
        <v>Primary</v>
      </c>
      <c r="E2244" s="24" t="str">
        <f>_xll.DBRW("TM1-S1_DEV:}ElementAttributes_SP_SKU",$F2244,E$1)</f>
        <v>TRAY</v>
      </c>
      <c r="F2244" s="26" t="s">
        <v>3203</v>
      </c>
      <c r="G2244" s="26" t="s">
        <v>2145</v>
      </c>
      <c r="H2244" s="26" t="s">
        <v>2703</v>
      </c>
      <c r="I2244" s="54">
        <f>_xll.DBRW($A$1,$F$14,$F$15,$C2244,$A$2,$F2244,$G2244,$H2244,I$1)</f>
        <v>64</v>
      </c>
      <c r="J2244" s="25">
        <f>_xll.DBRW($A$1,$F$14,$F$15,$C2244,$A$2,$F2244,$G2244,$H2244,J$19)</f>
        <v>64</v>
      </c>
    </row>
    <row r="2245" spans="1:10" s="23" customFormat="1" outlineLevel="1" thickBot="1" x14ac:dyDescent="0.3">
      <c r="A2245" s="44"/>
      <c r="B2245" s="31" t="str">
        <f>IF(_xll.TM1RPTELISCONSOLIDATED($H$20,$H2245),IF(_xll.TM1RPTELLEV($H$20,$H2245)&lt;=5,_xll.TM1RPTELLEV($H$20,$H2245),"Default"),"Leaf")</f>
        <v>Leaf</v>
      </c>
      <c r="C2245" s="26" t="s">
        <v>21</v>
      </c>
      <c r="D2245" s="24" t="str">
        <f>_xll.DBRW("TM1-S1_DEV:}ElementAttributes_SP_SKU",$F2245,D$1)</f>
        <v>Primary</v>
      </c>
      <c r="E2245" s="24" t="str">
        <f>_xll.DBRW("TM1-S1_DEV:}ElementAttributes_SP_SKU",$F2245,E$1)</f>
        <v>FOIL</v>
      </c>
      <c r="F2245" s="26" t="s">
        <v>3204</v>
      </c>
      <c r="G2245" s="26" t="s">
        <v>2146</v>
      </c>
      <c r="H2245" s="26" t="s">
        <v>2704</v>
      </c>
      <c r="I2245" s="54">
        <f>_xll.DBRW($A$1,$F$14,$F$15,$C2245,$A$2,$F2245,$G2245,$H2245,I$1)</f>
        <v>98</v>
      </c>
      <c r="J2245" s="25">
        <f>_xll.DBRW($A$1,$F$14,$F$15,$C2245,$A$2,$F2245,$G2245,$H2245,J$19)</f>
        <v>85</v>
      </c>
    </row>
    <row r="2246" spans="1:10" s="23" customFormat="1" outlineLevel="1" thickBot="1" x14ac:dyDescent="0.3">
      <c r="A2246" s="44"/>
      <c r="B2246" s="31" t="str">
        <f>IF(_xll.TM1RPTELISCONSOLIDATED($H$20,$H2246),IF(_xll.TM1RPTELLEV($H$20,$H2246)&lt;=5,_xll.TM1RPTELLEV($H$20,$H2246),"Default"),"Leaf")</f>
        <v>Leaf</v>
      </c>
      <c r="C2246" s="26" t="s">
        <v>21</v>
      </c>
      <c r="D2246" s="24" t="str">
        <f>_xll.DBRW("TM1-S1_DEV:}ElementAttributes_SP_SKU",$F2246,D$1)</f>
        <v>Primary</v>
      </c>
      <c r="E2246" s="24" t="str">
        <f>_xll.DBRW("TM1-S1_DEV:}ElementAttributes_SP_SKU",$F2246,E$1)</f>
        <v>BAG</v>
      </c>
      <c r="F2246" s="26" t="s">
        <v>3205</v>
      </c>
      <c r="G2246" s="26" t="s">
        <v>2147</v>
      </c>
      <c r="H2246" s="26" t="s">
        <v>2705</v>
      </c>
      <c r="I2246" s="54">
        <f>_xll.DBRW($A$1,$F$14,$F$15,$C2246,$A$2,$F2246,$G2246,$H2246,I$1)</f>
        <v>40</v>
      </c>
      <c r="J2246" s="25">
        <f>_xll.DBRW($A$1,$F$14,$F$15,$C2246,$A$2,$F2246,$G2246,$H2246,J$19)</f>
        <v>36</v>
      </c>
    </row>
    <row r="2247" spans="1:10" s="23" customFormat="1" outlineLevel="1" thickBot="1" x14ac:dyDescent="0.3">
      <c r="A2247" s="44"/>
      <c r="B2247" s="31" t="str">
        <f>IF(_xll.TM1RPTELISCONSOLIDATED($H$20,$H2247),IF(_xll.TM1RPTELLEV($H$20,$H2247)&lt;=5,_xll.TM1RPTELLEV($H$20,$H2247),"Default"),"Leaf")</f>
        <v>Leaf</v>
      </c>
      <c r="C2247" s="26" t="s">
        <v>21</v>
      </c>
      <c r="D2247" s="24" t="str">
        <f>_xll.DBRW("TM1-S1_DEV:}ElementAttributes_SP_SKU",$F2247,D$1)</f>
        <v>Primary</v>
      </c>
      <c r="E2247" s="24" t="str">
        <f>_xll.DBRW("TM1-S1_DEV:}ElementAttributes_SP_SKU",$F2247,E$1)</f>
        <v>FOIL</v>
      </c>
      <c r="F2247" s="26" t="s">
        <v>3206</v>
      </c>
      <c r="G2247" s="26" t="s">
        <v>2148</v>
      </c>
      <c r="H2247" s="26" t="s">
        <v>2704</v>
      </c>
      <c r="I2247" s="54">
        <f>_xll.DBRW($A$1,$F$14,$F$15,$C2247,$A$2,$F2247,$G2247,$H2247,I$1)</f>
        <v>77</v>
      </c>
      <c r="J2247" s="25">
        <f>_xll.DBRW($A$1,$F$14,$F$15,$C2247,$A$2,$F2247,$G2247,$H2247,J$19)</f>
        <v>69</v>
      </c>
    </row>
    <row r="2248" spans="1:10" s="23" customFormat="1" outlineLevel="1" thickBot="1" x14ac:dyDescent="0.3">
      <c r="A2248" s="44"/>
      <c r="B2248" s="31" t="str">
        <f>IF(_xll.TM1RPTELISCONSOLIDATED($H$20,$H2248),IF(_xll.TM1RPTELLEV($H$20,$H2248)&lt;=5,_xll.TM1RPTELLEV($H$20,$H2248),"Default"),"Leaf")</f>
        <v>Leaf</v>
      </c>
      <c r="C2248" s="26" t="s">
        <v>21</v>
      </c>
      <c r="D2248" s="24" t="str">
        <f>_xll.DBRW("TM1-S1_DEV:}ElementAttributes_SP_SKU",$F2248,D$1)</f>
        <v>Primary</v>
      </c>
      <c r="E2248" s="24" t="str">
        <f>_xll.DBRW("TM1-S1_DEV:}ElementAttributes_SP_SKU",$F2248,E$1)</f>
        <v>FOIL</v>
      </c>
      <c r="F2248" s="26" t="s">
        <v>3207</v>
      </c>
      <c r="G2248" s="26" t="s">
        <v>2149</v>
      </c>
      <c r="H2248" s="26" t="s">
        <v>2704</v>
      </c>
      <c r="I2248" s="54">
        <f>_xll.DBRW($A$1,$F$14,$F$15,$C2248,$A$2,$F2248,$G2248,$H2248,I$1)</f>
        <v>8</v>
      </c>
      <c r="J2248" s="25">
        <f>_xll.DBRW($A$1,$F$14,$F$15,$C2248,$A$2,$F2248,$G2248,$H2248,J$19)</f>
        <v>8</v>
      </c>
    </row>
    <row r="2249" spans="1:10" s="23" customFormat="1" outlineLevel="1" thickBot="1" x14ac:dyDescent="0.3">
      <c r="A2249" s="44"/>
      <c r="B2249" s="31" t="str">
        <f>IF(_xll.TM1RPTELISCONSOLIDATED($H$20,$H2249),IF(_xll.TM1RPTELLEV($H$20,$H2249)&lt;=5,_xll.TM1RPTELLEV($H$20,$H2249),"Default"),"Leaf")</f>
        <v>Leaf</v>
      </c>
      <c r="C2249" s="26" t="s">
        <v>21</v>
      </c>
      <c r="D2249" s="24" t="str">
        <f>_xll.DBRW("TM1-S1_DEV:}ElementAttributes_SP_SKU",$F2249,D$1)</f>
        <v>Primary</v>
      </c>
      <c r="E2249" s="24" t="str">
        <f>_xll.DBRW("TM1-S1_DEV:}ElementAttributes_SP_SKU",$F2249,E$1)</f>
        <v>BAG</v>
      </c>
      <c r="F2249" s="26" t="s">
        <v>3208</v>
      </c>
      <c r="G2249" s="26" t="s">
        <v>2150</v>
      </c>
      <c r="H2249" s="26" t="s">
        <v>2705</v>
      </c>
      <c r="I2249" s="54">
        <f>_xll.DBRW($A$1,$F$14,$F$15,$C2249,$A$2,$F2249,$G2249,$H2249,I$1)</f>
        <v>43</v>
      </c>
      <c r="J2249" s="25">
        <f>_xll.DBRW($A$1,$F$14,$F$15,$C2249,$A$2,$F2249,$G2249,$H2249,J$19)</f>
        <v>36</v>
      </c>
    </row>
    <row r="2250" spans="1:10" s="23" customFormat="1" outlineLevel="1" thickBot="1" x14ac:dyDescent="0.3">
      <c r="A2250" s="44"/>
      <c r="B2250" s="31" t="str">
        <f>IF(_xll.TM1RPTELISCONSOLIDATED($H$20,$H2250),IF(_xll.TM1RPTELLEV($H$20,$H2250)&lt;=5,_xll.TM1RPTELLEV($H$20,$H2250),"Default"),"Leaf")</f>
        <v>Leaf</v>
      </c>
      <c r="C2250" s="26" t="s">
        <v>21</v>
      </c>
      <c r="D2250" s="24" t="str">
        <f>_xll.DBRW("TM1-S1_DEV:}ElementAttributes_SP_SKU",$F2250,D$1)</f>
        <v>Primary</v>
      </c>
      <c r="E2250" s="24" t="str">
        <f>_xll.DBRW("TM1-S1_DEV:}ElementAttributes_SP_SKU",$F2250,E$1)</f>
        <v>BAG</v>
      </c>
      <c r="F2250" s="26" t="s">
        <v>3209</v>
      </c>
      <c r="G2250" s="26" t="s">
        <v>2151</v>
      </c>
      <c r="H2250" s="26" t="s">
        <v>2705</v>
      </c>
      <c r="I2250" s="54">
        <f>_xll.DBRW($A$1,$F$14,$F$15,$C2250,$A$2,$F2250,$G2250,$H2250,I$1)</f>
        <v>82</v>
      </c>
      <c r="J2250" s="25">
        <f>_xll.DBRW($A$1,$F$14,$F$15,$C2250,$A$2,$F2250,$G2250,$H2250,J$19)</f>
        <v>62</v>
      </c>
    </row>
    <row r="2251" spans="1:10" s="23" customFormat="1" outlineLevel="1" thickBot="1" x14ac:dyDescent="0.3">
      <c r="A2251" s="44"/>
      <c r="B2251" s="31" t="str">
        <f>IF(_xll.TM1RPTELISCONSOLIDATED($H$20,$H2251),IF(_xll.TM1RPTELLEV($H$20,$H2251)&lt;=5,_xll.TM1RPTELLEV($H$20,$H2251),"Default"),"Leaf")</f>
        <v>Leaf</v>
      </c>
      <c r="C2251" s="26" t="s">
        <v>21</v>
      </c>
      <c r="D2251" s="24" t="str">
        <f>_xll.DBRW("TM1-S1_DEV:}ElementAttributes_SP_SKU",$F2251,D$1)</f>
        <v>Primary</v>
      </c>
      <c r="E2251" s="24" t="str">
        <f>_xll.DBRW("TM1-S1_DEV:}ElementAttributes_SP_SKU",$F2251,E$1)</f>
        <v>BAG</v>
      </c>
      <c r="F2251" s="26" t="s">
        <v>3210</v>
      </c>
      <c r="G2251" s="26" t="s">
        <v>2152</v>
      </c>
      <c r="H2251" s="26" t="s">
        <v>2705</v>
      </c>
      <c r="I2251" s="54">
        <f>_xll.DBRW($A$1,$F$14,$F$15,$C2251,$A$2,$F2251,$G2251,$H2251,I$1)</f>
        <v>35</v>
      </c>
      <c r="J2251" s="25">
        <f>_xll.DBRW($A$1,$F$14,$F$15,$C2251,$A$2,$F2251,$G2251,$H2251,J$19)</f>
        <v>31</v>
      </c>
    </row>
    <row r="2252" spans="1:10" s="23" customFormat="1" outlineLevel="1" thickBot="1" x14ac:dyDescent="0.3">
      <c r="A2252" s="44"/>
      <c r="B2252" s="31" t="str">
        <f>IF(_xll.TM1RPTELISCONSOLIDATED($H$20,$H2252),IF(_xll.TM1RPTELLEV($H$20,$H2252)&lt;=5,_xll.TM1RPTELLEV($H$20,$H2252),"Default"),"Leaf")</f>
        <v>Leaf</v>
      </c>
      <c r="C2252" s="26" t="s">
        <v>21</v>
      </c>
      <c r="D2252" s="24" t="str">
        <f>_xll.DBRW("TM1-S1_DEV:}ElementAttributes_SP_SKU",$F2252,D$1)</f>
        <v>Primary</v>
      </c>
      <c r="E2252" s="24" t="str">
        <f>_xll.DBRW("TM1-S1_DEV:}ElementAttributes_SP_SKU",$F2252,E$1)</f>
        <v>BOX</v>
      </c>
      <c r="F2252" s="26" t="s">
        <v>3211</v>
      </c>
      <c r="G2252" s="26" t="s">
        <v>2153</v>
      </c>
      <c r="H2252" s="26" t="s">
        <v>2706</v>
      </c>
      <c r="I2252" s="54">
        <f>_xll.DBRW($A$1,$F$14,$F$15,$C2252,$A$2,$F2252,$G2252,$H2252,I$1)</f>
        <v>122</v>
      </c>
      <c r="J2252" s="25">
        <f>_xll.DBRW($A$1,$F$14,$F$15,$C2252,$A$2,$F2252,$G2252,$H2252,J$19)</f>
        <v>111</v>
      </c>
    </row>
    <row r="2253" spans="1:10" s="23" customFormat="1" outlineLevel="1" thickBot="1" x14ac:dyDescent="0.3">
      <c r="A2253" s="44"/>
      <c r="B2253" s="31" t="str">
        <f>IF(_xll.TM1RPTELISCONSOLIDATED($H$20,$H2253),IF(_xll.TM1RPTELLEV($H$20,$H2253)&lt;=5,_xll.TM1RPTELLEV($H$20,$H2253),"Default"),"Leaf")</f>
        <v>Leaf</v>
      </c>
      <c r="C2253" s="26" t="s">
        <v>21</v>
      </c>
      <c r="D2253" s="24" t="str">
        <f>_xll.DBRW("TM1-S1_DEV:}ElementAttributes_SP_SKU",$F2253,D$1)</f>
        <v>Primary</v>
      </c>
      <c r="E2253" s="24" t="str">
        <f>_xll.DBRW("TM1-S1_DEV:}ElementAttributes_SP_SKU",$F2253,E$1)</f>
        <v>FOIL</v>
      </c>
      <c r="F2253" s="26" t="s">
        <v>3212</v>
      </c>
      <c r="G2253" s="26" t="s">
        <v>2154</v>
      </c>
      <c r="H2253" s="26" t="s">
        <v>2704</v>
      </c>
      <c r="I2253" s="54">
        <f>_xll.DBRW($A$1,$F$14,$F$15,$C2253,$A$2,$F2253,$G2253,$H2253,I$1)</f>
        <v>58</v>
      </c>
      <c r="J2253" s="25">
        <f>_xll.DBRW($A$1,$F$14,$F$15,$C2253,$A$2,$F2253,$G2253,$H2253,J$19)</f>
        <v>54</v>
      </c>
    </row>
    <row r="2254" spans="1:10" s="23" customFormat="1" outlineLevel="1" thickBot="1" x14ac:dyDescent="0.3">
      <c r="A2254" s="44"/>
      <c r="B2254" s="31" t="str">
        <f>IF(_xll.TM1RPTELISCONSOLIDATED($H$20,$H2254),IF(_xll.TM1RPTELLEV($H$20,$H2254)&lt;=5,_xll.TM1RPTELLEV($H$20,$H2254),"Default"),"Leaf")</f>
        <v>Leaf</v>
      </c>
      <c r="C2254" s="26" t="s">
        <v>21</v>
      </c>
      <c r="D2254" s="24" t="str">
        <f>_xll.DBRW("TM1-S1_DEV:}ElementAttributes_SP_SKU",$F2254,D$1)</f>
        <v>Primary</v>
      </c>
      <c r="E2254" s="24" t="str">
        <f>_xll.DBRW("TM1-S1_DEV:}ElementAttributes_SP_SKU",$F2254,E$1)</f>
        <v>TRAY</v>
      </c>
      <c r="F2254" s="26" t="s">
        <v>3213</v>
      </c>
      <c r="G2254" s="26" t="s">
        <v>2155</v>
      </c>
      <c r="H2254" s="26" t="s">
        <v>2703</v>
      </c>
      <c r="I2254" s="54">
        <f>_xll.DBRW($A$1,$F$14,$F$15,$C2254,$A$2,$F2254,$G2254,$H2254,I$1)</f>
        <v>39</v>
      </c>
      <c r="J2254" s="25">
        <f>_xll.DBRW($A$1,$F$14,$F$15,$C2254,$A$2,$F2254,$G2254,$H2254,J$19)</f>
        <v>36</v>
      </c>
    </row>
    <row r="2255" spans="1:10" s="23" customFormat="1" outlineLevel="1" thickBot="1" x14ac:dyDescent="0.3">
      <c r="A2255" s="44"/>
      <c r="B2255" s="31" t="str">
        <f>IF(_xll.TM1RPTELISCONSOLIDATED($H$20,$H2255),IF(_xll.TM1RPTELLEV($H$20,$H2255)&lt;=5,_xll.TM1RPTELLEV($H$20,$H2255),"Default"),"Leaf")</f>
        <v>Leaf</v>
      </c>
      <c r="C2255" s="26" t="s">
        <v>21</v>
      </c>
      <c r="D2255" s="24" t="str">
        <f>_xll.DBRW("TM1-S1_DEV:}ElementAttributes_SP_SKU",$F2255,D$1)</f>
        <v>Primary</v>
      </c>
      <c r="E2255" s="24" t="str">
        <f>_xll.DBRW("TM1-S1_DEV:}ElementAttributes_SP_SKU",$F2255,E$1)</f>
        <v>TRAY</v>
      </c>
      <c r="F2255" s="26" t="s">
        <v>3214</v>
      </c>
      <c r="G2255" s="26" t="s">
        <v>2156</v>
      </c>
      <c r="H2255" s="26" t="s">
        <v>2703</v>
      </c>
      <c r="I2255" s="54">
        <f>_xll.DBRW($A$1,$F$14,$F$15,$C2255,$A$2,$F2255,$G2255,$H2255,I$1)</f>
        <v>28</v>
      </c>
      <c r="J2255" s="25">
        <f>_xll.DBRW($A$1,$F$14,$F$15,$C2255,$A$2,$F2255,$G2255,$H2255,J$19)</f>
        <v>25</v>
      </c>
    </row>
    <row r="2256" spans="1:10" s="23" customFormat="1" outlineLevel="1" thickBot="1" x14ac:dyDescent="0.3">
      <c r="A2256" s="44"/>
      <c r="B2256" s="31" t="str">
        <f>IF(_xll.TM1RPTELISCONSOLIDATED($H$20,$H2256),IF(_xll.TM1RPTELLEV($H$20,$H2256)&lt;=5,_xll.TM1RPTELLEV($H$20,$H2256),"Default"),"Leaf")</f>
        <v>Leaf</v>
      </c>
      <c r="C2256" s="26" t="s">
        <v>21</v>
      </c>
      <c r="D2256" s="24" t="str">
        <f>_xll.DBRW("TM1-S1_DEV:}ElementAttributes_SP_SKU",$F2256,D$1)</f>
        <v>Primary</v>
      </c>
      <c r="E2256" s="24" t="str">
        <f>_xll.DBRW("TM1-S1_DEV:}ElementAttributes_SP_SKU",$F2256,E$1)</f>
        <v>BOWL</v>
      </c>
      <c r="F2256" s="26" t="s">
        <v>3215</v>
      </c>
      <c r="G2256" s="26" t="s">
        <v>2157</v>
      </c>
      <c r="H2256" s="26" t="s">
        <v>2703</v>
      </c>
      <c r="I2256" s="54">
        <f>_xll.DBRW($A$1,$F$14,$F$15,$C2256,$A$2,$F2256,$G2256,$H2256,I$1)</f>
        <v>22</v>
      </c>
      <c r="J2256" s="25">
        <f>_xll.DBRW($A$1,$F$14,$F$15,$C2256,$A$2,$F2256,$G2256,$H2256,J$19)</f>
        <v>20</v>
      </c>
    </row>
    <row r="2257" spans="1:10" s="23" customFormat="1" outlineLevel="1" thickBot="1" x14ac:dyDescent="0.3">
      <c r="A2257" s="44"/>
      <c r="B2257" s="31" t="str">
        <f>IF(_xll.TM1RPTELISCONSOLIDATED($H$20,$H2257),IF(_xll.TM1RPTELLEV($H$20,$H2257)&lt;=5,_xll.TM1RPTELLEV($H$20,$H2257),"Default"),"Leaf")</f>
        <v>Leaf</v>
      </c>
      <c r="C2257" s="26" t="s">
        <v>21</v>
      </c>
      <c r="D2257" s="24" t="str">
        <f>_xll.DBRW("TM1-S1_DEV:}ElementAttributes_SP_SKU",$F2257,D$1)</f>
        <v>Primary</v>
      </c>
      <c r="E2257" s="24" t="str">
        <f>_xll.DBRW("TM1-S1_DEV:}ElementAttributes_SP_SKU",$F2257,E$1)</f>
        <v>BOWL</v>
      </c>
      <c r="F2257" s="26" t="s">
        <v>3216</v>
      </c>
      <c r="G2257" s="26" t="s">
        <v>2158</v>
      </c>
      <c r="H2257" s="26" t="s">
        <v>2703</v>
      </c>
      <c r="I2257" s="54">
        <f>_xll.DBRW($A$1,$F$14,$F$15,$C2257,$A$2,$F2257,$G2257,$H2257,I$1)</f>
        <v>18</v>
      </c>
      <c r="J2257" s="25">
        <f>_xll.DBRW($A$1,$F$14,$F$15,$C2257,$A$2,$F2257,$G2257,$H2257,J$19)</f>
        <v>16</v>
      </c>
    </row>
    <row r="2258" spans="1:10" s="23" customFormat="1" outlineLevel="1" thickBot="1" x14ac:dyDescent="0.3">
      <c r="A2258" s="44"/>
      <c r="B2258" s="31" t="str">
        <f>IF(_xll.TM1RPTELISCONSOLIDATED($H$20,$H2258),IF(_xll.TM1RPTELLEV($H$20,$H2258)&lt;=5,_xll.TM1RPTELLEV($H$20,$H2258),"Default"),"Leaf")</f>
        <v>Leaf</v>
      </c>
      <c r="C2258" s="26" t="s">
        <v>21</v>
      </c>
      <c r="D2258" s="24" t="str">
        <f>_xll.DBRW("TM1-S1_DEV:}ElementAttributes_SP_SKU",$F2258,D$1)</f>
        <v>Primary</v>
      </c>
      <c r="E2258" s="24" t="str">
        <f>_xll.DBRW("TM1-S1_DEV:}ElementAttributes_SP_SKU",$F2258,E$1)</f>
        <v>UTENSIL</v>
      </c>
      <c r="F2258" s="26" t="s">
        <v>3217</v>
      </c>
      <c r="G2258" s="26" t="s">
        <v>2159</v>
      </c>
      <c r="H2258" s="26" t="s">
        <v>2703</v>
      </c>
      <c r="I2258" s="54">
        <f>_xll.DBRW($A$1,$F$14,$F$15,$C2258,$A$2,$F2258,$G2258,$H2258,I$1)</f>
        <v>30</v>
      </c>
      <c r="J2258" s="25">
        <f>_xll.DBRW($A$1,$F$14,$F$15,$C2258,$A$2,$F2258,$G2258,$H2258,J$19)</f>
        <v>28</v>
      </c>
    </row>
    <row r="2259" spans="1:10" s="23" customFormat="1" outlineLevel="1" thickBot="1" x14ac:dyDescent="0.3">
      <c r="A2259" s="44"/>
      <c r="B2259" s="31" t="str">
        <f>IF(_xll.TM1RPTELISCONSOLIDATED($H$20,$H2259),IF(_xll.TM1RPTELLEV($H$20,$H2259)&lt;=5,_xll.TM1RPTELLEV($H$20,$H2259),"Default"),"Leaf")</f>
        <v>Leaf</v>
      </c>
      <c r="C2259" s="26" t="s">
        <v>21</v>
      </c>
      <c r="D2259" s="24" t="str">
        <f>_xll.DBRW("TM1-S1_DEV:}ElementAttributes_SP_SKU",$F2259,D$1)</f>
        <v>Primary</v>
      </c>
      <c r="E2259" s="24" t="str">
        <f>_xll.DBRW("TM1-S1_DEV:}ElementAttributes_SP_SKU",$F2259,E$1)</f>
        <v>UTENSIL</v>
      </c>
      <c r="F2259" s="26" t="s">
        <v>3218</v>
      </c>
      <c r="G2259" s="26" t="s">
        <v>2160</v>
      </c>
      <c r="H2259" s="26" t="s">
        <v>2703</v>
      </c>
      <c r="I2259" s="54">
        <f>_xll.DBRW($A$1,$F$14,$F$15,$C2259,$A$2,$F2259,$G2259,$H2259,I$1)</f>
        <v>46</v>
      </c>
      <c r="J2259" s="25">
        <f>_xll.DBRW($A$1,$F$14,$F$15,$C2259,$A$2,$F2259,$G2259,$H2259,J$19)</f>
        <v>41</v>
      </c>
    </row>
    <row r="2260" spans="1:10" s="23" customFormat="1" outlineLevel="1" thickBot="1" x14ac:dyDescent="0.3">
      <c r="A2260" s="44"/>
      <c r="B2260" s="31" t="str">
        <f>IF(_xll.TM1RPTELISCONSOLIDATED($H$20,$H2260),IF(_xll.TM1RPTELLEV($H$20,$H2260)&lt;=5,_xll.TM1RPTELLEV($H$20,$H2260),"Default"),"Leaf")</f>
        <v>Leaf</v>
      </c>
      <c r="C2260" s="26" t="s">
        <v>21</v>
      </c>
      <c r="D2260" s="24" t="str">
        <f>_xll.DBRW("TM1-S1_DEV:}ElementAttributes_SP_SKU",$F2260,D$1)</f>
        <v>Primary</v>
      </c>
      <c r="E2260" s="24" t="str">
        <f>_xll.DBRW("TM1-S1_DEV:}ElementAttributes_SP_SKU",$F2260,E$1)</f>
        <v>BAG</v>
      </c>
      <c r="F2260" s="26" t="s">
        <v>3219</v>
      </c>
      <c r="G2260" s="26" t="s">
        <v>2161</v>
      </c>
      <c r="H2260" s="26" t="s">
        <v>2705</v>
      </c>
      <c r="I2260" s="54">
        <f>_xll.DBRW($A$1,$F$14,$F$15,$C2260,$A$2,$F2260,$G2260,$H2260,I$1)</f>
        <v>15</v>
      </c>
      <c r="J2260" s="25">
        <f>_xll.DBRW($A$1,$F$14,$F$15,$C2260,$A$2,$F2260,$G2260,$H2260,J$19)</f>
        <v>9</v>
      </c>
    </row>
    <row r="2261" spans="1:10" s="23" customFormat="1" outlineLevel="1" thickBot="1" x14ac:dyDescent="0.3">
      <c r="A2261" s="44"/>
      <c r="B2261" s="31" t="str">
        <f>IF(_xll.TM1RPTELISCONSOLIDATED($H$20,$H2261),IF(_xll.TM1RPTELLEV($H$20,$H2261)&lt;=5,_xll.TM1RPTELLEV($H$20,$H2261),"Default"),"Leaf")</f>
        <v>Leaf</v>
      </c>
      <c r="C2261" s="26" t="s">
        <v>21</v>
      </c>
      <c r="D2261" s="24" t="str">
        <f>_xll.DBRW("TM1-S1_DEV:}ElementAttributes_SP_SKU",$F2261,D$1)</f>
        <v>Primary</v>
      </c>
      <c r="E2261" s="24" t="str">
        <f>_xll.DBRW("TM1-S1_DEV:}ElementAttributes_SP_SKU",$F2261,E$1)</f>
        <v>BOX</v>
      </c>
      <c r="F2261" s="26" t="s">
        <v>3220</v>
      </c>
      <c r="G2261" s="26" t="s">
        <v>2162</v>
      </c>
      <c r="H2261" s="26" t="s">
        <v>2702</v>
      </c>
      <c r="I2261" s="54">
        <f>_xll.DBRW($A$1,$F$14,$F$15,$C2261,$A$2,$F2261,$G2261,$H2261,I$1)</f>
        <v>26</v>
      </c>
      <c r="J2261" s="25">
        <f>_xll.DBRW($A$1,$F$14,$F$15,$C2261,$A$2,$F2261,$G2261,$H2261,J$19)</f>
        <v>26</v>
      </c>
    </row>
    <row r="2262" spans="1:10" s="23" customFormat="1" outlineLevel="1" thickBot="1" x14ac:dyDescent="0.3">
      <c r="A2262" s="44"/>
      <c r="B2262" s="31" t="str">
        <f>IF(_xll.TM1RPTELISCONSOLIDATED($H$20,$H2262),IF(_xll.TM1RPTELLEV($H$20,$H2262)&lt;=5,_xll.TM1RPTELLEV($H$20,$H2262),"Default"),"Leaf")</f>
        <v>Leaf</v>
      </c>
      <c r="C2262" s="26" t="s">
        <v>21</v>
      </c>
      <c r="D2262" s="24" t="str">
        <f>_xll.DBRW("TM1-S1_DEV:}ElementAttributes_SP_SKU",$F2262,D$1)</f>
        <v>Primary</v>
      </c>
      <c r="E2262" s="24" t="str">
        <f>_xll.DBRW("TM1-S1_DEV:}ElementAttributes_SP_SKU",$F2262,E$1)</f>
        <v>BOX</v>
      </c>
      <c r="F2262" s="26" t="s">
        <v>3221</v>
      </c>
      <c r="G2262" s="26" t="s">
        <v>2163</v>
      </c>
      <c r="H2262" s="26" t="s">
        <v>2702</v>
      </c>
      <c r="I2262" s="54">
        <f>_xll.DBRW($A$1,$F$14,$F$15,$C2262,$A$2,$F2262,$G2262,$H2262,I$1)</f>
        <v>4</v>
      </c>
      <c r="J2262" s="25">
        <f>_xll.DBRW($A$1,$F$14,$F$15,$C2262,$A$2,$F2262,$G2262,$H2262,J$19)</f>
        <v>4</v>
      </c>
    </row>
    <row r="2263" spans="1:10" s="23" customFormat="1" outlineLevel="1" thickBot="1" x14ac:dyDescent="0.3">
      <c r="A2263" s="44"/>
      <c r="B2263" s="31" t="str">
        <f>IF(_xll.TM1RPTELISCONSOLIDATED($H$20,$H2263),IF(_xll.TM1RPTELLEV($H$20,$H2263)&lt;=5,_xll.TM1RPTELLEV($H$20,$H2263),"Default"),"Leaf")</f>
        <v>Leaf</v>
      </c>
      <c r="C2263" s="26" t="s">
        <v>21</v>
      </c>
      <c r="D2263" s="24" t="str">
        <f>_xll.DBRW("TM1-S1_DEV:}ElementAttributes_SP_SKU",$F2263,D$1)</f>
        <v>Primary</v>
      </c>
      <c r="E2263" s="24" t="str">
        <f>_xll.DBRW("TM1-S1_DEV:}ElementAttributes_SP_SKU",$F2263,E$1)</f>
        <v>BOX</v>
      </c>
      <c r="F2263" s="26" t="s">
        <v>3222</v>
      </c>
      <c r="G2263" s="26" t="s">
        <v>2164</v>
      </c>
      <c r="H2263" s="26" t="s">
        <v>2702</v>
      </c>
      <c r="I2263" s="54">
        <f>_xll.DBRW($A$1,$F$14,$F$15,$C2263,$A$2,$F2263,$G2263,$H2263,I$1)</f>
        <v>14</v>
      </c>
      <c r="J2263" s="25">
        <f>_xll.DBRW($A$1,$F$14,$F$15,$C2263,$A$2,$F2263,$G2263,$H2263,J$19)</f>
        <v>14</v>
      </c>
    </row>
    <row r="2264" spans="1:10" s="23" customFormat="1" outlineLevel="1" thickBot="1" x14ac:dyDescent="0.3">
      <c r="A2264" s="44"/>
      <c r="B2264" s="31" t="str">
        <f>IF(_xll.TM1RPTELISCONSOLIDATED($H$20,$H2264),IF(_xll.TM1RPTELLEV($H$20,$H2264)&lt;=5,_xll.TM1RPTELLEV($H$20,$H2264),"Default"),"Leaf")</f>
        <v>Leaf</v>
      </c>
      <c r="C2264" s="26" t="s">
        <v>21</v>
      </c>
      <c r="D2264" s="24" t="str">
        <f>_xll.DBRW("TM1-S1_DEV:}ElementAttributes_SP_SKU",$F2264,D$1)</f>
        <v>Primary</v>
      </c>
      <c r="E2264" s="24" t="str">
        <f>_xll.DBRW("TM1-S1_DEV:}ElementAttributes_SP_SKU",$F2264,E$1)</f>
        <v>BOWL</v>
      </c>
      <c r="F2264" s="26" t="s">
        <v>3223</v>
      </c>
      <c r="G2264" s="26" t="s">
        <v>2165</v>
      </c>
      <c r="H2264" s="26" t="s">
        <v>2703</v>
      </c>
      <c r="I2264" s="54">
        <f>_xll.DBRW($A$1,$F$14,$F$15,$C2264,$A$2,$F2264,$G2264,$H2264,I$1)</f>
        <v>24</v>
      </c>
      <c r="J2264" s="25">
        <f>_xll.DBRW($A$1,$F$14,$F$15,$C2264,$A$2,$F2264,$G2264,$H2264,J$19)</f>
        <v>24</v>
      </c>
    </row>
    <row r="2265" spans="1:10" s="23" customFormat="1" outlineLevel="1" thickBot="1" x14ac:dyDescent="0.3">
      <c r="A2265" s="44"/>
      <c r="B2265" s="31" t="str">
        <f>IF(_xll.TM1RPTELISCONSOLIDATED($H$20,$H2265),IF(_xll.TM1RPTELLEV($H$20,$H2265)&lt;=5,_xll.TM1RPTELLEV($H$20,$H2265),"Default"),"Leaf")</f>
        <v>Leaf</v>
      </c>
      <c r="C2265" s="26" t="s">
        <v>21</v>
      </c>
      <c r="D2265" s="24" t="str">
        <f>_xll.DBRW("TM1-S1_DEV:}ElementAttributes_SP_SKU",$F2265,D$1)</f>
        <v>Primary</v>
      </c>
      <c r="E2265" s="24" t="str">
        <f>_xll.DBRW("TM1-S1_DEV:}ElementAttributes_SP_SKU",$F2265,E$1)</f>
        <v>BAG</v>
      </c>
      <c r="F2265" s="26" t="s">
        <v>3224</v>
      </c>
      <c r="G2265" s="26" t="s">
        <v>2166</v>
      </c>
      <c r="H2265" s="26" t="s">
        <v>2705</v>
      </c>
      <c r="I2265" s="54">
        <f>_xll.DBRW($A$1,$F$14,$F$15,$C2265,$A$2,$F2265,$G2265,$H2265,I$1)</f>
        <v>44</v>
      </c>
      <c r="J2265" s="25">
        <f>_xll.DBRW($A$1,$F$14,$F$15,$C2265,$A$2,$F2265,$G2265,$H2265,J$19)</f>
        <v>34</v>
      </c>
    </row>
    <row r="2266" spans="1:10" s="23" customFormat="1" outlineLevel="1" thickBot="1" x14ac:dyDescent="0.3">
      <c r="A2266" s="44"/>
      <c r="B2266" s="31" t="str">
        <f>IF(_xll.TM1RPTELISCONSOLIDATED($H$20,$H2266),IF(_xll.TM1RPTELLEV($H$20,$H2266)&lt;=5,_xll.TM1RPTELLEV($H$20,$H2266),"Default"),"Leaf")</f>
        <v>Leaf</v>
      </c>
      <c r="C2266" s="26" t="s">
        <v>21</v>
      </c>
      <c r="D2266" s="24" t="str">
        <f>_xll.DBRW("TM1-S1_DEV:}ElementAttributes_SP_SKU",$F2266,D$1)</f>
        <v>Primary</v>
      </c>
      <c r="E2266" s="24" t="str">
        <f>_xll.DBRW("TM1-S1_DEV:}ElementAttributes_SP_SKU",$F2266,E$1)</f>
        <v>CUP</v>
      </c>
      <c r="F2266" s="26" t="s">
        <v>3225</v>
      </c>
      <c r="G2266" s="26" t="s">
        <v>2167</v>
      </c>
      <c r="H2266" s="26" t="s">
        <v>2707</v>
      </c>
      <c r="I2266" s="54">
        <f>_xll.DBRW($A$1,$F$14,$F$15,$C2266,$A$2,$F2266,$G2266,$H2266,I$1)</f>
        <v>26</v>
      </c>
      <c r="J2266" s="25">
        <f>_xll.DBRW($A$1,$F$14,$F$15,$C2266,$A$2,$F2266,$G2266,$H2266,J$19)</f>
        <v>26</v>
      </c>
    </row>
    <row r="2267" spans="1:10" s="23" customFormat="1" outlineLevel="1" thickBot="1" x14ac:dyDescent="0.3">
      <c r="A2267" s="44"/>
      <c r="B2267" s="31" t="str">
        <f>IF(_xll.TM1RPTELISCONSOLIDATED($H$20,$H2267),IF(_xll.TM1RPTELLEV($H$20,$H2267)&lt;=5,_xll.TM1RPTELLEV($H$20,$H2267),"Default"),"Leaf")</f>
        <v>Leaf</v>
      </c>
      <c r="C2267" s="26" t="s">
        <v>21</v>
      </c>
      <c r="D2267" s="24" t="str">
        <f>_xll.DBRW("TM1-S1_DEV:}ElementAttributes_SP_SKU",$F2267,D$1)</f>
        <v>Primary</v>
      </c>
      <c r="E2267" s="24" t="str">
        <f>_xll.DBRW("TM1-S1_DEV:}ElementAttributes_SP_SKU",$F2267,E$1)</f>
        <v>CUP</v>
      </c>
      <c r="F2267" s="26" t="s">
        <v>3226</v>
      </c>
      <c r="G2267" s="26" t="s">
        <v>2168</v>
      </c>
      <c r="H2267" s="26" t="s">
        <v>2707</v>
      </c>
      <c r="I2267" s="54">
        <f>_xll.DBRW($A$1,$F$14,$F$15,$C2267,$A$2,$F2267,$G2267,$H2267,I$1)</f>
        <v>39</v>
      </c>
      <c r="J2267" s="25">
        <f>_xll.DBRW($A$1,$F$14,$F$15,$C2267,$A$2,$F2267,$G2267,$H2267,J$19)</f>
        <v>38</v>
      </c>
    </row>
    <row r="2268" spans="1:10" s="23" customFormat="1" outlineLevel="1" thickBot="1" x14ac:dyDescent="0.3">
      <c r="A2268" s="44"/>
      <c r="B2268" s="31" t="str">
        <f>IF(_xll.TM1RPTELISCONSOLIDATED($H$20,$H2268),IF(_xll.TM1RPTELLEV($H$20,$H2268)&lt;=5,_xll.TM1RPTELLEV($H$20,$H2268),"Default"),"Leaf")</f>
        <v>Leaf</v>
      </c>
      <c r="C2268" s="26" t="s">
        <v>21</v>
      </c>
      <c r="D2268" s="24" t="str">
        <f>_xll.DBRW("TM1-S1_DEV:}ElementAttributes_SP_SKU",$F2268,D$1)</f>
        <v>Primary</v>
      </c>
      <c r="E2268" s="24" t="str">
        <f>_xll.DBRW("TM1-S1_DEV:}ElementAttributes_SP_SKU",$F2268,E$1)</f>
        <v>PROTEIN</v>
      </c>
      <c r="F2268" s="26" t="s">
        <v>3227</v>
      </c>
      <c r="G2268" s="26" t="s">
        <v>2169</v>
      </c>
      <c r="H2268" s="26" t="s">
        <v>2673</v>
      </c>
      <c r="I2268" s="54">
        <f>_xll.DBRW($A$1,$F$14,$F$15,$C2268,$A$2,$F2268,$G2268,$H2268,I$1)</f>
        <v>467</v>
      </c>
      <c r="J2268" s="25">
        <f>_xll.DBRW($A$1,$F$14,$F$15,$C2268,$A$2,$F2268,$G2268,$H2268,J$19)</f>
        <v>422</v>
      </c>
    </row>
    <row r="2269" spans="1:10" s="23" customFormat="1" outlineLevel="1" thickBot="1" x14ac:dyDescent="0.3">
      <c r="A2269" s="44"/>
      <c r="B2269" s="31" t="str">
        <f>IF(_xll.TM1RPTELISCONSOLIDATED($H$20,$H2269),IF(_xll.TM1RPTELLEV($H$20,$H2269)&lt;=5,_xll.TM1RPTELLEV($H$20,$H2269),"Default"),"Leaf")</f>
        <v>Leaf</v>
      </c>
      <c r="C2269" s="26" t="s">
        <v>21</v>
      </c>
      <c r="D2269" s="24" t="str">
        <f>_xll.DBRW("TM1-S1_DEV:}ElementAttributes_SP_SKU",$F2269,D$1)</f>
        <v>Primary</v>
      </c>
      <c r="E2269" s="24" t="str">
        <f>_xll.DBRW("TM1-S1_DEV:}ElementAttributes_SP_SKU",$F2269,E$1)</f>
        <v>GLOVES</v>
      </c>
      <c r="F2269" s="26" t="s">
        <v>3274</v>
      </c>
      <c r="G2269" s="26" t="s">
        <v>2170</v>
      </c>
      <c r="H2269" s="26" t="s">
        <v>2712</v>
      </c>
      <c r="I2269" s="54">
        <f>_xll.DBRW($A$1,$F$14,$F$15,$C2269,$A$2,$F2269,$G2269,$H2269,I$1)</f>
        <v>41</v>
      </c>
      <c r="J2269" s="25">
        <f>_xll.DBRW($A$1,$F$14,$F$15,$C2269,$A$2,$F2269,$G2269,$H2269,J$19)</f>
        <v>41</v>
      </c>
    </row>
    <row r="2270" spans="1:10" s="23" customFormat="1" outlineLevel="1" thickBot="1" x14ac:dyDescent="0.3">
      <c r="A2270" s="44"/>
      <c r="B2270" s="31" t="str">
        <f>IF(_xll.TM1RPTELISCONSOLIDATED($H$20,$H2270),IF(_xll.TM1RPTELLEV($H$20,$H2270)&lt;=5,_xll.TM1RPTELLEV($H$20,$H2270),"Default"),"Leaf")</f>
        <v>Leaf</v>
      </c>
      <c r="C2270" s="26" t="s">
        <v>21</v>
      </c>
      <c r="D2270" s="24" t="str">
        <f>_xll.DBRW("TM1-S1_DEV:}ElementAttributes_SP_SKU",$F2270,D$1)</f>
        <v>Primary</v>
      </c>
      <c r="E2270" s="24" t="str">
        <f>_xll.DBRW("TM1-S1_DEV:}ElementAttributes_SP_SKU",$F2270,E$1)</f>
        <v>GLOVES</v>
      </c>
      <c r="F2270" s="26" t="s">
        <v>3275</v>
      </c>
      <c r="G2270" s="26" t="s">
        <v>2171</v>
      </c>
      <c r="H2270" s="26" t="s">
        <v>2712</v>
      </c>
      <c r="I2270" s="54">
        <f>_xll.DBRW($A$1,$F$14,$F$15,$C2270,$A$2,$F2270,$G2270,$H2270,I$1)</f>
        <v>51</v>
      </c>
      <c r="J2270" s="25">
        <f>_xll.DBRW($A$1,$F$14,$F$15,$C2270,$A$2,$F2270,$G2270,$H2270,J$19)</f>
        <v>49</v>
      </c>
    </row>
    <row r="2271" spans="1:10" s="23" customFormat="1" outlineLevel="1" thickBot="1" x14ac:dyDescent="0.3">
      <c r="A2271" s="44"/>
      <c r="B2271" s="31" t="str">
        <f>IF(_xll.TM1RPTELISCONSOLIDATED($H$20,$H2271),IF(_xll.TM1RPTELLEV($H$20,$H2271)&lt;=5,_xll.TM1RPTELLEV($H$20,$H2271),"Default"),"Leaf")</f>
        <v>Leaf</v>
      </c>
      <c r="C2271" s="26" t="s">
        <v>21</v>
      </c>
      <c r="D2271" s="24" t="str">
        <f>_xll.DBRW("TM1-S1_DEV:}ElementAttributes_SP_SKU",$F2271,D$1)</f>
        <v>Primary</v>
      </c>
      <c r="E2271" s="24" t="str">
        <f>_xll.DBRW("TM1-S1_DEV:}ElementAttributes_SP_SKU",$F2271,E$1)</f>
        <v>GLOVES</v>
      </c>
      <c r="F2271" s="26" t="s">
        <v>3276</v>
      </c>
      <c r="G2271" s="26" t="s">
        <v>2172</v>
      </c>
      <c r="H2271" s="26" t="s">
        <v>2712</v>
      </c>
      <c r="I2271" s="54">
        <f>_xll.DBRW($A$1,$F$14,$F$15,$C2271,$A$2,$F2271,$G2271,$H2271,I$1)</f>
        <v>82</v>
      </c>
      <c r="J2271" s="25">
        <f>_xll.DBRW($A$1,$F$14,$F$15,$C2271,$A$2,$F2271,$G2271,$H2271,J$19)</f>
        <v>74</v>
      </c>
    </row>
    <row r="2272" spans="1:10" s="23" customFormat="1" outlineLevel="1" thickBot="1" x14ac:dyDescent="0.3">
      <c r="A2272" s="44"/>
      <c r="B2272" s="31" t="str">
        <f>IF(_xll.TM1RPTELISCONSOLIDATED($H$20,$H2272),IF(_xll.TM1RPTELLEV($H$20,$H2272)&lt;=5,_xll.TM1RPTELLEV($H$20,$H2272),"Default"),"Leaf")</f>
        <v>Leaf</v>
      </c>
      <c r="C2272" s="26" t="s">
        <v>21</v>
      </c>
      <c r="D2272" s="24" t="str">
        <f>_xll.DBRW("TM1-S1_DEV:}ElementAttributes_SP_SKU",$F2272,D$1)</f>
        <v>Primary</v>
      </c>
      <c r="E2272" s="24" t="str">
        <f>_xll.DBRW("TM1-S1_DEV:}ElementAttributes_SP_SKU",$F2272,E$1)</f>
        <v>TRAY</v>
      </c>
      <c r="F2272" s="26" t="s">
        <v>3228</v>
      </c>
      <c r="G2272" s="26" t="s">
        <v>2173</v>
      </c>
      <c r="H2272" s="26" t="s">
        <v>2708</v>
      </c>
      <c r="I2272" s="54">
        <f>_xll.DBRW($A$1,$F$14,$F$15,$C2272,$A$2,$F2272,$G2272,$H2272,I$1)</f>
        <v>25</v>
      </c>
      <c r="J2272" s="25">
        <f>_xll.DBRW($A$1,$F$14,$F$15,$C2272,$A$2,$F2272,$G2272,$H2272,J$19)</f>
        <v>22</v>
      </c>
    </row>
    <row r="2273" spans="1:10" s="23" customFormat="1" outlineLevel="1" thickBot="1" x14ac:dyDescent="0.3">
      <c r="A2273" s="44"/>
      <c r="B2273" s="31" t="str">
        <f>IF(_xll.TM1RPTELISCONSOLIDATED($H$20,$H2273),IF(_xll.TM1RPTELLEV($H$20,$H2273)&lt;=5,_xll.TM1RPTELLEV($H$20,$H2273),"Default"),"Leaf")</f>
        <v>Leaf</v>
      </c>
      <c r="C2273" s="26" t="s">
        <v>21</v>
      </c>
      <c r="D2273" s="24" t="str">
        <f>_xll.DBRW("TM1-S1_DEV:}ElementAttributes_SP_SKU",$F2273,D$1)</f>
        <v>Primary</v>
      </c>
      <c r="E2273" s="24" t="str">
        <f>_xll.DBRW("TM1-S1_DEV:}ElementAttributes_SP_SKU",$F2273,E$1)</f>
        <v>TRAY</v>
      </c>
      <c r="F2273" s="26" t="s">
        <v>3229</v>
      </c>
      <c r="G2273" s="26" t="s">
        <v>2174</v>
      </c>
      <c r="H2273" s="26" t="s">
        <v>2708</v>
      </c>
      <c r="I2273" s="54">
        <f>_xll.DBRW($A$1,$F$14,$F$15,$C2273,$A$2,$F2273,$G2273,$H2273,I$1)</f>
        <v>29</v>
      </c>
      <c r="J2273" s="25">
        <f>_xll.DBRW($A$1,$F$14,$F$15,$C2273,$A$2,$F2273,$G2273,$H2273,J$19)</f>
        <v>26</v>
      </c>
    </row>
    <row r="2274" spans="1:10" s="23" customFormat="1" outlineLevel="1" thickBot="1" x14ac:dyDescent="0.3">
      <c r="A2274" s="44"/>
      <c r="B2274" s="31" t="str">
        <f>IF(_xll.TM1RPTELISCONSOLIDATED($H$20,$H2274),IF(_xll.TM1RPTELLEV($H$20,$H2274)&lt;=5,_xll.TM1RPTELLEV($H$20,$H2274),"Default"),"Leaf")</f>
        <v>Leaf</v>
      </c>
      <c r="C2274" s="26" t="s">
        <v>21</v>
      </c>
      <c r="D2274" s="24" t="str">
        <f>_xll.DBRW("TM1-S1_DEV:}ElementAttributes_SP_SKU",$F2274,D$1)</f>
        <v>Primary</v>
      </c>
      <c r="E2274" s="24" t="str">
        <f>_xll.DBRW("TM1-S1_DEV:}ElementAttributes_SP_SKU",$F2274,E$1)</f>
        <v>BOWL</v>
      </c>
      <c r="F2274" s="26" t="s">
        <v>3230</v>
      </c>
      <c r="G2274" s="26" t="s">
        <v>2175</v>
      </c>
      <c r="H2274" s="26" t="s">
        <v>2703</v>
      </c>
      <c r="I2274" s="54">
        <f>_xll.DBRW($A$1,$F$14,$F$15,$C2274,$A$2,$F2274,$G2274,$H2274,I$1)</f>
        <v>29</v>
      </c>
      <c r="J2274" s="25">
        <f>_xll.DBRW($A$1,$F$14,$F$15,$C2274,$A$2,$F2274,$G2274,$H2274,J$19)</f>
        <v>29</v>
      </c>
    </row>
    <row r="2275" spans="1:10" s="23" customFormat="1" outlineLevel="1" thickBot="1" x14ac:dyDescent="0.3">
      <c r="A2275" s="44"/>
      <c r="B2275" s="31" t="str">
        <f>IF(_xll.TM1RPTELISCONSOLIDATED($H$20,$H2275),IF(_xll.TM1RPTELLEV($H$20,$H2275)&lt;=5,_xll.TM1RPTELLEV($H$20,$H2275),"Default"),"Leaf")</f>
        <v>Leaf</v>
      </c>
      <c r="C2275" s="26" t="s">
        <v>21</v>
      </c>
      <c r="D2275" s="24" t="str">
        <f>_xll.DBRW("TM1-S1_DEV:}ElementAttributes_SP_SKU",$F2275,D$1)</f>
        <v>Primary</v>
      </c>
      <c r="E2275" s="24" t="str">
        <f>_xll.DBRW("TM1-S1_DEV:}ElementAttributes_SP_SKU",$F2275,E$1)</f>
        <v>BREAD</v>
      </c>
      <c r="F2275" s="26" t="s">
        <v>3260</v>
      </c>
      <c r="G2275" s="26" t="s">
        <v>2176</v>
      </c>
      <c r="H2275" s="26" t="s">
        <v>2710</v>
      </c>
      <c r="I2275" s="54">
        <f>_xll.DBRW($A$1,$F$14,$F$15,$C2275,$A$2,$F2275,$G2275,$H2275,I$1)</f>
        <v>23</v>
      </c>
      <c r="J2275" s="25">
        <f>_xll.DBRW($A$1,$F$14,$F$15,$C2275,$A$2,$F2275,$G2275,$H2275,J$19)</f>
        <v>19</v>
      </c>
    </row>
    <row r="2276" spans="1:10" s="23" customFormat="1" outlineLevel="1" thickBot="1" x14ac:dyDescent="0.3">
      <c r="A2276" s="44"/>
      <c r="B2276" s="31" t="str">
        <f>IF(_xll.TM1RPTELISCONSOLIDATED($H$20,$H2276),IF(_xll.TM1RPTELLEV($H$20,$H2276)&lt;=5,_xll.TM1RPTELLEV($H$20,$H2276),"Default"),"Leaf")</f>
        <v>Leaf</v>
      </c>
      <c r="C2276" s="26" t="s">
        <v>21</v>
      </c>
      <c r="D2276" s="24" t="str">
        <f>_xll.DBRW("TM1-S1_DEV:}ElementAttributes_SP_SKU",$F2276,D$1)</f>
        <v>Primary</v>
      </c>
      <c r="E2276" s="24" t="str">
        <f>_xll.DBRW("TM1-S1_DEV:}ElementAttributes_SP_SKU",$F2276,E$1)</f>
        <v>TRAY</v>
      </c>
      <c r="F2276" s="26" t="s">
        <v>3231</v>
      </c>
      <c r="G2276" s="26" t="s">
        <v>2177</v>
      </c>
      <c r="H2276" s="26" t="s">
        <v>2711</v>
      </c>
      <c r="I2276" s="54">
        <f>_xll.DBRW($A$1,$F$14,$F$15,$C2276,$A$2,$F2276,$G2276,$H2276,I$1)</f>
        <v>53</v>
      </c>
      <c r="J2276" s="25">
        <f>_xll.DBRW($A$1,$F$14,$F$15,$C2276,$A$2,$F2276,$G2276,$H2276,J$19)</f>
        <v>47</v>
      </c>
    </row>
    <row r="2277" spans="1:10" s="23" customFormat="1" outlineLevel="1" thickBot="1" x14ac:dyDescent="0.3">
      <c r="A2277" s="44"/>
      <c r="B2277" s="31" t="str">
        <f>IF(_xll.TM1RPTELISCONSOLIDATED($H$20,$H2277),IF(_xll.TM1RPTELLEV($H$20,$H2277)&lt;=5,_xll.TM1RPTELLEV($H$20,$H2277),"Default"),"Leaf")</f>
        <v>Leaf</v>
      </c>
      <c r="C2277" s="26" t="s">
        <v>21</v>
      </c>
      <c r="D2277" s="24" t="str">
        <f>_xll.DBRW("TM1-S1_DEV:}ElementAttributes_SP_SKU",$F2277,D$1)</f>
        <v>Primary</v>
      </c>
      <c r="E2277" s="24" t="str">
        <f>_xll.DBRW("TM1-S1_DEV:}ElementAttributes_SP_SKU",$F2277,E$1)</f>
        <v>PAPER</v>
      </c>
      <c r="F2277" s="26" t="s">
        <v>3261</v>
      </c>
      <c r="G2277" s="26" t="s">
        <v>2178</v>
      </c>
      <c r="H2277" s="26" t="s">
        <v>2716</v>
      </c>
      <c r="I2277" s="54">
        <f>_xll.DBRW($A$1,$F$14,$F$15,$C2277,$A$2,$F2277,$G2277,$H2277,I$1)</f>
        <v>7</v>
      </c>
      <c r="J2277" s="25">
        <f>_xll.DBRW($A$1,$F$14,$F$15,$C2277,$A$2,$F2277,$G2277,$H2277,J$19)</f>
        <v>6</v>
      </c>
    </row>
    <row r="2278" spans="1:10" s="23" customFormat="1" outlineLevel="1" thickBot="1" x14ac:dyDescent="0.3">
      <c r="A2278" s="44"/>
      <c r="B2278" s="31" t="str">
        <f>IF(_xll.TM1RPTELISCONSOLIDATED($H$20,$H2278),IF(_xll.TM1RPTELLEV($H$20,$H2278)&lt;=5,_xll.TM1RPTELLEV($H$20,$H2278),"Default"),"Leaf")</f>
        <v>Leaf</v>
      </c>
      <c r="C2278" s="26" t="s">
        <v>21</v>
      </c>
      <c r="D2278" s="24" t="str">
        <f>_xll.DBRW("TM1-S1_DEV:}ElementAttributes_SP_SKU",$F2278,D$1)</f>
        <v>Primary</v>
      </c>
      <c r="E2278" s="24" t="str">
        <f>_xll.DBRW("TM1-S1_DEV:}ElementAttributes_SP_SKU",$F2278,E$1)</f>
        <v>BAG</v>
      </c>
      <c r="F2278" s="26" t="s">
        <v>3297</v>
      </c>
      <c r="G2278" s="26" t="s">
        <v>2179</v>
      </c>
      <c r="H2278" s="26" t="s">
        <v>2879</v>
      </c>
      <c r="I2278" s="54">
        <f>_xll.DBRW($A$1,$F$14,$F$15,$C2278,$A$2,$F2278,$G2278,$H2278,I$1)</f>
        <v>52</v>
      </c>
      <c r="J2278" s="25">
        <f>_xll.DBRW($A$1,$F$14,$F$15,$C2278,$A$2,$F2278,$G2278,$H2278,J$19)</f>
        <v>43</v>
      </c>
    </row>
    <row r="2279" spans="1:10" s="23" customFormat="1" outlineLevel="1" thickBot="1" x14ac:dyDescent="0.3">
      <c r="A2279" s="44"/>
      <c r="B2279" s="31" t="str">
        <f>IF(_xll.TM1RPTELISCONSOLIDATED($H$20,$H2279),IF(_xll.TM1RPTELLEV($H$20,$H2279)&lt;=5,_xll.TM1RPTELLEV($H$20,$H2279),"Default"),"Leaf")</f>
        <v>Leaf</v>
      </c>
      <c r="C2279" s="26" t="s">
        <v>21</v>
      </c>
      <c r="D2279" s="24" t="str">
        <f>_xll.DBRW("TM1-S1_DEV:}ElementAttributes_SP_SKU",$F2279,D$1)</f>
        <v>Primary</v>
      </c>
      <c r="E2279" s="24" t="str">
        <f>_xll.DBRW("TM1-S1_DEV:}ElementAttributes_SP_SKU",$F2279,E$1)</f>
        <v>GLOVES</v>
      </c>
      <c r="F2279" s="26" t="s">
        <v>3298</v>
      </c>
      <c r="G2279" s="26" t="s">
        <v>2180</v>
      </c>
      <c r="H2279" s="26" t="s">
        <v>2712</v>
      </c>
      <c r="I2279" s="54">
        <f>_xll.DBRW($A$1,$F$14,$F$15,$C2279,$A$2,$F2279,$G2279,$H2279,I$1)</f>
        <v>6</v>
      </c>
      <c r="J2279" s="25">
        <f>_xll.DBRW($A$1,$F$14,$F$15,$C2279,$A$2,$F2279,$G2279,$H2279,J$19)</f>
        <v>6</v>
      </c>
    </row>
    <row r="2280" spans="1:10" s="23" customFormat="1" outlineLevel="1" thickBot="1" x14ac:dyDescent="0.3">
      <c r="A2280" s="44"/>
      <c r="B2280" s="31" t="str">
        <f>IF(_xll.TM1RPTELISCONSOLIDATED($H$20,$H2280),IF(_xll.TM1RPTELLEV($H$20,$H2280)&lt;=5,_xll.TM1RPTELLEV($H$20,$H2280),"Default"),"Leaf")</f>
        <v>Leaf</v>
      </c>
      <c r="C2280" s="26" t="s">
        <v>21</v>
      </c>
      <c r="D2280" s="24" t="str">
        <f>_xll.DBRW("TM1-S1_DEV:}ElementAttributes_SP_SKU",$F2280,D$1)</f>
        <v>Primary</v>
      </c>
      <c r="E2280" s="24" t="str">
        <f>_xll.DBRW("TM1-S1_DEV:}ElementAttributes_SP_SKU",$F2280,E$1)</f>
        <v>BAG</v>
      </c>
      <c r="F2280" s="26" t="s">
        <v>3232</v>
      </c>
      <c r="G2280" s="26" t="s">
        <v>2181</v>
      </c>
      <c r="H2280" s="26" t="s">
        <v>2712</v>
      </c>
      <c r="I2280" s="54">
        <f>_xll.DBRW($A$1,$F$14,$F$15,$C2280,$A$2,$F2280,$G2280,$H2280,I$1)</f>
        <v>36</v>
      </c>
      <c r="J2280" s="25">
        <f>_xll.DBRW($A$1,$F$14,$F$15,$C2280,$A$2,$F2280,$G2280,$H2280,J$19)</f>
        <v>33</v>
      </c>
    </row>
    <row r="2281" spans="1:10" s="23" customFormat="1" outlineLevel="1" thickBot="1" x14ac:dyDescent="0.3">
      <c r="A2281" s="44"/>
      <c r="B2281" s="31" t="str">
        <f>IF(_xll.TM1RPTELISCONSOLIDATED($H$20,$H2281),IF(_xll.TM1RPTELLEV($H$20,$H2281)&lt;=5,_xll.TM1RPTELLEV($H$20,$H2281),"Default"),"Leaf")</f>
        <v>Leaf</v>
      </c>
      <c r="C2281" s="26" t="s">
        <v>21</v>
      </c>
      <c r="D2281" s="24" t="str">
        <f>_xll.DBRW("TM1-S1_DEV:}ElementAttributes_SP_SKU",$F2281,D$1)</f>
        <v>Primary</v>
      </c>
      <c r="E2281" s="24" t="str">
        <f>_xll.DBRW("TM1-S1_DEV:}ElementAttributes_SP_SKU",$F2281,E$1)</f>
        <v>PLATE</v>
      </c>
      <c r="F2281" s="26" t="s">
        <v>3299</v>
      </c>
      <c r="G2281" s="26" t="s">
        <v>2182</v>
      </c>
      <c r="H2281" s="26" t="s">
        <v>2711</v>
      </c>
      <c r="I2281" s="54">
        <f>_xll.DBRW($A$1,$F$14,$F$15,$C2281,$A$2,$F2281,$G2281,$H2281,I$1)</f>
        <v>20</v>
      </c>
      <c r="J2281" s="25">
        <f>_xll.DBRW($A$1,$F$14,$F$15,$C2281,$A$2,$F2281,$G2281,$H2281,J$19)</f>
        <v>19</v>
      </c>
    </row>
    <row r="2282" spans="1:10" s="23" customFormat="1" outlineLevel="1" thickBot="1" x14ac:dyDescent="0.3">
      <c r="A2282" s="44"/>
      <c r="B2282" s="31" t="str">
        <f>IF(_xll.TM1RPTELISCONSOLIDATED($H$20,$H2282),IF(_xll.TM1RPTELLEV($H$20,$H2282)&lt;=5,_xll.TM1RPTELLEV($H$20,$H2282),"Default"),"Leaf")</f>
        <v>Leaf</v>
      </c>
      <c r="C2282" s="26" t="s">
        <v>21</v>
      </c>
      <c r="D2282" s="24" t="str">
        <f>_xll.DBRW("TM1-S1_DEV:}ElementAttributes_SP_SKU",$F2282,D$1)</f>
        <v>Primary</v>
      </c>
      <c r="E2282" s="24" t="str">
        <f>_xll.DBRW("TM1-S1_DEV:}ElementAttributes_SP_SKU",$F2282,E$1)</f>
        <v>CONTAINER</v>
      </c>
      <c r="F2282" s="26" t="s">
        <v>3283</v>
      </c>
      <c r="G2282" s="26" t="s">
        <v>2183</v>
      </c>
      <c r="H2282" s="26" t="s">
        <v>2711</v>
      </c>
      <c r="I2282" s="54">
        <f>_xll.DBRW($A$1,$F$14,$F$15,$C2282,$A$2,$F2282,$G2282,$H2282,I$1)</f>
        <v>17</v>
      </c>
      <c r="J2282" s="25">
        <f>_xll.DBRW($A$1,$F$14,$F$15,$C2282,$A$2,$F2282,$G2282,$H2282,J$19)</f>
        <v>17</v>
      </c>
    </row>
    <row r="2283" spans="1:10" s="23" customFormat="1" outlineLevel="1" thickBot="1" x14ac:dyDescent="0.3">
      <c r="A2283" s="44"/>
      <c r="B2283" s="31" t="str">
        <f>IF(_xll.TM1RPTELISCONSOLIDATED($H$20,$H2283),IF(_xll.TM1RPTELLEV($H$20,$H2283)&lt;=5,_xll.TM1RPTELLEV($H$20,$H2283),"Default"),"Leaf")</f>
        <v>Leaf</v>
      </c>
      <c r="C2283" s="26" t="s">
        <v>21</v>
      </c>
      <c r="D2283" s="24" t="str">
        <f>_xll.DBRW("TM1-S1_DEV:}ElementAttributes_SP_SKU",$F2283,D$1)</f>
        <v>Primary</v>
      </c>
      <c r="E2283" s="24" t="str">
        <f>_xll.DBRW("TM1-S1_DEV:}ElementAttributes_SP_SKU",$F2283,E$1)</f>
        <v>CONTAINER</v>
      </c>
      <c r="F2283" s="26" t="s">
        <v>3287</v>
      </c>
      <c r="G2283" s="26" t="s">
        <v>2184</v>
      </c>
      <c r="H2283" s="26" t="s">
        <v>2711</v>
      </c>
      <c r="I2283" s="54">
        <f>_xll.DBRW($A$1,$F$14,$F$15,$C2283,$A$2,$F2283,$G2283,$H2283,I$1)</f>
        <v>5</v>
      </c>
      <c r="J2283" s="25">
        <f>_xll.DBRW($A$1,$F$14,$F$15,$C2283,$A$2,$F2283,$G2283,$H2283,J$19)</f>
        <v>5</v>
      </c>
    </row>
    <row r="2284" spans="1:10" s="23" customFormat="1" outlineLevel="1" thickBot="1" x14ac:dyDescent="0.3">
      <c r="A2284" s="44"/>
      <c r="B2284" s="31" t="str">
        <f>IF(_xll.TM1RPTELISCONSOLIDATED($H$20,$H2284),IF(_xll.TM1RPTELLEV($H$20,$H2284)&lt;=5,_xll.TM1RPTELLEV($H$20,$H2284),"Default"),"Leaf")</f>
        <v>Leaf</v>
      </c>
      <c r="C2284" s="26" t="s">
        <v>21</v>
      </c>
      <c r="D2284" s="24" t="str">
        <f>_xll.DBRW("TM1-S1_DEV:}ElementAttributes_SP_SKU",$F2284,D$1)</f>
        <v>Primary</v>
      </c>
      <c r="E2284" s="24" t="str">
        <f>_xll.DBRW("TM1-S1_DEV:}ElementAttributes_SP_SKU",$F2284,E$1)</f>
        <v>UTENSIL</v>
      </c>
      <c r="F2284" s="26" t="s">
        <v>3293</v>
      </c>
      <c r="G2284" s="26" t="s">
        <v>2185</v>
      </c>
      <c r="H2284" s="26" t="s">
        <v>2860</v>
      </c>
      <c r="I2284" s="54">
        <f>_xll.DBRW($A$1,$F$14,$F$15,$C2284,$A$2,$F2284,$G2284,$H2284,I$1)</f>
        <v>46</v>
      </c>
      <c r="J2284" s="25">
        <f>_xll.DBRW($A$1,$F$14,$F$15,$C2284,$A$2,$F2284,$G2284,$H2284,J$19)</f>
        <v>46</v>
      </c>
    </row>
    <row r="2285" spans="1:10" s="23" customFormat="1" outlineLevel="1" thickBot="1" x14ac:dyDescent="0.3">
      <c r="A2285" s="44"/>
      <c r="B2285" s="31" t="str">
        <f>IF(_xll.TM1RPTELISCONSOLIDATED($H$20,$H2285),IF(_xll.TM1RPTELLEV($H$20,$H2285)&lt;=5,_xll.TM1RPTELLEV($H$20,$H2285),"Default"),"Leaf")</f>
        <v>Leaf</v>
      </c>
      <c r="C2285" s="26" t="s">
        <v>21</v>
      </c>
      <c r="D2285" s="24" t="str">
        <f>_xll.DBRW("TM1-S1_DEV:}ElementAttributes_SP_SKU",$F2285,D$1)</f>
        <v>Primary</v>
      </c>
      <c r="E2285" s="24" t="str">
        <f>_xll.DBRW("TM1-S1_DEV:}ElementAttributes_SP_SKU",$F2285,E$1)</f>
        <v>UTENSIL</v>
      </c>
      <c r="F2285" s="26" t="s">
        <v>3300</v>
      </c>
      <c r="G2285" s="26" t="s">
        <v>2186</v>
      </c>
      <c r="H2285" s="26" t="s">
        <v>2860</v>
      </c>
      <c r="I2285" s="54">
        <f>_xll.DBRW($A$1,$F$14,$F$15,$C2285,$A$2,$F2285,$G2285,$H2285,I$1)</f>
        <v>77</v>
      </c>
      <c r="J2285" s="25">
        <f>_xll.DBRW($A$1,$F$14,$F$15,$C2285,$A$2,$F2285,$G2285,$H2285,J$19)</f>
        <v>77</v>
      </c>
    </row>
    <row r="2286" spans="1:10" s="23" customFormat="1" outlineLevel="1" thickBot="1" x14ac:dyDescent="0.3">
      <c r="A2286" s="44"/>
      <c r="B2286" s="31" t="str">
        <f>IF(_xll.TM1RPTELISCONSOLIDATED($H$20,$H2286),IF(_xll.TM1RPTELLEV($H$20,$H2286)&lt;=5,_xll.TM1RPTELLEV($H$20,$H2286),"Default"),"Leaf")</f>
        <v>Leaf</v>
      </c>
      <c r="C2286" s="26" t="s">
        <v>21</v>
      </c>
      <c r="D2286" s="24" t="str">
        <f>_xll.DBRW("TM1-S1_DEV:}ElementAttributes_SP_SKU",$F2286,D$1)</f>
        <v>Primary</v>
      </c>
      <c r="E2286" s="24" t="str">
        <f>_xll.DBRW("TM1-S1_DEV:}ElementAttributes_SP_SKU",$F2286,E$1)</f>
        <v>CONTAINER</v>
      </c>
      <c r="F2286" s="26" t="s">
        <v>3284</v>
      </c>
      <c r="G2286" s="26" t="s">
        <v>2187</v>
      </c>
      <c r="H2286" s="26" t="s">
        <v>2860</v>
      </c>
      <c r="I2286" s="54">
        <f>_xll.DBRW($A$1,$F$14,$F$15,$C2286,$A$2,$F2286,$G2286,$H2286,I$1)</f>
        <v>41</v>
      </c>
      <c r="J2286" s="25">
        <f>_xll.DBRW($A$1,$F$14,$F$15,$C2286,$A$2,$F2286,$G2286,$H2286,J$19)</f>
        <v>39</v>
      </c>
    </row>
    <row r="2287" spans="1:10" s="23" customFormat="1" outlineLevel="1" thickBot="1" x14ac:dyDescent="0.3">
      <c r="A2287" s="44"/>
      <c r="B2287" s="31" t="str">
        <f>IF(_xll.TM1RPTELISCONSOLIDATED($H$20,$H2287),IF(_xll.TM1RPTELLEV($H$20,$H2287)&lt;=5,_xll.TM1RPTELLEV($H$20,$H2287),"Default"),"Leaf")</f>
        <v>Leaf</v>
      </c>
      <c r="C2287" s="26" t="s">
        <v>21</v>
      </c>
      <c r="D2287" s="24" t="str">
        <f>_xll.DBRW("TM1-S1_DEV:}ElementAttributes_SP_SKU",$F2287,D$1)</f>
        <v>Primary</v>
      </c>
      <c r="E2287" s="24" t="str">
        <f>_xll.DBRW("TM1-S1_DEV:}ElementAttributes_SP_SKU",$F2287,E$1)</f>
        <v>FILM</v>
      </c>
      <c r="F2287" s="26" t="s">
        <v>3233</v>
      </c>
      <c r="G2287" s="26" t="s">
        <v>2188</v>
      </c>
      <c r="H2287" s="26" t="s">
        <v>2713</v>
      </c>
      <c r="I2287" s="54">
        <f>_xll.DBRW($A$1,$F$14,$F$15,$C2287,$A$2,$F2287,$G2287,$H2287,I$1)</f>
        <v>9</v>
      </c>
      <c r="J2287" s="25">
        <f>_xll.DBRW($A$1,$F$14,$F$15,$C2287,$A$2,$F2287,$G2287,$H2287,J$19)</f>
        <v>9</v>
      </c>
    </row>
    <row r="2288" spans="1:10" s="23" customFormat="1" outlineLevel="1" thickBot="1" x14ac:dyDescent="0.3">
      <c r="A2288" s="44"/>
      <c r="B2288" s="31" t="str">
        <f>IF(_xll.TM1RPTELISCONSOLIDATED($H$20,$H2288),IF(_xll.TM1RPTELLEV($H$20,$H2288)&lt;=5,_xll.TM1RPTELLEV($H$20,$H2288),"Default"),"Leaf")</f>
        <v>Leaf</v>
      </c>
      <c r="C2288" s="26" t="s">
        <v>21</v>
      </c>
      <c r="D2288" s="24" t="str">
        <f>_xll.DBRW("TM1-S1_DEV:}ElementAttributes_SP_SKU",$F2288,D$1)</f>
        <v>Primary</v>
      </c>
      <c r="E2288" s="24" t="str">
        <f>_xll.DBRW("TM1-S1_DEV:}ElementAttributes_SP_SKU",$F2288,E$1)</f>
        <v>BAG</v>
      </c>
      <c r="F2288" s="26" t="s">
        <v>3234</v>
      </c>
      <c r="G2288" s="26" t="s">
        <v>2189</v>
      </c>
      <c r="H2288" s="26" t="s">
        <v>2714</v>
      </c>
      <c r="I2288" s="54">
        <f>_xll.DBRW($A$1,$F$14,$F$15,$C2288,$A$2,$F2288,$G2288,$H2288,I$1)</f>
        <v>13</v>
      </c>
      <c r="J2288" s="25">
        <f>_xll.DBRW($A$1,$F$14,$F$15,$C2288,$A$2,$F2288,$G2288,$H2288,J$19)</f>
        <v>13</v>
      </c>
    </row>
    <row r="2289" spans="1:10" s="23" customFormat="1" outlineLevel="1" thickBot="1" x14ac:dyDescent="0.3">
      <c r="A2289" s="44"/>
      <c r="B2289" s="31" t="str">
        <f>IF(_xll.TM1RPTELISCONSOLIDATED($H$20,$H2289),IF(_xll.TM1RPTELLEV($H$20,$H2289)&lt;=5,_xll.TM1RPTELLEV($H$20,$H2289),"Default"),"Leaf")</f>
        <v>Leaf</v>
      </c>
      <c r="C2289" s="26" t="s">
        <v>21</v>
      </c>
      <c r="D2289" s="24" t="str">
        <f>_xll.DBRW("TM1-S1_DEV:}ElementAttributes_SP_SKU",$F2289,D$1)</f>
        <v>Primary</v>
      </c>
      <c r="E2289" s="24" t="str">
        <f>_xll.DBRW("TM1-S1_DEV:}ElementAttributes_SP_SKU",$F2289,E$1)</f>
        <v>FILM</v>
      </c>
      <c r="F2289" s="26" t="s">
        <v>3235</v>
      </c>
      <c r="G2289" s="26" t="s">
        <v>2190</v>
      </c>
      <c r="H2289" s="26" t="s">
        <v>2713</v>
      </c>
      <c r="I2289" s="54">
        <f>_xll.DBRW($A$1,$F$14,$F$15,$C2289,$A$2,$F2289,$G2289,$H2289,I$1)</f>
        <v>23</v>
      </c>
      <c r="J2289" s="25">
        <f>_xll.DBRW($A$1,$F$14,$F$15,$C2289,$A$2,$F2289,$G2289,$H2289,J$19)</f>
        <v>23</v>
      </c>
    </row>
    <row r="2290" spans="1:10" s="23" customFormat="1" outlineLevel="1" thickBot="1" x14ac:dyDescent="0.3">
      <c r="A2290" s="44"/>
      <c r="B2290" s="31" t="str">
        <f>IF(_xll.TM1RPTELISCONSOLIDATED($H$20,$H2290),IF(_xll.TM1RPTELLEV($H$20,$H2290)&lt;=5,_xll.TM1RPTELLEV($H$20,$H2290),"Default"),"Leaf")</f>
        <v>Leaf</v>
      </c>
      <c r="C2290" s="26" t="s">
        <v>21</v>
      </c>
      <c r="D2290" s="24" t="str">
        <f>_xll.DBRW("TM1-S1_DEV:}ElementAttributes_SP_SKU",$F2290,D$1)</f>
        <v>Primary</v>
      </c>
      <c r="E2290" s="24" t="str">
        <f>_xll.DBRW("TM1-S1_DEV:}ElementAttributes_SP_SKU",$F2290,E$1)</f>
        <v>CONTAINER</v>
      </c>
      <c r="F2290" s="26" t="s">
        <v>3285</v>
      </c>
      <c r="G2290" s="26" t="s">
        <v>2191</v>
      </c>
      <c r="H2290" s="26" t="s">
        <v>2711</v>
      </c>
      <c r="I2290" s="54">
        <f>_xll.DBRW($A$1,$F$14,$F$15,$C2290,$A$2,$F2290,$G2290,$H2290,I$1)</f>
        <v>78</v>
      </c>
      <c r="J2290" s="25">
        <f>_xll.DBRW($A$1,$F$14,$F$15,$C2290,$A$2,$F2290,$G2290,$H2290,J$19)</f>
        <v>78</v>
      </c>
    </row>
    <row r="2291" spans="1:10" s="23" customFormat="1" outlineLevel="1" thickBot="1" x14ac:dyDescent="0.3">
      <c r="A2291" s="44"/>
      <c r="B2291" s="31" t="str">
        <f>IF(_xll.TM1RPTELISCONSOLIDATED($H$20,$H2291),IF(_xll.TM1RPTELLEV($H$20,$H2291)&lt;=5,_xll.TM1RPTELLEV($H$20,$H2291),"Default"),"Leaf")</f>
        <v>Leaf</v>
      </c>
      <c r="C2291" s="26" t="s">
        <v>21</v>
      </c>
      <c r="D2291" s="24" t="str">
        <f>_xll.DBRW("TM1-S1_DEV:}ElementAttributes_SP_SKU",$F2291,D$1)</f>
        <v>Primary</v>
      </c>
      <c r="E2291" s="24" t="str">
        <f>_xll.DBRW("TM1-S1_DEV:}ElementAttributes_SP_SKU",$F2291,E$1)</f>
        <v>PAPER</v>
      </c>
      <c r="F2291" s="26" t="s">
        <v>3301</v>
      </c>
      <c r="G2291" s="26" t="s">
        <v>2192</v>
      </c>
      <c r="H2291" s="26" t="s">
        <v>2714</v>
      </c>
      <c r="I2291" s="54">
        <f>_xll.DBRW($A$1,$F$14,$F$15,$C2291,$A$2,$F2291,$G2291,$H2291,I$1)</f>
        <v>17</v>
      </c>
      <c r="J2291" s="25">
        <f>_xll.DBRW($A$1,$F$14,$F$15,$C2291,$A$2,$F2291,$G2291,$H2291,J$19)</f>
        <v>17</v>
      </c>
    </row>
    <row r="2292" spans="1:10" s="23" customFormat="1" outlineLevel="1" thickBot="1" x14ac:dyDescent="0.3">
      <c r="A2292" s="44"/>
      <c r="B2292" s="31" t="str">
        <f>IF(_xll.TM1RPTELISCONSOLIDATED($H$20,$H2292),IF(_xll.TM1RPTELLEV($H$20,$H2292)&lt;=5,_xll.TM1RPTELLEV($H$20,$H2292),"Default"),"Leaf")</f>
        <v>Leaf</v>
      </c>
      <c r="C2292" s="26" t="s">
        <v>21</v>
      </c>
      <c r="D2292" s="24" t="str">
        <f>_xll.DBRW("TM1-S1_DEV:}ElementAttributes_SP_SKU",$F2292,D$1)</f>
        <v>Primary</v>
      </c>
      <c r="E2292" s="24" t="str">
        <f>_xll.DBRW("TM1-S1_DEV:}ElementAttributes_SP_SKU",$F2292,E$1)</f>
        <v>UTENSIL</v>
      </c>
      <c r="F2292" s="26" t="s">
        <v>3286</v>
      </c>
      <c r="G2292" s="26" t="s">
        <v>2193</v>
      </c>
      <c r="H2292" s="26" t="s">
        <v>2711</v>
      </c>
      <c r="I2292" s="54">
        <f>_xll.DBRW($A$1,$F$14,$F$15,$C2292,$A$2,$F2292,$G2292,$H2292,I$1)</f>
        <v>6</v>
      </c>
      <c r="J2292" s="25">
        <f>_xll.DBRW($A$1,$F$14,$F$15,$C2292,$A$2,$F2292,$G2292,$H2292,J$19)</f>
        <v>6</v>
      </c>
    </row>
    <row r="2293" spans="1:10" s="23" customFormat="1" outlineLevel="1" thickBot="1" x14ac:dyDescent="0.3">
      <c r="A2293" s="44"/>
      <c r="B2293" s="31" t="str">
        <f>IF(_xll.TM1RPTELISCONSOLIDATED($H$20,$H2293),IF(_xll.TM1RPTELLEV($H$20,$H2293)&lt;=5,_xll.TM1RPTELLEV($H$20,$H2293),"Default"),"Leaf")</f>
        <v>Leaf</v>
      </c>
      <c r="C2293" s="26" t="s">
        <v>21</v>
      </c>
      <c r="D2293" s="24" t="str">
        <f>_xll.DBRW("TM1-S1_DEV:}ElementAttributes_SP_SKU",$F2293,D$1)</f>
        <v>Primary</v>
      </c>
      <c r="E2293" s="24" t="str">
        <f>_xll.DBRW("TM1-S1_DEV:}ElementAttributes_SP_SKU",$F2293,E$1)</f>
        <v>UTENSIL</v>
      </c>
      <c r="F2293" s="26" t="s">
        <v>3302</v>
      </c>
      <c r="G2293" s="26" t="s">
        <v>2194</v>
      </c>
      <c r="H2293" s="26" t="s">
        <v>2860</v>
      </c>
      <c r="I2293" s="54">
        <f>_xll.DBRW($A$1,$F$14,$F$15,$C2293,$A$2,$F2293,$G2293,$H2293,I$1)</f>
        <v>40</v>
      </c>
      <c r="J2293" s="25">
        <f>_xll.DBRW($A$1,$F$14,$F$15,$C2293,$A$2,$F2293,$G2293,$H2293,J$19)</f>
        <v>40</v>
      </c>
    </row>
    <row r="2294" spans="1:10" s="23" customFormat="1" outlineLevel="1" thickBot="1" x14ac:dyDescent="0.3">
      <c r="A2294" s="44"/>
      <c r="B2294" s="31" t="str">
        <f>IF(_xll.TM1RPTELISCONSOLIDATED($H$20,$H2294),IF(_xll.TM1RPTELLEV($H$20,$H2294)&lt;=5,_xll.TM1RPTELLEV($H$20,$H2294),"Default"),"Leaf")</f>
        <v>Leaf</v>
      </c>
      <c r="C2294" s="26" t="s">
        <v>21</v>
      </c>
      <c r="D2294" s="24" t="str">
        <f>_xll.DBRW("TM1-S1_DEV:}ElementAttributes_SP_SKU",$F2294,D$1)</f>
        <v>Primary</v>
      </c>
      <c r="E2294" s="24" t="str">
        <f>_xll.DBRW("TM1-S1_DEV:}ElementAttributes_SP_SKU",$F2294,E$1)</f>
        <v>BREAD</v>
      </c>
      <c r="F2294" s="26" t="s">
        <v>31</v>
      </c>
      <c r="G2294" s="26" t="s">
        <v>2195</v>
      </c>
      <c r="H2294" s="26" t="s">
        <v>2689</v>
      </c>
      <c r="I2294" s="54">
        <f>_xll.DBRW($A$1,$F$14,$F$15,$C2294,$A$2,$F2294,$G2294,$H2294,I$1)</f>
        <v>27</v>
      </c>
      <c r="J2294" s="25">
        <f>_xll.DBRW($A$1,$F$14,$F$15,$C2294,$A$2,$F2294,$G2294,$H2294,J$19)</f>
        <v>9</v>
      </c>
    </row>
    <row r="2295" spans="1:10" s="23" customFormat="1" outlineLevel="1" thickBot="1" x14ac:dyDescent="0.3">
      <c r="A2295" s="44"/>
      <c r="B2295" s="31" t="str">
        <f>IF(_xll.TM1RPTELISCONSOLIDATED($H$20,$H2295),IF(_xll.TM1RPTELLEV($H$20,$H2295)&lt;=5,_xll.TM1RPTELLEV($H$20,$H2295),"Default"),"Leaf")</f>
        <v>Leaf</v>
      </c>
      <c r="C2295" s="26" t="s">
        <v>21</v>
      </c>
      <c r="D2295" s="24" t="str">
        <f>_xll.DBRW("TM1-S1_DEV:}ElementAttributes_SP_SKU",$F2295,D$1)</f>
        <v>Primary</v>
      </c>
      <c r="E2295" s="24" t="str">
        <f>_xll.DBRW("TM1-S1_DEV:}ElementAttributes_SP_SKU",$F2295,E$1)</f>
        <v>BREAD</v>
      </c>
      <c r="F2295" s="26" t="s">
        <v>3236</v>
      </c>
      <c r="G2295" s="26" t="s">
        <v>2196</v>
      </c>
      <c r="H2295" s="26" t="s">
        <v>2689</v>
      </c>
      <c r="I2295" s="54">
        <f>_xll.DBRW($A$1,$F$14,$F$15,$C2295,$A$2,$F2295,$G2295,$H2295,I$1)</f>
        <v>17</v>
      </c>
      <c r="J2295" s="25">
        <f>_xll.DBRW($A$1,$F$14,$F$15,$C2295,$A$2,$F2295,$G2295,$H2295,J$19)</f>
        <v>17</v>
      </c>
    </row>
    <row r="2296" spans="1:10" s="23" customFormat="1" outlineLevel="1" thickBot="1" x14ac:dyDescent="0.3">
      <c r="A2296" s="44"/>
      <c r="B2296" s="31" t="str">
        <f>IF(_xll.TM1RPTELISCONSOLIDATED($H$20,$H2296),IF(_xll.TM1RPTELLEV($H$20,$H2296)&lt;=5,_xll.TM1RPTELLEV($H$20,$H2296),"Default"),"Leaf")</f>
        <v>Leaf</v>
      </c>
      <c r="C2296" s="26" t="s">
        <v>21</v>
      </c>
      <c r="D2296" s="24" t="str">
        <f>_xll.DBRW("TM1-S1_DEV:}ElementAttributes_SP_SKU",$F2296,D$1)</f>
        <v>Primary</v>
      </c>
      <c r="E2296" s="24" t="str">
        <f>_xll.DBRW("TM1-S1_DEV:}ElementAttributes_SP_SKU",$F2296,E$1)</f>
        <v>BREAD</v>
      </c>
      <c r="F2296" s="26" t="s">
        <v>3277</v>
      </c>
      <c r="G2296" s="26" t="s">
        <v>2197</v>
      </c>
      <c r="H2296" s="26" t="s">
        <v>2689</v>
      </c>
      <c r="I2296" s="54">
        <f>_xll.DBRW($A$1,$F$14,$F$15,$C2296,$A$2,$F2296,$G2296,$H2296,I$1)</f>
        <v>5</v>
      </c>
      <c r="J2296" s="25">
        <f>_xll.DBRW($A$1,$F$14,$F$15,$C2296,$A$2,$F2296,$G2296,$H2296,J$19)</f>
        <v>5</v>
      </c>
    </row>
    <row r="2297" spans="1:10" s="23" customFormat="1" outlineLevel="1" thickBot="1" x14ac:dyDescent="0.3">
      <c r="A2297" s="44"/>
      <c r="B2297" s="31" t="str">
        <f>IF(_xll.TM1RPTELISCONSOLIDATED($H$20,$H2297),IF(_xll.TM1RPTELLEV($H$20,$H2297)&lt;=5,_xll.TM1RPTELLEV($H$20,$H2297),"Default"),"Leaf")</f>
        <v>Leaf</v>
      </c>
      <c r="C2297" s="26" t="s">
        <v>21</v>
      </c>
      <c r="D2297" s="24" t="str">
        <f>_xll.DBRW("TM1-S1_DEV:}ElementAttributes_SP_SKU",$F2297,D$1)</f>
        <v>Primary</v>
      </c>
      <c r="E2297" s="24" t="str">
        <f>_xll.DBRW("TM1-S1_DEV:}ElementAttributes_SP_SKU",$F2297,E$1)</f>
        <v>BOWL</v>
      </c>
      <c r="F2297" s="26" t="s">
        <v>3237</v>
      </c>
      <c r="G2297" s="26" t="s">
        <v>2198</v>
      </c>
      <c r="H2297" s="26" t="s">
        <v>2703</v>
      </c>
      <c r="I2297" s="54">
        <f>_xll.DBRW($A$1,$F$14,$F$15,$C2297,$A$2,$F2297,$G2297,$H2297,I$1)</f>
        <v>40</v>
      </c>
      <c r="J2297" s="25">
        <f>_xll.DBRW($A$1,$F$14,$F$15,$C2297,$A$2,$F2297,$G2297,$H2297,J$19)</f>
        <v>39</v>
      </c>
    </row>
    <row r="2298" spans="1:10" s="23" customFormat="1" outlineLevel="1" thickBot="1" x14ac:dyDescent="0.3">
      <c r="A2298" s="44"/>
      <c r="B2298" s="31" t="str">
        <f>IF(_xll.TM1RPTELISCONSOLIDATED($H$20,$H2298),IF(_xll.TM1RPTELLEV($H$20,$H2298)&lt;=5,_xll.TM1RPTELLEV($H$20,$H2298),"Default"),"Leaf")</f>
        <v>Leaf</v>
      </c>
      <c r="C2298" s="26" t="s">
        <v>21</v>
      </c>
      <c r="D2298" s="24" t="str">
        <f>_xll.DBRW("TM1-S1_DEV:}ElementAttributes_SP_SKU",$F2298,D$1)</f>
        <v>Primary</v>
      </c>
      <c r="E2298" s="24" t="str">
        <f>_xll.DBRW("TM1-S1_DEV:}ElementAttributes_SP_SKU",$F2298,E$1)</f>
        <v>BOWL</v>
      </c>
      <c r="F2298" s="26" t="s">
        <v>3238</v>
      </c>
      <c r="G2298" s="26" t="s">
        <v>2199</v>
      </c>
      <c r="H2298" s="26" t="s">
        <v>2703</v>
      </c>
      <c r="I2298" s="54">
        <f>_xll.DBRW($A$1,$F$14,$F$15,$C2298,$A$2,$F2298,$G2298,$H2298,I$1)</f>
        <v>90</v>
      </c>
      <c r="J2298" s="25">
        <f>_xll.DBRW($A$1,$F$14,$F$15,$C2298,$A$2,$F2298,$G2298,$H2298,J$19)</f>
        <v>85</v>
      </c>
    </row>
    <row r="2299" spans="1:10" s="23" customFormat="1" outlineLevel="1" thickBot="1" x14ac:dyDescent="0.3">
      <c r="A2299" s="44"/>
      <c r="B2299" s="31" t="str">
        <f>IF(_xll.TM1RPTELISCONSOLIDATED($H$20,$H2299),IF(_xll.TM1RPTELLEV($H$20,$H2299)&lt;=5,_xll.TM1RPTELLEV($H$20,$H2299),"Default"),"Leaf")</f>
        <v>Leaf</v>
      </c>
      <c r="C2299" s="26" t="s">
        <v>21</v>
      </c>
      <c r="D2299" s="24" t="str">
        <f>_xll.DBRW("TM1-S1_DEV:}ElementAttributes_SP_SKU",$F2299,D$1)</f>
        <v>Primary</v>
      </c>
      <c r="E2299" s="24" t="str">
        <f>_xll.DBRW("TM1-S1_DEV:}ElementAttributes_SP_SKU",$F2299,E$1)</f>
        <v>TRAY</v>
      </c>
      <c r="F2299" s="26" t="s">
        <v>360</v>
      </c>
      <c r="G2299" s="26" t="s">
        <v>2200</v>
      </c>
      <c r="H2299" s="26" t="s">
        <v>2703</v>
      </c>
      <c r="I2299" s="54">
        <f>_xll.DBRW($A$1,$F$14,$F$15,$C2299,$A$2,$F2299,$G2299,$H2299,I$1)</f>
        <v>20</v>
      </c>
      <c r="J2299" s="25">
        <f>_xll.DBRW($A$1,$F$14,$F$15,$C2299,$A$2,$F2299,$G2299,$H2299,J$19)</f>
        <v>20</v>
      </c>
    </row>
    <row r="2300" spans="1:10" s="23" customFormat="1" outlineLevel="1" thickBot="1" x14ac:dyDescent="0.3">
      <c r="A2300" s="44"/>
      <c r="B2300" s="31" t="str">
        <f>IF(_xll.TM1RPTELISCONSOLIDATED($H$20,$H2300),IF(_xll.TM1RPTELLEV($H$20,$H2300)&lt;=5,_xll.TM1RPTELLEV($H$20,$H2300),"Default"),"Leaf")</f>
        <v>Leaf</v>
      </c>
      <c r="C2300" s="26" t="s">
        <v>21</v>
      </c>
      <c r="D2300" s="24" t="str">
        <f>_xll.DBRW("TM1-S1_DEV:}ElementAttributes_SP_SKU",$F2300,D$1)</f>
        <v>Primary</v>
      </c>
      <c r="E2300" s="24" t="str">
        <f>_xll.DBRW("TM1-S1_DEV:}ElementAttributes_SP_SKU",$F2300,E$1)</f>
        <v>TRAY</v>
      </c>
      <c r="F2300" s="26" t="s">
        <v>361</v>
      </c>
      <c r="G2300" s="26" t="s">
        <v>2201</v>
      </c>
      <c r="H2300" s="26" t="s">
        <v>2703</v>
      </c>
      <c r="I2300" s="54">
        <f>_xll.DBRW($A$1,$F$14,$F$15,$C2300,$A$2,$F2300,$G2300,$H2300,I$1)</f>
        <v>34</v>
      </c>
      <c r="J2300" s="25">
        <f>_xll.DBRW($A$1,$F$14,$F$15,$C2300,$A$2,$F2300,$G2300,$H2300,J$19)</f>
        <v>34</v>
      </c>
    </row>
    <row r="2301" spans="1:10" s="23" customFormat="1" outlineLevel="1" thickBot="1" x14ac:dyDescent="0.3">
      <c r="A2301" s="44"/>
      <c r="B2301" s="31" t="str">
        <f>IF(_xll.TM1RPTELISCONSOLIDATED($H$20,$H2301),IF(_xll.TM1RPTELLEV($H$20,$H2301)&lt;=5,_xll.TM1RPTELLEV($H$20,$H2301),"Default"),"Leaf")</f>
        <v>Leaf</v>
      </c>
      <c r="C2301" s="26" t="s">
        <v>21</v>
      </c>
      <c r="D2301" s="24" t="str">
        <f>_xll.DBRW("TM1-S1_DEV:}ElementAttributes_SP_SKU",$F2301,D$1)</f>
        <v>Primary</v>
      </c>
      <c r="E2301" s="24" t="str">
        <f>_xll.DBRW("TM1-S1_DEV:}ElementAttributes_SP_SKU",$F2301,E$1)</f>
        <v>CHEESE</v>
      </c>
      <c r="F2301" s="26" t="s">
        <v>363</v>
      </c>
      <c r="G2301" s="26" t="s">
        <v>2203</v>
      </c>
      <c r="H2301" s="26" t="s">
        <v>2692</v>
      </c>
      <c r="I2301" s="54">
        <f>_xll.DBRW($A$1,$F$14,$F$15,$C2301,$A$2,$F2301,$G2301,$H2301,I$1)</f>
        <v>19</v>
      </c>
      <c r="J2301" s="25">
        <f>_xll.DBRW($A$1,$F$14,$F$15,$C2301,$A$2,$F2301,$G2301,$H2301,J$19)</f>
        <v>11</v>
      </c>
    </row>
    <row r="2302" spans="1:10" s="23" customFormat="1" outlineLevel="1" thickBot="1" x14ac:dyDescent="0.3">
      <c r="A2302" s="44"/>
      <c r="B2302" s="31" t="str">
        <f>IF(_xll.TM1RPTELISCONSOLIDATED($H$20,$H2302),IF(_xll.TM1RPTELLEV($H$20,$H2302)&lt;=5,_xll.TM1RPTELLEV($H$20,$H2302),"Default"),"Leaf")</f>
        <v>Leaf</v>
      </c>
      <c r="C2302" s="26" t="s">
        <v>21</v>
      </c>
      <c r="D2302" s="24" t="str">
        <f>_xll.DBRW("TM1-S1_DEV:}ElementAttributes_SP_SKU",$F2302,D$1)</f>
        <v>Primary</v>
      </c>
      <c r="E2302" s="24" t="str">
        <f>_xll.DBRW("TM1-S1_DEV:}ElementAttributes_SP_SKU",$F2302,E$1)</f>
        <v>PAPER</v>
      </c>
      <c r="F2302" s="26" t="s">
        <v>3239</v>
      </c>
      <c r="G2302" s="26" t="s">
        <v>2204</v>
      </c>
      <c r="H2302" s="26" t="s">
        <v>2715</v>
      </c>
      <c r="I2302" s="54">
        <f>_xll.DBRW($A$1,$F$14,$F$15,$C2302,$A$2,$F2302,$G2302,$H2302,I$1)</f>
        <v>63</v>
      </c>
      <c r="J2302" s="25">
        <f>_xll.DBRW($A$1,$F$14,$F$15,$C2302,$A$2,$F2302,$G2302,$H2302,J$19)</f>
        <v>60</v>
      </c>
    </row>
    <row r="2303" spans="1:10" s="23" customFormat="1" outlineLevel="1" thickBot="1" x14ac:dyDescent="0.3">
      <c r="A2303" s="44"/>
      <c r="B2303" s="31" t="str">
        <f>IF(_xll.TM1RPTELISCONSOLIDATED($H$20,$H2303),IF(_xll.TM1RPTELLEV($H$20,$H2303)&lt;=5,_xll.TM1RPTELLEV($H$20,$H2303),"Default"),"Leaf")</f>
        <v>Leaf</v>
      </c>
      <c r="C2303" s="26" t="s">
        <v>21</v>
      </c>
      <c r="D2303" s="24" t="str">
        <f>_xll.DBRW("TM1-S1_DEV:}ElementAttributes_SP_SKU",$F2303,D$1)</f>
        <v>Primary</v>
      </c>
      <c r="E2303" s="24" t="str">
        <f>_xll.DBRW("TM1-S1_DEV:}ElementAttributes_SP_SKU",$F2303,E$1)</f>
        <v>PLATE</v>
      </c>
      <c r="F2303" s="26" t="s">
        <v>3294</v>
      </c>
      <c r="G2303" s="26" t="s">
        <v>2205</v>
      </c>
      <c r="H2303" s="26" t="s">
        <v>2708</v>
      </c>
      <c r="I2303" s="54">
        <f>_xll.DBRW($A$1,$F$14,$F$15,$C2303,$A$2,$F2303,$G2303,$H2303,I$1)</f>
        <v>15</v>
      </c>
      <c r="J2303" s="25">
        <f>_xll.DBRW($A$1,$F$14,$F$15,$C2303,$A$2,$F2303,$G2303,$H2303,J$19)</f>
        <v>14</v>
      </c>
    </row>
    <row r="2304" spans="1:10" s="23" customFormat="1" outlineLevel="1" thickBot="1" x14ac:dyDescent="0.3">
      <c r="A2304" s="44"/>
      <c r="B2304" s="31" t="str">
        <f>IF(_xll.TM1RPTELISCONSOLIDATED($H$20,$H2304),IF(_xll.TM1RPTELLEV($H$20,$H2304)&lt;=5,_xll.TM1RPTELLEV($H$20,$H2304),"Default"),"Leaf")</f>
        <v>Leaf</v>
      </c>
      <c r="C2304" s="26" t="s">
        <v>21</v>
      </c>
      <c r="D2304" s="24" t="str">
        <f>_xll.DBRW("TM1-S1_DEV:}ElementAttributes_SP_SKU",$F2304,D$1)</f>
        <v>Primary</v>
      </c>
      <c r="E2304" s="24" t="str">
        <f>_xll.DBRW("TM1-S1_DEV:}ElementAttributes_SP_SKU",$F2304,E$1)</f>
        <v>BOWL</v>
      </c>
      <c r="F2304" s="26" t="s">
        <v>32</v>
      </c>
      <c r="G2304" s="26" t="s">
        <v>2206</v>
      </c>
      <c r="H2304" s="26" t="s">
        <v>2708</v>
      </c>
      <c r="I2304" s="54">
        <f>_xll.DBRW($A$1,$F$14,$F$15,$C2304,$A$2,$F2304,$G2304,$H2304,I$1)</f>
        <v>26</v>
      </c>
      <c r="J2304" s="25">
        <f>_xll.DBRW($A$1,$F$14,$F$15,$C2304,$A$2,$F2304,$G2304,$H2304,J$19)</f>
        <v>24</v>
      </c>
    </row>
    <row r="2305" spans="1:10" s="23" customFormat="1" outlineLevel="1" thickBot="1" x14ac:dyDescent="0.3">
      <c r="A2305" s="44"/>
      <c r="B2305" s="31" t="str">
        <f>IF(_xll.TM1RPTELISCONSOLIDATED($H$20,$H2305),IF(_xll.TM1RPTELLEV($H$20,$H2305)&lt;=5,_xll.TM1RPTELLEV($H$20,$H2305),"Default"),"Leaf")</f>
        <v>Leaf</v>
      </c>
      <c r="C2305" s="26" t="s">
        <v>21</v>
      </c>
      <c r="D2305" s="24" t="str">
        <f>_xll.DBRW("TM1-S1_DEV:}ElementAttributes_SP_SKU",$F2305,D$1)</f>
        <v>Primary</v>
      </c>
      <c r="E2305" s="24" t="str">
        <f>_xll.DBRW("TM1-S1_DEV:}ElementAttributes_SP_SKU",$F2305,E$1)</f>
        <v>BOWL</v>
      </c>
      <c r="F2305" s="26" t="s">
        <v>33</v>
      </c>
      <c r="G2305" s="26" t="s">
        <v>2207</v>
      </c>
      <c r="H2305" s="26" t="s">
        <v>2708</v>
      </c>
      <c r="I2305" s="54">
        <f>_xll.DBRW($A$1,$F$14,$F$15,$C2305,$A$2,$F2305,$G2305,$H2305,I$1)</f>
        <v>31</v>
      </c>
      <c r="J2305" s="25">
        <f>_xll.DBRW($A$1,$F$14,$F$15,$C2305,$A$2,$F2305,$G2305,$H2305,J$19)</f>
        <v>29</v>
      </c>
    </row>
    <row r="2306" spans="1:10" s="23" customFormat="1" outlineLevel="1" thickBot="1" x14ac:dyDescent="0.3">
      <c r="A2306" s="44"/>
      <c r="B2306" s="31" t="str">
        <f>IF(_xll.TM1RPTELISCONSOLIDATED($H$20,$H2306),IF(_xll.TM1RPTELLEV($H$20,$H2306)&lt;=5,_xll.TM1RPTELLEV($H$20,$H2306),"Default"),"Leaf")</f>
        <v>Leaf</v>
      </c>
      <c r="C2306" s="26" t="s">
        <v>21</v>
      </c>
      <c r="D2306" s="24" t="str">
        <f>_xll.DBRW("TM1-S1_DEV:}ElementAttributes_SP_SKU",$F2306,D$1)</f>
        <v>Primary</v>
      </c>
      <c r="E2306" s="24" t="str">
        <f>_xll.DBRW("TM1-S1_DEV:}ElementAttributes_SP_SKU",$F2306,E$1)</f>
        <v>FOIL</v>
      </c>
      <c r="F2306" s="26" t="s">
        <v>34</v>
      </c>
      <c r="G2306" s="26" t="s">
        <v>2208</v>
      </c>
      <c r="H2306" s="26" t="s">
        <v>2716</v>
      </c>
      <c r="I2306" s="54">
        <f>_xll.DBRW($A$1,$F$14,$F$15,$C2306,$A$2,$F2306,$G2306,$H2306,I$1)</f>
        <v>20</v>
      </c>
      <c r="J2306" s="25">
        <f>_xll.DBRW($A$1,$F$14,$F$15,$C2306,$A$2,$F2306,$G2306,$H2306,J$19)</f>
        <v>20</v>
      </c>
    </row>
    <row r="2307" spans="1:10" s="23" customFormat="1" outlineLevel="1" thickBot="1" x14ac:dyDescent="0.3">
      <c r="A2307" s="44"/>
      <c r="B2307" s="31" t="str">
        <f>IF(_xll.TM1RPTELISCONSOLIDATED($H$20,$H2307),IF(_xll.TM1RPTELLEV($H$20,$H2307)&lt;=5,_xll.TM1RPTELLEV($H$20,$H2307),"Default"),"Leaf")</f>
        <v>Leaf</v>
      </c>
      <c r="C2307" s="26" t="s">
        <v>21</v>
      </c>
      <c r="D2307" s="24" t="str">
        <f>_xll.DBRW("TM1-S1_DEV:}ElementAttributes_SP_SKU",$F2307,D$1)</f>
        <v>Primary</v>
      </c>
      <c r="E2307" s="24" t="str">
        <f>_xll.DBRW("TM1-S1_DEV:}ElementAttributes_SP_SKU",$F2307,E$1)</f>
        <v>INGREDIENT</v>
      </c>
      <c r="F2307" s="26" t="s">
        <v>3240</v>
      </c>
      <c r="G2307" s="26" t="s">
        <v>2209</v>
      </c>
      <c r="H2307" s="26" t="s">
        <v>2728</v>
      </c>
      <c r="I2307" s="54">
        <f>_xll.DBRW($A$1,$F$14,$F$15,$C2307,$A$2,$F2307,$G2307,$H2307,I$1)</f>
        <v>75</v>
      </c>
      <c r="J2307" s="25">
        <f>_xll.DBRW($A$1,$F$14,$F$15,$C2307,$A$2,$F2307,$G2307,$H2307,J$19)</f>
        <v>63</v>
      </c>
    </row>
    <row r="2308" spans="1:10" s="23" customFormat="1" outlineLevel="1" thickBot="1" x14ac:dyDescent="0.3">
      <c r="A2308" s="44"/>
      <c r="B2308" s="31" t="str">
        <f>IF(_xll.TM1RPTELISCONSOLIDATED($H$20,$H2308),IF(_xll.TM1RPTELLEV($H$20,$H2308)&lt;=5,_xll.TM1RPTELLEV($H$20,$H2308),"Default"),"Leaf")</f>
        <v>Leaf</v>
      </c>
      <c r="C2308" s="26" t="s">
        <v>21</v>
      </c>
      <c r="D2308" s="24" t="str">
        <f>_xll.DBRW("TM1-S1_DEV:}ElementAttributes_SP_SKU",$F2308,D$1)</f>
        <v>Primary</v>
      </c>
      <c r="E2308" s="24" t="str">
        <f>_xll.DBRW("TM1-S1_DEV:}ElementAttributes_SP_SKU",$F2308,E$1)</f>
        <v>INGREDIENT</v>
      </c>
      <c r="F2308" s="26" t="s">
        <v>3241</v>
      </c>
      <c r="G2308" s="26" t="s">
        <v>2210</v>
      </c>
      <c r="H2308" s="26" t="s">
        <v>2729</v>
      </c>
      <c r="I2308" s="54">
        <f>_xll.DBRW($A$1,$F$14,$F$15,$C2308,$A$2,$F2308,$G2308,$H2308,I$1)</f>
        <v>866</v>
      </c>
      <c r="J2308" s="25">
        <f>_xll.DBRW($A$1,$F$14,$F$15,$C2308,$A$2,$F2308,$G2308,$H2308,J$19)</f>
        <v>759</v>
      </c>
    </row>
    <row r="2309" spans="1:10" s="23" customFormat="1" outlineLevel="1" thickBot="1" x14ac:dyDescent="0.3">
      <c r="A2309" s="44"/>
      <c r="B2309" s="31" t="str">
        <f>IF(_xll.TM1RPTELISCONSOLIDATED($H$20,$H2309),IF(_xll.TM1RPTELLEV($H$20,$H2309)&lt;=5,_xll.TM1RPTELLEV($H$20,$H2309),"Default"),"Leaf")</f>
        <v>Leaf</v>
      </c>
      <c r="C2309" s="26" t="s">
        <v>21</v>
      </c>
      <c r="D2309" s="24" t="str">
        <f>_xll.DBRW("TM1-S1_DEV:}ElementAttributes_SP_SKU",$F2309,D$1)</f>
        <v>Primary</v>
      </c>
      <c r="E2309" s="24" t="str">
        <f>_xll.DBRW("TM1-S1_DEV:}ElementAttributes_SP_SKU",$F2309,E$1)</f>
        <v>GEL</v>
      </c>
      <c r="F2309" s="26" t="s">
        <v>98</v>
      </c>
      <c r="G2309" s="26" t="s">
        <v>2211</v>
      </c>
      <c r="H2309" s="26" t="s">
        <v>2762</v>
      </c>
      <c r="I2309" s="54">
        <f>_xll.DBRW($A$1,$F$14,$F$15,$C2309,$A$2,$F2309,$G2309,$H2309,I$1)</f>
        <v>1</v>
      </c>
      <c r="J2309" s="25">
        <f>_xll.DBRW($A$1,$F$14,$F$15,$C2309,$A$2,$F2309,$G2309,$H2309,J$19)</f>
        <v>1</v>
      </c>
    </row>
    <row r="2310" spans="1:10" s="23" customFormat="1" outlineLevel="1" thickBot="1" x14ac:dyDescent="0.3">
      <c r="A2310" s="44"/>
      <c r="B2310" s="31" t="str">
        <f>IF(_xll.TM1RPTELISCONSOLIDATED($H$20,$H2310),IF(_xll.TM1RPTELLEV($H$20,$H2310)&lt;=5,_xll.TM1RPTELLEV($H$20,$H2310),"Default"),"Leaf")</f>
        <v>Leaf</v>
      </c>
      <c r="C2310" s="26" t="s">
        <v>21</v>
      </c>
      <c r="D2310" s="24" t="str">
        <f>_xll.DBRW("TM1-S1_DEV:}ElementAttributes_SP_SKU",$F2310,D$1)</f>
        <v>Primary</v>
      </c>
      <c r="E2310" s="24" t="str">
        <f>_xll.DBRW("TM1-S1_DEV:}ElementAttributes_SP_SKU",$F2310,E$1)</f>
        <v>CONTAINER</v>
      </c>
      <c r="F2310" s="26" t="s">
        <v>3242</v>
      </c>
      <c r="G2310" s="26" t="s">
        <v>2212</v>
      </c>
      <c r="H2310" s="26" t="s">
        <v>2708</v>
      </c>
      <c r="I2310" s="54">
        <f>_xll.DBRW($A$1,$F$14,$F$15,$C2310,$A$2,$F2310,$G2310,$H2310,I$1)</f>
        <v>105</v>
      </c>
      <c r="J2310" s="25">
        <f>_xll.DBRW($A$1,$F$14,$F$15,$C2310,$A$2,$F2310,$G2310,$H2310,J$19)</f>
        <v>98</v>
      </c>
    </row>
    <row r="2311" spans="1:10" s="23" customFormat="1" outlineLevel="1" thickBot="1" x14ac:dyDescent="0.3">
      <c r="A2311" s="44"/>
      <c r="B2311" s="31" t="str">
        <f>IF(_xll.TM1RPTELISCONSOLIDATED($H$20,$H2311),IF(_xll.TM1RPTELLEV($H$20,$H2311)&lt;=5,_xll.TM1RPTELLEV($H$20,$H2311),"Default"),"Leaf")</f>
        <v>Leaf</v>
      </c>
      <c r="C2311" s="26" t="s">
        <v>21</v>
      </c>
      <c r="D2311" s="24" t="str">
        <f>_xll.DBRW("TM1-S1_DEV:}ElementAttributes_SP_SKU",$F2311,D$1)</f>
        <v>Primary</v>
      </c>
      <c r="E2311" s="24" t="str">
        <f>_xll.DBRW("TM1-S1_DEV:}ElementAttributes_SP_SKU",$F2311,E$1)</f>
        <v>PAPER</v>
      </c>
      <c r="F2311" s="26" t="s">
        <v>3243</v>
      </c>
      <c r="G2311" s="26" t="s">
        <v>2213</v>
      </c>
      <c r="H2311" s="26" t="s">
        <v>2730</v>
      </c>
      <c r="I2311" s="54">
        <f>_xll.DBRW($A$1,$F$14,$F$15,$C2311,$A$2,$F2311,$G2311,$H2311,I$1)</f>
        <v>17</v>
      </c>
      <c r="J2311" s="25">
        <f>_xll.DBRW($A$1,$F$14,$F$15,$C2311,$A$2,$F2311,$G2311,$H2311,J$19)</f>
        <v>16</v>
      </c>
    </row>
    <row r="2312" spans="1:10" s="23" customFormat="1" outlineLevel="1" thickBot="1" x14ac:dyDescent="0.3">
      <c r="A2312" s="44"/>
      <c r="B2312" s="31" t="str">
        <f>IF(_xll.TM1RPTELISCONSOLIDATED($H$20,$H2312),IF(_xll.TM1RPTELLEV($H$20,$H2312)&lt;=5,_xll.TM1RPTELLEV($H$20,$H2312),"Default"),"Leaf")</f>
        <v>Leaf</v>
      </c>
      <c r="C2312" s="26" t="s">
        <v>21</v>
      </c>
      <c r="D2312" s="24" t="str">
        <f>_xll.DBRW("TM1-S1_DEV:}ElementAttributes_SP_SKU",$F2312,D$1)</f>
        <v>Primary</v>
      </c>
      <c r="E2312" s="24" t="str">
        <f>_xll.DBRW("TM1-S1_DEV:}ElementAttributes_SP_SKU",$F2312,E$1)</f>
        <v>PROTEIN</v>
      </c>
      <c r="F2312" s="26" t="s">
        <v>3244</v>
      </c>
      <c r="G2312" s="26" t="s">
        <v>2214</v>
      </c>
      <c r="H2312" s="26" t="s">
        <v>2670</v>
      </c>
      <c r="I2312" s="54">
        <f>_xll.DBRW($A$1,$F$14,$F$15,$C2312,$A$2,$F2312,$G2312,$H2312,I$1)</f>
        <v>82</v>
      </c>
      <c r="J2312" s="25">
        <f>_xll.DBRW($A$1,$F$14,$F$15,$C2312,$A$2,$F2312,$G2312,$H2312,J$19)</f>
        <v>58</v>
      </c>
    </row>
    <row r="2313" spans="1:10" s="23" customFormat="1" outlineLevel="1" thickBot="1" x14ac:dyDescent="0.3">
      <c r="A2313" s="44"/>
      <c r="B2313" s="31" t="str">
        <f>IF(_xll.TM1RPTELISCONSOLIDATED($H$20,$H2313),IF(_xll.TM1RPTELLEV($H$20,$H2313)&lt;=5,_xll.TM1RPTELLEV($H$20,$H2313),"Default"),"Leaf")</f>
        <v>Leaf</v>
      </c>
      <c r="C2313" s="26" t="s">
        <v>21</v>
      </c>
      <c r="D2313" s="24" t="str">
        <f>_xll.DBRW("TM1-S1_DEV:}ElementAttributes_SP_SKU",$F2313,D$1)</f>
        <v>Primary</v>
      </c>
      <c r="E2313" s="24" t="str">
        <f>_xll.DBRW("TM1-S1_DEV:}ElementAttributes_SP_SKU",$F2313,E$1)</f>
        <v>PAD</v>
      </c>
      <c r="F2313" s="26" t="s">
        <v>3245</v>
      </c>
      <c r="G2313" s="26" t="s">
        <v>2215</v>
      </c>
      <c r="H2313" s="26" t="s">
        <v>2731</v>
      </c>
      <c r="I2313" s="54">
        <f>_xll.DBRW($A$1,$F$14,$F$15,$C2313,$A$2,$F2313,$G2313,$H2313,I$1)</f>
        <v>86</v>
      </c>
      <c r="J2313" s="25">
        <f>_xll.DBRW($A$1,$F$14,$F$15,$C2313,$A$2,$F2313,$G2313,$H2313,J$19)</f>
        <v>80</v>
      </c>
    </row>
    <row r="2314" spans="1:10" s="23" customFormat="1" outlineLevel="1" thickBot="1" x14ac:dyDescent="0.3">
      <c r="A2314" s="44"/>
      <c r="B2314" s="31" t="str">
        <f>IF(_xll.TM1RPTELISCONSOLIDATED($H$20,$H2314),IF(_xll.TM1RPTELLEV($H$20,$H2314)&lt;=5,_xll.TM1RPTELLEV($H$20,$H2314),"Default"),"Leaf")</f>
        <v>Leaf</v>
      </c>
      <c r="C2314" s="26" t="s">
        <v>21</v>
      </c>
      <c r="D2314" s="24" t="str">
        <f>_xll.DBRW("TM1-S1_DEV:}ElementAttributes_SP_SKU",$F2314,D$1)</f>
        <v>Primary</v>
      </c>
      <c r="E2314" s="24" t="str">
        <f>_xll.DBRW("TM1-S1_DEV:}ElementAttributes_SP_SKU",$F2314,E$1)</f>
        <v>PAPER</v>
      </c>
      <c r="F2314" s="26" t="s">
        <v>3303</v>
      </c>
      <c r="G2314" s="26" t="s">
        <v>2216</v>
      </c>
      <c r="H2314" s="26" t="s">
        <v>2880</v>
      </c>
      <c r="I2314" s="54">
        <f>_xll.DBRW($A$1,$F$14,$F$15,$C2314,$A$2,$F2314,$G2314,$H2314,I$1)</f>
        <v>132</v>
      </c>
      <c r="J2314" s="25">
        <f>_xll.DBRW($A$1,$F$14,$F$15,$C2314,$A$2,$F2314,$G2314,$H2314,J$19)</f>
        <v>129</v>
      </c>
    </row>
    <row r="2315" spans="1:10" s="23" customFormat="1" outlineLevel="1" thickBot="1" x14ac:dyDescent="0.3">
      <c r="A2315" s="44"/>
      <c r="B2315" s="31" t="str">
        <f>IF(_xll.TM1RPTELISCONSOLIDATED($H$20,$H2315),IF(_xll.TM1RPTELLEV($H$20,$H2315)&lt;=5,_xll.TM1RPTELLEV($H$20,$H2315),"Default"),"Leaf")</f>
        <v>Leaf</v>
      </c>
      <c r="C2315" s="26" t="s">
        <v>21</v>
      </c>
      <c r="D2315" s="24" t="str">
        <f>_xll.DBRW("TM1-S1_DEV:}ElementAttributes_SP_SKU",$F2315,D$1)</f>
        <v>Primary</v>
      </c>
      <c r="E2315" s="24" t="str">
        <f>_xll.DBRW("TM1-S1_DEV:}ElementAttributes_SP_SKU",$F2315,E$1)</f>
        <v>PAPER</v>
      </c>
      <c r="F2315" s="26" t="s">
        <v>3289</v>
      </c>
      <c r="G2315" s="26" t="s">
        <v>2217</v>
      </c>
      <c r="H2315" s="26" t="s">
        <v>2868</v>
      </c>
      <c r="I2315" s="54">
        <f>_xll.DBRW($A$1,$F$14,$F$15,$C2315,$A$2,$F2315,$G2315,$H2315,I$1)</f>
        <v>29</v>
      </c>
      <c r="J2315" s="25">
        <f>_xll.DBRW($A$1,$F$14,$F$15,$C2315,$A$2,$F2315,$G2315,$H2315,J$19)</f>
        <v>29</v>
      </c>
    </row>
    <row r="2316" spans="1:10" s="23" customFormat="1" outlineLevel="1" thickBot="1" x14ac:dyDescent="0.3">
      <c r="A2316" s="44"/>
      <c r="B2316" s="31" t="str">
        <f>IF(_xll.TM1RPTELISCONSOLIDATED($H$20,$H2316),IF(_xll.TM1RPTELLEV($H$20,$H2316)&lt;=5,_xll.TM1RPTELLEV($H$20,$H2316),"Default"),"Leaf")</f>
        <v>Leaf</v>
      </c>
      <c r="C2316" s="26" t="s">
        <v>21</v>
      </c>
      <c r="D2316" s="24" t="str">
        <f>_xll.DBRW("TM1-S1_DEV:}ElementAttributes_SP_SKU",$F2316,D$1)</f>
        <v>Primary</v>
      </c>
      <c r="E2316" s="24" t="str">
        <f>_xll.DBRW("TM1-S1_DEV:}ElementAttributes_SP_SKU",$F2316,E$1)</f>
        <v>PAPER</v>
      </c>
      <c r="F2316" s="26" t="s">
        <v>3290</v>
      </c>
      <c r="G2316" s="26" t="s">
        <v>2218</v>
      </c>
      <c r="H2316" s="26" t="s">
        <v>2869</v>
      </c>
      <c r="I2316" s="54">
        <f>_xll.DBRW($A$1,$F$14,$F$15,$C2316,$A$2,$F2316,$G2316,$H2316,I$1)</f>
        <v>12</v>
      </c>
      <c r="J2316" s="25">
        <f>_xll.DBRW($A$1,$F$14,$F$15,$C2316,$A$2,$F2316,$G2316,$H2316,J$19)</f>
        <v>12</v>
      </c>
    </row>
    <row r="2317" spans="1:10" s="23" customFormat="1" outlineLevel="1" thickBot="1" x14ac:dyDescent="0.3">
      <c r="A2317" s="44"/>
      <c r="B2317" s="31" t="str">
        <f>IF(_xll.TM1RPTELISCONSOLIDATED($H$20,$H2317),IF(_xll.TM1RPTELLEV($H$20,$H2317)&lt;=5,_xll.TM1RPTELLEV($H$20,$H2317),"Default"),"Leaf")</f>
        <v>Leaf</v>
      </c>
      <c r="C2317" s="26" t="s">
        <v>21</v>
      </c>
      <c r="D2317" s="24" t="str">
        <f>_xll.DBRW("TM1-S1_DEV:}ElementAttributes_SP_SKU",$F2317,D$1)</f>
        <v/>
      </c>
      <c r="E2317" s="24" t="str">
        <f>_xll.DBRW("TM1-S1_DEV:}ElementAttributes_SP_SKU",$F2317,E$1)</f>
        <v/>
      </c>
      <c r="F2317" s="26" t="s">
        <v>389</v>
      </c>
      <c r="G2317" s="26" t="s">
        <v>3329</v>
      </c>
      <c r="H2317" s="26" t="s">
        <v>2711</v>
      </c>
      <c r="I2317" s="54">
        <f>_xll.DBRW($A$1,$F$14,$F$15,$C2317,$A$2,$F2317,$G2317,$H2317,I$1)</f>
        <v>5</v>
      </c>
      <c r="J2317" s="25">
        <f>_xll.DBRW($A$1,$F$14,$F$15,$C2317,$A$2,$F2317,$G2317,$H2317,J$19)</f>
        <v>5</v>
      </c>
    </row>
    <row r="2318" spans="1:10" s="23" customFormat="1" outlineLevel="1" thickBot="1" x14ac:dyDescent="0.3">
      <c r="A2318" s="44"/>
      <c r="B2318" s="31" t="str">
        <f>IF(_xll.TM1RPTELISCONSOLIDATED($H$20,$H2318),IF(_xll.TM1RPTELLEV($H$20,$H2318)&lt;=5,_xll.TM1RPTELLEV($H$20,$H2318),"Default"),"Leaf")</f>
        <v>Leaf</v>
      </c>
      <c r="C2318" s="26" t="s">
        <v>22</v>
      </c>
      <c r="D2318" s="24" t="str">
        <f>_xll.DBRW("TM1-S1_DEV:}ElementAttributes_SP_SKU",$F2318,D$1)</f>
        <v>Primary</v>
      </c>
      <c r="E2318" s="24" t="str">
        <f>_xll.DBRW("TM1-S1_DEV:}ElementAttributes_SP_SKU",$F2318,E$1)</f>
        <v>PROTEIN</v>
      </c>
      <c r="F2318" s="26" t="s">
        <v>3270</v>
      </c>
      <c r="G2318" s="26" t="s">
        <v>2219</v>
      </c>
      <c r="H2318" s="26" t="s">
        <v>2670</v>
      </c>
      <c r="I2318" s="54">
        <f>_xll.DBRW($A$1,$F$14,$F$15,$C2318,$A$2,$F2318,$G2318,$H2318,I$1)</f>
        <v>116</v>
      </c>
      <c r="J2318" s="25">
        <f>_xll.DBRW($A$1,$F$14,$F$15,$C2318,$A$2,$F2318,$G2318,$H2318,J$19)</f>
        <v>2</v>
      </c>
    </row>
    <row r="2319" spans="1:10" s="23" customFormat="1" outlineLevel="1" thickBot="1" x14ac:dyDescent="0.3">
      <c r="A2319" s="44"/>
      <c r="B2319" s="31" t="str">
        <f>IF(_xll.TM1RPTELISCONSOLIDATED($H$20,$H2319),IF(_xll.TM1RPTELLEV($H$20,$H2319)&lt;=5,_xll.TM1RPTELLEV($H$20,$H2319),"Default"),"Leaf")</f>
        <v>Leaf</v>
      </c>
      <c r="C2319" s="26" t="s">
        <v>22</v>
      </c>
      <c r="D2319" s="24" t="str">
        <f>_xll.DBRW("TM1-S1_DEV:}ElementAttributes_SP_SKU",$F2319,D$1)</f>
        <v>Primary</v>
      </c>
      <c r="E2319" s="24" t="str">
        <f>_xll.DBRW("TM1-S1_DEV:}ElementAttributes_SP_SKU",$F2319,E$1)</f>
        <v>PROTEIN</v>
      </c>
      <c r="F2319" s="26" t="s">
        <v>3105</v>
      </c>
      <c r="G2319" s="26" t="s">
        <v>2220</v>
      </c>
      <c r="H2319" s="26" t="s">
        <v>2670</v>
      </c>
      <c r="I2319" s="54">
        <f>_xll.DBRW($A$1,$F$14,$F$15,$C2319,$A$2,$F2319,$G2319,$H2319,I$1)</f>
        <v>136</v>
      </c>
      <c r="J2319" s="25">
        <f>_xll.DBRW($A$1,$F$14,$F$15,$C2319,$A$2,$F2319,$G2319,$H2319,J$19)</f>
        <v>2</v>
      </c>
    </row>
    <row r="2320" spans="1:10" s="23" customFormat="1" outlineLevel="1" thickBot="1" x14ac:dyDescent="0.3">
      <c r="A2320" s="44"/>
      <c r="B2320" s="31" t="str">
        <f>IF(_xll.TM1RPTELISCONSOLIDATED($H$20,$H2320),IF(_xll.TM1RPTELLEV($H$20,$H2320)&lt;=5,_xll.TM1RPTELLEV($H$20,$H2320),"Default"),"Leaf")</f>
        <v>Leaf</v>
      </c>
      <c r="C2320" s="26" t="s">
        <v>22</v>
      </c>
      <c r="D2320" s="24" t="str">
        <f>_xll.DBRW("TM1-S1_DEV:}ElementAttributes_SP_SKU",$F2320,D$1)</f>
        <v>Primary</v>
      </c>
      <c r="E2320" s="24" t="str">
        <f>_xll.DBRW("TM1-S1_DEV:}ElementAttributes_SP_SKU",$F2320,E$1)</f>
        <v>PROTEIN</v>
      </c>
      <c r="F2320" s="26" t="s">
        <v>3106</v>
      </c>
      <c r="G2320" s="26" t="s">
        <v>2221</v>
      </c>
      <c r="H2320" s="26" t="s">
        <v>2670</v>
      </c>
      <c r="I2320" s="54">
        <f>_xll.DBRW($A$1,$F$14,$F$15,$C2320,$A$2,$F2320,$G2320,$H2320,I$1)</f>
        <v>161</v>
      </c>
      <c r="J2320" s="25">
        <f>_xll.DBRW($A$1,$F$14,$F$15,$C2320,$A$2,$F2320,$G2320,$H2320,J$19)</f>
        <v>2</v>
      </c>
    </row>
    <row r="2321" spans="1:10" s="23" customFormat="1" outlineLevel="1" thickBot="1" x14ac:dyDescent="0.3">
      <c r="A2321" s="44"/>
      <c r="B2321" s="31" t="str">
        <f>IF(_xll.TM1RPTELISCONSOLIDATED($H$20,$H2321),IF(_xll.TM1RPTELLEV($H$20,$H2321)&lt;=5,_xll.TM1RPTELLEV($H$20,$H2321),"Default"),"Leaf")</f>
        <v>Leaf</v>
      </c>
      <c r="C2321" s="26" t="s">
        <v>22</v>
      </c>
      <c r="D2321" s="24" t="str">
        <f>_xll.DBRW("TM1-S1_DEV:}ElementAttributes_SP_SKU",$F2321,D$1)</f>
        <v>Primary</v>
      </c>
      <c r="E2321" s="24" t="str">
        <f>_xll.DBRW("TM1-S1_DEV:}ElementAttributes_SP_SKU",$F2321,E$1)</f>
        <v>HAM</v>
      </c>
      <c r="F2321" s="26" t="s">
        <v>3107</v>
      </c>
      <c r="G2321" s="26" t="s">
        <v>2222</v>
      </c>
      <c r="H2321" s="26" t="s">
        <v>2670</v>
      </c>
      <c r="I2321" s="54">
        <f>_xll.DBRW($A$1,$F$14,$F$15,$C2321,$A$2,$F2321,$G2321,$H2321,I$1)</f>
        <v>8</v>
      </c>
      <c r="J2321" s="25">
        <f>_xll.DBRW($A$1,$F$14,$F$15,$C2321,$A$2,$F2321,$G2321,$H2321,J$19)</f>
        <v>0</v>
      </c>
    </row>
    <row r="2322" spans="1:10" s="23" customFormat="1" outlineLevel="1" thickBot="1" x14ac:dyDescent="0.3">
      <c r="A2322" s="44"/>
      <c r="B2322" s="31" t="str">
        <f>IF(_xll.TM1RPTELISCONSOLIDATED($H$20,$H2322),IF(_xll.TM1RPTELLEV($H$20,$H2322)&lt;=5,_xll.TM1RPTELLEV($H$20,$H2322),"Default"),"Leaf")</f>
        <v>Leaf</v>
      </c>
      <c r="C2322" s="26" t="s">
        <v>22</v>
      </c>
      <c r="D2322" s="24" t="str">
        <f>_xll.DBRW("TM1-S1_DEV:}ElementAttributes_SP_SKU",$F2322,D$1)</f>
        <v>Primary</v>
      </c>
      <c r="E2322" s="24" t="str">
        <f>_xll.DBRW("TM1-S1_DEV:}ElementAttributes_SP_SKU",$F2322,E$1)</f>
        <v>HAM</v>
      </c>
      <c r="F2322" s="26" t="s">
        <v>3108</v>
      </c>
      <c r="G2322" s="26" t="s">
        <v>2223</v>
      </c>
      <c r="H2322" s="26" t="s">
        <v>2670</v>
      </c>
      <c r="I2322" s="54">
        <f>_xll.DBRW($A$1,$F$14,$F$15,$C2322,$A$2,$F2322,$G2322,$H2322,I$1)</f>
        <v>68</v>
      </c>
      <c r="J2322" s="25">
        <f>_xll.DBRW($A$1,$F$14,$F$15,$C2322,$A$2,$F2322,$G2322,$H2322,J$19)</f>
        <v>0</v>
      </c>
    </row>
    <row r="2323" spans="1:10" s="23" customFormat="1" outlineLevel="1" thickBot="1" x14ac:dyDescent="0.3">
      <c r="A2323" s="44"/>
      <c r="B2323" s="31" t="str">
        <f>IF(_xll.TM1RPTELISCONSOLIDATED($H$20,$H2323),IF(_xll.TM1RPTELLEV($H$20,$H2323)&lt;=5,_xll.TM1RPTELLEV($H$20,$H2323),"Default"),"Leaf")</f>
        <v>Leaf</v>
      </c>
      <c r="C2323" s="26" t="s">
        <v>22</v>
      </c>
      <c r="D2323" s="24" t="str">
        <f>_xll.DBRW("TM1-S1_DEV:}ElementAttributes_SP_SKU",$F2323,D$1)</f>
        <v>Primary</v>
      </c>
      <c r="E2323" s="24" t="str">
        <f>_xll.DBRW("TM1-S1_DEV:}ElementAttributes_SP_SKU",$F2323,E$1)</f>
        <v>HAM</v>
      </c>
      <c r="F2323" s="26" t="s">
        <v>3109</v>
      </c>
      <c r="G2323" s="26" t="s">
        <v>2224</v>
      </c>
      <c r="H2323" s="26" t="s">
        <v>2670</v>
      </c>
      <c r="I2323" s="54">
        <f>_xll.DBRW($A$1,$F$14,$F$15,$C2323,$A$2,$F2323,$G2323,$H2323,I$1)</f>
        <v>201</v>
      </c>
      <c r="J2323" s="25">
        <f>_xll.DBRW($A$1,$F$14,$F$15,$C2323,$A$2,$F2323,$G2323,$H2323,J$19)</f>
        <v>2</v>
      </c>
    </row>
    <row r="2324" spans="1:10" s="23" customFormat="1" outlineLevel="1" thickBot="1" x14ac:dyDescent="0.3">
      <c r="A2324" s="44"/>
      <c r="B2324" s="31" t="str">
        <f>IF(_xll.TM1RPTELISCONSOLIDATED($H$20,$H2324),IF(_xll.TM1RPTELLEV($H$20,$H2324)&lt;=5,_xll.TM1RPTELLEV($H$20,$H2324),"Default"),"Leaf")</f>
        <v>Leaf</v>
      </c>
      <c r="C2324" s="26" t="s">
        <v>22</v>
      </c>
      <c r="D2324" s="24" t="str">
        <f>_xll.DBRW("TM1-S1_DEV:}ElementAttributes_SP_SKU",$F2324,D$1)</f>
        <v>Primary</v>
      </c>
      <c r="E2324" s="24" t="str">
        <f>_xll.DBRW("TM1-S1_DEV:}ElementAttributes_SP_SKU",$F2324,E$1)</f>
        <v>TURKEY</v>
      </c>
      <c r="F2324" s="26" t="s">
        <v>3110</v>
      </c>
      <c r="G2324" s="26" t="s">
        <v>2041</v>
      </c>
      <c r="H2324" s="26" t="s">
        <v>2671</v>
      </c>
      <c r="I2324" s="54">
        <f>_xll.DBRW($A$1,$F$14,$F$15,$C2324,$A$2,$F2324,$G2324,$H2324,I$1)</f>
        <v>75</v>
      </c>
      <c r="J2324" s="25">
        <f>_xll.DBRW($A$1,$F$14,$F$15,$C2324,$A$2,$F2324,$G2324,$H2324,J$19)</f>
        <v>68</v>
      </c>
    </row>
    <row r="2325" spans="1:10" s="23" customFormat="1" outlineLevel="1" thickBot="1" x14ac:dyDescent="0.3">
      <c r="A2325" s="44"/>
      <c r="B2325" s="31" t="str">
        <f>IF(_xll.TM1RPTELISCONSOLIDATED($H$20,$H2325),IF(_xll.TM1RPTELLEV($H$20,$H2325)&lt;=5,_xll.TM1RPTELLEV($H$20,$H2325),"Default"),"Leaf")</f>
        <v>Leaf</v>
      </c>
      <c r="C2325" s="26" t="s">
        <v>22</v>
      </c>
      <c r="D2325" s="24" t="str">
        <f>_xll.DBRW("TM1-S1_DEV:}ElementAttributes_SP_SKU",$F2325,D$1)</f>
        <v>Primary</v>
      </c>
      <c r="E2325" s="24" t="str">
        <f>_xll.DBRW("TM1-S1_DEV:}ElementAttributes_SP_SKU",$F2325,E$1)</f>
        <v>TURKEY</v>
      </c>
      <c r="F2325" s="26" t="s">
        <v>3111</v>
      </c>
      <c r="G2325" s="26" t="s">
        <v>2042</v>
      </c>
      <c r="H2325" s="26" t="s">
        <v>2671</v>
      </c>
      <c r="I2325" s="54">
        <f>_xll.DBRW($A$1,$F$14,$F$15,$C2325,$A$2,$F2325,$G2325,$H2325,I$1)</f>
        <v>90</v>
      </c>
      <c r="J2325" s="25">
        <f>_xll.DBRW($A$1,$F$14,$F$15,$C2325,$A$2,$F2325,$G2325,$H2325,J$19)</f>
        <v>62</v>
      </c>
    </row>
    <row r="2326" spans="1:10" s="23" customFormat="1" outlineLevel="1" thickBot="1" x14ac:dyDescent="0.3">
      <c r="A2326" s="44"/>
      <c r="B2326" s="31" t="str">
        <f>IF(_xll.TM1RPTELISCONSOLIDATED($H$20,$H2326),IF(_xll.TM1RPTELLEV($H$20,$H2326)&lt;=5,_xll.TM1RPTELLEV($H$20,$H2326),"Default"),"Leaf")</f>
        <v>Leaf</v>
      </c>
      <c r="C2326" s="26" t="s">
        <v>22</v>
      </c>
      <c r="D2326" s="24" t="str">
        <f>_xll.DBRW("TM1-S1_DEV:}ElementAttributes_SP_SKU",$F2326,D$1)</f>
        <v>Primary</v>
      </c>
      <c r="E2326" s="24" t="str">
        <f>_xll.DBRW("TM1-S1_DEV:}ElementAttributes_SP_SKU",$F2326,E$1)</f>
        <v>PROTEIN</v>
      </c>
      <c r="F2326" s="26" t="s">
        <v>3112</v>
      </c>
      <c r="G2326" s="26" t="s">
        <v>2043</v>
      </c>
      <c r="H2326" s="26" t="s">
        <v>2672</v>
      </c>
      <c r="I2326" s="54">
        <f>_xll.DBRW($A$1,$F$14,$F$15,$C2326,$A$2,$F2326,$G2326,$H2326,I$1)</f>
        <v>21</v>
      </c>
      <c r="J2326" s="25">
        <f>_xll.DBRW($A$1,$F$14,$F$15,$C2326,$A$2,$F2326,$G2326,$H2326,J$19)</f>
        <v>15</v>
      </c>
    </row>
    <row r="2327" spans="1:10" s="23" customFormat="1" outlineLevel="1" thickBot="1" x14ac:dyDescent="0.3">
      <c r="A2327" s="44"/>
      <c r="B2327" s="31" t="str">
        <f>IF(_xll.TM1RPTELISCONSOLIDATED($H$20,$H2327),IF(_xll.TM1RPTELLEV($H$20,$H2327)&lt;=5,_xll.TM1RPTELLEV($H$20,$H2327),"Default"),"Leaf")</f>
        <v>Leaf</v>
      </c>
      <c r="C2327" s="26" t="s">
        <v>22</v>
      </c>
      <c r="D2327" s="24" t="str">
        <f>_xll.DBRW("TM1-S1_DEV:}ElementAttributes_SP_SKU",$F2327,D$1)</f>
        <v>Primary</v>
      </c>
      <c r="E2327" s="24" t="str">
        <f>_xll.DBRW("TM1-S1_DEV:}ElementAttributes_SP_SKU",$F2327,E$1)</f>
        <v>PROTEIN</v>
      </c>
      <c r="F2327" s="26" t="s">
        <v>3114</v>
      </c>
      <c r="G2327" s="26" t="s">
        <v>2045</v>
      </c>
      <c r="H2327" s="26" t="s">
        <v>2672</v>
      </c>
      <c r="I2327" s="54">
        <f>_xll.DBRW($A$1,$F$14,$F$15,$C2327,$A$2,$F2327,$G2327,$H2327,I$1)</f>
        <v>43</v>
      </c>
      <c r="J2327" s="25">
        <f>_xll.DBRW($A$1,$F$14,$F$15,$C2327,$A$2,$F2327,$G2327,$H2327,J$19)</f>
        <v>28</v>
      </c>
    </row>
    <row r="2328" spans="1:10" s="23" customFormat="1" outlineLevel="1" thickBot="1" x14ac:dyDescent="0.3">
      <c r="A2328" s="44"/>
      <c r="B2328" s="31" t="str">
        <f>IF(_xll.TM1RPTELISCONSOLIDATED($H$20,$H2328),IF(_xll.TM1RPTELLEV($H$20,$H2328)&lt;=5,_xll.TM1RPTELLEV($H$20,$H2328),"Default"),"Leaf")</f>
        <v>Leaf</v>
      </c>
      <c r="C2328" s="26" t="s">
        <v>22</v>
      </c>
      <c r="D2328" s="24" t="str">
        <f>_xll.DBRW("TM1-S1_DEV:}ElementAttributes_SP_SKU",$F2328,D$1)</f>
        <v>Primary</v>
      </c>
      <c r="E2328" s="24" t="str">
        <f>_xll.DBRW("TM1-S1_DEV:}ElementAttributes_SP_SKU",$F2328,E$1)</f>
        <v>PROTEIN</v>
      </c>
      <c r="F2328" s="26" t="s">
        <v>3115</v>
      </c>
      <c r="G2328" s="26" t="s">
        <v>2046</v>
      </c>
      <c r="H2328" s="26" t="s">
        <v>2672</v>
      </c>
      <c r="I2328" s="54">
        <f>_xll.DBRW($A$1,$F$14,$F$15,$C2328,$A$2,$F2328,$G2328,$H2328,I$1)</f>
        <v>21</v>
      </c>
      <c r="J2328" s="25">
        <f>_xll.DBRW($A$1,$F$14,$F$15,$C2328,$A$2,$F2328,$G2328,$H2328,J$19)</f>
        <v>13</v>
      </c>
    </row>
    <row r="2329" spans="1:10" s="23" customFormat="1" outlineLevel="1" thickBot="1" x14ac:dyDescent="0.3">
      <c r="A2329" s="44"/>
      <c r="B2329" s="31" t="str">
        <f>IF(_xll.TM1RPTELISCONSOLIDATED($H$20,$H2329),IF(_xll.TM1RPTELLEV($H$20,$H2329)&lt;=5,_xll.TM1RPTELLEV($H$20,$H2329),"Default"),"Leaf")</f>
        <v>Leaf</v>
      </c>
      <c r="C2329" s="26" t="s">
        <v>22</v>
      </c>
      <c r="D2329" s="24" t="str">
        <f>_xll.DBRW("TM1-S1_DEV:}ElementAttributes_SP_SKU",$F2329,D$1)</f>
        <v>Primary</v>
      </c>
      <c r="E2329" s="24" t="str">
        <f>_xll.DBRW("TM1-S1_DEV:}ElementAttributes_SP_SKU",$F2329,E$1)</f>
        <v>SOUP</v>
      </c>
      <c r="F2329" s="26" t="s">
        <v>3116</v>
      </c>
      <c r="G2329" s="26" t="s">
        <v>2047</v>
      </c>
      <c r="H2329" s="26" t="s">
        <v>2674</v>
      </c>
      <c r="I2329" s="54">
        <f>_xll.DBRW($A$1,$F$14,$F$15,$C2329,$A$2,$F2329,$G2329,$H2329,I$1)</f>
        <v>26</v>
      </c>
      <c r="J2329" s="25">
        <f>_xll.DBRW($A$1,$F$14,$F$15,$C2329,$A$2,$F2329,$G2329,$H2329,J$19)</f>
        <v>20</v>
      </c>
    </row>
    <row r="2330" spans="1:10" s="23" customFormat="1" outlineLevel="1" thickBot="1" x14ac:dyDescent="0.3">
      <c r="A2330" s="44"/>
      <c r="B2330" s="31" t="str">
        <f>IF(_xll.TM1RPTELISCONSOLIDATED($H$20,$H2330),IF(_xll.TM1RPTELLEV($H$20,$H2330)&lt;=5,_xll.TM1RPTELLEV($H$20,$H2330),"Default"),"Leaf")</f>
        <v>Leaf</v>
      </c>
      <c r="C2330" s="26" t="s">
        <v>22</v>
      </c>
      <c r="D2330" s="24" t="str">
        <f>_xll.DBRW("TM1-S1_DEV:}ElementAttributes_SP_SKU",$F2330,D$1)</f>
        <v>Primary</v>
      </c>
      <c r="E2330" s="24" t="str">
        <f>_xll.DBRW("TM1-S1_DEV:}ElementAttributes_SP_SKU",$F2330,E$1)</f>
        <v>SOUP</v>
      </c>
      <c r="F2330" s="26" t="s">
        <v>3117</v>
      </c>
      <c r="G2330" s="26" t="s">
        <v>2048</v>
      </c>
      <c r="H2330" s="26" t="s">
        <v>2674</v>
      </c>
      <c r="I2330" s="54">
        <f>_xll.DBRW($A$1,$F$14,$F$15,$C2330,$A$2,$F2330,$G2330,$H2330,I$1)</f>
        <v>13</v>
      </c>
      <c r="J2330" s="25">
        <f>_xll.DBRW($A$1,$F$14,$F$15,$C2330,$A$2,$F2330,$G2330,$H2330,J$19)</f>
        <v>11</v>
      </c>
    </row>
    <row r="2331" spans="1:10" s="23" customFormat="1" outlineLevel="1" thickBot="1" x14ac:dyDescent="0.3">
      <c r="A2331" s="44"/>
      <c r="B2331" s="31" t="str">
        <f>IF(_xll.TM1RPTELISCONSOLIDATED($H$20,$H2331),IF(_xll.TM1RPTELLEV($H$20,$H2331)&lt;=5,_xll.TM1RPTELLEV($H$20,$H2331),"Default"),"Leaf")</f>
        <v>Leaf</v>
      </c>
      <c r="C2331" s="26" t="s">
        <v>22</v>
      </c>
      <c r="D2331" s="24" t="str">
        <f>_xll.DBRW("TM1-S1_DEV:}ElementAttributes_SP_SKU",$F2331,D$1)</f>
        <v>Primary</v>
      </c>
      <c r="E2331" s="24" t="str">
        <f>_xll.DBRW("TM1-S1_DEV:}ElementAttributes_SP_SKU",$F2331,E$1)</f>
        <v>SOUP</v>
      </c>
      <c r="F2331" s="26" t="s">
        <v>3118</v>
      </c>
      <c r="G2331" s="26" t="s">
        <v>2049</v>
      </c>
      <c r="H2331" s="26" t="s">
        <v>2674</v>
      </c>
      <c r="I2331" s="54">
        <f>_xll.DBRW($A$1,$F$14,$F$15,$C2331,$A$2,$F2331,$G2331,$H2331,I$1)</f>
        <v>19</v>
      </c>
      <c r="J2331" s="25">
        <f>_xll.DBRW($A$1,$F$14,$F$15,$C2331,$A$2,$F2331,$G2331,$H2331,J$19)</f>
        <v>16</v>
      </c>
    </row>
    <row r="2332" spans="1:10" s="23" customFormat="1" outlineLevel="1" thickBot="1" x14ac:dyDescent="0.3">
      <c r="A2332" s="44"/>
      <c r="B2332" s="31" t="str">
        <f>IF(_xll.TM1RPTELISCONSOLIDATED($H$20,$H2332),IF(_xll.TM1RPTELLEV($H$20,$H2332)&lt;=5,_xll.TM1RPTELLEV($H$20,$H2332),"Default"),"Leaf")</f>
        <v>Leaf</v>
      </c>
      <c r="C2332" s="26" t="s">
        <v>22</v>
      </c>
      <c r="D2332" s="24" t="str">
        <f>_xll.DBRW("TM1-S1_DEV:}ElementAttributes_SP_SKU",$F2332,D$1)</f>
        <v>Primary</v>
      </c>
      <c r="E2332" s="24" t="str">
        <f>_xll.DBRW("TM1-S1_DEV:}ElementAttributes_SP_SKU",$F2332,E$1)</f>
        <v>PROTEIN</v>
      </c>
      <c r="F2332" s="26" t="s">
        <v>3119</v>
      </c>
      <c r="G2332" s="26" t="s">
        <v>2050</v>
      </c>
      <c r="H2332" s="26" t="s">
        <v>2670</v>
      </c>
      <c r="I2332" s="54">
        <f>_xll.DBRW($A$1,$F$14,$F$15,$C2332,$A$2,$F2332,$G2332,$H2332,I$1)</f>
        <v>19</v>
      </c>
      <c r="J2332" s="25">
        <f>_xll.DBRW($A$1,$F$14,$F$15,$C2332,$A$2,$F2332,$G2332,$H2332,J$19)</f>
        <v>18</v>
      </c>
    </row>
    <row r="2333" spans="1:10" s="23" customFormat="1" outlineLevel="1" thickBot="1" x14ac:dyDescent="0.3">
      <c r="A2333" s="44"/>
      <c r="B2333" s="31" t="str">
        <f>IF(_xll.TM1RPTELISCONSOLIDATED($H$20,$H2333),IF(_xll.TM1RPTELLEV($H$20,$H2333)&lt;=5,_xll.TM1RPTELLEV($H$20,$H2333),"Default"),"Leaf")</f>
        <v>Leaf</v>
      </c>
      <c r="C2333" s="26" t="s">
        <v>22</v>
      </c>
      <c r="D2333" s="24" t="str">
        <f>_xll.DBRW("TM1-S1_DEV:}ElementAttributes_SP_SKU",$F2333,D$1)</f>
        <v>Primary</v>
      </c>
      <c r="E2333" s="24" t="str">
        <f>_xll.DBRW("TM1-S1_DEV:}ElementAttributes_SP_SKU",$F2333,E$1)</f>
        <v>PROTEIN</v>
      </c>
      <c r="F2333" s="26" t="s">
        <v>3120</v>
      </c>
      <c r="G2333" s="26" t="s">
        <v>2051</v>
      </c>
      <c r="H2333" s="26" t="s">
        <v>2670</v>
      </c>
      <c r="I2333" s="54">
        <f>_xll.DBRW($A$1,$F$14,$F$15,$C2333,$A$2,$F2333,$G2333,$H2333,I$1)</f>
        <v>15</v>
      </c>
      <c r="J2333" s="25">
        <f>_xll.DBRW($A$1,$F$14,$F$15,$C2333,$A$2,$F2333,$G2333,$H2333,J$19)</f>
        <v>14</v>
      </c>
    </row>
    <row r="2334" spans="1:10" s="23" customFormat="1" outlineLevel="1" thickBot="1" x14ac:dyDescent="0.3">
      <c r="A2334" s="44"/>
      <c r="B2334" s="31" t="str">
        <f>IF(_xll.TM1RPTELISCONSOLIDATED($H$20,$H2334),IF(_xll.TM1RPTELLEV($H$20,$H2334)&lt;=5,_xll.TM1RPTELLEV($H$20,$H2334),"Default"),"Leaf")</f>
        <v>Leaf</v>
      </c>
      <c r="C2334" s="26" t="s">
        <v>22</v>
      </c>
      <c r="D2334" s="24" t="str">
        <f>_xll.DBRW("TM1-S1_DEV:}ElementAttributes_SP_SKU",$F2334,D$1)</f>
        <v>Primary</v>
      </c>
      <c r="E2334" s="24" t="str">
        <f>_xll.DBRW("TM1-S1_DEV:}ElementAttributes_SP_SKU",$F2334,E$1)</f>
        <v>SOUP</v>
      </c>
      <c r="F2334" s="26" t="s">
        <v>3121</v>
      </c>
      <c r="G2334" s="26" t="s">
        <v>2052</v>
      </c>
      <c r="H2334" s="26" t="s">
        <v>2675</v>
      </c>
      <c r="I2334" s="54">
        <f>_xll.DBRW($A$1,$F$14,$F$15,$C2334,$A$2,$F2334,$G2334,$H2334,I$1)</f>
        <v>9</v>
      </c>
      <c r="J2334" s="25">
        <f>_xll.DBRW($A$1,$F$14,$F$15,$C2334,$A$2,$F2334,$G2334,$H2334,J$19)</f>
        <v>9</v>
      </c>
    </row>
    <row r="2335" spans="1:10" s="23" customFormat="1" outlineLevel="1" thickBot="1" x14ac:dyDescent="0.3">
      <c r="A2335" s="44"/>
      <c r="B2335" s="31" t="str">
        <f>IF(_xll.TM1RPTELISCONSOLIDATED($H$20,$H2335),IF(_xll.TM1RPTELLEV($H$20,$H2335)&lt;=5,_xll.TM1RPTELLEV($H$20,$H2335),"Default"),"Leaf")</f>
        <v>Leaf</v>
      </c>
      <c r="C2335" s="26" t="s">
        <v>22</v>
      </c>
      <c r="D2335" s="24" t="str">
        <f>_xll.DBRW("TM1-S1_DEV:}ElementAttributes_SP_SKU",$F2335,D$1)</f>
        <v>Primary</v>
      </c>
      <c r="E2335" s="24" t="str">
        <f>_xll.DBRW("TM1-S1_DEV:}ElementAttributes_SP_SKU",$F2335,E$1)</f>
        <v>SOUP</v>
      </c>
      <c r="F2335" s="26" t="s">
        <v>3122</v>
      </c>
      <c r="G2335" s="26" t="s">
        <v>2053</v>
      </c>
      <c r="H2335" s="26" t="s">
        <v>2675</v>
      </c>
      <c r="I2335" s="54">
        <f>_xll.DBRW($A$1,$F$14,$F$15,$C2335,$A$2,$F2335,$G2335,$H2335,I$1)</f>
        <v>11</v>
      </c>
      <c r="J2335" s="25">
        <f>_xll.DBRW($A$1,$F$14,$F$15,$C2335,$A$2,$F2335,$G2335,$H2335,J$19)</f>
        <v>11</v>
      </c>
    </row>
    <row r="2336" spans="1:10" s="23" customFormat="1" outlineLevel="1" thickBot="1" x14ac:dyDescent="0.3">
      <c r="A2336" s="44"/>
      <c r="B2336" s="31" t="str">
        <f>IF(_xll.TM1RPTELISCONSOLIDATED($H$20,$H2336),IF(_xll.TM1RPTELLEV($H$20,$H2336)&lt;=5,_xll.TM1RPTELLEV($H$20,$H2336),"Default"),"Leaf")</f>
        <v>Leaf</v>
      </c>
      <c r="C2336" s="26" t="s">
        <v>22</v>
      </c>
      <c r="D2336" s="24" t="str">
        <f>_xll.DBRW("TM1-S1_DEV:}ElementAttributes_SP_SKU",$F2336,D$1)</f>
        <v>Primary</v>
      </c>
      <c r="E2336" s="24" t="str">
        <f>_xll.DBRW("TM1-S1_DEV:}ElementAttributes_SP_SKU",$F2336,E$1)</f>
        <v>SIDES</v>
      </c>
      <c r="F2336" s="26" t="s">
        <v>3123</v>
      </c>
      <c r="G2336" s="26" t="s">
        <v>2054</v>
      </c>
      <c r="H2336" s="26" t="s">
        <v>2676</v>
      </c>
      <c r="I2336" s="54">
        <f>_xll.DBRW($A$1,$F$14,$F$15,$C2336,$A$2,$F2336,$G2336,$H2336,I$1)</f>
        <v>66</v>
      </c>
      <c r="J2336" s="25">
        <f>_xll.DBRW($A$1,$F$14,$F$15,$C2336,$A$2,$F2336,$G2336,$H2336,J$19)</f>
        <v>51</v>
      </c>
    </row>
    <row r="2337" spans="1:10" s="23" customFormat="1" outlineLevel="1" thickBot="1" x14ac:dyDescent="0.3">
      <c r="A2337" s="44"/>
      <c r="B2337" s="31" t="str">
        <f>IF(_xll.TM1RPTELISCONSOLIDATED($H$20,$H2337),IF(_xll.TM1RPTELLEV($H$20,$H2337)&lt;=5,_xll.TM1RPTELLEV($H$20,$H2337),"Default"),"Leaf")</f>
        <v>Leaf</v>
      </c>
      <c r="C2337" s="26" t="s">
        <v>22</v>
      </c>
      <c r="D2337" s="24" t="str">
        <f>_xll.DBRW("TM1-S1_DEV:}ElementAttributes_SP_SKU",$F2337,D$1)</f>
        <v>Primary</v>
      </c>
      <c r="E2337" s="24" t="str">
        <f>_xll.DBRW("TM1-S1_DEV:}ElementAttributes_SP_SKU",$F2337,E$1)</f>
        <v>SIDES</v>
      </c>
      <c r="F2337" s="26" t="s">
        <v>3124</v>
      </c>
      <c r="G2337" s="26" t="s">
        <v>2055</v>
      </c>
      <c r="H2337" s="26" t="s">
        <v>2676</v>
      </c>
      <c r="I2337" s="54">
        <f>_xll.DBRW($A$1,$F$14,$F$15,$C2337,$A$2,$F2337,$G2337,$H2337,I$1)</f>
        <v>42</v>
      </c>
      <c r="J2337" s="25">
        <f>_xll.DBRW($A$1,$F$14,$F$15,$C2337,$A$2,$F2337,$G2337,$H2337,J$19)</f>
        <v>29</v>
      </c>
    </row>
    <row r="2338" spans="1:10" s="23" customFormat="1" outlineLevel="1" thickBot="1" x14ac:dyDescent="0.3">
      <c r="A2338" s="44"/>
      <c r="B2338" s="31" t="str">
        <f>IF(_xll.TM1RPTELISCONSOLIDATED($H$20,$H2338),IF(_xll.TM1RPTELLEV($H$20,$H2338)&lt;=5,_xll.TM1RPTELLEV($H$20,$H2338),"Default"),"Leaf")</f>
        <v>Leaf</v>
      </c>
      <c r="C2338" s="26" t="s">
        <v>22</v>
      </c>
      <c r="D2338" s="24" t="str">
        <f>_xll.DBRW("TM1-S1_DEV:}ElementAttributes_SP_SKU",$F2338,D$1)</f>
        <v>Primary</v>
      </c>
      <c r="E2338" s="24" t="str">
        <f>_xll.DBRW("TM1-S1_DEV:}ElementAttributes_SP_SKU",$F2338,E$1)</f>
        <v>SIDES</v>
      </c>
      <c r="F2338" s="26" t="s">
        <v>3125</v>
      </c>
      <c r="G2338" s="26" t="s">
        <v>2056</v>
      </c>
      <c r="H2338" s="26" t="s">
        <v>2676</v>
      </c>
      <c r="I2338" s="54">
        <f>_xll.DBRW($A$1,$F$14,$F$15,$C2338,$A$2,$F2338,$G2338,$H2338,I$1)</f>
        <v>47</v>
      </c>
      <c r="J2338" s="25">
        <f>_xll.DBRW($A$1,$F$14,$F$15,$C2338,$A$2,$F2338,$G2338,$H2338,J$19)</f>
        <v>44</v>
      </c>
    </row>
    <row r="2339" spans="1:10" s="23" customFormat="1" outlineLevel="1" thickBot="1" x14ac:dyDescent="0.3">
      <c r="A2339" s="44"/>
      <c r="B2339" s="31" t="str">
        <f>IF(_xll.TM1RPTELISCONSOLIDATED($H$20,$H2339),IF(_xll.TM1RPTELLEV($H$20,$H2339)&lt;=5,_xll.TM1RPTELLEV($H$20,$H2339),"Default"),"Leaf")</f>
        <v>Leaf</v>
      </c>
      <c r="C2339" s="26" t="s">
        <v>22</v>
      </c>
      <c r="D2339" s="24" t="str">
        <f>_xll.DBRW("TM1-S1_DEV:}ElementAttributes_SP_SKU",$F2339,D$1)</f>
        <v>Primary</v>
      </c>
      <c r="E2339" s="24" t="str">
        <f>_xll.DBRW("TM1-S1_DEV:}ElementAttributes_SP_SKU",$F2339,E$1)</f>
        <v>SIDES</v>
      </c>
      <c r="F2339" s="26" t="s">
        <v>3126</v>
      </c>
      <c r="G2339" s="26" t="s">
        <v>2057</v>
      </c>
      <c r="H2339" s="26" t="s">
        <v>2676</v>
      </c>
      <c r="I2339" s="54">
        <f>_xll.DBRW($A$1,$F$14,$F$15,$C2339,$A$2,$F2339,$G2339,$H2339,I$1)</f>
        <v>36</v>
      </c>
      <c r="J2339" s="25">
        <f>_xll.DBRW($A$1,$F$14,$F$15,$C2339,$A$2,$F2339,$G2339,$H2339,J$19)</f>
        <v>26</v>
      </c>
    </row>
    <row r="2340" spans="1:10" s="23" customFormat="1" outlineLevel="1" thickBot="1" x14ac:dyDescent="0.3">
      <c r="A2340" s="44"/>
      <c r="B2340" s="31" t="str">
        <f>IF(_xll.TM1RPTELISCONSOLIDATED($H$20,$H2340),IF(_xll.TM1RPTELLEV($H$20,$H2340)&lt;=5,_xll.TM1RPTELLEV($H$20,$H2340),"Default"),"Leaf")</f>
        <v>Leaf</v>
      </c>
      <c r="C2340" s="26" t="s">
        <v>22</v>
      </c>
      <c r="D2340" s="24" t="str">
        <f>_xll.DBRW("TM1-S1_DEV:}ElementAttributes_SP_SKU",$F2340,D$1)</f>
        <v>Primary</v>
      </c>
      <c r="E2340" s="24" t="str">
        <f>_xll.DBRW("TM1-S1_DEV:}ElementAttributes_SP_SKU",$F2340,E$1)</f>
        <v>SIDES</v>
      </c>
      <c r="F2340" s="26" t="s">
        <v>3127</v>
      </c>
      <c r="G2340" s="26" t="s">
        <v>2058</v>
      </c>
      <c r="H2340" s="26" t="s">
        <v>2676</v>
      </c>
      <c r="I2340" s="54">
        <f>_xll.DBRW($A$1,$F$14,$F$15,$C2340,$A$2,$F2340,$G2340,$H2340,I$1)</f>
        <v>51</v>
      </c>
      <c r="J2340" s="25">
        <f>_xll.DBRW($A$1,$F$14,$F$15,$C2340,$A$2,$F2340,$G2340,$H2340,J$19)</f>
        <v>28</v>
      </c>
    </row>
    <row r="2341" spans="1:10" s="23" customFormat="1" outlineLevel="1" thickBot="1" x14ac:dyDescent="0.3">
      <c r="A2341" s="44"/>
      <c r="B2341" s="31" t="str">
        <f>IF(_xll.TM1RPTELISCONSOLIDATED($H$20,$H2341),IF(_xll.TM1RPTELLEV($H$20,$H2341)&lt;=5,_xll.TM1RPTELLEV($H$20,$H2341),"Default"),"Leaf")</f>
        <v>Leaf</v>
      </c>
      <c r="C2341" s="26" t="s">
        <v>22</v>
      </c>
      <c r="D2341" s="24" t="str">
        <f>_xll.DBRW("TM1-S1_DEV:}ElementAttributes_SP_SKU",$F2341,D$1)</f>
        <v>Primary</v>
      </c>
      <c r="E2341" s="24" t="str">
        <f>_xll.DBRW("TM1-S1_DEV:}ElementAttributes_SP_SKU",$F2341,E$1)</f>
        <v>SIDES</v>
      </c>
      <c r="F2341" s="26" t="s">
        <v>3128</v>
      </c>
      <c r="G2341" s="26" t="s">
        <v>2059</v>
      </c>
      <c r="H2341" s="26" t="s">
        <v>2676</v>
      </c>
      <c r="I2341" s="54">
        <f>_xll.DBRW($A$1,$F$14,$F$15,$C2341,$A$2,$F2341,$G2341,$H2341,I$1)</f>
        <v>59</v>
      </c>
      <c r="J2341" s="25">
        <f>_xll.DBRW($A$1,$F$14,$F$15,$C2341,$A$2,$F2341,$G2341,$H2341,J$19)</f>
        <v>26</v>
      </c>
    </row>
    <row r="2342" spans="1:10" s="23" customFormat="1" outlineLevel="1" thickBot="1" x14ac:dyDescent="0.3">
      <c r="A2342" s="44"/>
      <c r="B2342" s="31" t="str">
        <f>IF(_xll.TM1RPTELISCONSOLIDATED($H$20,$H2342),IF(_xll.TM1RPTELLEV($H$20,$H2342)&lt;=5,_xll.TM1RPTELLEV($H$20,$H2342),"Default"),"Leaf")</f>
        <v>Leaf</v>
      </c>
      <c r="C2342" s="26" t="s">
        <v>22</v>
      </c>
      <c r="D2342" s="24" t="str">
        <f>_xll.DBRW("TM1-S1_DEV:}ElementAttributes_SP_SKU",$F2342,D$1)</f>
        <v>Primary</v>
      </c>
      <c r="E2342" s="24" t="str">
        <f>_xll.DBRW("TM1-S1_DEV:}ElementAttributes_SP_SKU",$F2342,E$1)</f>
        <v>SIDES</v>
      </c>
      <c r="F2342" s="26" t="s">
        <v>3129</v>
      </c>
      <c r="G2342" s="26" t="s">
        <v>2060</v>
      </c>
      <c r="H2342" s="26" t="s">
        <v>2676</v>
      </c>
      <c r="I2342" s="54">
        <f>_xll.DBRW($A$1,$F$14,$F$15,$C2342,$A$2,$F2342,$G2342,$H2342,I$1)</f>
        <v>66</v>
      </c>
      <c r="J2342" s="25">
        <f>_xll.DBRW($A$1,$F$14,$F$15,$C2342,$A$2,$F2342,$G2342,$H2342,J$19)</f>
        <v>60</v>
      </c>
    </row>
    <row r="2343" spans="1:10" s="23" customFormat="1" outlineLevel="1" thickBot="1" x14ac:dyDescent="0.3">
      <c r="A2343" s="44"/>
      <c r="B2343" s="31" t="str">
        <f>IF(_xll.TM1RPTELISCONSOLIDATED($H$20,$H2343),IF(_xll.TM1RPTELLEV($H$20,$H2343)&lt;=5,_xll.TM1RPTELLEV($H$20,$H2343),"Default"),"Leaf")</f>
        <v>Leaf</v>
      </c>
      <c r="C2343" s="26" t="s">
        <v>22</v>
      </c>
      <c r="D2343" s="24" t="str">
        <f>_xll.DBRW("TM1-S1_DEV:}ElementAttributes_SP_SKU",$F2343,D$1)</f>
        <v>Primary</v>
      </c>
      <c r="E2343" s="24" t="str">
        <f>_xll.DBRW("TM1-S1_DEV:}ElementAttributes_SP_SKU",$F2343,E$1)</f>
        <v>SIDES</v>
      </c>
      <c r="F2343" s="26" t="s">
        <v>3130</v>
      </c>
      <c r="G2343" s="26" t="s">
        <v>2061</v>
      </c>
      <c r="H2343" s="26" t="s">
        <v>2676</v>
      </c>
      <c r="I2343" s="54">
        <f>_xll.DBRW($A$1,$F$14,$F$15,$C2343,$A$2,$F2343,$G2343,$H2343,I$1)</f>
        <v>50</v>
      </c>
      <c r="J2343" s="25">
        <f>_xll.DBRW($A$1,$F$14,$F$15,$C2343,$A$2,$F2343,$G2343,$H2343,J$19)</f>
        <v>48</v>
      </c>
    </row>
    <row r="2344" spans="1:10" s="23" customFormat="1" outlineLevel="1" thickBot="1" x14ac:dyDescent="0.3">
      <c r="A2344" s="44"/>
      <c r="B2344" s="31" t="str">
        <f>IF(_xll.TM1RPTELISCONSOLIDATED($H$20,$H2344),IF(_xll.TM1RPTELLEV($H$20,$H2344)&lt;=5,_xll.TM1RPTELLEV($H$20,$H2344),"Default"),"Leaf")</f>
        <v>Leaf</v>
      </c>
      <c r="C2344" s="26" t="s">
        <v>22</v>
      </c>
      <c r="D2344" s="24" t="str">
        <f>_xll.DBRW("TM1-S1_DEV:}ElementAttributes_SP_SKU",$F2344,D$1)</f>
        <v>Primary</v>
      </c>
      <c r="E2344" s="24" t="str">
        <f>_xll.DBRW("TM1-S1_DEV:}ElementAttributes_SP_SKU",$F2344,E$1)</f>
        <v>SIDES</v>
      </c>
      <c r="F2344" s="26" t="s">
        <v>3131</v>
      </c>
      <c r="G2344" s="26" t="s">
        <v>2062</v>
      </c>
      <c r="H2344" s="26" t="s">
        <v>2676</v>
      </c>
      <c r="I2344" s="54">
        <f>_xll.DBRW($A$1,$F$14,$F$15,$C2344,$A$2,$F2344,$G2344,$H2344,I$1)</f>
        <v>29</v>
      </c>
      <c r="J2344" s="25">
        <f>_xll.DBRW($A$1,$F$14,$F$15,$C2344,$A$2,$F2344,$G2344,$H2344,J$19)</f>
        <v>24</v>
      </c>
    </row>
    <row r="2345" spans="1:10" s="23" customFormat="1" outlineLevel="1" thickBot="1" x14ac:dyDescent="0.3">
      <c r="A2345" s="44"/>
      <c r="B2345" s="31" t="str">
        <f>IF(_xll.TM1RPTELISCONSOLIDATED($H$20,$H2345),IF(_xll.TM1RPTELLEV($H$20,$H2345)&lt;=5,_xll.TM1RPTELLEV($H$20,$H2345),"Default"),"Leaf")</f>
        <v>Leaf</v>
      </c>
      <c r="C2345" s="26" t="s">
        <v>22</v>
      </c>
      <c r="D2345" s="24" t="str">
        <f>_xll.DBRW("TM1-S1_DEV:}ElementAttributes_SP_SKU",$F2345,D$1)</f>
        <v>Primary</v>
      </c>
      <c r="E2345" s="24" t="str">
        <f>_xll.DBRW("TM1-S1_DEV:}ElementAttributes_SP_SKU",$F2345,E$1)</f>
        <v>SIDES</v>
      </c>
      <c r="F2345" s="26" t="s">
        <v>3132</v>
      </c>
      <c r="G2345" s="26" t="s">
        <v>2063</v>
      </c>
      <c r="H2345" s="26" t="s">
        <v>2676</v>
      </c>
      <c r="I2345" s="54">
        <f>_xll.DBRW($A$1,$F$14,$F$15,$C2345,$A$2,$F2345,$G2345,$H2345,I$1)</f>
        <v>71</v>
      </c>
      <c r="J2345" s="25">
        <f>_xll.DBRW($A$1,$F$14,$F$15,$C2345,$A$2,$F2345,$G2345,$H2345,J$19)</f>
        <v>31</v>
      </c>
    </row>
    <row r="2346" spans="1:10" s="23" customFormat="1" outlineLevel="1" thickBot="1" x14ac:dyDescent="0.3">
      <c r="A2346" s="44"/>
      <c r="B2346" s="31" t="str">
        <f>IF(_xll.TM1RPTELISCONSOLIDATED($H$20,$H2346),IF(_xll.TM1RPTELLEV($H$20,$H2346)&lt;=5,_xll.TM1RPTELLEV($H$20,$H2346),"Default"),"Leaf")</f>
        <v>Leaf</v>
      </c>
      <c r="C2346" s="26" t="s">
        <v>22</v>
      </c>
      <c r="D2346" s="24" t="str">
        <f>_xll.DBRW("TM1-S1_DEV:}ElementAttributes_SP_SKU",$F2346,D$1)</f>
        <v>Primary</v>
      </c>
      <c r="E2346" s="24" t="str">
        <f>_xll.DBRW("TM1-S1_DEV:}ElementAttributes_SP_SKU",$F2346,E$1)</f>
        <v>DESSERT</v>
      </c>
      <c r="F2346" s="26" t="s">
        <v>29</v>
      </c>
      <c r="G2346" s="26" t="s">
        <v>2064</v>
      </c>
      <c r="H2346" s="26" t="s">
        <v>2677</v>
      </c>
      <c r="I2346" s="54">
        <f>_xll.DBRW($A$1,$F$14,$F$15,$C2346,$A$2,$F2346,$G2346,$H2346,I$1)</f>
        <v>11</v>
      </c>
      <c r="J2346" s="25">
        <f>_xll.DBRW($A$1,$F$14,$F$15,$C2346,$A$2,$F2346,$G2346,$H2346,J$19)</f>
        <v>10</v>
      </c>
    </row>
    <row r="2347" spans="1:10" s="23" customFormat="1" outlineLevel="1" thickBot="1" x14ac:dyDescent="0.3">
      <c r="A2347" s="44"/>
      <c r="B2347" s="31" t="str">
        <f>IF(_xll.TM1RPTELISCONSOLIDATED($H$20,$H2347),IF(_xll.TM1RPTELLEV($H$20,$H2347)&lt;=5,_xll.TM1RPTELLEV($H$20,$H2347),"Default"),"Leaf")</f>
        <v>Leaf</v>
      </c>
      <c r="C2347" s="26" t="s">
        <v>22</v>
      </c>
      <c r="D2347" s="24" t="str">
        <f>_xll.DBRW("TM1-S1_DEV:}ElementAttributes_SP_SKU",$F2347,D$1)</f>
        <v>Primary</v>
      </c>
      <c r="E2347" s="24" t="str">
        <f>_xll.DBRW("TM1-S1_DEV:}ElementAttributes_SP_SKU",$F2347,E$1)</f>
        <v>PIE</v>
      </c>
      <c r="F2347" s="26" t="s">
        <v>3133</v>
      </c>
      <c r="G2347" s="26" t="s">
        <v>2065</v>
      </c>
      <c r="H2347" s="26" t="s">
        <v>2678</v>
      </c>
      <c r="I2347" s="54">
        <f>_xll.DBRW($A$1,$F$14,$F$15,$C2347,$A$2,$F2347,$G2347,$H2347,I$1)</f>
        <v>20</v>
      </c>
      <c r="J2347" s="25">
        <f>_xll.DBRW($A$1,$F$14,$F$15,$C2347,$A$2,$F2347,$G2347,$H2347,J$19)</f>
        <v>16</v>
      </c>
    </row>
    <row r="2348" spans="1:10" s="23" customFormat="1" outlineLevel="1" thickBot="1" x14ac:dyDescent="0.3">
      <c r="A2348" s="44"/>
      <c r="B2348" s="31" t="str">
        <f>IF(_xll.TM1RPTELISCONSOLIDATED($H$20,$H2348),IF(_xll.TM1RPTELLEV($H$20,$H2348)&lt;=5,_xll.TM1RPTELLEV($H$20,$H2348),"Default"),"Leaf")</f>
        <v>Leaf</v>
      </c>
      <c r="C2348" s="26" t="s">
        <v>22</v>
      </c>
      <c r="D2348" s="24" t="str">
        <f>_xll.DBRW("TM1-S1_DEV:}ElementAttributes_SP_SKU",$F2348,D$1)</f>
        <v>Primary</v>
      </c>
      <c r="E2348" s="24" t="str">
        <f>_xll.DBRW("TM1-S1_DEV:}ElementAttributes_SP_SKU",$F2348,E$1)</f>
        <v>PIE</v>
      </c>
      <c r="F2348" s="26" t="s">
        <v>3134</v>
      </c>
      <c r="G2348" s="26" t="s">
        <v>2066</v>
      </c>
      <c r="H2348" s="26" t="s">
        <v>2678</v>
      </c>
      <c r="I2348" s="54">
        <f>_xll.DBRW($A$1,$F$14,$F$15,$C2348,$A$2,$F2348,$G2348,$H2348,I$1)</f>
        <v>15</v>
      </c>
      <c r="J2348" s="25">
        <f>_xll.DBRW($A$1,$F$14,$F$15,$C2348,$A$2,$F2348,$G2348,$H2348,J$19)</f>
        <v>13</v>
      </c>
    </row>
    <row r="2349" spans="1:10" s="23" customFormat="1" outlineLevel="1" thickBot="1" x14ac:dyDescent="0.3">
      <c r="A2349" s="44"/>
      <c r="B2349" s="31" t="str">
        <f>IF(_xll.TM1RPTELISCONSOLIDATED($H$20,$H2349),IF(_xll.TM1RPTELLEV($H$20,$H2349)&lt;=5,_xll.TM1RPTELLEV($H$20,$H2349),"Default"),"Leaf")</f>
        <v>Leaf</v>
      </c>
      <c r="C2349" s="26" t="s">
        <v>22</v>
      </c>
      <c r="D2349" s="24" t="str">
        <f>_xll.DBRW("TM1-S1_DEV:}ElementAttributes_SP_SKU",$F2349,D$1)</f>
        <v>Primary</v>
      </c>
      <c r="E2349" s="24" t="str">
        <f>_xll.DBRW("TM1-S1_DEV:}ElementAttributes_SP_SKU",$F2349,E$1)</f>
        <v>CAKE</v>
      </c>
      <c r="F2349" s="26" t="s">
        <v>3135</v>
      </c>
      <c r="G2349" s="26" t="s">
        <v>2067</v>
      </c>
      <c r="H2349" s="26" t="s">
        <v>2679</v>
      </c>
      <c r="I2349" s="54">
        <f>_xll.DBRW($A$1,$F$14,$F$15,$C2349,$A$2,$F2349,$G2349,$H2349,I$1)</f>
        <v>40</v>
      </c>
      <c r="J2349" s="25">
        <f>_xll.DBRW($A$1,$F$14,$F$15,$C2349,$A$2,$F2349,$G2349,$H2349,J$19)</f>
        <v>30</v>
      </c>
    </row>
    <row r="2350" spans="1:10" s="23" customFormat="1" outlineLevel="1" thickBot="1" x14ac:dyDescent="0.3">
      <c r="A2350" s="44"/>
      <c r="B2350" s="31" t="str">
        <f>IF(_xll.TM1RPTELISCONSOLIDATED($H$20,$H2350),IF(_xll.TM1RPTELLEV($H$20,$H2350)&lt;=5,_xll.TM1RPTELLEV($H$20,$H2350),"Default"),"Leaf")</f>
        <v>Leaf</v>
      </c>
      <c r="C2350" s="26" t="s">
        <v>22</v>
      </c>
      <c r="D2350" s="24" t="str">
        <f>_xll.DBRW("TM1-S1_DEV:}ElementAttributes_SP_SKU",$F2350,D$1)</f>
        <v>Primary</v>
      </c>
      <c r="E2350" s="24" t="str">
        <f>_xll.DBRW("TM1-S1_DEV:}ElementAttributes_SP_SKU",$F2350,E$1)</f>
        <v>CAKE</v>
      </c>
      <c r="F2350" s="26" t="s">
        <v>3136</v>
      </c>
      <c r="G2350" s="26" t="s">
        <v>2068</v>
      </c>
      <c r="H2350" s="26" t="s">
        <v>2679</v>
      </c>
      <c r="I2350" s="54">
        <f>_xll.DBRW($A$1,$F$14,$F$15,$C2350,$A$2,$F2350,$G2350,$H2350,I$1)</f>
        <v>31</v>
      </c>
      <c r="J2350" s="25">
        <f>_xll.DBRW($A$1,$F$14,$F$15,$C2350,$A$2,$F2350,$G2350,$H2350,J$19)</f>
        <v>24</v>
      </c>
    </row>
    <row r="2351" spans="1:10" s="23" customFormat="1" outlineLevel="1" thickBot="1" x14ac:dyDescent="0.3">
      <c r="A2351" s="44"/>
      <c r="B2351" s="31" t="str">
        <f>IF(_xll.TM1RPTELISCONSOLIDATED($H$20,$H2351),IF(_xll.TM1RPTELLEV($H$20,$H2351)&lt;=5,_xll.TM1RPTELLEV($H$20,$H2351),"Default"),"Leaf")</f>
        <v>Leaf</v>
      </c>
      <c r="C2351" s="26" t="s">
        <v>22</v>
      </c>
      <c r="D2351" s="24" t="str">
        <f>_xll.DBRW("TM1-S1_DEV:}ElementAttributes_SP_SKU",$F2351,D$1)</f>
        <v>Primary</v>
      </c>
      <c r="E2351" s="24" t="str">
        <f>_xll.DBRW("TM1-S1_DEV:}ElementAttributes_SP_SKU",$F2351,E$1)</f>
        <v>CAKE</v>
      </c>
      <c r="F2351" s="26" t="s">
        <v>3137</v>
      </c>
      <c r="G2351" s="26" t="s">
        <v>2069</v>
      </c>
      <c r="H2351" s="26" t="s">
        <v>2679</v>
      </c>
      <c r="I2351" s="54">
        <f>_xll.DBRW($A$1,$F$14,$F$15,$C2351,$A$2,$F2351,$G2351,$H2351,I$1)</f>
        <v>16</v>
      </c>
      <c r="J2351" s="25">
        <f>_xll.DBRW($A$1,$F$14,$F$15,$C2351,$A$2,$F2351,$G2351,$H2351,J$19)</f>
        <v>5</v>
      </c>
    </row>
    <row r="2352" spans="1:10" s="23" customFormat="1" outlineLevel="1" thickBot="1" x14ac:dyDescent="0.3">
      <c r="A2352" s="44"/>
      <c r="B2352" s="31" t="str">
        <f>IF(_xll.TM1RPTELISCONSOLIDATED($H$20,$H2352),IF(_xll.TM1RPTELLEV($H$20,$H2352)&lt;=5,_xll.TM1RPTELLEV($H$20,$H2352),"Default"),"Leaf")</f>
        <v>Leaf</v>
      </c>
      <c r="C2352" s="26" t="s">
        <v>22</v>
      </c>
      <c r="D2352" s="24" t="str">
        <f>_xll.DBRW("TM1-S1_DEV:}ElementAttributes_SP_SKU",$F2352,D$1)</f>
        <v>Primary</v>
      </c>
      <c r="E2352" s="24" t="str">
        <f>_xll.DBRW("TM1-S1_DEV:}ElementAttributes_SP_SKU",$F2352,E$1)</f>
        <v>CAKE</v>
      </c>
      <c r="F2352" s="26" t="s">
        <v>3138</v>
      </c>
      <c r="G2352" s="26" t="s">
        <v>2070</v>
      </c>
      <c r="H2352" s="26" t="s">
        <v>2680</v>
      </c>
      <c r="I2352" s="54">
        <f>_xll.DBRW($A$1,$F$14,$F$15,$C2352,$A$2,$F2352,$G2352,$H2352,I$1)</f>
        <v>4</v>
      </c>
      <c r="J2352" s="25">
        <f>_xll.DBRW($A$1,$F$14,$F$15,$C2352,$A$2,$F2352,$G2352,$H2352,J$19)</f>
        <v>0</v>
      </c>
    </row>
    <row r="2353" spans="1:10" s="23" customFormat="1" outlineLevel="1" thickBot="1" x14ac:dyDescent="0.3">
      <c r="A2353" s="44"/>
      <c r="B2353" s="31" t="str">
        <f>IF(_xll.TM1RPTELISCONSOLIDATED($H$20,$H2353),IF(_xll.TM1RPTELLEV($H$20,$H2353)&lt;=5,_xll.TM1RPTELLEV($H$20,$H2353),"Default"),"Leaf")</f>
        <v>Leaf</v>
      </c>
      <c r="C2353" s="26" t="s">
        <v>22</v>
      </c>
      <c r="D2353" s="24" t="str">
        <f>_xll.DBRW("TM1-S1_DEV:}ElementAttributes_SP_SKU",$F2353,D$1)</f>
        <v>Primary</v>
      </c>
      <c r="E2353" s="24" t="str">
        <f>_xll.DBRW("TM1-S1_DEV:}ElementAttributes_SP_SKU",$F2353,E$1)</f>
        <v>DESSERT</v>
      </c>
      <c r="F2353" s="26" t="s">
        <v>3139</v>
      </c>
      <c r="G2353" s="26" t="s">
        <v>2071</v>
      </c>
      <c r="H2353" s="26" t="s">
        <v>2681</v>
      </c>
      <c r="I2353" s="54">
        <f>_xll.DBRW($A$1,$F$14,$F$15,$C2353,$A$2,$F2353,$G2353,$H2353,I$1)</f>
        <v>19</v>
      </c>
      <c r="J2353" s="25">
        <f>_xll.DBRW($A$1,$F$14,$F$15,$C2353,$A$2,$F2353,$G2353,$H2353,J$19)</f>
        <v>13</v>
      </c>
    </row>
    <row r="2354" spans="1:10" s="23" customFormat="1" outlineLevel="1" thickBot="1" x14ac:dyDescent="0.3">
      <c r="A2354" s="44"/>
      <c r="B2354" s="31" t="str">
        <f>IF(_xll.TM1RPTELISCONSOLIDATED($H$20,$H2354),IF(_xll.TM1RPTELLEV($H$20,$H2354)&lt;=5,_xll.TM1RPTELLEV($H$20,$H2354),"Default"),"Leaf")</f>
        <v>Leaf</v>
      </c>
      <c r="C2354" s="26" t="s">
        <v>22</v>
      </c>
      <c r="D2354" s="24" t="str">
        <f>_xll.DBRW("TM1-S1_DEV:}ElementAttributes_SP_SKU",$F2354,D$1)</f>
        <v>Primary</v>
      </c>
      <c r="E2354" s="24" t="str">
        <f>_xll.DBRW("TM1-S1_DEV:}ElementAttributes_SP_SKU",$F2354,E$1)</f>
        <v>DESSERT</v>
      </c>
      <c r="F2354" s="26" t="s">
        <v>3140</v>
      </c>
      <c r="G2354" s="26" t="s">
        <v>2072</v>
      </c>
      <c r="H2354" s="26" t="s">
        <v>2681</v>
      </c>
      <c r="I2354" s="54">
        <f>_xll.DBRW($A$1,$F$14,$F$15,$C2354,$A$2,$F2354,$G2354,$H2354,I$1)</f>
        <v>26</v>
      </c>
      <c r="J2354" s="25">
        <f>_xll.DBRW($A$1,$F$14,$F$15,$C2354,$A$2,$F2354,$G2354,$H2354,J$19)</f>
        <v>18</v>
      </c>
    </row>
    <row r="2355" spans="1:10" s="23" customFormat="1" outlineLevel="1" thickBot="1" x14ac:dyDescent="0.3">
      <c r="A2355" s="44"/>
      <c r="B2355" s="31" t="str">
        <f>IF(_xll.TM1RPTELISCONSOLIDATED($H$20,$H2355),IF(_xll.TM1RPTELLEV($H$20,$H2355)&lt;=5,_xll.TM1RPTELLEV($H$20,$H2355),"Default"),"Leaf")</f>
        <v>Leaf</v>
      </c>
      <c r="C2355" s="26" t="s">
        <v>22</v>
      </c>
      <c r="D2355" s="24" t="str">
        <f>_xll.DBRW("TM1-S1_DEV:}ElementAttributes_SP_SKU",$F2355,D$1)</f>
        <v>Primary</v>
      </c>
      <c r="E2355" s="24" t="str">
        <f>_xll.DBRW("TM1-S1_DEV:}ElementAttributes_SP_SKU",$F2355,E$1)</f>
        <v>CAKE</v>
      </c>
      <c r="F2355" s="26" t="s">
        <v>3142</v>
      </c>
      <c r="G2355" s="26" t="s">
        <v>2074</v>
      </c>
      <c r="H2355" s="26" t="s">
        <v>2682</v>
      </c>
      <c r="I2355" s="54">
        <f>_xll.DBRW($A$1,$F$14,$F$15,$C2355,$A$2,$F2355,$G2355,$H2355,I$1)</f>
        <v>19</v>
      </c>
      <c r="J2355" s="25">
        <f>_xll.DBRW($A$1,$F$14,$F$15,$C2355,$A$2,$F2355,$G2355,$H2355,J$19)</f>
        <v>12</v>
      </c>
    </row>
    <row r="2356" spans="1:10" s="23" customFormat="1" outlineLevel="1" thickBot="1" x14ac:dyDescent="0.3">
      <c r="A2356" s="44"/>
      <c r="B2356" s="31" t="str">
        <f>IF(_xll.TM1RPTELISCONSOLIDATED($H$20,$H2356),IF(_xll.TM1RPTELLEV($H$20,$H2356)&lt;=5,_xll.TM1RPTELLEV($H$20,$H2356),"Default"),"Leaf")</f>
        <v>Leaf</v>
      </c>
      <c r="C2356" s="26" t="s">
        <v>22</v>
      </c>
      <c r="D2356" s="24" t="str">
        <f>_xll.DBRW("TM1-S1_DEV:}ElementAttributes_SP_SKU",$F2356,D$1)</f>
        <v>Primary</v>
      </c>
      <c r="E2356" s="24" t="str">
        <f>_xll.DBRW("TM1-S1_DEV:}ElementAttributes_SP_SKU",$F2356,E$1)</f>
        <v>CAKE</v>
      </c>
      <c r="F2356" s="26" t="s">
        <v>3143</v>
      </c>
      <c r="G2356" s="26" t="s">
        <v>2075</v>
      </c>
      <c r="H2356" s="26" t="s">
        <v>2682</v>
      </c>
      <c r="I2356" s="54">
        <f>_xll.DBRW($A$1,$F$14,$F$15,$C2356,$A$2,$F2356,$G2356,$H2356,I$1)</f>
        <v>20</v>
      </c>
      <c r="J2356" s="25">
        <f>_xll.DBRW($A$1,$F$14,$F$15,$C2356,$A$2,$F2356,$G2356,$H2356,J$19)</f>
        <v>15</v>
      </c>
    </row>
    <row r="2357" spans="1:10" s="23" customFormat="1" outlineLevel="1" thickBot="1" x14ac:dyDescent="0.3">
      <c r="A2357" s="44"/>
      <c r="B2357" s="31" t="str">
        <f>IF(_xll.TM1RPTELISCONSOLIDATED($H$20,$H2357),IF(_xll.TM1RPTELLEV($H$20,$H2357)&lt;=5,_xll.TM1RPTELLEV($H$20,$H2357),"Default"),"Leaf")</f>
        <v>Leaf</v>
      </c>
      <c r="C2357" s="26" t="s">
        <v>22</v>
      </c>
      <c r="D2357" s="24" t="str">
        <f>_xll.DBRW("TM1-S1_DEV:}ElementAttributes_SP_SKU",$F2357,D$1)</f>
        <v>Primary</v>
      </c>
      <c r="E2357" s="24" t="str">
        <f>_xll.DBRW("TM1-S1_DEV:}ElementAttributes_SP_SKU",$F2357,E$1)</f>
        <v>CAKE</v>
      </c>
      <c r="F2357" s="26" t="s">
        <v>3145</v>
      </c>
      <c r="G2357" s="26" t="s">
        <v>2077</v>
      </c>
      <c r="H2357" s="26" t="s">
        <v>2680</v>
      </c>
      <c r="I2357" s="54">
        <f>_xll.DBRW($A$1,$F$14,$F$15,$C2357,$A$2,$F2357,$G2357,$H2357,I$1)</f>
        <v>2</v>
      </c>
      <c r="J2357" s="25">
        <f>_xll.DBRW($A$1,$F$14,$F$15,$C2357,$A$2,$F2357,$G2357,$H2357,J$19)</f>
        <v>0</v>
      </c>
    </row>
    <row r="2358" spans="1:10" s="23" customFormat="1" outlineLevel="1" thickBot="1" x14ac:dyDescent="0.3">
      <c r="A2358" s="44"/>
      <c r="B2358" s="31" t="str">
        <f>IF(_xll.TM1RPTELISCONSOLIDATED($H$20,$H2358),IF(_xll.TM1RPTELLEV($H$20,$H2358)&lt;=5,_xll.TM1RPTELLEV($H$20,$H2358),"Default"),"Leaf")</f>
        <v>Leaf</v>
      </c>
      <c r="C2358" s="26" t="s">
        <v>22</v>
      </c>
      <c r="D2358" s="24" t="str">
        <f>_xll.DBRW("TM1-S1_DEV:}ElementAttributes_SP_SKU",$F2358,D$1)</f>
        <v>Primary</v>
      </c>
      <c r="E2358" s="24" t="str">
        <f>_xll.DBRW("TM1-S1_DEV:}ElementAttributes_SP_SKU",$F2358,E$1)</f>
        <v>CAKE</v>
      </c>
      <c r="F2358" s="26" t="s">
        <v>3146</v>
      </c>
      <c r="G2358" s="26" t="s">
        <v>2078</v>
      </c>
      <c r="H2358" s="26" t="s">
        <v>2680</v>
      </c>
      <c r="I2358" s="54">
        <f>_xll.DBRW($A$1,$F$14,$F$15,$C2358,$A$2,$F2358,$G2358,$H2358,I$1)</f>
        <v>58</v>
      </c>
      <c r="J2358" s="25">
        <f>_xll.DBRW($A$1,$F$14,$F$15,$C2358,$A$2,$F2358,$G2358,$H2358,J$19)</f>
        <v>56</v>
      </c>
    </row>
    <row r="2359" spans="1:10" s="23" customFormat="1" outlineLevel="1" thickBot="1" x14ac:dyDescent="0.3">
      <c r="A2359" s="44"/>
      <c r="B2359" s="31" t="str">
        <f>IF(_xll.TM1RPTELISCONSOLIDATED($H$20,$H2359),IF(_xll.TM1RPTELLEV($H$20,$H2359)&lt;=5,_xll.TM1RPTELLEV($H$20,$H2359),"Default"),"Leaf")</f>
        <v>Leaf</v>
      </c>
      <c r="C2359" s="26" t="s">
        <v>22</v>
      </c>
      <c r="D2359" s="24" t="str">
        <f>_xll.DBRW("TM1-S1_DEV:}ElementAttributes_SP_SKU",$F2359,D$1)</f>
        <v>Primary</v>
      </c>
      <c r="E2359" s="24" t="str">
        <f>_xll.DBRW("TM1-S1_DEV:}ElementAttributes_SP_SKU",$F2359,E$1)</f>
        <v>CONDIMENT</v>
      </c>
      <c r="F2359" s="26" t="s">
        <v>3147</v>
      </c>
      <c r="G2359" s="26" t="s">
        <v>2079</v>
      </c>
      <c r="H2359" s="26" t="s">
        <v>2683</v>
      </c>
      <c r="I2359" s="54">
        <f>_xll.DBRW($A$1,$F$14,$F$15,$C2359,$A$2,$F2359,$G2359,$H2359,I$1)</f>
        <v>24</v>
      </c>
      <c r="J2359" s="25">
        <f>_xll.DBRW($A$1,$F$14,$F$15,$C2359,$A$2,$F2359,$G2359,$H2359,J$19)</f>
        <v>21</v>
      </c>
    </row>
    <row r="2360" spans="1:10" s="23" customFormat="1" outlineLevel="1" thickBot="1" x14ac:dyDescent="0.3">
      <c r="A2360" s="44"/>
      <c r="B2360" s="31" t="str">
        <f>IF(_xll.TM1RPTELISCONSOLIDATED($H$20,$H2360),IF(_xll.TM1RPTELLEV($H$20,$H2360)&lt;=5,_xll.TM1RPTELLEV($H$20,$H2360),"Default"),"Leaf")</f>
        <v>Leaf</v>
      </c>
      <c r="C2360" s="26" t="s">
        <v>22</v>
      </c>
      <c r="D2360" s="24" t="str">
        <f>_xll.DBRW("TM1-S1_DEV:}ElementAttributes_SP_SKU",$F2360,D$1)</f>
        <v>Primary</v>
      </c>
      <c r="E2360" s="24" t="str">
        <f>_xll.DBRW("TM1-S1_DEV:}ElementAttributes_SP_SKU",$F2360,E$1)</f>
        <v>CONDIMENT</v>
      </c>
      <c r="F2360" s="26" t="s">
        <v>3148</v>
      </c>
      <c r="G2360" s="26" t="s">
        <v>2080</v>
      </c>
      <c r="H2360" s="26" t="s">
        <v>2684</v>
      </c>
      <c r="I2360" s="54">
        <f>_xll.DBRW($A$1,$F$14,$F$15,$C2360,$A$2,$F2360,$G2360,$H2360,I$1)</f>
        <v>47</v>
      </c>
      <c r="J2360" s="25">
        <f>_xll.DBRW($A$1,$F$14,$F$15,$C2360,$A$2,$F2360,$G2360,$H2360,J$19)</f>
        <v>34</v>
      </c>
    </row>
    <row r="2361" spans="1:10" s="23" customFormat="1" outlineLevel="1" thickBot="1" x14ac:dyDescent="0.3">
      <c r="A2361" s="44"/>
      <c r="B2361" s="31" t="str">
        <f>IF(_xll.TM1RPTELISCONSOLIDATED($H$20,$H2361),IF(_xll.TM1RPTELLEV($H$20,$H2361)&lt;=5,_xll.TM1RPTELLEV($H$20,$H2361),"Default"),"Leaf")</f>
        <v>Leaf</v>
      </c>
      <c r="C2361" s="26" t="s">
        <v>22</v>
      </c>
      <c r="D2361" s="24" t="str">
        <f>_xll.DBRW("TM1-S1_DEV:}ElementAttributes_SP_SKU",$F2361,D$1)</f>
        <v>Primary</v>
      </c>
      <c r="E2361" s="24" t="str">
        <f>_xll.DBRW("TM1-S1_DEV:}ElementAttributes_SP_SKU",$F2361,E$1)</f>
        <v>CONDIMENT</v>
      </c>
      <c r="F2361" s="26" t="s">
        <v>3149</v>
      </c>
      <c r="G2361" s="26" t="s">
        <v>2081</v>
      </c>
      <c r="H2361" s="26" t="s">
        <v>2684</v>
      </c>
      <c r="I2361" s="54">
        <f>_xll.DBRW($A$1,$F$14,$F$15,$C2361,$A$2,$F2361,$G2361,$H2361,I$1)</f>
        <v>25</v>
      </c>
      <c r="J2361" s="25">
        <f>_xll.DBRW($A$1,$F$14,$F$15,$C2361,$A$2,$F2361,$G2361,$H2361,J$19)</f>
        <v>23</v>
      </c>
    </row>
    <row r="2362" spans="1:10" s="23" customFormat="1" outlineLevel="1" thickBot="1" x14ac:dyDescent="0.3">
      <c r="A2362" s="44"/>
      <c r="B2362" s="31" t="str">
        <f>IF(_xll.TM1RPTELISCONSOLIDATED($H$20,$H2362),IF(_xll.TM1RPTELLEV($H$20,$H2362)&lt;=5,_xll.TM1RPTELLEV($H$20,$H2362),"Default"),"Leaf")</f>
        <v>Leaf</v>
      </c>
      <c r="C2362" s="26" t="s">
        <v>22</v>
      </c>
      <c r="D2362" s="24" t="str">
        <f>_xll.DBRW("TM1-S1_DEV:}ElementAttributes_SP_SKU",$F2362,D$1)</f>
        <v>Primary</v>
      </c>
      <c r="E2362" s="24" t="str">
        <f>_xll.DBRW("TM1-S1_DEV:}ElementAttributes_SP_SKU",$F2362,E$1)</f>
        <v>CONDIMENT</v>
      </c>
      <c r="F2362" s="26" t="s">
        <v>3150</v>
      </c>
      <c r="G2362" s="26" t="s">
        <v>2082</v>
      </c>
      <c r="H2362" s="26" t="s">
        <v>2684</v>
      </c>
      <c r="I2362" s="54">
        <f>_xll.DBRW($A$1,$F$14,$F$15,$C2362,$A$2,$F2362,$G2362,$H2362,I$1)</f>
        <v>23</v>
      </c>
      <c r="J2362" s="25">
        <f>_xll.DBRW($A$1,$F$14,$F$15,$C2362,$A$2,$F2362,$G2362,$H2362,J$19)</f>
        <v>13</v>
      </c>
    </row>
    <row r="2363" spans="1:10" s="23" customFormat="1" outlineLevel="1" thickBot="1" x14ac:dyDescent="0.3">
      <c r="A2363" s="44"/>
      <c r="B2363" s="31" t="str">
        <f>IF(_xll.TM1RPTELISCONSOLIDATED($H$20,$H2363),IF(_xll.TM1RPTELLEV($H$20,$H2363)&lt;=5,_xll.TM1RPTELLEV($H$20,$H2363),"Default"),"Leaf")</f>
        <v>Leaf</v>
      </c>
      <c r="C2363" s="26" t="s">
        <v>22</v>
      </c>
      <c r="D2363" s="24" t="str">
        <f>_xll.DBRW("TM1-S1_DEV:}ElementAttributes_SP_SKU",$F2363,D$1)</f>
        <v>Primary</v>
      </c>
      <c r="E2363" s="24" t="str">
        <f>_xll.DBRW("TM1-S1_DEV:}ElementAttributes_SP_SKU",$F2363,E$1)</f>
        <v>CONDIMENT</v>
      </c>
      <c r="F2363" s="26" t="s">
        <v>3151</v>
      </c>
      <c r="G2363" s="26" t="s">
        <v>2083</v>
      </c>
      <c r="H2363" s="26" t="s">
        <v>2684</v>
      </c>
      <c r="I2363" s="54">
        <f>_xll.DBRW($A$1,$F$14,$F$15,$C2363,$A$2,$F2363,$G2363,$H2363,I$1)</f>
        <v>20</v>
      </c>
      <c r="J2363" s="25">
        <f>_xll.DBRW($A$1,$F$14,$F$15,$C2363,$A$2,$F2363,$G2363,$H2363,J$19)</f>
        <v>13</v>
      </c>
    </row>
    <row r="2364" spans="1:10" s="23" customFormat="1" outlineLevel="1" thickBot="1" x14ac:dyDescent="0.3">
      <c r="A2364" s="44"/>
      <c r="B2364" s="31" t="str">
        <f>IF(_xll.TM1RPTELISCONSOLIDATED($H$20,$H2364),IF(_xll.TM1RPTELLEV($H$20,$H2364)&lt;=5,_xll.TM1RPTELLEV($H$20,$H2364),"Default"),"Leaf")</f>
        <v>Leaf</v>
      </c>
      <c r="C2364" s="26" t="s">
        <v>22</v>
      </c>
      <c r="D2364" s="24" t="str">
        <f>_xll.DBRW("TM1-S1_DEV:}ElementAttributes_SP_SKU",$F2364,D$1)</f>
        <v>Primary</v>
      </c>
      <c r="E2364" s="24" t="str">
        <f>_xll.DBRW("TM1-S1_DEV:}ElementAttributes_SP_SKU",$F2364,E$1)</f>
        <v>CONDIMENT</v>
      </c>
      <c r="F2364" s="26" t="s">
        <v>3152</v>
      </c>
      <c r="G2364" s="26" t="s">
        <v>2084</v>
      </c>
      <c r="H2364" s="26" t="s">
        <v>2684</v>
      </c>
      <c r="I2364" s="54">
        <f>_xll.DBRW($A$1,$F$14,$F$15,$C2364,$A$2,$F2364,$G2364,$H2364,I$1)</f>
        <v>12</v>
      </c>
      <c r="J2364" s="25">
        <f>_xll.DBRW($A$1,$F$14,$F$15,$C2364,$A$2,$F2364,$G2364,$H2364,J$19)</f>
        <v>10</v>
      </c>
    </row>
    <row r="2365" spans="1:10" s="23" customFormat="1" outlineLevel="1" thickBot="1" x14ac:dyDescent="0.3">
      <c r="A2365" s="44"/>
      <c r="B2365" s="31" t="str">
        <f>IF(_xll.TM1RPTELISCONSOLIDATED($H$20,$H2365),IF(_xll.TM1RPTELLEV($H$20,$H2365)&lt;=5,_xll.TM1RPTELLEV($H$20,$H2365),"Default"),"Leaf")</f>
        <v>Leaf</v>
      </c>
      <c r="C2365" s="26" t="s">
        <v>22</v>
      </c>
      <c r="D2365" s="24" t="str">
        <f>_xll.DBRW("TM1-S1_DEV:}ElementAttributes_SP_SKU",$F2365,D$1)</f>
        <v>Primary</v>
      </c>
      <c r="E2365" s="24" t="str">
        <f>_xll.DBRW("TM1-S1_DEV:}ElementAttributes_SP_SKU",$F2365,E$1)</f>
        <v>CONDIMENT</v>
      </c>
      <c r="F2365" s="26" t="s">
        <v>3153</v>
      </c>
      <c r="G2365" s="26" t="s">
        <v>2085</v>
      </c>
      <c r="H2365" s="26" t="s">
        <v>2684</v>
      </c>
      <c r="I2365" s="54">
        <f>_xll.DBRW($A$1,$F$14,$F$15,$C2365,$A$2,$F2365,$G2365,$H2365,I$1)</f>
        <v>10</v>
      </c>
      <c r="J2365" s="25">
        <f>_xll.DBRW($A$1,$F$14,$F$15,$C2365,$A$2,$F2365,$G2365,$H2365,J$19)</f>
        <v>9</v>
      </c>
    </row>
    <row r="2366" spans="1:10" s="23" customFormat="1" outlineLevel="1" thickBot="1" x14ac:dyDescent="0.3">
      <c r="A2366" s="44"/>
      <c r="B2366" s="31" t="str">
        <f>IF(_xll.TM1RPTELISCONSOLIDATED($H$20,$H2366),IF(_xll.TM1RPTELLEV($H$20,$H2366)&lt;=5,_xll.TM1RPTELLEV($H$20,$H2366),"Default"),"Leaf")</f>
        <v>Leaf</v>
      </c>
      <c r="C2366" s="26" t="s">
        <v>22</v>
      </c>
      <c r="D2366" s="24" t="str">
        <f>_xll.DBRW("TM1-S1_DEV:}ElementAttributes_SP_SKU",$F2366,D$1)</f>
        <v>Primary</v>
      </c>
      <c r="E2366" s="24" t="str">
        <f>_xll.DBRW("TM1-S1_DEV:}ElementAttributes_SP_SKU",$F2366,E$1)</f>
        <v>CONDIMENT</v>
      </c>
      <c r="F2366" s="26" t="s">
        <v>3154</v>
      </c>
      <c r="G2366" s="26" t="s">
        <v>2086</v>
      </c>
      <c r="H2366" s="26" t="s">
        <v>2684</v>
      </c>
      <c r="I2366" s="54">
        <f>_xll.DBRW($A$1,$F$14,$F$15,$C2366,$A$2,$F2366,$G2366,$H2366,I$1)</f>
        <v>60</v>
      </c>
      <c r="J2366" s="25">
        <f>_xll.DBRW($A$1,$F$14,$F$15,$C2366,$A$2,$F2366,$G2366,$H2366,J$19)</f>
        <v>37</v>
      </c>
    </row>
    <row r="2367" spans="1:10" s="23" customFormat="1" outlineLevel="1" thickBot="1" x14ac:dyDescent="0.3">
      <c r="A2367" s="44"/>
      <c r="B2367" s="31" t="str">
        <f>IF(_xll.TM1RPTELISCONSOLIDATED($H$20,$H2367),IF(_xll.TM1RPTELLEV($H$20,$H2367)&lt;=5,_xll.TM1RPTELLEV($H$20,$H2367),"Default"),"Leaf")</f>
        <v>Leaf</v>
      </c>
      <c r="C2367" s="26" t="s">
        <v>22</v>
      </c>
      <c r="D2367" s="24" t="str">
        <f>_xll.DBRW("TM1-S1_DEV:}ElementAttributes_SP_SKU",$F2367,D$1)</f>
        <v>Primary</v>
      </c>
      <c r="E2367" s="24" t="str">
        <f>_xll.DBRW("TM1-S1_DEV:}ElementAttributes_SP_SKU",$F2367,E$1)</f>
        <v>DRESSING</v>
      </c>
      <c r="F2367" s="26" t="s">
        <v>3155</v>
      </c>
      <c r="G2367" s="26" t="s">
        <v>2087</v>
      </c>
      <c r="H2367" s="26" t="s">
        <v>2685</v>
      </c>
      <c r="I2367" s="54">
        <f>_xll.DBRW($A$1,$F$14,$F$15,$C2367,$A$2,$F2367,$G2367,$H2367,I$1)</f>
        <v>7</v>
      </c>
      <c r="J2367" s="25">
        <f>_xll.DBRW($A$1,$F$14,$F$15,$C2367,$A$2,$F2367,$G2367,$H2367,J$19)</f>
        <v>5</v>
      </c>
    </row>
    <row r="2368" spans="1:10" s="23" customFormat="1" outlineLevel="1" thickBot="1" x14ac:dyDescent="0.3">
      <c r="A2368" s="44"/>
      <c r="B2368" s="31" t="str">
        <f>IF(_xll.TM1RPTELISCONSOLIDATED($H$20,$H2368),IF(_xll.TM1RPTELLEV($H$20,$H2368)&lt;=5,_xll.TM1RPTELLEV($H$20,$H2368),"Default"),"Leaf")</f>
        <v>Leaf</v>
      </c>
      <c r="C2368" s="26" t="s">
        <v>22</v>
      </c>
      <c r="D2368" s="24" t="str">
        <f>_xll.DBRW("TM1-S1_DEV:}ElementAttributes_SP_SKU",$F2368,D$1)</f>
        <v>Primary</v>
      </c>
      <c r="E2368" s="24" t="str">
        <f>_xll.DBRW("TM1-S1_DEV:}ElementAttributes_SP_SKU",$F2368,E$1)</f>
        <v>DRESSING</v>
      </c>
      <c r="F2368" s="26" t="s">
        <v>3156</v>
      </c>
      <c r="G2368" s="26" t="s">
        <v>2088</v>
      </c>
      <c r="H2368" s="26" t="s">
        <v>2685</v>
      </c>
      <c r="I2368" s="54">
        <f>_xll.DBRW($A$1,$F$14,$F$15,$C2368,$A$2,$F2368,$G2368,$H2368,I$1)</f>
        <v>12</v>
      </c>
      <c r="J2368" s="25">
        <f>_xll.DBRW($A$1,$F$14,$F$15,$C2368,$A$2,$F2368,$G2368,$H2368,J$19)</f>
        <v>12</v>
      </c>
    </row>
    <row r="2369" spans="1:10" s="23" customFormat="1" outlineLevel="1" thickBot="1" x14ac:dyDescent="0.3">
      <c r="A2369" s="44"/>
      <c r="B2369" s="31" t="str">
        <f>IF(_xll.TM1RPTELISCONSOLIDATED($H$20,$H2369),IF(_xll.TM1RPTELLEV($H$20,$H2369)&lt;=5,_xll.TM1RPTELLEV($H$20,$H2369),"Default"),"Leaf")</f>
        <v>Leaf</v>
      </c>
      <c r="C2369" s="26" t="s">
        <v>22</v>
      </c>
      <c r="D2369" s="24" t="str">
        <f>_xll.DBRW("TM1-S1_DEV:}ElementAttributes_SP_SKU",$F2369,D$1)</f>
        <v>Primary</v>
      </c>
      <c r="E2369" s="24" t="str">
        <f>_xll.DBRW("TM1-S1_DEV:}ElementAttributes_SP_SKU",$F2369,E$1)</f>
        <v>DRESSING</v>
      </c>
      <c r="F2369" s="26" t="s">
        <v>3157</v>
      </c>
      <c r="G2369" s="26" t="s">
        <v>2089</v>
      </c>
      <c r="H2369" s="26" t="s">
        <v>2685</v>
      </c>
      <c r="I2369" s="54">
        <f>_xll.DBRW($A$1,$F$14,$F$15,$C2369,$A$2,$F2369,$G2369,$H2369,I$1)</f>
        <v>13</v>
      </c>
      <c r="J2369" s="25">
        <f>_xll.DBRW($A$1,$F$14,$F$15,$C2369,$A$2,$F2369,$G2369,$H2369,J$19)</f>
        <v>13</v>
      </c>
    </row>
    <row r="2370" spans="1:10" s="23" customFormat="1" outlineLevel="1" thickBot="1" x14ac:dyDescent="0.3">
      <c r="A2370" s="44"/>
      <c r="B2370" s="31" t="str">
        <f>IF(_xll.TM1RPTELISCONSOLIDATED($H$20,$H2370),IF(_xll.TM1RPTELLEV($H$20,$H2370)&lt;=5,_xll.TM1RPTELLEV($H$20,$H2370),"Default"),"Leaf")</f>
        <v>Leaf</v>
      </c>
      <c r="C2370" s="26" t="s">
        <v>22</v>
      </c>
      <c r="D2370" s="24" t="str">
        <f>_xll.DBRW("TM1-S1_DEV:}ElementAttributes_SP_SKU",$F2370,D$1)</f>
        <v>Primary</v>
      </c>
      <c r="E2370" s="24" t="str">
        <f>_xll.DBRW("TM1-S1_DEV:}ElementAttributes_SP_SKU",$F2370,E$1)</f>
        <v>INGREDIENT</v>
      </c>
      <c r="F2370" s="26" t="s">
        <v>3296</v>
      </c>
      <c r="G2370" s="26" t="s">
        <v>2090</v>
      </c>
      <c r="H2370" s="26" t="s">
        <v>2685</v>
      </c>
      <c r="I2370" s="54">
        <f>_xll.DBRW($A$1,$F$14,$F$15,$C2370,$A$2,$F2370,$G2370,$H2370,I$1)</f>
        <v>2</v>
      </c>
      <c r="J2370" s="25">
        <f>_xll.DBRW($A$1,$F$14,$F$15,$C2370,$A$2,$F2370,$G2370,$H2370,J$19)</f>
        <v>2</v>
      </c>
    </row>
    <row r="2371" spans="1:10" s="23" customFormat="1" outlineLevel="1" thickBot="1" x14ac:dyDescent="0.3">
      <c r="A2371" s="44"/>
      <c r="B2371" s="31" t="str">
        <f>IF(_xll.TM1RPTELISCONSOLIDATED($H$20,$H2371),IF(_xll.TM1RPTELLEV($H$20,$H2371)&lt;=5,_xll.TM1RPTELLEV($H$20,$H2371),"Default"),"Leaf")</f>
        <v>Leaf</v>
      </c>
      <c r="C2371" s="26" t="s">
        <v>22</v>
      </c>
      <c r="D2371" s="24" t="str">
        <f>_xll.DBRW("TM1-S1_DEV:}ElementAttributes_SP_SKU",$F2371,D$1)</f>
        <v>Primary</v>
      </c>
      <c r="E2371" s="24" t="str">
        <f>_xll.DBRW("TM1-S1_DEV:}ElementAttributes_SP_SKU",$F2371,E$1)</f>
        <v>DRESSING</v>
      </c>
      <c r="F2371" s="26" t="s">
        <v>3158</v>
      </c>
      <c r="G2371" s="26" t="s">
        <v>2091</v>
      </c>
      <c r="H2371" s="26" t="s">
        <v>2685</v>
      </c>
      <c r="I2371" s="54">
        <f>_xll.DBRW($A$1,$F$14,$F$15,$C2371,$A$2,$F2371,$G2371,$H2371,I$1)</f>
        <v>15</v>
      </c>
      <c r="J2371" s="25">
        <f>_xll.DBRW($A$1,$F$14,$F$15,$C2371,$A$2,$F2371,$G2371,$H2371,J$19)</f>
        <v>15</v>
      </c>
    </row>
    <row r="2372" spans="1:10" s="23" customFormat="1" outlineLevel="1" thickBot="1" x14ac:dyDescent="0.3">
      <c r="A2372" s="44"/>
      <c r="B2372" s="31" t="str">
        <f>IF(_xll.TM1RPTELISCONSOLIDATED($H$20,$H2372),IF(_xll.TM1RPTELLEV($H$20,$H2372)&lt;=5,_xll.TM1RPTELLEV($H$20,$H2372),"Default"),"Leaf")</f>
        <v>Leaf</v>
      </c>
      <c r="C2372" s="26" t="s">
        <v>22</v>
      </c>
      <c r="D2372" s="24" t="str">
        <f>_xll.DBRW("TM1-S1_DEV:}ElementAttributes_SP_SKU",$F2372,D$1)</f>
        <v>Primary</v>
      </c>
      <c r="E2372" s="24" t="str">
        <f>_xll.DBRW("TM1-S1_DEV:}ElementAttributes_SP_SKU",$F2372,E$1)</f>
        <v>DRESSING</v>
      </c>
      <c r="F2372" s="26" t="s">
        <v>3159</v>
      </c>
      <c r="G2372" s="26" t="s">
        <v>2092</v>
      </c>
      <c r="H2372" s="26" t="s">
        <v>2685</v>
      </c>
      <c r="I2372" s="54">
        <f>_xll.DBRW($A$1,$F$14,$F$15,$C2372,$A$2,$F2372,$G2372,$H2372,I$1)</f>
        <v>9</v>
      </c>
      <c r="J2372" s="25">
        <f>_xll.DBRW($A$1,$F$14,$F$15,$C2372,$A$2,$F2372,$G2372,$H2372,J$19)</f>
        <v>9</v>
      </c>
    </row>
    <row r="2373" spans="1:10" s="23" customFormat="1" outlineLevel="1" thickBot="1" x14ac:dyDescent="0.3">
      <c r="A2373" s="44"/>
      <c r="B2373" s="31" t="str">
        <f>IF(_xll.TM1RPTELISCONSOLIDATED($H$20,$H2373),IF(_xll.TM1RPTELLEV($H$20,$H2373)&lt;=5,_xll.TM1RPTELLEV($H$20,$H2373),"Default"),"Leaf")</f>
        <v>Leaf</v>
      </c>
      <c r="C2373" s="26" t="s">
        <v>22</v>
      </c>
      <c r="D2373" s="24" t="str">
        <f>_xll.DBRW("TM1-S1_DEV:}ElementAttributes_SP_SKU",$F2373,D$1)</f>
        <v>Primary</v>
      </c>
      <c r="E2373" s="24" t="str">
        <f>_xll.DBRW("TM1-S1_DEV:}ElementAttributes_SP_SKU",$F2373,E$1)</f>
        <v>DRESSING</v>
      </c>
      <c r="F2373" s="26" t="s">
        <v>3160</v>
      </c>
      <c r="G2373" s="26" t="s">
        <v>2093</v>
      </c>
      <c r="H2373" s="26" t="s">
        <v>2686</v>
      </c>
      <c r="I2373" s="54">
        <f>_xll.DBRW($A$1,$F$14,$F$15,$C2373,$A$2,$F2373,$G2373,$H2373,I$1)</f>
        <v>16</v>
      </c>
      <c r="J2373" s="25">
        <f>_xll.DBRW($A$1,$F$14,$F$15,$C2373,$A$2,$F2373,$G2373,$H2373,J$19)</f>
        <v>16</v>
      </c>
    </row>
    <row r="2374" spans="1:10" s="23" customFormat="1" outlineLevel="1" thickBot="1" x14ac:dyDescent="0.3">
      <c r="A2374" s="44"/>
      <c r="B2374" s="31" t="str">
        <f>IF(_xll.TM1RPTELISCONSOLIDATED($H$20,$H2374),IF(_xll.TM1RPTELLEV($H$20,$H2374)&lt;=5,_xll.TM1RPTELLEV($H$20,$H2374),"Default"),"Leaf")</f>
        <v>Leaf</v>
      </c>
      <c r="C2374" s="26" t="s">
        <v>22</v>
      </c>
      <c r="D2374" s="24" t="str">
        <f>_xll.DBRW("TM1-S1_DEV:}ElementAttributes_SP_SKU",$F2374,D$1)</f>
        <v>Primary</v>
      </c>
      <c r="E2374" s="24" t="str">
        <f>_xll.DBRW("TM1-S1_DEV:}ElementAttributes_SP_SKU",$F2374,E$1)</f>
        <v>DRESSING</v>
      </c>
      <c r="F2374" s="26" t="s">
        <v>3161</v>
      </c>
      <c r="G2374" s="26" t="s">
        <v>2094</v>
      </c>
      <c r="H2374" s="26" t="s">
        <v>2685</v>
      </c>
      <c r="I2374" s="54">
        <f>_xll.DBRW($A$1,$F$14,$F$15,$C2374,$A$2,$F2374,$G2374,$H2374,I$1)</f>
        <v>14</v>
      </c>
      <c r="J2374" s="25">
        <f>_xll.DBRW($A$1,$F$14,$F$15,$C2374,$A$2,$F2374,$G2374,$H2374,J$19)</f>
        <v>14</v>
      </c>
    </row>
    <row r="2375" spans="1:10" s="23" customFormat="1" outlineLevel="1" thickBot="1" x14ac:dyDescent="0.3">
      <c r="A2375" s="44"/>
      <c r="B2375" s="31" t="str">
        <f>IF(_xll.TM1RPTELISCONSOLIDATED($H$20,$H2375),IF(_xll.TM1RPTELLEV($H$20,$H2375)&lt;=5,_xll.TM1RPTELLEV($H$20,$H2375),"Default"),"Leaf")</f>
        <v>Leaf</v>
      </c>
      <c r="C2375" s="26" t="s">
        <v>22</v>
      </c>
      <c r="D2375" s="24" t="str">
        <f>_xll.DBRW("TM1-S1_DEV:}ElementAttributes_SP_SKU",$F2375,D$1)</f>
        <v>Primary</v>
      </c>
      <c r="E2375" s="24" t="str">
        <f>_xll.DBRW("TM1-S1_DEV:}ElementAttributes_SP_SKU",$F2375,E$1)</f>
        <v>INGREDIENT</v>
      </c>
      <c r="F2375" s="26" t="s">
        <v>3273</v>
      </c>
      <c r="G2375" s="26" t="s">
        <v>2095</v>
      </c>
      <c r="H2375" s="26" t="s">
        <v>2684</v>
      </c>
      <c r="I2375" s="54">
        <f>_xll.DBRW($A$1,$F$14,$F$15,$C2375,$A$2,$F2375,$G2375,$H2375,I$1)</f>
        <v>4</v>
      </c>
      <c r="J2375" s="25">
        <f>_xll.DBRW($A$1,$F$14,$F$15,$C2375,$A$2,$F2375,$G2375,$H2375,J$19)</f>
        <v>4</v>
      </c>
    </row>
    <row r="2376" spans="1:10" s="23" customFormat="1" outlineLevel="1" thickBot="1" x14ac:dyDescent="0.3">
      <c r="A2376" s="44"/>
      <c r="B2376" s="31" t="str">
        <f>IF(_xll.TM1RPTELISCONSOLIDATED($H$20,$H2376),IF(_xll.TM1RPTELLEV($H$20,$H2376)&lt;=5,_xll.TM1RPTELLEV($H$20,$H2376),"Default"),"Leaf")</f>
        <v>Leaf</v>
      </c>
      <c r="C2376" s="26" t="s">
        <v>22</v>
      </c>
      <c r="D2376" s="24" t="str">
        <f>_xll.DBRW("TM1-S1_DEV:}ElementAttributes_SP_SKU",$F2376,D$1)</f>
        <v>Primary</v>
      </c>
      <c r="E2376" s="24" t="str">
        <f>_xll.DBRW("TM1-S1_DEV:}ElementAttributes_SP_SKU",$F2376,E$1)</f>
        <v>CONDIMENT</v>
      </c>
      <c r="F2376" s="26" t="s">
        <v>3162</v>
      </c>
      <c r="G2376" s="26" t="s">
        <v>2096</v>
      </c>
      <c r="H2376" s="26" t="s">
        <v>2686</v>
      </c>
      <c r="I2376" s="54">
        <f>_xll.DBRW($A$1,$F$14,$F$15,$C2376,$A$2,$F2376,$G2376,$H2376,I$1)</f>
        <v>7</v>
      </c>
      <c r="J2376" s="25">
        <f>_xll.DBRW($A$1,$F$14,$F$15,$C2376,$A$2,$F2376,$G2376,$H2376,J$19)</f>
        <v>7</v>
      </c>
    </row>
    <row r="2377" spans="1:10" s="23" customFormat="1" outlineLevel="1" thickBot="1" x14ac:dyDescent="0.3">
      <c r="A2377" s="44"/>
      <c r="B2377" s="31" t="str">
        <f>IF(_xll.TM1RPTELISCONSOLIDATED($H$20,$H2377),IF(_xll.TM1RPTELLEV($H$20,$H2377)&lt;=5,_xll.TM1RPTELLEV($H$20,$H2377),"Default"),"Leaf")</f>
        <v>Leaf</v>
      </c>
      <c r="C2377" s="26" t="s">
        <v>22</v>
      </c>
      <c r="D2377" s="24" t="str">
        <f>_xll.DBRW("TM1-S1_DEV:}ElementAttributes_SP_SKU",$F2377,D$1)</f>
        <v>Primary</v>
      </c>
      <c r="E2377" s="24" t="str">
        <f>_xll.DBRW("TM1-S1_DEV:}ElementAttributes_SP_SKU",$F2377,E$1)</f>
        <v>BREAD</v>
      </c>
      <c r="F2377" s="26" t="s">
        <v>3163</v>
      </c>
      <c r="G2377" s="26" t="s">
        <v>2097</v>
      </c>
      <c r="H2377" s="26" t="s">
        <v>2687</v>
      </c>
      <c r="I2377" s="54">
        <f>_xll.DBRW($A$1,$F$14,$F$15,$C2377,$A$2,$F2377,$G2377,$H2377,I$1)</f>
        <v>37</v>
      </c>
      <c r="J2377" s="25">
        <f>_xll.DBRW($A$1,$F$14,$F$15,$C2377,$A$2,$F2377,$G2377,$H2377,J$19)</f>
        <v>32</v>
      </c>
    </row>
    <row r="2378" spans="1:10" s="23" customFormat="1" outlineLevel="1" thickBot="1" x14ac:dyDescent="0.3">
      <c r="A2378" s="44"/>
      <c r="B2378" s="31" t="str">
        <f>IF(_xll.TM1RPTELISCONSOLIDATED($H$20,$H2378),IF(_xll.TM1RPTELLEV($H$20,$H2378)&lt;=5,_xll.TM1RPTELLEV($H$20,$H2378),"Default"),"Leaf")</f>
        <v>Leaf</v>
      </c>
      <c r="C2378" s="26" t="s">
        <v>22</v>
      </c>
      <c r="D2378" s="24" t="str">
        <f>_xll.DBRW("TM1-S1_DEV:}ElementAttributes_SP_SKU",$F2378,D$1)</f>
        <v>Primary</v>
      </c>
      <c r="E2378" s="24" t="str">
        <f>_xll.DBRW("TM1-S1_DEV:}ElementAttributes_SP_SKU",$F2378,E$1)</f>
        <v>BREAD</v>
      </c>
      <c r="F2378" s="26" t="s">
        <v>3164</v>
      </c>
      <c r="G2378" s="26" t="s">
        <v>2098</v>
      </c>
      <c r="H2378" s="26" t="s">
        <v>2687</v>
      </c>
      <c r="I2378" s="54">
        <f>_xll.DBRW($A$1,$F$14,$F$15,$C2378,$A$2,$F2378,$G2378,$H2378,I$1)</f>
        <v>53</v>
      </c>
      <c r="J2378" s="25">
        <f>_xll.DBRW($A$1,$F$14,$F$15,$C2378,$A$2,$F2378,$G2378,$H2378,J$19)</f>
        <v>42</v>
      </c>
    </row>
    <row r="2379" spans="1:10" s="23" customFormat="1" outlineLevel="1" thickBot="1" x14ac:dyDescent="0.3">
      <c r="A2379" s="44"/>
      <c r="B2379" s="31" t="str">
        <f>IF(_xll.TM1RPTELISCONSOLIDATED($H$20,$H2379),IF(_xll.TM1RPTELLEV($H$20,$H2379)&lt;=5,_xll.TM1RPTELLEV($H$20,$H2379),"Default"),"Leaf")</f>
        <v>Leaf</v>
      </c>
      <c r="C2379" s="26" t="s">
        <v>22</v>
      </c>
      <c r="D2379" s="24" t="str">
        <f>_xll.DBRW("TM1-S1_DEV:}ElementAttributes_SP_SKU",$F2379,D$1)</f>
        <v>Primary</v>
      </c>
      <c r="E2379" s="24" t="str">
        <f>_xll.DBRW("TM1-S1_DEV:}ElementAttributes_SP_SKU",$F2379,E$1)</f>
        <v>BREAD</v>
      </c>
      <c r="F2379" s="26" t="s">
        <v>3165</v>
      </c>
      <c r="G2379" s="26" t="s">
        <v>2099</v>
      </c>
      <c r="H2379" s="26" t="s">
        <v>2688</v>
      </c>
      <c r="I2379" s="54">
        <f>_xll.DBRW($A$1,$F$14,$F$15,$C2379,$A$2,$F2379,$G2379,$H2379,I$1)</f>
        <v>161</v>
      </c>
      <c r="J2379" s="25">
        <f>_xll.DBRW($A$1,$F$14,$F$15,$C2379,$A$2,$F2379,$G2379,$H2379,J$19)</f>
        <v>109</v>
      </c>
    </row>
    <row r="2380" spans="1:10" s="23" customFormat="1" outlineLevel="1" thickBot="1" x14ac:dyDescent="0.3">
      <c r="A2380" s="44"/>
      <c r="B2380" s="31" t="str">
        <f>IF(_xll.TM1RPTELISCONSOLIDATED($H$20,$H2380),IF(_xll.TM1RPTELLEV($H$20,$H2380)&lt;=5,_xll.TM1RPTELLEV($H$20,$H2380),"Default"),"Leaf")</f>
        <v>Leaf</v>
      </c>
      <c r="C2380" s="26" t="s">
        <v>22</v>
      </c>
      <c r="D2380" s="24" t="str">
        <f>_xll.DBRW("TM1-S1_DEV:}ElementAttributes_SP_SKU",$F2380,D$1)</f>
        <v>Primary</v>
      </c>
      <c r="E2380" s="24" t="str">
        <f>_xll.DBRW("TM1-S1_DEV:}ElementAttributes_SP_SKU",$F2380,E$1)</f>
        <v>BREAD</v>
      </c>
      <c r="F2380" s="26" t="s">
        <v>3166</v>
      </c>
      <c r="G2380" s="26" t="s">
        <v>2100</v>
      </c>
      <c r="H2380" s="26" t="s">
        <v>2689</v>
      </c>
      <c r="I2380" s="54">
        <f>_xll.DBRW($A$1,$F$14,$F$15,$C2380,$A$2,$F2380,$G2380,$H2380,I$1)</f>
        <v>58</v>
      </c>
      <c r="J2380" s="25">
        <f>_xll.DBRW($A$1,$F$14,$F$15,$C2380,$A$2,$F2380,$G2380,$H2380,J$19)</f>
        <v>52</v>
      </c>
    </row>
    <row r="2381" spans="1:10" s="23" customFormat="1" outlineLevel="1" thickBot="1" x14ac:dyDescent="0.3">
      <c r="A2381" s="44"/>
      <c r="B2381" s="31" t="str">
        <f>IF(_xll.TM1RPTELISCONSOLIDATED($H$20,$H2381),IF(_xll.TM1RPTELLEV($H$20,$H2381)&lt;=5,_xll.TM1RPTELLEV($H$20,$H2381),"Default"),"Leaf")</f>
        <v>Leaf</v>
      </c>
      <c r="C2381" s="26" t="s">
        <v>22</v>
      </c>
      <c r="D2381" s="24" t="str">
        <f>_xll.DBRW("TM1-S1_DEV:}ElementAttributes_SP_SKU",$F2381,D$1)</f>
        <v>Primary</v>
      </c>
      <c r="E2381" s="24" t="str">
        <f>_xll.DBRW("TM1-S1_DEV:}ElementAttributes_SP_SKU",$F2381,E$1)</f>
        <v>BREAD</v>
      </c>
      <c r="F2381" s="26" t="s">
        <v>3167</v>
      </c>
      <c r="G2381" s="26" t="s">
        <v>2101</v>
      </c>
      <c r="H2381" s="26" t="s">
        <v>2688</v>
      </c>
      <c r="I2381" s="54">
        <f>_xll.DBRW($A$1,$F$14,$F$15,$C2381,$A$2,$F2381,$G2381,$H2381,I$1)</f>
        <v>36</v>
      </c>
      <c r="J2381" s="25">
        <f>_xll.DBRW($A$1,$F$14,$F$15,$C2381,$A$2,$F2381,$G2381,$H2381,J$19)</f>
        <v>33</v>
      </c>
    </row>
    <row r="2382" spans="1:10" s="23" customFormat="1" outlineLevel="1" thickBot="1" x14ac:dyDescent="0.3">
      <c r="A2382" s="44"/>
      <c r="B2382" s="31" t="str">
        <f>IF(_xll.TM1RPTELISCONSOLIDATED($H$20,$H2382),IF(_xll.TM1RPTELLEV($H$20,$H2382)&lt;=5,_xll.TM1RPTELLEV($H$20,$H2382),"Default"),"Leaf")</f>
        <v>Leaf</v>
      </c>
      <c r="C2382" s="26" t="s">
        <v>22</v>
      </c>
      <c r="D2382" s="24" t="str">
        <f>_xll.DBRW("TM1-S1_DEV:}ElementAttributes_SP_SKU",$F2382,D$1)</f>
        <v>Primary</v>
      </c>
      <c r="E2382" s="24" t="str">
        <f>_xll.DBRW("TM1-S1_DEV:}ElementAttributes_SP_SKU",$F2382,E$1)</f>
        <v>BREAD</v>
      </c>
      <c r="F2382" s="26" t="s">
        <v>3168</v>
      </c>
      <c r="G2382" s="26" t="s">
        <v>2102</v>
      </c>
      <c r="H2382" s="26" t="s">
        <v>2688</v>
      </c>
      <c r="I2382" s="54">
        <f>_xll.DBRW($A$1,$F$14,$F$15,$C2382,$A$2,$F2382,$G2382,$H2382,I$1)</f>
        <v>46</v>
      </c>
      <c r="J2382" s="25">
        <f>_xll.DBRW($A$1,$F$14,$F$15,$C2382,$A$2,$F2382,$G2382,$H2382,J$19)</f>
        <v>41</v>
      </c>
    </row>
    <row r="2383" spans="1:10" s="23" customFormat="1" outlineLevel="1" thickBot="1" x14ac:dyDescent="0.3">
      <c r="A2383" s="44"/>
      <c r="B2383" s="31" t="str">
        <f>IF(_xll.TM1RPTELISCONSOLIDATED($H$20,$H2383),IF(_xll.TM1RPTELLEV($H$20,$H2383)&lt;=5,_xll.TM1RPTELLEV($H$20,$H2383),"Default"),"Leaf")</f>
        <v>Leaf</v>
      </c>
      <c r="C2383" s="26" t="s">
        <v>22</v>
      </c>
      <c r="D2383" s="24" t="str">
        <f>_xll.DBRW("TM1-S1_DEV:}ElementAttributes_SP_SKU",$F2383,D$1)</f>
        <v>Primary</v>
      </c>
      <c r="E2383" s="24" t="str">
        <f>_xll.DBRW("TM1-S1_DEV:}ElementAttributes_SP_SKU",$F2383,E$1)</f>
        <v>BREAD</v>
      </c>
      <c r="F2383" s="26" t="s">
        <v>3169</v>
      </c>
      <c r="G2383" s="26" t="s">
        <v>2103</v>
      </c>
      <c r="H2383" s="26" t="s">
        <v>2690</v>
      </c>
      <c r="I2383" s="54">
        <f>_xll.DBRW($A$1,$F$14,$F$15,$C2383,$A$2,$F2383,$G2383,$H2383,I$1)</f>
        <v>55</v>
      </c>
      <c r="J2383" s="25">
        <f>_xll.DBRW($A$1,$F$14,$F$15,$C2383,$A$2,$F2383,$G2383,$H2383,J$19)</f>
        <v>47</v>
      </c>
    </row>
    <row r="2384" spans="1:10" s="23" customFormat="1" outlineLevel="1" thickBot="1" x14ac:dyDescent="0.3">
      <c r="A2384" s="44"/>
      <c r="B2384" s="31" t="str">
        <f>IF(_xll.TM1RPTELISCONSOLIDATED($H$20,$H2384),IF(_xll.TM1RPTELLEV($H$20,$H2384)&lt;=5,_xll.TM1RPTELLEV($H$20,$H2384),"Default"),"Leaf")</f>
        <v>Leaf</v>
      </c>
      <c r="C2384" s="26" t="s">
        <v>22</v>
      </c>
      <c r="D2384" s="24" t="str">
        <f>_xll.DBRW("TM1-S1_DEV:}ElementAttributes_SP_SKU",$F2384,D$1)</f>
        <v>Primary</v>
      </c>
      <c r="E2384" s="24" t="str">
        <f>_xll.DBRW("TM1-S1_DEV:}ElementAttributes_SP_SKU",$F2384,E$1)</f>
        <v>BREAD</v>
      </c>
      <c r="F2384" s="26" t="s">
        <v>3170</v>
      </c>
      <c r="G2384" s="26" t="s">
        <v>2104</v>
      </c>
      <c r="H2384" s="26" t="s">
        <v>2690</v>
      </c>
      <c r="I2384" s="54">
        <f>_xll.DBRW($A$1,$F$14,$F$15,$C2384,$A$2,$F2384,$G2384,$H2384,I$1)</f>
        <v>9</v>
      </c>
      <c r="J2384" s="25">
        <f>_xll.DBRW($A$1,$F$14,$F$15,$C2384,$A$2,$F2384,$G2384,$H2384,J$19)</f>
        <v>9</v>
      </c>
    </row>
    <row r="2385" spans="1:10" s="23" customFormat="1" outlineLevel="1" thickBot="1" x14ac:dyDescent="0.3">
      <c r="A2385" s="44"/>
      <c r="B2385" s="31" t="str">
        <f>IF(_xll.TM1RPTELISCONSOLIDATED($H$20,$H2385),IF(_xll.TM1RPTELLEV($H$20,$H2385)&lt;=5,_xll.TM1RPTELLEV($H$20,$H2385),"Default"),"Leaf")</f>
        <v>Leaf</v>
      </c>
      <c r="C2385" s="26" t="s">
        <v>22</v>
      </c>
      <c r="D2385" s="24" t="str">
        <f>_xll.DBRW("TM1-S1_DEV:}ElementAttributes_SP_SKU",$F2385,D$1)</f>
        <v>Primary</v>
      </c>
      <c r="E2385" s="24" t="str">
        <f>_xll.DBRW("TM1-S1_DEV:}ElementAttributes_SP_SKU",$F2385,E$1)</f>
        <v>BREAD</v>
      </c>
      <c r="F2385" s="26" t="s">
        <v>3171</v>
      </c>
      <c r="G2385" s="26" t="s">
        <v>2105</v>
      </c>
      <c r="H2385" s="26" t="s">
        <v>2690</v>
      </c>
      <c r="I2385" s="54">
        <f>_xll.DBRW($A$1,$F$14,$F$15,$C2385,$A$2,$F2385,$G2385,$H2385,I$1)</f>
        <v>9</v>
      </c>
      <c r="J2385" s="25">
        <f>_xll.DBRW($A$1,$F$14,$F$15,$C2385,$A$2,$F2385,$G2385,$H2385,J$19)</f>
        <v>9</v>
      </c>
    </row>
    <row r="2386" spans="1:10" s="23" customFormat="1" outlineLevel="1" thickBot="1" x14ac:dyDescent="0.3">
      <c r="A2386" s="44"/>
      <c r="B2386" s="31" t="str">
        <f>IF(_xll.TM1RPTELISCONSOLIDATED($H$20,$H2386),IF(_xll.TM1RPTELLEV($H$20,$H2386)&lt;=5,_xll.TM1RPTELLEV($H$20,$H2386),"Default"),"Leaf")</f>
        <v>Leaf</v>
      </c>
      <c r="C2386" s="26" t="s">
        <v>22</v>
      </c>
      <c r="D2386" s="24" t="str">
        <f>_xll.DBRW("TM1-S1_DEV:}ElementAttributes_SP_SKU",$F2386,D$1)</f>
        <v>Primary</v>
      </c>
      <c r="E2386" s="24" t="str">
        <f>_xll.DBRW("TM1-S1_DEV:}ElementAttributes_SP_SKU",$F2386,E$1)</f>
        <v>BREAD</v>
      </c>
      <c r="F2386" s="26" t="s">
        <v>3172</v>
      </c>
      <c r="G2386" s="26" t="s">
        <v>2106</v>
      </c>
      <c r="H2386" s="26" t="s">
        <v>2690</v>
      </c>
      <c r="I2386" s="54">
        <f>_xll.DBRW($A$1,$F$14,$F$15,$C2386,$A$2,$F2386,$G2386,$H2386,I$1)</f>
        <v>8</v>
      </c>
      <c r="J2386" s="25">
        <f>_xll.DBRW($A$1,$F$14,$F$15,$C2386,$A$2,$F2386,$G2386,$H2386,J$19)</f>
        <v>8</v>
      </c>
    </row>
    <row r="2387" spans="1:10" s="23" customFormat="1" outlineLevel="1" thickBot="1" x14ac:dyDescent="0.3">
      <c r="A2387" s="44"/>
      <c r="B2387" s="31" t="str">
        <f>IF(_xll.TM1RPTELISCONSOLIDATED($H$20,$H2387),IF(_xll.TM1RPTELLEV($H$20,$H2387)&lt;=5,_xll.TM1RPTELLEV($H$20,$H2387),"Default"),"Leaf")</f>
        <v>Leaf</v>
      </c>
      <c r="C2387" s="26" t="s">
        <v>22</v>
      </c>
      <c r="D2387" s="24" t="str">
        <f>_xll.DBRW("TM1-S1_DEV:}ElementAttributes_SP_SKU",$F2387,D$1)</f>
        <v>Primary</v>
      </c>
      <c r="E2387" s="24" t="str">
        <f>_xll.DBRW("TM1-S1_DEV:}ElementAttributes_SP_SKU",$F2387,E$1)</f>
        <v>BREAD</v>
      </c>
      <c r="F2387" s="26" t="s">
        <v>3252</v>
      </c>
      <c r="G2387" s="26" t="s">
        <v>2107</v>
      </c>
      <c r="H2387" s="26" t="s">
        <v>2691</v>
      </c>
      <c r="I2387" s="54">
        <f>_xll.DBRW($A$1,$F$14,$F$15,$C2387,$A$2,$F2387,$G2387,$H2387,I$1)</f>
        <v>5</v>
      </c>
      <c r="J2387" s="25">
        <f>_xll.DBRW($A$1,$F$14,$F$15,$C2387,$A$2,$F2387,$G2387,$H2387,J$19)</f>
        <v>4</v>
      </c>
    </row>
    <row r="2388" spans="1:10" s="23" customFormat="1" outlineLevel="1" thickBot="1" x14ac:dyDescent="0.3">
      <c r="A2388" s="44"/>
      <c r="B2388" s="31" t="str">
        <f>IF(_xll.TM1RPTELISCONSOLIDATED($H$20,$H2388),IF(_xll.TM1RPTELLEV($H$20,$H2388)&lt;=5,_xll.TM1RPTELLEV($H$20,$H2388),"Default"),"Leaf")</f>
        <v>Leaf</v>
      </c>
      <c r="C2388" s="26" t="s">
        <v>22</v>
      </c>
      <c r="D2388" s="24" t="str">
        <f>_xll.DBRW("TM1-S1_DEV:}ElementAttributes_SP_SKU",$F2388,D$1)</f>
        <v>Primary</v>
      </c>
      <c r="E2388" s="24" t="str">
        <f>_xll.DBRW("TM1-S1_DEV:}ElementAttributes_SP_SKU",$F2388,E$1)</f>
        <v>CHEESE</v>
      </c>
      <c r="F2388" s="26" t="s">
        <v>3173</v>
      </c>
      <c r="G2388" s="26" t="s">
        <v>2108</v>
      </c>
      <c r="H2388" s="26" t="s">
        <v>2692</v>
      </c>
      <c r="I2388" s="54">
        <f>_xll.DBRW($A$1,$F$14,$F$15,$C2388,$A$2,$F2388,$G2388,$H2388,I$1)</f>
        <v>76</v>
      </c>
      <c r="J2388" s="25">
        <f>_xll.DBRW($A$1,$F$14,$F$15,$C2388,$A$2,$F2388,$G2388,$H2388,J$19)</f>
        <v>68</v>
      </c>
    </row>
    <row r="2389" spans="1:10" s="23" customFormat="1" outlineLevel="1" thickBot="1" x14ac:dyDescent="0.3">
      <c r="A2389" s="44"/>
      <c r="B2389" s="31" t="str">
        <f>IF(_xll.TM1RPTELISCONSOLIDATED($H$20,$H2389),IF(_xll.TM1RPTELLEV($H$20,$H2389)&lt;=5,_xll.TM1RPTELLEV($H$20,$H2389),"Default"),"Leaf")</f>
        <v>Leaf</v>
      </c>
      <c r="C2389" s="26" t="s">
        <v>22</v>
      </c>
      <c r="D2389" s="24" t="str">
        <f>_xll.DBRW("TM1-S1_DEV:}ElementAttributes_SP_SKU",$F2389,D$1)</f>
        <v>Primary</v>
      </c>
      <c r="E2389" s="24" t="str">
        <f>_xll.DBRW("TM1-S1_DEV:}ElementAttributes_SP_SKU",$F2389,E$1)</f>
        <v>CONDIMENT</v>
      </c>
      <c r="F2389" s="26" t="s">
        <v>3174</v>
      </c>
      <c r="G2389" s="26" t="s">
        <v>2109</v>
      </c>
      <c r="H2389" s="26" t="s">
        <v>2684</v>
      </c>
      <c r="I2389" s="54">
        <f>_xll.DBRW($A$1,$F$14,$F$15,$C2389,$A$2,$F2389,$G2389,$H2389,I$1)</f>
        <v>28</v>
      </c>
      <c r="J2389" s="25">
        <f>_xll.DBRW($A$1,$F$14,$F$15,$C2389,$A$2,$F2389,$G2389,$H2389,J$19)</f>
        <v>24</v>
      </c>
    </row>
    <row r="2390" spans="1:10" s="23" customFormat="1" outlineLevel="1" thickBot="1" x14ac:dyDescent="0.3">
      <c r="A2390" s="44"/>
      <c r="B2390" s="31" t="str">
        <f>IF(_xll.TM1RPTELISCONSOLIDATED($H$20,$H2390),IF(_xll.TM1RPTELLEV($H$20,$H2390)&lt;=5,_xll.TM1RPTELLEV($H$20,$H2390),"Default"),"Leaf")</f>
        <v>Leaf</v>
      </c>
      <c r="C2390" s="26" t="s">
        <v>22</v>
      </c>
      <c r="D2390" s="24" t="str">
        <f>_xll.DBRW("TM1-S1_DEV:}ElementAttributes_SP_SKU",$F2390,D$1)</f>
        <v>Primary</v>
      </c>
      <c r="E2390" s="24" t="str">
        <f>_xll.DBRW("TM1-S1_DEV:}ElementAttributes_SP_SKU",$F2390,E$1)</f>
        <v>CHEESE</v>
      </c>
      <c r="F2390" s="26" t="s">
        <v>3175</v>
      </c>
      <c r="G2390" s="26" t="s">
        <v>2110</v>
      </c>
      <c r="H2390" s="26" t="s">
        <v>2692</v>
      </c>
      <c r="I2390" s="54">
        <f>_xll.DBRW($A$1,$F$14,$F$15,$C2390,$A$2,$F2390,$G2390,$H2390,I$1)</f>
        <v>51</v>
      </c>
      <c r="J2390" s="25">
        <f>_xll.DBRW($A$1,$F$14,$F$15,$C2390,$A$2,$F2390,$G2390,$H2390,J$19)</f>
        <v>45</v>
      </c>
    </row>
    <row r="2391" spans="1:10" s="23" customFormat="1" outlineLevel="1" thickBot="1" x14ac:dyDescent="0.3">
      <c r="A2391" s="44"/>
      <c r="B2391" s="31" t="str">
        <f>IF(_xll.TM1RPTELISCONSOLIDATED($H$20,$H2391),IF(_xll.TM1RPTELLEV($H$20,$H2391)&lt;=5,_xll.TM1RPTELLEV($H$20,$H2391),"Default"),"Leaf")</f>
        <v>Leaf</v>
      </c>
      <c r="C2391" s="26" t="s">
        <v>22</v>
      </c>
      <c r="D2391" s="24" t="str">
        <f>_xll.DBRW("TM1-S1_DEV:}ElementAttributes_SP_SKU",$F2391,D$1)</f>
        <v>Primary</v>
      </c>
      <c r="E2391" s="24" t="str">
        <f>_xll.DBRW("TM1-S1_DEV:}ElementAttributes_SP_SKU",$F2391,E$1)</f>
        <v>CONDIMENT</v>
      </c>
      <c r="F2391" s="26" t="s">
        <v>3176</v>
      </c>
      <c r="G2391" s="26" t="s">
        <v>2111</v>
      </c>
      <c r="H2391" s="26" t="s">
        <v>2684</v>
      </c>
      <c r="I2391" s="54">
        <f>_xll.DBRW($A$1,$F$14,$F$15,$C2391,$A$2,$F2391,$G2391,$H2391,I$1)</f>
        <v>10</v>
      </c>
      <c r="J2391" s="25">
        <f>_xll.DBRW($A$1,$F$14,$F$15,$C2391,$A$2,$F2391,$G2391,$H2391,J$19)</f>
        <v>9</v>
      </c>
    </row>
    <row r="2392" spans="1:10" s="23" customFormat="1" outlineLevel="1" thickBot="1" x14ac:dyDescent="0.3">
      <c r="A2392" s="44"/>
      <c r="B2392" s="31" t="str">
        <f>IF(_xll.TM1RPTELISCONSOLIDATED($H$20,$H2392),IF(_xll.TM1RPTELLEV($H$20,$H2392)&lt;=5,_xll.TM1RPTELLEV($H$20,$H2392),"Default"),"Leaf")</f>
        <v>Leaf</v>
      </c>
      <c r="C2392" s="26" t="s">
        <v>22</v>
      </c>
      <c r="D2392" s="24" t="str">
        <f>_xll.DBRW("TM1-S1_DEV:}ElementAttributes_SP_SKU",$F2392,D$1)</f>
        <v>Primary</v>
      </c>
      <c r="E2392" s="24" t="str">
        <f>_xll.DBRW("TM1-S1_DEV:}ElementAttributes_SP_SKU",$F2392,E$1)</f>
        <v>CONDIMENT</v>
      </c>
      <c r="F2392" s="26" t="s">
        <v>3253</v>
      </c>
      <c r="G2392" s="26" t="s">
        <v>2112</v>
      </c>
      <c r="H2392" s="26" t="s">
        <v>2686</v>
      </c>
      <c r="I2392" s="54">
        <f>_xll.DBRW($A$1,$F$14,$F$15,$C2392,$A$2,$F2392,$G2392,$H2392,I$1)</f>
        <v>17</v>
      </c>
      <c r="J2392" s="25">
        <f>_xll.DBRW($A$1,$F$14,$F$15,$C2392,$A$2,$F2392,$G2392,$H2392,J$19)</f>
        <v>14</v>
      </c>
    </row>
    <row r="2393" spans="1:10" s="23" customFormat="1" outlineLevel="1" thickBot="1" x14ac:dyDescent="0.3">
      <c r="A2393" s="44"/>
      <c r="B2393" s="31" t="str">
        <f>IF(_xll.TM1RPTELISCONSOLIDATED($H$20,$H2393),IF(_xll.TM1RPTELLEV($H$20,$H2393)&lt;=5,_xll.TM1RPTELLEV($H$20,$H2393),"Default"),"Leaf")</f>
        <v>Leaf</v>
      </c>
      <c r="C2393" s="26" t="s">
        <v>22</v>
      </c>
      <c r="D2393" s="24" t="str">
        <f>_xll.DBRW("TM1-S1_DEV:}ElementAttributes_SP_SKU",$F2393,D$1)</f>
        <v>Primary</v>
      </c>
      <c r="E2393" s="24" t="str">
        <f>_xll.DBRW("TM1-S1_DEV:}ElementAttributes_SP_SKU",$F2393,E$1)</f>
        <v>INGREDIENT</v>
      </c>
      <c r="F2393" s="26" t="s">
        <v>3177</v>
      </c>
      <c r="G2393" s="26" t="s">
        <v>2113</v>
      </c>
      <c r="H2393" s="26" t="s">
        <v>2686</v>
      </c>
      <c r="I2393" s="54">
        <f>_xll.DBRW($A$1,$F$14,$F$15,$C2393,$A$2,$F2393,$G2393,$H2393,I$1)</f>
        <v>11</v>
      </c>
      <c r="J2393" s="25">
        <f>_xll.DBRW($A$1,$F$14,$F$15,$C2393,$A$2,$F2393,$G2393,$H2393,J$19)</f>
        <v>10</v>
      </c>
    </row>
    <row r="2394" spans="1:10" s="23" customFormat="1" outlineLevel="1" thickBot="1" x14ac:dyDescent="0.3">
      <c r="A2394" s="44"/>
      <c r="B2394" s="31" t="str">
        <f>IF(_xll.TM1RPTELISCONSOLIDATED($H$20,$H2394),IF(_xll.TM1RPTELLEV($H$20,$H2394)&lt;=5,_xll.TM1RPTELLEV($H$20,$H2394),"Default"),"Leaf")</f>
        <v>Leaf</v>
      </c>
      <c r="C2394" s="26" t="s">
        <v>22</v>
      </c>
      <c r="D2394" s="24" t="str">
        <f>_xll.DBRW("TM1-S1_DEV:}ElementAttributes_SP_SKU",$F2394,D$1)</f>
        <v>Primary</v>
      </c>
      <c r="E2394" s="24" t="str">
        <f>_xll.DBRW("TM1-S1_DEV:}ElementAttributes_SP_SKU",$F2394,E$1)</f>
        <v>CONDIMENT</v>
      </c>
      <c r="F2394" s="26" t="s">
        <v>3178</v>
      </c>
      <c r="G2394" s="26" t="s">
        <v>2114</v>
      </c>
      <c r="H2394" s="26" t="s">
        <v>2684</v>
      </c>
      <c r="I2394" s="54">
        <f>_xll.DBRW($A$1,$F$14,$F$15,$C2394,$A$2,$F2394,$G2394,$H2394,I$1)</f>
        <v>10</v>
      </c>
      <c r="J2394" s="25">
        <f>_xll.DBRW($A$1,$F$14,$F$15,$C2394,$A$2,$F2394,$G2394,$H2394,J$19)</f>
        <v>8</v>
      </c>
    </row>
    <row r="2395" spans="1:10" s="23" customFormat="1" outlineLevel="1" thickBot="1" x14ac:dyDescent="0.3">
      <c r="A2395" s="44"/>
      <c r="B2395" s="31" t="str">
        <f>IF(_xll.TM1RPTELISCONSOLIDATED($H$20,$H2395),IF(_xll.TM1RPTELLEV($H$20,$H2395)&lt;=5,_xll.TM1RPTELLEV($H$20,$H2395),"Default"),"Leaf")</f>
        <v>Leaf</v>
      </c>
      <c r="C2395" s="26" t="s">
        <v>22</v>
      </c>
      <c r="D2395" s="24" t="str">
        <f>_xll.DBRW("TM1-S1_DEV:}ElementAttributes_SP_SKU",$F2395,D$1)</f>
        <v>Primary</v>
      </c>
      <c r="E2395" s="24" t="str">
        <f>_xll.DBRW("TM1-S1_DEV:}ElementAttributes_SP_SKU",$F2395,E$1)</f>
        <v>CONDIMENT</v>
      </c>
      <c r="F2395" s="26" t="s">
        <v>3179</v>
      </c>
      <c r="G2395" s="26" t="s">
        <v>2115</v>
      </c>
      <c r="H2395" s="26" t="s">
        <v>2684</v>
      </c>
      <c r="I2395" s="54">
        <f>_xll.DBRW($A$1,$F$14,$F$15,$C2395,$A$2,$F2395,$G2395,$H2395,I$1)</f>
        <v>18</v>
      </c>
      <c r="J2395" s="25">
        <f>_xll.DBRW($A$1,$F$14,$F$15,$C2395,$A$2,$F2395,$G2395,$H2395,J$19)</f>
        <v>17</v>
      </c>
    </row>
    <row r="2396" spans="1:10" s="23" customFormat="1" outlineLevel="1" thickBot="1" x14ac:dyDescent="0.3">
      <c r="A2396" s="44"/>
      <c r="B2396" s="31" t="str">
        <f>IF(_xll.TM1RPTELISCONSOLIDATED($H$20,$H2396),IF(_xll.TM1RPTELLEV($H$20,$H2396)&lt;=5,_xll.TM1RPTELLEV($H$20,$H2396),"Default"),"Leaf")</f>
        <v>Leaf</v>
      </c>
      <c r="C2396" s="26" t="s">
        <v>22</v>
      </c>
      <c r="D2396" s="24" t="str">
        <f>_xll.DBRW("TM1-S1_DEV:}ElementAttributes_SP_SKU",$F2396,D$1)</f>
        <v>Primary</v>
      </c>
      <c r="E2396" s="24" t="str">
        <f>_xll.DBRW("TM1-S1_DEV:}ElementAttributes_SP_SKU",$F2396,E$1)</f>
        <v>COOKIE</v>
      </c>
      <c r="F2396" s="26" t="s">
        <v>3180</v>
      </c>
      <c r="G2396" s="26" t="s">
        <v>2116</v>
      </c>
      <c r="H2396" s="26" t="s">
        <v>2691</v>
      </c>
      <c r="I2396" s="54">
        <f>_xll.DBRW($A$1,$F$14,$F$15,$C2396,$A$2,$F2396,$G2396,$H2396,I$1)</f>
        <v>20</v>
      </c>
      <c r="J2396" s="25">
        <f>_xll.DBRW($A$1,$F$14,$F$15,$C2396,$A$2,$F2396,$G2396,$H2396,J$19)</f>
        <v>28</v>
      </c>
    </row>
    <row r="2397" spans="1:10" s="23" customFormat="1" outlineLevel="1" thickBot="1" x14ac:dyDescent="0.3">
      <c r="A2397" s="44"/>
      <c r="B2397" s="31" t="str">
        <f>IF(_xll.TM1RPTELISCONSOLIDATED($H$20,$H2397),IF(_xll.TM1RPTELLEV($H$20,$H2397)&lt;=5,_xll.TM1RPTELLEV($H$20,$H2397),"Default"),"Leaf")</f>
        <v>Leaf</v>
      </c>
      <c r="C2397" s="26" t="s">
        <v>22</v>
      </c>
      <c r="D2397" s="24" t="str">
        <f>_xll.DBRW("TM1-S1_DEV:}ElementAttributes_SP_SKU",$F2397,D$1)</f>
        <v>Primary</v>
      </c>
      <c r="E2397" s="24" t="str">
        <f>_xll.DBRW("TM1-S1_DEV:}ElementAttributes_SP_SKU",$F2397,E$1)</f>
        <v>COOKIE</v>
      </c>
      <c r="F2397" s="26" t="s">
        <v>3181</v>
      </c>
      <c r="G2397" s="26" t="s">
        <v>2117</v>
      </c>
      <c r="H2397" s="26" t="s">
        <v>2691</v>
      </c>
      <c r="I2397" s="54">
        <f>_xll.DBRW($A$1,$F$14,$F$15,$C2397,$A$2,$F2397,$G2397,$H2397,I$1)</f>
        <v>21</v>
      </c>
      <c r="J2397" s="25">
        <f>_xll.DBRW($A$1,$F$14,$F$15,$C2397,$A$2,$F2397,$G2397,$H2397,J$19)</f>
        <v>29</v>
      </c>
    </row>
    <row r="2398" spans="1:10" s="23" customFormat="1" outlineLevel="1" thickBot="1" x14ac:dyDescent="0.3">
      <c r="A2398" s="44"/>
      <c r="B2398" s="31" t="str">
        <f>IF(_xll.TM1RPTELISCONSOLIDATED($H$20,$H2398),IF(_xll.TM1RPTELLEV($H$20,$H2398)&lt;=5,_xll.TM1RPTELLEV($H$20,$H2398),"Default"),"Leaf")</f>
        <v>Leaf</v>
      </c>
      <c r="C2398" s="26" t="s">
        <v>22</v>
      </c>
      <c r="D2398" s="24" t="str">
        <f>_xll.DBRW("TM1-S1_DEV:}ElementAttributes_SP_SKU",$F2398,D$1)</f>
        <v>Primary</v>
      </c>
      <c r="E2398" s="24" t="str">
        <f>_xll.DBRW("TM1-S1_DEV:}ElementAttributes_SP_SKU",$F2398,E$1)</f>
        <v>COOKIE</v>
      </c>
      <c r="F2398" s="26" t="s">
        <v>3182</v>
      </c>
      <c r="G2398" s="26" t="s">
        <v>2118</v>
      </c>
      <c r="H2398" s="26" t="s">
        <v>2691</v>
      </c>
      <c r="I2398" s="54">
        <f>_xll.DBRW($A$1,$F$14,$F$15,$C2398,$A$2,$F2398,$G2398,$H2398,I$1)</f>
        <v>22</v>
      </c>
      <c r="J2398" s="25">
        <f>_xll.DBRW($A$1,$F$14,$F$15,$C2398,$A$2,$F2398,$G2398,$H2398,J$19)</f>
        <v>18</v>
      </c>
    </row>
    <row r="2399" spans="1:10" s="23" customFormat="1" outlineLevel="1" thickBot="1" x14ac:dyDescent="0.3">
      <c r="A2399" s="44"/>
      <c r="B2399" s="31" t="str">
        <f>IF(_xll.TM1RPTELISCONSOLIDATED($H$20,$H2399),IF(_xll.TM1RPTELLEV($H$20,$H2399)&lt;=5,_xll.TM1RPTELLEV($H$20,$H2399),"Default"),"Leaf")</f>
        <v>Leaf</v>
      </c>
      <c r="C2399" s="26" t="s">
        <v>22</v>
      </c>
      <c r="D2399" s="24" t="str">
        <f>_xll.DBRW("TM1-S1_DEV:}ElementAttributes_SP_SKU",$F2399,D$1)</f>
        <v>Primary</v>
      </c>
      <c r="E2399" s="24" t="str">
        <f>_xll.DBRW("TM1-S1_DEV:}ElementAttributes_SP_SKU",$F2399,E$1)</f>
        <v>COOKIE</v>
      </c>
      <c r="F2399" s="26" t="s">
        <v>3183</v>
      </c>
      <c r="G2399" s="26" t="s">
        <v>2119</v>
      </c>
      <c r="H2399" s="26" t="s">
        <v>2691</v>
      </c>
      <c r="I2399" s="54">
        <f>_xll.DBRW($A$1,$F$14,$F$15,$C2399,$A$2,$F2399,$G2399,$H2399,I$1)</f>
        <v>40</v>
      </c>
      <c r="J2399" s="25">
        <f>_xll.DBRW($A$1,$F$14,$F$15,$C2399,$A$2,$F2399,$G2399,$H2399,J$19)</f>
        <v>51</v>
      </c>
    </row>
    <row r="2400" spans="1:10" s="23" customFormat="1" outlineLevel="1" thickBot="1" x14ac:dyDescent="0.3">
      <c r="A2400" s="44"/>
      <c r="B2400" s="31" t="str">
        <f>IF(_xll.TM1RPTELISCONSOLIDATED($H$20,$H2400),IF(_xll.TM1RPTELLEV($H$20,$H2400)&lt;=5,_xll.TM1RPTELLEV($H$20,$H2400),"Default"),"Leaf")</f>
        <v>Leaf</v>
      </c>
      <c r="C2400" s="26" t="s">
        <v>22</v>
      </c>
      <c r="D2400" s="24" t="str">
        <f>_xll.DBRW("TM1-S1_DEV:}ElementAttributes_SP_SKU",$F2400,D$1)</f>
        <v>Primary</v>
      </c>
      <c r="E2400" s="24" t="str">
        <f>_xll.DBRW("TM1-S1_DEV:}ElementAttributes_SP_SKU",$F2400,E$1)</f>
        <v>SOUP</v>
      </c>
      <c r="F2400" s="26" t="s">
        <v>3184</v>
      </c>
      <c r="G2400" s="26" t="s">
        <v>2120</v>
      </c>
      <c r="H2400" s="26" t="s">
        <v>2675</v>
      </c>
      <c r="I2400" s="54">
        <f>_xll.DBRW($A$1,$F$14,$F$15,$C2400,$A$2,$F2400,$G2400,$H2400,I$1)</f>
        <v>11</v>
      </c>
      <c r="J2400" s="25">
        <f>_xll.DBRW($A$1,$F$14,$F$15,$C2400,$A$2,$F2400,$G2400,$H2400,J$19)</f>
        <v>11</v>
      </c>
    </row>
    <row r="2401" spans="1:10" s="23" customFormat="1" outlineLevel="1" thickBot="1" x14ac:dyDescent="0.3">
      <c r="A2401" s="44"/>
      <c r="B2401" s="31" t="str">
        <f>IF(_xll.TM1RPTELISCONSOLIDATED($H$20,$H2401),IF(_xll.TM1RPTELLEV($H$20,$H2401)&lt;=5,_xll.TM1RPTELLEV($H$20,$H2401),"Default"),"Leaf")</f>
        <v>Leaf</v>
      </c>
      <c r="C2401" s="26" t="s">
        <v>22</v>
      </c>
      <c r="D2401" s="24" t="str">
        <f>_xll.DBRW("TM1-S1_DEV:}ElementAttributes_SP_SKU",$F2401,D$1)</f>
        <v>Primary</v>
      </c>
      <c r="E2401" s="24" t="str">
        <f>_xll.DBRW("TM1-S1_DEV:}ElementAttributes_SP_SKU",$F2401,E$1)</f>
        <v>INGREDIENT</v>
      </c>
      <c r="F2401" s="26" t="s">
        <v>3185</v>
      </c>
      <c r="G2401" s="26" t="s">
        <v>2121</v>
      </c>
      <c r="H2401" s="26" t="s">
        <v>2693</v>
      </c>
      <c r="I2401" s="54">
        <f>_xll.DBRW($A$1,$F$14,$F$15,$C2401,$A$2,$F2401,$G2401,$H2401,I$1)</f>
        <v>21</v>
      </c>
      <c r="J2401" s="25">
        <f>_xll.DBRW($A$1,$F$14,$F$15,$C2401,$A$2,$F2401,$G2401,$H2401,J$19)</f>
        <v>15</v>
      </c>
    </row>
    <row r="2402" spans="1:10" s="23" customFormat="1" outlineLevel="1" thickBot="1" x14ac:dyDescent="0.3">
      <c r="A2402" s="44"/>
      <c r="B2402" s="31" t="str">
        <f>IF(_xll.TM1RPTELISCONSOLIDATED($H$20,$H2402),IF(_xll.TM1RPTELLEV($H$20,$H2402)&lt;=5,_xll.TM1RPTELLEV($H$20,$H2402),"Default"),"Leaf")</f>
        <v>Leaf</v>
      </c>
      <c r="C2402" s="26" t="s">
        <v>22</v>
      </c>
      <c r="D2402" s="24" t="str">
        <f>_xll.DBRW("TM1-S1_DEV:}ElementAttributes_SP_SKU",$F2402,D$1)</f>
        <v>Primary</v>
      </c>
      <c r="E2402" s="24" t="str">
        <f>_xll.DBRW("TM1-S1_DEV:}ElementAttributes_SP_SKU",$F2402,E$1)</f>
        <v>INGREDIENT</v>
      </c>
      <c r="F2402" s="26" t="s">
        <v>3186</v>
      </c>
      <c r="G2402" s="26" t="s">
        <v>2122</v>
      </c>
      <c r="H2402" s="26" t="s">
        <v>2694</v>
      </c>
      <c r="I2402" s="54">
        <f>_xll.DBRW($A$1,$F$14,$F$15,$C2402,$A$2,$F2402,$G2402,$H2402,I$1)</f>
        <v>5</v>
      </c>
      <c r="J2402" s="25">
        <f>_xll.DBRW($A$1,$F$14,$F$15,$C2402,$A$2,$F2402,$G2402,$H2402,J$19)</f>
        <v>5</v>
      </c>
    </row>
    <row r="2403" spans="1:10" s="23" customFormat="1" outlineLevel="1" thickBot="1" x14ac:dyDescent="0.3">
      <c r="A2403" s="44"/>
      <c r="B2403" s="31" t="str">
        <f>IF(_xll.TM1RPTELISCONSOLIDATED($H$20,$H2403),IF(_xll.TM1RPTELLEV($H$20,$H2403)&lt;=5,_xll.TM1RPTELLEV($H$20,$H2403),"Default"),"Leaf")</f>
        <v>Leaf</v>
      </c>
      <c r="C2403" s="26" t="s">
        <v>22</v>
      </c>
      <c r="D2403" s="24" t="str">
        <f>_xll.DBRW("TM1-S1_DEV:}ElementAttributes_SP_SKU",$F2403,D$1)</f>
        <v>Primary</v>
      </c>
      <c r="E2403" s="24" t="str">
        <f>_xll.DBRW("TM1-S1_DEV:}ElementAttributes_SP_SKU",$F2403,E$1)</f>
        <v>INGREDIENT</v>
      </c>
      <c r="F2403" s="26" t="s">
        <v>3187</v>
      </c>
      <c r="G2403" s="26" t="s">
        <v>2124</v>
      </c>
      <c r="H2403" s="26" t="s">
        <v>2695</v>
      </c>
      <c r="I2403" s="54">
        <f>_xll.DBRW($A$1,$F$14,$F$15,$C2403,$A$2,$F2403,$G2403,$H2403,I$1)</f>
        <v>26</v>
      </c>
      <c r="J2403" s="25">
        <f>_xll.DBRW($A$1,$F$14,$F$15,$C2403,$A$2,$F2403,$G2403,$H2403,J$19)</f>
        <v>23</v>
      </c>
    </row>
    <row r="2404" spans="1:10" s="23" customFormat="1" outlineLevel="1" thickBot="1" x14ac:dyDescent="0.3">
      <c r="A2404" s="44"/>
      <c r="B2404" s="31" t="str">
        <f>IF(_xll.TM1RPTELISCONSOLIDATED($H$20,$H2404),IF(_xll.TM1RPTELLEV($H$20,$H2404)&lt;=5,_xll.TM1RPTELLEV($H$20,$H2404),"Default"),"Leaf")</f>
        <v>Leaf</v>
      </c>
      <c r="C2404" s="26" t="s">
        <v>22</v>
      </c>
      <c r="D2404" s="24" t="str">
        <f>_xll.DBRW("TM1-S1_DEV:}ElementAttributes_SP_SKU",$F2404,D$1)</f>
        <v>Primary</v>
      </c>
      <c r="E2404" s="24" t="str">
        <f>_xll.DBRW("TM1-S1_DEV:}ElementAttributes_SP_SKU",$F2404,E$1)</f>
        <v>CHIPS</v>
      </c>
      <c r="F2404" s="26" t="s">
        <v>3255</v>
      </c>
      <c r="G2404" s="26" t="s">
        <v>2125</v>
      </c>
      <c r="H2404" s="26" t="s">
        <v>2736</v>
      </c>
      <c r="I2404" s="54">
        <f>_xll.DBRW($A$1,$F$14,$F$15,$C2404,$A$2,$F2404,$G2404,$H2404,I$1)</f>
        <v>38</v>
      </c>
      <c r="J2404" s="25">
        <f>_xll.DBRW($A$1,$F$14,$F$15,$C2404,$A$2,$F2404,$G2404,$H2404,J$19)</f>
        <v>26</v>
      </c>
    </row>
    <row r="2405" spans="1:10" s="23" customFormat="1" outlineLevel="1" thickBot="1" x14ac:dyDescent="0.3">
      <c r="A2405" s="44"/>
      <c r="B2405" s="31" t="str">
        <f>IF(_xll.TM1RPTELISCONSOLIDATED($H$20,$H2405),IF(_xll.TM1RPTELLEV($H$20,$H2405)&lt;=5,_xll.TM1RPTELLEV($H$20,$H2405),"Default"),"Leaf")</f>
        <v>Leaf</v>
      </c>
      <c r="C2405" s="26" t="s">
        <v>22</v>
      </c>
      <c r="D2405" s="24" t="str">
        <f>_xll.DBRW("TM1-S1_DEV:}ElementAttributes_SP_SKU",$F2405,D$1)</f>
        <v>Primary</v>
      </c>
      <c r="E2405" s="24" t="str">
        <f>_xll.DBRW("TM1-S1_DEV:}ElementAttributes_SP_SKU",$F2405,E$1)</f>
        <v>CHIPS</v>
      </c>
      <c r="F2405" s="26" t="s">
        <v>3256</v>
      </c>
      <c r="G2405" s="26" t="s">
        <v>2126</v>
      </c>
      <c r="H2405" s="26" t="s">
        <v>2736</v>
      </c>
      <c r="I2405" s="54">
        <f>_xll.DBRW($A$1,$F$14,$F$15,$C2405,$A$2,$F2405,$G2405,$H2405,I$1)</f>
        <v>34</v>
      </c>
      <c r="J2405" s="25">
        <f>_xll.DBRW($A$1,$F$14,$F$15,$C2405,$A$2,$F2405,$G2405,$H2405,J$19)</f>
        <v>32</v>
      </c>
    </row>
    <row r="2406" spans="1:10" s="23" customFormat="1" outlineLevel="1" thickBot="1" x14ac:dyDescent="0.3">
      <c r="A2406" s="44"/>
      <c r="B2406" s="31" t="str">
        <f>IF(_xll.TM1RPTELISCONSOLIDATED($H$20,$H2406),IF(_xll.TM1RPTELLEV($H$20,$H2406)&lt;=5,_xll.TM1RPTELLEV($H$20,$H2406),"Default"),"Leaf")</f>
        <v>Leaf</v>
      </c>
      <c r="C2406" s="26" t="s">
        <v>22</v>
      </c>
      <c r="D2406" s="24" t="str">
        <f>_xll.DBRW("TM1-S1_DEV:}ElementAttributes_SP_SKU",$F2406,D$1)</f>
        <v>Primary</v>
      </c>
      <c r="E2406" s="24" t="str">
        <f>_xll.DBRW("TM1-S1_DEV:}ElementAttributes_SP_SKU",$F2406,E$1)</f>
        <v>CHIPS</v>
      </c>
      <c r="F2406" s="26" t="s">
        <v>3257</v>
      </c>
      <c r="G2406" s="26" t="s">
        <v>2127</v>
      </c>
      <c r="H2406" s="26" t="s">
        <v>2736</v>
      </c>
      <c r="I2406" s="54">
        <f>_xll.DBRW($A$1,$F$14,$F$15,$C2406,$A$2,$F2406,$G2406,$H2406,I$1)</f>
        <v>40</v>
      </c>
      <c r="J2406" s="25">
        <f>_xll.DBRW($A$1,$F$14,$F$15,$C2406,$A$2,$F2406,$G2406,$H2406,J$19)</f>
        <v>25</v>
      </c>
    </row>
    <row r="2407" spans="1:10" s="23" customFormat="1" outlineLevel="1" thickBot="1" x14ac:dyDescent="0.3">
      <c r="A2407" s="44"/>
      <c r="B2407" s="31" t="str">
        <f>IF(_xll.TM1RPTELISCONSOLIDATED($H$20,$H2407),IF(_xll.TM1RPTELLEV($H$20,$H2407)&lt;=5,_xll.TM1RPTELLEV($H$20,$H2407),"Default"),"Leaf")</f>
        <v>Leaf</v>
      </c>
      <c r="C2407" s="26" t="s">
        <v>22</v>
      </c>
      <c r="D2407" s="24" t="str">
        <f>_xll.DBRW("TM1-S1_DEV:}ElementAttributes_SP_SKU",$F2407,D$1)</f>
        <v>Primary</v>
      </c>
      <c r="E2407" s="24" t="str">
        <f>_xll.DBRW("TM1-S1_DEV:}ElementAttributes_SP_SKU",$F2407,E$1)</f>
        <v>CHIPS</v>
      </c>
      <c r="F2407" s="26" t="s">
        <v>3258</v>
      </c>
      <c r="G2407" s="26" t="s">
        <v>2128</v>
      </c>
      <c r="H2407" s="26" t="s">
        <v>2736</v>
      </c>
      <c r="I2407" s="54">
        <f>_xll.DBRW($A$1,$F$14,$F$15,$C2407,$A$2,$F2407,$G2407,$H2407,I$1)</f>
        <v>47</v>
      </c>
      <c r="J2407" s="25">
        <f>_xll.DBRW($A$1,$F$14,$F$15,$C2407,$A$2,$F2407,$G2407,$H2407,J$19)</f>
        <v>35</v>
      </c>
    </row>
    <row r="2408" spans="1:10" s="23" customFormat="1" outlineLevel="1" thickBot="1" x14ac:dyDescent="0.3">
      <c r="A2408" s="44"/>
      <c r="B2408" s="31" t="str">
        <f>IF(_xll.TM1RPTELISCONSOLIDATED($H$20,$H2408),IF(_xll.TM1RPTELLEV($H$20,$H2408)&lt;=5,_xll.TM1RPTELLEV($H$20,$H2408),"Default"),"Leaf")</f>
        <v>Leaf</v>
      </c>
      <c r="C2408" s="26" t="s">
        <v>22</v>
      </c>
      <c r="D2408" s="24" t="str">
        <f>_xll.DBRW("TM1-S1_DEV:}ElementAttributes_SP_SKU",$F2408,D$1)</f>
        <v>Primary</v>
      </c>
      <c r="E2408" s="24" t="str">
        <f>_xll.DBRW("TM1-S1_DEV:}ElementAttributes_SP_SKU",$F2408,E$1)</f>
        <v>SIDES</v>
      </c>
      <c r="F2408" s="26" t="s">
        <v>3188</v>
      </c>
      <c r="G2408" s="26" t="s">
        <v>2129</v>
      </c>
      <c r="H2408" s="26" t="s">
        <v>2686</v>
      </c>
      <c r="I2408" s="54">
        <f>_xll.DBRW($A$1,$F$14,$F$15,$C2408,$A$2,$F2408,$G2408,$H2408,I$1)</f>
        <v>15</v>
      </c>
      <c r="J2408" s="25">
        <f>_xll.DBRW($A$1,$F$14,$F$15,$C2408,$A$2,$F2408,$G2408,$H2408,J$19)</f>
        <v>12</v>
      </c>
    </row>
    <row r="2409" spans="1:10" s="23" customFormat="1" outlineLevel="1" thickBot="1" x14ac:dyDescent="0.3">
      <c r="A2409" s="44"/>
      <c r="B2409" s="31" t="str">
        <f>IF(_xll.TM1RPTELISCONSOLIDATED($H$20,$H2409),IF(_xll.TM1RPTELLEV($H$20,$H2409)&lt;=5,_xll.TM1RPTELLEV($H$20,$H2409),"Default"),"Leaf")</f>
        <v>Leaf</v>
      </c>
      <c r="C2409" s="26" t="s">
        <v>22</v>
      </c>
      <c r="D2409" s="24" t="str">
        <f>_xll.DBRW("TM1-S1_DEV:}ElementAttributes_SP_SKU",$F2409,D$1)</f>
        <v>Primary</v>
      </c>
      <c r="E2409" s="24" t="str">
        <f>_xll.DBRW("TM1-S1_DEV:}ElementAttributes_SP_SKU",$F2409,E$1)</f>
        <v>CONDIMENT</v>
      </c>
      <c r="F2409" s="26" t="s">
        <v>3189</v>
      </c>
      <c r="G2409" s="26" t="s">
        <v>2130</v>
      </c>
      <c r="H2409" s="26" t="s">
        <v>2686</v>
      </c>
      <c r="I2409" s="54">
        <f>_xll.DBRW($A$1,$F$14,$F$15,$C2409,$A$2,$F2409,$G2409,$H2409,I$1)</f>
        <v>34</v>
      </c>
      <c r="J2409" s="25">
        <f>_xll.DBRW($A$1,$F$14,$F$15,$C2409,$A$2,$F2409,$G2409,$H2409,J$19)</f>
        <v>27</v>
      </c>
    </row>
    <row r="2410" spans="1:10" s="23" customFormat="1" outlineLevel="1" thickBot="1" x14ac:dyDescent="0.3">
      <c r="A2410" s="44"/>
      <c r="B2410" s="31" t="str">
        <f>IF(_xll.TM1RPTELISCONSOLIDATED($H$20,$H2410),IF(_xll.TM1RPTELLEV($H$20,$H2410)&lt;=5,_xll.TM1RPTELLEV($H$20,$H2410),"Default"),"Leaf")</f>
        <v>Leaf</v>
      </c>
      <c r="C2410" s="26" t="s">
        <v>22</v>
      </c>
      <c r="D2410" s="24" t="str">
        <f>_xll.DBRW("TM1-S1_DEV:}ElementAttributes_SP_SKU",$F2410,D$1)</f>
        <v>Primary</v>
      </c>
      <c r="E2410" s="24" t="str">
        <f>_xll.DBRW("TM1-S1_DEV:}ElementAttributes_SP_SKU",$F2410,E$1)</f>
        <v>INGREDIENT</v>
      </c>
      <c r="F2410" s="26" t="s">
        <v>3190</v>
      </c>
      <c r="G2410" s="26" t="s">
        <v>2131</v>
      </c>
      <c r="H2410" s="26" t="s">
        <v>2696</v>
      </c>
      <c r="I2410" s="54">
        <f>_xll.DBRW($A$1,$F$14,$F$15,$C2410,$A$2,$F2410,$G2410,$H2410,I$1)</f>
        <v>9</v>
      </c>
      <c r="J2410" s="25">
        <f>_xll.DBRW($A$1,$F$14,$F$15,$C2410,$A$2,$F2410,$G2410,$H2410,J$19)</f>
        <v>7</v>
      </c>
    </row>
    <row r="2411" spans="1:10" s="23" customFormat="1" outlineLevel="1" thickBot="1" x14ac:dyDescent="0.3">
      <c r="A2411" s="44"/>
      <c r="B2411" s="31" t="str">
        <f>IF(_xll.TM1RPTELISCONSOLIDATED($H$20,$H2411),IF(_xll.TM1RPTELLEV($H$20,$H2411)&lt;=5,_xll.TM1RPTELLEV($H$20,$H2411),"Default"),"Leaf")</f>
        <v>Leaf</v>
      </c>
      <c r="C2411" s="26" t="s">
        <v>22</v>
      </c>
      <c r="D2411" s="24" t="str">
        <f>_xll.DBRW("TM1-S1_DEV:}ElementAttributes_SP_SKU",$F2411,D$1)</f>
        <v>Primary</v>
      </c>
      <c r="E2411" s="24" t="str">
        <f>_xll.DBRW("TM1-S1_DEV:}ElementAttributes_SP_SKU",$F2411,E$1)</f>
        <v>INGREDIENT</v>
      </c>
      <c r="F2411" s="26" t="s">
        <v>3191</v>
      </c>
      <c r="G2411" s="26" t="s">
        <v>2132</v>
      </c>
      <c r="H2411" s="26" t="s">
        <v>2697</v>
      </c>
      <c r="I2411" s="54">
        <f>_xll.DBRW($A$1,$F$14,$F$15,$C2411,$A$2,$F2411,$G2411,$H2411,I$1)</f>
        <v>19</v>
      </c>
      <c r="J2411" s="25">
        <f>_xll.DBRW($A$1,$F$14,$F$15,$C2411,$A$2,$F2411,$G2411,$H2411,J$19)</f>
        <v>16</v>
      </c>
    </row>
    <row r="2412" spans="1:10" s="23" customFormat="1" outlineLevel="1" thickBot="1" x14ac:dyDescent="0.3">
      <c r="A2412" s="44"/>
      <c r="B2412" s="31" t="str">
        <f>IF(_xll.TM1RPTELISCONSOLIDATED($H$20,$H2412),IF(_xll.TM1RPTELLEV($H$20,$H2412)&lt;=5,_xll.TM1RPTELLEV($H$20,$H2412),"Default"),"Leaf")</f>
        <v>Leaf</v>
      </c>
      <c r="C2412" s="26" t="s">
        <v>22</v>
      </c>
      <c r="D2412" s="24" t="str">
        <f>_xll.DBRW("TM1-S1_DEV:}ElementAttributes_SP_SKU",$F2412,D$1)</f>
        <v>Primary</v>
      </c>
      <c r="E2412" s="24" t="str">
        <f>_xll.DBRW("TM1-S1_DEV:}ElementAttributes_SP_SKU",$F2412,E$1)</f>
        <v>INGREDIENT</v>
      </c>
      <c r="F2412" s="26" t="s">
        <v>3192</v>
      </c>
      <c r="G2412" s="26" t="s">
        <v>2133</v>
      </c>
      <c r="H2412" s="26" t="s">
        <v>2698</v>
      </c>
      <c r="I2412" s="54">
        <f>_xll.DBRW($A$1,$F$14,$F$15,$C2412,$A$2,$F2412,$G2412,$H2412,I$1)</f>
        <v>15</v>
      </c>
      <c r="J2412" s="25">
        <f>_xll.DBRW($A$1,$F$14,$F$15,$C2412,$A$2,$F2412,$G2412,$H2412,J$19)</f>
        <v>14</v>
      </c>
    </row>
    <row r="2413" spans="1:10" s="23" customFormat="1" outlineLevel="1" thickBot="1" x14ac:dyDescent="0.3">
      <c r="A2413" s="44"/>
      <c r="B2413" s="31" t="str">
        <f>IF(_xll.TM1RPTELISCONSOLIDATED($H$20,$H2413),IF(_xll.TM1RPTELLEV($H$20,$H2413)&lt;=5,_xll.TM1RPTELLEV($H$20,$H2413),"Default"),"Leaf")</f>
        <v>Leaf</v>
      </c>
      <c r="C2413" s="26" t="s">
        <v>22</v>
      </c>
      <c r="D2413" s="24" t="str">
        <f>_xll.DBRW("TM1-S1_DEV:}ElementAttributes_SP_SKU",$F2413,D$1)</f>
        <v>Primary</v>
      </c>
      <c r="E2413" s="24" t="str">
        <f>_xll.DBRW("TM1-S1_DEV:}ElementAttributes_SP_SKU",$F2413,E$1)</f>
        <v>INGREDIENT</v>
      </c>
      <c r="F2413" s="26" t="s">
        <v>3193</v>
      </c>
      <c r="G2413" s="26" t="s">
        <v>2134</v>
      </c>
      <c r="H2413" s="26" t="s">
        <v>2699</v>
      </c>
      <c r="I2413" s="54">
        <f>_xll.DBRW($A$1,$F$14,$F$15,$C2413,$A$2,$F2413,$G2413,$H2413,I$1)</f>
        <v>33</v>
      </c>
      <c r="J2413" s="25">
        <f>_xll.DBRW($A$1,$F$14,$F$15,$C2413,$A$2,$F2413,$G2413,$H2413,J$19)</f>
        <v>25</v>
      </c>
    </row>
    <row r="2414" spans="1:10" s="23" customFormat="1" outlineLevel="1" thickBot="1" x14ac:dyDescent="0.3">
      <c r="A2414" s="44"/>
      <c r="B2414" s="31" t="str">
        <f>IF(_xll.TM1RPTELISCONSOLIDATED($H$20,$H2414),IF(_xll.TM1RPTELLEV($H$20,$H2414)&lt;=5,_xll.TM1RPTELLEV($H$20,$H2414),"Default"),"Leaf")</f>
        <v>Leaf</v>
      </c>
      <c r="C2414" s="26" t="s">
        <v>22</v>
      </c>
      <c r="D2414" s="24" t="str">
        <f>_xll.DBRW("TM1-S1_DEV:}ElementAttributes_SP_SKU",$F2414,D$1)</f>
        <v>Primary</v>
      </c>
      <c r="E2414" s="24" t="str">
        <f>_xll.DBRW("TM1-S1_DEV:}ElementAttributes_SP_SKU",$F2414,E$1)</f>
        <v>COOKIE</v>
      </c>
      <c r="F2414" s="26" t="s">
        <v>3194</v>
      </c>
      <c r="G2414" s="26" t="s">
        <v>2135</v>
      </c>
      <c r="H2414" s="26" t="s">
        <v>2691</v>
      </c>
      <c r="I2414" s="54">
        <f>_xll.DBRW($A$1,$F$14,$F$15,$C2414,$A$2,$F2414,$G2414,$H2414,I$1)</f>
        <v>9</v>
      </c>
      <c r="J2414" s="25">
        <f>_xll.DBRW($A$1,$F$14,$F$15,$C2414,$A$2,$F2414,$G2414,$H2414,J$19)</f>
        <v>9</v>
      </c>
    </row>
    <row r="2415" spans="1:10" s="23" customFormat="1" outlineLevel="1" thickBot="1" x14ac:dyDescent="0.3">
      <c r="A2415" s="44"/>
      <c r="B2415" s="31" t="str">
        <f>IF(_xll.TM1RPTELISCONSOLIDATED($H$20,$H2415),IF(_xll.TM1RPTELLEV($H$20,$H2415)&lt;=5,_xll.TM1RPTELLEV($H$20,$H2415),"Default"),"Leaf")</f>
        <v>Leaf</v>
      </c>
      <c r="C2415" s="26" t="s">
        <v>22</v>
      </c>
      <c r="D2415" s="24" t="str">
        <f>_xll.DBRW("TM1-S1_DEV:}ElementAttributes_SP_SKU",$F2415,D$1)</f>
        <v>Primary</v>
      </c>
      <c r="E2415" s="24" t="str">
        <f>_xll.DBRW("TM1-S1_DEV:}ElementAttributes_SP_SKU",$F2415,E$1)</f>
        <v>COOKIE</v>
      </c>
      <c r="F2415" s="26" t="s">
        <v>3195</v>
      </c>
      <c r="G2415" s="26" t="s">
        <v>2136</v>
      </c>
      <c r="H2415" s="26" t="s">
        <v>2691</v>
      </c>
      <c r="I2415" s="54">
        <f>_xll.DBRW($A$1,$F$14,$F$15,$C2415,$A$2,$F2415,$G2415,$H2415,I$1)</f>
        <v>10</v>
      </c>
      <c r="J2415" s="25">
        <f>_xll.DBRW($A$1,$F$14,$F$15,$C2415,$A$2,$F2415,$G2415,$H2415,J$19)</f>
        <v>10</v>
      </c>
    </row>
    <row r="2416" spans="1:10" s="23" customFormat="1" outlineLevel="1" thickBot="1" x14ac:dyDescent="0.3">
      <c r="A2416" s="44"/>
      <c r="B2416" s="31" t="str">
        <f>IF(_xll.TM1RPTELISCONSOLIDATED($H$20,$H2416),IF(_xll.TM1RPTELLEV($H$20,$H2416)&lt;=5,_xll.TM1RPTELLEV($H$20,$H2416),"Default"),"Leaf")</f>
        <v>Leaf</v>
      </c>
      <c r="C2416" s="26" t="s">
        <v>22</v>
      </c>
      <c r="D2416" s="24" t="str">
        <f>_xll.DBRW("TM1-S1_DEV:}ElementAttributes_SP_SKU",$F2416,D$1)</f>
        <v>Primary</v>
      </c>
      <c r="E2416" s="24" t="str">
        <f>_xll.DBRW("TM1-S1_DEV:}ElementAttributes_SP_SKU",$F2416,E$1)</f>
        <v>COOKIE</v>
      </c>
      <c r="F2416" s="26" t="s">
        <v>3196</v>
      </c>
      <c r="G2416" s="26" t="s">
        <v>2137</v>
      </c>
      <c r="H2416" s="26" t="s">
        <v>2691</v>
      </c>
      <c r="I2416" s="54">
        <f>_xll.DBRW($A$1,$F$14,$F$15,$C2416,$A$2,$F2416,$G2416,$H2416,I$1)</f>
        <v>12</v>
      </c>
      <c r="J2416" s="25">
        <f>_xll.DBRW($A$1,$F$14,$F$15,$C2416,$A$2,$F2416,$G2416,$H2416,J$19)</f>
        <v>12</v>
      </c>
    </row>
    <row r="2417" spans="1:10" s="23" customFormat="1" outlineLevel="1" thickBot="1" x14ac:dyDescent="0.3">
      <c r="A2417" s="44"/>
      <c r="B2417" s="31" t="str">
        <f>IF(_xll.TM1RPTELISCONSOLIDATED($H$20,$H2417),IF(_xll.TM1RPTELLEV($H$20,$H2417)&lt;=5,_xll.TM1RPTELLEV($H$20,$H2417),"Default"),"Leaf")</f>
        <v>Leaf</v>
      </c>
      <c r="C2417" s="26" t="s">
        <v>22</v>
      </c>
      <c r="D2417" s="24" t="str">
        <f>_xll.DBRW("TM1-S1_DEV:}ElementAttributes_SP_SKU",$F2417,D$1)</f>
        <v>Primary</v>
      </c>
      <c r="E2417" s="24" t="str">
        <f>_xll.DBRW("TM1-S1_DEV:}ElementAttributes_SP_SKU",$F2417,E$1)</f>
        <v>INGREDIENT</v>
      </c>
      <c r="F2417" s="26" t="s">
        <v>3197</v>
      </c>
      <c r="G2417" s="26" t="s">
        <v>2138</v>
      </c>
      <c r="H2417" s="26" t="s">
        <v>2686</v>
      </c>
      <c r="I2417" s="54">
        <f>_xll.DBRW($A$1,$F$14,$F$15,$C2417,$A$2,$F2417,$G2417,$H2417,I$1)</f>
        <v>10</v>
      </c>
      <c r="J2417" s="25">
        <f>_xll.DBRW($A$1,$F$14,$F$15,$C2417,$A$2,$F2417,$G2417,$H2417,J$19)</f>
        <v>8</v>
      </c>
    </row>
    <row r="2418" spans="1:10" s="23" customFormat="1" outlineLevel="1" thickBot="1" x14ac:dyDescent="0.3">
      <c r="A2418" s="44"/>
      <c r="B2418" s="31" t="str">
        <f>IF(_xll.TM1RPTELISCONSOLIDATED($H$20,$H2418),IF(_xll.TM1RPTELLEV($H$20,$H2418)&lt;=5,_xll.TM1RPTELLEV($H$20,$H2418),"Default"),"Leaf")</f>
        <v>Leaf</v>
      </c>
      <c r="C2418" s="26" t="s">
        <v>22</v>
      </c>
      <c r="D2418" s="24" t="str">
        <f>_xll.DBRW("TM1-S1_DEV:}ElementAttributes_SP_SKU",$F2418,D$1)</f>
        <v>Primary</v>
      </c>
      <c r="E2418" s="24" t="str">
        <f>_xll.DBRW("TM1-S1_DEV:}ElementAttributes_SP_SKU",$F2418,E$1)</f>
        <v>INGREDIENT</v>
      </c>
      <c r="F2418" s="26" t="s">
        <v>30</v>
      </c>
      <c r="G2418" s="26" t="s">
        <v>2139</v>
      </c>
      <c r="H2418" s="26" t="s">
        <v>2700</v>
      </c>
      <c r="I2418" s="54">
        <f>_xll.DBRW($A$1,$F$14,$F$15,$C2418,$A$2,$F2418,$G2418,$H2418,I$1)</f>
        <v>9</v>
      </c>
      <c r="J2418" s="25">
        <f>_xll.DBRW($A$1,$F$14,$F$15,$C2418,$A$2,$F2418,$G2418,$H2418,J$19)</f>
        <v>7</v>
      </c>
    </row>
    <row r="2419" spans="1:10" s="23" customFormat="1" outlineLevel="1" thickBot="1" x14ac:dyDescent="0.3">
      <c r="A2419" s="44"/>
      <c r="B2419" s="31" t="str">
        <f>IF(_xll.TM1RPTELISCONSOLIDATED($H$20,$H2419),IF(_xll.TM1RPTELLEV($H$20,$H2419)&lt;=5,_xll.TM1RPTELLEV($H$20,$H2419),"Default"),"Leaf")</f>
        <v>Leaf</v>
      </c>
      <c r="C2419" s="26" t="s">
        <v>22</v>
      </c>
      <c r="D2419" s="24" t="str">
        <f>_xll.DBRW("TM1-S1_DEV:}ElementAttributes_SP_SKU",$F2419,D$1)</f>
        <v>Primary</v>
      </c>
      <c r="E2419" s="24" t="str">
        <f>_xll.DBRW("TM1-S1_DEV:}ElementAttributes_SP_SKU",$F2419,E$1)</f>
        <v>INGREDIENT</v>
      </c>
      <c r="F2419" s="26" t="s">
        <v>3198</v>
      </c>
      <c r="G2419" s="26" t="s">
        <v>2140</v>
      </c>
      <c r="H2419" s="26" t="s">
        <v>2701</v>
      </c>
      <c r="I2419" s="54">
        <f>_xll.DBRW($A$1,$F$14,$F$15,$C2419,$A$2,$F2419,$G2419,$H2419,I$1)</f>
        <v>32</v>
      </c>
      <c r="J2419" s="25">
        <f>_xll.DBRW($A$1,$F$14,$F$15,$C2419,$A$2,$F2419,$G2419,$H2419,J$19)</f>
        <v>29</v>
      </c>
    </row>
    <row r="2420" spans="1:10" s="23" customFormat="1" outlineLevel="1" thickBot="1" x14ac:dyDescent="0.3">
      <c r="A2420" s="44"/>
      <c r="B2420" s="31" t="str">
        <f>IF(_xll.TM1RPTELISCONSOLIDATED($H$20,$H2420),IF(_xll.TM1RPTELLEV($H$20,$H2420)&lt;=5,_xll.TM1RPTELLEV($H$20,$H2420),"Default"),"Leaf")</f>
        <v>Leaf</v>
      </c>
      <c r="C2420" s="26" t="s">
        <v>22</v>
      </c>
      <c r="D2420" s="24" t="str">
        <f>_xll.DBRW("TM1-S1_DEV:}ElementAttributes_SP_SKU",$F2420,D$1)</f>
        <v>Primary</v>
      </c>
      <c r="E2420" s="24" t="str">
        <f>_xll.DBRW("TM1-S1_DEV:}ElementAttributes_SP_SKU",$F2420,E$1)</f>
        <v>BOX</v>
      </c>
      <c r="F2420" s="26" t="s">
        <v>3199</v>
      </c>
      <c r="G2420" s="26" t="s">
        <v>2141</v>
      </c>
      <c r="H2420" s="26" t="s">
        <v>2702</v>
      </c>
      <c r="I2420" s="54">
        <f>_xll.DBRW($A$1,$F$14,$F$15,$C2420,$A$2,$F2420,$G2420,$H2420,I$1)</f>
        <v>2</v>
      </c>
      <c r="J2420" s="25">
        <f>_xll.DBRW($A$1,$F$14,$F$15,$C2420,$A$2,$F2420,$G2420,$H2420,J$19)</f>
        <v>1</v>
      </c>
    </row>
    <row r="2421" spans="1:10" s="23" customFormat="1" outlineLevel="1" thickBot="1" x14ac:dyDescent="0.3">
      <c r="A2421" s="44"/>
      <c r="B2421" s="31" t="str">
        <f>IF(_xll.TM1RPTELISCONSOLIDATED($H$20,$H2421),IF(_xll.TM1RPTELLEV($H$20,$H2421)&lt;=5,_xll.TM1RPTELLEV($H$20,$H2421),"Default"),"Leaf")</f>
        <v>Leaf</v>
      </c>
      <c r="C2421" s="26" t="s">
        <v>22</v>
      </c>
      <c r="D2421" s="24" t="str">
        <f>_xll.DBRW("TM1-S1_DEV:}ElementAttributes_SP_SKU",$F2421,D$1)</f>
        <v>Primary</v>
      </c>
      <c r="E2421" s="24" t="str">
        <f>_xll.DBRW("TM1-S1_DEV:}ElementAttributes_SP_SKU",$F2421,E$1)</f>
        <v>TRAY</v>
      </c>
      <c r="F2421" s="26" t="s">
        <v>3200</v>
      </c>
      <c r="G2421" s="26" t="s">
        <v>2142</v>
      </c>
      <c r="H2421" s="26" t="s">
        <v>2703</v>
      </c>
      <c r="I2421" s="54">
        <f>_xll.DBRW($A$1,$F$14,$F$15,$C2421,$A$2,$F2421,$G2421,$H2421,I$1)</f>
        <v>11</v>
      </c>
      <c r="J2421" s="25">
        <f>_xll.DBRW($A$1,$F$14,$F$15,$C2421,$A$2,$F2421,$G2421,$H2421,J$19)</f>
        <v>11</v>
      </c>
    </row>
    <row r="2422" spans="1:10" s="23" customFormat="1" outlineLevel="1" thickBot="1" x14ac:dyDescent="0.3">
      <c r="A2422" s="44"/>
      <c r="B2422" s="31" t="str">
        <f>IF(_xll.TM1RPTELISCONSOLIDATED($H$20,$H2422),IF(_xll.TM1RPTELLEV($H$20,$H2422)&lt;=5,_xll.TM1RPTELLEV($H$20,$H2422),"Default"),"Leaf")</f>
        <v>Leaf</v>
      </c>
      <c r="C2422" s="26" t="s">
        <v>22</v>
      </c>
      <c r="D2422" s="24" t="str">
        <f>_xll.DBRW("TM1-S1_DEV:}ElementAttributes_SP_SKU",$F2422,D$1)</f>
        <v>Primary</v>
      </c>
      <c r="E2422" s="24" t="str">
        <f>_xll.DBRW("TM1-S1_DEV:}ElementAttributes_SP_SKU",$F2422,E$1)</f>
        <v>TRAY</v>
      </c>
      <c r="F2422" s="26" t="s">
        <v>3201</v>
      </c>
      <c r="G2422" s="26" t="s">
        <v>2143</v>
      </c>
      <c r="H2422" s="26" t="s">
        <v>2703</v>
      </c>
      <c r="I2422" s="54">
        <f>_xll.DBRW($A$1,$F$14,$F$15,$C2422,$A$2,$F2422,$G2422,$H2422,I$1)</f>
        <v>9</v>
      </c>
      <c r="J2422" s="25">
        <f>_xll.DBRW($A$1,$F$14,$F$15,$C2422,$A$2,$F2422,$G2422,$H2422,J$19)</f>
        <v>9</v>
      </c>
    </row>
    <row r="2423" spans="1:10" s="23" customFormat="1" outlineLevel="1" thickBot="1" x14ac:dyDescent="0.3">
      <c r="A2423" s="44"/>
      <c r="B2423" s="31" t="str">
        <f>IF(_xll.TM1RPTELISCONSOLIDATED($H$20,$H2423),IF(_xll.TM1RPTELLEV($H$20,$H2423)&lt;=5,_xll.TM1RPTELLEV($H$20,$H2423),"Default"),"Leaf")</f>
        <v>Leaf</v>
      </c>
      <c r="C2423" s="26" t="s">
        <v>22</v>
      </c>
      <c r="D2423" s="24" t="str">
        <f>_xll.DBRW("TM1-S1_DEV:}ElementAttributes_SP_SKU",$F2423,D$1)</f>
        <v>Primary</v>
      </c>
      <c r="E2423" s="24" t="str">
        <f>_xll.DBRW("TM1-S1_DEV:}ElementAttributes_SP_SKU",$F2423,E$1)</f>
        <v>TRAY</v>
      </c>
      <c r="F2423" s="26" t="s">
        <v>3202</v>
      </c>
      <c r="G2423" s="26" t="s">
        <v>2144</v>
      </c>
      <c r="H2423" s="26" t="s">
        <v>2703</v>
      </c>
      <c r="I2423" s="54">
        <f>_xll.DBRW($A$1,$F$14,$F$15,$C2423,$A$2,$F2423,$G2423,$H2423,I$1)</f>
        <v>15</v>
      </c>
      <c r="J2423" s="25">
        <f>_xll.DBRW($A$1,$F$14,$F$15,$C2423,$A$2,$F2423,$G2423,$H2423,J$19)</f>
        <v>15</v>
      </c>
    </row>
    <row r="2424" spans="1:10" s="23" customFormat="1" outlineLevel="1" thickBot="1" x14ac:dyDescent="0.3">
      <c r="A2424" s="44"/>
      <c r="B2424" s="31" t="str">
        <f>IF(_xll.TM1RPTELISCONSOLIDATED($H$20,$H2424),IF(_xll.TM1RPTELLEV($H$20,$H2424)&lt;=5,_xll.TM1RPTELLEV($H$20,$H2424),"Default"),"Leaf")</f>
        <v>Leaf</v>
      </c>
      <c r="C2424" s="26" t="s">
        <v>22</v>
      </c>
      <c r="D2424" s="24" t="str">
        <f>_xll.DBRW("TM1-S1_DEV:}ElementAttributes_SP_SKU",$F2424,D$1)</f>
        <v>Primary</v>
      </c>
      <c r="E2424" s="24" t="str">
        <f>_xll.DBRW("TM1-S1_DEV:}ElementAttributes_SP_SKU",$F2424,E$1)</f>
        <v>TRAY</v>
      </c>
      <c r="F2424" s="26" t="s">
        <v>3203</v>
      </c>
      <c r="G2424" s="26" t="s">
        <v>2145</v>
      </c>
      <c r="H2424" s="26" t="s">
        <v>2703</v>
      </c>
      <c r="I2424" s="54">
        <f>_xll.DBRW($A$1,$F$14,$F$15,$C2424,$A$2,$F2424,$G2424,$H2424,I$1)</f>
        <v>16</v>
      </c>
      <c r="J2424" s="25">
        <f>_xll.DBRW($A$1,$F$14,$F$15,$C2424,$A$2,$F2424,$G2424,$H2424,J$19)</f>
        <v>15</v>
      </c>
    </row>
    <row r="2425" spans="1:10" s="23" customFormat="1" outlineLevel="1" thickBot="1" x14ac:dyDescent="0.3">
      <c r="A2425" s="44"/>
      <c r="B2425" s="31" t="str">
        <f>IF(_xll.TM1RPTELISCONSOLIDATED($H$20,$H2425),IF(_xll.TM1RPTELLEV($H$20,$H2425)&lt;=5,_xll.TM1RPTELLEV($H$20,$H2425),"Default"),"Leaf")</f>
        <v>Leaf</v>
      </c>
      <c r="C2425" s="26" t="s">
        <v>22</v>
      </c>
      <c r="D2425" s="24" t="str">
        <f>_xll.DBRW("TM1-S1_DEV:}ElementAttributes_SP_SKU",$F2425,D$1)</f>
        <v>Primary</v>
      </c>
      <c r="E2425" s="24" t="str">
        <f>_xll.DBRW("TM1-S1_DEV:}ElementAttributes_SP_SKU",$F2425,E$1)</f>
        <v>FOIL</v>
      </c>
      <c r="F2425" s="26" t="s">
        <v>3204</v>
      </c>
      <c r="G2425" s="26" t="s">
        <v>2146</v>
      </c>
      <c r="H2425" s="26" t="s">
        <v>2704</v>
      </c>
      <c r="I2425" s="54">
        <f>_xll.DBRW($A$1,$F$14,$F$15,$C2425,$A$2,$F2425,$G2425,$H2425,I$1)</f>
        <v>63</v>
      </c>
      <c r="J2425" s="25">
        <f>_xll.DBRW($A$1,$F$14,$F$15,$C2425,$A$2,$F2425,$G2425,$H2425,J$19)</f>
        <v>41</v>
      </c>
    </row>
    <row r="2426" spans="1:10" s="23" customFormat="1" outlineLevel="1" thickBot="1" x14ac:dyDescent="0.3">
      <c r="A2426" s="44"/>
      <c r="B2426" s="31" t="str">
        <f>IF(_xll.TM1RPTELISCONSOLIDATED($H$20,$H2426),IF(_xll.TM1RPTELLEV($H$20,$H2426)&lt;=5,_xll.TM1RPTELLEV($H$20,$H2426),"Default"),"Leaf")</f>
        <v>Leaf</v>
      </c>
      <c r="C2426" s="26" t="s">
        <v>22</v>
      </c>
      <c r="D2426" s="24" t="str">
        <f>_xll.DBRW("TM1-S1_DEV:}ElementAttributes_SP_SKU",$F2426,D$1)</f>
        <v>Primary</v>
      </c>
      <c r="E2426" s="24" t="str">
        <f>_xll.DBRW("TM1-S1_DEV:}ElementAttributes_SP_SKU",$F2426,E$1)</f>
        <v>BAG</v>
      </c>
      <c r="F2426" s="26" t="s">
        <v>3205</v>
      </c>
      <c r="G2426" s="26" t="s">
        <v>2147</v>
      </c>
      <c r="H2426" s="26" t="s">
        <v>2705</v>
      </c>
      <c r="I2426" s="54">
        <f>_xll.DBRW($A$1,$F$14,$F$15,$C2426,$A$2,$F2426,$G2426,$H2426,I$1)</f>
        <v>32</v>
      </c>
      <c r="J2426" s="25">
        <f>_xll.DBRW($A$1,$F$14,$F$15,$C2426,$A$2,$F2426,$G2426,$H2426,J$19)</f>
        <v>30</v>
      </c>
    </row>
    <row r="2427" spans="1:10" s="23" customFormat="1" outlineLevel="1" thickBot="1" x14ac:dyDescent="0.3">
      <c r="A2427" s="44"/>
      <c r="B2427" s="31" t="str">
        <f>IF(_xll.TM1RPTELISCONSOLIDATED($H$20,$H2427),IF(_xll.TM1RPTELLEV($H$20,$H2427)&lt;=5,_xll.TM1RPTELLEV($H$20,$H2427),"Default"),"Leaf")</f>
        <v>Leaf</v>
      </c>
      <c r="C2427" s="26" t="s">
        <v>22</v>
      </c>
      <c r="D2427" s="24" t="str">
        <f>_xll.DBRW("TM1-S1_DEV:}ElementAttributes_SP_SKU",$F2427,D$1)</f>
        <v>Primary</v>
      </c>
      <c r="E2427" s="24" t="str">
        <f>_xll.DBRW("TM1-S1_DEV:}ElementAttributes_SP_SKU",$F2427,E$1)</f>
        <v>FOIL</v>
      </c>
      <c r="F2427" s="26" t="s">
        <v>3206</v>
      </c>
      <c r="G2427" s="26" t="s">
        <v>2148</v>
      </c>
      <c r="H2427" s="26" t="s">
        <v>2704</v>
      </c>
      <c r="I2427" s="54">
        <f>_xll.DBRW($A$1,$F$14,$F$15,$C2427,$A$2,$F2427,$G2427,$H2427,I$1)</f>
        <v>31</v>
      </c>
      <c r="J2427" s="25">
        <f>_xll.DBRW($A$1,$F$14,$F$15,$C2427,$A$2,$F2427,$G2427,$H2427,J$19)</f>
        <v>23</v>
      </c>
    </row>
    <row r="2428" spans="1:10" s="23" customFormat="1" outlineLevel="1" thickBot="1" x14ac:dyDescent="0.3">
      <c r="A2428" s="44"/>
      <c r="B2428" s="31" t="str">
        <f>IF(_xll.TM1RPTELISCONSOLIDATED($H$20,$H2428),IF(_xll.TM1RPTELLEV($H$20,$H2428)&lt;=5,_xll.TM1RPTELLEV($H$20,$H2428),"Default"),"Leaf")</f>
        <v>Leaf</v>
      </c>
      <c r="C2428" s="26" t="s">
        <v>22</v>
      </c>
      <c r="D2428" s="24" t="str">
        <f>_xll.DBRW("TM1-S1_DEV:}ElementAttributes_SP_SKU",$F2428,D$1)</f>
        <v>Primary</v>
      </c>
      <c r="E2428" s="24" t="str">
        <f>_xll.DBRW("TM1-S1_DEV:}ElementAttributes_SP_SKU",$F2428,E$1)</f>
        <v>BAG</v>
      </c>
      <c r="F2428" s="26" t="s">
        <v>3208</v>
      </c>
      <c r="G2428" s="26" t="s">
        <v>2150</v>
      </c>
      <c r="H2428" s="26" t="s">
        <v>2705</v>
      </c>
      <c r="I2428" s="54">
        <f>_xll.DBRW($A$1,$F$14,$F$15,$C2428,$A$2,$F2428,$G2428,$H2428,I$1)</f>
        <v>13</v>
      </c>
      <c r="J2428" s="25">
        <f>_xll.DBRW($A$1,$F$14,$F$15,$C2428,$A$2,$F2428,$G2428,$H2428,J$19)</f>
        <v>11</v>
      </c>
    </row>
    <row r="2429" spans="1:10" s="23" customFormat="1" outlineLevel="1" thickBot="1" x14ac:dyDescent="0.3">
      <c r="A2429" s="44"/>
      <c r="B2429" s="31" t="str">
        <f>IF(_xll.TM1RPTELISCONSOLIDATED($H$20,$H2429),IF(_xll.TM1RPTELLEV($H$20,$H2429)&lt;=5,_xll.TM1RPTELLEV($H$20,$H2429),"Default"),"Leaf")</f>
        <v>Leaf</v>
      </c>
      <c r="C2429" s="26" t="s">
        <v>22</v>
      </c>
      <c r="D2429" s="24" t="str">
        <f>_xll.DBRW("TM1-S1_DEV:}ElementAttributes_SP_SKU",$F2429,D$1)</f>
        <v>Primary</v>
      </c>
      <c r="E2429" s="24" t="str">
        <f>_xll.DBRW("TM1-S1_DEV:}ElementAttributes_SP_SKU",$F2429,E$1)</f>
        <v>BAG</v>
      </c>
      <c r="F2429" s="26" t="s">
        <v>3209</v>
      </c>
      <c r="G2429" s="26" t="s">
        <v>2151</v>
      </c>
      <c r="H2429" s="26" t="s">
        <v>2705</v>
      </c>
      <c r="I2429" s="54">
        <f>_xll.DBRW($A$1,$F$14,$F$15,$C2429,$A$2,$F2429,$G2429,$H2429,I$1)</f>
        <v>39</v>
      </c>
      <c r="J2429" s="25">
        <f>_xll.DBRW($A$1,$F$14,$F$15,$C2429,$A$2,$F2429,$G2429,$H2429,J$19)</f>
        <v>25</v>
      </c>
    </row>
    <row r="2430" spans="1:10" s="23" customFormat="1" outlineLevel="1" thickBot="1" x14ac:dyDescent="0.3">
      <c r="A2430" s="44"/>
      <c r="B2430" s="31" t="str">
        <f>IF(_xll.TM1RPTELISCONSOLIDATED($H$20,$H2430),IF(_xll.TM1RPTELLEV($H$20,$H2430)&lt;=5,_xll.TM1RPTELLEV($H$20,$H2430),"Default"),"Leaf")</f>
        <v>Leaf</v>
      </c>
      <c r="C2430" s="26" t="s">
        <v>22</v>
      </c>
      <c r="D2430" s="24" t="str">
        <f>_xll.DBRW("TM1-S1_DEV:}ElementAttributes_SP_SKU",$F2430,D$1)</f>
        <v>Primary</v>
      </c>
      <c r="E2430" s="24" t="str">
        <f>_xll.DBRW("TM1-S1_DEV:}ElementAttributes_SP_SKU",$F2430,E$1)</f>
        <v>BAG</v>
      </c>
      <c r="F2430" s="26" t="s">
        <v>3210</v>
      </c>
      <c r="G2430" s="26" t="s">
        <v>2152</v>
      </c>
      <c r="H2430" s="26" t="s">
        <v>2705</v>
      </c>
      <c r="I2430" s="54">
        <f>_xll.DBRW($A$1,$F$14,$F$15,$C2430,$A$2,$F2430,$G2430,$H2430,I$1)</f>
        <v>17</v>
      </c>
      <c r="J2430" s="25">
        <f>_xll.DBRW($A$1,$F$14,$F$15,$C2430,$A$2,$F2430,$G2430,$H2430,J$19)</f>
        <v>16</v>
      </c>
    </row>
    <row r="2431" spans="1:10" s="23" customFormat="1" outlineLevel="1" thickBot="1" x14ac:dyDescent="0.3">
      <c r="A2431" s="44"/>
      <c r="B2431" s="31" t="str">
        <f>IF(_xll.TM1RPTELISCONSOLIDATED($H$20,$H2431),IF(_xll.TM1RPTELLEV($H$20,$H2431)&lt;=5,_xll.TM1RPTELLEV($H$20,$H2431),"Default"),"Leaf")</f>
        <v>Leaf</v>
      </c>
      <c r="C2431" s="26" t="s">
        <v>22</v>
      </c>
      <c r="D2431" s="24" t="str">
        <f>_xll.DBRW("TM1-S1_DEV:}ElementAttributes_SP_SKU",$F2431,D$1)</f>
        <v>Primary</v>
      </c>
      <c r="E2431" s="24" t="str">
        <f>_xll.DBRW("TM1-S1_DEV:}ElementAttributes_SP_SKU",$F2431,E$1)</f>
        <v>BOX</v>
      </c>
      <c r="F2431" s="26" t="s">
        <v>3211</v>
      </c>
      <c r="G2431" s="26" t="s">
        <v>2153</v>
      </c>
      <c r="H2431" s="26" t="s">
        <v>2706</v>
      </c>
      <c r="I2431" s="54">
        <f>_xll.DBRW($A$1,$F$14,$F$15,$C2431,$A$2,$F2431,$G2431,$H2431,I$1)</f>
        <v>55</v>
      </c>
      <c r="J2431" s="25">
        <f>_xll.DBRW($A$1,$F$14,$F$15,$C2431,$A$2,$F2431,$G2431,$H2431,J$19)</f>
        <v>49</v>
      </c>
    </row>
    <row r="2432" spans="1:10" s="23" customFormat="1" outlineLevel="1" thickBot="1" x14ac:dyDescent="0.3">
      <c r="A2432" s="44"/>
      <c r="B2432" s="31" t="str">
        <f>IF(_xll.TM1RPTELISCONSOLIDATED($H$20,$H2432),IF(_xll.TM1RPTELLEV($H$20,$H2432)&lt;=5,_xll.TM1RPTELLEV($H$20,$H2432),"Default"),"Leaf")</f>
        <v>Leaf</v>
      </c>
      <c r="C2432" s="26" t="s">
        <v>22</v>
      </c>
      <c r="D2432" s="24" t="str">
        <f>_xll.DBRW("TM1-S1_DEV:}ElementAttributes_SP_SKU",$F2432,D$1)</f>
        <v>Primary</v>
      </c>
      <c r="E2432" s="24" t="str">
        <f>_xll.DBRW("TM1-S1_DEV:}ElementAttributes_SP_SKU",$F2432,E$1)</f>
        <v>FOIL</v>
      </c>
      <c r="F2432" s="26" t="s">
        <v>3212</v>
      </c>
      <c r="G2432" s="26" t="s">
        <v>2154</v>
      </c>
      <c r="H2432" s="26" t="s">
        <v>2704</v>
      </c>
      <c r="I2432" s="54">
        <f>_xll.DBRW($A$1,$F$14,$F$15,$C2432,$A$2,$F2432,$G2432,$H2432,I$1)</f>
        <v>36</v>
      </c>
      <c r="J2432" s="25">
        <f>_xll.DBRW($A$1,$F$14,$F$15,$C2432,$A$2,$F2432,$G2432,$H2432,J$19)</f>
        <v>27</v>
      </c>
    </row>
    <row r="2433" spans="1:10" s="23" customFormat="1" outlineLevel="1" thickBot="1" x14ac:dyDescent="0.3">
      <c r="A2433" s="44"/>
      <c r="B2433" s="31" t="str">
        <f>IF(_xll.TM1RPTELISCONSOLIDATED($H$20,$H2433),IF(_xll.TM1RPTELLEV($H$20,$H2433)&lt;=5,_xll.TM1RPTELLEV($H$20,$H2433),"Default"),"Leaf")</f>
        <v>Leaf</v>
      </c>
      <c r="C2433" s="26" t="s">
        <v>22</v>
      </c>
      <c r="D2433" s="24" t="str">
        <f>_xll.DBRW("TM1-S1_DEV:}ElementAttributes_SP_SKU",$F2433,D$1)</f>
        <v>Primary</v>
      </c>
      <c r="E2433" s="24" t="str">
        <f>_xll.DBRW("TM1-S1_DEV:}ElementAttributes_SP_SKU",$F2433,E$1)</f>
        <v>TRAY</v>
      </c>
      <c r="F2433" s="26" t="s">
        <v>3213</v>
      </c>
      <c r="G2433" s="26" t="s">
        <v>2155</v>
      </c>
      <c r="H2433" s="26" t="s">
        <v>2703</v>
      </c>
      <c r="I2433" s="54">
        <f>_xll.DBRW($A$1,$F$14,$F$15,$C2433,$A$2,$F2433,$G2433,$H2433,I$1)</f>
        <v>16</v>
      </c>
      <c r="J2433" s="25">
        <f>_xll.DBRW($A$1,$F$14,$F$15,$C2433,$A$2,$F2433,$G2433,$H2433,J$19)</f>
        <v>16</v>
      </c>
    </row>
    <row r="2434" spans="1:10" s="23" customFormat="1" outlineLevel="1" thickBot="1" x14ac:dyDescent="0.3">
      <c r="A2434" s="44"/>
      <c r="B2434" s="31" t="str">
        <f>IF(_xll.TM1RPTELISCONSOLIDATED($H$20,$H2434),IF(_xll.TM1RPTELLEV($H$20,$H2434)&lt;=5,_xll.TM1RPTELLEV($H$20,$H2434),"Default"),"Leaf")</f>
        <v>Leaf</v>
      </c>
      <c r="C2434" s="26" t="s">
        <v>22</v>
      </c>
      <c r="D2434" s="24" t="str">
        <f>_xll.DBRW("TM1-S1_DEV:}ElementAttributes_SP_SKU",$F2434,D$1)</f>
        <v>Primary</v>
      </c>
      <c r="E2434" s="24" t="str">
        <f>_xll.DBRW("TM1-S1_DEV:}ElementAttributes_SP_SKU",$F2434,E$1)</f>
        <v>TRAY</v>
      </c>
      <c r="F2434" s="26" t="s">
        <v>3214</v>
      </c>
      <c r="G2434" s="26" t="s">
        <v>2156</v>
      </c>
      <c r="H2434" s="26" t="s">
        <v>2703</v>
      </c>
      <c r="I2434" s="54">
        <f>_xll.DBRW($A$1,$F$14,$F$15,$C2434,$A$2,$F2434,$G2434,$H2434,I$1)</f>
        <v>13</v>
      </c>
      <c r="J2434" s="25">
        <f>_xll.DBRW($A$1,$F$14,$F$15,$C2434,$A$2,$F2434,$G2434,$H2434,J$19)</f>
        <v>13</v>
      </c>
    </row>
    <row r="2435" spans="1:10" s="23" customFormat="1" outlineLevel="1" thickBot="1" x14ac:dyDescent="0.3">
      <c r="A2435" s="44"/>
      <c r="B2435" s="31" t="str">
        <f>IF(_xll.TM1RPTELISCONSOLIDATED($H$20,$H2435),IF(_xll.TM1RPTELLEV($H$20,$H2435)&lt;=5,_xll.TM1RPTELLEV($H$20,$H2435),"Default"),"Leaf")</f>
        <v>Leaf</v>
      </c>
      <c r="C2435" s="26" t="s">
        <v>22</v>
      </c>
      <c r="D2435" s="24" t="str">
        <f>_xll.DBRW("TM1-S1_DEV:}ElementAttributes_SP_SKU",$F2435,D$1)</f>
        <v>Primary</v>
      </c>
      <c r="E2435" s="24" t="str">
        <f>_xll.DBRW("TM1-S1_DEV:}ElementAttributes_SP_SKU",$F2435,E$1)</f>
        <v>BOWL</v>
      </c>
      <c r="F2435" s="26" t="s">
        <v>3215</v>
      </c>
      <c r="G2435" s="26" t="s">
        <v>2157</v>
      </c>
      <c r="H2435" s="26" t="s">
        <v>2703</v>
      </c>
      <c r="I2435" s="54">
        <f>_xll.DBRW($A$1,$F$14,$F$15,$C2435,$A$2,$F2435,$G2435,$H2435,I$1)</f>
        <v>16</v>
      </c>
      <c r="J2435" s="25">
        <f>_xll.DBRW($A$1,$F$14,$F$15,$C2435,$A$2,$F2435,$G2435,$H2435,J$19)</f>
        <v>15</v>
      </c>
    </row>
    <row r="2436" spans="1:10" s="23" customFormat="1" outlineLevel="1" thickBot="1" x14ac:dyDescent="0.3">
      <c r="A2436" s="44"/>
      <c r="B2436" s="31" t="str">
        <f>IF(_xll.TM1RPTELISCONSOLIDATED($H$20,$H2436),IF(_xll.TM1RPTELLEV($H$20,$H2436)&lt;=5,_xll.TM1RPTELLEV($H$20,$H2436),"Default"),"Leaf")</f>
        <v>Leaf</v>
      </c>
      <c r="C2436" s="26" t="s">
        <v>22</v>
      </c>
      <c r="D2436" s="24" t="str">
        <f>_xll.DBRW("TM1-S1_DEV:}ElementAttributes_SP_SKU",$F2436,D$1)</f>
        <v>Primary</v>
      </c>
      <c r="E2436" s="24" t="str">
        <f>_xll.DBRW("TM1-S1_DEV:}ElementAttributes_SP_SKU",$F2436,E$1)</f>
        <v>BOWL</v>
      </c>
      <c r="F2436" s="26" t="s">
        <v>3216</v>
      </c>
      <c r="G2436" s="26" t="s">
        <v>2158</v>
      </c>
      <c r="H2436" s="26" t="s">
        <v>2703</v>
      </c>
      <c r="I2436" s="54">
        <f>_xll.DBRW($A$1,$F$14,$F$15,$C2436,$A$2,$F2436,$G2436,$H2436,I$1)</f>
        <v>16</v>
      </c>
      <c r="J2436" s="25">
        <f>_xll.DBRW($A$1,$F$14,$F$15,$C2436,$A$2,$F2436,$G2436,$H2436,J$19)</f>
        <v>15</v>
      </c>
    </row>
    <row r="2437" spans="1:10" s="23" customFormat="1" outlineLevel="1" thickBot="1" x14ac:dyDescent="0.3">
      <c r="A2437" s="44"/>
      <c r="B2437" s="31" t="str">
        <f>IF(_xll.TM1RPTELISCONSOLIDATED($H$20,$H2437),IF(_xll.TM1RPTELLEV($H$20,$H2437)&lt;=5,_xll.TM1RPTELLEV($H$20,$H2437),"Default"),"Leaf")</f>
        <v>Leaf</v>
      </c>
      <c r="C2437" s="26" t="s">
        <v>22</v>
      </c>
      <c r="D2437" s="24" t="str">
        <f>_xll.DBRW("TM1-S1_DEV:}ElementAttributes_SP_SKU",$F2437,D$1)</f>
        <v>Primary</v>
      </c>
      <c r="E2437" s="24" t="str">
        <f>_xll.DBRW("TM1-S1_DEV:}ElementAttributes_SP_SKU",$F2437,E$1)</f>
        <v>UTENSIL</v>
      </c>
      <c r="F2437" s="26" t="s">
        <v>3217</v>
      </c>
      <c r="G2437" s="26" t="s">
        <v>2159</v>
      </c>
      <c r="H2437" s="26" t="s">
        <v>2703</v>
      </c>
      <c r="I2437" s="54">
        <f>_xll.DBRW($A$1,$F$14,$F$15,$C2437,$A$2,$F2437,$G2437,$H2437,I$1)</f>
        <v>12</v>
      </c>
      <c r="J2437" s="25">
        <f>_xll.DBRW($A$1,$F$14,$F$15,$C2437,$A$2,$F2437,$G2437,$H2437,J$19)</f>
        <v>12</v>
      </c>
    </row>
    <row r="2438" spans="1:10" s="23" customFormat="1" outlineLevel="1" thickBot="1" x14ac:dyDescent="0.3">
      <c r="A2438" s="44"/>
      <c r="B2438" s="31" t="str">
        <f>IF(_xll.TM1RPTELISCONSOLIDATED($H$20,$H2438),IF(_xll.TM1RPTELLEV($H$20,$H2438)&lt;=5,_xll.TM1RPTELLEV($H$20,$H2438),"Default"),"Leaf")</f>
        <v>Leaf</v>
      </c>
      <c r="C2438" s="26" t="s">
        <v>22</v>
      </c>
      <c r="D2438" s="24" t="str">
        <f>_xll.DBRW("TM1-S1_DEV:}ElementAttributes_SP_SKU",$F2438,D$1)</f>
        <v>Primary</v>
      </c>
      <c r="E2438" s="24" t="str">
        <f>_xll.DBRW("TM1-S1_DEV:}ElementAttributes_SP_SKU",$F2438,E$1)</f>
        <v>UTENSIL</v>
      </c>
      <c r="F2438" s="26" t="s">
        <v>3218</v>
      </c>
      <c r="G2438" s="26" t="s">
        <v>2160</v>
      </c>
      <c r="H2438" s="26" t="s">
        <v>2703</v>
      </c>
      <c r="I2438" s="54">
        <f>_xll.DBRW($A$1,$F$14,$F$15,$C2438,$A$2,$F2438,$G2438,$H2438,I$1)</f>
        <v>12</v>
      </c>
      <c r="J2438" s="25">
        <f>_xll.DBRW($A$1,$F$14,$F$15,$C2438,$A$2,$F2438,$G2438,$H2438,J$19)</f>
        <v>12</v>
      </c>
    </row>
    <row r="2439" spans="1:10" s="23" customFormat="1" outlineLevel="1" thickBot="1" x14ac:dyDescent="0.3">
      <c r="A2439" s="44"/>
      <c r="B2439" s="31" t="str">
        <f>IF(_xll.TM1RPTELISCONSOLIDATED($H$20,$H2439),IF(_xll.TM1RPTELLEV($H$20,$H2439)&lt;=5,_xll.TM1RPTELLEV($H$20,$H2439),"Default"),"Leaf")</f>
        <v>Leaf</v>
      </c>
      <c r="C2439" s="26" t="s">
        <v>22</v>
      </c>
      <c r="D2439" s="24" t="str">
        <f>_xll.DBRW("TM1-S1_DEV:}ElementAttributes_SP_SKU",$F2439,D$1)</f>
        <v>Primary</v>
      </c>
      <c r="E2439" s="24" t="str">
        <f>_xll.DBRW("TM1-S1_DEV:}ElementAttributes_SP_SKU",$F2439,E$1)</f>
        <v>BAG</v>
      </c>
      <c r="F2439" s="26" t="s">
        <v>3219</v>
      </c>
      <c r="G2439" s="26" t="s">
        <v>2161</v>
      </c>
      <c r="H2439" s="26" t="s">
        <v>2705</v>
      </c>
      <c r="I2439" s="54">
        <f>_xll.DBRW($A$1,$F$14,$F$15,$C2439,$A$2,$F2439,$G2439,$H2439,I$1)</f>
        <v>11</v>
      </c>
      <c r="J2439" s="25">
        <f>_xll.DBRW($A$1,$F$14,$F$15,$C2439,$A$2,$F2439,$G2439,$H2439,J$19)</f>
        <v>9</v>
      </c>
    </row>
    <row r="2440" spans="1:10" s="23" customFormat="1" outlineLevel="1" thickBot="1" x14ac:dyDescent="0.3">
      <c r="A2440" s="44"/>
      <c r="B2440" s="31" t="str">
        <f>IF(_xll.TM1RPTELISCONSOLIDATED($H$20,$H2440),IF(_xll.TM1RPTELLEV($H$20,$H2440)&lt;=5,_xll.TM1RPTELLEV($H$20,$H2440),"Default"),"Leaf")</f>
        <v>Leaf</v>
      </c>
      <c r="C2440" s="26" t="s">
        <v>22</v>
      </c>
      <c r="D2440" s="24" t="str">
        <f>_xll.DBRW("TM1-S1_DEV:}ElementAttributes_SP_SKU",$F2440,D$1)</f>
        <v>Primary</v>
      </c>
      <c r="E2440" s="24" t="str">
        <f>_xll.DBRW("TM1-S1_DEV:}ElementAttributes_SP_SKU",$F2440,E$1)</f>
        <v>BOX</v>
      </c>
      <c r="F2440" s="26" t="s">
        <v>3220</v>
      </c>
      <c r="G2440" s="26" t="s">
        <v>2162</v>
      </c>
      <c r="H2440" s="26" t="s">
        <v>2702</v>
      </c>
      <c r="I2440" s="54">
        <f>_xll.DBRW($A$1,$F$14,$F$15,$C2440,$A$2,$F2440,$G2440,$H2440,I$1)</f>
        <v>8</v>
      </c>
      <c r="J2440" s="25">
        <f>_xll.DBRW($A$1,$F$14,$F$15,$C2440,$A$2,$F2440,$G2440,$H2440,J$19)</f>
        <v>4</v>
      </c>
    </row>
    <row r="2441" spans="1:10" s="23" customFormat="1" outlineLevel="1" thickBot="1" x14ac:dyDescent="0.3">
      <c r="A2441" s="44"/>
      <c r="B2441" s="31" t="str">
        <f>IF(_xll.TM1RPTELISCONSOLIDATED($H$20,$H2441),IF(_xll.TM1RPTELLEV($H$20,$H2441)&lt;=5,_xll.TM1RPTELLEV($H$20,$H2441),"Default"),"Leaf")</f>
        <v>Leaf</v>
      </c>
      <c r="C2441" s="26" t="s">
        <v>22</v>
      </c>
      <c r="D2441" s="24" t="str">
        <f>_xll.DBRW("TM1-S1_DEV:}ElementAttributes_SP_SKU",$F2441,D$1)</f>
        <v>Primary</v>
      </c>
      <c r="E2441" s="24" t="str">
        <f>_xll.DBRW("TM1-S1_DEV:}ElementAttributes_SP_SKU",$F2441,E$1)</f>
        <v>BOWL</v>
      </c>
      <c r="F2441" s="26" t="s">
        <v>3223</v>
      </c>
      <c r="G2441" s="26" t="s">
        <v>2165</v>
      </c>
      <c r="H2441" s="26" t="s">
        <v>2703</v>
      </c>
      <c r="I2441" s="54">
        <f>_xll.DBRW($A$1,$F$14,$F$15,$C2441,$A$2,$F2441,$G2441,$H2441,I$1)</f>
        <v>10</v>
      </c>
      <c r="J2441" s="25">
        <f>_xll.DBRW($A$1,$F$14,$F$15,$C2441,$A$2,$F2441,$G2441,$H2441,J$19)</f>
        <v>10</v>
      </c>
    </row>
    <row r="2442" spans="1:10" s="23" customFormat="1" outlineLevel="1" thickBot="1" x14ac:dyDescent="0.3">
      <c r="A2442" s="44"/>
      <c r="B2442" s="31" t="str">
        <f>IF(_xll.TM1RPTELISCONSOLIDATED($H$20,$H2442),IF(_xll.TM1RPTELLEV($H$20,$H2442)&lt;=5,_xll.TM1RPTELLEV($H$20,$H2442),"Default"),"Leaf")</f>
        <v>Leaf</v>
      </c>
      <c r="C2442" s="26" t="s">
        <v>22</v>
      </c>
      <c r="D2442" s="24" t="str">
        <f>_xll.DBRW("TM1-S1_DEV:}ElementAttributes_SP_SKU",$F2442,D$1)</f>
        <v>Primary</v>
      </c>
      <c r="E2442" s="24" t="str">
        <f>_xll.DBRW("TM1-S1_DEV:}ElementAttributes_SP_SKU",$F2442,E$1)</f>
        <v>BAG</v>
      </c>
      <c r="F2442" s="26" t="s">
        <v>3224</v>
      </c>
      <c r="G2442" s="26" t="s">
        <v>2166</v>
      </c>
      <c r="H2442" s="26" t="s">
        <v>2705</v>
      </c>
      <c r="I2442" s="54">
        <f>_xll.DBRW($A$1,$F$14,$F$15,$C2442,$A$2,$F2442,$G2442,$H2442,I$1)</f>
        <v>17</v>
      </c>
      <c r="J2442" s="25">
        <f>_xll.DBRW($A$1,$F$14,$F$15,$C2442,$A$2,$F2442,$G2442,$H2442,J$19)</f>
        <v>16</v>
      </c>
    </row>
    <row r="2443" spans="1:10" s="23" customFormat="1" outlineLevel="1" thickBot="1" x14ac:dyDescent="0.3">
      <c r="A2443" s="44"/>
      <c r="B2443" s="31" t="str">
        <f>IF(_xll.TM1RPTELISCONSOLIDATED($H$20,$H2443),IF(_xll.TM1RPTELLEV($H$20,$H2443)&lt;=5,_xll.TM1RPTELLEV($H$20,$H2443),"Default"),"Leaf")</f>
        <v>Leaf</v>
      </c>
      <c r="C2443" s="26" t="s">
        <v>22</v>
      </c>
      <c r="D2443" s="24" t="str">
        <f>_xll.DBRW("TM1-S1_DEV:}ElementAttributes_SP_SKU",$F2443,D$1)</f>
        <v>Primary</v>
      </c>
      <c r="E2443" s="24" t="str">
        <f>_xll.DBRW("TM1-S1_DEV:}ElementAttributes_SP_SKU",$F2443,E$1)</f>
        <v>CUP</v>
      </c>
      <c r="F2443" s="26" t="s">
        <v>3225</v>
      </c>
      <c r="G2443" s="26" t="s">
        <v>2167</v>
      </c>
      <c r="H2443" s="26" t="s">
        <v>2707</v>
      </c>
      <c r="I2443" s="54">
        <f>_xll.DBRW($A$1,$F$14,$F$15,$C2443,$A$2,$F2443,$G2443,$H2443,I$1)</f>
        <v>16</v>
      </c>
      <c r="J2443" s="25">
        <f>_xll.DBRW($A$1,$F$14,$F$15,$C2443,$A$2,$F2443,$G2443,$H2443,J$19)</f>
        <v>15</v>
      </c>
    </row>
    <row r="2444" spans="1:10" s="23" customFormat="1" outlineLevel="1" thickBot="1" x14ac:dyDescent="0.3">
      <c r="A2444" s="44"/>
      <c r="B2444" s="31" t="str">
        <f>IF(_xll.TM1RPTELISCONSOLIDATED($H$20,$H2444),IF(_xll.TM1RPTELLEV($H$20,$H2444)&lt;=5,_xll.TM1RPTELLEV($H$20,$H2444),"Default"),"Leaf")</f>
        <v>Leaf</v>
      </c>
      <c r="C2444" s="26" t="s">
        <v>22</v>
      </c>
      <c r="D2444" s="24" t="str">
        <f>_xll.DBRW("TM1-S1_DEV:}ElementAttributes_SP_SKU",$F2444,D$1)</f>
        <v>Primary</v>
      </c>
      <c r="E2444" s="24" t="str">
        <f>_xll.DBRW("TM1-S1_DEV:}ElementAttributes_SP_SKU",$F2444,E$1)</f>
        <v>CUP</v>
      </c>
      <c r="F2444" s="26" t="s">
        <v>3226</v>
      </c>
      <c r="G2444" s="26" t="s">
        <v>2168</v>
      </c>
      <c r="H2444" s="26" t="s">
        <v>2707</v>
      </c>
      <c r="I2444" s="54">
        <f>_xll.DBRW($A$1,$F$14,$F$15,$C2444,$A$2,$F2444,$G2444,$H2444,I$1)</f>
        <v>13</v>
      </c>
      <c r="J2444" s="25">
        <f>_xll.DBRW($A$1,$F$14,$F$15,$C2444,$A$2,$F2444,$G2444,$H2444,J$19)</f>
        <v>12</v>
      </c>
    </row>
    <row r="2445" spans="1:10" s="23" customFormat="1" outlineLevel="1" thickBot="1" x14ac:dyDescent="0.3">
      <c r="A2445" s="44"/>
      <c r="B2445" s="31" t="str">
        <f>IF(_xll.TM1RPTELISCONSOLIDATED($H$20,$H2445),IF(_xll.TM1RPTELLEV($H$20,$H2445)&lt;=5,_xll.TM1RPTELLEV($H$20,$H2445),"Default"),"Leaf")</f>
        <v>Leaf</v>
      </c>
      <c r="C2445" s="26" t="s">
        <v>22</v>
      </c>
      <c r="D2445" s="24" t="str">
        <f>_xll.DBRW("TM1-S1_DEV:}ElementAttributes_SP_SKU",$F2445,D$1)</f>
        <v>Primary</v>
      </c>
      <c r="E2445" s="24" t="str">
        <f>_xll.DBRW("TM1-S1_DEV:}ElementAttributes_SP_SKU",$F2445,E$1)</f>
        <v>PROTEIN</v>
      </c>
      <c r="F2445" s="26" t="s">
        <v>3227</v>
      </c>
      <c r="G2445" s="26" t="s">
        <v>2169</v>
      </c>
      <c r="H2445" s="26" t="s">
        <v>2673</v>
      </c>
      <c r="I2445" s="54">
        <f>_xll.DBRW($A$1,$F$14,$F$15,$C2445,$A$2,$F2445,$G2445,$H2445,I$1)</f>
        <v>169</v>
      </c>
      <c r="J2445" s="25">
        <f>_xll.DBRW($A$1,$F$14,$F$15,$C2445,$A$2,$F2445,$G2445,$H2445,J$19)</f>
        <v>163</v>
      </c>
    </row>
    <row r="2446" spans="1:10" s="23" customFormat="1" outlineLevel="1" thickBot="1" x14ac:dyDescent="0.3">
      <c r="A2446" s="44"/>
      <c r="B2446" s="31" t="str">
        <f>IF(_xll.TM1RPTELISCONSOLIDATED($H$20,$H2446),IF(_xll.TM1RPTELLEV($H$20,$H2446)&lt;=5,_xll.TM1RPTELLEV($H$20,$H2446),"Default"),"Leaf")</f>
        <v>Leaf</v>
      </c>
      <c r="C2446" s="26" t="s">
        <v>22</v>
      </c>
      <c r="D2446" s="24" t="str">
        <f>_xll.DBRW("TM1-S1_DEV:}ElementAttributes_SP_SKU",$F2446,D$1)</f>
        <v>Primary</v>
      </c>
      <c r="E2446" s="24" t="str">
        <f>_xll.DBRW("TM1-S1_DEV:}ElementAttributes_SP_SKU",$F2446,E$1)</f>
        <v>GLOVES</v>
      </c>
      <c r="F2446" s="26" t="s">
        <v>3274</v>
      </c>
      <c r="G2446" s="26" t="s">
        <v>2170</v>
      </c>
      <c r="H2446" s="26" t="s">
        <v>2712</v>
      </c>
      <c r="I2446" s="54">
        <f>_xll.DBRW($A$1,$F$14,$F$15,$C2446,$A$2,$F2446,$G2446,$H2446,I$1)</f>
        <v>13</v>
      </c>
      <c r="J2446" s="25">
        <f>_xll.DBRW($A$1,$F$14,$F$15,$C2446,$A$2,$F2446,$G2446,$H2446,J$19)</f>
        <v>11</v>
      </c>
    </row>
    <row r="2447" spans="1:10" s="23" customFormat="1" outlineLevel="1" thickBot="1" x14ac:dyDescent="0.3">
      <c r="A2447" s="44"/>
      <c r="B2447" s="31" t="str">
        <f>IF(_xll.TM1RPTELISCONSOLIDATED($H$20,$H2447),IF(_xll.TM1RPTELLEV($H$20,$H2447)&lt;=5,_xll.TM1RPTELLEV($H$20,$H2447),"Default"),"Leaf")</f>
        <v>Leaf</v>
      </c>
      <c r="C2447" s="26" t="s">
        <v>22</v>
      </c>
      <c r="D2447" s="24" t="str">
        <f>_xll.DBRW("TM1-S1_DEV:}ElementAttributes_SP_SKU",$F2447,D$1)</f>
        <v>Primary</v>
      </c>
      <c r="E2447" s="24" t="str">
        <f>_xll.DBRW("TM1-S1_DEV:}ElementAttributes_SP_SKU",$F2447,E$1)</f>
        <v>GLOVES</v>
      </c>
      <c r="F2447" s="26" t="s">
        <v>3275</v>
      </c>
      <c r="G2447" s="26" t="s">
        <v>2171</v>
      </c>
      <c r="H2447" s="26" t="s">
        <v>2712</v>
      </c>
      <c r="I2447" s="54">
        <f>_xll.DBRW($A$1,$F$14,$F$15,$C2447,$A$2,$F2447,$G2447,$H2447,I$1)</f>
        <v>18</v>
      </c>
      <c r="J2447" s="25">
        <f>_xll.DBRW($A$1,$F$14,$F$15,$C2447,$A$2,$F2447,$G2447,$H2447,J$19)</f>
        <v>17</v>
      </c>
    </row>
    <row r="2448" spans="1:10" s="23" customFormat="1" outlineLevel="1" thickBot="1" x14ac:dyDescent="0.3">
      <c r="A2448" s="44"/>
      <c r="B2448" s="31" t="str">
        <f>IF(_xll.TM1RPTELISCONSOLIDATED($H$20,$H2448),IF(_xll.TM1RPTELLEV($H$20,$H2448)&lt;=5,_xll.TM1RPTELLEV($H$20,$H2448),"Default"),"Leaf")</f>
        <v>Leaf</v>
      </c>
      <c r="C2448" s="26" t="s">
        <v>22</v>
      </c>
      <c r="D2448" s="24" t="str">
        <f>_xll.DBRW("TM1-S1_DEV:}ElementAttributes_SP_SKU",$F2448,D$1)</f>
        <v>Primary</v>
      </c>
      <c r="E2448" s="24" t="str">
        <f>_xll.DBRW("TM1-S1_DEV:}ElementAttributes_SP_SKU",$F2448,E$1)</f>
        <v>GLOVES</v>
      </c>
      <c r="F2448" s="26" t="s">
        <v>3276</v>
      </c>
      <c r="G2448" s="26" t="s">
        <v>2172</v>
      </c>
      <c r="H2448" s="26" t="s">
        <v>2712</v>
      </c>
      <c r="I2448" s="54">
        <f>_xll.DBRW($A$1,$F$14,$F$15,$C2448,$A$2,$F2448,$G2448,$H2448,I$1)</f>
        <v>25</v>
      </c>
      <c r="J2448" s="25">
        <f>_xll.DBRW($A$1,$F$14,$F$15,$C2448,$A$2,$F2448,$G2448,$H2448,J$19)</f>
        <v>23</v>
      </c>
    </row>
    <row r="2449" spans="1:10" s="23" customFormat="1" outlineLevel="1" thickBot="1" x14ac:dyDescent="0.3">
      <c r="A2449" s="44"/>
      <c r="B2449" s="31" t="str">
        <f>IF(_xll.TM1RPTELISCONSOLIDATED($H$20,$H2449),IF(_xll.TM1RPTELLEV($H$20,$H2449)&lt;=5,_xll.TM1RPTELLEV($H$20,$H2449),"Default"),"Leaf")</f>
        <v>Leaf</v>
      </c>
      <c r="C2449" s="26" t="s">
        <v>22</v>
      </c>
      <c r="D2449" s="24" t="str">
        <f>_xll.DBRW("TM1-S1_DEV:}ElementAttributes_SP_SKU",$F2449,D$1)</f>
        <v>Primary</v>
      </c>
      <c r="E2449" s="24" t="str">
        <f>_xll.DBRW("TM1-S1_DEV:}ElementAttributes_SP_SKU",$F2449,E$1)</f>
        <v>TRAY</v>
      </c>
      <c r="F2449" s="26" t="s">
        <v>3228</v>
      </c>
      <c r="G2449" s="26" t="s">
        <v>2173</v>
      </c>
      <c r="H2449" s="26" t="s">
        <v>2708</v>
      </c>
      <c r="I2449" s="54">
        <f>_xll.DBRW($A$1,$F$14,$F$15,$C2449,$A$2,$F2449,$G2449,$H2449,I$1)</f>
        <v>15</v>
      </c>
      <c r="J2449" s="25">
        <f>_xll.DBRW($A$1,$F$14,$F$15,$C2449,$A$2,$F2449,$G2449,$H2449,J$19)</f>
        <v>13</v>
      </c>
    </row>
    <row r="2450" spans="1:10" s="23" customFormat="1" outlineLevel="1" thickBot="1" x14ac:dyDescent="0.3">
      <c r="A2450" s="44"/>
      <c r="B2450" s="31" t="str">
        <f>IF(_xll.TM1RPTELISCONSOLIDATED($H$20,$H2450),IF(_xll.TM1RPTELLEV($H$20,$H2450)&lt;=5,_xll.TM1RPTELLEV($H$20,$H2450),"Default"),"Leaf")</f>
        <v>Leaf</v>
      </c>
      <c r="C2450" s="26" t="s">
        <v>22</v>
      </c>
      <c r="D2450" s="24" t="str">
        <f>_xll.DBRW("TM1-S1_DEV:}ElementAttributes_SP_SKU",$F2450,D$1)</f>
        <v>Primary</v>
      </c>
      <c r="E2450" s="24" t="str">
        <f>_xll.DBRW("TM1-S1_DEV:}ElementAttributes_SP_SKU",$F2450,E$1)</f>
        <v>TRAY</v>
      </c>
      <c r="F2450" s="26" t="s">
        <v>3229</v>
      </c>
      <c r="G2450" s="26" t="s">
        <v>2174</v>
      </c>
      <c r="H2450" s="26" t="s">
        <v>2708</v>
      </c>
      <c r="I2450" s="54">
        <f>_xll.DBRW($A$1,$F$14,$F$15,$C2450,$A$2,$F2450,$G2450,$H2450,I$1)</f>
        <v>15</v>
      </c>
      <c r="J2450" s="25">
        <f>_xll.DBRW($A$1,$F$14,$F$15,$C2450,$A$2,$F2450,$G2450,$H2450,J$19)</f>
        <v>13</v>
      </c>
    </row>
    <row r="2451" spans="1:10" s="23" customFormat="1" outlineLevel="1" thickBot="1" x14ac:dyDescent="0.3">
      <c r="A2451" s="44"/>
      <c r="B2451" s="31" t="str">
        <f>IF(_xll.TM1RPTELISCONSOLIDATED($H$20,$H2451),IF(_xll.TM1RPTELLEV($H$20,$H2451)&lt;=5,_xll.TM1RPTELLEV($H$20,$H2451),"Default"),"Leaf")</f>
        <v>Leaf</v>
      </c>
      <c r="C2451" s="26" t="s">
        <v>22</v>
      </c>
      <c r="D2451" s="24" t="str">
        <f>_xll.DBRW("TM1-S1_DEV:}ElementAttributes_SP_SKU",$F2451,D$1)</f>
        <v>Primary</v>
      </c>
      <c r="E2451" s="24" t="str">
        <f>_xll.DBRW("TM1-S1_DEV:}ElementAttributes_SP_SKU",$F2451,E$1)</f>
        <v>BOWL</v>
      </c>
      <c r="F2451" s="26" t="s">
        <v>3230</v>
      </c>
      <c r="G2451" s="26" t="s">
        <v>2175</v>
      </c>
      <c r="H2451" s="26" t="s">
        <v>2703</v>
      </c>
      <c r="I2451" s="54">
        <f>_xll.DBRW($A$1,$F$14,$F$15,$C2451,$A$2,$F2451,$G2451,$H2451,I$1)</f>
        <v>2</v>
      </c>
      <c r="J2451" s="25">
        <f>_xll.DBRW($A$1,$F$14,$F$15,$C2451,$A$2,$F2451,$G2451,$H2451,J$19)</f>
        <v>2</v>
      </c>
    </row>
    <row r="2452" spans="1:10" s="23" customFormat="1" outlineLevel="1" thickBot="1" x14ac:dyDescent="0.3">
      <c r="A2452" s="44"/>
      <c r="B2452" s="31" t="str">
        <f>IF(_xll.TM1RPTELISCONSOLIDATED($H$20,$H2452),IF(_xll.TM1RPTELLEV($H$20,$H2452)&lt;=5,_xll.TM1RPTELLEV($H$20,$H2452),"Default"),"Leaf")</f>
        <v>Leaf</v>
      </c>
      <c r="C2452" s="26" t="s">
        <v>22</v>
      </c>
      <c r="D2452" s="24" t="str">
        <f>_xll.DBRW("TM1-S1_DEV:}ElementAttributes_SP_SKU",$F2452,D$1)</f>
        <v>Primary</v>
      </c>
      <c r="E2452" s="24" t="str">
        <f>_xll.DBRW("TM1-S1_DEV:}ElementAttributes_SP_SKU",$F2452,E$1)</f>
        <v>BREAD</v>
      </c>
      <c r="F2452" s="26" t="s">
        <v>3260</v>
      </c>
      <c r="G2452" s="26" t="s">
        <v>2176</v>
      </c>
      <c r="H2452" s="26" t="s">
        <v>2710</v>
      </c>
      <c r="I2452" s="54">
        <f>_xll.DBRW($A$1,$F$14,$F$15,$C2452,$A$2,$F2452,$G2452,$H2452,I$1)</f>
        <v>15</v>
      </c>
      <c r="J2452" s="25">
        <f>_xll.DBRW($A$1,$F$14,$F$15,$C2452,$A$2,$F2452,$G2452,$H2452,J$19)</f>
        <v>14</v>
      </c>
    </row>
    <row r="2453" spans="1:10" s="23" customFormat="1" outlineLevel="1" thickBot="1" x14ac:dyDescent="0.3">
      <c r="A2453" s="44"/>
      <c r="B2453" s="31" t="str">
        <f>IF(_xll.TM1RPTELISCONSOLIDATED($H$20,$H2453),IF(_xll.TM1RPTELLEV($H$20,$H2453)&lt;=5,_xll.TM1RPTELLEV($H$20,$H2453),"Default"),"Leaf")</f>
        <v>Leaf</v>
      </c>
      <c r="C2453" s="26" t="s">
        <v>22</v>
      </c>
      <c r="D2453" s="24" t="str">
        <f>_xll.DBRW("TM1-S1_DEV:}ElementAttributes_SP_SKU",$F2453,D$1)</f>
        <v>Primary</v>
      </c>
      <c r="E2453" s="24" t="str">
        <f>_xll.DBRW("TM1-S1_DEV:}ElementAttributes_SP_SKU",$F2453,E$1)</f>
        <v>TRAY</v>
      </c>
      <c r="F2453" s="26" t="s">
        <v>3231</v>
      </c>
      <c r="G2453" s="26" t="s">
        <v>2177</v>
      </c>
      <c r="H2453" s="26" t="s">
        <v>2711</v>
      </c>
      <c r="I2453" s="54">
        <f>_xll.DBRW($A$1,$F$14,$F$15,$C2453,$A$2,$F2453,$G2453,$H2453,I$1)</f>
        <v>16</v>
      </c>
      <c r="J2453" s="25">
        <f>_xll.DBRW($A$1,$F$14,$F$15,$C2453,$A$2,$F2453,$G2453,$H2453,J$19)</f>
        <v>14</v>
      </c>
    </row>
    <row r="2454" spans="1:10" s="23" customFormat="1" outlineLevel="1" thickBot="1" x14ac:dyDescent="0.3">
      <c r="A2454" s="44"/>
      <c r="B2454" s="31" t="str">
        <f>IF(_xll.TM1RPTELISCONSOLIDATED($H$20,$H2454),IF(_xll.TM1RPTELLEV($H$20,$H2454)&lt;=5,_xll.TM1RPTELLEV($H$20,$H2454),"Default"),"Leaf")</f>
        <v>Leaf</v>
      </c>
      <c r="C2454" s="26" t="s">
        <v>22</v>
      </c>
      <c r="D2454" s="24" t="str">
        <f>_xll.DBRW("TM1-S1_DEV:}ElementAttributes_SP_SKU",$F2454,D$1)</f>
        <v>Primary</v>
      </c>
      <c r="E2454" s="24" t="str">
        <f>_xll.DBRW("TM1-S1_DEV:}ElementAttributes_SP_SKU",$F2454,E$1)</f>
        <v>PAPER</v>
      </c>
      <c r="F2454" s="26" t="s">
        <v>3261</v>
      </c>
      <c r="G2454" s="26" t="s">
        <v>2178</v>
      </c>
      <c r="H2454" s="26" t="s">
        <v>2716</v>
      </c>
      <c r="I2454" s="54">
        <f>_xll.DBRW($A$1,$F$14,$F$15,$C2454,$A$2,$F2454,$G2454,$H2454,I$1)</f>
        <v>8</v>
      </c>
      <c r="J2454" s="25">
        <f>_xll.DBRW($A$1,$F$14,$F$15,$C2454,$A$2,$F2454,$G2454,$H2454,J$19)</f>
        <v>8</v>
      </c>
    </row>
    <row r="2455" spans="1:10" s="23" customFormat="1" outlineLevel="1" thickBot="1" x14ac:dyDescent="0.3">
      <c r="A2455" s="44"/>
      <c r="B2455" s="31" t="str">
        <f>IF(_xll.TM1RPTELISCONSOLIDATED($H$20,$H2455),IF(_xll.TM1RPTELLEV($H$20,$H2455)&lt;=5,_xll.TM1RPTELLEV($H$20,$H2455),"Default"),"Leaf")</f>
        <v>Leaf</v>
      </c>
      <c r="C2455" s="26" t="s">
        <v>22</v>
      </c>
      <c r="D2455" s="24" t="str">
        <f>_xll.DBRW("TM1-S1_DEV:}ElementAttributes_SP_SKU",$F2455,D$1)</f>
        <v>Primary</v>
      </c>
      <c r="E2455" s="24" t="str">
        <f>_xll.DBRW("TM1-S1_DEV:}ElementAttributes_SP_SKU",$F2455,E$1)</f>
        <v>BAG</v>
      </c>
      <c r="F2455" s="26" t="s">
        <v>3297</v>
      </c>
      <c r="G2455" s="26" t="s">
        <v>2179</v>
      </c>
      <c r="H2455" s="26" t="s">
        <v>2879</v>
      </c>
      <c r="I2455" s="54">
        <f>_xll.DBRW($A$1,$F$14,$F$15,$C2455,$A$2,$F2455,$G2455,$H2455,I$1)</f>
        <v>5</v>
      </c>
      <c r="J2455" s="25">
        <f>_xll.DBRW($A$1,$F$14,$F$15,$C2455,$A$2,$F2455,$G2455,$H2455,J$19)</f>
        <v>5</v>
      </c>
    </row>
    <row r="2456" spans="1:10" s="23" customFormat="1" outlineLevel="1" thickBot="1" x14ac:dyDescent="0.3">
      <c r="A2456" s="44"/>
      <c r="B2456" s="31" t="str">
        <f>IF(_xll.TM1RPTELISCONSOLIDATED($H$20,$H2456),IF(_xll.TM1RPTELLEV($H$20,$H2456)&lt;=5,_xll.TM1RPTELLEV($H$20,$H2456),"Default"),"Leaf")</f>
        <v>Leaf</v>
      </c>
      <c r="C2456" s="26" t="s">
        <v>22</v>
      </c>
      <c r="D2456" s="24" t="str">
        <f>_xll.DBRW("TM1-S1_DEV:}ElementAttributes_SP_SKU",$F2456,D$1)</f>
        <v>Primary</v>
      </c>
      <c r="E2456" s="24" t="str">
        <f>_xll.DBRW("TM1-S1_DEV:}ElementAttributes_SP_SKU",$F2456,E$1)</f>
        <v>GLOVES</v>
      </c>
      <c r="F2456" s="26" t="s">
        <v>3298</v>
      </c>
      <c r="G2456" s="26" t="s">
        <v>2180</v>
      </c>
      <c r="H2456" s="26" t="s">
        <v>2712</v>
      </c>
      <c r="I2456" s="54">
        <f>_xll.DBRW($A$1,$F$14,$F$15,$C2456,$A$2,$F2456,$G2456,$H2456,I$1)</f>
        <v>5</v>
      </c>
      <c r="J2456" s="25">
        <f>_xll.DBRW($A$1,$F$14,$F$15,$C2456,$A$2,$F2456,$G2456,$H2456,J$19)</f>
        <v>5</v>
      </c>
    </row>
    <row r="2457" spans="1:10" s="23" customFormat="1" outlineLevel="1" thickBot="1" x14ac:dyDescent="0.3">
      <c r="A2457" s="44"/>
      <c r="B2457" s="31" t="str">
        <f>IF(_xll.TM1RPTELISCONSOLIDATED($H$20,$H2457),IF(_xll.TM1RPTELLEV($H$20,$H2457)&lt;=5,_xll.TM1RPTELLEV($H$20,$H2457),"Default"),"Leaf")</f>
        <v>Leaf</v>
      </c>
      <c r="C2457" s="26" t="s">
        <v>22</v>
      </c>
      <c r="D2457" s="24" t="str">
        <f>_xll.DBRW("TM1-S1_DEV:}ElementAttributes_SP_SKU",$F2457,D$1)</f>
        <v>Primary</v>
      </c>
      <c r="E2457" s="24" t="str">
        <f>_xll.DBRW("TM1-S1_DEV:}ElementAttributes_SP_SKU",$F2457,E$1)</f>
        <v>BAG</v>
      </c>
      <c r="F2457" s="26" t="s">
        <v>3232</v>
      </c>
      <c r="G2457" s="26" t="s">
        <v>2181</v>
      </c>
      <c r="H2457" s="26" t="s">
        <v>2712</v>
      </c>
      <c r="I2457" s="54">
        <f>_xll.DBRW($A$1,$F$14,$F$15,$C2457,$A$2,$F2457,$G2457,$H2457,I$1)</f>
        <v>29</v>
      </c>
      <c r="J2457" s="25">
        <f>_xll.DBRW($A$1,$F$14,$F$15,$C2457,$A$2,$F2457,$G2457,$H2457,J$19)</f>
        <v>26</v>
      </c>
    </row>
    <row r="2458" spans="1:10" s="23" customFormat="1" outlineLevel="1" thickBot="1" x14ac:dyDescent="0.3">
      <c r="A2458" s="44"/>
      <c r="B2458" s="31" t="str">
        <f>IF(_xll.TM1RPTELISCONSOLIDATED($H$20,$H2458),IF(_xll.TM1RPTELLEV($H$20,$H2458)&lt;=5,_xll.TM1RPTELLEV($H$20,$H2458),"Default"),"Leaf")</f>
        <v>Leaf</v>
      </c>
      <c r="C2458" s="26" t="s">
        <v>22</v>
      </c>
      <c r="D2458" s="24" t="str">
        <f>_xll.DBRW("TM1-S1_DEV:}ElementAttributes_SP_SKU",$F2458,D$1)</f>
        <v>Primary</v>
      </c>
      <c r="E2458" s="24" t="str">
        <f>_xll.DBRW("TM1-S1_DEV:}ElementAttributes_SP_SKU",$F2458,E$1)</f>
        <v>PLATE</v>
      </c>
      <c r="F2458" s="26" t="s">
        <v>3299</v>
      </c>
      <c r="G2458" s="26" t="s">
        <v>2182</v>
      </c>
      <c r="H2458" s="26" t="s">
        <v>2711</v>
      </c>
      <c r="I2458" s="54">
        <f>_xll.DBRW($A$1,$F$14,$F$15,$C2458,$A$2,$F2458,$G2458,$H2458,I$1)</f>
        <v>17</v>
      </c>
      <c r="J2458" s="25">
        <f>_xll.DBRW($A$1,$F$14,$F$15,$C2458,$A$2,$F2458,$G2458,$H2458,J$19)</f>
        <v>16</v>
      </c>
    </row>
    <row r="2459" spans="1:10" s="23" customFormat="1" outlineLevel="1" thickBot="1" x14ac:dyDescent="0.3">
      <c r="A2459" s="44"/>
      <c r="B2459" s="31" t="str">
        <f>IF(_xll.TM1RPTELISCONSOLIDATED($H$20,$H2459),IF(_xll.TM1RPTELLEV($H$20,$H2459)&lt;=5,_xll.TM1RPTELLEV($H$20,$H2459),"Default"),"Leaf")</f>
        <v>Leaf</v>
      </c>
      <c r="C2459" s="26" t="s">
        <v>22</v>
      </c>
      <c r="D2459" s="24" t="str">
        <f>_xll.DBRW("TM1-S1_DEV:}ElementAttributes_SP_SKU",$F2459,D$1)</f>
        <v>Primary</v>
      </c>
      <c r="E2459" s="24" t="str">
        <f>_xll.DBRW("TM1-S1_DEV:}ElementAttributes_SP_SKU",$F2459,E$1)</f>
        <v>CONTAINER</v>
      </c>
      <c r="F2459" s="26" t="s">
        <v>3283</v>
      </c>
      <c r="G2459" s="26" t="s">
        <v>2183</v>
      </c>
      <c r="H2459" s="26" t="s">
        <v>2711</v>
      </c>
      <c r="I2459" s="54">
        <f>_xll.DBRW($A$1,$F$14,$F$15,$C2459,$A$2,$F2459,$G2459,$H2459,I$1)</f>
        <v>1</v>
      </c>
      <c r="J2459" s="25">
        <f>_xll.DBRW($A$1,$F$14,$F$15,$C2459,$A$2,$F2459,$G2459,$H2459,J$19)</f>
        <v>1</v>
      </c>
    </row>
    <row r="2460" spans="1:10" s="23" customFormat="1" outlineLevel="1" thickBot="1" x14ac:dyDescent="0.3">
      <c r="A2460" s="44"/>
      <c r="B2460" s="31" t="str">
        <f>IF(_xll.TM1RPTELISCONSOLIDATED($H$20,$H2460),IF(_xll.TM1RPTELLEV($H$20,$H2460)&lt;=5,_xll.TM1RPTELLEV($H$20,$H2460),"Default"),"Leaf")</f>
        <v>Leaf</v>
      </c>
      <c r="C2460" s="26" t="s">
        <v>22</v>
      </c>
      <c r="D2460" s="24" t="str">
        <f>_xll.DBRW("TM1-S1_DEV:}ElementAttributes_SP_SKU",$F2460,D$1)</f>
        <v>Primary</v>
      </c>
      <c r="E2460" s="24" t="str">
        <f>_xll.DBRW("TM1-S1_DEV:}ElementAttributes_SP_SKU",$F2460,E$1)</f>
        <v>CONTAINER</v>
      </c>
      <c r="F2460" s="26" t="s">
        <v>3287</v>
      </c>
      <c r="G2460" s="26" t="s">
        <v>2184</v>
      </c>
      <c r="H2460" s="26" t="s">
        <v>2711</v>
      </c>
      <c r="I2460" s="54">
        <f>_xll.DBRW($A$1,$F$14,$F$15,$C2460,$A$2,$F2460,$G2460,$H2460,I$1)</f>
        <v>5</v>
      </c>
      <c r="J2460" s="25">
        <f>_xll.DBRW($A$1,$F$14,$F$15,$C2460,$A$2,$F2460,$G2460,$H2460,J$19)</f>
        <v>5</v>
      </c>
    </row>
    <row r="2461" spans="1:10" s="23" customFormat="1" outlineLevel="1" thickBot="1" x14ac:dyDescent="0.3">
      <c r="A2461" s="44"/>
      <c r="B2461" s="31" t="str">
        <f>IF(_xll.TM1RPTELISCONSOLIDATED($H$20,$H2461),IF(_xll.TM1RPTELLEV($H$20,$H2461)&lt;=5,_xll.TM1RPTELLEV($H$20,$H2461),"Default"),"Leaf")</f>
        <v>Leaf</v>
      </c>
      <c r="C2461" s="26" t="s">
        <v>22</v>
      </c>
      <c r="D2461" s="24" t="str">
        <f>_xll.DBRW("TM1-S1_DEV:}ElementAttributes_SP_SKU",$F2461,D$1)</f>
        <v>Primary</v>
      </c>
      <c r="E2461" s="24" t="str">
        <f>_xll.DBRW("TM1-S1_DEV:}ElementAttributes_SP_SKU",$F2461,E$1)</f>
        <v>UTENSIL</v>
      </c>
      <c r="F2461" s="26" t="s">
        <v>3293</v>
      </c>
      <c r="G2461" s="26" t="s">
        <v>2185</v>
      </c>
      <c r="H2461" s="26" t="s">
        <v>2860</v>
      </c>
      <c r="I2461" s="54">
        <f>_xll.DBRW($A$1,$F$14,$F$15,$C2461,$A$2,$F2461,$G2461,$H2461,I$1)</f>
        <v>0</v>
      </c>
      <c r="J2461" s="25">
        <f>_xll.DBRW($A$1,$F$14,$F$15,$C2461,$A$2,$F2461,$G2461,$H2461,J$19)</f>
        <v>-1</v>
      </c>
    </row>
    <row r="2462" spans="1:10" s="23" customFormat="1" outlineLevel="1" thickBot="1" x14ac:dyDescent="0.3">
      <c r="A2462" s="44"/>
      <c r="B2462" s="31" t="str">
        <f>IF(_xll.TM1RPTELISCONSOLIDATED($H$20,$H2462),IF(_xll.TM1RPTELLEV($H$20,$H2462)&lt;=5,_xll.TM1RPTELLEV($H$20,$H2462),"Default"),"Leaf")</f>
        <v>Leaf</v>
      </c>
      <c r="C2462" s="26" t="s">
        <v>22</v>
      </c>
      <c r="D2462" s="24" t="str">
        <f>_xll.DBRW("TM1-S1_DEV:}ElementAttributes_SP_SKU",$F2462,D$1)</f>
        <v>Primary</v>
      </c>
      <c r="E2462" s="24" t="str">
        <f>_xll.DBRW("TM1-S1_DEV:}ElementAttributes_SP_SKU",$F2462,E$1)</f>
        <v>UTENSIL</v>
      </c>
      <c r="F2462" s="26" t="s">
        <v>3300</v>
      </c>
      <c r="G2462" s="26" t="s">
        <v>2186</v>
      </c>
      <c r="H2462" s="26" t="s">
        <v>2860</v>
      </c>
      <c r="I2462" s="54">
        <f>_xll.DBRW($A$1,$F$14,$F$15,$C2462,$A$2,$F2462,$G2462,$H2462,I$1)</f>
        <v>0</v>
      </c>
      <c r="J2462" s="25">
        <f>_xll.DBRW($A$1,$F$14,$F$15,$C2462,$A$2,$F2462,$G2462,$H2462,J$19)</f>
        <v>-1</v>
      </c>
    </row>
    <row r="2463" spans="1:10" s="23" customFormat="1" outlineLevel="1" thickBot="1" x14ac:dyDescent="0.3">
      <c r="A2463" s="44"/>
      <c r="B2463" s="31" t="str">
        <f>IF(_xll.TM1RPTELISCONSOLIDATED($H$20,$H2463),IF(_xll.TM1RPTELLEV($H$20,$H2463)&lt;=5,_xll.TM1RPTELLEV($H$20,$H2463),"Default"),"Leaf")</f>
        <v>Leaf</v>
      </c>
      <c r="C2463" s="26" t="s">
        <v>22</v>
      </c>
      <c r="D2463" s="24" t="str">
        <f>_xll.DBRW("TM1-S1_DEV:}ElementAttributes_SP_SKU",$F2463,D$1)</f>
        <v>Primary</v>
      </c>
      <c r="E2463" s="24" t="str">
        <f>_xll.DBRW("TM1-S1_DEV:}ElementAttributes_SP_SKU",$F2463,E$1)</f>
        <v>CONTAINER</v>
      </c>
      <c r="F2463" s="26" t="s">
        <v>3284</v>
      </c>
      <c r="G2463" s="26" t="s">
        <v>2187</v>
      </c>
      <c r="H2463" s="26" t="s">
        <v>2860</v>
      </c>
      <c r="I2463" s="54">
        <f>_xll.DBRW($A$1,$F$14,$F$15,$C2463,$A$2,$F2463,$G2463,$H2463,I$1)</f>
        <v>7</v>
      </c>
      <c r="J2463" s="25">
        <f>_xll.DBRW($A$1,$F$14,$F$15,$C2463,$A$2,$F2463,$G2463,$H2463,J$19)</f>
        <v>7</v>
      </c>
    </row>
    <row r="2464" spans="1:10" s="23" customFormat="1" outlineLevel="1" thickBot="1" x14ac:dyDescent="0.3">
      <c r="A2464" s="44"/>
      <c r="B2464" s="31" t="str">
        <f>IF(_xll.TM1RPTELISCONSOLIDATED($H$20,$H2464),IF(_xll.TM1RPTELLEV($H$20,$H2464)&lt;=5,_xll.TM1RPTELLEV($H$20,$H2464),"Default"),"Leaf")</f>
        <v>Leaf</v>
      </c>
      <c r="C2464" s="26" t="s">
        <v>22</v>
      </c>
      <c r="D2464" s="24" t="str">
        <f>_xll.DBRW("TM1-S1_DEV:}ElementAttributes_SP_SKU",$F2464,D$1)</f>
        <v>Primary</v>
      </c>
      <c r="E2464" s="24" t="str">
        <f>_xll.DBRW("TM1-S1_DEV:}ElementAttributes_SP_SKU",$F2464,E$1)</f>
        <v>FILM</v>
      </c>
      <c r="F2464" s="26" t="s">
        <v>3233</v>
      </c>
      <c r="G2464" s="26" t="s">
        <v>2188</v>
      </c>
      <c r="H2464" s="26" t="s">
        <v>2713</v>
      </c>
      <c r="I2464" s="54">
        <f>_xll.DBRW($A$1,$F$14,$F$15,$C2464,$A$2,$F2464,$G2464,$H2464,I$1)</f>
        <v>12</v>
      </c>
      <c r="J2464" s="25">
        <f>_xll.DBRW($A$1,$F$14,$F$15,$C2464,$A$2,$F2464,$G2464,$H2464,J$19)</f>
        <v>12</v>
      </c>
    </row>
    <row r="2465" spans="1:10" s="23" customFormat="1" outlineLevel="1" thickBot="1" x14ac:dyDescent="0.3">
      <c r="A2465" s="44"/>
      <c r="B2465" s="31" t="str">
        <f>IF(_xll.TM1RPTELISCONSOLIDATED($H$20,$H2465),IF(_xll.TM1RPTELLEV($H$20,$H2465)&lt;=5,_xll.TM1RPTELLEV($H$20,$H2465),"Default"),"Leaf")</f>
        <v>Leaf</v>
      </c>
      <c r="C2465" s="26" t="s">
        <v>22</v>
      </c>
      <c r="D2465" s="24" t="str">
        <f>_xll.DBRW("TM1-S1_DEV:}ElementAttributes_SP_SKU",$F2465,D$1)</f>
        <v>Primary</v>
      </c>
      <c r="E2465" s="24" t="str">
        <f>_xll.DBRW("TM1-S1_DEV:}ElementAttributes_SP_SKU",$F2465,E$1)</f>
        <v>BAG</v>
      </c>
      <c r="F2465" s="26" t="s">
        <v>3234</v>
      </c>
      <c r="G2465" s="26" t="s">
        <v>2189</v>
      </c>
      <c r="H2465" s="26" t="s">
        <v>2714</v>
      </c>
      <c r="I2465" s="54">
        <f>_xll.DBRW($A$1,$F$14,$F$15,$C2465,$A$2,$F2465,$G2465,$H2465,I$1)</f>
        <v>7</v>
      </c>
      <c r="J2465" s="25">
        <f>_xll.DBRW($A$1,$F$14,$F$15,$C2465,$A$2,$F2465,$G2465,$H2465,J$19)</f>
        <v>7</v>
      </c>
    </row>
    <row r="2466" spans="1:10" s="23" customFormat="1" outlineLevel="1" thickBot="1" x14ac:dyDescent="0.3">
      <c r="A2466" s="44"/>
      <c r="B2466" s="31" t="str">
        <f>IF(_xll.TM1RPTELISCONSOLIDATED($H$20,$H2466),IF(_xll.TM1RPTELLEV($H$20,$H2466)&lt;=5,_xll.TM1RPTELLEV($H$20,$H2466),"Default"),"Leaf")</f>
        <v>Leaf</v>
      </c>
      <c r="C2466" s="26" t="s">
        <v>22</v>
      </c>
      <c r="D2466" s="24" t="str">
        <f>_xll.DBRW("TM1-S1_DEV:}ElementAttributes_SP_SKU",$F2466,D$1)</f>
        <v>Primary</v>
      </c>
      <c r="E2466" s="24" t="str">
        <f>_xll.DBRW("TM1-S1_DEV:}ElementAttributes_SP_SKU",$F2466,E$1)</f>
        <v>FILM</v>
      </c>
      <c r="F2466" s="26" t="s">
        <v>3235</v>
      </c>
      <c r="G2466" s="26" t="s">
        <v>2190</v>
      </c>
      <c r="H2466" s="26" t="s">
        <v>2713</v>
      </c>
      <c r="I2466" s="54">
        <f>_xll.DBRW($A$1,$F$14,$F$15,$C2466,$A$2,$F2466,$G2466,$H2466,I$1)</f>
        <v>8</v>
      </c>
      <c r="J2466" s="25">
        <f>_xll.DBRW($A$1,$F$14,$F$15,$C2466,$A$2,$F2466,$G2466,$H2466,J$19)</f>
        <v>8</v>
      </c>
    </row>
    <row r="2467" spans="1:10" s="23" customFormat="1" outlineLevel="1" thickBot="1" x14ac:dyDescent="0.3">
      <c r="A2467" s="44"/>
      <c r="B2467" s="31" t="str">
        <f>IF(_xll.TM1RPTELISCONSOLIDATED($H$20,$H2467),IF(_xll.TM1RPTELLEV($H$20,$H2467)&lt;=5,_xll.TM1RPTELLEV($H$20,$H2467),"Default"),"Leaf")</f>
        <v>Leaf</v>
      </c>
      <c r="C2467" s="26" t="s">
        <v>22</v>
      </c>
      <c r="D2467" s="24" t="str">
        <f>_xll.DBRW("TM1-S1_DEV:}ElementAttributes_SP_SKU",$F2467,D$1)</f>
        <v>Primary</v>
      </c>
      <c r="E2467" s="24" t="str">
        <f>_xll.DBRW("TM1-S1_DEV:}ElementAttributes_SP_SKU",$F2467,E$1)</f>
        <v>PAPER</v>
      </c>
      <c r="F2467" s="26" t="s">
        <v>3301</v>
      </c>
      <c r="G2467" s="26" t="s">
        <v>2192</v>
      </c>
      <c r="H2467" s="26" t="s">
        <v>2714</v>
      </c>
      <c r="I2467" s="54">
        <f>_xll.DBRW($A$1,$F$14,$F$15,$C2467,$A$2,$F2467,$G2467,$H2467,I$1)</f>
        <v>10</v>
      </c>
      <c r="J2467" s="25">
        <f>_xll.DBRW($A$1,$F$14,$F$15,$C2467,$A$2,$F2467,$G2467,$H2467,J$19)</f>
        <v>10</v>
      </c>
    </row>
    <row r="2468" spans="1:10" s="23" customFormat="1" outlineLevel="1" thickBot="1" x14ac:dyDescent="0.3">
      <c r="A2468" s="44"/>
      <c r="B2468" s="31" t="str">
        <f>IF(_xll.TM1RPTELISCONSOLIDATED($H$20,$H2468),IF(_xll.TM1RPTELLEV($H$20,$H2468)&lt;=5,_xll.TM1RPTELLEV($H$20,$H2468),"Default"),"Leaf")</f>
        <v>Leaf</v>
      </c>
      <c r="C2468" s="26" t="s">
        <v>22</v>
      </c>
      <c r="D2468" s="24" t="str">
        <f>_xll.DBRW("TM1-S1_DEV:}ElementAttributes_SP_SKU",$F2468,D$1)</f>
        <v>Primary</v>
      </c>
      <c r="E2468" s="24" t="str">
        <f>_xll.DBRW("TM1-S1_DEV:}ElementAttributes_SP_SKU",$F2468,E$1)</f>
        <v>UTENSIL</v>
      </c>
      <c r="F2468" s="26" t="s">
        <v>3286</v>
      </c>
      <c r="G2468" s="26" t="s">
        <v>2193</v>
      </c>
      <c r="H2468" s="26" t="s">
        <v>2711</v>
      </c>
      <c r="I2468" s="54">
        <f>_xll.DBRW($A$1,$F$14,$F$15,$C2468,$A$2,$F2468,$G2468,$H2468,I$1)</f>
        <v>3</v>
      </c>
      <c r="J2468" s="25">
        <f>_xll.DBRW($A$1,$F$14,$F$15,$C2468,$A$2,$F2468,$G2468,$H2468,J$19)</f>
        <v>3</v>
      </c>
    </row>
    <row r="2469" spans="1:10" s="23" customFormat="1" outlineLevel="1" thickBot="1" x14ac:dyDescent="0.3">
      <c r="A2469" s="44"/>
      <c r="B2469" s="31" t="str">
        <f>IF(_xll.TM1RPTELISCONSOLIDATED($H$20,$H2469),IF(_xll.TM1RPTELLEV($H$20,$H2469)&lt;=5,_xll.TM1RPTELLEV($H$20,$H2469),"Default"),"Leaf")</f>
        <v>Leaf</v>
      </c>
      <c r="C2469" s="26" t="s">
        <v>22</v>
      </c>
      <c r="D2469" s="24" t="str">
        <f>_xll.DBRW("TM1-S1_DEV:}ElementAttributes_SP_SKU",$F2469,D$1)</f>
        <v>Primary</v>
      </c>
      <c r="E2469" s="24" t="str">
        <f>_xll.DBRW("TM1-S1_DEV:}ElementAttributes_SP_SKU",$F2469,E$1)</f>
        <v>UTENSIL</v>
      </c>
      <c r="F2469" s="26" t="s">
        <v>3302</v>
      </c>
      <c r="G2469" s="26" t="s">
        <v>2194</v>
      </c>
      <c r="H2469" s="26" t="s">
        <v>2860</v>
      </c>
      <c r="I2469" s="54">
        <f>_xll.DBRW($A$1,$F$14,$F$15,$C2469,$A$2,$F2469,$G2469,$H2469,I$1)</f>
        <v>3</v>
      </c>
      <c r="J2469" s="25">
        <f>_xll.DBRW($A$1,$F$14,$F$15,$C2469,$A$2,$F2469,$G2469,$H2469,J$19)</f>
        <v>3</v>
      </c>
    </row>
    <row r="2470" spans="1:10" s="23" customFormat="1" outlineLevel="1" thickBot="1" x14ac:dyDescent="0.3">
      <c r="A2470" s="44"/>
      <c r="B2470" s="31" t="str">
        <f>IF(_xll.TM1RPTELISCONSOLIDATED($H$20,$H2470),IF(_xll.TM1RPTELLEV($H$20,$H2470)&lt;=5,_xll.TM1RPTELLEV($H$20,$H2470),"Default"),"Leaf")</f>
        <v>Leaf</v>
      </c>
      <c r="C2470" s="26" t="s">
        <v>22</v>
      </c>
      <c r="D2470" s="24" t="str">
        <f>_xll.DBRW("TM1-S1_DEV:}ElementAttributes_SP_SKU",$F2470,D$1)</f>
        <v>Primary</v>
      </c>
      <c r="E2470" s="24" t="str">
        <f>_xll.DBRW("TM1-S1_DEV:}ElementAttributes_SP_SKU",$F2470,E$1)</f>
        <v>BREAD</v>
      </c>
      <c r="F2470" s="26" t="s">
        <v>3277</v>
      </c>
      <c r="G2470" s="26" t="s">
        <v>2197</v>
      </c>
      <c r="H2470" s="26" t="s">
        <v>2689</v>
      </c>
      <c r="I2470" s="54">
        <f>_xll.DBRW($A$1,$F$14,$F$15,$C2470,$A$2,$F2470,$G2470,$H2470,I$1)</f>
        <v>14</v>
      </c>
      <c r="J2470" s="25">
        <f>_xll.DBRW($A$1,$F$14,$F$15,$C2470,$A$2,$F2470,$G2470,$H2470,J$19)</f>
        <v>14</v>
      </c>
    </row>
    <row r="2471" spans="1:10" s="23" customFormat="1" outlineLevel="1" thickBot="1" x14ac:dyDescent="0.3">
      <c r="A2471" s="44"/>
      <c r="B2471" s="31" t="str">
        <f>IF(_xll.TM1RPTELISCONSOLIDATED($H$20,$H2471),IF(_xll.TM1RPTELLEV($H$20,$H2471)&lt;=5,_xll.TM1RPTELLEV($H$20,$H2471),"Default"),"Leaf")</f>
        <v>Leaf</v>
      </c>
      <c r="C2471" s="26" t="s">
        <v>22</v>
      </c>
      <c r="D2471" s="24" t="str">
        <f>_xll.DBRW("TM1-S1_DEV:}ElementAttributes_SP_SKU",$F2471,D$1)</f>
        <v>Primary</v>
      </c>
      <c r="E2471" s="24" t="str">
        <f>_xll.DBRW("TM1-S1_DEV:}ElementAttributes_SP_SKU",$F2471,E$1)</f>
        <v>BOWL</v>
      </c>
      <c r="F2471" s="26" t="s">
        <v>3237</v>
      </c>
      <c r="G2471" s="26" t="s">
        <v>2198</v>
      </c>
      <c r="H2471" s="26" t="s">
        <v>2703</v>
      </c>
      <c r="I2471" s="54">
        <f>_xll.DBRW($A$1,$F$14,$F$15,$C2471,$A$2,$F2471,$G2471,$H2471,I$1)</f>
        <v>13</v>
      </c>
      <c r="J2471" s="25">
        <f>_xll.DBRW($A$1,$F$14,$F$15,$C2471,$A$2,$F2471,$G2471,$H2471,J$19)</f>
        <v>13</v>
      </c>
    </row>
    <row r="2472" spans="1:10" s="23" customFormat="1" outlineLevel="1" thickBot="1" x14ac:dyDescent="0.3">
      <c r="A2472" s="44"/>
      <c r="B2472" s="31" t="str">
        <f>IF(_xll.TM1RPTELISCONSOLIDATED($H$20,$H2472),IF(_xll.TM1RPTELLEV($H$20,$H2472)&lt;=5,_xll.TM1RPTELLEV($H$20,$H2472),"Default"),"Leaf")</f>
        <v>Leaf</v>
      </c>
      <c r="C2472" s="26" t="s">
        <v>22</v>
      </c>
      <c r="D2472" s="24" t="str">
        <f>_xll.DBRW("TM1-S1_DEV:}ElementAttributes_SP_SKU",$F2472,D$1)</f>
        <v>Primary</v>
      </c>
      <c r="E2472" s="24" t="str">
        <f>_xll.DBRW("TM1-S1_DEV:}ElementAttributes_SP_SKU",$F2472,E$1)</f>
        <v>BOWL</v>
      </c>
      <c r="F2472" s="26" t="s">
        <v>3238</v>
      </c>
      <c r="G2472" s="26" t="s">
        <v>2199</v>
      </c>
      <c r="H2472" s="26" t="s">
        <v>2703</v>
      </c>
      <c r="I2472" s="54">
        <f>_xll.DBRW($A$1,$F$14,$F$15,$C2472,$A$2,$F2472,$G2472,$H2472,I$1)</f>
        <v>20</v>
      </c>
      <c r="J2472" s="25">
        <f>_xll.DBRW($A$1,$F$14,$F$15,$C2472,$A$2,$F2472,$G2472,$H2472,J$19)</f>
        <v>20</v>
      </c>
    </row>
    <row r="2473" spans="1:10" s="23" customFormat="1" outlineLevel="1" thickBot="1" x14ac:dyDescent="0.3">
      <c r="A2473" s="44"/>
      <c r="B2473" s="31" t="str">
        <f>IF(_xll.TM1RPTELISCONSOLIDATED($H$20,$H2473),IF(_xll.TM1RPTELLEV($H$20,$H2473)&lt;=5,_xll.TM1RPTELLEV($H$20,$H2473),"Default"),"Leaf")</f>
        <v>Leaf</v>
      </c>
      <c r="C2473" s="26" t="s">
        <v>22</v>
      </c>
      <c r="D2473" s="24" t="str">
        <f>_xll.DBRW("TM1-S1_DEV:}ElementAttributes_SP_SKU",$F2473,D$1)</f>
        <v>Primary</v>
      </c>
      <c r="E2473" s="24" t="str">
        <f>_xll.DBRW("TM1-S1_DEV:}ElementAttributes_SP_SKU",$F2473,E$1)</f>
        <v>TRAY</v>
      </c>
      <c r="F2473" s="26" t="s">
        <v>360</v>
      </c>
      <c r="G2473" s="26" t="s">
        <v>2200</v>
      </c>
      <c r="H2473" s="26" t="s">
        <v>2703</v>
      </c>
      <c r="I2473" s="54">
        <f>_xll.DBRW($A$1,$F$14,$F$15,$C2473,$A$2,$F2473,$G2473,$H2473,I$1)</f>
        <v>20</v>
      </c>
      <c r="J2473" s="25">
        <f>_xll.DBRW($A$1,$F$14,$F$15,$C2473,$A$2,$F2473,$G2473,$H2473,J$19)</f>
        <v>20</v>
      </c>
    </row>
    <row r="2474" spans="1:10" s="23" customFormat="1" outlineLevel="1" thickBot="1" x14ac:dyDescent="0.3">
      <c r="A2474" s="44"/>
      <c r="B2474" s="31" t="str">
        <f>IF(_xll.TM1RPTELISCONSOLIDATED($H$20,$H2474),IF(_xll.TM1RPTELLEV($H$20,$H2474)&lt;=5,_xll.TM1RPTELLEV($H$20,$H2474),"Default"),"Leaf")</f>
        <v>Leaf</v>
      </c>
      <c r="C2474" s="26" t="s">
        <v>22</v>
      </c>
      <c r="D2474" s="24" t="str">
        <f>_xll.DBRW("TM1-S1_DEV:}ElementAttributes_SP_SKU",$F2474,D$1)</f>
        <v>Primary</v>
      </c>
      <c r="E2474" s="24" t="str">
        <f>_xll.DBRW("TM1-S1_DEV:}ElementAttributes_SP_SKU",$F2474,E$1)</f>
        <v>TRAY</v>
      </c>
      <c r="F2474" s="26" t="s">
        <v>361</v>
      </c>
      <c r="G2474" s="26" t="s">
        <v>2201</v>
      </c>
      <c r="H2474" s="26" t="s">
        <v>2703</v>
      </c>
      <c r="I2474" s="54">
        <f>_xll.DBRW($A$1,$F$14,$F$15,$C2474,$A$2,$F2474,$G2474,$H2474,I$1)</f>
        <v>14</v>
      </c>
      <c r="J2474" s="25">
        <f>_xll.DBRW($A$1,$F$14,$F$15,$C2474,$A$2,$F2474,$G2474,$H2474,J$19)</f>
        <v>14</v>
      </c>
    </row>
    <row r="2475" spans="1:10" s="23" customFormat="1" outlineLevel="1" thickBot="1" x14ac:dyDescent="0.3">
      <c r="A2475" s="44"/>
      <c r="B2475" s="31" t="str">
        <f>IF(_xll.TM1RPTELISCONSOLIDATED($H$20,$H2475),IF(_xll.TM1RPTELLEV($H$20,$H2475)&lt;=5,_xll.TM1RPTELLEV($H$20,$H2475),"Default"),"Leaf")</f>
        <v>Leaf</v>
      </c>
      <c r="C2475" s="26" t="s">
        <v>22</v>
      </c>
      <c r="D2475" s="24" t="str">
        <f>_xll.DBRW("TM1-S1_DEV:}ElementAttributes_SP_SKU",$F2475,D$1)</f>
        <v>Primary</v>
      </c>
      <c r="E2475" s="24" t="str">
        <f>_xll.DBRW("TM1-S1_DEV:}ElementAttributes_SP_SKU",$F2475,E$1)</f>
        <v>TRAY</v>
      </c>
      <c r="F2475" s="26" t="s">
        <v>362</v>
      </c>
      <c r="G2475" s="26" t="s">
        <v>2202</v>
      </c>
      <c r="H2475" s="26" t="s">
        <v>2703</v>
      </c>
      <c r="I2475" s="54">
        <f>_xll.DBRW($A$1,$F$14,$F$15,$C2475,$A$2,$F2475,$G2475,$H2475,I$1)</f>
        <v>11</v>
      </c>
      <c r="J2475" s="25">
        <f>_xll.DBRW($A$1,$F$14,$F$15,$C2475,$A$2,$F2475,$G2475,$H2475,J$19)</f>
        <v>11</v>
      </c>
    </row>
    <row r="2476" spans="1:10" s="23" customFormat="1" outlineLevel="1" thickBot="1" x14ac:dyDescent="0.3">
      <c r="A2476" s="44"/>
      <c r="B2476" s="31" t="str">
        <f>IF(_xll.TM1RPTELISCONSOLIDATED($H$20,$H2476),IF(_xll.TM1RPTELLEV($H$20,$H2476)&lt;=5,_xll.TM1RPTELLEV($H$20,$H2476),"Default"),"Leaf")</f>
        <v>Leaf</v>
      </c>
      <c r="C2476" s="26" t="s">
        <v>22</v>
      </c>
      <c r="D2476" s="24" t="str">
        <f>_xll.DBRW("TM1-S1_DEV:}ElementAttributes_SP_SKU",$F2476,D$1)</f>
        <v>Primary</v>
      </c>
      <c r="E2476" s="24" t="str">
        <f>_xll.DBRW("TM1-S1_DEV:}ElementAttributes_SP_SKU",$F2476,E$1)</f>
        <v>CHEESE</v>
      </c>
      <c r="F2476" s="26" t="s">
        <v>363</v>
      </c>
      <c r="G2476" s="26" t="s">
        <v>2203</v>
      </c>
      <c r="H2476" s="26" t="s">
        <v>2692</v>
      </c>
      <c r="I2476" s="54">
        <f>_xll.DBRW($A$1,$F$14,$F$15,$C2476,$A$2,$F2476,$G2476,$H2476,I$1)</f>
        <v>20</v>
      </c>
      <c r="J2476" s="25">
        <f>_xll.DBRW($A$1,$F$14,$F$15,$C2476,$A$2,$F2476,$G2476,$H2476,J$19)</f>
        <v>19</v>
      </c>
    </row>
    <row r="2477" spans="1:10" s="23" customFormat="1" outlineLevel="1" thickBot="1" x14ac:dyDescent="0.3">
      <c r="A2477" s="44"/>
      <c r="B2477" s="31" t="str">
        <f>IF(_xll.TM1RPTELISCONSOLIDATED($H$20,$H2477),IF(_xll.TM1RPTELLEV($H$20,$H2477)&lt;=5,_xll.TM1RPTELLEV($H$20,$H2477),"Default"),"Leaf")</f>
        <v>Leaf</v>
      </c>
      <c r="C2477" s="26" t="s">
        <v>22</v>
      </c>
      <c r="D2477" s="24" t="str">
        <f>_xll.DBRW("TM1-S1_DEV:}ElementAttributes_SP_SKU",$F2477,D$1)</f>
        <v>Primary</v>
      </c>
      <c r="E2477" s="24" t="str">
        <f>_xll.DBRW("TM1-S1_DEV:}ElementAttributes_SP_SKU",$F2477,E$1)</f>
        <v>PAPER</v>
      </c>
      <c r="F2477" s="26" t="s">
        <v>3239</v>
      </c>
      <c r="G2477" s="26" t="s">
        <v>2204</v>
      </c>
      <c r="H2477" s="26" t="s">
        <v>2715</v>
      </c>
      <c r="I2477" s="54">
        <f>_xll.DBRW($A$1,$F$14,$F$15,$C2477,$A$2,$F2477,$G2477,$H2477,I$1)</f>
        <v>16</v>
      </c>
      <c r="J2477" s="25">
        <f>_xll.DBRW($A$1,$F$14,$F$15,$C2477,$A$2,$F2477,$G2477,$H2477,J$19)</f>
        <v>16</v>
      </c>
    </row>
    <row r="2478" spans="1:10" s="23" customFormat="1" outlineLevel="1" thickBot="1" x14ac:dyDescent="0.3">
      <c r="A2478" s="44"/>
      <c r="B2478" s="31" t="str">
        <f>IF(_xll.TM1RPTELISCONSOLIDATED($H$20,$H2478),IF(_xll.TM1RPTELLEV($H$20,$H2478)&lt;=5,_xll.TM1RPTELLEV($H$20,$H2478),"Default"),"Leaf")</f>
        <v>Leaf</v>
      </c>
      <c r="C2478" s="26" t="s">
        <v>22</v>
      </c>
      <c r="D2478" s="24" t="str">
        <f>_xll.DBRW("TM1-S1_DEV:}ElementAttributes_SP_SKU",$F2478,D$1)</f>
        <v>Unassigned PSP</v>
      </c>
      <c r="E2478" s="24" t="str">
        <f>_xll.DBRW("TM1-S1_DEV:}ElementAttributes_SP_SKU",$F2478,E$1)</f>
        <v>UTENSIL</v>
      </c>
      <c r="F2478" s="26" t="s">
        <v>434</v>
      </c>
      <c r="G2478" s="26" t="s">
        <v>2225</v>
      </c>
      <c r="H2478" s="26" t="s">
        <v>2881</v>
      </c>
      <c r="I2478" s="54">
        <f>_xll.DBRW($A$1,$F$14,$F$15,$C2478,$A$2,$F2478,$G2478,$H2478,I$1)</f>
        <v>7</v>
      </c>
      <c r="J2478" s="25">
        <f>_xll.DBRW($A$1,$F$14,$F$15,$C2478,$A$2,$F2478,$G2478,$H2478,J$19)</f>
        <v>7</v>
      </c>
    </row>
    <row r="2479" spans="1:10" s="23" customFormat="1" outlineLevel="1" thickBot="1" x14ac:dyDescent="0.3">
      <c r="A2479" s="44"/>
      <c r="B2479" s="31" t="str">
        <f>IF(_xll.TM1RPTELISCONSOLIDATED($H$20,$H2479),IF(_xll.TM1RPTELLEV($H$20,$H2479)&lt;=5,_xll.TM1RPTELLEV($H$20,$H2479),"Default"),"Leaf")</f>
        <v>Leaf</v>
      </c>
      <c r="C2479" s="26" t="s">
        <v>22</v>
      </c>
      <c r="D2479" s="24" t="str">
        <f>_xll.DBRW("TM1-S1_DEV:}ElementAttributes_SP_SKU",$F2479,D$1)</f>
        <v>Primary</v>
      </c>
      <c r="E2479" s="24" t="str">
        <f>_xll.DBRW("TM1-S1_DEV:}ElementAttributes_SP_SKU",$F2479,E$1)</f>
        <v>PLATE</v>
      </c>
      <c r="F2479" s="26" t="s">
        <v>3294</v>
      </c>
      <c r="G2479" s="26" t="s">
        <v>2205</v>
      </c>
      <c r="H2479" s="26" t="s">
        <v>2708</v>
      </c>
      <c r="I2479" s="54">
        <f>_xll.DBRW($A$1,$F$14,$F$15,$C2479,$A$2,$F2479,$G2479,$H2479,I$1)</f>
        <v>6</v>
      </c>
      <c r="J2479" s="25">
        <f>_xll.DBRW($A$1,$F$14,$F$15,$C2479,$A$2,$F2479,$G2479,$H2479,J$19)</f>
        <v>6</v>
      </c>
    </row>
    <row r="2480" spans="1:10" s="23" customFormat="1" outlineLevel="1" thickBot="1" x14ac:dyDescent="0.3">
      <c r="A2480" s="44"/>
      <c r="B2480" s="31" t="str">
        <f>IF(_xll.TM1RPTELISCONSOLIDATED($H$20,$H2480),IF(_xll.TM1RPTELLEV($H$20,$H2480)&lt;=5,_xll.TM1RPTELLEV($H$20,$H2480),"Default"),"Leaf")</f>
        <v>Leaf</v>
      </c>
      <c r="C2480" s="26" t="s">
        <v>22</v>
      </c>
      <c r="D2480" s="24" t="str">
        <f>_xll.DBRW("TM1-S1_DEV:}ElementAttributes_SP_SKU",$F2480,D$1)</f>
        <v>Primary</v>
      </c>
      <c r="E2480" s="24" t="str">
        <f>_xll.DBRW("TM1-S1_DEV:}ElementAttributes_SP_SKU",$F2480,E$1)</f>
        <v>BOWL</v>
      </c>
      <c r="F2480" s="26" t="s">
        <v>32</v>
      </c>
      <c r="G2480" s="26" t="s">
        <v>2206</v>
      </c>
      <c r="H2480" s="26" t="s">
        <v>2708</v>
      </c>
      <c r="I2480" s="54">
        <f>_xll.DBRW($A$1,$F$14,$F$15,$C2480,$A$2,$F2480,$G2480,$H2480,I$1)</f>
        <v>0</v>
      </c>
      <c r="J2480" s="25">
        <f>_xll.DBRW($A$1,$F$14,$F$15,$C2480,$A$2,$F2480,$G2480,$H2480,J$19)</f>
        <v>3</v>
      </c>
    </row>
    <row r="2481" spans="1:10" s="23" customFormat="1" outlineLevel="1" thickBot="1" x14ac:dyDescent="0.3">
      <c r="A2481" s="44"/>
      <c r="B2481" s="31" t="str">
        <f>IF(_xll.TM1RPTELISCONSOLIDATED($H$20,$H2481),IF(_xll.TM1RPTELLEV($H$20,$H2481)&lt;=5,_xll.TM1RPTELLEV($H$20,$H2481),"Default"),"Leaf")</f>
        <v>Leaf</v>
      </c>
      <c r="C2481" s="26" t="s">
        <v>22</v>
      </c>
      <c r="D2481" s="24" t="str">
        <f>_xll.DBRW("TM1-S1_DEV:}ElementAttributes_SP_SKU",$F2481,D$1)</f>
        <v>Primary</v>
      </c>
      <c r="E2481" s="24" t="str">
        <f>_xll.DBRW("TM1-S1_DEV:}ElementAttributes_SP_SKU",$F2481,E$1)</f>
        <v>BOWL</v>
      </c>
      <c r="F2481" s="26" t="s">
        <v>33</v>
      </c>
      <c r="G2481" s="26" t="s">
        <v>2207</v>
      </c>
      <c r="H2481" s="26" t="s">
        <v>2708</v>
      </c>
      <c r="I2481" s="54">
        <f>_xll.DBRW($A$1,$F$14,$F$15,$C2481,$A$2,$F2481,$G2481,$H2481,I$1)</f>
        <v>0</v>
      </c>
      <c r="J2481" s="25">
        <f>_xll.DBRW($A$1,$F$14,$F$15,$C2481,$A$2,$F2481,$G2481,$H2481,J$19)</f>
        <v>3</v>
      </c>
    </row>
    <row r="2482" spans="1:10" s="23" customFormat="1" outlineLevel="1" thickBot="1" x14ac:dyDescent="0.3">
      <c r="A2482" s="44"/>
      <c r="B2482" s="31" t="str">
        <f>IF(_xll.TM1RPTELISCONSOLIDATED($H$20,$H2482),IF(_xll.TM1RPTELLEV($H$20,$H2482)&lt;=5,_xll.TM1RPTELLEV($H$20,$H2482),"Default"),"Leaf")</f>
        <v>Leaf</v>
      </c>
      <c r="C2482" s="26" t="s">
        <v>22</v>
      </c>
      <c r="D2482" s="24" t="str">
        <f>_xll.DBRW("TM1-S1_DEV:}ElementAttributes_SP_SKU",$F2482,D$1)</f>
        <v>Primary</v>
      </c>
      <c r="E2482" s="24" t="str">
        <f>_xll.DBRW("TM1-S1_DEV:}ElementAttributes_SP_SKU",$F2482,E$1)</f>
        <v>FOIL</v>
      </c>
      <c r="F2482" s="26" t="s">
        <v>34</v>
      </c>
      <c r="G2482" s="26" t="s">
        <v>2208</v>
      </c>
      <c r="H2482" s="26" t="s">
        <v>2716</v>
      </c>
      <c r="I2482" s="54">
        <f>_xll.DBRW($A$1,$F$14,$F$15,$C2482,$A$2,$F2482,$G2482,$H2482,I$1)</f>
        <v>12</v>
      </c>
      <c r="J2482" s="25">
        <f>_xll.DBRW($A$1,$F$14,$F$15,$C2482,$A$2,$F2482,$G2482,$H2482,J$19)</f>
        <v>12</v>
      </c>
    </row>
    <row r="2483" spans="1:10" s="23" customFormat="1" outlineLevel="1" thickBot="1" x14ac:dyDescent="0.3">
      <c r="A2483" s="44"/>
      <c r="B2483" s="31" t="str">
        <f>IF(_xll.TM1RPTELISCONSOLIDATED($H$20,$H2483),IF(_xll.TM1RPTELLEV($H$20,$H2483)&lt;=5,_xll.TM1RPTELLEV($H$20,$H2483),"Default"),"Leaf")</f>
        <v>Leaf</v>
      </c>
      <c r="C2483" s="26" t="s">
        <v>22</v>
      </c>
      <c r="D2483" s="24" t="str">
        <f>_xll.DBRW("TM1-S1_DEV:}ElementAttributes_SP_SKU",$F2483,D$1)</f>
        <v>Primary</v>
      </c>
      <c r="E2483" s="24" t="str">
        <f>_xll.DBRW("TM1-S1_DEV:}ElementAttributes_SP_SKU",$F2483,E$1)</f>
        <v>INGREDIENT</v>
      </c>
      <c r="F2483" s="26" t="s">
        <v>3240</v>
      </c>
      <c r="G2483" s="26" t="s">
        <v>2209</v>
      </c>
      <c r="H2483" s="26" t="s">
        <v>2728</v>
      </c>
      <c r="I2483" s="54">
        <f>_xll.DBRW($A$1,$F$14,$F$15,$C2483,$A$2,$F2483,$G2483,$H2483,I$1)</f>
        <v>17</v>
      </c>
      <c r="J2483" s="25">
        <f>_xll.DBRW($A$1,$F$14,$F$15,$C2483,$A$2,$F2483,$G2483,$H2483,J$19)</f>
        <v>7</v>
      </c>
    </row>
    <row r="2484" spans="1:10" s="23" customFormat="1" outlineLevel="1" thickBot="1" x14ac:dyDescent="0.3">
      <c r="A2484" s="44"/>
      <c r="B2484" s="31" t="str">
        <f>IF(_xll.TM1RPTELISCONSOLIDATED($H$20,$H2484),IF(_xll.TM1RPTELLEV($H$20,$H2484)&lt;=5,_xll.TM1RPTELLEV($H$20,$H2484),"Default"),"Leaf")</f>
        <v>Leaf</v>
      </c>
      <c r="C2484" s="26" t="s">
        <v>22</v>
      </c>
      <c r="D2484" s="24" t="str">
        <f>_xll.DBRW("TM1-S1_DEV:}ElementAttributes_SP_SKU",$F2484,D$1)</f>
        <v>Primary</v>
      </c>
      <c r="E2484" s="24" t="str">
        <f>_xll.DBRW("TM1-S1_DEV:}ElementAttributes_SP_SKU",$F2484,E$1)</f>
        <v>INGREDIENT</v>
      </c>
      <c r="F2484" s="26" t="s">
        <v>3241</v>
      </c>
      <c r="G2484" s="26" t="s">
        <v>2210</v>
      </c>
      <c r="H2484" s="26" t="s">
        <v>2729</v>
      </c>
      <c r="I2484" s="54">
        <f>_xll.DBRW($A$1,$F$14,$F$15,$C2484,$A$2,$F2484,$G2484,$H2484,I$1)</f>
        <v>362</v>
      </c>
      <c r="J2484" s="25">
        <f>_xll.DBRW($A$1,$F$14,$F$15,$C2484,$A$2,$F2484,$G2484,$H2484,J$19)</f>
        <v>242</v>
      </c>
    </row>
    <row r="2485" spans="1:10" s="23" customFormat="1" outlineLevel="1" thickBot="1" x14ac:dyDescent="0.3">
      <c r="A2485" s="44"/>
      <c r="B2485" s="31" t="str">
        <f>IF(_xll.TM1RPTELISCONSOLIDATED($H$20,$H2485),IF(_xll.TM1RPTELLEV($H$20,$H2485)&lt;=5,_xll.TM1RPTELLEV($H$20,$H2485),"Default"),"Leaf")</f>
        <v>Leaf</v>
      </c>
      <c r="C2485" s="26" t="s">
        <v>22</v>
      </c>
      <c r="D2485" s="24" t="str">
        <f>_xll.DBRW("TM1-S1_DEV:}ElementAttributes_SP_SKU",$F2485,D$1)</f>
        <v>Primary</v>
      </c>
      <c r="E2485" s="24" t="str">
        <f>_xll.DBRW("TM1-S1_DEV:}ElementAttributes_SP_SKU",$F2485,E$1)</f>
        <v>GEL</v>
      </c>
      <c r="F2485" s="26" t="s">
        <v>98</v>
      </c>
      <c r="G2485" s="26" t="s">
        <v>2211</v>
      </c>
      <c r="H2485" s="26" t="s">
        <v>2762</v>
      </c>
      <c r="I2485" s="54">
        <f>_xll.DBRW($A$1,$F$14,$F$15,$C2485,$A$2,$F2485,$G2485,$H2485,I$1)</f>
        <v>1</v>
      </c>
      <c r="J2485" s="25">
        <f>_xll.DBRW($A$1,$F$14,$F$15,$C2485,$A$2,$F2485,$G2485,$H2485,J$19)</f>
        <v>1</v>
      </c>
    </row>
    <row r="2486" spans="1:10" s="23" customFormat="1" outlineLevel="1" thickBot="1" x14ac:dyDescent="0.3">
      <c r="A2486" s="44"/>
      <c r="B2486" s="31" t="str">
        <f>IF(_xll.TM1RPTELISCONSOLIDATED($H$20,$H2486),IF(_xll.TM1RPTELLEV($H$20,$H2486)&lt;=5,_xll.TM1RPTELLEV($H$20,$H2486),"Default"),"Leaf")</f>
        <v>Leaf</v>
      </c>
      <c r="C2486" s="26" t="s">
        <v>22</v>
      </c>
      <c r="D2486" s="24" t="str">
        <f>_xll.DBRW("TM1-S1_DEV:}ElementAttributes_SP_SKU",$F2486,D$1)</f>
        <v>Unassigned PSP</v>
      </c>
      <c r="E2486" s="24" t="str">
        <f>_xll.DBRW("TM1-S1_DEV:}ElementAttributes_SP_SKU",$F2486,E$1)</f>
        <v>PAPER</v>
      </c>
      <c r="F2486" s="26" t="s">
        <v>99</v>
      </c>
      <c r="G2486" s="26" t="s">
        <v>2226</v>
      </c>
      <c r="H2486" s="26" t="s">
        <v>2763</v>
      </c>
      <c r="I2486" s="54">
        <f>_xll.DBRW($A$1,$F$14,$F$15,$C2486,$A$2,$F2486,$G2486,$H2486,I$1)</f>
        <v>5</v>
      </c>
      <c r="J2486" s="25">
        <f>_xll.DBRW($A$1,$F$14,$F$15,$C2486,$A$2,$F2486,$G2486,$H2486,J$19)</f>
        <v>5</v>
      </c>
    </row>
    <row r="2487" spans="1:10" s="23" customFormat="1" outlineLevel="1" thickBot="1" x14ac:dyDescent="0.3">
      <c r="A2487" s="44"/>
      <c r="B2487" s="31" t="str">
        <f>IF(_xll.TM1RPTELISCONSOLIDATED($H$20,$H2487),IF(_xll.TM1RPTELLEV($H$20,$H2487)&lt;=5,_xll.TM1RPTELLEV($H$20,$H2487),"Default"),"Leaf")</f>
        <v>Leaf</v>
      </c>
      <c r="C2487" s="26" t="s">
        <v>22</v>
      </c>
      <c r="D2487" s="24" t="str">
        <f>_xll.DBRW("TM1-S1_DEV:}ElementAttributes_SP_SKU",$F2487,D$1)</f>
        <v>Primary</v>
      </c>
      <c r="E2487" s="24" t="str">
        <f>_xll.DBRW("TM1-S1_DEV:}ElementAttributes_SP_SKU",$F2487,E$1)</f>
        <v>CONTAINER</v>
      </c>
      <c r="F2487" s="26" t="s">
        <v>3242</v>
      </c>
      <c r="G2487" s="26" t="s">
        <v>2212</v>
      </c>
      <c r="H2487" s="26" t="s">
        <v>2708</v>
      </c>
      <c r="I2487" s="54">
        <f>_xll.DBRW($A$1,$F$14,$F$15,$C2487,$A$2,$F2487,$G2487,$H2487,I$1)</f>
        <v>50</v>
      </c>
      <c r="J2487" s="25">
        <f>_xll.DBRW($A$1,$F$14,$F$15,$C2487,$A$2,$F2487,$G2487,$H2487,J$19)</f>
        <v>42</v>
      </c>
    </row>
    <row r="2488" spans="1:10" s="23" customFormat="1" outlineLevel="1" thickBot="1" x14ac:dyDescent="0.3">
      <c r="A2488" s="44"/>
      <c r="B2488" s="31" t="str">
        <f>IF(_xll.TM1RPTELISCONSOLIDATED($H$20,$H2488),IF(_xll.TM1RPTELLEV($H$20,$H2488)&lt;=5,_xll.TM1RPTELLEV($H$20,$H2488),"Default"),"Leaf")</f>
        <v>Leaf</v>
      </c>
      <c r="C2488" s="26" t="s">
        <v>22</v>
      </c>
      <c r="D2488" s="24" t="str">
        <f>_xll.DBRW("TM1-S1_DEV:}ElementAttributes_SP_SKU",$F2488,D$1)</f>
        <v>Primary</v>
      </c>
      <c r="E2488" s="24" t="str">
        <f>_xll.DBRW("TM1-S1_DEV:}ElementAttributes_SP_SKU",$F2488,E$1)</f>
        <v>PAPER</v>
      </c>
      <c r="F2488" s="26" t="s">
        <v>3243</v>
      </c>
      <c r="G2488" s="26" t="s">
        <v>2213</v>
      </c>
      <c r="H2488" s="26" t="s">
        <v>2730</v>
      </c>
      <c r="I2488" s="54">
        <f>_xll.DBRW($A$1,$F$14,$F$15,$C2488,$A$2,$F2488,$G2488,$H2488,I$1)</f>
        <v>1</v>
      </c>
      <c r="J2488" s="25">
        <f>_xll.DBRW($A$1,$F$14,$F$15,$C2488,$A$2,$F2488,$G2488,$H2488,J$19)</f>
        <v>0</v>
      </c>
    </row>
    <row r="2489" spans="1:10" s="23" customFormat="1" outlineLevel="1" thickBot="1" x14ac:dyDescent="0.3">
      <c r="A2489" s="44"/>
      <c r="B2489" s="31" t="str">
        <f>IF(_xll.TM1RPTELISCONSOLIDATED($H$20,$H2489),IF(_xll.TM1RPTELLEV($H$20,$H2489)&lt;=5,_xll.TM1RPTELLEV($H$20,$H2489),"Default"),"Leaf")</f>
        <v>Leaf</v>
      </c>
      <c r="C2489" s="26" t="s">
        <v>22</v>
      </c>
      <c r="D2489" s="24" t="str">
        <f>_xll.DBRW("TM1-S1_DEV:}ElementAttributes_SP_SKU",$F2489,D$1)</f>
        <v>Primary</v>
      </c>
      <c r="E2489" s="24" t="str">
        <f>_xll.DBRW("TM1-S1_DEV:}ElementAttributes_SP_SKU",$F2489,E$1)</f>
        <v>PROTEIN</v>
      </c>
      <c r="F2489" s="26" t="s">
        <v>3244</v>
      </c>
      <c r="G2489" s="26" t="s">
        <v>2214</v>
      </c>
      <c r="H2489" s="26" t="s">
        <v>2670</v>
      </c>
      <c r="I2489" s="54">
        <f>_xll.DBRW($A$1,$F$14,$F$15,$C2489,$A$2,$F2489,$G2489,$H2489,I$1)</f>
        <v>31</v>
      </c>
      <c r="J2489" s="25">
        <f>_xll.DBRW($A$1,$F$14,$F$15,$C2489,$A$2,$F2489,$G2489,$H2489,J$19)</f>
        <v>25</v>
      </c>
    </row>
    <row r="2490" spans="1:10" s="23" customFormat="1" outlineLevel="1" thickBot="1" x14ac:dyDescent="0.3">
      <c r="A2490" s="44"/>
      <c r="B2490" s="31" t="str">
        <f>IF(_xll.TM1RPTELISCONSOLIDATED($H$20,$H2490),IF(_xll.TM1RPTELLEV($H$20,$H2490)&lt;=5,_xll.TM1RPTELLEV($H$20,$H2490),"Default"),"Leaf")</f>
        <v>Leaf</v>
      </c>
      <c r="C2490" s="26" t="s">
        <v>22</v>
      </c>
      <c r="D2490" s="24" t="str">
        <f>_xll.DBRW("TM1-S1_DEV:}ElementAttributes_SP_SKU",$F2490,D$1)</f>
        <v>Primary</v>
      </c>
      <c r="E2490" s="24" t="str">
        <f>_xll.DBRW("TM1-S1_DEV:}ElementAttributes_SP_SKU",$F2490,E$1)</f>
        <v>PAD</v>
      </c>
      <c r="F2490" s="26" t="s">
        <v>3245</v>
      </c>
      <c r="G2490" s="26" t="s">
        <v>2215</v>
      </c>
      <c r="H2490" s="26" t="s">
        <v>2731</v>
      </c>
      <c r="I2490" s="54">
        <f>_xll.DBRW($A$1,$F$14,$F$15,$C2490,$A$2,$F2490,$G2490,$H2490,I$1)</f>
        <v>38</v>
      </c>
      <c r="J2490" s="25">
        <f>_xll.DBRW($A$1,$F$14,$F$15,$C2490,$A$2,$F2490,$G2490,$H2490,J$19)</f>
        <v>31</v>
      </c>
    </row>
    <row r="2491" spans="1:10" s="23" customFormat="1" outlineLevel="1" thickBot="1" x14ac:dyDescent="0.3">
      <c r="A2491" s="44"/>
      <c r="B2491" s="31" t="str">
        <f>IF(_xll.TM1RPTELISCONSOLIDATED($H$20,$H2491),IF(_xll.TM1RPTELLEV($H$20,$H2491)&lt;=5,_xll.TM1RPTELLEV($H$20,$H2491),"Default"),"Leaf")</f>
        <v>Leaf</v>
      </c>
      <c r="C2491" s="26" t="s">
        <v>22</v>
      </c>
      <c r="D2491" s="24" t="str">
        <f>_xll.DBRW("TM1-S1_DEV:}ElementAttributes_SP_SKU",$F2491,D$1)</f>
        <v>Primary</v>
      </c>
      <c r="E2491" s="24" t="str">
        <f>_xll.DBRW("TM1-S1_DEV:}ElementAttributes_SP_SKU",$F2491,E$1)</f>
        <v>PAPER</v>
      </c>
      <c r="F2491" s="26" t="s">
        <v>3303</v>
      </c>
      <c r="G2491" s="26" t="s">
        <v>2216</v>
      </c>
      <c r="H2491" s="26" t="s">
        <v>2880</v>
      </c>
      <c r="I2491" s="54">
        <f>_xll.DBRW($A$1,$F$14,$F$15,$C2491,$A$2,$F2491,$G2491,$H2491,I$1)</f>
        <v>44</v>
      </c>
      <c r="J2491" s="25">
        <f>_xll.DBRW($A$1,$F$14,$F$15,$C2491,$A$2,$F2491,$G2491,$H2491,J$19)</f>
        <v>44</v>
      </c>
    </row>
    <row r="2492" spans="1:10" s="23" customFormat="1" outlineLevel="1" thickBot="1" x14ac:dyDescent="0.3">
      <c r="A2492" s="44"/>
      <c r="B2492" s="31" t="str">
        <f>IF(_xll.TM1RPTELISCONSOLIDATED($H$20,$H2492),IF(_xll.TM1RPTELLEV($H$20,$H2492)&lt;=5,_xll.TM1RPTELLEV($H$20,$H2492),"Default"),"Leaf")</f>
        <v>Leaf</v>
      </c>
      <c r="C2492" s="26" t="s">
        <v>22</v>
      </c>
      <c r="D2492" s="24" t="str">
        <f>_xll.DBRW("TM1-S1_DEV:}ElementAttributes_SP_SKU",$F2492,D$1)</f>
        <v>Primary</v>
      </c>
      <c r="E2492" s="24" t="str">
        <f>_xll.DBRW("TM1-S1_DEV:}ElementAttributes_SP_SKU",$F2492,E$1)</f>
        <v>PAPER</v>
      </c>
      <c r="F2492" s="26" t="s">
        <v>3290</v>
      </c>
      <c r="G2492" s="26" t="s">
        <v>2218</v>
      </c>
      <c r="H2492" s="26" t="s">
        <v>2869</v>
      </c>
      <c r="I2492" s="54">
        <f>_xll.DBRW($A$1,$F$14,$F$15,$C2492,$A$2,$F2492,$G2492,$H2492,I$1)</f>
        <v>2</v>
      </c>
      <c r="J2492" s="25">
        <f>_xll.DBRW($A$1,$F$14,$F$15,$C2492,$A$2,$F2492,$G2492,$H2492,J$19)</f>
        <v>2</v>
      </c>
    </row>
    <row r="2493" spans="1:10" s="23" customFormat="1" outlineLevel="1" thickBot="1" x14ac:dyDescent="0.3">
      <c r="A2493" s="44"/>
      <c r="B2493" s="31" t="str">
        <f>IF(_xll.TM1RPTELISCONSOLIDATED($H$20,$H2493),IF(_xll.TM1RPTELLEV($H$20,$H2493)&lt;=5,_xll.TM1RPTELLEV($H$20,$H2493),"Default"),"Leaf")</f>
        <v>Leaf</v>
      </c>
      <c r="C2493" s="26" t="s">
        <v>23</v>
      </c>
      <c r="D2493" s="24" t="str">
        <f>_xll.DBRW("TM1-S1_DEV:}ElementAttributes_SP_SKU",$F2493,D$1)</f>
        <v>Primary</v>
      </c>
      <c r="E2493" s="24" t="str">
        <f>_xll.DBRW("TM1-S1_DEV:}ElementAttributes_SP_SKU",$F2493,E$1)</f>
        <v>HAM</v>
      </c>
      <c r="F2493" s="26" t="s">
        <v>3246</v>
      </c>
      <c r="G2493" s="26" t="s">
        <v>2034</v>
      </c>
      <c r="H2493" s="26" t="s">
        <v>2673</v>
      </c>
      <c r="I2493" s="54">
        <f>_xll.DBRW($A$1,$F$14,$F$15,$C2493,$A$2,$F2493,$G2493,$H2493,I$1)</f>
        <v>479</v>
      </c>
      <c r="J2493" s="25">
        <f>_xll.DBRW($A$1,$F$14,$F$15,$C2493,$A$2,$F2493,$G2493,$H2493,J$19)</f>
        <v>-706</v>
      </c>
    </row>
    <row r="2494" spans="1:10" s="23" customFormat="1" outlineLevel="1" thickBot="1" x14ac:dyDescent="0.3">
      <c r="A2494" s="44"/>
      <c r="B2494" s="31" t="str">
        <f>IF(_xll.TM1RPTELISCONSOLIDATED($H$20,$H2494),IF(_xll.TM1RPTELLEV($H$20,$H2494)&lt;=5,_xll.TM1RPTELLEV($H$20,$H2494),"Default"),"Leaf")</f>
        <v>Leaf</v>
      </c>
      <c r="C2494" s="26" t="s">
        <v>23</v>
      </c>
      <c r="D2494" s="24" t="str">
        <f>_xll.DBRW("TM1-S1_DEV:}ElementAttributes_SP_SKU",$F2494,D$1)</f>
        <v>Primary</v>
      </c>
      <c r="E2494" s="24" t="str">
        <f>_xll.DBRW("TM1-S1_DEV:}ElementAttributes_SP_SKU",$F2494,E$1)</f>
        <v>HAM</v>
      </c>
      <c r="F2494" s="26" t="s">
        <v>3247</v>
      </c>
      <c r="G2494" s="26" t="s">
        <v>2035</v>
      </c>
      <c r="H2494" s="26" t="s">
        <v>2673</v>
      </c>
      <c r="I2494" s="54">
        <f>_xll.DBRW($A$1,$F$14,$F$15,$C2494,$A$2,$F2494,$G2494,$H2494,I$1)</f>
        <v>526</v>
      </c>
      <c r="J2494" s="25">
        <f>_xll.DBRW($A$1,$F$14,$F$15,$C2494,$A$2,$F2494,$G2494,$H2494,J$19)</f>
        <v>-776</v>
      </c>
    </row>
    <row r="2495" spans="1:10" s="23" customFormat="1" outlineLevel="1" thickBot="1" x14ac:dyDescent="0.3">
      <c r="A2495" s="44"/>
      <c r="B2495" s="31" t="str">
        <f>IF(_xll.TM1RPTELISCONSOLIDATED($H$20,$H2495),IF(_xll.TM1RPTELLEV($H$20,$H2495)&lt;=5,_xll.TM1RPTELLEV($H$20,$H2495),"Default"),"Leaf")</f>
        <v>Leaf</v>
      </c>
      <c r="C2495" s="26" t="s">
        <v>23</v>
      </c>
      <c r="D2495" s="24" t="str">
        <f>_xll.DBRW("TM1-S1_DEV:}ElementAttributes_SP_SKU",$F2495,D$1)</f>
        <v>Primary</v>
      </c>
      <c r="E2495" s="24" t="str">
        <f>_xll.DBRW("TM1-S1_DEV:}ElementAttributes_SP_SKU",$F2495,E$1)</f>
        <v>HAM</v>
      </c>
      <c r="F2495" s="26" t="s">
        <v>3248</v>
      </c>
      <c r="G2495" s="26" t="s">
        <v>2036</v>
      </c>
      <c r="H2495" s="26" t="s">
        <v>2673</v>
      </c>
      <c r="I2495" s="54">
        <f>_xll.DBRW($A$1,$F$14,$F$15,$C2495,$A$2,$F2495,$G2495,$H2495,I$1)</f>
        <v>345</v>
      </c>
      <c r="J2495" s="25">
        <f>_xll.DBRW($A$1,$F$14,$F$15,$C2495,$A$2,$F2495,$G2495,$H2495,J$19)</f>
        <v>-520</v>
      </c>
    </row>
    <row r="2496" spans="1:10" s="23" customFormat="1" outlineLevel="1" thickBot="1" x14ac:dyDescent="0.3">
      <c r="A2496" s="44"/>
      <c r="B2496" s="31" t="str">
        <f>IF(_xll.TM1RPTELISCONSOLIDATED($H$20,$H2496),IF(_xll.TM1RPTELLEV($H$20,$H2496)&lt;=5,_xll.TM1RPTELLEV($H$20,$H2496),"Default"),"Leaf")</f>
        <v>Leaf</v>
      </c>
      <c r="C2496" s="26" t="s">
        <v>23</v>
      </c>
      <c r="D2496" s="24" t="str">
        <f>_xll.DBRW("TM1-S1_DEV:}ElementAttributes_SP_SKU",$F2496,D$1)</f>
        <v>Primary</v>
      </c>
      <c r="E2496" s="24" t="str">
        <f>_xll.DBRW("TM1-S1_DEV:}ElementAttributes_SP_SKU",$F2496,E$1)</f>
        <v>HAM</v>
      </c>
      <c r="F2496" s="26" t="s">
        <v>3249</v>
      </c>
      <c r="G2496" s="26" t="s">
        <v>2037</v>
      </c>
      <c r="H2496" s="26" t="s">
        <v>2673</v>
      </c>
      <c r="I2496" s="54">
        <f>_xll.DBRW($A$1,$F$14,$F$15,$C2496,$A$2,$F2496,$G2496,$H2496,I$1)</f>
        <v>86</v>
      </c>
      <c r="J2496" s="25">
        <f>_xll.DBRW($A$1,$F$14,$F$15,$C2496,$A$2,$F2496,$G2496,$H2496,J$19)</f>
        <v>-238</v>
      </c>
    </row>
    <row r="2497" spans="1:10" s="23" customFormat="1" outlineLevel="1" thickBot="1" x14ac:dyDescent="0.3">
      <c r="A2497" s="44"/>
      <c r="B2497" s="31" t="str">
        <f>IF(_xll.TM1RPTELISCONSOLIDATED($H$20,$H2497),IF(_xll.TM1RPTELLEV($H$20,$H2497)&lt;=5,_xll.TM1RPTELLEV($H$20,$H2497),"Default"),"Leaf")</f>
        <v>Leaf</v>
      </c>
      <c r="C2497" s="26" t="s">
        <v>23</v>
      </c>
      <c r="D2497" s="24" t="str">
        <f>_xll.DBRW("TM1-S1_DEV:}ElementAttributes_SP_SKU",$F2497,D$1)</f>
        <v>Primary</v>
      </c>
      <c r="E2497" s="24" t="str">
        <f>_xll.DBRW("TM1-S1_DEV:}ElementAttributes_SP_SKU",$F2497,E$1)</f>
        <v>HAM</v>
      </c>
      <c r="F2497" s="26" t="s">
        <v>3250</v>
      </c>
      <c r="G2497" s="26" t="s">
        <v>2038</v>
      </c>
      <c r="H2497" s="26" t="s">
        <v>2673</v>
      </c>
      <c r="I2497" s="54">
        <f>_xll.DBRW($A$1,$F$14,$F$15,$C2497,$A$2,$F2497,$G2497,$H2497,I$1)</f>
        <v>29</v>
      </c>
      <c r="J2497" s="25">
        <f>_xll.DBRW($A$1,$F$14,$F$15,$C2497,$A$2,$F2497,$G2497,$H2497,J$19)</f>
        <v>-62</v>
      </c>
    </row>
    <row r="2498" spans="1:10" s="23" customFormat="1" outlineLevel="1" thickBot="1" x14ac:dyDescent="0.3">
      <c r="A2498" s="44"/>
      <c r="B2498" s="31" t="str">
        <f>IF(_xll.TM1RPTELISCONSOLIDATED($H$20,$H2498),IF(_xll.TM1RPTELLEV($H$20,$H2498)&lt;=5,_xll.TM1RPTELLEV($H$20,$H2498),"Default"),"Leaf")</f>
        <v>Leaf</v>
      </c>
      <c r="C2498" s="26" t="s">
        <v>23</v>
      </c>
      <c r="D2498" s="24" t="str">
        <f>_xll.DBRW("TM1-S1_DEV:}ElementAttributes_SP_SKU",$F2498,D$1)</f>
        <v>Primary</v>
      </c>
      <c r="E2498" s="24" t="str">
        <f>_xll.DBRW("TM1-S1_DEV:}ElementAttributes_SP_SKU",$F2498,E$1)</f>
        <v>HAM</v>
      </c>
      <c r="F2498" s="26" t="s">
        <v>3251</v>
      </c>
      <c r="G2498" s="26" t="s">
        <v>2039</v>
      </c>
      <c r="H2498" s="26" t="s">
        <v>2673</v>
      </c>
      <c r="I2498" s="54">
        <f>_xll.DBRW($A$1,$F$14,$F$15,$C2498,$A$2,$F2498,$G2498,$H2498,I$1)</f>
        <v>446</v>
      </c>
      <c r="J2498" s="25">
        <f>_xll.DBRW($A$1,$F$14,$F$15,$C2498,$A$2,$F2498,$G2498,$H2498,J$19)</f>
        <v>-529</v>
      </c>
    </row>
    <row r="2499" spans="1:10" s="23" customFormat="1" outlineLevel="1" thickBot="1" x14ac:dyDescent="0.3">
      <c r="A2499" s="44"/>
      <c r="B2499" s="31" t="str">
        <f>IF(_xll.TM1RPTELISCONSOLIDATED($H$20,$H2499),IF(_xll.TM1RPTELLEV($H$20,$H2499)&lt;=5,_xll.TM1RPTELLEV($H$20,$H2499),"Default"),"Leaf")</f>
        <v>Leaf</v>
      </c>
      <c r="C2499" s="26" t="s">
        <v>23</v>
      </c>
      <c r="D2499" s="24" t="str">
        <f>_xll.DBRW("TM1-S1_DEV:}ElementAttributes_SP_SKU",$F2499,D$1)</f>
        <v>Primary</v>
      </c>
      <c r="E2499" s="24" t="str">
        <f>_xll.DBRW("TM1-S1_DEV:}ElementAttributes_SP_SKU",$F2499,E$1)</f>
        <v>TURKEY</v>
      </c>
      <c r="F2499" s="26" t="s">
        <v>3291</v>
      </c>
      <c r="G2499" s="26" t="s">
        <v>2040</v>
      </c>
      <c r="H2499" s="26" t="s">
        <v>2671</v>
      </c>
      <c r="I2499" s="54">
        <f>_xll.DBRW($A$1,$F$14,$F$15,$C2499,$A$2,$F2499,$G2499,$H2499,I$1)</f>
        <v>1</v>
      </c>
      <c r="J2499" s="25">
        <f>_xll.DBRW($A$1,$F$14,$F$15,$C2499,$A$2,$F2499,$G2499,$H2499,J$19)</f>
        <v>-2</v>
      </c>
    </row>
    <row r="2500" spans="1:10" s="23" customFormat="1" outlineLevel="1" thickBot="1" x14ac:dyDescent="0.3">
      <c r="A2500" s="44"/>
      <c r="B2500" s="31" t="str">
        <f>IF(_xll.TM1RPTELISCONSOLIDATED($H$20,$H2500),IF(_xll.TM1RPTELLEV($H$20,$H2500)&lt;=5,_xll.TM1RPTELLEV($H$20,$H2500),"Default"),"Leaf")</f>
        <v>Leaf</v>
      </c>
      <c r="C2500" s="26" t="s">
        <v>23</v>
      </c>
      <c r="D2500" s="24" t="str">
        <f>_xll.DBRW("TM1-S1_DEV:}ElementAttributes_SP_SKU",$F2500,D$1)</f>
        <v>Primary</v>
      </c>
      <c r="E2500" s="24" t="str">
        <f>_xll.DBRW("TM1-S1_DEV:}ElementAttributes_SP_SKU",$F2500,E$1)</f>
        <v>TURKEY</v>
      </c>
      <c r="F2500" s="26" t="s">
        <v>3110</v>
      </c>
      <c r="G2500" s="26" t="s">
        <v>2041</v>
      </c>
      <c r="H2500" s="26" t="s">
        <v>2671</v>
      </c>
      <c r="I2500" s="54">
        <f>_xll.DBRW($A$1,$F$14,$F$15,$C2500,$A$2,$F2500,$G2500,$H2500,I$1)</f>
        <v>632</v>
      </c>
      <c r="J2500" s="25">
        <f>_xll.DBRW($A$1,$F$14,$F$15,$C2500,$A$2,$F2500,$G2500,$H2500,J$19)</f>
        <v>25</v>
      </c>
    </row>
    <row r="2501" spans="1:10" s="23" customFormat="1" outlineLevel="1" thickBot="1" x14ac:dyDescent="0.3">
      <c r="A2501" s="44"/>
      <c r="B2501" s="31" t="str">
        <f>IF(_xll.TM1RPTELISCONSOLIDATED($H$20,$H2501),IF(_xll.TM1RPTELLEV($H$20,$H2501)&lt;=5,_xll.TM1RPTELLEV($H$20,$H2501),"Default"),"Leaf")</f>
        <v>Leaf</v>
      </c>
      <c r="C2501" s="26" t="s">
        <v>23</v>
      </c>
      <c r="D2501" s="24" t="str">
        <f>_xll.DBRW("TM1-S1_DEV:}ElementAttributes_SP_SKU",$F2501,D$1)</f>
        <v>Primary</v>
      </c>
      <c r="E2501" s="24" t="str">
        <f>_xll.DBRW("TM1-S1_DEV:}ElementAttributes_SP_SKU",$F2501,E$1)</f>
        <v>TURKEY</v>
      </c>
      <c r="F2501" s="26" t="s">
        <v>3111</v>
      </c>
      <c r="G2501" s="26" t="s">
        <v>2042</v>
      </c>
      <c r="H2501" s="26" t="s">
        <v>2671</v>
      </c>
      <c r="I2501" s="54">
        <f>_xll.DBRW($A$1,$F$14,$F$15,$C2501,$A$2,$F2501,$G2501,$H2501,I$1)</f>
        <v>466</v>
      </c>
      <c r="J2501" s="25">
        <f>_xll.DBRW($A$1,$F$14,$F$15,$C2501,$A$2,$F2501,$G2501,$H2501,J$19)</f>
        <v>144</v>
      </c>
    </row>
    <row r="2502" spans="1:10" s="23" customFormat="1" outlineLevel="1" thickBot="1" x14ac:dyDescent="0.3">
      <c r="A2502" s="44"/>
      <c r="B2502" s="31" t="str">
        <f>IF(_xll.TM1RPTELISCONSOLIDATED($H$20,$H2502),IF(_xll.TM1RPTELLEV($H$20,$H2502)&lt;=5,_xll.TM1RPTELLEV($H$20,$H2502),"Default"),"Leaf")</f>
        <v>Leaf</v>
      </c>
      <c r="C2502" s="26" t="s">
        <v>23</v>
      </c>
      <c r="D2502" s="24" t="str">
        <f>_xll.DBRW("TM1-S1_DEV:}ElementAttributes_SP_SKU",$F2502,D$1)</f>
        <v>Primary</v>
      </c>
      <c r="E2502" s="24" t="str">
        <f>_xll.DBRW("TM1-S1_DEV:}ElementAttributes_SP_SKU",$F2502,E$1)</f>
        <v>PROTEIN</v>
      </c>
      <c r="F2502" s="26" t="s">
        <v>3112</v>
      </c>
      <c r="G2502" s="26" t="s">
        <v>2043</v>
      </c>
      <c r="H2502" s="26" t="s">
        <v>2672</v>
      </c>
      <c r="I2502" s="54">
        <f>_xll.DBRW($A$1,$F$14,$F$15,$C2502,$A$2,$F2502,$G2502,$H2502,I$1)</f>
        <v>43</v>
      </c>
      <c r="J2502" s="25">
        <f>_xll.DBRW($A$1,$F$14,$F$15,$C2502,$A$2,$F2502,$G2502,$H2502,J$19)</f>
        <v>39</v>
      </c>
    </row>
    <row r="2503" spans="1:10" s="23" customFormat="1" outlineLevel="1" thickBot="1" x14ac:dyDescent="0.3">
      <c r="A2503" s="44"/>
      <c r="B2503" s="31" t="str">
        <f>IF(_xll.TM1RPTELISCONSOLIDATED($H$20,$H2503),IF(_xll.TM1RPTELLEV($H$20,$H2503)&lt;=5,_xll.TM1RPTELLEV($H$20,$H2503),"Default"),"Leaf")</f>
        <v>Leaf</v>
      </c>
      <c r="C2503" s="26" t="s">
        <v>23</v>
      </c>
      <c r="D2503" s="24" t="str">
        <f>_xll.DBRW("TM1-S1_DEV:}ElementAttributes_SP_SKU",$F2503,D$1)</f>
        <v>Primary</v>
      </c>
      <c r="E2503" s="24" t="str">
        <f>_xll.DBRW("TM1-S1_DEV:}ElementAttributes_SP_SKU",$F2503,E$1)</f>
        <v>PROTEIN</v>
      </c>
      <c r="F2503" s="26" t="s">
        <v>3113</v>
      </c>
      <c r="G2503" s="26" t="s">
        <v>2044</v>
      </c>
      <c r="H2503" s="26" t="s">
        <v>2673</v>
      </c>
      <c r="I2503" s="54">
        <f>_xll.DBRW($A$1,$F$14,$F$15,$C2503,$A$2,$F2503,$G2503,$H2503,I$1)</f>
        <v>45</v>
      </c>
      <c r="J2503" s="25">
        <f>_xll.DBRW($A$1,$F$14,$F$15,$C2503,$A$2,$F2503,$G2503,$H2503,J$19)</f>
        <v>-26</v>
      </c>
    </row>
    <row r="2504" spans="1:10" s="23" customFormat="1" outlineLevel="1" thickBot="1" x14ac:dyDescent="0.3">
      <c r="A2504" s="44"/>
      <c r="B2504" s="31" t="str">
        <f>IF(_xll.TM1RPTELISCONSOLIDATED($H$20,$H2504),IF(_xll.TM1RPTELLEV($H$20,$H2504)&lt;=5,_xll.TM1RPTELLEV($H$20,$H2504),"Default"),"Leaf")</f>
        <v>Leaf</v>
      </c>
      <c r="C2504" s="26" t="s">
        <v>23</v>
      </c>
      <c r="D2504" s="24" t="str">
        <f>_xll.DBRW("TM1-S1_DEV:}ElementAttributes_SP_SKU",$F2504,D$1)</f>
        <v>Primary</v>
      </c>
      <c r="E2504" s="24" t="str">
        <f>_xll.DBRW("TM1-S1_DEV:}ElementAttributes_SP_SKU",$F2504,E$1)</f>
        <v>PROTEIN</v>
      </c>
      <c r="F2504" s="26" t="s">
        <v>3114</v>
      </c>
      <c r="G2504" s="26" t="s">
        <v>2045</v>
      </c>
      <c r="H2504" s="26" t="s">
        <v>2672</v>
      </c>
      <c r="I2504" s="54">
        <f>_xll.DBRW($A$1,$F$14,$F$15,$C2504,$A$2,$F2504,$G2504,$H2504,I$1)</f>
        <v>61</v>
      </c>
      <c r="J2504" s="25">
        <f>_xll.DBRW($A$1,$F$14,$F$15,$C2504,$A$2,$F2504,$G2504,$H2504,J$19)</f>
        <v>47</v>
      </c>
    </row>
    <row r="2505" spans="1:10" s="23" customFormat="1" outlineLevel="1" thickBot="1" x14ac:dyDescent="0.3">
      <c r="A2505" s="44"/>
      <c r="B2505" s="31" t="str">
        <f>IF(_xll.TM1RPTELISCONSOLIDATED($H$20,$H2505),IF(_xll.TM1RPTELLEV($H$20,$H2505)&lt;=5,_xll.TM1RPTELLEV($H$20,$H2505),"Default"),"Leaf")</f>
        <v>Leaf</v>
      </c>
      <c r="C2505" s="26" t="s">
        <v>23</v>
      </c>
      <c r="D2505" s="24" t="str">
        <f>_xll.DBRW("TM1-S1_DEV:}ElementAttributes_SP_SKU",$F2505,D$1)</f>
        <v>Primary</v>
      </c>
      <c r="E2505" s="24" t="str">
        <f>_xll.DBRW("TM1-S1_DEV:}ElementAttributes_SP_SKU",$F2505,E$1)</f>
        <v>PROTEIN</v>
      </c>
      <c r="F2505" s="26" t="s">
        <v>3115</v>
      </c>
      <c r="G2505" s="26" t="s">
        <v>2046</v>
      </c>
      <c r="H2505" s="26" t="s">
        <v>2672</v>
      </c>
      <c r="I2505" s="54">
        <f>_xll.DBRW($A$1,$F$14,$F$15,$C2505,$A$2,$F2505,$G2505,$H2505,I$1)</f>
        <v>22</v>
      </c>
      <c r="J2505" s="25">
        <f>_xll.DBRW($A$1,$F$14,$F$15,$C2505,$A$2,$F2505,$G2505,$H2505,J$19)</f>
        <v>16</v>
      </c>
    </row>
    <row r="2506" spans="1:10" s="23" customFormat="1" outlineLevel="1" thickBot="1" x14ac:dyDescent="0.3">
      <c r="A2506" s="44"/>
      <c r="B2506" s="31" t="str">
        <f>IF(_xll.TM1RPTELISCONSOLIDATED($H$20,$H2506),IF(_xll.TM1RPTELLEV($H$20,$H2506)&lt;=5,_xll.TM1RPTELLEV($H$20,$H2506),"Default"),"Leaf")</f>
        <v>Leaf</v>
      </c>
      <c r="C2506" s="26" t="s">
        <v>23</v>
      </c>
      <c r="D2506" s="24" t="str">
        <f>_xll.DBRW("TM1-S1_DEV:}ElementAttributes_SP_SKU",$F2506,D$1)</f>
        <v>Primary</v>
      </c>
      <c r="E2506" s="24" t="str">
        <f>_xll.DBRW("TM1-S1_DEV:}ElementAttributes_SP_SKU",$F2506,E$1)</f>
        <v>SOUP</v>
      </c>
      <c r="F2506" s="26" t="s">
        <v>3116</v>
      </c>
      <c r="G2506" s="26" t="s">
        <v>2047</v>
      </c>
      <c r="H2506" s="26" t="s">
        <v>2674</v>
      </c>
      <c r="I2506" s="54">
        <f>_xll.DBRW($A$1,$F$14,$F$15,$C2506,$A$2,$F2506,$G2506,$H2506,I$1)</f>
        <v>23</v>
      </c>
      <c r="J2506" s="25">
        <f>_xll.DBRW($A$1,$F$14,$F$15,$C2506,$A$2,$F2506,$G2506,$H2506,J$19)</f>
        <v>16</v>
      </c>
    </row>
    <row r="2507" spans="1:10" s="23" customFormat="1" outlineLevel="1" thickBot="1" x14ac:dyDescent="0.3">
      <c r="A2507" s="44"/>
      <c r="B2507" s="31" t="str">
        <f>IF(_xll.TM1RPTELISCONSOLIDATED($H$20,$H2507),IF(_xll.TM1RPTELLEV($H$20,$H2507)&lt;=5,_xll.TM1RPTELLEV($H$20,$H2507),"Default"),"Leaf")</f>
        <v>Leaf</v>
      </c>
      <c r="C2507" s="26" t="s">
        <v>23</v>
      </c>
      <c r="D2507" s="24" t="str">
        <f>_xll.DBRW("TM1-S1_DEV:}ElementAttributes_SP_SKU",$F2507,D$1)</f>
        <v>Primary</v>
      </c>
      <c r="E2507" s="24" t="str">
        <f>_xll.DBRW("TM1-S1_DEV:}ElementAttributes_SP_SKU",$F2507,E$1)</f>
        <v>SOUP</v>
      </c>
      <c r="F2507" s="26" t="s">
        <v>3117</v>
      </c>
      <c r="G2507" s="26" t="s">
        <v>2048</v>
      </c>
      <c r="H2507" s="26" t="s">
        <v>2674</v>
      </c>
      <c r="I2507" s="54">
        <f>_xll.DBRW($A$1,$F$14,$F$15,$C2507,$A$2,$F2507,$G2507,$H2507,I$1)</f>
        <v>42</v>
      </c>
      <c r="J2507" s="25">
        <f>_xll.DBRW($A$1,$F$14,$F$15,$C2507,$A$2,$F2507,$G2507,$H2507,J$19)</f>
        <v>36</v>
      </c>
    </row>
    <row r="2508" spans="1:10" s="23" customFormat="1" outlineLevel="1" thickBot="1" x14ac:dyDescent="0.3">
      <c r="A2508" s="44"/>
      <c r="B2508" s="31" t="str">
        <f>IF(_xll.TM1RPTELISCONSOLIDATED($H$20,$H2508),IF(_xll.TM1RPTELLEV($H$20,$H2508)&lt;=5,_xll.TM1RPTELLEV($H$20,$H2508),"Default"),"Leaf")</f>
        <v>Leaf</v>
      </c>
      <c r="C2508" s="26" t="s">
        <v>23</v>
      </c>
      <c r="D2508" s="24" t="str">
        <f>_xll.DBRW("TM1-S1_DEV:}ElementAttributes_SP_SKU",$F2508,D$1)</f>
        <v>Primary</v>
      </c>
      <c r="E2508" s="24" t="str">
        <f>_xll.DBRW("TM1-S1_DEV:}ElementAttributes_SP_SKU",$F2508,E$1)</f>
        <v>SOUP</v>
      </c>
      <c r="F2508" s="26" t="s">
        <v>3118</v>
      </c>
      <c r="G2508" s="26" t="s">
        <v>2049</v>
      </c>
      <c r="H2508" s="26" t="s">
        <v>2674</v>
      </c>
      <c r="I2508" s="54">
        <f>_xll.DBRW($A$1,$F$14,$F$15,$C2508,$A$2,$F2508,$G2508,$H2508,I$1)</f>
        <v>22</v>
      </c>
      <c r="J2508" s="25">
        <f>_xll.DBRW($A$1,$F$14,$F$15,$C2508,$A$2,$F2508,$G2508,$H2508,J$19)</f>
        <v>14</v>
      </c>
    </row>
    <row r="2509" spans="1:10" s="23" customFormat="1" outlineLevel="1" thickBot="1" x14ac:dyDescent="0.3">
      <c r="A2509" s="44"/>
      <c r="B2509" s="31" t="str">
        <f>IF(_xll.TM1RPTELISCONSOLIDATED($H$20,$H2509),IF(_xll.TM1RPTELLEV($H$20,$H2509)&lt;=5,_xll.TM1RPTELLEV($H$20,$H2509),"Default"),"Leaf")</f>
        <v>Leaf</v>
      </c>
      <c r="C2509" s="26" t="s">
        <v>23</v>
      </c>
      <c r="D2509" s="24" t="str">
        <f>_xll.DBRW("TM1-S1_DEV:}ElementAttributes_SP_SKU",$F2509,D$1)</f>
        <v>Primary</v>
      </c>
      <c r="E2509" s="24" t="str">
        <f>_xll.DBRW("TM1-S1_DEV:}ElementAttributes_SP_SKU",$F2509,E$1)</f>
        <v>PROTEIN</v>
      </c>
      <c r="F2509" s="26" t="s">
        <v>3119</v>
      </c>
      <c r="G2509" s="26" t="s">
        <v>2050</v>
      </c>
      <c r="H2509" s="26" t="s">
        <v>2670</v>
      </c>
      <c r="I2509" s="54">
        <f>_xll.DBRW($A$1,$F$14,$F$15,$C2509,$A$2,$F2509,$G2509,$H2509,I$1)</f>
        <v>14</v>
      </c>
      <c r="J2509" s="25">
        <f>_xll.DBRW($A$1,$F$14,$F$15,$C2509,$A$2,$F2509,$G2509,$H2509,J$19)</f>
        <v>8</v>
      </c>
    </row>
    <row r="2510" spans="1:10" s="23" customFormat="1" outlineLevel="1" thickBot="1" x14ac:dyDescent="0.3">
      <c r="A2510" s="44"/>
      <c r="B2510" s="31" t="str">
        <f>IF(_xll.TM1RPTELISCONSOLIDATED($H$20,$H2510),IF(_xll.TM1RPTELLEV($H$20,$H2510)&lt;=5,_xll.TM1RPTELLEV($H$20,$H2510),"Default"),"Leaf")</f>
        <v>Leaf</v>
      </c>
      <c r="C2510" s="26" t="s">
        <v>23</v>
      </c>
      <c r="D2510" s="24" t="str">
        <f>_xll.DBRW("TM1-S1_DEV:}ElementAttributes_SP_SKU",$F2510,D$1)</f>
        <v>Primary</v>
      </c>
      <c r="E2510" s="24" t="str">
        <f>_xll.DBRW("TM1-S1_DEV:}ElementAttributes_SP_SKU",$F2510,E$1)</f>
        <v>PROTEIN</v>
      </c>
      <c r="F2510" s="26" t="s">
        <v>3120</v>
      </c>
      <c r="G2510" s="26" t="s">
        <v>2051</v>
      </c>
      <c r="H2510" s="26" t="s">
        <v>2670</v>
      </c>
      <c r="I2510" s="54">
        <f>_xll.DBRW($A$1,$F$14,$F$15,$C2510,$A$2,$F2510,$G2510,$H2510,I$1)</f>
        <v>10</v>
      </c>
      <c r="J2510" s="25">
        <f>_xll.DBRW($A$1,$F$14,$F$15,$C2510,$A$2,$F2510,$G2510,$H2510,J$19)</f>
        <v>6</v>
      </c>
    </row>
    <row r="2511" spans="1:10" s="23" customFormat="1" outlineLevel="1" thickBot="1" x14ac:dyDescent="0.3">
      <c r="A2511" s="44"/>
      <c r="B2511" s="31" t="str">
        <f>IF(_xll.TM1RPTELISCONSOLIDATED($H$20,$H2511),IF(_xll.TM1RPTELLEV($H$20,$H2511)&lt;=5,_xll.TM1RPTELLEV($H$20,$H2511),"Default"),"Leaf")</f>
        <v>Leaf</v>
      </c>
      <c r="C2511" s="26" t="s">
        <v>23</v>
      </c>
      <c r="D2511" s="24" t="str">
        <f>_xll.DBRW("TM1-S1_DEV:}ElementAttributes_SP_SKU",$F2511,D$1)</f>
        <v>Primary</v>
      </c>
      <c r="E2511" s="24" t="str">
        <f>_xll.DBRW("TM1-S1_DEV:}ElementAttributes_SP_SKU",$F2511,E$1)</f>
        <v>SOUP</v>
      </c>
      <c r="F2511" s="26" t="s">
        <v>3121</v>
      </c>
      <c r="G2511" s="26" t="s">
        <v>2052</v>
      </c>
      <c r="H2511" s="26" t="s">
        <v>2675</v>
      </c>
      <c r="I2511" s="54">
        <f>_xll.DBRW($A$1,$F$14,$F$15,$C2511,$A$2,$F2511,$G2511,$H2511,I$1)</f>
        <v>6</v>
      </c>
      <c r="J2511" s="25">
        <f>_xll.DBRW($A$1,$F$14,$F$15,$C2511,$A$2,$F2511,$G2511,$H2511,J$19)</f>
        <v>5</v>
      </c>
    </row>
    <row r="2512" spans="1:10" s="23" customFormat="1" outlineLevel="1" thickBot="1" x14ac:dyDescent="0.3">
      <c r="A2512" s="44"/>
      <c r="B2512" s="31" t="str">
        <f>IF(_xll.TM1RPTELISCONSOLIDATED($H$20,$H2512),IF(_xll.TM1RPTELLEV($H$20,$H2512)&lt;=5,_xll.TM1RPTELLEV($H$20,$H2512),"Default"),"Leaf")</f>
        <v>Leaf</v>
      </c>
      <c r="C2512" s="26" t="s">
        <v>23</v>
      </c>
      <c r="D2512" s="24" t="str">
        <f>_xll.DBRW("TM1-S1_DEV:}ElementAttributes_SP_SKU",$F2512,D$1)</f>
        <v>Primary</v>
      </c>
      <c r="E2512" s="24" t="str">
        <f>_xll.DBRW("TM1-S1_DEV:}ElementAttributes_SP_SKU",$F2512,E$1)</f>
        <v>SOUP</v>
      </c>
      <c r="F2512" s="26" t="s">
        <v>3122</v>
      </c>
      <c r="G2512" s="26" t="s">
        <v>2053</v>
      </c>
      <c r="H2512" s="26" t="s">
        <v>2675</v>
      </c>
      <c r="I2512" s="54">
        <f>_xll.DBRW($A$1,$F$14,$F$15,$C2512,$A$2,$F2512,$G2512,$H2512,I$1)</f>
        <v>11</v>
      </c>
      <c r="J2512" s="25">
        <f>_xll.DBRW($A$1,$F$14,$F$15,$C2512,$A$2,$F2512,$G2512,$H2512,J$19)</f>
        <v>7</v>
      </c>
    </row>
    <row r="2513" spans="1:10" s="23" customFormat="1" outlineLevel="1" thickBot="1" x14ac:dyDescent="0.3">
      <c r="A2513" s="44"/>
      <c r="B2513" s="31" t="str">
        <f>IF(_xll.TM1RPTELISCONSOLIDATED($H$20,$H2513),IF(_xll.TM1RPTELLEV($H$20,$H2513)&lt;=5,_xll.TM1RPTELLEV($H$20,$H2513),"Default"),"Leaf")</f>
        <v>Leaf</v>
      </c>
      <c r="C2513" s="26" t="s">
        <v>23</v>
      </c>
      <c r="D2513" s="24" t="str">
        <f>_xll.DBRW("TM1-S1_DEV:}ElementAttributes_SP_SKU",$F2513,D$1)</f>
        <v>Primary</v>
      </c>
      <c r="E2513" s="24" t="str">
        <f>_xll.DBRW("TM1-S1_DEV:}ElementAttributes_SP_SKU",$F2513,E$1)</f>
        <v>SIDES</v>
      </c>
      <c r="F2513" s="26" t="s">
        <v>3123</v>
      </c>
      <c r="G2513" s="26" t="s">
        <v>2054</v>
      </c>
      <c r="H2513" s="26" t="s">
        <v>2676</v>
      </c>
      <c r="I2513" s="54">
        <f>_xll.DBRW($A$1,$F$14,$F$15,$C2513,$A$2,$F2513,$G2513,$H2513,I$1)</f>
        <v>37</v>
      </c>
      <c r="J2513" s="25">
        <f>_xll.DBRW($A$1,$F$14,$F$15,$C2513,$A$2,$F2513,$G2513,$H2513,J$19)</f>
        <v>4</v>
      </c>
    </row>
    <row r="2514" spans="1:10" s="23" customFormat="1" outlineLevel="1" thickBot="1" x14ac:dyDescent="0.3">
      <c r="A2514" s="44"/>
      <c r="B2514" s="31" t="str">
        <f>IF(_xll.TM1RPTELISCONSOLIDATED($H$20,$H2514),IF(_xll.TM1RPTELLEV($H$20,$H2514)&lt;=5,_xll.TM1RPTELLEV($H$20,$H2514),"Default"),"Leaf")</f>
        <v>Leaf</v>
      </c>
      <c r="C2514" s="26" t="s">
        <v>23</v>
      </c>
      <c r="D2514" s="24" t="str">
        <f>_xll.DBRW("TM1-S1_DEV:}ElementAttributes_SP_SKU",$F2514,D$1)</f>
        <v>Primary</v>
      </c>
      <c r="E2514" s="24" t="str">
        <f>_xll.DBRW("TM1-S1_DEV:}ElementAttributes_SP_SKU",$F2514,E$1)</f>
        <v>SIDES</v>
      </c>
      <c r="F2514" s="26" t="s">
        <v>3124</v>
      </c>
      <c r="G2514" s="26" t="s">
        <v>2055</v>
      </c>
      <c r="H2514" s="26" t="s">
        <v>2676</v>
      </c>
      <c r="I2514" s="54">
        <f>_xll.DBRW($A$1,$F$14,$F$15,$C2514,$A$2,$F2514,$G2514,$H2514,I$1)</f>
        <v>73</v>
      </c>
      <c r="J2514" s="25">
        <f>_xll.DBRW($A$1,$F$14,$F$15,$C2514,$A$2,$F2514,$G2514,$H2514,J$19)</f>
        <v>25</v>
      </c>
    </row>
    <row r="2515" spans="1:10" s="23" customFormat="1" outlineLevel="1" thickBot="1" x14ac:dyDescent="0.3">
      <c r="A2515" s="44"/>
      <c r="B2515" s="31" t="str">
        <f>IF(_xll.TM1RPTELISCONSOLIDATED($H$20,$H2515),IF(_xll.TM1RPTELLEV($H$20,$H2515)&lt;=5,_xll.TM1RPTELLEV($H$20,$H2515),"Default"),"Leaf")</f>
        <v>Leaf</v>
      </c>
      <c r="C2515" s="26" t="s">
        <v>23</v>
      </c>
      <c r="D2515" s="24" t="str">
        <f>_xll.DBRW("TM1-S1_DEV:}ElementAttributes_SP_SKU",$F2515,D$1)</f>
        <v>Primary</v>
      </c>
      <c r="E2515" s="24" t="str">
        <f>_xll.DBRW("TM1-S1_DEV:}ElementAttributes_SP_SKU",$F2515,E$1)</f>
        <v>SIDES</v>
      </c>
      <c r="F2515" s="26" t="s">
        <v>3125</v>
      </c>
      <c r="G2515" s="26" t="s">
        <v>2056</v>
      </c>
      <c r="H2515" s="26" t="s">
        <v>2676</v>
      </c>
      <c r="I2515" s="54">
        <f>_xll.DBRW($A$1,$F$14,$F$15,$C2515,$A$2,$F2515,$G2515,$H2515,I$1)</f>
        <v>57</v>
      </c>
      <c r="J2515" s="25">
        <f>_xll.DBRW($A$1,$F$14,$F$15,$C2515,$A$2,$F2515,$G2515,$H2515,J$19)</f>
        <v>22</v>
      </c>
    </row>
    <row r="2516" spans="1:10" s="23" customFormat="1" outlineLevel="1" thickBot="1" x14ac:dyDescent="0.3">
      <c r="A2516" s="44"/>
      <c r="B2516" s="31" t="str">
        <f>IF(_xll.TM1RPTELISCONSOLIDATED($H$20,$H2516),IF(_xll.TM1RPTELLEV($H$20,$H2516)&lt;=5,_xll.TM1RPTELLEV($H$20,$H2516),"Default"),"Leaf")</f>
        <v>Leaf</v>
      </c>
      <c r="C2516" s="26" t="s">
        <v>23</v>
      </c>
      <c r="D2516" s="24" t="str">
        <f>_xll.DBRW("TM1-S1_DEV:}ElementAttributes_SP_SKU",$F2516,D$1)</f>
        <v>Primary</v>
      </c>
      <c r="E2516" s="24" t="str">
        <f>_xll.DBRW("TM1-S1_DEV:}ElementAttributes_SP_SKU",$F2516,E$1)</f>
        <v>SIDES</v>
      </c>
      <c r="F2516" s="26" t="s">
        <v>3126</v>
      </c>
      <c r="G2516" s="26" t="s">
        <v>2057</v>
      </c>
      <c r="H2516" s="26" t="s">
        <v>2676</v>
      </c>
      <c r="I2516" s="54">
        <f>_xll.DBRW($A$1,$F$14,$F$15,$C2516,$A$2,$F2516,$G2516,$H2516,I$1)</f>
        <v>87</v>
      </c>
      <c r="J2516" s="25">
        <f>_xll.DBRW($A$1,$F$14,$F$15,$C2516,$A$2,$F2516,$G2516,$H2516,J$19)</f>
        <v>0</v>
      </c>
    </row>
    <row r="2517" spans="1:10" s="23" customFormat="1" outlineLevel="1" thickBot="1" x14ac:dyDescent="0.3">
      <c r="A2517" s="44"/>
      <c r="B2517" s="31" t="str">
        <f>IF(_xll.TM1RPTELISCONSOLIDATED($H$20,$H2517),IF(_xll.TM1RPTELLEV($H$20,$H2517)&lt;=5,_xll.TM1RPTELLEV($H$20,$H2517),"Default"),"Leaf")</f>
        <v>Leaf</v>
      </c>
      <c r="C2517" s="26" t="s">
        <v>23</v>
      </c>
      <c r="D2517" s="24" t="str">
        <f>_xll.DBRW("TM1-S1_DEV:}ElementAttributes_SP_SKU",$F2517,D$1)</f>
        <v>Primary</v>
      </c>
      <c r="E2517" s="24" t="str">
        <f>_xll.DBRW("TM1-S1_DEV:}ElementAttributes_SP_SKU",$F2517,E$1)</f>
        <v>SIDES</v>
      </c>
      <c r="F2517" s="26" t="s">
        <v>3127</v>
      </c>
      <c r="G2517" s="26" t="s">
        <v>2058</v>
      </c>
      <c r="H2517" s="26" t="s">
        <v>2676</v>
      </c>
      <c r="I2517" s="54">
        <f>_xll.DBRW($A$1,$F$14,$F$15,$C2517,$A$2,$F2517,$G2517,$H2517,I$1)</f>
        <v>132</v>
      </c>
      <c r="J2517" s="25">
        <f>_xll.DBRW($A$1,$F$14,$F$15,$C2517,$A$2,$F2517,$G2517,$H2517,J$19)</f>
        <v>36</v>
      </c>
    </row>
    <row r="2518" spans="1:10" s="23" customFormat="1" outlineLevel="1" thickBot="1" x14ac:dyDescent="0.3">
      <c r="A2518" s="44"/>
      <c r="B2518" s="31" t="str">
        <f>IF(_xll.TM1RPTELISCONSOLIDATED($H$20,$H2518),IF(_xll.TM1RPTELLEV($H$20,$H2518)&lt;=5,_xll.TM1RPTELLEV($H$20,$H2518),"Default"),"Leaf")</f>
        <v>Leaf</v>
      </c>
      <c r="C2518" s="26" t="s">
        <v>23</v>
      </c>
      <c r="D2518" s="24" t="str">
        <f>_xll.DBRW("TM1-S1_DEV:}ElementAttributes_SP_SKU",$F2518,D$1)</f>
        <v>Primary</v>
      </c>
      <c r="E2518" s="24" t="str">
        <f>_xll.DBRW("TM1-S1_DEV:}ElementAttributes_SP_SKU",$F2518,E$1)</f>
        <v>SIDES</v>
      </c>
      <c r="F2518" s="26" t="s">
        <v>3128</v>
      </c>
      <c r="G2518" s="26" t="s">
        <v>2059</v>
      </c>
      <c r="H2518" s="26" t="s">
        <v>2676</v>
      </c>
      <c r="I2518" s="54">
        <f>_xll.DBRW($A$1,$F$14,$F$15,$C2518,$A$2,$F2518,$G2518,$H2518,I$1)</f>
        <v>59</v>
      </c>
      <c r="J2518" s="25">
        <f>_xll.DBRW($A$1,$F$14,$F$15,$C2518,$A$2,$F2518,$G2518,$H2518,J$19)</f>
        <v>-14</v>
      </c>
    </row>
    <row r="2519" spans="1:10" s="23" customFormat="1" outlineLevel="1" thickBot="1" x14ac:dyDescent="0.3">
      <c r="A2519" s="44"/>
      <c r="B2519" s="31" t="str">
        <f>IF(_xll.TM1RPTELISCONSOLIDATED($H$20,$H2519),IF(_xll.TM1RPTELLEV($H$20,$H2519)&lt;=5,_xll.TM1RPTELLEV($H$20,$H2519),"Default"),"Leaf")</f>
        <v>Leaf</v>
      </c>
      <c r="C2519" s="26" t="s">
        <v>23</v>
      </c>
      <c r="D2519" s="24" t="str">
        <f>_xll.DBRW("TM1-S1_DEV:}ElementAttributes_SP_SKU",$F2519,D$1)</f>
        <v>Primary</v>
      </c>
      <c r="E2519" s="24" t="str">
        <f>_xll.DBRW("TM1-S1_DEV:}ElementAttributes_SP_SKU",$F2519,E$1)</f>
        <v>SIDES</v>
      </c>
      <c r="F2519" s="26" t="s">
        <v>3129</v>
      </c>
      <c r="G2519" s="26" t="s">
        <v>2060</v>
      </c>
      <c r="H2519" s="26" t="s">
        <v>2676</v>
      </c>
      <c r="I2519" s="54">
        <f>_xll.DBRW($A$1,$F$14,$F$15,$C2519,$A$2,$F2519,$G2519,$H2519,I$1)</f>
        <v>96</v>
      </c>
      <c r="J2519" s="25">
        <f>_xll.DBRW($A$1,$F$14,$F$15,$C2519,$A$2,$F2519,$G2519,$H2519,J$19)</f>
        <v>73</v>
      </c>
    </row>
    <row r="2520" spans="1:10" s="23" customFormat="1" outlineLevel="1" thickBot="1" x14ac:dyDescent="0.3">
      <c r="A2520" s="44"/>
      <c r="B2520" s="31" t="str">
        <f>IF(_xll.TM1RPTELISCONSOLIDATED($H$20,$H2520),IF(_xll.TM1RPTELLEV($H$20,$H2520)&lt;=5,_xll.TM1RPTELLEV($H$20,$H2520),"Default"),"Leaf")</f>
        <v>Leaf</v>
      </c>
      <c r="C2520" s="26" t="s">
        <v>23</v>
      </c>
      <c r="D2520" s="24" t="str">
        <f>_xll.DBRW("TM1-S1_DEV:}ElementAttributes_SP_SKU",$F2520,D$1)</f>
        <v>Primary</v>
      </c>
      <c r="E2520" s="24" t="str">
        <f>_xll.DBRW("TM1-S1_DEV:}ElementAttributes_SP_SKU",$F2520,E$1)</f>
        <v>SIDES</v>
      </c>
      <c r="F2520" s="26" t="s">
        <v>3130</v>
      </c>
      <c r="G2520" s="26" t="s">
        <v>2061</v>
      </c>
      <c r="H2520" s="26" t="s">
        <v>2676</v>
      </c>
      <c r="I2520" s="54">
        <f>_xll.DBRW($A$1,$F$14,$F$15,$C2520,$A$2,$F2520,$G2520,$H2520,I$1)</f>
        <v>46</v>
      </c>
      <c r="J2520" s="25">
        <f>_xll.DBRW($A$1,$F$14,$F$15,$C2520,$A$2,$F2520,$G2520,$H2520,J$19)</f>
        <v>36</v>
      </c>
    </row>
    <row r="2521" spans="1:10" s="23" customFormat="1" outlineLevel="1" thickBot="1" x14ac:dyDescent="0.3">
      <c r="A2521" s="44"/>
      <c r="B2521" s="31" t="str">
        <f>IF(_xll.TM1RPTELISCONSOLIDATED($H$20,$H2521),IF(_xll.TM1RPTELLEV($H$20,$H2521)&lt;=5,_xll.TM1RPTELLEV($H$20,$H2521),"Default"),"Leaf")</f>
        <v>Leaf</v>
      </c>
      <c r="C2521" s="26" t="s">
        <v>23</v>
      </c>
      <c r="D2521" s="24" t="str">
        <f>_xll.DBRW("TM1-S1_DEV:}ElementAttributes_SP_SKU",$F2521,D$1)</f>
        <v>Primary</v>
      </c>
      <c r="E2521" s="24" t="str">
        <f>_xll.DBRW("TM1-S1_DEV:}ElementAttributes_SP_SKU",$F2521,E$1)</f>
        <v>SIDES</v>
      </c>
      <c r="F2521" s="26" t="s">
        <v>3131</v>
      </c>
      <c r="G2521" s="26" t="s">
        <v>2062</v>
      </c>
      <c r="H2521" s="26" t="s">
        <v>2676</v>
      </c>
      <c r="I2521" s="54">
        <f>_xll.DBRW($A$1,$F$14,$F$15,$C2521,$A$2,$F2521,$G2521,$H2521,I$1)</f>
        <v>74</v>
      </c>
      <c r="J2521" s="25">
        <f>_xll.DBRW($A$1,$F$14,$F$15,$C2521,$A$2,$F2521,$G2521,$H2521,J$19)</f>
        <v>56</v>
      </c>
    </row>
    <row r="2522" spans="1:10" s="23" customFormat="1" outlineLevel="1" thickBot="1" x14ac:dyDescent="0.3">
      <c r="A2522" s="44"/>
      <c r="B2522" s="31" t="str">
        <f>IF(_xll.TM1RPTELISCONSOLIDATED($H$20,$H2522),IF(_xll.TM1RPTELLEV($H$20,$H2522)&lt;=5,_xll.TM1RPTELLEV($H$20,$H2522),"Default"),"Leaf")</f>
        <v>Leaf</v>
      </c>
      <c r="C2522" s="26" t="s">
        <v>23</v>
      </c>
      <c r="D2522" s="24" t="str">
        <f>_xll.DBRW("TM1-S1_DEV:}ElementAttributes_SP_SKU",$F2522,D$1)</f>
        <v>Primary</v>
      </c>
      <c r="E2522" s="24" t="str">
        <f>_xll.DBRW("TM1-S1_DEV:}ElementAttributes_SP_SKU",$F2522,E$1)</f>
        <v>SIDES</v>
      </c>
      <c r="F2522" s="26" t="s">
        <v>3132</v>
      </c>
      <c r="G2522" s="26" t="s">
        <v>2063</v>
      </c>
      <c r="H2522" s="26" t="s">
        <v>2676</v>
      </c>
      <c r="I2522" s="54">
        <f>_xll.DBRW($A$1,$F$14,$F$15,$C2522,$A$2,$F2522,$G2522,$H2522,I$1)</f>
        <v>183</v>
      </c>
      <c r="J2522" s="25">
        <f>_xll.DBRW($A$1,$F$14,$F$15,$C2522,$A$2,$F2522,$G2522,$H2522,J$19)</f>
        <v>84</v>
      </c>
    </row>
    <row r="2523" spans="1:10" s="23" customFormat="1" outlineLevel="1" thickBot="1" x14ac:dyDescent="0.3">
      <c r="A2523" s="44"/>
      <c r="B2523" s="31" t="str">
        <f>IF(_xll.TM1RPTELISCONSOLIDATED($H$20,$H2523),IF(_xll.TM1RPTELLEV($H$20,$H2523)&lt;=5,_xll.TM1RPTELLEV($H$20,$H2523),"Default"),"Leaf")</f>
        <v>Leaf</v>
      </c>
      <c r="C2523" s="26" t="s">
        <v>23</v>
      </c>
      <c r="D2523" s="24" t="str">
        <f>_xll.DBRW("TM1-S1_DEV:}ElementAttributes_SP_SKU",$F2523,D$1)</f>
        <v>Primary</v>
      </c>
      <c r="E2523" s="24" t="str">
        <f>_xll.DBRW("TM1-S1_DEV:}ElementAttributes_SP_SKU",$F2523,E$1)</f>
        <v>DESSERT</v>
      </c>
      <c r="F2523" s="26" t="s">
        <v>29</v>
      </c>
      <c r="G2523" s="26" t="s">
        <v>2064</v>
      </c>
      <c r="H2523" s="26" t="s">
        <v>2677</v>
      </c>
      <c r="I2523" s="54">
        <f>_xll.DBRW($A$1,$F$14,$F$15,$C2523,$A$2,$F2523,$G2523,$H2523,I$1)</f>
        <v>14</v>
      </c>
      <c r="J2523" s="25">
        <f>_xll.DBRW($A$1,$F$14,$F$15,$C2523,$A$2,$F2523,$G2523,$H2523,J$19)</f>
        <v>13</v>
      </c>
    </row>
    <row r="2524" spans="1:10" s="23" customFormat="1" outlineLevel="1" thickBot="1" x14ac:dyDescent="0.3">
      <c r="A2524" s="44"/>
      <c r="B2524" s="31" t="str">
        <f>IF(_xll.TM1RPTELISCONSOLIDATED($H$20,$H2524),IF(_xll.TM1RPTELLEV($H$20,$H2524)&lt;=5,_xll.TM1RPTELLEV($H$20,$H2524),"Default"),"Leaf")</f>
        <v>Leaf</v>
      </c>
      <c r="C2524" s="26" t="s">
        <v>23</v>
      </c>
      <c r="D2524" s="24" t="str">
        <f>_xll.DBRW("TM1-S1_DEV:}ElementAttributes_SP_SKU",$F2524,D$1)</f>
        <v>Primary</v>
      </c>
      <c r="E2524" s="24" t="str">
        <f>_xll.DBRW("TM1-S1_DEV:}ElementAttributes_SP_SKU",$F2524,E$1)</f>
        <v>PIE</v>
      </c>
      <c r="F2524" s="26" t="s">
        <v>3133</v>
      </c>
      <c r="G2524" s="26" t="s">
        <v>2065</v>
      </c>
      <c r="H2524" s="26" t="s">
        <v>2678</v>
      </c>
      <c r="I2524" s="54">
        <f>_xll.DBRW($A$1,$F$14,$F$15,$C2524,$A$2,$F2524,$G2524,$H2524,I$1)</f>
        <v>17</v>
      </c>
      <c r="J2524" s="25">
        <f>_xll.DBRW($A$1,$F$14,$F$15,$C2524,$A$2,$F2524,$G2524,$H2524,J$19)</f>
        <v>3</v>
      </c>
    </row>
    <row r="2525" spans="1:10" s="23" customFormat="1" outlineLevel="1" thickBot="1" x14ac:dyDescent="0.3">
      <c r="A2525" s="44"/>
      <c r="B2525" s="31" t="str">
        <f>IF(_xll.TM1RPTELISCONSOLIDATED($H$20,$H2525),IF(_xll.TM1RPTELLEV($H$20,$H2525)&lt;=5,_xll.TM1RPTELLEV($H$20,$H2525),"Default"),"Leaf")</f>
        <v>Leaf</v>
      </c>
      <c r="C2525" s="26" t="s">
        <v>23</v>
      </c>
      <c r="D2525" s="24" t="str">
        <f>_xll.DBRW("TM1-S1_DEV:}ElementAttributes_SP_SKU",$F2525,D$1)</f>
        <v>Primary</v>
      </c>
      <c r="E2525" s="24" t="str">
        <f>_xll.DBRW("TM1-S1_DEV:}ElementAttributes_SP_SKU",$F2525,E$1)</f>
        <v>PIE</v>
      </c>
      <c r="F2525" s="26" t="s">
        <v>3134</v>
      </c>
      <c r="G2525" s="26" t="s">
        <v>2066</v>
      </c>
      <c r="H2525" s="26" t="s">
        <v>2678</v>
      </c>
      <c r="I2525" s="54">
        <f>_xll.DBRW($A$1,$F$14,$F$15,$C2525,$A$2,$F2525,$G2525,$H2525,I$1)</f>
        <v>21</v>
      </c>
      <c r="J2525" s="25">
        <f>_xll.DBRW($A$1,$F$14,$F$15,$C2525,$A$2,$F2525,$G2525,$H2525,J$19)</f>
        <v>0</v>
      </c>
    </row>
    <row r="2526" spans="1:10" s="23" customFormat="1" outlineLevel="1" thickBot="1" x14ac:dyDescent="0.3">
      <c r="A2526" s="44"/>
      <c r="B2526" s="31" t="str">
        <f>IF(_xll.TM1RPTELISCONSOLIDATED($H$20,$H2526),IF(_xll.TM1RPTELLEV($H$20,$H2526)&lt;=5,_xll.TM1RPTELLEV($H$20,$H2526),"Default"),"Leaf")</f>
        <v>Leaf</v>
      </c>
      <c r="C2526" s="26" t="s">
        <v>23</v>
      </c>
      <c r="D2526" s="24" t="str">
        <f>_xll.DBRW("TM1-S1_DEV:}ElementAttributes_SP_SKU",$F2526,D$1)</f>
        <v>Primary</v>
      </c>
      <c r="E2526" s="24" t="str">
        <f>_xll.DBRW("TM1-S1_DEV:}ElementAttributes_SP_SKU",$F2526,E$1)</f>
        <v>CAKE</v>
      </c>
      <c r="F2526" s="26" t="s">
        <v>3135</v>
      </c>
      <c r="G2526" s="26" t="s">
        <v>2067</v>
      </c>
      <c r="H2526" s="26" t="s">
        <v>2679</v>
      </c>
      <c r="I2526" s="54">
        <f>_xll.DBRW($A$1,$F$14,$F$15,$C2526,$A$2,$F2526,$G2526,$H2526,I$1)</f>
        <v>42</v>
      </c>
      <c r="J2526" s="25">
        <f>_xll.DBRW($A$1,$F$14,$F$15,$C2526,$A$2,$F2526,$G2526,$H2526,J$19)</f>
        <v>20</v>
      </c>
    </row>
    <row r="2527" spans="1:10" s="23" customFormat="1" outlineLevel="1" thickBot="1" x14ac:dyDescent="0.3">
      <c r="A2527" s="44"/>
      <c r="B2527" s="31" t="str">
        <f>IF(_xll.TM1RPTELISCONSOLIDATED($H$20,$H2527),IF(_xll.TM1RPTELLEV($H$20,$H2527)&lt;=5,_xll.TM1RPTELLEV($H$20,$H2527),"Default"),"Leaf")</f>
        <v>Leaf</v>
      </c>
      <c r="C2527" s="26" t="s">
        <v>23</v>
      </c>
      <c r="D2527" s="24" t="str">
        <f>_xll.DBRW("TM1-S1_DEV:}ElementAttributes_SP_SKU",$F2527,D$1)</f>
        <v>Primary</v>
      </c>
      <c r="E2527" s="24" t="str">
        <f>_xll.DBRW("TM1-S1_DEV:}ElementAttributes_SP_SKU",$F2527,E$1)</f>
        <v>CAKE</v>
      </c>
      <c r="F2527" s="26" t="s">
        <v>3136</v>
      </c>
      <c r="G2527" s="26" t="s">
        <v>2068</v>
      </c>
      <c r="H2527" s="26" t="s">
        <v>2679</v>
      </c>
      <c r="I2527" s="54">
        <f>_xll.DBRW($A$1,$F$14,$F$15,$C2527,$A$2,$F2527,$G2527,$H2527,I$1)</f>
        <v>21</v>
      </c>
      <c r="J2527" s="25">
        <f>_xll.DBRW($A$1,$F$14,$F$15,$C2527,$A$2,$F2527,$G2527,$H2527,J$19)</f>
        <v>9</v>
      </c>
    </row>
    <row r="2528" spans="1:10" s="23" customFormat="1" outlineLevel="1" thickBot="1" x14ac:dyDescent="0.3">
      <c r="A2528" s="44"/>
      <c r="B2528" s="31" t="str">
        <f>IF(_xll.TM1RPTELISCONSOLIDATED($H$20,$H2528),IF(_xll.TM1RPTELLEV($H$20,$H2528)&lt;=5,_xll.TM1RPTELLEV($H$20,$H2528),"Default"),"Leaf")</f>
        <v>Leaf</v>
      </c>
      <c r="C2528" s="26" t="s">
        <v>23</v>
      </c>
      <c r="D2528" s="24" t="str">
        <f>_xll.DBRW("TM1-S1_DEV:}ElementAttributes_SP_SKU",$F2528,D$1)</f>
        <v>Primary</v>
      </c>
      <c r="E2528" s="24" t="str">
        <f>_xll.DBRW("TM1-S1_DEV:}ElementAttributes_SP_SKU",$F2528,E$1)</f>
        <v>CAKE</v>
      </c>
      <c r="F2528" s="26" t="s">
        <v>3137</v>
      </c>
      <c r="G2528" s="26" t="s">
        <v>2069</v>
      </c>
      <c r="H2528" s="26" t="s">
        <v>2679</v>
      </c>
      <c r="I2528" s="54">
        <f>_xll.DBRW($A$1,$F$14,$F$15,$C2528,$A$2,$F2528,$G2528,$H2528,I$1)</f>
        <v>27</v>
      </c>
      <c r="J2528" s="25">
        <f>_xll.DBRW($A$1,$F$14,$F$15,$C2528,$A$2,$F2528,$G2528,$H2528,J$19)</f>
        <v>-6</v>
      </c>
    </row>
    <row r="2529" spans="1:10" s="23" customFormat="1" outlineLevel="1" thickBot="1" x14ac:dyDescent="0.3">
      <c r="A2529" s="44"/>
      <c r="B2529" s="31" t="str">
        <f>IF(_xll.TM1RPTELISCONSOLIDATED($H$20,$H2529),IF(_xll.TM1RPTELLEV($H$20,$H2529)&lt;=5,_xll.TM1RPTELLEV($H$20,$H2529),"Default"),"Leaf")</f>
        <v>Leaf</v>
      </c>
      <c r="C2529" s="26" t="s">
        <v>23</v>
      </c>
      <c r="D2529" s="24" t="str">
        <f>_xll.DBRW("TM1-S1_DEV:}ElementAttributes_SP_SKU",$F2529,D$1)</f>
        <v>Primary</v>
      </c>
      <c r="E2529" s="24" t="str">
        <f>_xll.DBRW("TM1-S1_DEV:}ElementAttributes_SP_SKU",$F2529,E$1)</f>
        <v>CAKE</v>
      </c>
      <c r="F2529" s="26" t="s">
        <v>3138</v>
      </c>
      <c r="G2529" s="26" t="s">
        <v>2070</v>
      </c>
      <c r="H2529" s="26" t="s">
        <v>2680</v>
      </c>
      <c r="I2529" s="54">
        <f>_xll.DBRW($A$1,$F$14,$F$15,$C2529,$A$2,$F2529,$G2529,$H2529,I$1)</f>
        <v>24</v>
      </c>
      <c r="J2529" s="25">
        <f>_xll.DBRW($A$1,$F$14,$F$15,$C2529,$A$2,$F2529,$G2529,$H2529,J$19)</f>
        <v>14</v>
      </c>
    </row>
    <row r="2530" spans="1:10" s="23" customFormat="1" outlineLevel="1" thickBot="1" x14ac:dyDescent="0.3">
      <c r="A2530" s="44"/>
      <c r="B2530" s="31" t="str">
        <f>IF(_xll.TM1RPTELISCONSOLIDATED($H$20,$H2530),IF(_xll.TM1RPTELLEV($H$20,$H2530)&lt;=5,_xll.TM1RPTELLEV($H$20,$H2530),"Default"),"Leaf")</f>
        <v>Leaf</v>
      </c>
      <c r="C2530" s="26" t="s">
        <v>23</v>
      </c>
      <c r="D2530" s="24" t="str">
        <f>_xll.DBRW("TM1-S1_DEV:}ElementAttributes_SP_SKU",$F2530,D$1)</f>
        <v>Primary</v>
      </c>
      <c r="E2530" s="24" t="str">
        <f>_xll.DBRW("TM1-S1_DEV:}ElementAttributes_SP_SKU",$F2530,E$1)</f>
        <v>DESSERT</v>
      </c>
      <c r="F2530" s="26" t="s">
        <v>3139</v>
      </c>
      <c r="G2530" s="26" t="s">
        <v>2071</v>
      </c>
      <c r="H2530" s="26" t="s">
        <v>2681</v>
      </c>
      <c r="I2530" s="54">
        <f>_xll.DBRW($A$1,$F$14,$F$15,$C2530,$A$2,$F2530,$G2530,$H2530,I$1)</f>
        <v>27</v>
      </c>
      <c r="J2530" s="25">
        <f>_xll.DBRW($A$1,$F$14,$F$15,$C2530,$A$2,$F2530,$G2530,$H2530,J$19)</f>
        <v>8</v>
      </c>
    </row>
    <row r="2531" spans="1:10" s="23" customFormat="1" outlineLevel="1" thickBot="1" x14ac:dyDescent="0.3">
      <c r="A2531" s="44"/>
      <c r="B2531" s="31" t="str">
        <f>IF(_xll.TM1RPTELISCONSOLIDATED($H$20,$H2531),IF(_xll.TM1RPTELLEV($H$20,$H2531)&lt;=5,_xll.TM1RPTELLEV($H$20,$H2531),"Default"),"Leaf")</f>
        <v>Leaf</v>
      </c>
      <c r="C2531" s="26" t="s">
        <v>23</v>
      </c>
      <c r="D2531" s="24" t="str">
        <f>_xll.DBRW("TM1-S1_DEV:}ElementAttributes_SP_SKU",$F2531,D$1)</f>
        <v>Primary</v>
      </c>
      <c r="E2531" s="24" t="str">
        <f>_xll.DBRW("TM1-S1_DEV:}ElementAttributes_SP_SKU",$F2531,E$1)</f>
        <v>DESSERT</v>
      </c>
      <c r="F2531" s="26" t="s">
        <v>3140</v>
      </c>
      <c r="G2531" s="26" t="s">
        <v>2072</v>
      </c>
      <c r="H2531" s="26" t="s">
        <v>2681</v>
      </c>
      <c r="I2531" s="54">
        <f>_xll.DBRW($A$1,$F$14,$F$15,$C2531,$A$2,$F2531,$G2531,$H2531,I$1)</f>
        <v>31</v>
      </c>
      <c r="J2531" s="25">
        <f>_xll.DBRW($A$1,$F$14,$F$15,$C2531,$A$2,$F2531,$G2531,$H2531,J$19)</f>
        <v>7</v>
      </c>
    </row>
    <row r="2532" spans="1:10" s="23" customFormat="1" outlineLevel="1" thickBot="1" x14ac:dyDescent="0.3">
      <c r="A2532" s="44"/>
      <c r="B2532" s="31" t="str">
        <f>IF(_xll.TM1RPTELISCONSOLIDATED($H$20,$H2532),IF(_xll.TM1RPTELLEV($H$20,$H2532)&lt;=5,_xll.TM1RPTELLEV($H$20,$H2532),"Default"),"Leaf")</f>
        <v>Leaf</v>
      </c>
      <c r="C2532" s="26" t="s">
        <v>23</v>
      </c>
      <c r="D2532" s="24" t="str">
        <f>_xll.DBRW("TM1-S1_DEV:}ElementAttributes_SP_SKU",$F2532,D$1)</f>
        <v>Primary</v>
      </c>
      <c r="E2532" s="24" t="str">
        <f>_xll.DBRW("TM1-S1_DEV:}ElementAttributes_SP_SKU",$F2532,E$1)</f>
        <v>CAKE</v>
      </c>
      <c r="F2532" s="26" t="s">
        <v>3142</v>
      </c>
      <c r="G2532" s="26" t="s">
        <v>2074</v>
      </c>
      <c r="H2532" s="26" t="s">
        <v>2682</v>
      </c>
      <c r="I2532" s="54">
        <f>_xll.DBRW($A$1,$F$14,$F$15,$C2532,$A$2,$F2532,$G2532,$H2532,I$1)</f>
        <v>35</v>
      </c>
      <c r="J2532" s="25">
        <f>_xll.DBRW($A$1,$F$14,$F$15,$C2532,$A$2,$F2532,$G2532,$H2532,J$19)</f>
        <v>18</v>
      </c>
    </row>
    <row r="2533" spans="1:10" s="23" customFormat="1" outlineLevel="1" thickBot="1" x14ac:dyDescent="0.3">
      <c r="A2533" s="44"/>
      <c r="B2533" s="31" t="str">
        <f>IF(_xll.TM1RPTELISCONSOLIDATED($H$20,$H2533),IF(_xll.TM1RPTELLEV($H$20,$H2533)&lt;=5,_xll.TM1RPTELLEV($H$20,$H2533),"Default"),"Leaf")</f>
        <v>Leaf</v>
      </c>
      <c r="C2533" s="26" t="s">
        <v>23</v>
      </c>
      <c r="D2533" s="24" t="str">
        <f>_xll.DBRW("TM1-S1_DEV:}ElementAttributes_SP_SKU",$F2533,D$1)</f>
        <v>Primary</v>
      </c>
      <c r="E2533" s="24" t="str">
        <f>_xll.DBRW("TM1-S1_DEV:}ElementAttributes_SP_SKU",$F2533,E$1)</f>
        <v>CAKE</v>
      </c>
      <c r="F2533" s="26" t="s">
        <v>3143</v>
      </c>
      <c r="G2533" s="26" t="s">
        <v>2075</v>
      </c>
      <c r="H2533" s="26" t="s">
        <v>2682</v>
      </c>
      <c r="I2533" s="54">
        <f>_xll.DBRW($A$1,$F$14,$F$15,$C2533,$A$2,$F2533,$G2533,$H2533,I$1)</f>
        <v>26</v>
      </c>
      <c r="J2533" s="25">
        <f>_xll.DBRW($A$1,$F$14,$F$15,$C2533,$A$2,$F2533,$G2533,$H2533,J$19)</f>
        <v>14</v>
      </c>
    </row>
    <row r="2534" spans="1:10" s="23" customFormat="1" outlineLevel="1" thickBot="1" x14ac:dyDescent="0.3">
      <c r="A2534" s="44"/>
      <c r="B2534" s="31" t="str">
        <f>IF(_xll.TM1RPTELISCONSOLIDATED($H$20,$H2534),IF(_xll.TM1RPTELLEV($H$20,$H2534)&lt;=5,_xll.TM1RPTELLEV($H$20,$H2534),"Default"),"Leaf")</f>
        <v>Leaf</v>
      </c>
      <c r="C2534" s="26" t="s">
        <v>23</v>
      </c>
      <c r="D2534" s="24" t="str">
        <f>_xll.DBRW("TM1-S1_DEV:}ElementAttributes_SP_SKU",$F2534,D$1)</f>
        <v>Primary</v>
      </c>
      <c r="E2534" s="24" t="str">
        <f>_xll.DBRW("TM1-S1_DEV:}ElementAttributes_SP_SKU",$F2534,E$1)</f>
        <v>CAKE</v>
      </c>
      <c r="F2534" s="26" t="s">
        <v>3144</v>
      </c>
      <c r="G2534" s="26" t="s">
        <v>2076</v>
      </c>
      <c r="H2534" s="26" t="s">
        <v>2679</v>
      </c>
      <c r="I2534" s="54">
        <f>_xll.DBRW($A$1,$F$14,$F$15,$C2534,$A$2,$F2534,$G2534,$H2534,I$1)</f>
        <v>1</v>
      </c>
      <c r="J2534" s="25">
        <f>_xll.DBRW($A$1,$F$14,$F$15,$C2534,$A$2,$F2534,$G2534,$H2534,J$19)</f>
        <v>-1</v>
      </c>
    </row>
    <row r="2535" spans="1:10" s="23" customFormat="1" outlineLevel="1" thickBot="1" x14ac:dyDescent="0.3">
      <c r="A2535" s="44"/>
      <c r="B2535" s="31" t="str">
        <f>IF(_xll.TM1RPTELISCONSOLIDATED($H$20,$H2535),IF(_xll.TM1RPTELLEV($H$20,$H2535)&lt;=5,_xll.TM1RPTELLEV($H$20,$H2535),"Default"),"Leaf")</f>
        <v>Leaf</v>
      </c>
      <c r="C2535" s="26" t="s">
        <v>23</v>
      </c>
      <c r="D2535" s="24" t="str">
        <f>_xll.DBRW("TM1-S1_DEV:}ElementAttributes_SP_SKU",$F2535,D$1)</f>
        <v>Primary</v>
      </c>
      <c r="E2535" s="24" t="str">
        <f>_xll.DBRW("TM1-S1_DEV:}ElementAttributes_SP_SKU",$F2535,E$1)</f>
        <v>CAKE</v>
      </c>
      <c r="F2535" s="26" t="s">
        <v>3145</v>
      </c>
      <c r="G2535" s="26" t="s">
        <v>2077</v>
      </c>
      <c r="H2535" s="26" t="s">
        <v>2680</v>
      </c>
      <c r="I2535" s="54">
        <f>_xll.DBRW($A$1,$F$14,$F$15,$C2535,$A$2,$F2535,$G2535,$H2535,I$1)</f>
        <v>6</v>
      </c>
      <c r="J2535" s="25">
        <f>_xll.DBRW($A$1,$F$14,$F$15,$C2535,$A$2,$F2535,$G2535,$H2535,J$19)</f>
        <v>3</v>
      </c>
    </row>
    <row r="2536" spans="1:10" s="23" customFormat="1" outlineLevel="1" thickBot="1" x14ac:dyDescent="0.3">
      <c r="A2536" s="44"/>
      <c r="B2536" s="31" t="str">
        <f>IF(_xll.TM1RPTELISCONSOLIDATED($H$20,$H2536),IF(_xll.TM1RPTELLEV($H$20,$H2536)&lt;=5,_xll.TM1RPTELLEV($H$20,$H2536),"Default"),"Leaf")</f>
        <v>Leaf</v>
      </c>
      <c r="C2536" s="26" t="s">
        <v>23</v>
      </c>
      <c r="D2536" s="24" t="str">
        <f>_xll.DBRW("TM1-S1_DEV:}ElementAttributes_SP_SKU",$F2536,D$1)</f>
        <v>Primary</v>
      </c>
      <c r="E2536" s="24" t="str">
        <f>_xll.DBRW("TM1-S1_DEV:}ElementAttributes_SP_SKU",$F2536,E$1)</f>
        <v>CAKE</v>
      </c>
      <c r="F2536" s="26" t="s">
        <v>3146</v>
      </c>
      <c r="G2536" s="26" t="s">
        <v>2078</v>
      </c>
      <c r="H2536" s="26" t="s">
        <v>2680</v>
      </c>
      <c r="I2536" s="54">
        <f>_xll.DBRW($A$1,$F$14,$F$15,$C2536,$A$2,$F2536,$G2536,$H2536,I$1)</f>
        <v>46</v>
      </c>
      <c r="J2536" s="25">
        <f>_xll.DBRW($A$1,$F$14,$F$15,$C2536,$A$2,$F2536,$G2536,$H2536,J$19)</f>
        <v>38</v>
      </c>
    </row>
    <row r="2537" spans="1:10" s="23" customFormat="1" outlineLevel="1" thickBot="1" x14ac:dyDescent="0.3">
      <c r="A2537" s="44"/>
      <c r="B2537" s="31" t="str">
        <f>IF(_xll.TM1RPTELISCONSOLIDATED($H$20,$H2537),IF(_xll.TM1RPTELLEV($H$20,$H2537)&lt;=5,_xll.TM1RPTELLEV($H$20,$H2537),"Default"),"Leaf")</f>
        <v>Leaf</v>
      </c>
      <c r="C2537" s="26" t="s">
        <v>23</v>
      </c>
      <c r="D2537" s="24" t="str">
        <f>_xll.DBRW("TM1-S1_DEV:}ElementAttributes_SP_SKU",$F2537,D$1)</f>
        <v>Primary</v>
      </c>
      <c r="E2537" s="24" t="str">
        <f>_xll.DBRW("TM1-S1_DEV:}ElementAttributes_SP_SKU",$F2537,E$1)</f>
        <v>CONDIMENT</v>
      </c>
      <c r="F2537" s="26" t="s">
        <v>3147</v>
      </c>
      <c r="G2537" s="26" t="s">
        <v>2079</v>
      </c>
      <c r="H2537" s="26" t="s">
        <v>2683</v>
      </c>
      <c r="I2537" s="54">
        <f>_xll.DBRW($A$1,$F$14,$F$15,$C2537,$A$2,$F2537,$G2537,$H2537,I$1)</f>
        <v>35</v>
      </c>
      <c r="J2537" s="25">
        <f>_xll.DBRW($A$1,$F$14,$F$15,$C2537,$A$2,$F2537,$G2537,$H2537,J$19)</f>
        <v>26</v>
      </c>
    </row>
    <row r="2538" spans="1:10" s="23" customFormat="1" outlineLevel="1" thickBot="1" x14ac:dyDescent="0.3">
      <c r="A2538" s="44"/>
      <c r="B2538" s="31" t="str">
        <f>IF(_xll.TM1RPTELISCONSOLIDATED($H$20,$H2538),IF(_xll.TM1RPTELLEV($H$20,$H2538)&lt;=5,_xll.TM1RPTELLEV($H$20,$H2538),"Default"),"Leaf")</f>
        <v>Leaf</v>
      </c>
      <c r="C2538" s="26" t="s">
        <v>23</v>
      </c>
      <c r="D2538" s="24" t="str">
        <f>_xll.DBRW("TM1-S1_DEV:}ElementAttributes_SP_SKU",$F2538,D$1)</f>
        <v>Primary</v>
      </c>
      <c r="E2538" s="24" t="str">
        <f>_xll.DBRW("TM1-S1_DEV:}ElementAttributes_SP_SKU",$F2538,E$1)</f>
        <v>CONDIMENT</v>
      </c>
      <c r="F2538" s="26" t="s">
        <v>3148</v>
      </c>
      <c r="G2538" s="26" t="s">
        <v>2080</v>
      </c>
      <c r="H2538" s="26" t="s">
        <v>2684</v>
      </c>
      <c r="I2538" s="54">
        <f>_xll.DBRW($A$1,$F$14,$F$15,$C2538,$A$2,$F2538,$G2538,$H2538,I$1)</f>
        <v>200</v>
      </c>
      <c r="J2538" s="25">
        <f>_xll.DBRW($A$1,$F$14,$F$15,$C2538,$A$2,$F2538,$G2538,$H2538,J$19)</f>
        <v>184</v>
      </c>
    </row>
    <row r="2539" spans="1:10" s="23" customFormat="1" outlineLevel="1" thickBot="1" x14ac:dyDescent="0.3">
      <c r="A2539" s="44"/>
      <c r="B2539" s="31" t="str">
        <f>IF(_xll.TM1RPTELISCONSOLIDATED($H$20,$H2539),IF(_xll.TM1RPTELLEV($H$20,$H2539)&lt;=5,_xll.TM1RPTELLEV($H$20,$H2539),"Default"),"Leaf")</f>
        <v>Leaf</v>
      </c>
      <c r="C2539" s="26" t="s">
        <v>23</v>
      </c>
      <c r="D2539" s="24" t="str">
        <f>_xll.DBRW("TM1-S1_DEV:}ElementAttributes_SP_SKU",$F2539,D$1)</f>
        <v>Primary</v>
      </c>
      <c r="E2539" s="24" t="str">
        <f>_xll.DBRW("TM1-S1_DEV:}ElementAttributes_SP_SKU",$F2539,E$1)</f>
        <v>CONDIMENT</v>
      </c>
      <c r="F2539" s="26" t="s">
        <v>3149</v>
      </c>
      <c r="G2539" s="26" t="s">
        <v>2081</v>
      </c>
      <c r="H2539" s="26" t="s">
        <v>2684</v>
      </c>
      <c r="I2539" s="54">
        <f>_xll.DBRW($A$1,$F$14,$F$15,$C2539,$A$2,$F2539,$G2539,$H2539,I$1)</f>
        <v>25</v>
      </c>
      <c r="J2539" s="25">
        <f>_xll.DBRW($A$1,$F$14,$F$15,$C2539,$A$2,$F2539,$G2539,$H2539,J$19)</f>
        <v>16</v>
      </c>
    </row>
    <row r="2540" spans="1:10" s="23" customFormat="1" outlineLevel="1" thickBot="1" x14ac:dyDescent="0.3">
      <c r="A2540" s="44"/>
      <c r="B2540" s="31" t="str">
        <f>IF(_xll.TM1RPTELISCONSOLIDATED($H$20,$H2540),IF(_xll.TM1RPTELLEV($H$20,$H2540)&lt;=5,_xll.TM1RPTELLEV($H$20,$H2540),"Default"),"Leaf")</f>
        <v>Leaf</v>
      </c>
      <c r="C2540" s="26" t="s">
        <v>23</v>
      </c>
      <c r="D2540" s="24" t="str">
        <f>_xll.DBRW("TM1-S1_DEV:}ElementAttributes_SP_SKU",$F2540,D$1)</f>
        <v>Primary</v>
      </c>
      <c r="E2540" s="24" t="str">
        <f>_xll.DBRW("TM1-S1_DEV:}ElementAttributes_SP_SKU",$F2540,E$1)</f>
        <v>CONDIMENT</v>
      </c>
      <c r="F2540" s="26" t="s">
        <v>3150</v>
      </c>
      <c r="G2540" s="26" t="s">
        <v>2082</v>
      </c>
      <c r="H2540" s="26" t="s">
        <v>2684</v>
      </c>
      <c r="I2540" s="54">
        <f>_xll.DBRW($A$1,$F$14,$F$15,$C2540,$A$2,$F2540,$G2540,$H2540,I$1)</f>
        <v>15</v>
      </c>
      <c r="J2540" s="25">
        <f>_xll.DBRW($A$1,$F$14,$F$15,$C2540,$A$2,$F2540,$G2540,$H2540,J$19)</f>
        <v>4</v>
      </c>
    </row>
    <row r="2541" spans="1:10" s="23" customFormat="1" outlineLevel="1" thickBot="1" x14ac:dyDescent="0.3">
      <c r="A2541" s="44"/>
      <c r="B2541" s="31" t="str">
        <f>IF(_xll.TM1RPTELISCONSOLIDATED($H$20,$H2541),IF(_xll.TM1RPTELLEV($H$20,$H2541)&lt;=5,_xll.TM1RPTELLEV($H$20,$H2541),"Default"),"Leaf")</f>
        <v>Leaf</v>
      </c>
      <c r="C2541" s="26" t="s">
        <v>23</v>
      </c>
      <c r="D2541" s="24" t="str">
        <f>_xll.DBRW("TM1-S1_DEV:}ElementAttributes_SP_SKU",$F2541,D$1)</f>
        <v>Primary</v>
      </c>
      <c r="E2541" s="24" t="str">
        <f>_xll.DBRW("TM1-S1_DEV:}ElementAttributes_SP_SKU",$F2541,E$1)</f>
        <v>CONDIMENT</v>
      </c>
      <c r="F2541" s="26" t="s">
        <v>3151</v>
      </c>
      <c r="G2541" s="26" t="s">
        <v>2083</v>
      </c>
      <c r="H2541" s="26" t="s">
        <v>2684</v>
      </c>
      <c r="I2541" s="54">
        <f>_xll.DBRW($A$1,$F$14,$F$15,$C2541,$A$2,$F2541,$G2541,$H2541,I$1)</f>
        <v>35</v>
      </c>
      <c r="J2541" s="25">
        <f>_xll.DBRW($A$1,$F$14,$F$15,$C2541,$A$2,$F2541,$G2541,$H2541,J$19)</f>
        <v>27</v>
      </c>
    </row>
    <row r="2542" spans="1:10" s="23" customFormat="1" outlineLevel="1" thickBot="1" x14ac:dyDescent="0.3">
      <c r="A2542" s="44"/>
      <c r="B2542" s="31" t="str">
        <f>IF(_xll.TM1RPTELISCONSOLIDATED($H$20,$H2542),IF(_xll.TM1RPTELLEV($H$20,$H2542)&lt;=5,_xll.TM1RPTELLEV($H$20,$H2542),"Default"),"Leaf")</f>
        <v>Leaf</v>
      </c>
      <c r="C2542" s="26" t="s">
        <v>23</v>
      </c>
      <c r="D2542" s="24" t="str">
        <f>_xll.DBRW("TM1-S1_DEV:}ElementAttributes_SP_SKU",$F2542,D$1)</f>
        <v>Primary</v>
      </c>
      <c r="E2542" s="24" t="str">
        <f>_xll.DBRW("TM1-S1_DEV:}ElementAttributes_SP_SKU",$F2542,E$1)</f>
        <v>CONDIMENT</v>
      </c>
      <c r="F2542" s="26" t="s">
        <v>3152</v>
      </c>
      <c r="G2542" s="26" t="s">
        <v>2084</v>
      </c>
      <c r="H2542" s="26" t="s">
        <v>2684</v>
      </c>
      <c r="I2542" s="54">
        <f>_xll.DBRW($A$1,$F$14,$F$15,$C2542,$A$2,$F2542,$G2542,$H2542,I$1)</f>
        <v>15</v>
      </c>
      <c r="J2542" s="25">
        <f>_xll.DBRW($A$1,$F$14,$F$15,$C2542,$A$2,$F2542,$G2542,$H2542,J$19)</f>
        <v>13</v>
      </c>
    </row>
    <row r="2543" spans="1:10" s="23" customFormat="1" outlineLevel="1" thickBot="1" x14ac:dyDescent="0.3">
      <c r="A2543" s="44"/>
      <c r="B2543" s="31" t="str">
        <f>IF(_xll.TM1RPTELISCONSOLIDATED($H$20,$H2543),IF(_xll.TM1RPTELLEV($H$20,$H2543)&lt;=5,_xll.TM1RPTELLEV($H$20,$H2543),"Default"),"Leaf")</f>
        <v>Leaf</v>
      </c>
      <c r="C2543" s="26" t="s">
        <v>23</v>
      </c>
      <c r="D2543" s="24" t="str">
        <f>_xll.DBRW("TM1-S1_DEV:}ElementAttributes_SP_SKU",$F2543,D$1)</f>
        <v>Primary</v>
      </c>
      <c r="E2543" s="24" t="str">
        <f>_xll.DBRW("TM1-S1_DEV:}ElementAttributes_SP_SKU",$F2543,E$1)</f>
        <v>CONDIMENT</v>
      </c>
      <c r="F2543" s="26" t="s">
        <v>3153</v>
      </c>
      <c r="G2543" s="26" t="s">
        <v>2085</v>
      </c>
      <c r="H2543" s="26" t="s">
        <v>2684</v>
      </c>
      <c r="I2543" s="54">
        <f>_xll.DBRW($A$1,$F$14,$F$15,$C2543,$A$2,$F2543,$G2543,$H2543,I$1)</f>
        <v>32</v>
      </c>
      <c r="J2543" s="25">
        <f>_xll.DBRW($A$1,$F$14,$F$15,$C2543,$A$2,$F2543,$G2543,$H2543,J$19)</f>
        <v>20</v>
      </c>
    </row>
    <row r="2544" spans="1:10" s="23" customFormat="1" outlineLevel="1" thickBot="1" x14ac:dyDescent="0.3">
      <c r="A2544" s="44"/>
      <c r="B2544" s="31" t="str">
        <f>IF(_xll.TM1RPTELISCONSOLIDATED($H$20,$H2544),IF(_xll.TM1RPTELLEV($H$20,$H2544)&lt;=5,_xll.TM1RPTELLEV($H$20,$H2544),"Default"),"Leaf")</f>
        <v>Leaf</v>
      </c>
      <c r="C2544" s="26" t="s">
        <v>23</v>
      </c>
      <c r="D2544" s="24" t="str">
        <f>_xll.DBRW("TM1-S1_DEV:}ElementAttributes_SP_SKU",$F2544,D$1)</f>
        <v>Primary</v>
      </c>
      <c r="E2544" s="24" t="str">
        <f>_xll.DBRW("TM1-S1_DEV:}ElementAttributes_SP_SKU",$F2544,E$1)</f>
        <v>CONDIMENT</v>
      </c>
      <c r="F2544" s="26" t="s">
        <v>3154</v>
      </c>
      <c r="G2544" s="26" t="s">
        <v>2086</v>
      </c>
      <c r="H2544" s="26" t="s">
        <v>2684</v>
      </c>
      <c r="I2544" s="54">
        <f>_xll.DBRW($A$1,$F$14,$F$15,$C2544,$A$2,$F2544,$G2544,$H2544,I$1)</f>
        <v>77</v>
      </c>
      <c r="J2544" s="25">
        <f>_xll.DBRW($A$1,$F$14,$F$15,$C2544,$A$2,$F2544,$G2544,$H2544,J$19)</f>
        <v>39</v>
      </c>
    </row>
    <row r="2545" spans="1:10" s="23" customFormat="1" outlineLevel="1" thickBot="1" x14ac:dyDescent="0.3">
      <c r="A2545" s="44"/>
      <c r="B2545" s="31" t="str">
        <f>IF(_xll.TM1RPTELISCONSOLIDATED($H$20,$H2545),IF(_xll.TM1RPTELLEV($H$20,$H2545)&lt;=5,_xll.TM1RPTELLEV($H$20,$H2545),"Default"),"Leaf")</f>
        <v>Leaf</v>
      </c>
      <c r="C2545" s="26" t="s">
        <v>23</v>
      </c>
      <c r="D2545" s="24" t="str">
        <f>_xll.DBRW("TM1-S1_DEV:}ElementAttributes_SP_SKU",$F2545,D$1)</f>
        <v>Primary</v>
      </c>
      <c r="E2545" s="24" t="str">
        <f>_xll.DBRW("TM1-S1_DEV:}ElementAttributes_SP_SKU",$F2545,E$1)</f>
        <v>DRESSING</v>
      </c>
      <c r="F2545" s="26" t="s">
        <v>3155</v>
      </c>
      <c r="G2545" s="26" t="s">
        <v>2087</v>
      </c>
      <c r="H2545" s="26" t="s">
        <v>2685</v>
      </c>
      <c r="I2545" s="54">
        <f>_xll.DBRW($A$1,$F$14,$F$15,$C2545,$A$2,$F2545,$G2545,$H2545,I$1)</f>
        <v>0</v>
      </c>
      <c r="J2545" s="25">
        <f>_xll.DBRW($A$1,$F$14,$F$15,$C2545,$A$2,$F2545,$G2545,$H2545,J$19)</f>
        <v>52</v>
      </c>
    </row>
    <row r="2546" spans="1:10" s="23" customFormat="1" outlineLevel="1" thickBot="1" x14ac:dyDescent="0.3">
      <c r="A2546" s="44"/>
      <c r="B2546" s="31" t="str">
        <f>IF(_xll.TM1RPTELISCONSOLIDATED($H$20,$H2546),IF(_xll.TM1RPTELLEV($H$20,$H2546)&lt;=5,_xll.TM1RPTELLEV($H$20,$H2546),"Default"),"Leaf")</f>
        <v>Leaf</v>
      </c>
      <c r="C2546" s="26" t="s">
        <v>23</v>
      </c>
      <c r="D2546" s="24" t="str">
        <f>_xll.DBRW("TM1-S1_DEV:}ElementAttributes_SP_SKU",$F2546,D$1)</f>
        <v>Primary</v>
      </c>
      <c r="E2546" s="24" t="str">
        <f>_xll.DBRW("TM1-S1_DEV:}ElementAttributes_SP_SKU",$F2546,E$1)</f>
        <v>DRESSING</v>
      </c>
      <c r="F2546" s="26" t="s">
        <v>3156</v>
      </c>
      <c r="G2546" s="26" t="s">
        <v>2088</v>
      </c>
      <c r="H2546" s="26" t="s">
        <v>2685</v>
      </c>
      <c r="I2546" s="54">
        <f>_xll.DBRW($A$1,$F$14,$F$15,$C2546,$A$2,$F2546,$G2546,$H2546,I$1)</f>
        <v>5</v>
      </c>
      <c r="J2546" s="25">
        <f>_xll.DBRW($A$1,$F$14,$F$15,$C2546,$A$2,$F2546,$G2546,$H2546,J$19)</f>
        <v>27</v>
      </c>
    </row>
    <row r="2547" spans="1:10" s="23" customFormat="1" outlineLevel="1" thickBot="1" x14ac:dyDescent="0.3">
      <c r="A2547" s="44"/>
      <c r="B2547" s="31" t="str">
        <f>IF(_xll.TM1RPTELISCONSOLIDATED($H$20,$H2547),IF(_xll.TM1RPTELLEV($H$20,$H2547)&lt;=5,_xll.TM1RPTELLEV($H$20,$H2547),"Default"),"Leaf")</f>
        <v>Leaf</v>
      </c>
      <c r="C2547" s="26" t="s">
        <v>23</v>
      </c>
      <c r="D2547" s="24" t="str">
        <f>_xll.DBRW("TM1-S1_DEV:}ElementAttributes_SP_SKU",$F2547,D$1)</f>
        <v>Primary</v>
      </c>
      <c r="E2547" s="24" t="str">
        <f>_xll.DBRW("TM1-S1_DEV:}ElementAttributes_SP_SKU",$F2547,E$1)</f>
        <v>DRESSING</v>
      </c>
      <c r="F2547" s="26" t="s">
        <v>3157</v>
      </c>
      <c r="G2547" s="26" t="s">
        <v>2089</v>
      </c>
      <c r="H2547" s="26" t="s">
        <v>2685</v>
      </c>
      <c r="I2547" s="54">
        <f>_xll.DBRW($A$1,$F$14,$F$15,$C2547,$A$2,$F2547,$G2547,$H2547,I$1)</f>
        <v>11</v>
      </c>
      <c r="J2547" s="25">
        <f>_xll.DBRW($A$1,$F$14,$F$15,$C2547,$A$2,$F2547,$G2547,$H2547,J$19)</f>
        <v>11</v>
      </c>
    </row>
    <row r="2548" spans="1:10" s="23" customFormat="1" outlineLevel="1" thickBot="1" x14ac:dyDescent="0.3">
      <c r="A2548" s="44"/>
      <c r="B2548" s="31" t="str">
        <f>IF(_xll.TM1RPTELISCONSOLIDATED($H$20,$H2548),IF(_xll.TM1RPTELLEV($H$20,$H2548)&lt;=5,_xll.TM1RPTELLEV($H$20,$H2548),"Default"),"Leaf")</f>
        <v>Leaf</v>
      </c>
      <c r="C2548" s="26" t="s">
        <v>23</v>
      </c>
      <c r="D2548" s="24" t="str">
        <f>_xll.DBRW("TM1-S1_DEV:}ElementAttributes_SP_SKU",$F2548,D$1)</f>
        <v>Primary</v>
      </c>
      <c r="E2548" s="24" t="str">
        <f>_xll.DBRW("TM1-S1_DEV:}ElementAttributes_SP_SKU",$F2548,E$1)</f>
        <v>INGREDIENT</v>
      </c>
      <c r="F2548" s="26" t="s">
        <v>3296</v>
      </c>
      <c r="G2548" s="26" t="s">
        <v>2090</v>
      </c>
      <c r="H2548" s="26" t="s">
        <v>2685</v>
      </c>
      <c r="I2548" s="54">
        <f>_xll.DBRW($A$1,$F$14,$F$15,$C2548,$A$2,$F2548,$G2548,$H2548,I$1)</f>
        <v>6</v>
      </c>
      <c r="J2548" s="25">
        <f>_xll.DBRW($A$1,$F$14,$F$15,$C2548,$A$2,$F2548,$G2548,$H2548,J$19)</f>
        <v>4</v>
      </c>
    </row>
    <row r="2549" spans="1:10" s="23" customFormat="1" outlineLevel="1" thickBot="1" x14ac:dyDescent="0.3">
      <c r="A2549" s="44"/>
      <c r="B2549" s="31" t="str">
        <f>IF(_xll.TM1RPTELISCONSOLIDATED($H$20,$H2549),IF(_xll.TM1RPTELLEV($H$20,$H2549)&lt;=5,_xll.TM1RPTELLEV($H$20,$H2549),"Default"),"Leaf")</f>
        <v>Leaf</v>
      </c>
      <c r="C2549" s="26" t="s">
        <v>23</v>
      </c>
      <c r="D2549" s="24" t="str">
        <f>_xll.DBRW("TM1-S1_DEV:}ElementAttributes_SP_SKU",$F2549,D$1)</f>
        <v>Primary</v>
      </c>
      <c r="E2549" s="24" t="str">
        <f>_xll.DBRW("TM1-S1_DEV:}ElementAttributes_SP_SKU",$F2549,E$1)</f>
        <v>DRESSING</v>
      </c>
      <c r="F2549" s="26" t="s">
        <v>3158</v>
      </c>
      <c r="G2549" s="26" t="s">
        <v>2091</v>
      </c>
      <c r="H2549" s="26" t="s">
        <v>2685</v>
      </c>
      <c r="I2549" s="54">
        <f>_xll.DBRW($A$1,$F$14,$F$15,$C2549,$A$2,$F2549,$G2549,$H2549,I$1)</f>
        <v>8</v>
      </c>
      <c r="J2549" s="25">
        <f>_xll.DBRW($A$1,$F$14,$F$15,$C2549,$A$2,$F2549,$G2549,$H2549,J$19)</f>
        <v>9</v>
      </c>
    </row>
    <row r="2550" spans="1:10" s="23" customFormat="1" outlineLevel="1" thickBot="1" x14ac:dyDescent="0.3">
      <c r="A2550" s="44"/>
      <c r="B2550" s="31" t="str">
        <f>IF(_xll.TM1RPTELISCONSOLIDATED($H$20,$H2550),IF(_xll.TM1RPTELLEV($H$20,$H2550)&lt;=5,_xll.TM1RPTELLEV($H$20,$H2550),"Default"),"Leaf")</f>
        <v>Leaf</v>
      </c>
      <c r="C2550" s="26" t="s">
        <v>23</v>
      </c>
      <c r="D2550" s="24" t="str">
        <f>_xll.DBRW("TM1-S1_DEV:}ElementAttributes_SP_SKU",$F2550,D$1)</f>
        <v>Primary</v>
      </c>
      <c r="E2550" s="24" t="str">
        <f>_xll.DBRW("TM1-S1_DEV:}ElementAttributes_SP_SKU",$F2550,E$1)</f>
        <v>DRESSING</v>
      </c>
      <c r="F2550" s="26" t="s">
        <v>3159</v>
      </c>
      <c r="G2550" s="26" t="s">
        <v>2092</v>
      </c>
      <c r="H2550" s="26" t="s">
        <v>2685</v>
      </c>
      <c r="I2550" s="54">
        <f>_xll.DBRW($A$1,$F$14,$F$15,$C2550,$A$2,$F2550,$G2550,$H2550,I$1)</f>
        <v>2</v>
      </c>
      <c r="J2550" s="25">
        <f>_xll.DBRW($A$1,$F$14,$F$15,$C2550,$A$2,$F2550,$G2550,$H2550,J$19)</f>
        <v>24</v>
      </c>
    </row>
    <row r="2551" spans="1:10" s="23" customFormat="1" outlineLevel="1" thickBot="1" x14ac:dyDescent="0.3">
      <c r="A2551" s="44"/>
      <c r="B2551" s="31" t="str">
        <f>IF(_xll.TM1RPTELISCONSOLIDATED($H$20,$H2551),IF(_xll.TM1RPTELLEV($H$20,$H2551)&lt;=5,_xll.TM1RPTELLEV($H$20,$H2551),"Default"),"Leaf")</f>
        <v>Leaf</v>
      </c>
      <c r="C2551" s="26" t="s">
        <v>23</v>
      </c>
      <c r="D2551" s="24" t="str">
        <f>_xll.DBRW("TM1-S1_DEV:}ElementAttributes_SP_SKU",$F2551,D$1)</f>
        <v>Primary</v>
      </c>
      <c r="E2551" s="24" t="str">
        <f>_xll.DBRW("TM1-S1_DEV:}ElementAttributes_SP_SKU",$F2551,E$1)</f>
        <v>DRESSING</v>
      </c>
      <c r="F2551" s="26" t="s">
        <v>3160</v>
      </c>
      <c r="G2551" s="26" t="s">
        <v>2093</v>
      </c>
      <c r="H2551" s="26" t="s">
        <v>2686</v>
      </c>
      <c r="I2551" s="54">
        <f>_xll.DBRW($A$1,$F$14,$F$15,$C2551,$A$2,$F2551,$G2551,$H2551,I$1)</f>
        <v>22</v>
      </c>
      <c r="J2551" s="25">
        <f>_xll.DBRW($A$1,$F$14,$F$15,$C2551,$A$2,$F2551,$G2551,$H2551,J$19)</f>
        <v>20</v>
      </c>
    </row>
    <row r="2552" spans="1:10" s="23" customFormat="1" outlineLevel="1" thickBot="1" x14ac:dyDescent="0.3">
      <c r="A2552" s="44"/>
      <c r="B2552" s="31" t="str">
        <f>IF(_xll.TM1RPTELISCONSOLIDATED($H$20,$H2552),IF(_xll.TM1RPTELLEV($H$20,$H2552)&lt;=5,_xll.TM1RPTELLEV($H$20,$H2552),"Default"),"Leaf")</f>
        <v>Leaf</v>
      </c>
      <c r="C2552" s="26" t="s">
        <v>23</v>
      </c>
      <c r="D2552" s="24" t="str">
        <f>_xll.DBRW("TM1-S1_DEV:}ElementAttributes_SP_SKU",$F2552,D$1)</f>
        <v>Primary</v>
      </c>
      <c r="E2552" s="24" t="str">
        <f>_xll.DBRW("TM1-S1_DEV:}ElementAttributes_SP_SKU",$F2552,E$1)</f>
        <v>DRESSING</v>
      </c>
      <c r="F2552" s="26" t="s">
        <v>3161</v>
      </c>
      <c r="G2552" s="26" t="s">
        <v>2094</v>
      </c>
      <c r="H2552" s="26" t="s">
        <v>2685</v>
      </c>
      <c r="I2552" s="54">
        <f>_xll.DBRW($A$1,$F$14,$F$15,$C2552,$A$2,$F2552,$G2552,$H2552,I$1)</f>
        <v>4</v>
      </c>
      <c r="J2552" s="25">
        <f>_xll.DBRW($A$1,$F$14,$F$15,$C2552,$A$2,$F2552,$G2552,$H2552,J$19)</f>
        <v>4</v>
      </c>
    </row>
    <row r="2553" spans="1:10" s="23" customFormat="1" outlineLevel="1" thickBot="1" x14ac:dyDescent="0.3">
      <c r="A2553" s="44"/>
      <c r="B2553" s="31" t="str">
        <f>IF(_xll.TM1RPTELISCONSOLIDATED($H$20,$H2553),IF(_xll.TM1RPTELLEV($H$20,$H2553)&lt;=5,_xll.TM1RPTELLEV($H$20,$H2553),"Default"),"Leaf")</f>
        <v>Leaf</v>
      </c>
      <c r="C2553" s="26" t="s">
        <v>23</v>
      </c>
      <c r="D2553" s="24" t="str">
        <f>_xll.DBRW("TM1-S1_DEV:}ElementAttributes_SP_SKU",$F2553,D$1)</f>
        <v>Primary</v>
      </c>
      <c r="E2553" s="24" t="str">
        <f>_xll.DBRW("TM1-S1_DEV:}ElementAttributes_SP_SKU",$F2553,E$1)</f>
        <v>INGREDIENT</v>
      </c>
      <c r="F2553" s="26" t="s">
        <v>3273</v>
      </c>
      <c r="G2553" s="26" t="s">
        <v>2095</v>
      </c>
      <c r="H2553" s="26" t="s">
        <v>2684</v>
      </c>
      <c r="I2553" s="54">
        <f>_xll.DBRW($A$1,$F$14,$F$15,$C2553,$A$2,$F2553,$G2553,$H2553,I$1)</f>
        <v>22</v>
      </c>
      <c r="J2553" s="25">
        <f>_xll.DBRW($A$1,$F$14,$F$15,$C2553,$A$2,$F2553,$G2553,$H2553,J$19)</f>
        <v>21</v>
      </c>
    </row>
    <row r="2554" spans="1:10" s="23" customFormat="1" outlineLevel="1" thickBot="1" x14ac:dyDescent="0.3">
      <c r="A2554" s="44"/>
      <c r="B2554" s="31" t="str">
        <f>IF(_xll.TM1RPTELISCONSOLIDATED($H$20,$H2554),IF(_xll.TM1RPTELLEV($H$20,$H2554)&lt;=5,_xll.TM1RPTELLEV($H$20,$H2554),"Default"),"Leaf")</f>
        <v>Leaf</v>
      </c>
      <c r="C2554" s="26" t="s">
        <v>23</v>
      </c>
      <c r="D2554" s="24" t="str">
        <f>_xll.DBRW("TM1-S1_DEV:}ElementAttributes_SP_SKU",$F2554,D$1)</f>
        <v>Primary</v>
      </c>
      <c r="E2554" s="24" t="str">
        <f>_xll.DBRW("TM1-S1_DEV:}ElementAttributes_SP_SKU",$F2554,E$1)</f>
        <v>CONDIMENT</v>
      </c>
      <c r="F2554" s="26" t="s">
        <v>3162</v>
      </c>
      <c r="G2554" s="26" t="s">
        <v>2096</v>
      </c>
      <c r="H2554" s="26" t="s">
        <v>2686</v>
      </c>
      <c r="I2554" s="54">
        <f>_xll.DBRW($A$1,$F$14,$F$15,$C2554,$A$2,$F2554,$G2554,$H2554,I$1)</f>
        <v>23</v>
      </c>
      <c r="J2554" s="25">
        <f>_xll.DBRW($A$1,$F$14,$F$15,$C2554,$A$2,$F2554,$G2554,$H2554,J$19)</f>
        <v>23</v>
      </c>
    </row>
    <row r="2555" spans="1:10" s="23" customFormat="1" outlineLevel="1" thickBot="1" x14ac:dyDescent="0.3">
      <c r="A2555" s="44"/>
      <c r="B2555" s="31" t="str">
        <f>IF(_xll.TM1RPTELISCONSOLIDATED($H$20,$H2555),IF(_xll.TM1RPTELLEV($H$20,$H2555)&lt;=5,_xll.TM1RPTELLEV($H$20,$H2555),"Default"),"Leaf")</f>
        <v>Leaf</v>
      </c>
      <c r="C2555" s="26" t="s">
        <v>23</v>
      </c>
      <c r="D2555" s="24" t="str">
        <f>_xll.DBRW("TM1-S1_DEV:}ElementAttributes_SP_SKU",$F2555,D$1)</f>
        <v>Primary</v>
      </c>
      <c r="E2555" s="24" t="str">
        <f>_xll.DBRW("TM1-S1_DEV:}ElementAttributes_SP_SKU",$F2555,E$1)</f>
        <v>BREAD</v>
      </c>
      <c r="F2555" s="26" t="s">
        <v>3163</v>
      </c>
      <c r="G2555" s="26" t="s">
        <v>2097</v>
      </c>
      <c r="H2555" s="26" t="s">
        <v>2687</v>
      </c>
      <c r="I2555" s="54">
        <f>_xll.DBRW($A$1,$F$14,$F$15,$C2555,$A$2,$F2555,$G2555,$H2555,I$1)</f>
        <v>195</v>
      </c>
      <c r="J2555" s="25">
        <f>_xll.DBRW($A$1,$F$14,$F$15,$C2555,$A$2,$F2555,$G2555,$H2555,J$19)</f>
        <v>246</v>
      </c>
    </row>
    <row r="2556" spans="1:10" s="23" customFormat="1" outlineLevel="1" thickBot="1" x14ac:dyDescent="0.3">
      <c r="A2556" s="44"/>
      <c r="B2556" s="31" t="str">
        <f>IF(_xll.TM1RPTELISCONSOLIDATED($H$20,$H2556),IF(_xll.TM1RPTELLEV($H$20,$H2556)&lt;=5,_xll.TM1RPTELLEV($H$20,$H2556),"Default"),"Leaf")</f>
        <v>Leaf</v>
      </c>
      <c r="C2556" s="26" t="s">
        <v>23</v>
      </c>
      <c r="D2556" s="24" t="str">
        <f>_xll.DBRW("TM1-S1_DEV:}ElementAttributes_SP_SKU",$F2556,D$1)</f>
        <v>Primary</v>
      </c>
      <c r="E2556" s="24" t="str">
        <f>_xll.DBRW("TM1-S1_DEV:}ElementAttributes_SP_SKU",$F2556,E$1)</f>
        <v>BREAD</v>
      </c>
      <c r="F2556" s="26" t="s">
        <v>3164</v>
      </c>
      <c r="G2556" s="26" t="s">
        <v>2098</v>
      </c>
      <c r="H2556" s="26" t="s">
        <v>2687</v>
      </c>
      <c r="I2556" s="54">
        <f>_xll.DBRW($A$1,$F$14,$F$15,$C2556,$A$2,$F2556,$G2556,$H2556,I$1)</f>
        <v>231</v>
      </c>
      <c r="J2556" s="25">
        <f>_xll.DBRW($A$1,$F$14,$F$15,$C2556,$A$2,$F2556,$G2556,$H2556,J$19)</f>
        <v>250</v>
      </c>
    </row>
    <row r="2557" spans="1:10" s="23" customFormat="1" outlineLevel="1" thickBot="1" x14ac:dyDescent="0.3">
      <c r="A2557" s="44"/>
      <c r="B2557" s="31" t="str">
        <f>IF(_xll.TM1RPTELISCONSOLIDATED($H$20,$H2557),IF(_xll.TM1RPTELLEV($H$20,$H2557)&lt;=5,_xll.TM1RPTELLEV($H$20,$H2557),"Default"),"Leaf")</f>
        <v>Leaf</v>
      </c>
      <c r="C2557" s="26" t="s">
        <v>23</v>
      </c>
      <c r="D2557" s="24" t="str">
        <f>_xll.DBRW("TM1-S1_DEV:}ElementAttributes_SP_SKU",$F2557,D$1)</f>
        <v>Primary</v>
      </c>
      <c r="E2557" s="24" t="str">
        <f>_xll.DBRW("TM1-S1_DEV:}ElementAttributes_SP_SKU",$F2557,E$1)</f>
        <v>BREAD</v>
      </c>
      <c r="F2557" s="26" t="s">
        <v>3165</v>
      </c>
      <c r="G2557" s="26" t="s">
        <v>2099</v>
      </c>
      <c r="H2557" s="26" t="s">
        <v>2688</v>
      </c>
      <c r="I2557" s="54">
        <f>_xll.DBRW($A$1,$F$14,$F$15,$C2557,$A$2,$F2557,$G2557,$H2557,I$1)</f>
        <v>139</v>
      </c>
      <c r="J2557" s="25">
        <f>_xll.DBRW($A$1,$F$14,$F$15,$C2557,$A$2,$F2557,$G2557,$H2557,J$19)</f>
        <v>68</v>
      </c>
    </row>
    <row r="2558" spans="1:10" s="23" customFormat="1" outlineLevel="1" thickBot="1" x14ac:dyDescent="0.3">
      <c r="A2558" s="44"/>
      <c r="B2558" s="31" t="str">
        <f>IF(_xll.TM1RPTELISCONSOLIDATED($H$20,$H2558),IF(_xll.TM1RPTELLEV($H$20,$H2558)&lt;=5,_xll.TM1RPTELLEV($H$20,$H2558),"Default"),"Leaf")</f>
        <v>Leaf</v>
      </c>
      <c r="C2558" s="26" t="s">
        <v>23</v>
      </c>
      <c r="D2558" s="24" t="str">
        <f>_xll.DBRW("TM1-S1_DEV:}ElementAttributes_SP_SKU",$F2558,D$1)</f>
        <v>Primary</v>
      </c>
      <c r="E2558" s="24" t="str">
        <f>_xll.DBRW("TM1-S1_DEV:}ElementAttributes_SP_SKU",$F2558,E$1)</f>
        <v>BREAD</v>
      </c>
      <c r="F2558" s="26" t="s">
        <v>3166</v>
      </c>
      <c r="G2558" s="26" t="s">
        <v>2100</v>
      </c>
      <c r="H2558" s="26" t="s">
        <v>2689</v>
      </c>
      <c r="I2558" s="54">
        <f>_xll.DBRW($A$1,$F$14,$F$15,$C2558,$A$2,$F2558,$G2558,$H2558,I$1)</f>
        <v>213</v>
      </c>
      <c r="J2558" s="25">
        <f>_xll.DBRW($A$1,$F$14,$F$15,$C2558,$A$2,$F2558,$G2558,$H2558,J$19)</f>
        <v>259</v>
      </c>
    </row>
    <row r="2559" spans="1:10" s="23" customFormat="1" outlineLevel="1" thickBot="1" x14ac:dyDescent="0.3">
      <c r="A2559" s="44"/>
      <c r="B2559" s="31" t="str">
        <f>IF(_xll.TM1RPTELISCONSOLIDATED($H$20,$H2559),IF(_xll.TM1RPTELLEV($H$20,$H2559)&lt;=5,_xll.TM1RPTELLEV($H$20,$H2559),"Default"),"Leaf")</f>
        <v>Leaf</v>
      </c>
      <c r="C2559" s="26" t="s">
        <v>23</v>
      </c>
      <c r="D2559" s="24" t="str">
        <f>_xll.DBRW("TM1-S1_DEV:}ElementAttributes_SP_SKU",$F2559,D$1)</f>
        <v>Primary</v>
      </c>
      <c r="E2559" s="24" t="str">
        <f>_xll.DBRW("TM1-S1_DEV:}ElementAttributes_SP_SKU",$F2559,E$1)</f>
        <v>BREAD</v>
      </c>
      <c r="F2559" s="26" t="s">
        <v>3167</v>
      </c>
      <c r="G2559" s="26" t="s">
        <v>2101</v>
      </c>
      <c r="H2559" s="26" t="s">
        <v>2688</v>
      </c>
      <c r="I2559" s="54">
        <f>_xll.DBRW($A$1,$F$14,$F$15,$C2559,$A$2,$F2559,$G2559,$H2559,I$1)</f>
        <v>58</v>
      </c>
      <c r="J2559" s="25">
        <f>_xll.DBRW($A$1,$F$14,$F$15,$C2559,$A$2,$F2559,$G2559,$H2559,J$19)</f>
        <v>77</v>
      </c>
    </row>
    <row r="2560" spans="1:10" s="23" customFormat="1" outlineLevel="1" thickBot="1" x14ac:dyDescent="0.3">
      <c r="A2560" s="44"/>
      <c r="B2560" s="31" t="str">
        <f>IF(_xll.TM1RPTELISCONSOLIDATED($H$20,$H2560),IF(_xll.TM1RPTELLEV($H$20,$H2560)&lt;=5,_xll.TM1RPTELLEV($H$20,$H2560),"Default"),"Leaf")</f>
        <v>Leaf</v>
      </c>
      <c r="C2560" s="26" t="s">
        <v>23</v>
      </c>
      <c r="D2560" s="24" t="str">
        <f>_xll.DBRW("TM1-S1_DEV:}ElementAttributes_SP_SKU",$F2560,D$1)</f>
        <v>Primary</v>
      </c>
      <c r="E2560" s="24" t="str">
        <f>_xll.DBRW("TM1-S1_DEV:}ElementAttributes_SP_SKU",$F2560,E$1)</f>
        <v>BREAD</v>
      </c>
      <c r="F2560" s="26" t="s">
        <v>3168</v>
      </c>
      <c r="G2560" s="26" t="s">
        <v>2102</v>
      </c>
      <c r="H2560" s="26" t="s">
        <v>2688</v>
      </c>
      <c r="I2560" s="54">
        <f>_xll.DBRW($A$1,$F$14,$F$15,$C2560,$A$2,$F2560,$G2560,$H2560,I$1)</f>
        <v>40</v>
      </c>
      <c r="J2560" s="25">
        <f>_xll.DBRW($A$1,$F$14,$F$15,$C2560,$A$2,$F2560,$G2560,$H2560,J$19)</f>
        <v>37</v>
      </c>
    </row>
    <row r="2561" spans="1:10" s="23" customFormat="1" outlineLevel="1" thickBot="1" x14ac:dyDescent="0.3">
      <c r="A2561" s="44"/>
      <c r="B2561" s="31" t="str">
        <f>IF(_xll.TM1RPTELISCONSOLIDATED($H$20,$H2561),IF(_xll.TM1RPTELLEV($H$20,$H2561)&lt;=5,_xll.TM1RPTELLEV($H$20,$H2561),"Default"),"Leaf")</f>
        <v>Leaf</v>
      </c>
      <c r="C2561" s="26" t="s">
        <v>23</v>
      </c>
      <c r="D2561" s="24" t="str">
        <f>_xll.DBRW("TM1-S1_DEV:}ElementAttributes_SP_SKU",$F2561,D$1)</f>
        <v>Primary</v>
      </c>
      <c r="E2561" s="24" t="str">
        <f>_xll.DBRW("TM1-S1_DEV:}ElementAttributes_SP_SKU",$F2561,E$1)</f>
        <v>BREAD</v>
      </c>
      <c r="F2561" s="26" t="s">
        <v>3169</v>
      </c>
      <c r="G2561" s="26" t="s">
        <v>2103</v>
      </c>
      <c r="H2561" s="26" t="s">
        <v>2690</v>
      </c>
      <c r="I2561" s="54">
        <f>_xll.DBRW($A$1,$F$14,$F$15,$C2561,$A$2,$F2561,$G2561,$H2561,I$1)</f>
        <v>282</v>
      </c>
      <c r="J2561" s="25">
        <f>_xll.DBRW($A$1,$F$14,$F$15,$C2561,$A$2,$F2561,$G2561,$H2561,J$19)</f>
        <v>237</v>
      </c>
    </row>
    <row r="2562" spans="1:10" s="23" customFormat="1" outlineLevel="1" thickBot="1" x14ac:dyDescent="0.3">
      <c r="A2562" s="44"/>
      <c r="B2562" s="31" t="str">
        <f>IF(_xll.TM1RPTELISCONSOLIDATED($H$20,$H2562),IF(_xll.TM1RPTELLEV($H$20,$H2562)&lt;=5,_xll.TM1RPTELLEV($H$20,$H2562),"Default"),"Leaf")</f>
        <v>Leaf</v>
      </c>
      <c r="C2562" s="26" t="s">
        <v>23</v>
      </c>
      <c r="D2562" s="24" t="str">
        <f>_xll.DBRW("TM1-S1_DEV:}ElementAttributes_SP_SKU",$F2562,D$1)</f>
        <v>Primary</v>
      </c>
      <c r="E2562" s="24" t="str">
        <f>_xll.DBRW("TM1-S1_DEV:}ElementAttributes_SP_SKU",$F2562,E$1)</f>
        <v>BREAD</v>
      </c>
      <c r="F2562" s="26" t="s">
        <v>3170</v>
      </c>
      <c r="G2562" s="26" t="s">
        <v>2104</v>
      </c>
      <c r="H2562" s="26" t="s">
        <v>2690</v>
      </c>
      <c r="I2562" s="54">
        <f>_xll.DBRW($A$1,$F$14,$F$15,$C2562,$A$2,$F2562,$G2562,$H2562,I$1)</f>
        <v>3</v>
      </c>
      <c r="J2562" s="25">
        <f>_xll.DBRW($A$1,$F$14,$F$15,$C2562,$A$2,$F2562,$G2562,$H2562,J$19)</f>
        <v>1</v>
      </c>
    </row>
    <row r="2563" spans="1:10" s="23" customFormat="1" outlineLevel="1" thickBot="1" x14ac:dyDescent="0.3">
      <c r="A2563" s="44"/>
      <c r="B2563" s="31" t="str">
        <f>IF(_xll.TM1RPTELISCONSOLIDATED($H$20,$H2563),IF(_xll.TM1RPTELLEV($H$20,$H2563)&lt;=5,_xll.TM1RPTELLEV($H$20,$H2563),"Default"),"Leaf")</f>
        <v>Leaf</v>
      </c>
      <c r="C2563" s="26" t="s">
        <v>23</v>
      </c>
      <c r="D2563" s="24" t="str">
        <f>_xll.DBRW("TM1-S1_DEV:}ElementAttributes_SP_SKU",$F2563,D$1)</f>
        <v>Primary</v>
      </c>
      <c r="E2563" s="24" t="str">
        <f>_xll.DBRW("TM1-S1_DEV:}ElementAttributes_SP_SKU",$F2563,E$1)</f>
        <v>BREAD</v>
      </c>
      <c r="F2563" s="26" t="s">
        <v>3171</v>
      </c>
      <c r="G2563" s="26" t="s">
        <v>2105</v>
      </c>
      <c r="H2563" s="26" t="s">
        <v>2690</v>
      </c>
      <c r="I2563" s="54">
        <f>_xll.DBRW($A$1,$F$14,$F$15,$C2563,$A$2,$F2563,$G2563,$H2563,I$1)</f>
        <v>6</v>
      </c>
      <c r="J2563" s="25">
        <f>_xll.DBRW($A$1,$F$14,$F$15,$C2563,$A$2,$F2563,$G2563,$H2563,J$19)</f>
        <v>4</v>
      </c>
    </row>
    <row r="2564" spans="1:10" s="23" customFormat="1" outlineLevel="1" thickBot="1" x14ac:dyDescent="0.3">
      <c r="A2564" s="44"/>
      <c r="B2564" s="31" t="str">
        <f>IF(_xll.TM1RPTELISCONSOLIDATED($H$20,$H2564),IF(_xll.TM1RPTELLEV($H$20,$H2564)&lt;=5,_xll.TM1RPTELLEV($H$20,$H2564),"Default"),"Leaf")</f>
        <v>Leaf</v>
      </c>
      <c r="C2564" s="26" t="s">
        <v>23</v>
      </c>
      <c r="D2564" s="24" t="str">
        <f>_xll.DBRW("TM1-S1_DEV:}ElementAttributes_SP_SKU",$F2564,D$1)</f>
        <v>Primary</v>
      </c>
      <c r="E2564" s="24" t="str">
        <f>_xll.DBRW("TM1-S1_DEV:}ElementAttributes_SP_SKU",$F2564,E$1)</f>
        <v>BREAD</v>
      </c>
      <c r="F2564" s="26" t="s">
        <v>3172</v>
      </c>
      <c r="G2564" s="26" t="s">
        <v>2106</v>
      </c>
      <c r="H2564" s="26" t="s">
        <v>2690</v>
      </c>
      <c r="I2564" s="54">
        <f>_xll.DBRW($A$1,$F$14,$F$15,$C2564,$A$2,$F2564,$G2564,$H2564,I$1)</f>
        <v>4</v>
      </c>
      <c r="J2564" s="25">
        <f>_xll.DBRW($A$1,$F$14,$F$15,$C2564,$A$2,$F2564,$G2564,$H2564,J$19)</f>
        <v>1</v>
      </c>
    </row>
    <row r="2565" spans="1:10" s="23" customFormat="1" outlineLevel="1" thickBot="1" x14ac:dyDescent="0.3">
      <c r="A2565" s="44"/>
      <c r="B2565" s="31" t="str">
        <f>IF(_xll.TM1RPTELISCONSOLIDATED($H$20,$H2565),IF(_xll.TM1RPTELLEV($H$20,$H2565)&lt;=5,_xll.TM1RPTELLEV($H$20,$H2565),"Default"),"Leaf")</f>
        <v>Leaf</v>
      </c>
      <c r="C2565" s="26" t="s">
        <v>23</v>
      </c>
      <c r="D2565" s="24" t="str">
        <f>_xll.DBRW("TM1-S1_DEV:}ElementAttributes_SP_SKU",$F2565,D$1)</f>
        <v>Primary</v>
      </c>
      <c r="E2565" s="24" t="str">
        <f>_xll.DBRW("TM1-S1_DEV:}ElementAttributes_SP_SKU",$F2565,E$1)</f>
        <v>BREAD</v>
      </c>
      <c r="F2565" s="26" t="s">
        <v>3252</v>
      </c>
      <c r="G2565" s="26" t="s">
        <v>2107</v>
      </c>
      <c r="H2565" s="26" t="s">
        <v>2691</v>
      </c>
      <c r="I2565" s="54">
        <f>_xll.DBRW($A$1,$F$14,$F$15,$C2565,$A$2,$F2565,$G2565,$H2565,I$1)</f>
        <v>10</v>
      </c>
      <c r="J2565" s="25">
        <f>_xll.DBRW($A$1,$F$14,$F$15,$C2565,$A$2,$F2565,$G2565,$H2565,J$19)</f>
        <v>7</v>
      </c>
    </row>
    <row r="2566" spans="1:10" s="23" customFormat="1" outlineLevel="1" thickBot="1" x14ac:dyDescent="0.3">
      <c r="A2566" s="44"/>
      <c r="B2566" s="31" t="str">
        <f>IF(_xll.TM1RPTELISCONSOLIDATED($H$20,$H2566),IF(_xll.TM1RPTELLEV($H$20,$H2566)&lt;=5,_xll.TM1RPTELLEV($H$20,$H2566),"Default"),"Leaf")</f>
        <v>Leaf</v>
      </c>
      <c r="C2566" s="26" t="s">
        <v>23</v>
      </c>
      <c r="D2566" s="24" t="str">
        <f>_xll.DBRW("TM1-S1_DEV:}ElementAttributes_SP_SKU",$F2566,D$1)</f>
        <v>Primary</v>
      </c>
      <c r="E2566" s="24" t="str">
        <f>_xll.DBRW("TM1-S1_DEV:}ElementAttributes_SP_SKU",$F2566,E$1)</f>
        <v>CHEESE</v>
      </c>
      <c r="F2566" s="26" t="s">
        <v>3173</v>
      </c>
      <c r="G2566" s="26" t="s">
        <v>2108</v>
      </c>
      <c r="H2566" s="26" t="s">
        <v>2692</v>
      </c>
      <c r="I2566" s="54">
        <f>_xll.DBRW($A$1,$F$14,$F$15,$C2566,$A$2,$F2566,$G2566,$H2566,I$1)</f>
        <v>140</v>
      </c>
      <c r="J2566" s="25">
        <f>_xll.DBRW($A$1,$F$14,$F$15,$C2566,$A$2,$F2566,$G2566,$H2566,J$19)</f>
        <v>105</v>
      </c>
    </row>
    <row r="2567" spans="1:10" s="23" customFormat="1" outlineLevel="1" thickBot="1" x14ac:dyDescent="0.3">
      <c r="A2567" s="44"/>
      <c r="B2567" s="31" t="str">
        <f>IF(_xll.TM1RPTELISCONSOLIDATED($H$20,$H2567),IF(_xll.TM1RPTELLEV($H$20,$H2567)&lt;=5,_xll.TM1RPTELLEV($H$20,$H2567),"Default"),"Leaf")</f>
        <v>Leaf</v>
      </c>
      <c r="C2567" s="26" t="s">
        <v>23</v>
      </c>
      <c r="D2567" s="24" t="str">
        <f>_xll.DBRW("TM1-S1_DEV:}ElementAttributes_SP_SKU",$F2567,D$1)</f>
        <v>Primary</v>
      </c>
      <c r="E2567" s="24" t="str">
        <f>_xll.DBRW("TM1-S1_DEV:}ElementAttributes_SP_SKU",$F2567,E$1)</f>
        <v>CONDIMENT</v>
      </c>
      <c r="F2567" s="26" t="s">
        <v>3174</v>
      </c>
      <c r="G2567" s="26" t="s">
        <v>2109</v>
      </c>
      <c r="H2567" s="26" t="s">
        <v>2684</v>
      </c>
      <c r="I2567" s="54">
        <f>_xll.DBRW($A$1,$F$14,$F$15,$C2567,$A$2,$F2567,$G2567,$H2567,I$1)</f>
        <v>16</v>
      </c>
      <c r="J2567" s="25">
        <f>_xll.DBRW($A$1,$F$14,$F$15,$C2567,$A$2,$F2567,$G2567,$H2567,J$19)</f>
        <v>128</v>
      </c>
    </row>
    <row r="2568" spans="1:10" s="23" customFormat="1" outlineLevel="1" thickBot="1" x14ac:dyDescent="0.3">
      <c r="A2568" s="44"/>
      <c r="B2568" s="31" t="str">
        <f>IF(_xll.TM1RPTELISCONSOLIDATED($H$20,$H2568),IF(_xll.TM1RPTELLEV($H$20,$H2568)&lt;=5,_xll.TM1RPTELLEV($H$20,$H2568),"Default"),"Leaf")</f>
        <v>Leaf</v>
      </c>
      <c r="C2568" s="26" t="s">
        <v>23</v>
      </c>
      <c r="D2568" s="24" t="str">
        <f>_xll.DBRW("TM1-S1_DEV:}ElementAttributes_SP_SKU",$F2568,D$1)</f>
        <v>Primary</v>
      </c>
      <c r="E2568" s="24" t="str">
        <f>_xll.DBRW("TM1-S1_DEV:}ElementAttributes_SP_SKU",$F2568,E$1)</f>
        <v>CHEESE</v>
      </c>
      <c r="F2568" s="26" t="s">
        <v>3175</v>
      </c>
      <c r="G2568" s="26" t="s">
        <v>2110</v>
      </c>
      <c r="H2568" s="26" t="s">
        <v>2692</v>
      </c>
      <c r="I2568" s="54">
        <f>_xll.DBRW($A$1,$F$14,$F$15,$C2568,$A$2,$F2568,$G2568,$H2568,I$1)</f>
        <v>159</v>
      </c>
      <c r="J2568" s="25">
        <f>_xll.DBRW($A$1,$F$14,$F$15,$C2568,$A$2,$F2568,$G2568,$H2568,J$19)</f>
        <v>133</v>
      </c>
    </row>
    <row r="2569" spans="1:10" s="23" customFormat="1" outlineLevel="1" thickBot="1" x14ac:dyDescent="0.3">
      <c r="A2569" s="44"/>
      <c r="B2569" s="31" t="str">
        <f>IF(_xll.TM1RPTELISCONSOLIDATED($H$20,$H2569),IF(_xll.TM1RPTELLEV($H$20,$H2569)&lt;=5,_xll.TM1RPTELLEV($H$20,$H2569),"Default"),"Leaf")</f>
        <v>Leaf</v>
      </c>
      <c r="C2569" s="26" t="s">
        <v>23</v>
      </c>
      <c r="D2569" s="24" t="str">
        <f>_xll.DBRW("TM1-S1_DEV:}ElementAttributes_SP_SKU",$F2569,D$1)</f>
        <v>Primary</v>
      </c>
      <c r="E2569" s="24" t="str">
        <f>_xll.DBRW("TM1-S1_DEV:}ElementAttributes_SP_SKU",$F2569,E$1)</f>
        <v>CONDIMENT</v>
      </c>
      <c r="F2569" s="26" t="s">
        <v>3176</v>
      </c>
      <c r="G2569" s="26" t="s">
        <v>2111</v>
      </c>
      <c r="H2569" s="26" t="s">
        <v>2684</v>
      </c>
      <c r="I2569" s="54">
        <f>_xll.DBRW($A$1,$F$14,$F$15,$C2569,$A$2,$F2569,$G2569,$H2569,I$1)</f>
        <v>19</v>
      </c>
      <c r="J2569" s="25">
        <f>_xll.DBRW($A$1,$F$14,$F$15,$C2569,$A$2,$F2569,$G2569,$H2569,J$19)</f>
        <v>14</v>
      </c>
    </row>
    <row r="2570" spans="1:10" s="23" customFormat="1" outlineLevel="1" thickBot="1" x14ac:dyDescent="0.3">
      <c r="A2570" s="44"/>
      <c r="B2570" s="31" t="str">
        <f>IF(_xll.TM1RPTELISCONSOLIDATED($H$20,$H2570),IF(_xll.TM1RPTELLEV($H$20,$H2570)&lt;=5,_xll.TM1RPTELLEV($H$20,$H2570),"Default"),"Leaf")</f>
        <v>Leaf</v>
      </c>
      <c r="C2570" s="26" t="s">
        <v>23</v>
      </c>
      <c r="D2570" s="24" t="str">
        <f>_xll.DBRW("TM1-S1_DEV:}ElementAttributes_SP_SKU",$F2570,D$1)</f>
        <v>Primary</v>
      </c>
      <c r="E2570" s="24" t="str">
        <f>_xll.DBRW("TM1-S1_DEV:}ElementAttributes_SP_SKU",$F2570,E$1)</f>
        <v>CONDIMENT</v>
      </c>
      <c r="F2570" s="26" t="s">
        <v>3253</v>
      </c>
      <c r="G2570" s="26" t="s">
        <v>2112</v>
      </c>
      <c r="H2570" s="26" t="s">
        <v>2686</v>
      </c>
      <c r="I2570" s="54">
        <f>_xll.DBRW($A$1,$F$14,$F$15,$C2570,$A$2,$F2570,$G2570,$H2570,I$1)</f>
        <v>23</v>
      </c>
      <c r="J2570" s="25">
        <f>_xll.DBRW($A$1,$F$14,$F$15,$C2570,$A$2,$F2570,$G2570,$H2570,J$19)</f>
        <v>43</v>
      </c>
    </row>
    <row r="2571" spans="1:10" s="23" customFormat="1" outlineLevel="1" thickBot="1" x14ac:dyDescent="0.3">
      <c r="A2571" s="44"/>
      <c r="B2571" s="31" t="str">
        <f>IF(_xll.TM1RPTELISCONSOLIDATED($H$20,$H2571),IF(_xll.TM1RPTELLEV($H$20,$H2571)&lt;=5,_xll.TM1RPTELLEV($H$20,$H2571),"Default"),"Leaf")</f>
        <v>Leaf</v>
      </c>
      <c r="C2571" s="26" t="s">
        <v>23</v>
      </c>
      <c r="D2571" s="24" t="str">
        <f>_xll.DBRW("TM1-S1_DEV:}ElementAttributes_SP_SKU",$F2571,D$1)</f>
        <v>Primary</v>
      </c>
      <c r="E2571" s="24" t="str">
        <f>_xll.DBRW("TM1-S1_DEV:}ElementAttributes_SP_SKU",$F2571,E$1)</f>
        <v>INGREDIENT</v>
      </c>
      <c r="F2571" s="26" t="s">
        <v>3177</v>
      </c>
      <c r="G2571" s="26" t="s">
        <v>2113</v>
      </c>
      <c r="H2571" s="26" t="s">
        <v>2686</v>
      </c>
      <c r="I2571" s="54">
        <f>_xll.DBRW($A$1,$F$14,$F$15,$C2571,$A$2,$F2571,$G2571,$H2571,I$1)</f>
        <v>20</v>
      </c>
      <c r="J2571" s="25">
        <f>_xll.DBRW($A$1,$F$14,$F$15,$C2571,$A$2,$F2571,$G2571,$H2571,J$19)</f>
        <v>14</v>
      </c>
    </row>
    <row r="2572" spans="1:10" s="23" customFormat="1" outlineLevel="1" thickBot="1" x14ac:dyDescent="0.3">
      <c r="A2572" s="44"/>
      <c r="B2572" s="31" t="str">
        <f>IF(_xll.TM1RPTELISCONSOLIDATED($H$20,$H2572),IF(_xll.TM1RPTELLEV($H$20,$H2572)&lt;=5,_xll.TM1RPTELLEV($H$20,$H2572),"Default"),"Leaf")</f>
        <v>Leaf</v>
      </c>
      <c r="C2572" s="26" t="s">
        <v>23</v>
      </c>
      <c r="D2572" s="24" t="str">
        <f>_xll.DBRW("TM1-S1_DEV:}ElementAttributes_SP_SKU",$F2572,D$1)</f>
        <v>Primary</v>
      </c>
      <c r="E2572" s="24" t="str">
        <f>_xll.DBRW("TM1-S1_DEV:}ElementAttributes_SP_SKU",$F2572,E$1)</f>
        <v>CONDIMENT</v>
      </c>
      <c r="F2572" s="26" t="s">
        <v>3178</v>
      </c>
      <c r="G2572" s="26" t="s">
        <v>2114</v>
      </c>
      <c r="H2572" s="26" t="s">
        <v>2684</v>
      </c>
      <c r="I2572" s="54">
        <f>_xll.DBRW($A$1,$F$14,$F$15,$C2572,$A$2,$F2572,$G2572,$H2572,I$1)</f>
        <v>6</v>
      </c>
      <c r="J2572" s="25">
        <f>_xll.DBRW($A$1,$F$14,$F$15,$C2572,$A$2,$F2572,$G2572,$H2572,J$19)</f>
        <v>3</v>
      </c>
    </row>
    <row r="2573" spans="1:10" s="23" customFormat="1" outlineLevel="1" thickBot="1" x14ac:dyDescent="0.3">
      <c r="A2573" s="44"/>
      <c r="B2573" s="31" t="str">
        <f>IF(_xll.TM1RPTELISCONSOLIDATED($H$20,$H2573),IF(_xll.TM1RPTELLEV($H$20,$H2573)&lt;=5,_xll.TM1RPTELLEV($H$20,$H2573),"Default"),"Leaf")</f>
        <v>Leaf</v>
      </c>
      <c r="C2573" s="26" t="s">
        <v>23</v>
      </c>
      <c r="D2573" s="24" t="str">
        <f>_xll.DBRW("TM1-S1_DEV:}ElementAttributes_SP_SKU",$F2573,D$1)</f>
        <v>Primary</v>
      </c>
      <c r="E2573" s="24" t="str">
        <f>_xll.DBRW("TM1-S1_DEV:}ElementAttributes_SP_SKU",$F2573,E$1)</f>
        <v>CONDIMENT</v>
      </c>
      <c r="F2573" s="26" t="s">
        <v>3179</v>
      </c>
      <c r="G2573" s="26" t="s">
        <v>2115</v>
      </c>
      <c r="H2573" s="26" t="s">
        <v>2684</v>
      </c>
      <c r="I2573" s="54">
        <f>_xll.DBRW($A$1,$F$14,$F$15,$C2573,$A$2,$F2573,$G2573,$H2573,I$1)</f>
        <v>16</v>
      </c>
      <c r="J2573" s="25">
        <f>_xll.DBRW($A$1,$F$14,$F$15,$C2573,$A$2,$F2573,$G2573,$H2573,J$19)</f>
        <v>22</v>
      </c>
    </row>
    <row r="2574" spans="1:10" s="23" customFormat="1" outlineLevel="1" thickBot="1" x14ac:dyDescent="0.3">
      <c r="A2574" s="44"/>
      <c r="B2574" s="31" t="str">
        <f>IF(_xll.TM1RPTELISCONSOLIDATED($H$20,$H2574),IF(_xll.TM1RPTELLEV($H$20,$H2574)&lt;=5,_xll.TM1RPTELLEV($H$20,$H2574),"Default"),"Leaf")</f>
        <v>Leaf</v>
      </c>
      <c r="C2574" s="26" t="s">
        <v>23</v>
      </c>
      <c r="D2574" s="24" t="str">
        <f>_xll.DBRW("TM1-S1_DEV:}ElementAttributes_SP_SKU",$F2574,D$1)</f>
        <v>Primary</v>
      </c>
      <c r="E2574" s="24" t="str">
        <f>_xll.DBRW("TM1-S1_DEV:}ElementAttributes_SP_SKU",$F2574,E$1)</f>
        <v>COOKIE</v>
      </c>
      <c r="F2574" s="26" t="s">
        <v>3180</v>
      </c>
      <c r="G2574" s="26" t="s">
        <v>2116</v>
      </c>
      <c r="H2574" s="26" t="s">
        <v>2691</v>
      </c>
      <c r="I2574" s="54">
        <f>_xll.DBRW($A$1,$F$14,$F$15,$C2574,$A$2,$F2574,$G2574,$H2574,I$1)</f>
        <v>180</v>
      </c>
      <c r="J2574" s="25">
        <f>_xll.DBRW($A$1,$F$14,$F$15,$C2574,$A$2,$F2574,$G2574,$H2574,J$19)</f>
        <v>190</v>
      </c>
    </row>
    <row r="2575" spans="1:10" s="23" customFormat="1" outlineLevel="1" thickBot="1" x14ac:dyDescent="0.3">
      <c r="A2575" s="44"/>
      <c r="B2575" s="31" t="str">
        <f>IF(_xll.TM1RPTELISCONSOLIDATED($H$20,$H2575),IF(_xll.TM1RPTELLEV($H$20,$H2575)&lt;=5,_xll.TM1RPTELLEV($H$20,$H2575),"Default"),"Leaf")</f>
        <v>Leaf</v>
      </c>
      <c r="C2575" s="26" t="s">
        <v>23</v>
      </c>
      <c r="D2575" s="24" t="str">
        <f>_xll.DBRW("TM1-S1_DEV:}ElementAttributes_SP_SKU",$F2575,D$1)</f>
        <v>Primary</v>
      </c>
      <c r="E2575" s="24" t="str">
        <f>_xll.DBRW("TM1-S1_DEV:}ElementAttributes_SP_SKU",$F2575,E$1)</f>
        <v>COOKIE</v>
      </c>
      <c r="F2575" s="26" t="s">
        <v>3181</v>
      </c>
      <c r="G2575" s="26" t="s">
        <v>2117</v>
      </c>
      <c r="H2575" s="26" t="s">
        <v>2691</v>
      </c>
      <c r="I2575" s="54">
        <f>_xll.DBRW($A$1,$F$14,$F$15,$C2575,$A$2,$F2575,$G2575,$H2575,I$1)</f>
        <v>159</v>
      </c>
      <c r="J2575" s="25">
        <f>_xll.DBRW($A$1,$F$14,$F$15,$C2575,$A$2,$F2575,$G2575,$H2575,J$19)</f>
        <v>185</v>
      </c>
    </row>
    <row r="2576" spans="1:10" s="23" customFormat="1" outlineLevel="1" thickBot="1" x14ac:dyDescent="0.3">
      <c r="A2576" s="44"/>
      <c r="B2576" s="31" t="str">
        <f>IF(_xll.TM1RPTELISCONSOLIDATED($H$20,$H2576),IF(_xll.TM1RPTELLEV($H$20,$H2576)&lt;=5,_xll.TM1RPTELLEV($H$20,$H2576),"Default"),"Leaf")</f>
        <v>Leaf</v>
      </c>
      <c r="C2576" s="26" t="s">
        <v>23</v>
      </c>
      <c r="D2576" s="24" t="str">
        <f>_xll.DBRW("TM1-S1_DEV:}ElementAttributes_SP_SKU",$F2576,D$1)</f>
        <v>Primary</v>
      </c>
      <c r="E2576" s="24" t="str">
        <f>_xll.DBRW("TM1-S1_DEV:}ElementAttributes_SP_SKU",$F2576,E$1)</f>
        <v>COOKIE</v>
      </c>
      <c r="F2576" s="26" t="s">
        <v>3182</v>
      </c>
      <c r="G2576" s="26" t="s">
        <v>2118</v>
      </c>
      <c r="H2576" s="26" t="s">
        <v>2691</v>
      </c>
      <c r="I2576" s="54">
        <f>_xll.DBRW($A$1,$F$14,$F$15,$C2576,$A$2,$F2576,$G2576,$H2576,I$1)</f>
        <v>166</v>
      </c>
      <c r="J2576" s="25">
        <f>_xll.DBRW($A$1,$F$14,$F$15,$C2576,$A$2,$F2576,$G2576,$H2576,J$19)</f>
        <v>188</v>
      </c>
    </row>
    <row r="2577" spans="1:10" s="23" customFormat="1" outlineLevel="1" thickBot="1" x14ac:dyDescent="0.3">
      <c r="A2577" s="44"/>
      <c r="B2577" s="31" t="str">
        <f>IF(_xll.TM1RPTELISCONSOLIDATED($H$20,$H2577),IF(_xll.TM1RPTELLEV($H$20,$H2577)&lt;=5,_xll.TM1RPTELLEV($H$20,$H2577),"Default"),"Leaf")</f>
        <v>Leaf</v>
      </c>
      <c r="C2577" s="26" t="s">
        <v>23</v>
      </c>
      <c r="D2577" s="24" t="str">
        <f>_xll.DBRW("TM1-S1_DEV:}ElementAttributes_SP_SKU",$F2577,D$1)</f>
        <v>Primary</v>
      </c>
      <c r="E2577" s="24" t="str">
        <f>_xll.DBRW("TM1-S1_DEV:}ElementAttributes_SP_SKU",$F2577,E$1)</f>
        <v>COOKIE</v>
      </c>
      <c r="F2577" s="26" t="s">
        <v>3183</v>
      </c>
      <c r="G2577" s="26" t="s">
        <v>2119</v>
      </c>
      <c r="H2577" s="26" t="s">
        <v>2691</v>
      </c>
      <c r="I2577" s="54">
        <f>_xll.DBRW($A$1,$F$14,$F$15,$C2577,$A$2,$F2577,$G2577,$H2577,I$1)</f>
        <v>357</v>
      </c>
      <c r="J2577" s="25">
        <f>_xll.DBRW($A$1,$F$14,$F$15,$C2577,$A$2,$F2577,$G2577,$H2577,J$19)</f>
        <v>316</v>
      </c>
    </row>
    <row r="2578" spans="1:10" s="23" customFormat="1" outlineLevel="1" thickBot="1" x14ac:dyDescent="0.3">
      <c r="A2578" s="44"/>
      <c r="B2578" s="31" t="str">
        <f>IF(_xll.TM1RPTELISCONSOLIDATED($H$20,$H2578),IF(_xll.TM1RPTELLEV($H$20,$H2578)&lt;=5,_xll.TM1RPTELLEV($H$20,$H2578),"Default"),"Leaf")</f>
        <v>Leaf</v>
      </c>
      <c r="C2578" s="26" t="s">
        <v>23</v>
      </c>
      <c r="D2578" s="24" t="str">
        <f>_xll.DBRW("TM1-S1_DEV:}ElementAttributes_SP_SKU",$F2578,D$1)</f>
        <v>Primary</v>
      </c>
      <c r="E2578" s="24" t="str">
        <f>_xll.DBRW("TM1-S1_DEV:}ElementAttributes_SP_SKU",$F2578,E$1)</f>
        <v>SOUP</v>
      </c>
      <c r="F2578" s="26" t="s">
        <v>3184</v>
      </c>
      <c r="G2578" s="26" t="s">
        <v>2120</v>
      </c>
      <c r="H2578" s="26" t="s">
        <v>2675</v>
      </c>
      <c r="I2578" s="54">
        <f>_xll.DBRW($A$1,$F$14,$F$15,$C2578,$A$2,$F2578,$G2578,$H2578,I$1)</f>
        <v>7</v>
      </c>
      <c r="J2578" s="25">
        <f>_xll.DBRW($A$1,$F$14,$F$15,$C2578,$A$2,$F2578,$G2578,$H2578,J$19)</f>
        <v>6</v>
      </c>
    </row>
    <row r="2579" spans="1:10" s="23" customFormat="1" outlineLevel="1" thickBot="1" x14ac:dyDescent="0.3">
      <c r="A2579" s="44"/>
      <c r="B2579" s="31" t="str">
        <f>IF(_xll.TM1RPTELISCONSOLIDATED($H$20,$H2579),IF(_xll.TM1RPTELLEV($H$20,$H2579)&lt;=5,_xll.TM1RPTELLEV($H$20,$H2579),"Default"),"Leaf")</f>
        <v>Leaf</v>
      </c>
      <c r="C2579" s="26" t="s">
        <v>23</v>
      </c>
      <c r="D2579" s="24" t="str">
        <f>_xll.DBRW("TM1-S1_DEV:}ElementAttributes_SP_SKU",$F2579,D$1)</f>
        <v>Primary</v>
      </c>
      <c r="E2579" s="24" t="str">
        <f>_xll.DBRW("TM1-S1_DEV:}ElementAttributes_SP_SKU",$F2579,E$1)</f>
        <v>INGREDIENT</v>
      </c>
      <c r="F2579" s="26" t="s">
        <v>3185</v>
      </c>
      <c r="G2579" s="26" t="s">
        <v>2121</v>
      </c>
      <c r="H2579" s="26" t="s">
        <v>2693</v>
      </c>
      <c r="I2579" s="54">
        <f>_xll.DBRW($A$1,$F$14,$F$15,$C2579,$A$2,$F2579,$G2579,$H2579,I$1)</f>
        <v>49</v>
      </c>
      <c r="J2579" s="25">
        <f>_xll.DBRW($A$1,$F$14,$F$15,$C2579,$A$2,$F2579,$G2579,$H2579,J$19)</f>
        <v>53</v>
      </c>
    </row>
    <row r="2580" spans="1:10" s="23" customFormat="1" outlineLevel="1" thickBot="1" x14ac:dyDescent="0.3">
      <c r="A2580" s="44"/>
      <c r="B2580" s="31" t="str">
        <f>IF(_xll.TM1RPTELISCONSOLIDATED($H$20,$H2580),IF(_xll.TM1RPTELLEV($H$20,$H2580)&lt;=5,_xll.TM1RPTELLEV($H$20,$H2580),"Default"),"Leaf")</f>
        <v>Leaf</v>
      </c>
      <c r="C2580" s="26" t="s">
        <v>23</v>
      </c>
      <c r="D2580" s="24" t="str">
        <f>_xll.DBRW("TM1-S1_DEV:}ElementAttributes_SP_SKU",$F2580,D$1)</f>
        <v>Primary</v>
      </c>
      <c r="E2580" s="24" t="str">
        <f>_xll.DBRW("TM1-S1_DEV:}ElementAttributes_SP_SKU",$F2580,E$1)</f>
        <v>INGREDIENT</v>
      </c>
      <c r="F2580" s="26" t="s">
        <v>3186</v>
      </c>
      <c r="G2580" s="26" t="s">
        <v>2122</v>
      </c>
      <c r="H2580" s="26" t="s">
        <v>2694</v>
      </c>
      <c r="I2580" s="54">
        <f>_xll.DBRW($A$1,$F$14,$F$15,$C2580,$A$2,$F2580,$G2580,$H2580,I$1)</f>
        <v>11</v>
      </c>
      <c r="J2580" s="25">
        <f>_xll.DBRW($A$1,$F$14,$F$15,$C2580,$A$2,$F2580,$G2580,$H2580,J$19)</f>
        <v>11</v>
      </c>
    </row>
    <row r="2581" spans="1:10" s="23" customFormat="1" outlineLevel="1" thickBot="1" x14ac:dyDescent="0.3">
      <c r="A2581" s="44"/>
      <c r="B2581" s="31" t="str">
        <f>IF(_xll.TM1RPTELISCONSOLIDATED($H$20,$H2581),IF(_xll.TM1RPTELLEV($H$20,$H2581)&lt;=5,_xll.TM1RPTELLEV($H$20,$H2581),"Default"),"Leaf")</f>
        <v>Leaf</v>
      </c>
      <c r="C2581" s="26" t="s">
        <v>23</v>
      </c>
      <c r="D2581" s="24" t="str">
        <f>_xll.DBRW("TM1-S1_DEV:}ElementAttributes_SP_SKU",$F2581,D$1)</f>
        <v>Primary</v>
      </c>
      <c r="E2581" s="24" t="str">
        <f>_xll.DBRW("TM1-S1_DEV:}ElementAttributes_SP_SKU",$F2581,E$1)</f>
        <v>CRACKERS</v>
      </c>
      <c r="F2581" s="26" t="s">
        <v>3282</v>
      </c>
      <c r="G2581" s="26" t="s">
        <v>2123</v>
      </c>
      <c r="H2581" s="26" t="s">
        <v>2859</v>
      </c>
      <c r="I2581" s="54">
        <f>_xll.DBRW($A$1,$F$14,$F$15,$C2581,$A$2,$F2581,$G2581,$H2581,I$1)</f>
        <v>2</v>
      </c>
      <c r="J2581" s="25">
        <f>_xll.DBRW($A$1,$F$14,$F$15,$C2581,$A$2,$F2581,$G2581,$H2581,J$19)</f>
        <v>4</v>
      </c>
    </row>
    <row r="2582" spans="1:10" s="23" customFormat="1" outlineLevel="1" thickBot="1" x14ac:dyDescent="0.3">
      <c r="A2582" s="44"/>
      <c r="B2582" s="31" t="str">
        <f>IF(_xll.TM1RPTELISCONSOLIDATED($H$20,$H2582),IF(_xll.TM1RPTELLEV($H$20,$H2582)&lt;=5,_xll.TM1RPTELLEV($H$20,$H2582),"Default"),"Leaf")</f>
        <v>Leaf</v>
      </c>
      <c r="C2582" s="26" t="s">
        <v>23</v>
      </c>
      <c r="D2582" s="24" t="str">
        <f>_xll.DBRW("TM1-S1_DEV:}ElementAttributes_SP_SKU",$F2582,D$1)</f>
        <v>Primary</v>
      </c>
      <c r="E2582" s="24" t="str">
        <f>_xll.DBRW("TM1-S1_DEV:}ElementAttributes_SP_SKU",$F2582,E$1)</f>
        <v>INGREDIENT</v>
      </c>
      <c r="F2582" s="26" t="s">
        <v>3187</v>
      </c>
      <c r="G2582" s="26" t="s">
        <v>2124</v>
      </c>
      <c r="H2582" s="26" t="s">
        <v>2695</v>
      </c>
      <c r="I2582" s="54">
        <f>_xll.DBRW($A$1,$F$14,$F$15,$C2582,$A$2,$F2582,$G2582,$H2582,I$1)</f>
        <v>48</v>
      </c>
      <c r="J2582" s="25">
        <f>_xll.DBRW($A$1,$F$14,$F$15,$C2582,$A$2,$F2582,$G2582,$H2582,J$19)</f>
        <v>38</v>
      </c>
    </row>
    <row r="2583" spans="1:10" s="23" customFormat="1" outlineLevel="1" thickBot="1" x14ac:dyDescent="0.3">
      <c r="A2583" s="44"/>
      <c r="B2583" s="31" t="str">
        <f>IF(_xll.TM1RPTELISCONSOLIDATED($H$20,$H2583),IF(_xll.TM1RPTELLEV($H$20,$H2583)&lt;=5,_xll.TM1RPTELLEV($H$20,$H2583),"Default"),"Leaf")</f>
        <v>Leaf</v>
      </c>
      <c r="C2583" s="26" t="s">
        <v>23</v>
      </c>
      <c r="D2583" s="24" t="str">
        <f>_xll.DBRW("TM1-S1_DEV:}ElementAttributes_SP_SKU",$F2583,D$1)</f>
        <v>Primary</v>
      </c>
      <c r="E2583" s="24" t="str">
        <f>_xll.DBRW("TM1-S1_DEV:}ElementAttributes_SP_SKU",$F2583,E$1)</f>
        <v>CHIPS</v>
      </c>
      <c r="F2583" s="26" t="s">
        <v>3255</v>
      </c>
      <c r="G2583" s="26" t="s">
        <v>2125</v>
      </c>
      <c r="H2583" s="26" t="s">
        <v>2736</v>
      </c>
      <c r="I2583" s="54">
        <f>_xll.DBRW($A$1,$F$14,$F$15,$C2583,$A$2,$F2583,$G2583,$H2583,I$1)</f>
        <v>168</v>
      </c>
      <c r="J2583" s="25">
        <f>_xll.DBRW($A$1,$F$14,$F$15,$C2583,$A$2,$F2583,$G2583,$H2583,J$19)</f>
        <v>293</v>
      </c>
    </row>
    <row r="2584" spans="1:10" s="23" customFormat="1" outlineLevel="1" thickBot="1" x14ac:dyDescent="0.3">
      <c r="A2584" s="44"/>
      <c r="B2584" s="31" t="str">
        <f>IF(_xll.TM1RPTELISCONSOLIDATED($H$20,$H2584),IF(_xll.TM1RPTELLEV($H$20,$H2584)&lt;=5,_xll.TM1RPTELLEV($H$20,$H2584),"Default"),"Leaf")</f>
        <v>Leaf</v>
      </c>
      <c r="C2584" s="26" t="s">
        <v>23</v>
      </c>
      <c r="D2584" s="24" t="str">
        <f>_xll.DBRW("TM1-S1_DEV:}ElementAttributes_SP_SKU",$F2584,D$1)</f>
        <v>Primary</v>
      </c>
      <c r="E2584" s="24" t="str">
        <f>_xll.DBRW("TM1-S1_DEV:}ElementAttributes_SP_SKU",$F2584,E$1)</f>
        <v>CHIPS</v>
      </c>
      <c r="F2584" s="26" t="s">
        <v>3256</v>
      </c>
      <c r="G2584" s="26" t="s">
        <v>2126</v>
      </c>
      <c r="H2584" s="26" t="s">
        <v>2736</v>
      </c>
      <c r="I2584" s="54">
        <f>_xll.DBRW($A$1,$F$14,$F$15,$C2584,$A$2,$F2584,$G2584,$H2584,I$1)</f>
        <v>101</v>
      </c>
      <c r="J2584" s="25">
        <f>_xll.DBRW($A$1,$F$14,$F$15,$C2584,$A$2,$F2584,$G2584,$H2584,J$19)</f>
        <v>162</v>
      </c>
    </row>
    <row r="2585" spans="1:10" s="23" customFormat="1" outlineLevel="1" thickBot="1" x14ac:dyDescent="0.3">
      <c r="A2585" s="44"/>
      <c r="B2585" s="31" t="str">
        <f>IF(_xll.TM1RPTELISCONSOLIDATED($H$20,$H2585),IF(_xll.TM1RPTELLEV($H$20,$H2585)&lt;=5,_xll.TM1RPTELLEV($H$20,$H2585),"Default"),"Leaf")</f>
        <v>Leaf</v>
      </c>
      <c r="C2585" s="26" t="s">
        <v>23</v>
      </c>
      <c r="D2585" s="24" t="str">
        <f>_xll.DBRW("TM1-S1_DEV:}ElementAttributes_SP_SKU",$F2585,D$1)</f>
        <v>Primary</v>
      </c>
      <c r="E2585" s="24" t="str">
        <f>_xll.DBRW("TM1-S1_DEV:}ElementAttributes_SP_SKU",$F2585,E$1)</f>
        <v>CHIPS</v>
      </c>
      <c r="F2585" s="26" t="s">
        <v>3257</v>
      </c>
      <c r="G2585" s="26" t="s">
        <v>2127</v>
      </c>
      <c r="H2585" s="26" t="s">
        <v>2736</v>
      </c>
      <c r="I2585" s="54">
        <f>_xll.DBRW($A$1,$F$14,$F$15,$C2585,$A$2,$F2585,$G2585,$H2585,I$1)</f>
        <v>230</v>
      </c>
      <c r="J2585" s="25">
        <f>_xll.DBRW($A$1,$F$14,$F$15,$C2585,$A$2,$F2585,$G2585,$H2585,J$19)</f>
        <v>461</v>
      </c>
    </row>
    <row r="2586" spans="1:10" s="23" customFormat="1" outlineLevel="1" thickBot="1" x14ac:dyDescent="0.3">
      <c r="A2586" s="44"/>
      <c r="B2586" s="31" t="str">
        <f>IF(_xll.TM1RPTELISCONSOLIDATED($H$20,$H2586),IF(_xll.TM1RPTELLEV($H$20,$H2586)&lt;=5,_xll.TM1RPTELLEV($H$20,$H2586),"Default"),"Leaf")</f>
        <v>Leaf</v>
      </c>
      <c r="C2586" s="26" t="s">
        <v>23</v>
      </c>
      <c r="D2586" s="24" t="str">
        <f>_xll.DBRW("TM1-S1_DEV:}ElementAttributes_SP_SKU",$F2586,D$1)</f>
        <v>Primary</v>
      </c>
      <c r="E2586" s="24" t="str">
        <f>_xll.DBRW("TM1-S1_DEV:}ElementAttributes_SP_SKU",$F2586,E$1)</f>
        <v>CHIPS</v>
      </c>
      <c r="F2586" s="26" t="s">
        <v>3258</v>
      </c>
      <c r="G2586" s="26" t="s">
        <v>2128</v>
      </c>
      <c r="H2586" s="26" t="s">
        <v>2736</v>
      </c>
      <c r="I2586" s="54">
        <f>_xll.DBRW($A$1,$F$14,$F$15,$C2586,$A$2,$F2586,$G2586,$H2586,I$1)</f>
        <v>120</v>
      </c>
      <c r="J2586" s="25">
        <f>_xll.DBRW($A$1,$F$14,$F$15,$C2586,$A$2,$F2586,$G2586,$H2586,J$19)</f>
        <v>172</v>
      </c>
    </row>
    <row r="2587" spans="1:10" s="23" customFormat="1" outlineLevel="1" thickBot="1" x14ac:dyDescent="0.3">
      <c r="A2587" s="44"/>
      <c r="B2587" s="31" t="str">
        <f>IF(_xll.TM1RPTELISCONSOLIDATED($H$20,$H2587),IF(_xll.TM1RPTELLEV($H$20,$H2587)&lt;=5,_xll.TM1RPTELLEV($H$20,$H2587),"Default"),"Leaf")</f>
        <v>Leaf</v>
      </c>
      <c r="C2587" s="26" t="s">
        <v>23</v>
      </c>
      <c r="D2587" s="24" t="str">
        <f>_xll.DBRW("TM1-S1_DEV:}ElementAttributes_SP_SKU",$F2587,D$1)</f>
        <v>Primary</v>
      </c>
      <c r="E2587" s="24" t="str">
        <f>_xll.DBRW("TM1-S1_DEV:}ElementAttributes_SP_SKU",$F2587,E$1)</f>
        <v>SIDES</v>
      </c>
      <c r="F2587" s="26" t="s">
        <v>3188</v>
      </c>
      <c r="G2587" s="26" t="s">
        <v>2129</v>
      </c>
      <c r="H2587" s="26" t="s">
        <v>2686</v>
      </c>
      <c r="I2587" s="54">
        <f>_xll.DBRW($A$1,$F$14,$F$15,$C2587,$A$2,$F2587,$G2587,$H2587,I$1)</f>
        <v>4</v>
      </c>
      <c r="J2587" s="25">
        <f>_xll.DBRW($A$1,$F$14,$F$15,$C2587,$A$2,$F2587,$G2587,$H2587,J$19)</f>
        <v>24</v>
      </c>
    </row>
    <row r="2588" spans="1:10" s="23" customFormat="1" outlineLevel="1" thickBot="1" x14ac:dyDescent="0.3">
      <c r="A2588" s="44"/>
      <c r="B2588" s="31" t="str">
        <f>IF(_xll.TM1RPTELISCONSOLIDATED($H$20,$H2588),IF(_xll.TM1RPTELLEV($H$20,$H2588)&lt;=5,_xll.TM1RPTELLEV($H$20,$H2588),"Default"),"Leaf")</f>
        <v>Leaf</v>
      </c>
      <c r="C2588" s="26" t="s">
        <v>23</v>
      </c>
      <c r="D2588" s="24" t="str">
        <f>_xll.DBRW("TM1-S1_DEV:}ElementAttributes_SP_SKU",$F2588,D$1)</f>
        <v>Primary</v>
      </c>
      <c r="E2588" s="24" t="str">
        <f>_xll.DBRW("TM1-S1_DEV:}ElementAttributes_SP_SKU",$F2588,E$1)</f>
        <v>CONDIMENT</v>
      </c>
      <c r="F2588" s="26" t="s">
        <v>3189</v>
      </c>
      <c r="G2588" s="26" t="s">
        <v>2130</v>
      </c>
      <c r="H2588" s="26" t="s">
        <v>2686</v>
      </c>
      <c r="I2588" s="54">
        <f>_xll.DBRW($A$1,$F$14,$F$15,$C2588,$A$2,$F2588,$G2588,$H2588,I$1)</f>
        <v>145</v>
      </c>
      <c r="J2588" s="25">
        <f>_xll.DBRW($A$1,$F$14,$F$15,$C2588,$A$2,$F2588,$G2588,$H2588,J$19)</f>
        <v>172</v>
      </c>
    </row>
    <row r="2589" spans="1:10" s="23" customFormat="1" outlineLevel="1" thickBot="1" x14ac:dyDescent="0.3">
      <c r="A2589" s="44"/>
      <c r="B2589" s="31" t="str">
        <f>IF(_xll.TM1RPTELISCONSOLIDATED($H$20,$H2589),IF(_xll.TM1RPTELLEV($H$20,$H2589)&lt;=5,_xll.TM1RPTELLEV($H$20,$H2589),"Default"),"Leaf")</f>
        <v>Leaf</v>
      </c>
      <c r="C2589" s="26" t="s">
        <v>23</v>
      </c>
      <c r="D2589" s="24" t="str">
        <f>_xll.DBRW("TM1-S1_DEV:}ElementAttributes_SP_SKU",$F2589,D$1)</f>
        <v>Primary</v>
      </c>
      <c r="E2589" s="24" t="str">
        <f>_xll.DBRW("TM1-S1_DEV:}ElementAttributes_SP_SKU",$F2589,E$1)</f>
        <v>INGREDIENT</v>
      </c>
      <c r="F2589" s="26" t="s">
        <v>3190</v>
      </c>
      <c r="G2589" s="26" t="s">
        <v>2131</v>
      </c>
      <c r="H2589" s="26" t="s">
        <v>2696</v>
      </c>
      <c r="I2589" s="54">
        <f>_xll.DBRW($A$1,$F$14,$F$15,$C2589,$A$2,$F2589,$G2589,$H2589,I$1)</f>
        <v>37</v>
      </c>
      <c r="J2589" s="25">
        <f>_xll.DBRW($A$1,$F$14,$F$15,$C2589,$A$2,$F2589,$G2589,$H2589,J$19)</f>
        <v>30</v>
      </c>
    </row>
    <row r="2590" spans="1:10" s="23" customFormat="1" outlineLevel="1" thickBot="1" x14ac:dyDescent="0.3">
      <c r="A2590" s="44"/>
      <c r="B2590" s="31" t="str">
        <f>IF(_xll.TM1RPTELISCONSOLIDATED($H$20,$H2590),IF(_xll.TM1RPTELLEV($H$20,$H2590)&lt;=5,_xll.TM1RPTELLEV($H$20,$H2590),"Default"),"Leaf")</f>
        <v>Leaf</v>
      </c>
      <c r="C2590" s="26" t="s">
        <v>23</v>
      </c>
      <c r="D2590" s="24" t="str">
        <f>_xll.DBRW("TM1-S1_DEV:}ElementAttributes_SP_SKU",$F2590,D$1)</f>
        <v>Primary</v>
      </c>
      <c r="E2590" s="24" t="str">
        <f>_xll.DBRW("TM1-S1_DEV:}ElementAttributes_SP_SKU",$F2590,E$1)</f>
        <v>INGREDIENT</v>
      </c>
      <c r="F2590" s="26" t="s">
        <v>3191</v>
      </c>
      <c r="G2590" s="26" t="s">
        <v>2132</v>
      </c>
      <c r="H2590" s="26" t="s">
        <v>2697</v>
      </c>
      <c r="I2590" s="54">
        <f>_xll.DBRW($A$1,$F$14,$F$15,$C2590,$A$2,$F2590,$G2590,$H2590,I$1)</f>
        <v>19</v>
      </c>
      <c r="J2590" s="25">
        <f>_xll.DBRW($A$1,$F$14,$F$15,$C2590,$A$2,$F2590,$G2590,$H2590,J$19)</f>
        <v>66</v>
      </c>
    </row>
    <row r="2591" spans="1:10" s="23" customFormat="1" outlineLevel="1" thickBot="1" x14ac:dyDescent="0.3">
      <c r="A2591" s="44"/>
      <c r="B2591" s="31" t="str">
        <f>IF(_xll.TM1RPTELISCONSOLIDATED($H$20,$H2591),IF(_xll.TM1RPTELLEV($H$20,$H2591)&lt;=5,_xll.TM1RPTELLEV($H$20,$H2591),"Default"),"Leaf")</f>
        <v>Leaf</v>
      </c>
      <c r="C2591" s="26" t="s">
        <v>23</v>
      </c>
      <c r="D2591" s="24" t="str">
        <f>_xll.DBRW("TM1-S1_DEV:}ElementAttributes_SP_SKU",$F2591,D$1)</f>
        <v>Primary</v>
      </c>
      <c r="E2591" s="24" t="str">
        <f>_xll.DBRW("TM1-S1_DEV:}ElementAttributes_SP_SKU",$F2591,E$1)</f>
        <v>INGREDIENT</v>
      </c>
      <c r="F2591" s="26" t="s">
        <v>3192</v>
      </c>
      <c r="G2591" s="26" t="s">
        <v>2133</v>
      </c>
      <c r="H2591" s="26" t="s">
        <v>2698</v>
      </c>
      <c r="I2591" s="54">
        <f>_xll.DBRW($A$1,$F$14,$F$15,$C2591,$A$2,$F2591,$G2591,$H2591,I$1)</f>
        <v>13</v>
      </c>
      <c r="J2591" s="25">
        <f>_xll.DBRW($A$1,$F$14,$F$15,$C2591,$A$2,$F2591,$G2591,$H2591,J$19)</f>
        <v>10</v>
      </c>
    </row>
    <row r="2592" spans="1:10" s="23" customFormat="1" outlineLevel="1" thickBot="1" x14ac:dyDescent="0.3">
      <c r="A2592" s="44"/>
      <c r="B2592" s="31" t="str">
        <f>IF(_xll.TM1RPTELISCONSOLIDATED($H$20,$H2592),IF(_xll.TM1RPTELLEV($H$20,$H2592)&lt;=5,_xll.TM1RPTELLEV($H$20,$H2592),"Default"),"Leaf")</f>
        <v>Leaf</v>
      </c>
      <c r="C2592" s="26" t="s">
        <v>23</v>
      </c>
      <c r="D2592" s="24" t="str">
        <f>_xll.DBRW("TM1-S1_DEV:}ElementAttributes_SP_SKU",$F2592,D$1)</f>
        <v>Primary</v>
      </c>
      <c r="E2592" s="24" t="str">
        <f>_xll.DBRW("TM1-S1_DEV:}ElementAttributes_SP_SKU",$F2592,E$1)</f>
        <v>INGREDIENT</v>
      </c>
      <c r="F2592" s="26" t="s">
        <v>3193</v>
      </c>
      <c r="G2592" s="26" t="s">
        <v>2134</v>
      </c>
      <c r="H2592" s="26" t="s">
        <v>2699</v>
      </c>
      <c r="I2592" s="54">
        <f>_xll.DBRW($A$1,$F$14,$F$15,$C2592,$A$2,$F2592,$G2592,$H2592,I$1)</f>
        <v>59</v>
      </c>
      <c r="J2592" s="25">
        <f>_xll.DBRW($A$1,$F$14,$F$15,$C2592,$A$2,$F2592,$G2592,$H2592,J$19)</f>
        <v>70</v>
      </c>
    </row>
    <row r="2593" spans="1:10" s="23" customFormat="1" outlineLevel="1" thickBot="1" x14ac:dyDescent="0.3">
      <c r="A2593" s="44"/>
      <c r="B2593" s="31" t="str">
        <f>IF(_xll.TM1RPTELISCONSOLIDATED($H$20,$H2593),IF(_xll.TM1RPTELLEV($H$20,$H2593)&lt;=5,_xll.TM1RPTELLEV($H$20,$H2593),"Default"),"Leaf")</f>
        <v>Leaf</v>
      </c>
      <c r="C2593" s="26" t="s">
        <v>23</v>
      </c>
      <c r="D2593" s="24" t="str">
        <f>_xll.DBRW("TM1-S1_DEV:}ElementAttributes_SP_SKU",$F2593,D$1)</f>
        <v>Primary</v>
      </c>
      <c r="E2593" s="24" t="str">
        <f>_xll.DBRW("TM1-S1_DEV:}ElementAttributes_SP_SKU",$F2593,E$1)</f>
        <v>COOKIE</v>
      </c>
      <c r="F2593" s="26" t="s">
        <v>3194</v>
      </c>
      <c r="G2593" s="26" t="s">
        <v>2135</v>
      </c>
      <c r="H2593" s="26" t="s">
        <v>2691</v>
      </c>
      <c r="I2593" s="54">
        <f>_xll.DBRW($A$1,$F$14,$F$15,$C2593,$A$2,$F2593,$G2593,$H2593,I$1)</f>
        <v>15</v>
      </c>
      <c r="J2593" s="25">
        <f>_xll.DBRW($A$1,$F$14,$F$15,$C2593,$A$2,$F2593,$G2593,$H2593,J$19)</f>
        <v>30</v>
      </c>
    </row>
    <row r="2594" spans="1:10" s="23" customFormat="1" outlineLevel="1" thickBot="1" x14ac:dyDescent="0.3">
      <c r="A2594" s="44"/>
      <c r="B2594" s="31" t="str">
        <f>IF(_xll.TM1RPTELISCONSOLIDATED($H$20,$H2594),IF(_xll.TM1RPTELLEV($H$20,$H2594)&lt;=5,_xll.TM1RPTELLEV($H$20,$H2594),"Default"),"Leaf")</f>
        <v>Leaf</v>
      </c>
      <c r="C2594" s="26" t="s">
        <v>23</v>
      </c>
      <c r="D2594" s="24" t="str">
        <f>_xll.DBRW("TM1-S1_DEV:}ElementAttributes_SP_SKU",$F2594,D$1)</f>
        <v>Primary</v>
      </c>
      <c r="E2594" s="24" t="str">
        <f>_xll.DBRW("TM1-S1_DEV:}ElementAttributes_SP_SKU",$F2594,E$1)</f>
        <v>COOKIE</v>
      </c>
      <c r="F2594" s="26" t="s">
        <v>3195</v>
      </c>
      <c r="G2594" s="26" t="s">
        <v>2136</v>
      </c>
      <c r="H2594" s="26" t="s">
        <v>2691</v>
      </c>
      <c r="I2594" s="54">
        <f>_xll.DBRW($A$1,$F$14,$F$15,$C2594,$A$2,$F2594,$G2594,$H2594,I$1)</f>
        <v>15</v>
      </c>
      <c r="J2594" s="25">
        <f>_xll.DBRW($A$1,$F$14,$F$15,$C2594,$A$2,$F2594,$G2594,$H2594,J$19)</f>
        <v>26</v>
      </c>
    </row>
    <row r="2595" spans="1:10" s="23" customFormat="1" outlineLevel="1" thickBot="1" x14ac:dyDescent="0.3">
      <c r="A2595" s="44"/>
      <c r="B2595" s="31" t="str">
        <f>IF(_xll.TM1RPTELISCONSOLIDATED($H$20,$H2595),IF(_xll.TM1RPTELLEV($H$20,$H2595)&lt;=5,_xll.TM1RPTELLEV($H$20,$H2595),"Default"),"Leaf")</f>
        <v>Leaf</v>
      </c>
      <c r="C2595" s="26" t="s">
        <v>23</v>
      </c>
      <c r="D2595" s="24" t="str">
        <f>_xll.DBRW("TM1-S1_DEV:}ElementAttributes_SP_SKU",$F2595,D$1)</f>
        <v>Primary</v>
      </c>
      <c r="E2595" s="24" t="str">
        <f>_xll.DBRW("TM1-S1_DEV:}ElementAttributes_SP_SKU",$F2595,E$1)</f>
        <v>COOKIE</v>
      </c>
      <c r="F2595" s="26" t="s">
        <v>3196</v>
      </c>
      <c r="G2595" s="26" t="s">
        <v>2137</v>
      </c>
      <c r="H2595" s="26" t="s">
        <v>2691</v>
      </c>
      <c r="I2595" s="54">
        <f>_xll.DBRW($A$1,$F$14,$F$15,$C2595,$A$2,$F2595,$G2595,$H2595,I$1)</f>
        <v>25</v>
      </c>
      <c r="J2595" s="25">
        <f>_xll.DBRW($A$1,$F$14,$F$15,$C2595,$A$2,$F2595,$G2595,$H2595,J$19)</f>
        <v>33</v>
      </c>
    </row>
    <row r="2596" spans="1:10" s="23" customFormat="1" outlineLevel="1" thickBot="1" x14ac:dyDescent="0.3">
      <c r="A2596" s="44"/>
      <c r="B2596" s="31" t="str">
        <f>IF(_xll.TM1RPTELISCONSOLIDATED($H$20,$H2596),IF(_xll.TM1RPTELLEV($H$20,$H2596)&lt;=5,_xll.TM1RPTELLEV($H$20,$H2596),"Default"),"Leaf")</f>
        <v>Leaf</v>
      </c>
      <c r="C2596" s="26" t="s">
        <v>23</v>
      </c>
      <c r="D2596" s="24" t="str">
        <f>_xll.DBRW("TM1-S1_DEV:}ElementAttributes_SP_SKU",$F2596,D$1)</f>
        <v>Primary</v>
      </c>
      <c r="E2596" s="24" t="str">
        <f>_xll.DBRW("TM1-S1_DEV:}ElementAttributes_SP_SKU",$F2596,E$1)</f>
        <v>INGREDIENT</v>
      </c>
      <c r="F2596" s="26" t="s">
        <v>3197</v>
      </c>
      <c r="G2596" s="26" t="s">
        <v>2138</v>
      </c>
      <c r="H2596" s="26" t="s">
        <v>2686</v>
      </c>
      <c r="I2596" s="54">
        <f>_xll.DBRW($A$1,$F$14,$F$15,$C2596,$A$2,$F2596,$G2596,$H2596,I$1)</f>
        <v>37</v>
      </c>
      <c r="J2596" s="25">
        <f>_xll.DBRW($A$1,$F$14,$F$15,$C2596,$A$2,$F2596,$G2596,$H2596,J$19)</f>
        <v>32</v>
      </c>
    </row>
    <row r="2597" spans="1:10" s="23" customFormat="1" outlineLevel="1" thickBot="1" x14ac:dyDescent="0.3">
      <c r="A2597" s="44"/>
      <c r="B2597" s="31" t="str">
        <f>IF(_xll.TM1RPTELISCONSOLIDATED($H$20,$H2597),IF(_xll.TM1RPTELLEV($H$20,$H2597)&lt;=5,_xll.TM1RPTELLEV($H$20,$H2597),"Default"),"Leaf")</f>
        <v>Leaf</v>
      </c>
      <c r="C2597" s="26" t="s">
        <v>23</v>
      </c>
      <c r="D2597" s="24" t="str">
        <f>_xll.DBRW("TM1-S1_DEV:}ElementAttributes_SP_SKU",$F2597,D$1)</f>
        <v>Primary</v>
      </c>
      <c r="E2597" s="24" t="str">
        <f>_xll.DBRW("TM1-S1_DEV:}ElementAttributes_SP_SKU",$F2597,E$1)</f>
        <v>INGREDIENT</v>
      </c>
      <c r="F2597" s="26" t="s">
        <v>30</v>
      </c>
      <c r="G2597" s="26" t="s">
        <v>2139</v>
      </c>
      <c r="H2597" s="26" t="s">
        <v>2700</v>
      </c>
      <c r="I2597" s="54">
        <f>_xll.DBRW($A$1,$F$14,$F$15,$C2597,$A$2,$F2597,$G2597,$H2597,I$1)</f>
        <v>38</v>
      </c>
      <c r="J2597" s="25">
        <f>_xll.DBRW($A$1,$F$14,$F$15,$C2597,$A$2,$F2597,$G2597,$H2597,J$19)</f>
        <v>32</v>
      </c>
    </row>
    <row r="2598" spans="1:10" s="23" customFormat="1" outlineLevel="1" thickBot="1" x14ac:dyDescent="0.3">
      <c r="A2598" s="44"/>
      <c r="B2598" s="31" t="str">
        <f>IF(_xll.TM1RPTELISCONSOLIDATED($H$20,$H2598),IF(_xll.TM1RPTELLEV($H$20,$H2598)&lt;=5,_xll.TM1RPTELLEV($H$20,$H2598),"Default"),"Leaf")</f>
        <v>Leaf</v>
      </c>
      <c r="C2598" s="26" t="s">
        <v>23</v>
      </c>
      <c r="D2598" s="24" t="str">
        <f>_xll.DBRW("TM1-S1_DEV:}ElementAttributes_SP_SKU",$F2598,D$1)</f>
        <v>Primary</v>
      </c>
      <c r="E2598" s="24" t="str">
        <f>_xll.DBRW("TM1-S1_DEV:}ElementAttributes_SP_SKU",$F2598,E$1)</f>
        <v>INGREDIENT</v>
      </c>
      <c r="F2598" s="26" t="s">
        <v>3198</v>
      </c>
      <c r="G2598" s="26" t="s">
        <v>2140</v>
      </c>
      <c r="H2598" s="26" t="s">
        <v>2701</v>
      </c>
      <c r="I2598" s="54">
        <f>_xll.DBRW($A$1,$F$14,$F$15,$C2598,$A$2,$F2598,$G2598,$H2598,I$1)</f>
        <v>32</v>
      </c>
      <c r="J2598" s="25">
        <f>_xll.DBRW($A$1,$F$14,$F$15,$C2598,$A$2,$F2598,$G2598,$H2598,J$19)</f>
        <v>34</v>
      </c>
    </row>
    <row r="2599" spans="1:10" s="23" customFormat="1" outlineLevel="1" thickBot="1" x14ac:dyDescent="0.3">
      <c r="A2599" s="44"/>
      <c r="B2599" s="31" t="str">
        <f>IF(_xll.TM1RPTELISCONSOLIDATED($H$20,$H2599),IF(_xll.TM1RPTELLEV($H$20,$H2599)&lt;=5,_xll.TM1RPTELLEV($H$20,$H2599),"Default"),"Leaf")</f>
        <v>Leaf</v>
      </c>
      <c r="C2599" s="26" t="s">
        <v>23</v>
      </c>
      <c r="D2599" s="24" t="str">
        <f>_xll.DBRW("TM1-S1_DEV:}ElementAttributes_SP_SKU",$F2599,D$1)</f>
        <v>Primary</v>
      </c>
      <c r="E2599" s="24" t="str">
        <f>_xll.DBRW("TM1-S1_DEV:}ElementAttributes_SP_SKU",$F2599,E$1)</f>
        <v>BOX</v>
      </c>
      <c r="F2599" s="26" t="s">
        <v>3199</v>
      </c>
      <c r="G2599" s="26" t="s">
        <v>2141</v>
      </c>
      <c r="H2599" s="26" t="s">
        <v>2702</v>
      </c>
      <c r="I2599" s="54">
        <f>_xll.DBRW($A$1,$F$14,$F$15,$C2599,$A$2,$F2599,$G2599,$H2599,I$1)</f>
        <v>18</v>
      </c>
      <c r="J2599" s="25">
        <f>_xll.DBRW($A$1,$F$14,$F$15,$C2599,$A$2,$F2599,$G2599,$H2599,J$19)</f>
        <v>18</v>
      </c>
    </row>
    <row r="2600" spans="1:10" s="23" customFormat="1" outlineLevel="1" thickBot="1" x14ac:dyDescent="0.3">
      <c r="A2600" s="44"/>
      <c r="B2600" s="31" t="str">
        <f>IF(_xll.TM1RPTELISCONSOLIDATED($H$20,$H2600),IF(_xll.TM1RPTELLEV($H$20,$H2600)&lt;=5,_xll.TM1RPTELLEV($H$20,$H2600),"Default"),"Leaf")</f>
        <v>Leaf</v>
      </c>
      <c r="C2600" s="26" t="s">
        <v>23</v>
      </c>
      <c r="D2600" s="24" t="str">
        <f>_xll.DBRW("TM1-S1_DEV:}ElementAttributes_SP_SKU",$F2600,D$1)</f>
        <v>Primary</v>
      </c>
      <c r="E2600" s="24" t="str">
        <f>_xll.DBRW("TM1-S1_DEV:}ElementAttributes_SP_SKU",$F2600,E$1)</f>
        <v>TRAY</v>
      </c>
      <c r="F2600" s="26" t="s">
        <v>3200</v>
      </c>
      <c r="G2600" s="26" t="s">
        <v>2142</v>
      </c>
      <c r="H2600" s="26" t="s">
        <v>2703</v>
      </c>
      <c r="I2600" s="54">
        <f>_xll.DBRW($A$1,$F$14,$F$15,$C2600,$A$2,$F2600,$G2600,$H2600,I$1)</f>
        <v>12</v>
      </c>
      <c r="J2600" s="25">
        <f>_xll.DBRW($A$1,$F$14,$F$15,$C2600,$A$2,$F2600,$G2600,$H2600,J$19)</f>
        <v>7</v>
      </c>
    </row>
    <row r="2601" spans="1:10" s="23" customFormat="1" outlineLevel="1" thickBot="1" x14ac:dyDescent="0.3">
      <c r="A2601" s="44"/>
      <c r="B2601" s="31" t="str">
        <f>IF(_xll.TM1RPTELISCONSOLIDATED($H$20,$H2601),IF(_xll.TM1RPTELLEV($H$20,$H2601)&lt;=5,_xll.TM1RPTELLEV($H$20,$H2601),"Default"),"Leaf")</f>
        <v>Leaf</v>
      </c>
      <c r="C2601" s="26" t="s">
        <v>23</v>
      </c>
      <c r="D2601" s="24" t="str">
        <f>_xll.DBRW("TM1-S1_DEV:}ElementAttributes_SP_SKU",$F2601,D$1)</f>
        <v>Primary</v>
      </c>
      <c r="E2601" s="24" t="str">
        <f>_xll.DBRW("TM1-S1_DEV:}ElementAttributes_SP_SKU",$F2601,E$1)</f>
        <v>TRAY</v>
      </c>
      <c r="F2601" s="26" t="s">
        <v>3201</v>
      </c>
      <c r="G2601" s="26" t="s">
        <v>2143</v>
      </c>
      <c r="H2601" s="26" t="s">
        <v>2703</v>
      </c>
      <c r="I2601" s="54">
        <f>_xll.DBRW($A$1,$F$14,$F$15,$C2601,$A$2,$F2601,$G2601,$H2601,I$1)</f>
        <v>18</v>
      </c>
      <c r="J2601" s="25">
        <f>_xll.DBRW($A$1,$F$14,$F$15,$C2601,$A$2,$F2601,$G2601,$H2601,J$19)</f>
        <v>18</v>
      </c>
    </row>
    <row r="2602" spans="1:10" s="23" customFormat="1" outlineLevel="1" thickBot="1" x14ac:dyDescent="0.3">
      <c r="A2602" s="44"/>
      <c r="B2602" s="31" t="str">
        <f>IF(_xll.TM1RPTELISCONSOLIDATED($H$20,$H2602),IF(_xll.TM1RPTELLEV($H$20,$H2602)&lt;=5,_xll.TM1RPTELLEV($H$20,$H2602),"Default"),"Leaf")</f>
        <v>Leaf</v>
      </c>
      <c r="C2602" s="26" t="s">
        <v>23</v>
      </c>
      <c r="D2602" s="24" t="str">
        <f>_xll.DBRW("TM1-S1_DEV:}ElementAttributes_SP_SKU",$F2602,D$1)</f>
        <v>Primary</v>
      </c>
      <c r="E2602" s="24" t="str">
        <f>_xll.DBRW("TM1-S1_DEV:}ElementAttributes_SP_SKU",$F2602,E$1)</f>
        <v>TRAY</v>
      </c>
      <c r="F2602" s="26" t="s">
        <v>3202</v>
      </c>
      <c r="G2602" s="26" t="s">
        <v>2144</v>
      </c>
      <c r="H2602" s="26" t="s">
        <v>2703</v>
      </c>
      <c r="I2602" s="54">
        <f>_xll.DBRW($A$1,$F$14,$F$15,$C2602,$A$2,$F2602,$G2602,$H2602,I$1)</f>
        <v>60</v>
      </c>
      <c r="J2602" s="25">
        <f>_xll.DBRW($A$1,$F$14,$F$15,$C2602,$A$2,$F2602,$G2602,$H2602,J$19)</f>
        <v>56</v>
      </c>
    </row>
    <row r="2603" spans="1:10" s="23" customFormat="1" outlineLevel="1" thickBot="1" x14ac:dyDescent="0.3">
      <c r="A2603" s="44"/>
      <c r="B2603" s="31" t="str">
        <f>IF(_xll.TM1RPTELISCONSOLIDATED($H$20,$H2603),IF(_xll.TM1RPTELLEV($H$20,$H2603)&lt;=5,_xll.TM1RPTELLEV($H$20,$H2603),"Default"),"Leaf")</f>
        <v>Leaf</v>
      </c>
      <c r="C2603" s="26" t="s">
        <v>23</v>
      </c>
      <c r="D2603" s="24" t="str">
        <f>_xll.DBRW("TM1-S1_DEV:}ElementAttributes_SP_SKU",$F2603,D$1)</f>
        <v>Primary</v>
      </c>
      <c r="E2603" s="24" t="str">
        <f>_xll.DBRW("TM1-S1_DEV:}ElementAttributes_SP_SKU",$F2603,E$1)</f>
        <v>TRAY</v>
      </c>
      <c r="F2603" s="26" t="s">
        <v>3203</v>
      </c>
      <c r="G2603" s="26" t="s">
        <v>2145</v>
      </c>
      <c r="H2603" s="26" t="s">
        <v>2703</v>
      </c>
      <c r="I2603" s="54">
        <f>_xll.DBRW($A$1,$F$14,$F$15,$C2603,$A$2,$F2603,$G2603,$H2603,I$1)</f>
        <v>50</v>
      </c>
      <c r="J2603" s="25">
        <f>_xll.DBRW($A$1,$F$14,$F$15,$C2603,$A$2,$F2603,$G2603,$H2603,J$19)</f>
        <v>46</v>
      </c>
    </row>
    <row r="2604" spans="1:10" s="23" customFormat="1" outlineLevel="1" thickBot="1" x14ac:dyDescent="0.3">
      <c r="A2604" s="44"/>
      <c r="B2604" s="31" t="str">
        <f>IF(_xll.TM1RPTELISCONSOLIDATED($H$20,$H2604),IF(_xll.TM1RPTELLEV($H$20,$H2604)&lt;=5,_xll.TM1RPTELLEV($H$20,$H2604),"Default"),"Leaf")</f>
        <v>Leaf</v>
      </c>
      <c r="C2604" s="26" t="s">
        <v>23</v>
      </c>
      <c r="D2604" s="24" t="str">
        <f>_xll.DBRW("TM1-S1_DEV:}ElementAttributes_SP_SKU",$F2604,D$1)</f>
        <v>Primary</v>
      </c>
      <c r="E2604" s="24" t="str">
        <f>_xll.DBRW("TM1-S1_DEV:}ElementAttributes_SP_SKU",$F2604,E$1)</f>
        <v>FOIL</v>
      </c>
      <c r="F2604" s="26" t="s">
        <v>3204</v>
      </c>
      <c r="G2604" s="26" t="s">
        <v>2146</v>
      </c>
      <c r="H2604" s="26" t="s">
        <v>2704</v>
      </c>
      <c r="I2604" s="54">
        <f>_xll.DBRW($A$1,$F$14,$F$15,$C2604,$A$2,$F2604,$G2604,$H2604,I$1)</f>
        <v>81</v>
      </c>
      <c r="J2604" s="25">
        <f>_xll.DBRW($A$1,$F$14,$F$15,$C2604,$A$2,$F2604,$G2604,$H2604,J$19)</f>
        <v>55</v>
      </c>
    </row>
    <row r="2605" spans="1:10" s="23" customFormat="1" outlineLevel="1" thickBot="1" x14ac:dyDescent="0.3">
      <c r="A2605" s="44"/>
      <c r="B2605" s="31" t="str">
        <f>IF(_xll.TM1RPTELISCONSOLIDATED($H$20,$H2605),IF(_xll.TM1RPTELLEV($H$20,$H2605)&lt;=5,_xll.TM1RPTELLEV($H$20,$H2605),"Default"),"Leaf")</f>
        <v>Leaf</v>
      </c>
      <c r="C2605" s="26" t="s">
        <v>23</v>
      </c>
      <c r="D2605" s="24" t="str">
        <f>_xll.DBRW("TM1-S1_DEV:}ElementAttributes_SP_SKU",$F2605,D$1)</f>
        <v>Primary</v>
      </c>
      <c r="E2605" s="24" t="str">
        <f>_xll.DBRW("TM1-S1_DEV:}ElementAttributes_SP_SKU",$F2605,E$1)</f>
        <v>BAG</v>
      </c>
      <c r="F2605" s="26" t="s">
        <v>3205</v>
      </c>
      <c r="G2605" s="26" t="s">
        <v>2147</v>
      </c>
      <c r="H2605" s="26" t="s">
        <v>2705</v>
      </c>
      <c r="I2605" s="54">
        <f>_xll.DBRW($A$1,$F$14,$F$15,$C2605,$A$2,$F2605,$G2605,$H2605,I$1)</f>
        <v>37</v>
      </c>
      <c r="J2605" s="25">
        <f>_xll.DBRW($A$1,$F$14,$F$15,$C2605,$A$2,$F2605,$G2605,$H2605,J$19)</f>
        <v>33</v>
      </c>
    </row>
    <row r="2606" spans="1:10" s="23" customFormat="1" outlineLevel="1" thickBot="1" x14ac:dyDescent="0.3">
      <c r="A2606" s="44"/>
      <c r="B2606" s="31" t="str">
        <f>IF(_xll.TM1RPTELISCONSOLIDATED($H$20,$H2606),IF(_xll.TM1RPTELLEV($H$20,$H2606)&lt;=5,_xll.TM1RPTELLEV($H$20,$H2606),"Default"),"Leaf")</f>
        <v>Leaf</v>
      </c>
      <c r="C2606" s="26" t="s">
        <v>23</v>
      </c>
      <c r="D2606" s="24" t="str">
        <f>_xll.DBRW("TM1-S1_DEV:}ElementAttributes_SP_SKU",$F2606,D$1)</f>
        <v>Primary</v>
      </c>
      <c r="E2606" s="24" t="str">
        <f>_xll.DBRW("TM1-S1_DEV:}ElementAttributes_SP_SKU",$F2606,E$1)</f>
        <v>FOIL</v>
      </c>
      <c r="F2606" s="26" t="s">
        <v>3206</v>
      </c>
      <c r="G2606" s="26" t="s">
        <v>2148</v>
      </c>
      <c r="H2606" s="26" t="s">
        <v>2704</v>
      </c>
      <c r="I2606" s="54">
        <f>_xll.DBRW($A$1,$F$14,$F$15,$C2606,$A$2,$F2606,$G2606,$H2606,I$1)</f>
        <v>94</v>
      </c>
      <c r="J2606" s="25">
        <f>_xll.DBRW($A$1,$F$14,$F$15,$C2606,$A$2,$F2606,$G2606,$H2606,J$19)</f>
        <v>81</v>
      </c>
    </row>
    <row r="2607" spans="1:10" s="23" customFormat="1" outlineLevel="1" thickBot="1" x14ac:dyDescent="0.3">
      <c r="A2607" s="44"/>
      <c r="B2607" s="31" t="str">
        <f>IF(_xll.TM1RPTELISCONSOLIDATED($H$20,$H2607),IF(_xll.TM1RPTELLEV($H$20,$H2607)&lt;=5,_xll.TM1RPTELLEV($H$20,$H2607),"Default"),"Leaf")</f>
        <v>Leaf</v>
      </c>
      <c r="C2607" s="26" t="s">
        <v>23</v>
      </c>
      <c r="D2607" s="24" t="str">
        <f>_xll.DBRW("TM1-S1_DEV:}ElementAttributes_SP_SKU",$F2607,D$1)</f>
        <v>Primary</v>
      </c>
      <c r="E2607" s="24" t="str">
        <f>_xll.DBRW("TM1-S1_DEV:}ElementAttributes_SP_SKU",$F2607,E$1)</f>
        <v>BAG</v>
      </c>
      <c r="F2607" s="26" t="s">
        <v>3208</v>
      </c>
      <c r="G2607" s="26" t="s">
        <v>2150</v>
      </c>
      <c r="H2607" s="26" t="s">
        <v>2705</v>
      </c>
      <c r="I2607" s="54">
        <f>_xll.DBRW($A$1,$F$14,$F$15,$C2607,$A$2,$F2607,$G2607,$H2607,I$1)</f>
        <v>40</v>
      </c>
      <c r="J2607" s="25">
        <f>_xll.DBRW($A$1,$F$14,$F$15,$C2607,$A$2,$F2607,$G2607,$H2607,J$19)</f>
        <v>35</v>
      </c>
    </row>
    <row r="2608" spans="1:10" s="23" customFormat="1" outlineLevel="1" thickBot="1" x14ac:dyDescent="0.3">
      <c r="A2608" s="44"/>
      <c r="B2608" s="31" t="str">
        <f>IF(_xll.TM1RPTELISCONSOLIDATED($H$20,$H2608),IF(_xll.TM1RPTELLEV($H$20,$H2608)&lt;=5,_xll.TM1RPTELLEV($H$20,$H2608),"Default"),"Leaf")</f>
        <v>Leaf</v>
      </c>
      <c r="C2608" s="26" t="s">
        <v>23</v>
      </c>
      <c r="D2608" s="24" t="str">
        <f>_xll.DBRW("TM1-S1_DEV:}ElementAttributes_SP_SKU",$F2608,D$1)</f>
        <v>Primary</v>
      </c>
      <c r="E2608" s="24" t="str">
        <f>_xll.DBRW("TM1-S1_DEV:}ElementAttributes_SP_SKU",$F2608,E$1)</f>
        <v>BAG</v>
      </c>
      <c r="F2608" s="26" t="s">
        <v>3209</v>
      </c>
      <c r="G2608" s="26" t="s">
        <v>2151</v>
      </c>
      <c r="H2608" s="26" t="s">
        <v>2705</v>
      </c>
      <c r="I2608" s="54">
        <f>_xll.DBRW($A$1,$F$14,$F$15,$C2608,$A$2,$F2608,$G2608,$H2608,I$1)</f>
        <v>62</v>
      </c>
      <c r="J2608" s="25">
        <f>_xll.DBRW($A$1,$F$14,$F$15,$C2608,$A$2,$F2608,$G2608,$H2608,J$19)</f>
        <v>41</v>
      </c>
    </row>
    <row r="2609" spans="1:10" s="23" customFormat="1" outlineLevel="1" thickBot="1" x14ac:dyDescent="0.3">
      <c r="A2609" s="44"/>
      <c r="B2609" s="31" t="str">
        <f>IF(_xll.TM1RPTELISCONSOLIDATED($H$20,$H2609),IF(_xll.TM1RPTELLEV($H$20,$H2609)&lt;=5,_xll.TM1RPTELLEV($H$20,$H2609),"Default"),"Leaf")</f>
        <v>Leaf</v>
      </c>
      <c r="C2609" s="26" t="s">
        <v>23</v>
      </c>
      <c r="D2609" s="24" t="str">
        <f>_xll.DBRW("TM1-S1_DEV:}ElementAttributes_SP_SKU",$F2609,D$1)</f>
        <v>Primary</v>
      </c>
      <c r="E2609" s="24" t="str">
        <f>_xll.DBRW("TM1-S1_DEV:}ElementAttributes_SP_SKU",$F2609,E$1)</f>
        <v>BAG</v>
      </c>
      <c r="F2609" s="26" t="s">
        <v>3210</v>
      </c>
      <c r="G2609" s="26" t="s">
        <v>2152</v>
      </c>
      <c r="H2609" s="26" t="s">
        <v>2705</v>
      </c>
      <c r="I2609" s="54">
        <f>_xll.DBRW($A$1,$F$14,$F$15,$C2609,$A$2,$F2609,$G2609,$H2609,I$1)</f>
        <v>48</v>
      </c>
      <c r="J2609" s="25">
        <f>_xll.DBRW($A$1,$F$14,$F$15,$C2609,$A$2,$F2609,$G2609,$H2609,J$19)</f>
        <v>40</v>
      </c>
    </row>
    <row r="2610" spans="1:10" s="23" customFormat="1" outlineLevel="1" thickBot="1" x14ac:dyDescent="0.3">
      <c r="A2610" s="44"/>
      <c r="B2610" s="31" t="str">
        <f>IF(_xll.TM1RPTELISCONSOLIDATED($H$20,$H2610),IF(_xll.TM1RPTELLEV($H$20,$H2610)&lt;=5,_xll.TM1RPTELLEV($H$20,$H2610),"Default"),"Leaf")</f>
        <v>Leaf</v>
      </c>
      <c r="C2610" s="26" t="s">
        <v>23</v>
      </c>
      <c r="D2610" s="24" t="str">
        <f>_xll.DBRW("TM1-S1_DEV:}ElementAttributes_SP_SKU",$F2610,D$1)</f>
        <v>Primary</v>
      </c>
      <c r="E2610" s="24" t="str">
        <f>_xll.DBRW("TM1-S1_DEV:}ElementAttributes_SP_SKU",$F2610,E$1)</f>
        <v>BOX</v>
      </c>
      <c r="F2610" s="26" t="s">
        <v>3211</v>
      </c>
      <c r="G2610" s="26" t="s">
        <v>2153</v>
      </c>
      <c r="H2610" s="26" t="s">
        <v>2706</v>
      </c>
      <c r="I2610" s="54">
        <f>_xll.DBRW($A$1,$F$14,$F$15,$C2610,$A$2,$F2610,$G2610,$H2610,I$1)</f>
        <v>111</v>
      </c>
      <c r="J2610" s="25">
        <f>_xll.DBRW($A$1,$F$14,$F$15,$C2610,$A$2,$F2610,$G2610,$H2610,J$19)</f>
        <v>183</v>
      </c>
    </row>
    <row r="2611" spans="1:10" s="23" customFormat="1" outlineLevel="1" thickBot="1" x14ac:dyDescent="0.3">
      <c r="A2611" s="44"/>
      <c r="B2611" s="31" t="str">
        <f>IF(_xll.TM1RPTELISCONSOLIDATED($H$20,$H2611),IF(_xll.TM1RPTELLEV($H$20,$H2611)&lt;=5,_xll.TM1RPTELLEV($H$20,$H2611),"Default"),"Leaf")</f>
        <v>Leaf</v>
      </c>
      <c r="C2611" s="26" t="s">
        <v>23</v>
      </c>
      <c r="D2611" s="24" t="str">
        <f>_xll.DBRW("TM1-S1_DEV:}ElementAttributes_SP_SKU",$F2611,D$1)</f>
        <v>Primary</v>
      </c>
      <c r="E2611" s="24" t="str">
        <f>_xll.DBRW("TM1-S1_DEV:}ElementAttributes_SP_SKU",$F2611,E$1)</f>
        <v>FOIL</v>
      </c>
      <c r="F2611" s="26" t="s">
        <v>3212</v>
      </c>
      <c r="G2611" s="26" t="s">
        <v>2154</v>
      </c>
      <c r="H2611" s="26" t="s">
        <v>2704</v>
      </c>
      <c r="I2611" s="54">
        <f>_xll.DBRW($A$1,$F$14,$F$15,$C2611,$A$2,$F2611,$G2611,$H2611,I$1)</f>
        <v>82</v>
      </c>
      <c r="J2611" s="25">
        <f>_xll.DBRW($A$1,$F$14,$F$15,$C2611,$A$2,$F2611,$G2611,$H2611,J$19)</f>
        <v>68</v>
      </c>
    </row>
    <row r="2612" spans="1:10" s="23" customFormat="1" outlineLevel="1" thickBot="1" x14ac:dyDescent="0.3">
      <c r="A2612" s="44"/>
      <c r="B2612" s="31" t="str">
        <f>IF(_xll.TM1RPTELISCONSOLIDATED($H$20,$H2612),IF(_xll.TM1RPTELLEV($H$20,$H2612)&lt;=5,_xll.TM1RPTELLEV($H$20,$H2612),"Default"),"Leaf")</f>
        <v>Leaf</v>
      </c>
      <c r="C2612" s="26" t="s">
        <v>23</v>
      </c>
      <c r="D2612" s="24" t="str">
        <f>_xll.DBRW("TM1-S1_DEV:}ElementAttributes_SP_SKU",$F2612,D$1)</f>
        <v>Primary</v>
      </c>
      <c r="E2612" s="24" t="str">
        <f>_xll.DBRW("TM1-S1_DEV:}ElementAttributes_SP_SKU",$F2612,E$1)</f>
        <v>TRAY</v>
      </c>
      <c r="F2612" s="26" t="s">
        <v>3213</v>
      </c>
      <c r="G2612" s="26" t="s">
        <v>2155</v>
      </c>
      <c r="H2612" s="26" t="s">
        <v>2703</v>
      </c>
      <c r="I2612" s="54">
        <f>_xll.DBRW($A$1,$F$14,$F$15,$C2612,$A$2,$F2612,$G2612,$H2612,I$1)</f>
        <v>21</v>
      </c>
      <c r="J2612" s="25">
        <f>_xll.DBRW($A$1,$F$14,$F$15,$C2612,$A$2,$F2612,$G2612,$H2612,J$19)</f>
        <v>17</v>
      </c>
    </row>
    <row r="2613" spans="1:10" s="23" customFormat="1" outlineLevel="1" thickBot="1" x14ac:dyDescent="0.3">
      <c r="A2613" s="44"/>
      <c r="B2613" s="31" t="str">
        <f>IF(_xll.TM1RPTELISCONSOLIDATED($H$20,$H2613),IF(_xll.TM1RPTELLEV($H$20,$H2613)&lt;=5,_xll.TM1RPTELLEV($H$20,$H2613),"Default"),"Leaf")</f>
        <v>Leaf</v>
      </c>
      <c r="C2613" s="26" t="s">
        <v>23</v>
      </c>
      <c r="D2613" s="24" t="str">
        <f>_xll.DBRW("TM1-S1_DEV:}ElementAttributes_SP_SKU",$F2613,D$1)</f>
        <v>Primary</v>
      </c>
      <c r="E2613" s="24" t="str">
        <f>_xll.DBRW("TM1-S1_DEV:}ElementAttributes_SP_SKU",$F2613,E$1)</f>
        <v>TRAY</v>
      </c>
      <c r="F2613" s="26" t="s">
        <v>3214</v>
      </c>
      <c r="G2613" s="26" t="s">
        <v>2156</v>
      </c>
      <c r="H2613" s="26" t="s">
        <v>2703</v>
      </c>
      <c r="I2613" s="54">
        <f>_xll.DBRW($A$1,$F$14,$F$15,$C2613,$A$2,$F2613,$G2613,$H2613,I$1)</f>
        <v>36</v>
      </c>
      <c r="J2613" s="25">
        <f>_xll.DBRW($A$1,$F$14,$F$15,$C2613,$A$2,$F2613,$G2613,$H2613,J$19)</f>
        <v>32</v>
      </c>
    </row>
    <row r="2614" spans="1:10" s="23" customFormat="1" outlineLevel="1" thickBot="1" x14ac:dyDescent="0.3">
      <c r="A2614" s="44"/>
      <c r="B2614" s="31" t="str">
        <f>IF(_xll.TM1RPTELISCONSOLIDATED($H$20,$H2614),IF(_xll.TM1RPTELLEV($H$20,$H2614)&lt;=5,_xll.TM1RPTELLEV($H$20,$H2614),"Default"),"Leaf")</f>
        <v>Leaf</v>
      </c>
      <c r="C2614" s="26" t="s">
        <v>23</v>
      </c>
      <c r="D2614" s="24" t="str">
        <f>_xll.DBRW("TM1-S1_DEV:}ElementAttributes_SP_SKU",$F2614,D$1)</f>
        <v>Primary</v>
      </c>
      <c r="E2614" s="24" t="str">
        <f>_xll.DBRW("TM1-S1_DEV:}ElementAttributes_SP_SKU",$F2614,E$1)</f>
        <v>BOWL</v>
      </c>
      <c r="F2614" s="26" t="s">
        <v>3215</v>
      </c>
      <c r="G2614" s="26" t="s">
        <v>2157</v>
      </c>
      <c r="H2614" s="26" t="s">
        <v>2703</v>
      </c>
      <c r="I2614" s="54">
        <f>_xll.DBRW($A$1,$F$14,$F$15,$C2614,$A$2,$F2614,$G2614,$H2614,I$1)</f>
        <v>28</v>
      </c>
      <c r="J2614" s="25">
        <f>_xll.DBRW($A$1,$F$14,$F$15,$C2614,$A$2,$F2614,$G2614,$H2614,J$19)</f>
        <v>23</v>
      </c>
    </row>
    <row r="2615" spans="1:10" s="23" customFormat="1" outlineLevel="1" thickBot="1" x14ac:dyDescent="0.3">
      <c r="A2615" s="44"/>
      <c r="B2615" s="31" t="str">
        <f>IF(_xll.TM1RPTELISCONSOLIDATED($H$20,$H2615),IF(_xll.TM1RPTELLEV($H$20,$H2615)&lt;=5,_xll.TM1RPTELLEV($H$20,$H2615),"Default"),"Leaf")</f>
        <v>Leaf</v>
      </c>
      <c r="C2615" s="26" t="s">
        <v>23</v>
      </c>
      <c r="D2615" s="24" t="str">
        <f>_xll.DBRW("TM1-S1_DEV:}ElementAttributes_SP_SKU",$F2615,D$1)</f>
        <v>Primary</v>
      </c>
      <c r="E2615" s="24" t="str">
        <f>_xll.DBRW("TM1-S1_DEV:}ElementAttributes_SP_SKU",$F2615,E$1)</f>
        <v>BOWL</v>
      </c>
      <c r="F2615" s="26" t="s">
        <v>3216</v>
      </c>
      <c r="G2615" s="26" t="s">
        <v>2158</v>
      </c>
      <c r="H2615" s="26" t="s">
        <v>2703</v>
      </c>
      <c r="I2615" s="54">
        <f>_xll.DBRW($A$1,$F$14,$F$15,$C2615,$A$2,$F2615,$G2615,$H2615,I$1)</f>
        <v>25</v>
      </c>
      <c r="J2615" s="25">
        <f>_xll.DBRW($A$1,$F$14,$F$15,$C2615,$A$2,$F2615,$G2615,$H2615,J$19)</f>
        <v>21</v>
      </c>
    </row>
    <row r="2616" spans="1:10" s="23" customFormat="1" outlineLevel="1" thickBot="1" x14ac:dyDescent="0.3">
      <c r="A2616" s="44"/>
      <c r="B2616" s="31" t="str">
        <f>IF(_xll.TM1RPTELISCONSOLIDATED($H$20,$H2616),IF(_xll.TM1RPTELLEV($H$20,$H2616)&lt;=5,_xll.TM1RPTELLEV($H$20,$H2616),"Default"),"Leaf")</f>
        <v>Leaf</v>
      </c>
      <c r="C2616" s="26" t="s">
        <v>23</v>
      </c>
      <c r="D2616" s="24" t="str">
        <f>_xll.DBRW("TM1-S1_DEV:}ElementAttributes_SP_SKU",$F2616,D$1)</f>
        <v>Primary</v>
      </c>
      <c r="E2616" s="24" t="str">
        <f>_xll.DBRW("TM1-S1_DEV:}ElementAttributes_SP_SKU",$F2616,E$1)</f>
        <v>UTENSIL</v>
      </c>
      <c r="F2616" s="26" t="s">
        <v>3217</v>
      </c>
      <c r="G2616" s="26" t="s">
        <v>2159</v>
      </c>
      <c r="H2616" s="26" t="s">
        <v>2703</v>
      </c>
      <c r="I2616" s="54">
        <f>_xll.DBRW($A$1,$F$14,$F$15,$C2616,$A$2,$F2616,$G2616,$H2616,I$1)</f>
        <v>30</v>
      </c>
      <c r="J2616" s="25">
        <f>_xll.DBRW($A$1,$F$14,$F$15,$C2616,$A$2,$F2616,$G2616,$H2616,J$19)</f>
        <v>27</v>
      </c>
    </row>
    <row r="2617" spans="1:10" s="23" customFormat="1" outlineLevel="1" thickBot="1" x14ac:dyDescent="0.3">
      <c r="A2617" s="44"/>
      <c r="B2617" s="31" t="str">
        <f>IF(_xll.TM1RPTELISCONSOLIDATED($H$20,$H2617),IF(_xll.TM1RPTELLEV($H$20,$H2617)&lt;=5,_xll.TM1RPTELLEV($H$20,$H2617),"Default"),"Leaf")</f>
        <v>Leaf</v>
      </c>
      <c r="C2617" s="26" t="s">
        <v>23</v>
      </c>
      <c r="D2617" s="24" t="str">
        <f>_xll.DBRW("TM1-S1_DEV:}ElementAttributes_SP_SKU",$F2617,D$1)</f>
        <v>Primary</v>
      </c>
      <c r="E2617" s="24" t="str">
        <f>_xll.DBRW("TM1-S1_DEV:}ElementAttributes_SP_SKU",$F2617,E$1)</f>
        <v>UTENSIL</v>
      </c>
      <c r="F2617" s="26" t="s">
        <v>3218</v>
      </c>
      <c r="G2617" s="26" t="s">
        <v>2160</v>
      </c>
      <c r="H2617" s="26" t="s">
        <v>2703</v>
      </c>
      <c r="I2617" s="54">
        <f>_xll.DBRW($A$1,$F$14,$F$15,$C2617,$A$2,$F2617,$G2617,$H2617,I$1)</f>
        <v>55</v>
      </c>
      <c r="J2617" s="25">
        <f>_xll.DBRW($A$1,$F$14,$F$15,$C2617,$A$2,$F2617,$G2617,$H2617,J$19)</f>
        <v>50</v>
      </c>
    </row>
    <row r="2618" spans="1:10" s="23" customFormat="1" outlineLevel="1" thickBot="1" x14ac:dyDescent="0.3">
      <c r="A2618" s="44"/>
      <c r="B2618" s="31" t="str">
        <f>IF(_xll.TM1RPTELISCONSOLIDATED($H$20,$H2618),IF(_xll.TM1RPTELLEV($H$20,$H2618)&lt;=5,_xll.TM1RPTELLEV($H$20,$H2618),"Default"),"Leaf")</f>
        <v>Leaf</v>
      </c>
      <c r="C2618" s="26" t="s">
        <v>23</v>
      </c>
      <c r="D2618" s="24" t="str">
        <f>_xll.DBRW("TM1-S1_DEV:}ElementAttributes_SP_SKU",$F2618,D$1)</f>
        <v>Primary</v>
      </c>
      <c r="E2618" s="24" t="str">
        <f>_xll.DBRW("TM1-S1_DEV:}ElementAttributes_SP_SKU",$F2618,E$1)</f>
        <v>BAG</v>
      </c>
      <c r="F2618" s="26" t="s">
        <v>3219</v>
      </c>
      <c r="G2618" s="26" t="s">
        <v>2161</v>
      </c>
      <c r="H2618" s="26" t="s">
        <v>2705</v>
      </c>
      <c r="I2618" s="54">
        <f>_xll.DBRW($A$1,$F$14,$F$15,$C2618,$A$2,$F2618,$G2618,$H2618,I$1)</f>
        <v>30</v>
      </c>
      <c r="J2618" s="25">
        <f>_xll.DBRW($A$1,$F$14,$F$15,$C2618,$A$2,$F2618,$G2618,$H2618,J$19)</f>
        <v>25</v>
      </c>
    </row>
    <row r="2619" spans="1:10" s="23" customFormat="1" outlineLevel="1" thickBot="1" x14ac:dyDescent="0.3">
      <c r="A2619" s="44"/>
      <c r="B2619" s="31" t="str">
        <f>IF(_xll.TM1RPTELISCONSOLIDATED($H$20,$H2619),IF(_xll.TM1RPTELLEV($H$20,$H2619)&lt;=5,_xll.TM1RPTELLEV($H$20,$H2619),"Default"),"Leaf")</f>
        <v>Leaf</v>
      </c>
      <c r="C2619" s="26" t="s">
        <v>23</v>
      </c>
      <c r="D2619" s="24" t="str">
        <f>_xll.DBRW("TM1-S1_DEV:}ElementAttributes_SP_SKU",$F2619,D$1)</f>
        <v>Primary</v>
      </c>
      <c r="E2619" s="24" t="str">
        <f>_xll.DBRW("TM1-S1_DEV:}ElementAttributes_SP_SKU",$F2619,E$1)</f>
        <v>BOX</v>
      </c>
      <c r="F2619" s="26" t="s">
        <v>3220</v>
      </c>
      <c r="G2619" s="26" t="s">
        <v>2162</v>
      </c>
      <c r="H2619" s="26" t="s">
        <v>2702</v>
      </c>
      <c r="I2619" s="54">
        <f>_xll.DBRW($A$1,$F$14,$F$15,$C2619,$A$2,$F2619,$G2619,$H2619,I$1)</f>
        <v>50</v>
      </c>
      <c r="J2619" s="25">
        <f>_xll.DBRW($A$1,$F$14,$F$15,$C2619,$A$2,$F2619,$G2619,$H2619,J$19)</f>
        <v>50</v>
      </c>
    </row>
    <row r="2620" spans="1:10" s="23" customFormat="1" outlineLevel="1" thickBot="1" x14ac:dyDescent="0.3">
      <c r="A2620" s="44"/>
      <c r="B2620" s="31" t="str">
        <f>IF(_xll.TM1RPTELISCONSOLIDATED($H$20,$H2620),IF(_xll.TM1RPTELLEV($H$20,$H2620)&lt;=5,_xll.TM1RPTELLEV($H$20,$H2620),"Default"),"Leaf")</f>
        <v>Leaf</v>
      </c>
      <c r="C2620" s="26" t="s">
        <v>23</v>
      </c>
      <c r="D2620" s="24" t="str">
        <f>_xll.DBRW("TM1-S1_DEV:}ElementAttributes_SP_SKU",$F2620,D$1)</f>
        <v>Primary</v>
      </c>
      <c r="E2620" s="24" t="str">
        <f>_xll.DBRW("TM1-S1_DEV:}ElementAttributes_SP_SKU",$F2620,E$1)</f>
        <v>BOX</v>
      </c>
      <c r="F2620" s="26" t="s">
        <v>3221</v>
      </c>
      <c r="G2620" s="26" t="s">
        <v>2163</v>
      </c>
      <c r="H2620" s="26" t="s">
        <v>2702</v>
      </c>
      <c r="I2620" s="54">
        <f>_xll.DBRW($A$1,$F$14,$F$15,$C2620,$A$2,$F2620,$G2620,$H2620,I$1)</f>
        <v>11</v>
      </c>
      <c r="J2620" s="25">
        <f>_xll.DBRW($A$1,$F$14,$F$15,$C2620,$A$2,$F2620,$G2620,$H2620,J$19)</f>
        <v>11</v>
      </c>
    </row>
    <row r="2621" spans="1:10" s="23" customFormat="1" outlineLevel="1" thickBot="1" x14ac:dyDescent="0.3">
      <c r="A2621" s="44"/>
      <c r="B2621" s="31" t="str">
        <f>IF(_xll.TM1RPTELISCONSOLIDATED($H$20,$H2621),IF(_xll.TM1RPTELLEV($H$20,$H2621)&lt;=5,_xll.TM1RPTELLEV($H$20,$H2621),"Default"),"Leaf")</f>
        <v>Leaf</v>
      </c>
      <c r="C2621" s="26" t="s">
        <v>23</v>
      </c>
      <c r="D2621" s="24" t="str">
        <f>_xll.DBRW("TM1-S1_DEV:}ElementAttributes_SP_SKU",$F2621,D$1)</f>
        <v>Primary</v>
      </c>
      <c r="E2621" s="24" t="str">
        <f>_xll.DBRW("TM1-S1_DEV:}ElementAttributes_SP_SKU",$F2621,E$1)</f>
        <v>BOX</v>
      </c>
      <c r="F2621" s="26" t="s">
        <v>3222</v>
      </c>
      <c r="G2621" s="26" t="s">
        <v>2164</v>
      </c>
      <c r="H2621" s="26" t="s">
        <v>2702</v>
      </c>
      <c r="I2621" s="54">
        <f>_xll.DBRW($A$1,$F$14,$F$15,$C2621,$A$2,$F2621,$G2621,$H2621,I$1)</f>
        <v>31</v>
      </c>
      <c r="J2621" s="25">
        <f>_xll.DBRW($A$1,$F$14,$F$15,$C2621,$A$2,$F2621,$G2621,$H2621,J$19)</f>
        <v>31</v>
      </c>
    </row>
    <row r="2622" spans="1:10" s="23" customFormat="1" outlineLevel="1" thickBot="1" x14ac:dyDescent="0.3">
      <c r="A2622" s="44"/>
      <c r="B2622" s="31" t="str">
        <f>IF(_xll.TM1RPTELISCONSOLIDATED($H$20,$H2622),IF(_xll.TM1RPTELLEV($H$20,$H2622)&lt;=5,_xll.TM1RPTELLEV($H$20,$H2622),"Default"),"Leaf")</f>
        <v>Leaf</v>
      </c>
      <c r="C2622" s="26" t="s">
        <v>23</v>
      </c>
      <c r="D2622" s="24" t="str">
        <f>_xll.DBRW("TM1-S1_DEV:}ElementAttributes_SP_SKU",$F2622,D$1)</f>
        <v>Primary</v>
      </c>
      <c r="E2622" s="24" t="str">
        <f>_xll.DBRW("TM1-S1_DEV:}ElementAttributes_SP_SKU",$F2622,E$1)</f>
        <v>BOWL</v>
      </c>
      <c r="F2622" s="26" t="s">
        <v>3223</v>
      </c>
      <c r="G2622" s="26" t="s">
        <v>2165</v>
      </c>
      <c r="H2622" s="26" t="s">
        <v>2703</v>
      </c>
      <c r="I2622" s="54">
        <f>_xll.DBRW($A$1,$F$14,$F$15,$C2622,$A$2,$F2622,$G2622,$H2622,I$1)</f>
        <v>19</v>
      </c>
      <c r="J2622" s="25">
        <f>_xll.DBRW($A$1,$F$14,$F$15,$C2622,$A$2,$F2622,$G2622,$H2622,J$19)</f>
        <v>17</v>
      </c>
    </row>
    <row r="2623" spans="1:10" s="23" customFormat="1" outlineLevel="1" thickBot="1" x14ac:dyDescent="0.3">
      <c r="A2623" s="44"/>
      <c r="B2623" s="31" t="str">
        <f>IF(_xll.TM1RPTELISCONSOLIDATED($H$20,$H2623),IF(_xll.TM1RPTELLEV($H$20,$H2623)&lt;=5,_xll.TM1RPTELLEV($H$20,$H2623),"Default"),"Leaf")</f>
        <v>Leaf</v>
      </c>
      <c r="C2623" s="26" t="s">
        <v>23</v>
      </c>
      <c r="D2623" s="24" t="str">
        <f>_xll.DBRW("TM1-S1_DEV:}ElementAttributes_SP_SKU",$F2623,D$1)</f>
        <v>Primary</v>
      </c>
      <c r="E2623" s="24" t="str">
        <f>_xll.DBRW("TM1-S1_DEV:}ElementAttributes_SP_SKU",$F2623,E$1)</f>
        <v>BAG</v>
      </c>
      <c r="F2623" s="26" t="s">
        <v>3224</v>
      </c>
      <c r="G2623" s="26" t="s">
        <v>2166</v>
      </c>
      <c r="H2623" s="26" t="s">
        <v>2705</v>
      </c>
      <c r="I2623" s="54">
        <f>_xll.DBRW($A$1,$F$14,$F$15,$C2623,$A$2,$F2623,$G2623,$H2623,I$1)</f>
        <v>22</v>
      </c>
      <c r="J2623" s="25">
        <f>_xll.DBRW($A$1,$F$14,$F$15,$C2623,$A$2,$F2623,$G2623,$H2623,J$19)</f>
        <v>23</v>
      </c>
    </row>
    <row r="2624" spans="1:10" s="23" customFormat="1" outlineLevel="1" thickBot="1" x14ac:dyDescent="0.3">
      <c r="A2624" s="44"/>
      <c r="B2624" s="31" t="str">
        <f>IF(_xll.TM1RPTELISCONSOLIDATED($H$20,$H2624),IF(_xll.TM1RPTELLEV($H$20,$H2624)&lt;=5,_xll.TM1RPTELLEV($H$20,$H2624),"Default"),"Leaf")</f>
        <v>Leaf</v>
      </c>
      <c r="C2624" s="26" t="s">
        <v>23</v>
      </c>
      <c r="D2624" s="24" t="str">
        <f>_xll.DBRW("TM1-S1_DEV:}ElementAttributes_SP_SKU",$F2624,D$1)</f>
        <v>Primary</v>
      </c>
      <c r="E2624" s="24" t="str">
        <f>_xll.DBRW("TM1-S1_DEV:}ElementAttributes_SP_SKU",$F2624,E$1)</f>
        <v>CUP</v>
      </c>
      <c r="F2624" s="26" t="s">
        <v>3225</v>
      </c>
      <c r="G2624" s="26" t="s">
        <v>2167</v>
      </c>
      <c r="H2624" s="26" t="s">
        <v>2707</v>
      </c>
      <c r="I2624" s="54">
        <f>_xll.DBRW($A$1,$F$14,$F$15,$C2624,$A$2,$F2624,$G2624,$H2624,I$1)</f>
        <v>3</v>
      </c>
      <c r="J2624" s="25">
        <f>_xll.DBRW($A$1,$F$14,$F$15,$C2624,$A$2,$F2624,$G2624,$H2624,J$19)</f>
        <v>32</v>
      </c>
    </row>
    <row r="2625" spans="1:10" s="23" customFormat="1" outlineLevel="1" thickBot="1" x14ac:dyDescent="0.3">
      <c r="A2625" s="44"/>
      <c r="B2625" s="31" t="str">
        <f>IF(_xll.TM1RPTELISCONSOLIDATED($H$20,$H2625),IF(_xll.TM1RPTELLEV($H$20,$H2625)&lt;=5,_xll.TM1RPTELLEV($H$20,$H2625),"Default"),"Leaf")</f>
        <v>Leaf</v>
      </c>
      <c r="C2625" s="26" t="s">
        <v>23</v>
      </c>
      <c r="D2625" s="24" t="str">
        <f>_xll.DBRW("TM1-S1_DEV:}ElementAttributes_SP_SKU",$F2625,D$1)</f>
        <v>Primary</v>
      </c>
      <c r="E2625" s="24" t="str">
        <f>_xll.DBRW("TM1-S1_DEV:}ElementAttributes_SP_SKU",$F2625,E$1)</f>
        <v>CUP</v>
      </c>
      <c r="F2625" s="26" t="s">
        <v>3226</v>
      </c>
      <c r="G2625" s="26" t="s">
        <v>2168</v>
      </c>
      <c r="H2625" s="26" t="s">
        <v>2707</v>
      </c>
      <c r="I2625" s="54">
        <f>_xll.DBRW($A$1,$F$14,$F$15,$C2625,$A$2,$F2625,$G2625,$H2625,I$1)</f>
        <v>10</v>
      </c>
      <c r="J2625" s="25">
        <f>_xll.DBRW($A$1,$F$14,$F$15,$C2625,$A$2,$F2625,$G2625,$H2625,J$19)</f>
        <v>26</v>
      </c>
    </row>
    <row r="2626" spans="1:10" s="23" customFormat="1" outlineLevel="1" thickBot="1" x14ac:dyDescent="0.3">
      <c r="A2626" s="44"/>
      <c r="B2626" s="31" t="str">
        <f>IF(_xll.TM1RPTELISCONSOLIDATED($H$20,$H2626),IF(_xll.TM1RPTELLEV($H$20,$H2626)&lt;=5,_xll.TM1RPTELLEV($H$20,$H2626),"Default"),"Leaf")</f>
        <v>Leaf</v>
      </c>
      <c r="C2626" s="26" t="s">
        <v>23</v>
      </c>
      <c r="D2626" s="24" t="str">
        <f>_xll.DBRW("TM1-S1_DEV:}ElementAttributes_SP_SKU",$F2626,D$1)</f>
        <v>Primary</v>
      </c>
      <c r="E2626" s="24" t="str">
        <f>_xll.DBRW("TM1-S1_DEV:}ElementAttributes_SP_SKU",$F2626,E$1)</f>
        <v>PROTEIN</v>
      </c>
      <c r="F2626" s="26" t="s">
        <v>3227</v>
      </c>
      <c r="G2626" s="26" t="s">
        <v>2169</v>
      </c>
      <c r="H2626" s="26" t="s">
        <v>2673</v>
      </c>
      <c r="I2626" s="54">
        <f>_xll.DBRW($A$1,$F$14,$F$15,$C2626,$A$2,$F2626,$G2626,$H2626,I$1)</f>
        <v>294</v>
      </c>
      <c r="J2626" s="25">
        <f>_xll.DBRW($A$1,$F$14,$F$15,$C2626,$A$2,$F2626,$G2626,$H2626,J$19)</f>
        <v>273</v>
      </c>
    </row>
    <row r="2627" spans="1:10" s="23" customFormat="1" outlineLevel="1" thickBot="1" x14ac:dyDescent="0.3">
      <c r="A2627" s="44"/>
      <c r="B2627" s="31" t="str">
        <f>IF(_xll.TM1RPTELISCONSOLIDATED($H$20,$H2627),IF(_xll.TM1RPTELLEV($H$20,$H2627)&lt;=5,_xll.TM1RPTELLEV($H$20,$H2627),"Default"),"Leaf")</f>
        <v>Leaf</v>
      </c>
      <c r="C2627" s="26" t="s">
        <v>23</v>
      </c>
      <c r="D2627" s="24" t="str">
        <f>_xll.DBRW("TM1-S1_DEV:}ElementAttributes_SP_SKU",$F2627,D$1)</f>
        <v>Primary</v>
      </c>
      <c r="E2627" s="24" t="str">
        <f>_xll.DBRW("TM1-S1_DEV:}ElementAttributes_SP_SKU",$F2627,E$1)</f>
        <v>GLOVES</v>
      </c>
      <c r="F2627" s="26" t="s">
        <v>3274</v>
      </c>
      <c r="G2627" s="26" t="s">
        <v>2170</v>
      </c>
      <c r="H2627" s="26" t="s">
        <v>2712</v>
      </c>
      <c r="I2627" s="54">
        <f>_xll.DBRW($A$1,$F$14,$F$15,$C2627,$A$2,$F2627,$G2627,$H2627,I$1)</f>
        <v>17</v>
      </c>
      <c r="J2627" s="25">
        <f>_xll.DBRW($A$1,$F$14,$F$15,$C2627,$A$2,$F2627,$G2627,$H2627,J$19)</f>
        <v>13</v>
      </c>
    </row>
    <row r="2628" spans="1:10" s="23" customFormat="1" outlineLevel="1" thickBot="1" x14ac:dyDescent="0.3">
      <c r="A2628" s="44"/>
      <c r="B2628" s="31" t="str">
        <f>IF(_xll.TM1RPTELISCONSOLIDATED($H$20,$H2628),IF(_xll.TM1RPTELLEV($H$20,$H2628)&lt;=5,_xll.TM1RPTELLEV($H$20,$H2628),"Default"),"Leaf")</f>
        <v>Leaf</v>
      </c>
      <c r="C2628" s="26" t="s">
        <v>23</v>
      </c>
      <c r="D2628" s="24" t="str">
        <f>_xll.DBRW("TM1-S1_DEV:}ElementAttributes_SP_SKU",$F2628,D$1)</f>
        <v>Primary</v>
      </c>
      <c r="E2628" s="24" t="str">
        <f>_xll.DBRW("TM1-S1_DEV:}ElementAttributes_SP_SKU",$F2628,E$1)</f>
        <v>GLOVES</v>
      </c>
      <c r="F2628" s="26" t="s">
        <v>3275</v>
      </c>
      <c r="G2628" s="26" t="s">
        <v>2171</v>
      </c>
      <c r="H2628" s="26" t="s">
        <v>2712</v>
      </c>
      <c r="I2628" s="54">
        <f>_xll.DBRW($A$1,$F$14,$F$15,$C2628,$A$2,$F2628,$G2628,$H2628,I$1)</f>
        <v>33</v>
      </c>
      <c r="J2628" s="25">
        <f>_xll.DBRW($A$1,$F$14,$F$15,$C2628,$A$2,$F2628,$G2628,$H2628,J$19)</f>
        <v>29</v>
      </c>
    </row>
    <row r="2629" spans="1:10" s="23" customFormat="1" outlineLevel="1" thickBot="1" x14ac:dyDescent="0.3">
      <c r="A2629" s="44"/>
      <c r="B2629" s="31" t="str">
        <f>IF(_xll.TM1RPTELISCONSOLIDATED($H$20,$H2629),IF(_xll.TM1RPTELLEV($H$20,$H2629)&lt;=5,_xll.TM1RPTELLEV($H$20,$H2629),"Default"),"Leaf")</f>
        <v>Leaf</v>
      </c>
      <c r="C2629" s="26" t="s">
        <v>23</v>
      </c>
      <c r="D2629" s="24" t="str">
        <f>_xll.DBRW("TM1-S1_DEV:}ElementAttributes_SP_SKU",$F2629,D$1)</f>
        <v>Primary</v>
      </c>
      <c r="E2629" s="24" t="str">
        <f>_xll.DBRW("TM1-S1_DEV:}ElementAttributes_SP_SKU",$F2629,E$1)</f>
        <v>GLOVES</v>
      </c>
      <c r="F2629" s="26" t="s">
        <v>3276</v>
      </c>
      <c r="G2629" s="26" t="s">
        <v>2172</v>
      </c>
      <c r="H2629" s="26" t="s">
        <v>2712</v>
      </c>
      <c r="I2629" s="54">
        <f>_xll.DBRW($A$1,$F$14,$F$15,$C2629,$A$2,$F2629,$G2629,$H2629,I$1)</f>
        <v>82</v>
      </c>
      <c r="J2629" s="25">
        <f>_xll.DBRW($A$1,$F$14,$F$15,$C2629,$A$2,$F2629,$G2629,$H2629,J$19)</f>
        <v>73</v>
      </c>
    </row>
    <row r="2630" spans="1:10" s="23" customFormat="1" outlineLevel="1" thickBot="1" x14ac:dyDescent="0.3">
      <c r="A2630" s="44"/>
      <c r="B2630" s="31" t="str">
        <f>IF(_xll.TM1RPTELISCONSOLIDATED($H$20,$H2630),IF(_xll.TM1RPTELLEV($H$20,$H2630)&lt;=5,_xll.TM1RPTELLEV($H$20,$H2630),"Default"),"Leaf")</f>
        <v>Leaf</v>
      </c>
      <c r="C2630" s="26" t="s">
        <v>23</v>
      </c>
      <c r="D2630" s="24" t="str">
        <f>_xll.DBRW("TM1-S1_DEV:}ElementAttributes_SP_SKU",$F2630,D$1)</f>
        <v>Primary</v>
      </c>
      <c r="E2630" s="24" t="str">
        <f>_xll.DBRW("TM1-S1_DEV:}ElementAttributes_SP_SKU",$F2630,E$1)</f>
        <v>TRAY</v>
      </c>
      <c r="F2630" s="26" t="s">
        <v>3228</v>
      </c>
      <c r="G2630" s="26" t="s">
        <v>2173</v>
      </c>
      <c r="H2630" s="26" t="s">
        <v>2708</v>
      </c>
      <c r="I2630" s="54">
        <f>_xll.DBRW($A$1,$F$14,$F$15,$C2630,$A$2,$F2630,$G2630,$H2630,I$1)</f>
        <v>42</v>
      </c>
      <c r="J2630" s="25">
        <f>_xll.DBRW($A$1,$F$14,$F$15,$C2630,$A$2,$F2630,$G2630,$H2630,J$19)</f>
        <v>37</v>
      </c>
    </row>
    <row r="2631" spans="1:10" s="23" customFormat="1" outlineLevel="1" thickBot="1" x14ac:dyDescent="0.3">
      <c r="A2631" s="44"/>
      <c r="B2631" s="31" t="str">
        <f>IF(_xll.TM1RPTELISCONSOLIDATED($H$20,$H2631),IF(_xll.TM1RPTELLEV($H$20,$H2631)&lt;=5,_xll.TM1RPTELLEV($H$20,$H2631),"Default"),"Leaf")</f>
        <v>Leaf</v>
      </c>
      <c r="C2631" s="26" t="s">
        <v>23</v>
      </c>
      <c r="D2631" s="24" t="str">
        <f>_xll.DBRW("TM1-S1_DEV:}ElementAttributes_SP_SKU",$F2631,D$1)</f>
        <v>Primary</v>
      </c>
      <c r="E2631" s="24" t="str">
        <f>_xll.DBRW("TM1-S1_DEV:}ElementAttributes_SP_SKU",$F2631,E$1)</f>
        <v>TRAY</v>
      </c>
      <c r="F2631" s="26" t="s">
        <v>3229</v>
      </c>
      <c r="G2631" s="26" t="s">
        <v>2174</v>
      </c>
      <c r="H2631" s="26" t="s">
        <v>2708</v>
      </c>
      <c r="I2631" s="54">
        <f>_xll.DBRW($A$1,$F$14,$F$15,$C2631,$A$2,$F2631,$G2631,$H2631,I$1)</f>
        <v>46</v>
      </c>
      <c r="J2631" s="25">
        <f>_xll.DBRW($A$1,$F$14,$F$15,$C2631,$A$2,$F2631,$G2631,$H2631,J$19)</f>
        <v>41</v>
      </c>
    </row>
    <row r="2632" spans="1:10" s="23" customFormat="1" outlineLevel="1" thickBot="1" x14ac:dyDescent="0.3">
      <c r="A2632" s="44"/>
      <c r="B2632" s="31" t="str">
        <f>IF(_xll.TM1RPTELISCONSOLIDATED($H$20,$H2632),IF(_xll.TM1RPTELLEV($H$20,$H2632)&lt;=5,_xll.TM1RPTELLEV($H$20,$H2632),"Default"),"Leaf")</f>
        <v>Leaf</v>
      </c>
      <c r="C2632" s="26" t="s">
        <v>23</v>
      </c>
      <c r="D2632" s="24" t="str">
        <f>_xll.DBRW("TM1-S1_DEV:}ElementAttributes_SP_SKU",$F2632,D$1)</f>
        <v>Primary</v>
      </c>
      <c r="E2632" s="24" t="str">
        <f>_xll.DBRW("TM1-S1_DEV:}ElementAttributes_SP_SKU",$F2632,E$1)</f>
        <v>BOWL</v>
      </c>
      <c r="F2632" s="26" t="s">
        <v>3230</v>
      </c>
      <c r="G2632" s="26" t="s">
        <v>2175</v>
      </c>
      <c r="H2632" s="26" t="s">
        <v>2703</v>
      </c>
      <c r="I2632" s="54">
        <f>_xll.DBRW($A$1,$F$14,$F$15,$C2632,$A$2,$F2632,$G2632,$H2632,I$1)</f>
        <v>42</v>
      </c>
      <c r="J2632" s="25">
        <f>_xll.DBRW($A$1,$F$14,$F$15,$C2632,$A$2,$F2632,$G2632,$H2632,J$19)</f>
        <v>39</v>
      </c>
    </row>
    <row r="2633" spans="1:10" s="23" customFormat="1" outlineLevel="1" thickBot="1" x14ac:dyDescent="0.3">
      <c r="A2633" s="44"/>
      <c r="B2633" s="31" t="str">
        <f>IF(_xll.TM1RPTELISCONSOLIDATED($H$20,$H2633),IF(_xll.TM1RPTELLEV($H$20,$H2633)&lt;=5,_xll.TM1RPTELLEV($H$20,$H2633),"Default"),"Leaf")</f>
        <v>Leaf</v>
      </c>
      <c r="C2633" s="26" t="s">
        <v>23</v>
      </c>
      <c r="D2633" s="24" t="str">
        <f>_xll.DBRW("TM1-S1_DEV:}ElementAttributes_SP_SKU",$F2633,D$1)</f>
        <v>Primary</v>
      </c>
      <c r="E2633" s="24" t="str">
        <f>_xll.DBRW("TM1-S1_DEV:}ElementAttributes_SP_SKU",$F2633,E$1)</f>
        <v>BREAD</v>
      </c>
      <c r="F2633" s="26" t="s">
        <v>3260</v>
      </c>
      <c r="G2633" s="26" t="s">
        <v>2176</v>
      </c>
      <c r="H2633" s="26" t="s">
        <v>2710</v>
      </c>
      <c r="I2633" s="54">
        <f>_xll.DBRW($A$1,$F$14,$F$15,$C2633,$A$2,$F2633,$G2633,$H2633,I$1)</f>
        <v>24</v>
      </c>
      <c r="J2633" s="25">
        <f>_xll.DBRW($A$1,$F$14,$F$15,$C2633,$A$2,$F2633,$G2633,$H2633,J$19)</f>
        <v>25</v>
      </c>
    </row>
    <row r="2634" spans="1:10" s="23" customFormat="1" outlineLevel="1" thickBot="1" x14ac:dyDescent="0.3">
      <c r="A2634" s="44"/>
      <c r="B2634" s="31" t="str">
        <f>IF(_xll.TM1RPTELISCONSOLIDATED($H$20,$H2634),IF(_xll.TM1RPTELLEV($H$20,$H2634)&lt;=5,_xll.TM1RPTELLEV($H$20,$H2634),"Default"),"Leaf")</f>
        <v>Leaf</v>
      </c>
      <c r="C2634" s="26" t="s">
        <v>23</v>
      </c>
      <c r="D2634" s="24" t="str">
        <f>_xll.DBRW("TM1-S1_DEV:}ElementAttributes_SP_SKU",$F2634,D$1)</f>
        <v>Primary</v>
      </c>
      <c r="E2634" s="24" t="str">
        <f>_xll.DBRW("TM1-S1_DEV:}ElementAttributes_SP_SKU",$F2634,E$1)</f>
        <v>TRAY</v>
      </c>
      <c r="F2634" s="26" t="s">
        <v>3231</v>
      </c>
      <c r="G2634" s="26" t="s">
        <v>2177</v>
      </c>
      <c r="H2634" s="26" t="s">
        <v>2711</v>
      </c>
      <c r="I2634" s="54">
        <f>_xll.DBRW($A$1,$F$14,$F$15,$C2634,$A$2,$F2634,$G2634,$H2634,I$1)</f>
        <v>31</v>
      </c>
      <c r="J2634" s="25">
        <f>_xll.DBRW($A$1,$F$14,$F$15,$C2634,$A$2,$F2634,$G2634,$H2634,J$19)</f>
        <v>26</v>
      </c>
    </row>
    <row r="2635" spans="1:10" s="23" customFormat="1" outlineLevel="1" thickBot="1" x14ac:dyDescent="0.3">
      <c r="A2635" s="44"/>
      <c r="B2635" s="31" t="str">
        <f>IF(_xll.TM1RPTELISCONSOLIDATED($H$20,$H2635),IF(_xll.TM1RPTELLEV($H$20,$H2635)&lt;=5,_xll.TM1RPTELLEV($H$20,$H2635),"Default"),"Leaf")</f>
        <v>Leaf</v>
      </c>
      <c r="C2635" s="26" t="s">
        <v>23</v>
      </c>
      <c r="D2635" s="24" t="str">
        <f>_xll.DBRW("TM1-S1_DEV:}ElementAttributes_SP_SKU",$F2635,D$1)</f>
        <v>Primary</v>
      </c>
      <c r="E2635" s="24" t="str">
        <f>_xll.DBRW("TM1-S1_DEV:}ElementAttributes_SP_SKU",$F2635,E$1)</f>
        <v>PAPER</v>
      </c>
      <c r="F2635" s="26" t="s">
        <v>3261</v>
      </c>
      <c r="G2635" s="26" t="s">
        <v>2178</v>
      </c>
      <c r="H2635" s="26" t="s">
        <v>2716</v>
      </c>
      <c r="I2635" s="54">
        <f>_xll.DBRW($A$1,$F$14,$F$15,$C2635,$A$2,$F2635,$G2635,$H2635,I$1)</f>
        <v>10</v>
      </c>
      <c r="J2635" s="25">
        <f>_xll.DBRW($A$1,$F$14,$F$15,$C2635,$A$2,$F2635,$G2635,$H2635,J$19)</f>
        <v>10</v>
      </c>
    </row>
    <row r="2636" spans="1:10" s="23" customFormat="1" outlineLevel="1" thickBot="1" x14ac:dyDescent="0.3">
      <c r="A2636" s="44"/>
      <c r="B2636" s="31" t="str">
        <f>IF(_xll.TM1RPTELISCONSOLIDATED($H$20,$H2636),IF(_xll.TM1RPTELLEV($H$20,$H2636)&lt;=5,_xll.TM1RPTELLEV($H$20,$H2636),"Default"),"Leaf")</f>
        <v>Leaf</v>
      </c>
      <c r="C2636" s="26" t="s">
        <v>23</v>
      </c>
      <c r="D2636" s="24" t="str">
        <f>_xll.DBRW("TM1-S1_DEV:}ElementAttributes_SP_SKU",$F2636,D$1)</f>
        <v>Primary</v>
      </c>
      <c r="E2636" s="24" t="str">
        <f>_xll.DBRW("TM1-S1_DEV:}ElementAttributes_SP_SKU",$F2636,E$1)</f>
        <v>BAG</v>
      </c>
      <c r="F2636" s="26" t="s">
        <v>3297</v>
      </c>
      <c r="G2636" s="26" t="s">
        <v>2179</v>
      </c>
      <c r="H2636" s="26" t="s">
        <v>2879</v>
      </c>
      <c r="I2636" s="54">
        <f>_xll.DBRW($A$1,$F$14,$F$15,$C2636,$A$2,$F2636,$G2636,$H2636,I$1)</f>
        <v>16</v>
      </c>
      <c r="J2636" s="25">
        <f>_xll.DBRW($A$1,$F$14,$F$15,$C2636,$A$2,$F2636,$G2636,$H2636,J$19)</f>
        <v>39</v>
      </c>
    </row>
    <row r="2637" spans="1:10" s="23" customFormat="1" outlineLevel="1" thickBot="1" x14ac:dyDescent="0.3">
      <c r="A2637" s="44"/>
      <c r="B2637" s="31" t="str">
        <f>IF(_xll.TM1RPTELISCONSOLIDATED($H$20,$H2637),IF(_xll.TM1RPTELLEV($H$20,$H2637)&lt;=5,_xll.TM1RPTELLEV($H$20,$H2637),"Default"),"Leaf")</f>
        <v>Leaf</v>
      </c>
      <c r="C2637" s="26" t="s">
        <v>23</v>
      </c>
      <c r="D2637" s="24" t="str">
        <f>_xll.DBRW("TM1-S1_DEV:}ElementAttributes_SP_SKU",$F2637,D$1)</f>
        <v>Primary</v>
      </c>
      <c r="E2637" s="24" t="str">
        <f>_xll.DBRW("TM1-S1_DEV:}ElementAttributes_SP_SKU",$F2637,E$1)</f>
        <v>GLOVES</v>
      </c>
      <c r="F2637" s="26" t="s">
        <v>3298</v>
      </c>
      <c r="G2637" s="26" t="s">
        <v>2180</v>
      </c>
      <c r="H2637" s="26" t="s">
        <v>2712</v>
      </c>
      <c r="I2637" s="54">
        <f>_xll.DBRW($A$1,$F$14,$F$15,$C2637,$A$2,$F2637,$G2637,$H2637,I$1)</f>
        <v>9</v>
      </c>
      <c r="J2637" s="25">
        <f>_xll.DBRW($A$1,$F$14,$F$15,$C2637,$A$2,$F2637,$G2637,$H2637,J$19)</f>
        <v>9</v>
      </c>
    </row>
    <row r="2638" spans="1:10" s="23" customFormat="1" outlineLevel="1" thickBot="1" x14ac:dyDescent="0.3">
      <c r="A2638" s="44"/>
      <c r="B2638" s="31" t="str">
        <f>IF(_xll.TM1RPTELISCONSOLIDATED($H$20,$H2638),IF(_xll.TM1RPTELLEV($H$20,$H2638)&lt;=5,_xll.TM1RPTELLEV($H$20,$H2638),"Default"),"Leaf")</f>
        <v>Leaf</v>
      </c>
      <c r="C2638" s="26" t="s">
        <v>23</v>
      </c>
      <c r="D2638" s="24" t="str">
        <f>_xll.DBRW("TM1-S1_DEV:}ElementAttributes_SP_SKU",$F2638,D$1)</f>
        <v>Primary</v>
      </c>
      <c r="E2638" s="24" t="str">
        <f>_xll.DBRW("TM1-S1_DEV:}ElementAttributes_SP_SKU",$F2638,E$1)</f>
        <v>BAG</v>
      </c>
      <c r="F2638" s="26" t="s">
        <v>3232</v>
      </c>
      <c r="G2638" s="26" t="s">
        <v>2181</v>
      </c>
      <c r="H2638" s="26" t="s">
        <v>2712</v>
      </c>
      <c r="I2638" s="54">
        <f>_xll.DBRW($A$1,$F$14,$F$15,$C2638,$A$2,$F2638,$G2638,$H2638,I$1)</f>
        <v>74</v>
      </c>
      <c r="J2638" s="25">
        <f>_xll.DBRW($A$1,$F$14,$F$15,$C2638,$A$2,$F2638,$G2638,$H2638,J$19)</f>
        <v>71</v>
      </c>
    </row>
    <row r="2639" spans="1:10" s="23" customFormat="1" outlineLevel="1" thickBot="1" x14ac:dyDescent="0.3">
      <c r="A2639" s="44"/>
      <c r="B2639" s="31" t="str">
        <f>IF(_xll.TM1RPTELISCONSOLIDATED($H$20,$H2639),IF(_xll.TM1RPTELLEV($H$20,$H2639)&lt;=5,_xll.TM1RPTELLEV($H$20,$H2639),"Default"),"Leaf")</f>
        <v>Leaf</v>
      </c>
      <c r="C2639" s="26" t="s">
        <v>23</v>
      </c>
      <c r="D2639" s="24" t="str">
        <f>_xll.DBRW("TM1-S1_DEV:}ElementAttributes_SP_SKU",$F2639,D$1)</f>
        <v>Primary</v>
      </c>
      <c r="E2639" s="24" t="str">
        <f>_xll.DBRW("TM1-S1_DEV:}ElementAttributes_SP_SKU",$F2639,E$1)</f>
        <v>PLATE</v>
      </c>
      <c r="F2639" s="26" t="s">
        <v>3299</v>
      </c>
      <c r="G2639" s="26" t="s">
        <v>2182</v>
      </c>
      <c r="H2639" s="26" t="s">
        <v>2711</v>
      </c>
      <c r="I2639" s="54">
        <f>_xll.DBRW($A$1,$F$14,$F$15,$C2639,$A$2,$F2639,$G2639,$H2639,I$1)</f>
        <v>31</v>
      </c>
      <c r="J2639" s="25">
        <f>_xll.DBRW($A$1,$F$14,$F$15,$C2639,$A$2,$F2639,$G2639,$H2639,J$19)</f>
        <v>29</v>
      </c>
    </row>
    <row r="2640" spans="1:10" s="23" customFormat="1" outlineLevel="1" thickBot="1" x14ac:dyDescent="0.3">
      <c r="A2640" s="44"/>
      <c r="B2640" s="31" t="str">
        <f>IF(_xll.TM1RPTELISCONSOLIDATED($H$20,$H2640),IF(_xll.TM1RPTELLEV($H$20,$H2640)&lt;=5,_xll.TM1RPTELLEV($H$20,$H2640),"Default"),"Leaf")</f>
        <v>Leaf</v>
      </c>
      <c r="C2640" s="26" t="s">
        <v>23</v>
      </c>
      <c r="D2640" s="24" t="str">
        <f>_xll.DBRW("TM1-S1_DEV:}ElementAttributes_SP_SKU",$F2640,D$1)</f>
        <v>Primary</v>
      </c>
      <c r="E2640" s="24" t="str">
        <f>_xll.DBRW("TM1-S1_DEV:}ElementAttributes_SP_SKU",$F2640,E$1)</f>
        <v>CONTAINER</v>
      </c>
      <c r="F2640" s="26" t="s">
        <v>3283</v>
      </c>
      <c r="G2640" s="26" t="s">
        <v>2183</v>
      </c>
      <c r="H2640" s="26" t="s">
        <v>2711</v>
      </c>
      <c r="I2640" s="54">
        <f>_xll.DBRW($A$1,$F$14,$F$15,$C2640,$A$2,$F2640,$G2640,$H2640,I$1)</f>
        <v>23</v>
      </c>
      <c r="J2640" s="25">
        <f>_xll.DBRW($A$1,$F$14,$F$15,$C2640,$A$2,$F2640,$G2640,$H2640,J$19)</f>
        <v>23</v>
      </c>
    </row>
    <row r="2641" spans="1:10" s="23" customFormat="1" outlineLevel="1" thickBot="1" x14ac:dyDescent="0.3">
      <c r="A2641" s="44"/>
      <c r="B2641" s="31" t="str">
        <f>IF(_xll.TM1RPTELISCONSOLIDATED($H$20,$H2641),IF(_xll.TM1RPTELLEV($H$20,$H2641)&lt;=5,_xll.TM1RPTELLEV($H$20,$H2641),"Default"),"Leaf")</f>
        <v>Leaf</v>
      </c>
      <c r="C2641" s="26" t="s">
        <v>23</v>
      </c>
      <c r="D2641" s="24" t="str">
        <f>_xll.DBRW("TM1-S1_DEV:}ElementAttributes_SP_SKU",$F2641,D$1)</f>
        <v>Primary</v>
      </c>
      <c r="E2641" s="24" t="str">
        <f>_xll.DBRW("TM1-S1_DEV:}ElementAttributes_SP_SKU",$F2641,E$1)</f>
        <v>CONTAINER</v>
      </c>
      <c r="F2641" s="26" t="s">
        <v>3287</v>
      </c>
      <c r="G2641" s="26" t="s">
        <v>2184</v>
      </c>
      <c r="H2641" s="26" t="s">
        <v>2711</v>
      </c>
      <c r="I2641" s="54">
        <f>_xll.DBRW($A$1,$F$14,$F$15,$C2641,$A$2,$F2641,$G2641,$H2641,I$1)</f>
        <v>7</v>
      </c>
      <c r="J2641" s="25">
        <f>_xll.DBRW($A$1,$F$14,$F$15,$C2641,$A$2,$F2641,$G2641,$H2641,J$19)</f>
        <v>7</v>
      </c>
    </row>
    <row r="2642" spans="1:10" s="23" customFormat="1" outlineLevel="1" thickBot="1" x14ac:dyDescent="0.3">
      <c r="A2642" s="44"/>
      <c r="B2642" s="31" t="str">
        <f>IF(_xll.TM1RPTELISCONSOLIDATED($H$20,$H2642),IF(_xll.TM1RPTELLEV($H$20,$H2642)&lt;=5,_xll.TM1RPTELLEV($H$20,$H2642),"Default"),"Leaf")</f>
        <v>Leaf</v>
      </c>
      <c r="C2642" s="26" t="s">
        <v>23</v>
      </c>
      <c r="D2642" s="24" t="str">
        <f>_xll.DBRW("TM1-S1_DEV:}ElementAttributes_SP_SKU",$F2642,D$1)</f>
        <v>Primary</v>
      </c>
      <c r="E2642" s="24" t="str">
        <f>_xll.DBRW("TM1-S1_DEV:}ElementAttributes_SP_SKU",$F2642,E$1)</f>
        <v>UTENSIL</v>
      </c>
      <c r="F2642" s="26" t="s">
        <v>3293</v>
      </c>
      <c r="G2642" s="26" t="s">
        <v>2185</v>
      </c>
      <c r="H2642" s="26" t="s">
        <v>2860</v>
      </c>
      <c r="I2642" s="54">
        <f>_xll.DBRW($A$1,$F$14,$F$15,$C2642,$A$2,$F2642,$G2642,$H2642,I$1)</f>
        <v>0</v>
      </c>
      <c r="J2642" s="25">
        <f>_xll.DBRW($A$1,$F$14,$F$15,$C2642,$A$2,$F2642,$G2642,$H2642,J$19)</f>
        <v>-1</v>
      </c>
    </row>
    <row r="2643" spans="1:10" s="23" customFormat="1" outlineLevel="1" thickBot="1" x14ac:dyDescent="0.3">
      <c r="A2643" s="44"/>
      <c r="B2643" s="31" t="str">
        <f>IF(_xll.TM1RPTELISCONSOLIDATED($H$20,$H2643),IF(_xll.TM1RPTELLEV($H$20,$H2643)&lt;=5,_xll.TM1RPTELLEV($H$20,$H2643),"Default"),"Leaf")</f>
        <v>Leaf</v>
      </c>
      <c r="C2643" s="26" t="s">
        <v>23</v>
      </c>
      <c r="D2643" s="24" t="str">
        <f>_xll.DBRW("TM1-S1_DEV:}ElementAttributes_SP_SKU",$F2643,D$1)</f>
        <v>Primary</v>
      </c>
      <c r="E2643" s="24" t="str">
        <f>_xll.DBRW("TM1-S1_DEV:}ElementAttributes_SP_SKU",$F2643,E$1)</f>
        <v>UTENSIL</v>
      </c>
      <c r="F2643" s="26" t="s">
        <v>3300</v>
      </c>
      <c r="G2643" s="26" t="s">
        <v>2186</v>
      </c>
      <c r="H2643" s="26" t="s">
        <v>2860</v>
      </c>
      <c r="I2643" s="54">
        <f>_xll.DBRW($A$1,$F$14,$F$15,$C2643,$A$2,$F2643,$G2643,$H2643,I$1)</f>
        <v>38</v>
      </c>
      <c r="J2643" s="25">
        <f>_xll.DBRW($A$1,$F$14,$F$15,$C2643,$A$2,$F2643,$G2643,$H2643,J$19)</f>
        <v>37</v>
      </c>
    </row>
    <row r="2644" spans="1:10" s="23" customFormat="1" outlineLevel="1" thickBot="1" x14ac:dyDescent="0.3">
      <c r="A2644" s="44"/>
      <c r="B2644" s="31" t="str">
        <f>IF(_xll.TM1RPTELISCONSOLIDATED($H$20,$H2644),IF(_xll.TM1RPTELLEV($H$20,$H2644)&lt;=5,_xll.TM1RPTELLEV($H$20,$H2644),"Default"),"Leaf")</f>
        <v>Leaf</v>
      </c>
      <c r="C2644" s="26" t="s">
        <v>23</v>
      </c>
      <c r="D2644" s="24" t="str">
        <f>_xll.DBRW("TM1-S1_DEV:}ElementAttributes_SP_SKU",$F2644,D$1)</f>
        <v>Primary</v>
      </c>
      <c r="E2644" s="24" t="str">
        <f>_xll.DBRW("TM1-S1_DEV:}ElementAttributes_SP_SKU",$F2644,E$1)</f>
        <v>CONTAINER</v>
      </c>
      <c r="F2644" s="26" t="s">
        <v>3284</v>
      </c>
      <c r="G2644" s="26" t="s">
        <v>2187</v>
      </c>
      <c r="H2644" s="26" t="s">
        <v>2860</v>
      </c>
      <c r="I2644" s="54">
        <f>_xll.DBRW($A$1,$F$14,$F$15,$C2644,$A$2,$F2644,$G2644,$H2644,I$1)</f>
        <v>22</v>
      </c>
      <c r="J2644" s="25">
        <f>_xll.DBRW($A$1,$F$14,$F$15,$C2644,$A$2,$F2644,$G2644,$H2644,J$19)</f>
        <v>18</v>
      </c>
    </row>
    <row r="2645" spans="1:10" s="23" customFormat="1" outlineLevel="1" thickBot="1" x14ac:dyDescent="0.3">
      <c r="A2645" s="44"/>
      <c r="B2645" s="31" t="str">
        <f>IF(_xll.TM1RPTELISCONSOLIDATED($H$20,$H2645),IF(_xll.TM1RPTELLEV($H$20,$H2645)&lt;=5,_xll.TM1RPTELLEV($H$20,$H2645),"Default"),"Leaf")</f>
        <v>Leaf</v>
      </c>
      <c r="C2645" s="26" t="s">
        <v>23</v>
      </c>
      <c r="D2645" s="24" t="str">
        <f>_xll.DBRW("TM1-S1_DEV:}ElementAttributes_SP_SKU",$F2645,D$1)</f>
        <v>Primary</v>
      </c>
      <c r="E2645" s="24" t="str">
        <f>_xll.DBRW("TM1-S1_DEV:}ElementAttributes_SP_SKU",$F2645,E$1)</f>
        <v>FILM</v>
      </c>
      <c r="F2645" s="26" t="s">
        <v>3233</v>
      </c>
      <c r="G2645" s="26" t="s">
        <v>2188</v>
      </c>
      <c r="H2645" s="26" t="s">
        <v>2713</v>
      </c>
      <c r="I2645" s="54">
        <f>_xll.DBRW($A$1,$F$14,$F$15,$C2645,$A$2,$F2645,$G2645,$H2645,I$1)</f>
        <v>1</v>
      </c>
      <c r="J2645" s="25">
        <f>_xll.DBRW($A$1,$F$14,$F$15,$C2645,$A$2,$F2645,$G2645,$H2645,J$19)</f>
        <v>11</v>
      </c>
    </row>
    <row r="2646" spans="1:10" s="23" customFormat="1" outlineLevel="1" thickBot="1" x14ac:dyDescent="0.3">
      <c r="A2646" s="44"/>
      <c r="B2646" s="31" t="str">
        <f>IF(_xll.TM1RPTELISCONSOLIDATED($H$20,$H2646),IF(_xll.TM1RPTELLEV($H$20,$H2646)&lt;=5,_xll.TM1RPTELLEV($H$20,$H2646),"Default"),"Leaf")</f>
        <v>Leaf</v>
      </c>
      <c r="C2646" s="26" t="s">
        <v>23</v>
      </c>
      <c r="D2646" s="24" t="str">
        <f>_xll.DBRW("TM1-S1_DEV:}ElementAttributes_SP_SKU",$F2646,D$1)</f>
        <v>Primary</v>
      </c>
      <c r="E2646" s="24" t="str">
        <f>_xll.DBRW("TM1-S1_DEV:}ElementAttributes_SP_SKU",$F2646,E$1)</f>
        <v>BAG</v>
      </c>
      <c r="F2646" s="26" t="s">
        <v>3234</v>
      </c>
      <c r="G2646" s="26" t="s">
        <v>2189</v>
      </c>
      <c r="H2646" s="26" t="s">
        <v>2714</v>
      </c>
      <c r="I2646" s="54">
        <f>_xll.DBRW($A$1,$F$14,$F$15,$C2646,$A$2,$F2646,$G2646,$H2646,I$1)</f>
        <v>5</v>
      </c>
      <c r="J2646" s="25">
        <f>_xll.DBRW($A$1,$F$14,$F$15,$C2646,$A$2,$F2646,$G2646,$H2646,J$19)</f>
        <v>5</v>
      </c>
    </row>
    <row r="2647" spans="1:10" s="23" customFormat="1" outlineLevel="1" thickBot="1" x14ac:dyDescent="0.3">
      <c r="A2647" s="44"/>
      <c r="B2647" s="31" t="str">
        <f>IF(_xll.TM1RPTELISCONSOLIDATED($H$20,$H2647),IF(_xll.TM1RPTELLEV($H$20,$H2647)&lt;=5,_xll.TM1RPTELLEV($H$20,$H2647),"Default"),"Leaf")</f>
        <v>Leaf</v>
      </c>
      <c r="C2647" s="26" t="s">
        <v>23</v>
      </c>
      <c r="D2647" s="24" t="str">
        <f>_xll.DBRW("TM1-S1_DEV:}ElementAttributes_SP_SKU",$F2647,D$1)</f>
        <v>Primary</v>
      </c>
      <c r="E2647" s="24" t="str">
        <f>_xll.DBRW("TM1-S1_DEV:}ElementAttributes_SP_SKU",$F2647,E$1)</f>
        <v>FILM</v>
      </c>
      <c r="F2647" s="26" t="s">
        <v>3235</v>
      </c>
      <c r="G2647" s="26" t="s">
        <v>2190</v>
      </c>
      <c r="H2647" s="26" t="s">
        <v>2713</v>
      </c>
      <c r="I2647" s="54">
        <f>_xll.DBRW($A$1,$F$14,$F$15,$C2647,$A$2,$F2647,$G2647,$H2647,I$1)</f>
        <v>2</v>
      </c>
      <c r="J2647" s="25">
        <f>_xll.DBRW($A$1,$F$14,$F$15,$C2647,$A$2,$F2647,$G2647,$H2647,J$19)</f>
        <v>9</v>
      </c>
    </row>
    <row r="2648" spans="1:10" s="23" customFormat="1" outlineLevel="1" thickBot="1" x14ac:dyDescent="0.3">
      <c r="A2648" s="44"/>
      <c r="B2648" s="31" t="str">
        <f>IF(_xll.TM1RPTELISCONSOLIDATED($H$20,$H2648),IF(_xll.TM1RPTELLEV($H$20,$H2648)&lt;=5,_xll.TM1RPTELLEV($H$20,$H2648),"Default"),"Leaf")</f>
        <v>Leaf</v>
      </c>
      <c r="C2648" s="26" t="s">
        <v>23</v>
      </c>
      <c r="D2648" s="24" t="str">
        <f>_xll.DBRW("TM1-S1_DEV:}ElementAttributes_SP_SKU",$F2648,D$1)</f>
        <v>Primary</v>
      </c>
      <c r="E2648" s="24" t="str">
        <f>_xll.DBRW("TM1-S1_DEV:}ElementAttributes_SP_SKU",$F2648,E$1)</f>
        <v>CONTAINER</v>
      </c>
      <c r="F2648" s="26" t="s">
        <v>3285</v>
      </c>
      <c r="G2648" s="26" t="s">
        <v>2191</v>
      </c>
      <c r="H2648" s="26" t="s">
        <v>2711</v>
      </c>
      <c r="I2648" s="54">
        <f>_xll.DBRW($A$1,$F$14,$F$15,$C2648,$A$2,$F2648,$G2648,$H2648,I$1)</f>
        <v>18</v>
      </c>
      <c r="J2648" s="25">
        <f>_xll.DBRW($A$1,$F$14,$F$15,$C2648,$A$2,$F2648,$G2648,$H2648,J$19)</f>
        <v>18</v>
      </c>
    </row>
    <row r="2649" spans="1:10" s="23" customFormat="1" outlineLevel="1" thickBot="1" x14ac:dyDescent="0.3">
      <c r="A2649" s="44"/>
      <c r="B2649" s="31" t="str">
        <f>IF(_xll.TM1RPTELISCONSOLIDATED($H$20,$H2649),IF(_xll.TM1RPTELLEV($H$20,$H2649)&lt;=5,_xll.TM1RPTELLEV($H$20,$H2649),"Default"),"Leaf")</f>
        <v>Leaf</v>
      </c>
      <c r="C2649" s="26" t="s">
        <v>23</v>
      </c>
      <c r="D2649" s="24" t="str">
        <f>_xll.DBRW("TM1-S1_DEV:}ElementAttributes_SP_SKU",$F2649,D$1)</f>
        <v>Primary</v>
      </c>
      <c r="E2649" s="24" t="str">
        <f>_xll.DBRW("TM1-S1_DEV:}ElementAttributes_SP_SKU",$F2649,E$1)</f>
        <v>PAPER</v>
      </c>
      <c r="F2649" s="26" t="s">
        <v>3301</v>
      </c>
      <c r="G2649" s="26" t="s">
        <v>2192</v>
      </c>
      <c r="H2649" s="26" t="s">
        <v>2714</v>
      </c>
      <c r="I2649" s="54">
        <f>_xll.DBRW($A$1,$F$14,$F$15,$C2649,$A$2,$F2649,$G2649,$H2649,I$1)</f>
        <v>15</v>
      </c>
      <c r="J2649" s="25">
        <f>_xll.DBRW($A$1,$F$14,$F$15,$C2649,$A$2,$F2649,$G2649,$H2649,J$19)</f>
        <v>15</v>
      </c>
    </row>
    <row r="2650" spans="1:10" s="23" customFormat="1" outlineLevel="1" thickBot="1" x14ac:dyDescent="0.3">
      <c r="A2650" s="44"/>
      <c r="B2650" s="31" t="str">
        <f>IF(_xll.TM1RPTELISCONSOLIDATED($H$20,$H2650),IF(_xll.TM1RPTELLEV($H$20,$H2650)&lt;=5,_xll.TM1RPTELLEV($H$20,$H2650),"Default"),"Leaf")</f>
        <v>Leaf</v>
      </c>
      <c r="C2650" s="26" t="s">
        <v>23</v>
      </c>
      <c r="D2650" s="24" t="str">
        <f>_xll.DBRW("TM1-S1_DEV:}ElementAttributes_SP_SKU",$F2650,D$1)</f>
        <v>Primary</v>
      </c>
      <c r="E2650" s="24" t="str">
        <f>_xll.DBRW("TM1-S1_DEV:}ElementAttributes_SP_SKU",$F2650,E$1)</f>
        <v>UTENSIL</v>
      </c>
      <c r="F2650" s="26" t="s">
        <v>3286</v>
      </c>
      <c r="G2650" s="26" t="s">
        <v>2193</v>
      </c>
      <c r="H2650" s="26" t="s">
        <v>2711</v>
      </c>
      <c r="I2650" s="54">
        <f>_xll.DBRW($A$1,$F$14,$F$15,$C2650,$A$2,$F2650,$G2650,$H2650,I$1)</f>
        <v>5</v>
      </c>
      <c r="J2650" s="25">
        <f>_xll.DBRW($A$1,$F$14,$F$15,$C2650,$A$2,$F2650,$G2650,$H2650,J$19)</f>
        <v>5</v>
      </c>
    </row>
    <row r="2651" spans="1:10" s="23" customFormat="1" outlineLevel="1" thickBot="1" x14ac:dyDescent="0.3">
      <c r="A2651" s="44"/>
      <c r="B2651" s="31" t="str">
        <f>IF(_xll.TM1RPTELISCONSOLIDATED($H$20,$H2651),IF(_xll.TM1RPTELLEV($H$20,$H2651)&lt;=5,_xll.TM1RPTELLEV($H$20,$H2651),"Default"),"Leaf")</f>
        <v>Leaf</v>
      </c>
      <c r="C2651" s="26" t="s">
        <v>23</v>
      </c>
      <c r="D2651" s="24" t="str">
        <f>_xll.DBRW("TM1-S1_DEV:}ElementAttributes_SP_SKU",$F2651,D$1)</f>
        <v>Primary</v>
      </c>
      <c r="E2651" s="24" t="str">
        <f>_xll.DBRW("TM1-S1_DEV:}ElementAttributes_SP_SKU",$F2651,E$1)</f>
        <v>BREAD</v>
      </c>
      <c r="F2651" s="26" t="s">
        <v>31</v>
      </c>
      <c r="G2651" s="26" t="s">
        <v>2195</v>
      </c>
      <c r="H2651" s="26" t="s">
        <v>2689</v>
      </c>
      <c r="I2651" s="54">
        <f>_xll.DBRW($A$1,$F$14,$F$15,$C2651,$A$2,$F2651,$G2651,$H2651,I$1)</f>
        <v>86</v>
      </c>
      <c r="J2651" s="25">
        <f>_xll.DBRW($A$1,$F$14,$F$15,$C2651,$A$2,$F2651,$G2651,$H2651,J$19)</f>
        <v>72</v>
      </c>
    </row>
    <row r="2652" spans="1:10" s="23" customFormat="1" outlineLevel="1" thickBot="1" x14ac:dyDescent="0.3">
      <c r="A2652" s="44"/>
      <c r="B2652" s="31" t="str">
        <f>IF(_xll.TM1RPTELISCONSOLIDATED($H$20,$H2652),IF(_xll.TM1RPTELLEV($H$20,$H2652)&lt;=5,_xll.TM1RPTELLEV($H$20,$H2652),"Default"),"Leaf")</f>
        <v>Leaf</v>
      </c>
      <c r="C2652" s="26" t="s">
        <v>23</v>
      </c>
      <c r="D2652" s="24" t="str">
        <f>_xll.DBRW("TM1-S1_DEV:}ElementAttributes_SP_SKU",$F2652,D$1)</f>
        <v>Primary</v>
      </c>
      <c r="E2652" s="24" t="str">
        <f>_xll.DBRW("TM1-S1_DEV:}ElementAttributes_SP_SKU",$F2652,E$1)</f>
        <v>BREAD</v>
      </c>
      <c r="F2652" s="26" t="s">
        <v>3277</v>
      </c>
      <c r="G2652" s="26" t="s">
        <v>2197</v>
      </c>
      <c r="H2652" s="26" t="s">
        <v>2689</v>
      </c>
      <c r="I2652" s="54">
        <f>_xll.DBRW($A$1,$F$14,$F$15,$C2652,$A$2,$F2652,$G2652,$H2652,I$1)</f>
        <v>18</v>
      </c>
      <c r="J2652" s="25">
        <f>_xll.DBRW($A$1,$F$14,$F$15,$C2652,$A$2,$F2652,$G2652,$H2652,J$19)</f>
        <v>18</v>
      </c>
    </row>
    <row r="2653" spans="1:10" s="23" customFormat="1" outlineLevel="1" thickBot="1" x14ac:dyDescent="0.3">
      <c r="A2653" s="44"/>
      <c r="B2653" s="31" t="str">
        <f>IF(_xll.TM1RPTELISCONSOLIDATED($H$20,$H2653),IF(_xll.TM1RPTELLEV($H$20,$H2653)&lt;=5,_xll.TM1RPTELLEV($H$20,$H2653),"Default"),"Leaf")</f>
        <v>Leaf</v>
      </c>
      <c r="C2653" s="26" t="s">
        <v>23</v>
      </c>
      <c r="D2653" s="24" t="str">
        <f>_xll.DBRW("TM1-S1_DEV:}ElementAttributes_SP_SKU",$F2653,D$1)</f>
        <v>Primary</v>
      </c>
      <c r="E2653" s="24" t="str">
        <f>_xll.DBRW("TM1-S1_DEV:}ElementAttributes_SP_SKU",$F2653,E$1)</f>
        <v>BOWL</v>
      </c>
      <c r="F2653" s="26" t="s">
        <v>3237</v>
      </c>
      <c r="G2653" s="26" t="s">
        <v>2198</v>
      </c>
      <c r="H2653" s="26" t="s">
        <v>2703</v>
      </c>
      <c r="I2653" s="54">
        <f>_xll.DBRW($A$1,$F$14,$F$15,$C2653,$A$2,$F2653,$G2653,$H2653,I$1)</f>
        <v>74</v>
      </c>
      <c r="J2653" s="25">
        <f>_xll.DBRW($A$1,$F$14,$F$15,$C2653,$A$2,$F2653,$G2653,$H2653,J$19)</f>
        <v>72</v>
      </c>
    </row>
    <row r="2654" spans="1:10" s="23" customFormat="1" outlineLevel="1" thickBot="1" x14ac:dyDescent="0.3">
      <c r="A2654" s="44"/>
      <c r="B2654" s="31" t="str">
        <f>IF(_xll.TM1RPTELISCONSOLIDATED($H$20,$H2654),IF(_xll.TM1RPTELLEV($H$20,$H2654)&lt;=5,_xll.TM1RPTELLEV($H$20,$H2654),"Default"),"Leaf")</f>
        <v>Leaf</v>
      </c>
      <c r="C2654" s="26" t="s">
        <v>23</v>
      </c>
      <c r="D2654" s="24" t="str">
        <f>_xll.DBRW("TM1-S1_DEV:}ElementAttributes_SP_SKU",$F2654,D$1)</f>
        <v>Primary</v>
      </c>
      <c r="E2654" s="24" t="str">
        <f>_xll.DBRW("TM1-S1_DEV:}ElementAttributes_SP_SKU",$F2654,E$1)</f>
        <v>BOWL</v>
      </c>
      <c r="F2654" s="26" t="s">
        <v>3238</v>
      </c>
      <c r="G2654" s="26" t="s">
        <v>2199</v>
      </c>
      <c r="H2654" s="26" t="s">
        <v>2703</v>
      </c>
      <c r="I2654" s="54">
        <f>_xll.DBRW($A$1,$F$14,$F$15,$C2654,$A$2,$F2654,$G2654,$H2654,I$1)</f>
        <v>34</v>
      </c>
      <c r="J2654" s="25">
        <f>_xll.DBRW($A$1,$F$14,$F$15,$C2654,$A$2,$F2654,$G2654,$H2654,J$19)</f>
        <v>31</v>
      </c>
    </row>
    <row r="2655" spans="1:10" s="23" customFormat="1" outlineLevel="1" thickBot="1" x14ac:dyDescent="0.3">
      <c r="A2655" s="44"/>
      <c r="B2655" s="31" t="str">
        <f>IF(_xll.TM1RPTELISCONSOLIDATED($H$20,$H2655),IF(_xll.TM1RPTELLEV($H$20,$H2655)&lt;=5,_xll.TM1RPTELLEV($H$20,$H2655),"Default"),"Leaf")</f>
        <v>Leaf</v>
      </c>
      <c r="C2655" s="26" t="s">
        <v>23</v>
      </c>
      <c r="D2655" s="24" t="str">
        <f>_xll.DBRW("TM1-S1_DEV:}ElementAttributes_SP_SKU",$F2655,D$1)</f>
        <v>Primary</v>
      </c>
      <c r="E2655" s="24" t="str">
        <f>_xll.DBRW("TM1-S1_DEV:}ElementAttributes_SP_SKU",$F2655,E$1)</f>
        <v>TRAY</v>
      </c>
      <c r="F2655" s="26" t="s">
        <v>360</v>
      </c>
      <c r="G2655" s="26" t="s">
        <v>2200</v>
      </c>
      <c r="H2655" s="26" t="s">
        <v>2703</v>
      </c>
      <c r="I2655" s="54">
        <f>_xll.DBRW($A$1,$F$14,$F$15,$C2655,$A$2,$F2655,$G2655,$H2655,I$1)</f>
        <v>0</v>
      </c>
      <c r="J2655" s="25">
        <f>_xll.DBRW($A$1,$F$14,$F$15,$C2655,$A$2,$F2655,$G2655,$H2655,J$19)</f>
        <v>-2</v>
      </c>
    </row>
    <row r="2656" spans="1:10" s="23" customFormat="1" outlineLevel="1" thickBot="1" x14ac:dyDescent="0.3">
      <c r="A2656" s="44"/>
      <c r="B2656" s="31" t="str">
        <f>IF(_xll.TM1RPTELISCONSOLIDATED($H$20,$H2656),IF(_xll.TM1RPTELLEV($H$20,$H2656)&lt;=5,_xll.TM1RPTELLEV($H$20,$H2656),"Default"),"Leaf")</f>
        <v>Leaf</v>
      </c>
      <c r="C2656" s="26" t="s">
        <v>23</v>
      </c>
      <c r="D2656" s="24" t="str">
        <f>_xll.DBRW("TM1-S1_DEV:}ElementAttributes_SP_SKU",$F2656,D$1)</f>
        <v>Primary</v>
      </c>
      <c r="E2656" s="24" t="str">
        <f>_xll.DBRW("TM1-S1_DEV:}ElementAttributes_SP_SKU",$F2656,E$1)</f>
        <v>TRAY</v>
      </c>
      <c r="F2656" s="26" t="s">
        <v>361</v>
      </c>
      <c r="G2656" s="26" t="s">
        <v>2201</v>
      </c>
      <c r="H2656" s="26" t="s">
        <v>2703</v>
      </c>
      <c r="I2656" s="54">
        <f>_xll.DBRW($A$1,$F$14,$F$15,$C2656,$A$2,$F2656,$G2656,$H2656,I$1)</f>
        <v>0</v>
      </c>
      <c r="J2656" s="25">
        <f>_xll.DBRW($A$1,$F$14,$F$15,$C2656,$A$2,$F2656,$G2656,$H2656,J$19)</f>
        <v>-2</v>
      </c>
    </row>
    <row r="2657" spans="1:10" s="23" customFormat="1" outlineLevel="1" thickBot="1" x14ac:dyDescent="0.3">
      <c r="A2657" s="44"/>
      <c r="B2657" s="31" t="str">
        <f>IF(_xll.TM1RPTELISCONSOLIDATED($H$20,$H2657),IF(_xll.TM1RPTELLEV($H$20,$H2657)&lt;=5,_xll.TM1RPTELLEV($H$20,$H2657),"Default"),"Leaf")</f>
        <v>Leaf</v>
      </c>
      <c r="C2657" s="26" t="s">
        <v>23</v>
      </c>
      <c r="D2657" s="24" t="str">
        <f>_xll.DBRW("TM1-S1_DEV:}ElementAttributes_SP_SKU",$F2657,D$1)</f>
        <v>Primary</v>
      </c>
      <c r="E2657" s="24" t="str">
        <f>_xll.DBRW("TM1-S1_DEV:}ElementAttributes_SP_SKU",$F2657,E$1)</f>
        <v>TRAY</v>
      </c>
      <c r="F2657" s="26" t="s">
        <v>362</v>
      </c>
      <c r="G2657" s="26" t="s">
        <v>2202</v>
      </c>
      <c r="H2657" s="26" t="s">
        <v>2703</v>
      </c>
      <c r="I2657" s="54">
        <f>_xll.DBRW($A$1,$F$14,$F$15,$C2657,$A$2,$F2657,$G2657,$H2657,I$1)</f>
        <v>0</v>
      </c>
      <c r="J2657" s="25">
        <f>_xll.DBRW($A$1,$F$14,$F$15,$C2657,$A$2,$F2657,$G2657,$H2657,J$19)</f>
        <v>-2</v>
      </c>
    </row>
    <row r="2658" spans="1:10" s="23" customFormat="1" outlineLevel="1" thickBot="1" x14ac:dyDescent="0.3">
      <c r="A2658" s="44"/>
      <c r="B2658" s="31" t="str">
        <f>IF(_xll.TM1RPTELISCONSOLIDATED($H$20,$H2658),IF(_xll.TM1RPTELLEV($H$20,$H2658)&lt;=5,_xll.TM1RPTELLEV($H$20,$H2658),"Default"),"Leaf")</f>
        <v>Leaf</v>
      </c>
      <c r="C2658" s="26" t="s">
        <v>23</v>
      </c>
      <c r="D2658" s="24" t="str">
        <f>_xll.DBRW("TM1-S1_DEV:}ElementAttributes_SP_SKU",$F2658,D$1)</f>
        <v>Primary</v>
      </c>
      <c r="E2658" s="24" t="str">
        <f>_xll.DBRW("TM1-S1_DEV:}ElementAttributes_SP_SKU",$F2658,E$1)</f>
        <v>UTENSIL</v>
      </c>
      <c r="F2658" s="26" t="s">
        <v>3004</v>
      </c>
      <c r="G2658" s="26" t="s">
        <v>3065</v>
      </c>
      <c r="H2658" s="26" t="s">
        <v>2703</v>
      </c>
      <c r="I2658" s="54">
        <f>_xll.DBRW($A$1,$F$14,$F$15,$C2658,$A$2,$F2658,$G2658,$H2658,I$1)</f>
        <v>0</v>
      </c>
      <c r="J2658" s="25">
        <f>_xll.DBRW($A$1,$F$14,$F$15,$C2658,$A$2,$F2658,$G2658,$H2658,J$19)</f>
        <v>-2</v>
      </c>
    </row>
    <row r="2659" spans="1:10" s="23" customFormat="1" outlineLevel="1" thickBot="1" x14ac:dyDescent="0.3">
      <c r="A2659" s="44"/>
      <c r="B2659" s="31" t="str">
        <f>IF(_xll.TM1RPTELISCONSOLIDATED($H$20,$H2659),IF(_xll.TM1RPTELLEV($H$20,$H2659)&lt;=5,_xll.TM1RPTELLEV($H$20,$H2659),"Default"),"Leaf")</f>
        <v>Leaf</v>
      </c>
      <c r="C2659" s="26" t="s">
        <v>23</v>
      </c>
      <c r="D2659" s="24" t="str">
        <f>_xll.DBRW("TM1-S1_DEV:}ElementAttributes_SP_SKU",$F2659,D$1)</f>
        <v>Primary</v>
      </c>
      <c r="E2659" s="24" t="str">
        <f>_xll.DBRW("TM1-S1_DEV:}ElementAttributes_SP_SKU",$F2659,E$1)</f>
        <v>CHEESE</v>
      </c>
      <c r="F2659" s="26" t="s">
        <v>363</v>
      </c>
      <c r="G2659" s="26" t="s">
        <v>2203</v>
      </c>
      <c r="H2659" s="26" t="s">
        <v>2692</v>
      </c>
      <c r="I2659" s="54">
        <f>_xll.DBRW($A$1,$F$14,$F$15,$C2659,$A$2,$F2659,$G2659,$H2659,I$1)</f>
        <v>17</v>
      </c>
      <c r="J2659" s="25">
        <f>_xll.DBRW($A$1,$F$14,$F$15,$C2659,$A$2,$F2659,$G2659,$H2659,J$19)</f>
        <v>15</v>
      </c>
    </row>
    <row r="2660" spans="1:10" s="23" customFormat="1" outlineLevel="1" thickBot="1" x14ac:dyDescent="0.3">
      <c r="A2660" s="44"/>
      <c r="B2660" s="31" t="str">
        <f>IF(_xll.TM1RPTELISCONSOLIDATED($H$20,$H2660),IF(_xll.TM1RPTELLEV($H$20,$H2660)&lt;=5,_xll.TM1RPTELLEV($H$20,$H2660),"Default"),"Leaf")</f>
        <v>Leaf</v>
      </c>
      <c r="C2660" s="26" t="s">
        <v>23</v>
      </c>
      <c r="D2660" s="24" t="str">
        <f>_xll.DBRW("TM1-S1_DEV:}ElementAttributes_SP_SKU",$F2660,D$1)</f>
        <v>Primary</v>
      </c>
      <c r="E2660" s="24" t="str">
        <f>_xll.DBRW("TM1-S1_DEV:}ElementAttributes_SP_SKU",$F2660,E$1)</f>
        <v>PAPER</v>
      </c>
      <c r="F2660" s="26" t="s">
        <v>3239</v>
      </c>
      <c r="G2660" s="26" t="s">
        <v>2204</v>
      </c>
      <c r="H2660" s="26" t="s">
        <v>2715</v>
      </c>
      <c r="I2660" s="54">
        <f>_xll.DBRW($A$1,$F$14,$F$15,$C2660,$A$2,$F2660,$G2660,$H2660,I$1)</f>
        <v>58</v>
      </c>
      <c r="J2660" s="25">
        <f>_xll.DBRW($A$1,$F$14,$F$15,$C2660,$A$2,$F2660,$G2660,$H2660,J$19)</f>
        <v>53</v>
      </c>
    </row>
    <row r="2661" spans="1:10" s="23" customFormat="1" outlineLevel="1" thickBot="1" x14ac:dyDescent="0.3">
      <c r="A2661" s="44"/>
      <c r="B2661" s="31" t="str">
        <f>IF(_xll.TM1RPTELISCONSOLIDATED($H$20,$H2661),IF(_xll.TM1RPTELLEV($H$20,$H2661)&lt;=5,_xll.TM1RPTELLEV($H$20,$H2661),"Default"),"Leaf")</f>
        <v>Leaf</v>
      </c>
      <c r="C2661" s="26" t="s">
        <v>23</v>
      </c>
      <c r="D2661" s="24" t="str">
        <f>_xll.DBRW("TM1-S1_DEV:}ElementAttributes_SP_SKU",$F2661,D$1)</f>
        <v>Unassigned PSP</v>
      </c>
      <c r="E2661" s="24" t="str">
        <f>_xll.DBRW("TM1-S1_DEV:}ElementAttributes_SP_SKU",$F2661,E$1)</f>
        <v>UTENSIL</v>
      </c>
      <c r="F2661" s="26" t="s">
        <v>434</v>
      </c>
      <c r="G2661" s="26" t="s">
        <v>2225</v>
      </c>
      <c r="H2661" s="26" t="s">
        <v>2881</v>
      </c>
      <c r="I2661" s="54">
        <f>_xll.DBRW($A$1,$F$14,$F$15,$C2661,$A$2,$F2661,$G2661,$H2661,I$1)</f>
        <v>0</v>
      </c>
      <c r="J2661" s="25">
        <f>_xll.DBRW($A$1,$F$14,$F$15,$C2661,$A$2,$F2661,$G2661,$H2661,J$19)</f>
        <v>52</v>
      </c>
    </row>
    <row r="2662" spans="1:10" s="23" customFormat="1" outlineLevel="1" thickBot="1" x14ac:dyDescent="0.3">
      <c r="A2662" s="44"/>
      <c r="B2662" s="31" t="str">
        <f>IF(_xll.TM1RPTELISCONSOLIDATED($H$20,$H2662),IF(_xll.TM1RPTELLEV($H$20,$H2662)&lt;=5,_xll.TM1RPTELLEV($H$20,$H2662),"Default"),"Leaf")</f>
        <v>Leaf</v>
      </c>
      <c r="C2662" s="26" t="s">
        <v>23</v>
      </c>
      <c r="D2662" s="24" t="str">
        <f>_xll.DBRW("TM1-S1_DEV:}ElementAttributes_SP_SKU",$F2662,D$1)</f>
        <v>Unassigned PSP</v>
      </c>
      <c r="E2662" s="24" t="str">
        <f>_xll.DBRW("TM1-S1_DEV:}ElementAttributes_SP_SKU",$F2662,E$1)</f>
        <v>UTENSIL</v>
      </c>
      <c r="F2662" s="26" t="s">
        <v>435</v>
      </c>
      <c r="G2662" s="26" t="s">
        <v>2227</v>
      </c>
      <c r="H2662" s="26" t="s">
        <v>2881</v>
      </c>
      <c r="I2662" s="54">
        <f>_xll.DBRW($A$1,$F$14,$F$15,$C2662,$A$2,$F2662,$G2662,$H2662,I$1)</f>
        <v>45</v>
      </c>
      <c r="J2662" s="25">
        <f>_xll.DBRW($A$1,$F$14,$F$15,$C2662,$A$2,$F2662,$G2662,$H2662,J$19)</f>
        <v>45</v>
      </c>
    </row>
    <row r="2663" spans="1:10" s="23" customFormat="1" outlineLevel="1" thickBot="1" x14ac:dyDescent="0.3">
      <c r="A2663" s="44"/>
      <c r="B2663" s="31" t="str">
        <f>IF(_xll.TM1RPTELISCONSOLIDATED($H$20,$H2663),IF(_xll.TM1RPTELLEV($H$20,$H2663)&lt;=5,_xll.TM1RPTELLEV($H$20,$H2663),"Default"),"Leaf")</f>
        <v>Leaf</v>
      </c>
      <c r="C2663" s="26" t="s">
        <v>23</v>
      </c>
      <c r="D2663" s="24" t="str">
        <f>_xll.DBRW("TM1-S1_DEV:}ElementAttributes_SP_SKU",$F2663,D$1)</f>
        <v>Primary</v>
      </c>
      <c r="E2663" s="24" t="str">
        <f>_xll.DBRW("TM1-S1_DEV:}ElementAttributes_SP_SKU",$F2663,E$1)</f>
        <v>PLATE</v>
      </c>
      <c r="F2663" s="26" t="s">
        <v>3294</v>
      </c>
      <c r="G2663" s="26" t="s">
        <v>2205</v>
      </c>
      <c r="H2663" s="26" t="s">
        <v>2708</v>
      </c>
      <c r="I2663" s="54">
        <f>_xll.DBRW($A$1,$F$14,$F$15,$C2663,$A$2,$F2663,$G2663,$H2663,I$1)</f>
        <v>7</v>
      </c>
      <c r="J2663" s="25">
        <f>_xll.DBRW($A$1,$F$14,$F$15,$C2663,$A$2,$F2663,$G2663,$H2663,J$19)</f>
        <v>7</v>
      </c>
    </row>
    <row r="2664" spans="1:10" s="23" customFormat="1" outlineLevel="1" thickBot="1" x14ac:dyDescent="0.3">
      <c r="A2664" s="44"/>
      <c r="B2664" s="31" t="str">
        <f>IF(_xll.TM1RPTELISCONSOLIDATED($H$20,$H2664),IF(_xll.TM1RPTELLEV($H$20,$H2664)&lt;=5,_xll.TM1RPTELLEV($H$20,$H2664),"Default"),"Leaf")</f>
        <v>Leaf</v>
      </c>
      <c r="C2664" s="26" t="s">
        <v>23</v>
      </c>
      <c r="D2664" s="24" t="str">
        <f>_xll.DBRW("TM1-S1_DEV:}ElementAttributes_SP_SKU",$F2664,D$1)</f>
        <v>Primary</v>
      </c>
      <c r="E2664" s="24" t="str">
        <f>_xll.DBRW("TM1-S1_DEV:}ElementAttributes_SP_SKU",$F2664,E$1)</f>
        <v>BOWL</v>
      </c>
      <c r="F2664" s="26" t="s">
        <v>32</v>
      </c>
      <c r="G2664" s="26" t="s">
        <v>2206</v>
      </c>
      <c r="H2664" s="26" t="s">
        <v>2708</v>
      </c>
      <c r="I2664" s="54">
        <f>_xll.DBRW($A$1,$F$14,$F$15,$C2664,$A$2,$F2664,$G2664,$H2664,I$1)</f>
        <v>37</v>
      </c>
      <c r="J2664" s="25">
        <f>_xll.DBRW($A$1,$F$14,$F$15,$C2664,$A$2,$F2664,$G2664,$H2664,J$19)</f>
        <v>33</v>
      </c>
    </row>
    <row r="2665" spans="1:10" s="23" customFormat="1" outlineLevel="1" thickBot="1" x14ac:dyDescent="0.3">
      <c r="A2665" s="44"/>
      <c r="B2665" s="31" t="str">
        <f>IF(_xll.TM1RPTELISCONSOLIDATED($H$20,$H2665),IF(_xll.TM1RPTELLEV($H$20,$H2665)&lt;=5,_xll.TM1RPTELLEV($H$20,$H2665),"Default"),"Leaf")</f>
        <v>Leaf</v>
      </c>
      <c r="C2665" s="26" t="s">
        <v>23</v>
      </c>
      <c r="D2665" s="24" t="str">
        <f>_xll.DBRW("TM1-S1_DEV:}ElementAttributes_SP_SKU",$F2665,D$1)</f>
        <v>Primary</v>
      </c>
      <c r="E2665" s="24" t="str">
        <f>_xll.DBRW("TM1-S1_DEV:}ElementAttributes_SP_SKU",$F2665,E$1)</f>
        <v>BOWL</v>
      </c>
      <c r="F2665" s="26" t="s">
        <v>33</v>
      </c>
      <c r="G2665" s="26" t="s">
        <v>2207</v>
      </c>
      <c r="H2665" s="26" t="s">
        <v>2708</v>
      </c>
      <c r="I2665" s="54">
        <f>_xll.DBRW($A$1,$F$14,$F$15,$C2665,$A$2,$F2665,$G2665,$H2665,I$1)</f>
        <v>30</v>
      </c>
      <c r="J2665" s="25">
        <f>_xll.DBRW($A$1,$F$14,$F$15,$C2665,$A$2,$F2665,$G2665,$H2665,J$19)</f>
        <v>28</v>
      </c>
    </row>
    <row r="2666" spans="1:10" s="23" customFormat="1" outlineLevel="1" thickBot="1" x14ac:dyDescent="0.3">
      <c r="A2666" s="44"/>
      <c r="B2666" s="31" t="str">
        <f>IF(_xll.TM1RPTELISCONSOLIDATED($H$20,$H2666),IF(_xll.TM1RPTELLEV($H$20,$H2666)&lt;=5,_xll.TM1RPTELLEV($H$20,$H2666),"Default"),"Leaf")</f>
        <v>Leaf</v>
      </c>
      <c r="C2666" s="26" t="s">
        <v>23</v>
      </c>
      <c r="D2666" s="24" t="str">
        <f>_xll.DBRW("TM1-S1_DEV:}ElementAttributes_SP_SKU",$F2666,D$1)</f>
        <v>Primary</v>
      </c>
      <c r="E2666" s="24" t="str">
        <f>_xll.DBRW("TM1-S1_DEV:}ElementAttributes_SP_SKU",$F2666,E$1)</f>
        <v>FOIL</v>
      </c>
      <c r="F2666" s="26" t="s">
        <v>34</v>
      </c>
      <c r="G2666" s="26" t="s">
        <v>2208</v>
      </c>
      <c r="H2666" s="26" t="s">
        <v>2716</v>
      </c>
      <c r="I2666" s="54">
        <f>_xll.DBRW($A$1,$F$14,$F$15,$C2666,$A$2,$F2666,$G2666,$H2666,I$1)</f>
        <v>14</v>
      </c>
      <c r="J2666" s="25">
        <f>_xll.DBRW($A$1,$F$14,$F$15,$C2666,$A$2,$F2666,$G2666,$H2666,J$19)</f>
        <v>14</v>
      </c>
    </row>
    <row r="2667" spans="1:10" s="23" customFormat="1" outlineLevel="1" thickBot="1" x14ac:dyDescent="0.3">
      <c r="A2667" s="44"/>
      <c r="B2667" s="31" t="str">
        <f>IF(_xll.TM1RPTELISCONSOLIDATED($H$20,$H2667),IF(_xll.TM1RPTELLEV($H$20,$H2667)&lt;=5,_xll.TM1RPTELLEV($H$20,$H2667),"Default"),"Leaf")</f>
        <v>Leaf</v>
      </c>
      <c r="C2667" s="26" t="s">
        <v>23</v>
      </c>
      <c r="D2667" s="24" t="str">
        <f>_xll.DBRW("TM1-S1_DEV:}ElementAttributes_SP_SKU",$F2667,D$1)</f>
        <v>Primary</v>
      </c>
      <c r="E2667" s="24" t="str">
        <f>_xll.DBRW("TM1-S1_DEV:}ElementAttributes_SP_SKU",$F2667,E$1)</f>
        <v>INGREDIENT</v>
      </c>
      <c r="F2667" s="26" t="s">
        <v>3240</v>
      </c>
      <c r="G2667" s="26" t="s">
        <v>2209</v>
      </c>
      <c r="H2667" s="26" t="s">
        <v>2728</v>
      </c>
      <c r="I2667" s="54">
        <f>_xll.DBRW($A$1,$F$14,$F$15,$C2667,$A$2,$F2667,$G2667,$H2667,I$1)</f>
        <v>28</v>
      </c>
      <c r="J2667" s="25">
        <f>_xll.DBRW($A$1,$F$14,$F$15,$C2667,$A$2,$F2667,$G2667,$H2667,J$19)</f>
        <v>13</v>
      </c>
    </row>
    <row r="2668" spans="1:10" s="23" customFormat="1" outlineLevel="1" thickBot="1" x14ac:dyDescent="0.3">
      <c r="A2668" s="44"/>
      <c r="B2668" s="31" t="str">
        <f>IF(_xll.TM1RPTELISCONSOLIDATED($H$20,$H2668),IF(_xll.TM1RPTELLEV($H$20,$H2668)&lt;=5,_xll.TM1RPTELLEV($H$20,$H2668),"Default"),"Leaf")</f>
        <v>Leaf</v>
      </c>
      <c r="C2668" s="26" t="s">
        <v>23</v>
      </c>
      <c r="D2668" s="24" t="str">
        <f>_xll.DBRW("TM1-S1_DEV:}ElementAttributes_SP_SKU",$F2668,D$1)</f>
        <v>Primary</v>
      </c>
      <c r="E2668" s="24" t="str">
        <f>_xll.DBRW("TM1-S1_DEV:}ElementAttributes_SP_SKU",$F2668,E$1)</f>
        <v>INGREDIENT</v>
      </c>
      <c r="F2668" s="26" t="s">
        <v>3241</v>
      </c>
      <c r="G2668" s="26" t="s">
        <v>2210</v>
      </c>
      <c r="H2668" s="26" t="s">
        <v>2729</v>
      </c>
      <c r="I2668" s="54">
        <f>_xll.DBRW($A$1,$F$14,$F$15,$C2668,$A$2,$F2668,$G2668,$H2668,I$1)</f>
        <v>632</v>
      </c>
      <c r="J2668" s="25">
        <f>_xll.DBRW($A$1,$F$14,$F$15,$C2668,$A$2,$F2668,$G2668,$H2668,J$19)</f>
        <v>355</v>
      </c>
    </row>
    <row r="2669" spans="1:10" s="23" customFormat="1" outlineLevel="1" thickBot="1" x14ac:dyDescent="0.3">
      <c r="A2669" s="44"/>
      <c r="B2669" s="31" t="str">
        <f>IF(_xll.TM1RPTELISCONSOLIDATED($H$20,$H2669),IF(_xll.TM1RPTELLEV($H$20,$H2669)&lt;=5,_xll.TM1RPTELLEV($H$20,$H2669),"Default"),"Leaf")</f>
        <v>Leaf</v>
      </c>
      <c r="C2669" s="26" t="s">
        <v>23</v>
      </c>
      <c r="D2669" s="24" t="str">
        <f>_xll.DBRW("TM1-S1_DEV:}ElementAttributes_SP_SKU",$F2669,D$1)</f>
        <v>Primary</v>
      </c>
      <c r="E2669" s="24" t="str">
        <f>_xll.DBRW("TM1-S1_DEV:}ElementAttributes_SP_SKU",$F2669,E$1)</f>
        <v>CONTAINER</v>
      </c>
      <c r="F2669" s="26" t="s">
        <v>3242</v>
      </c>
      <c r="G2669" s="26" t="s">
        <v>2212</v>
      </c>
      <c r="H2669" s="26" t="s">
        <v>2708</v>
      </c>
      <c r="I2669" s="54">
        <f>_xll.DBRW($A$1,$F$14,$F$15,$C2669,$A$2,$F2669,$G2669,$H2669,I$1)</f>
        <v>94</v>
      </c>
      <c r="J2669" s="25">
        <f>_xll.DBRW($A$1,$F$14,$F$15,$C2669,$A$2,$F2669,$G2669,$H2669,J$19)</f>
        <v>58</v>
      </c>
    </row>
    <row r="2670" spans="1:10" s="23" customFormat="1" outlineLevel="1" thickBot="1" x14ac:dyDescent="0.3">
      <c r="A2670" s="44"/>
      <c r="B2670" s="31" t="str">
        <f>IF(_xll.TM1RPTELISCONSOLIDATED($H$20,$H2670),IF(_xll.TM1RPTELLEV($H$20,$H2670)&lt;=5,_xll.TM1RPTELLEV($H$20,$H2670),"Default"),"Leaf")</f>
        <v>Leaf</v>
      </c>
      <c r="C2670" s="26" t="s">
        <v>23</v>
      </c>
      <c r="D2670" s="24" t="str">
        <f>_xll.DBRW("TM1-S1_DEV:}ElementAttributes_SP_SKU",$F2670,D$1)</f>
        <v>Primary</v>
      </c>
      <c r="E2670" s="24" t="str">
        <f>_xll.DBRW("TM1-S1_DEV:}ElementAttributes_SP_SKU",$F2670,E$1)</f>
        <v>PAPER</v>
      </c>
      <c r="F2670" s="26" t="s">
        <v>3243</v>
      </c>
      <c r="G2670" s="26" t="s">
        <v>2213</v>
      </c>
      <c r="H2670" s="26" t="s">
        <v>2730</v>
      </c>
      <c r="I2670" s="54">
        <f>_xll.DBRW($A$1,$F$14,$F$15,$C2670,$A$2,$F2670,$G2670,$H2670,I$1)</f>
        <v>14</v>
      </c>
      <c r="J2670" s="25">
        <f>_xll.DBRW($A$1,$F$14,$F$15,$C2670,$A$2,$F2670,$G2670,$H2670,J$19)</f>
        <v>8</v>
      </c>
    </row>
    <row r="2671" spans="1:10" s="23" customFormat="1" outlineLevel="1" thickBot="1" x14ac:dyDescent="0.3">
      <c r="A2671" s="44"/>
      <c r="B2671" s="31" t="str">
        <f>IF(_xll.TM1RPTELISCONSOLIDATED($H$20,$H2671),IF(_xll.TM1RPTELLEV($H$20,$H2671)&lt;=5,_xll.TM1RPTELLEV($H$20,$H2671),"Default"),"Leaf")</f>
        <v>Leaf</v>
      </c>
      <c r="C2671" s="26" t="s">
        <v>23</v>
      </c>
      <c r="D2671" s="24" t="str">
        <f>_xll.DBRW("TM1-S1_DEV:}ElementAttributes_SP_SKU",$F2671,D$1)</f>
        <v>Primary</v>
      </c>
      <c r="E2671" s="24" t="str">
        <f>_xll.DBRW("TM1-S1_DEV:}ElementAttributes_SP_SKU",$F2671,E$1)</f>
        <v>PROTEIN</v>
      </c>
      <c r="F2671" s="26" t="s">
        <v>3244</v>
      </c>
      <c r="G2671" s="26" t="s">
        <v>2214</v>
      </c>
      <c r="H2671" s="26" t="s">
        <v>2670</v>
      </c>
      <c r="I2671" s="54">
        <f>_xll.DBRW($A$1,$F$14,$F$15,$C2671,$A$2,$F2671,$G2671,$H2671,I$1)</f>
        <v>89</v>
      </c>
      <c r="J2671" s="25">
        <f>_xll.DBRW($A$1,$F$14,$F$15,$C2671,$A$2,$F2671,$G2671,$H2671,J$19)</f>
        <v>123</v>
      </c>
    </row>
    <row r="2672" spans="1:10" s="23" customFormat="1" outlineLevel="1" thickBot="1" x14ac:dyDescent="0.3">
      <c r="A2672" s="44"/>
      <c r="B2672" s="31" t="str">
        <f>IF(_xll.TM1RPTELISCONSOLIDATED($H$20,$H2672),IF(_xll.TM1RPTELLEV($H$20,$H2672)&lt;=5,_xll.TM1RPTELLEV($H$20,$H2672),"Default"),"Leaf")</f>
        <v>Leaf</v>
      </c>
      <c r="C2672" s="26" t="s">
        <v>23</v>
      </c>
      <c r="D2672" s="24" t="str">
        <f>_xll.DBRW("TM1-S1_DEV:}ElementAttributes_SP_SKU",$F2672,D$1)</f>
        <v>Primary</v>
      </c>
      <c r="E2672" s="24" t="str">
        <f>_xll.DBRW("TM1-S1_DEV:}ElementAttributes_SP_SKU",$F2672,E$1)</f>
        <v>PAD</v>
      </c>
      <c r="F2672" s="26" t="s">
        <v>3245</v>
      </c>
      <c r="G2672" s="26" t="s">
        <v>2215</v>
      </c>
      <c r="H2672" s="26" t="s">
        <v>2731</v>
      </c>
      <c r="I2672" s="54">
        <f>_xll.DBRW($A$1,$F$14,$F$15,$C2672,$A$2,$F2672,$G2672,$H2672,I$1)</f>
        <v>41</v>
      </c>
      <c r="J2672" s="25">
        <f>_xll.DBRW($A$1,$F$14,$F$15,$C2672,$A$2,$F2672,$G2672,$H2672,J$19)</f>
        <v>22</v>
      </c>
    </row>
    <row r="2673" spans="1:10" s="23" customFormat="1" outlineLevel="1" thickBot="1" x14ac:dyDescent="0.3">
      <c r="A2673" s="44"/>
      <c r="B2673" s="31" t="str">
        <f>IF(_xll.TM1RPTELISCONSOLIDATED($H$20,$H2673),IF(_xll.TM1RPTELLEV($H$20,$H2673)&lt;=5,_xll.TM1RPTELLEV($H$20,$H2673),"Default"),"Leaf")</f>
        <v>Leaf</v>
      </c>
      <c r="C2673" s="26" t="s">
        <v>23</v>
      </c>
      <c r="D2673" s="24" t="str">
        <f>_xll.DBRW("TM1-S1_DEV:}ElementAttributes_SP_SKU",$F2673,D$1)</f>
        <v>Primary</v>
      </c>
      <c r="E2673" s="24" t="str">
        <f>_xll.DBRW("TM1-S1_DEV:}ElementAttributes_SP_SKU",$F2673,E$1)</f>
        <v>PAPER</v>
      </c>
      <c r="F2673" s="26" t="s">
        <v>3303</v>
      </c>
      <c r="G2673" s="26" t="s">
        <v>2216</v>
      </c>
      <c r="H2673" s="26" t="s">
        <v>2880</v>
      </c>
      <c r="I2673" s="54">
        <f>_xll.DBRW($A$1,$F$14,$F$15,$C2673,$A$2,$F2673,$G2673,$H2673,I$1)</f>
        <v>1</v>
      </c>
      <c r="J2673" s="25">
        <f>_xll.DBRW($A$1,$F$14,$F$15,$C2673,$A$2,$F2673,$G2673,$H2673,J$19)</f>
        <v>22</v>
      </c>
    </row>
    <row r="2674" spans="1:10" s="23" customFormat="1" outlineLevel="1" thickBot="1" x14ac:dyDescent="0.3">
      <c r="A2674" s="44"/>
      <c r="B2674" s="31" t="str">
        <f>IF(_xll.TM1RPTELISCONSOLIDATED($H$20,$H2674),IF(_xll.TM1RPTELLEV($H$20,$H2674)&lt;=5,_xll.TM1RPTELLEV($H$20,$H2674),"Default"),"Leaf")</f>
        <v>Leaf</v>
      </c>
      <c r="C2674" s="26" t="s">
        <v>23</v>
      </c>
      <c r="D2674" s="24" t="str">
        <f>_xll.DBRW("TM1-S1_DEV:}ElementAttributes_SP_SKU",$F2674,D$1)</f>
        <v>Primary</v>
      </c>
      <c r="E2674" s="24" t="str">
        <f>_xll.DBRW("TM1-S1_DEV:}ElementAttributes_SP_SKU",$F2674,E$1)</f>
        <v>PAPER</v>
      </c>
      <c r="F2674" s="26" t="s">
        <v>3289</v>
      </c>
      <c r="G2674" s="26" t="s">
        <v>2217</v>
      </c>
      <c r="H2674" s="26" t="s">
        <v>2868</v>
      </c>
      <c r="I2674" s="54">
        <f>_xll.DBRW($A$1,$F$14,$F$15,$C2674,$A$2,$F2674,$G2674,$H2674,I$1)</f>
        <v>5</v>
      </c>
      <c r="J2674" s="25">
        <f>_xll.DBRW($A$1,$F$14,$F$15,$C2674,$A$2,$F2674,$G2674,$H2674,J$19)</f>
        <v>10</v>
      </c>
    </row>
    <row r="2675" spans="1:10" s="23" customFormat="1" outlineLevel="1" thickBot="1" x14ac:dyDescent="0.3">
      <c r="A2675" s="44"/>
      <c r="B2675" s="31" t="str">
        <f>IF(_xll.TM1RPTELISCONSOLIDATED($H$20,$H2675),IF(_xll.TM1RPTELLEV($H$20,$H2675)&lt;=5,_xll.TM1RPTELLEV($H$20,$H2675),"Default"),"Leaf")</f>
        <v>Leaf</v>
      </c>
      <c r="C2675" s="26" t="s">
        <v>23</v>
      </c>
      <c r="D2675" s="24" t="str">
        <f>_xll.DBRW("TM1-S1_DEV:}ElementAttributes_SP_SKU",$F2675,D$1)</f>
        <v>Primary</v>
      </c>
      <c r="E2675" s="24" t="str">
        <f>_xll.DBRW("TM1-S1_DEV:}ElementAttributes_SP_SKU",$F2675,E$1)</f>
        <v>PAPER</v>
      </c>
      <c r="F2675" s="26" t="s">
        <v>3290</v>
      </c>
      <c r="G2675" s="26" t="s">
        <v>2218</v>
      </c>
      <c r="H2675" s="26" t="s">
        <v>2869</v>
      </c>
      <c r="I2675" s="54">
        <f>_xll.DBRW($A$1,$F$14,$F$15,$C2675,$A$2,$F2675,$G2675,$H2675,I$1)</f>
        <v>16</v>
      </c>
      <c r="J2675" s="25">
        <f>_xll.DBRW($A$1,$F$14,$F$15,$C2675,$A$2,$F2675,$G2675,$H2675,J$19)</f>
        <v>16</v>
      </c>
    </row>
    <row r="2676" spans="1:10" s="23" customFormat="1" outlineLevel="1" thickBot="1" x14ac:dyDescent="0.3">
      <c r="A2676" s="44"/>
      <c r="B2676" s="31" t="str">
        <f>IF(_xll.TM1RPTELISCONSOLIDATED($H$20,$H2676),IF(_xll.TM1RPTELLEV($H$20,$H2676)&lt;=5,_xll.TM1RPTELLEV($H$20,$H2676),"Default"),"Leaf")</f>
        <v>Leaf</v>
      </c>
      <c r="C2676" s="26" t="s">
        <v>24</v>
      </c>
      <c r="D2676" s="24" t="str">
        <f>_xll.DBRW("TM1-S1_DEV:}ElementAttributes_SP_SKU",$F2676,D$1)</f>
        <v>Primary</v>
      </c>
      <c r="E2676" s="24" t="str">
        <f>_xll.DBRW("TM1-S1_DEV:}ElementAttributes_SP_SKU",$F2676,E$1)</f>
        <v>HAM</v>
      </c>
      <c r="F2676" s="26" t="s">
        <v>3246</v>
      </c>
      <c r="G2676" s="26" t="s">
        <v>2228</v>
      </c>
      <c r="H2676" s="26" t="s">
        <v>2673</v>
      </c>
      <c r="I2676" s="54">
        <f>_xll.DBRW($A$1,$F$14,$F$15,$C2676,$A$2,$F2676,$G2676,$H2676,I$1)</f>
        <v>883</v>
      </c>
      <c r="J2676" s="25">
        <f>_xll.DBRW($A$1,$F$14,$F$15,$C2676,$A$2,$F2676,$G2676,$H2676,J$19)</f>
        <v>5</v>
      </c>
    </row>
    <row r="2677" spans="1:10" s="23" customFormat="1" outlineLevel="1" thickBot="1" x14ac:dyDescent="0.3">
      <c r="A2677" s="44"/>
      <c r="B2677" s="31" t="str">
        <f>IF(_xll.TM1RPTELISCONSOLIDATED($H$20,$H2677),IF(_xll.TM1RPTELLEV($H$20,$H2677)&lt;=5,_xll.TM1RPTELLEV($H$20,$H2677),"Default"),"Leaf")</f>
        <v>Leaf</v>
      </c>
      <c r="C2677" s="26" t="s">
        <v>24</v>
      </c>
      <c r="D2677" s="24" t="str">
        <f>_xll.DBRW("TM1-S1_DEV:}ElementAttributes_SP_SKU",$F2677,D$1)</f>
        <v>Primary</v>
      </c>
      <c r="E2677" s="24" t="str">
        <f>_xll.DBRW("TM1-S1_DEV:}ElementAttributes_SP_SKU",$F2677,E$1)</f>
        <v>HAM</v>
      </c>
      <c r="F2677" s="26" t="s">
        <v>3247</v>
      </c>
      <c r="G2677" s="26" t="s">
        <v>2229</v>
      </c>
      <c r="H2677" s="26" t="s">
        <v>2673</v>
      </c>
      <c r="I2677" s="54">
        <f>_xll.DBRW($A$1,$F$14,$F$15,$C2677,$A$2,$F2677,$G2677,$H2677,I$1)</f>
        <v>1007</v>
      </c>
      <c r="J2677" s="25">
        <f>_xll.DBRW($A$1,$F$14,$F$15,$C2677,$A$2,$F2677,$G2677,$H2677,J$19)</f>
        <v>1</v>
      </c>
    </row>
    <row r="2678" spans="1:10" s="23" customFormat="1" outlineLevel="1" thickBot="1" x14ac:dyDescent="0.3">
      <c r="A2678" s="44"/>
      <c r="B2678" s="31" t="str">
        <f>IF(_xll.TM1RPTELISCONSOLIDATED($H$20,$H2678),IF(_xll.TM1RPTELLEV($H$20,$H2678)&lt;=5,_xll.TM1RPTELLEV($H$20,$H2678),"Default"),"Leaf")</f>
        <v>Leaf</v>
      </c>
      <c r="C2678" s="26" t="s">
        <v>24</v>
      </c>
      <c r="D2678" s="24" t="str">
        <f>_xll.DBRW("TM1-S1_DEV:}ElementAttributes_SP_SKU",$F2678,D$1)</f>
        <v>Primary</v>
      </c>
      <c r="E2678" s="24" t="str">
        <f>_xll.DBRW("TM1-S1_DEV:}ElementAttributes_SP_SKU",$F2678,E$1)</f>
        <v>HAM</v>
      </c>
      <c r="F2678" s="26" t="s">
        <v>3248</v>
      </c>
      <c r="G2678" s="26" t="s">
        <v>2230</v>
      </c>
      <c r="H2678" s="26" t="s">
        <v>2673</v>
      </c>
      <c r="I2678" s="54">
        <f>_xll.DBRW($A$1,$F$14,$F$15,$C2678,$A$2,$F2678,$G2678,$H2678,I$1)</f>
        <v>629</v>
      </c>
      <c r="J2678" s="25">
        <f>_xll.DBRW($A$1,$F$14,$F$15,$C2678,$A$2,$F2678,$G2678,$H2678,J$19)</f>
        <v>5</v>
      </c>
    </row>
    <row r="2679" spans="1:10" s="23" customFormat="1" outlineLevel="1" thickBot="1" x14ac:dyDescent="0.3">
      <c r="A2679" s="44"/>
      <c r="B2679" s="31" t="str">
        <f>IF(_xll.TM1RPTELISCONSOLIDATED($H$20,$H2679),IF(_xll.TM1RPTELLEV($H$20,$H2679)&lt;=5,_xll.TM1RPTELLEV($H$20,$H2679),"Default"),"Leaf")</f>
        <v>Leaf</v>
      </c>
      <c r="C2679" s="26" t="s">
        <v>24</v>
      </c>
      <c r="D2679" s="24" t="str">
        <f>_xll.DBRW("TM1-S1_DEV:}ElementAttributes_SP_SKU",$F2679,D$1)</f>
        <v>Primary</v>
      </c>
      <c r="E2679" s="24" t="str">
        <f>_xll.DBRW("TM1-S1_DEV:}ElementAttributes_SP_SKU",$F2679,E$1)</f>
        <v>HAM</v>
      </c>
      <c r="F2679" s="26" t="s">
        <v>3249</v>
      </c>
      <c r="G2679" s="26" t="s">
        <v>2231</v>
      </c>
      <c r="H2679" s="26" t="s">
        <v>2673</v>
      </c>
      <c r="I2679" s="54">
        <f>_xll.DBRW($A$1,$F$14,$F$15,$C2679,$A$2,$F2679,$G2679,$H2679,I$1)</f>
        <v>210</v>
      </c>
      <c r="J2679" s="25">
        <f>_xll.DBRW($A$1,$F$14,$F$15,$C2679,$A$2,$F2679,$G2679,$H2679,J$19)</f>
        <v>3</v>
      </c>
    </row>
    <row r="2680" spans="1:10" s="23" customFormat="1" outlineLevel="1" thickBot="1" x14ac:dyDescent="0.3">
      <c r="A2680" s="44"/>
      <c r="B2680" s="31" t="str">
        <f>IF(_xll.TM1RPTELISCONSOLIDATED($H$20,$H2680),IF(_xll.TM1RPTELLEV($H$20,$H2680)&lt;=5,_xll.TM1RPTELLEV($H$20,$H2680),"Default"),"Leaf")</f>
        <v>Leaf</v>
      </c>
      <c r="C2680" s="26" t="s">
        <v>24</v>
      </c>
      <c r="D2680" s="24" t="str">
        <f>_xll.DBRW("TM1-S1_DEV:}ElementAttributes_SP_SKU",$F2680,D$1)</f>
        <v>Primary</v>
      </c>
      <c r="E2680" s="24" t="str">
        <f>_xll.DBRW("TM1-S1_DEV:}ElementAttributes_SP_SKU",$F2680,E$1)</f>
        <v>HAM</v>
      </c>
      <c r="F2680" s="26" t="s">
        <v>3250</v>
      </c>
      <c r="G2680" s="26" t="s">
        <v>2232</v>
      </c>
      <c r="H2680" s="26" t="s">
        <v>2673</v>
      </c>
      <c r="I2680" s="54">
        <f>_xll.DBRW($A$1,$F$14,$F$15,$C2680,$A$2,$F2680,$G2680,$H2680,I$1)</f>
        <v>140</v>
      </c>
      <c r="J2680" s="25">
        <f>_xll.DBRW($A$1,$F$14,$F$15,$C2680,$A$2,$F2680,$G2680,$H2680,J$19)</f>
        <v>0</v>
      </c>
    </row>
    <row r="2681" spans="1:10" s="23" customFormat="1" outlineLevel="1" thickBot="1" x14ac:dyDescent="0.3">
      <c r="A2681" s="44"/>
      <c r="B2681" s="31" t="str">
        <f>IF(_xll.TM1RPTELISCONSOLIDATED($H$20,$H2681),IF(_xll.TM1RPTELLEV($H$20,$H2681)&lt;=5,_xll.TM1RPTELLEV($H$20,$H2681),"Default"),"Leaf")</f>
        <v>Leaf</v>
      </c>
      <c r="C2681" s="26" t="s">
        <v>24</v>
      </c>
      <c r="D2681" s="24" t="str">
        <f>_xll.DBRW("TM1-S1_DEV:}ElementAttributes_SP_SKU",$F2681,D$1)</f>
        <v>Primary</v>
      </c>
      <c r="E2681" s="24" t="str">
        <f>_xll.DBRW("TM1-S1_DEV:}ElementAttributes_SP_SKU",$F2681,E$1)</f>
        <v>HAM</v>
      </c>
      <c r="F2681" s="26" t="s">
        <v>3251</v>
      </c>
      <c r="G2681" s="26" t="s">
        <v>2233</v>
      </c>
      <c r="H2681" s="26" t="s">
        <v>2673</v>
      </c>
      <c r="I2681" s="54">
        <f>_xll.DBRW($A$1,$F$14,$F$15,$C2681,$A$2,$F2681,$G2681,$H2681,I$1)</f>
        <v>778</v>
      </c>
      <c r="J2681" s="25">
        <f>_xll.DBRW($A$1,$F$14,$F$15,$C2681,$A$2,$F2681,$G2681,$H2681,J$19)</f>
        <v>5</v>
      </c>
    </row>
    <row r="2682" spans="1:10" s="23" customFormat="1" outlineLevel="1" thickBot="1" x14ac:dyDescent="0.3">
      <c r="A2682" s="44"/>
      <c r="B2682" s="31" t="str">
        <f>IF(_xll.TM1RPTELISCONSOLIDATED($H$20,$H2682),IF(_xll.TM1RPTELLEV($H$20,$H2682)&lt;=5,_xll.TM1RPTELLEV($H$20,$H2682),"Default"),"Leaf")</f>
        <v>Leaf</v>
      </c>
      <c r="C2682" s="26" t="s">
        <v>24</v>
      </c>
      <c r="D2682" s="24" t="str">
        <f>_xll.DBRW("TM1-S1_DEV:}ElementAttributes_SP_SKU",$F2682,D$1)</f>
        <v>Primary</v>
      </c>
      <c r="E2682" s="24" t="str">
        <f>_xll.DBRW("TM1-S1_DEV:}ElementAttributes_SP_SKU",$F2682,E$1)</f>
        <v>TURKEY</v>
      </c>
      <c r="F2682" s="26" t="s">
        <v>3110</v>
      </c>
      <c r="G2682" s="26" t="s">
        <v>2234</v>
      </c>
      <c r="H2682" s="26" t="s">
        <v>2671</v>
      </c>
      <c r="I2682" s="54">
        <f>_xll.DBRW($A$1,$F$14,$F$15,$C2682,$A$2,$F2682,$G2682,$H2682,I$1)</f>
        <v>584</v>
      </c>
      <c r="J2682" s="25">
        <f>_xll.DBRW($A$1,$F$14,$F$15,$C2682,$A$2,$F2682,$G2682,$H2682,J$19)</f>
        <v>120</v>
      </c>
    </row>
    <row r="2683" spans="1:10" s="23" customFormat="1" outlineLevel="1" thickBot="1" x14ac:dyDescent="0.3">
      <c r="A2683" s="44"/>
      <c r="B2683" s="31" t="str">
        <f>IF(_xll.TM1RPTELISCONSOLIDATED($H$20,$H2683),IF(_xll.TM1RPTELLEV($H$20,$H2683)&lt;=5,_xll.TM1RPTELLEV($H$20,$H2683),"Default"),"Leaf")</f>
        <v>Leaf</v>
      </c>
      <c r="C2683" s="26" t="s">
        <v>24</v>
      </c>
      <c r="D2683" s="24" t="str">
        <f>_xll.DBRW("TM1-S1_DEV:}ElementAttributes_SP_SKU",$F2683,D$1)</f>
        <v>Primary</v>
      </c>
      <c r="E2683" s="24" t="str">
        <f>_xll.DBRW("TM1-S1_DEV:}ElementAttributes_SP_SKU",$F2683,E$1)</f>
        <v>TURKEY</v>
      </c>
      <c r="F2683" s="26" t="s">
        <v>3111</v>
      </c>
      <c r="G2683" s="26" t="s">
        <v>2235</v>
      </c>
      <c r="H2683" s="26" t="s">
        <v>2671</v>
      </c>
      <c r="I2683" s="54">
        <f>_xll.DBRW($A$1,$F$14,$F$15,$C2683,$A$2,$F2683,$G2683,$H2683,I$1)</f>
        <v>281</v>
      </c>
      <c r="J2683" s="25">
        <f>_xll.DBRW($A$1,$F$14,$F$15,$C2683,$A$2,$F2683,$G2683,$H2683,J$19)</f>
        <v>102</v>
      </c>
    </row>
    <row r="2684" spans="1:10" s="23" customFormat="1" outlineLevel="1" thickBot="1" x14ac:dyDescent="0.3">
      <c r="A2684" s="44"/>
      <c r="B2684" s="31" t="str">
        <f>IF(_xll.TM1RPTELISCONSOLIDATED($H$20,$H2684),IF(_xll.TM1RPTELLEV($H$20,$H2684)&lt;=5,_xll.TM1RPTELLEV($H$20,$H2684),"Default"),"Leaf")</f>
        <v>Leaf</v>
      </c>
      <c r="C2684" s="26" t="s">
        <v>24</v>
      </c>
      <c r="D2684" s="24" t="str">
        <f>_xll.DBRW("TM1-S1_DEV:}ElementAttributes_SP_SKU",$F2684,D$1)</f>
        <v>Primary</v>
      </c>
      <c r="E2684" s="24" t="str">
        <f>_xll.DBRW("TM1-S1_DEV:}ElementAttributes_SP_SKU",$F2684,E$1)</f>
        <v>PROTEIN</v>
      </c>
      <c r="F2684" s="26" t="s">
        <v>3112</v>
      </c>
      <c r="G2684" s="26" t="s">
        <v>1294</v>
      </c>
      <c r="H2684" s="26" t="s">
        <v>2672</v>
      </c>
      <c r="I2684" s="54">
        <f>_xll.DBRW($A$1,$F$14,$F$15,$C2684,$A$2,$F2684,$G2684,$H2684,I$1)</f>
        <v>23</v>
      </c>
      <c r="J2684" s="25">
        <f>_xll.DBRW($A$1,$F$14,$F$15,$C2684,$A$2,$F2684,$G2684,$H2684,J$19)</f>
        <v>18</v>
      </c>
    </row>
    <row r="2685" spans="1:10" s="23" customFormat="1" outlineLevel="1" thickBot="1" x14ac:dyDescent="0.3">
      <c r="A2685" s="44"/>
      <c r="B2685" s="31" t="str">
        <f>IF(_xll.TM1RPTELISCONSOLIDATED($H$20,$H2685),IF(_xll.TM1RPTELLEV($H$20,$H2685)&lt;=5,_xll.TM1RPTELLEV($H$20,$H2685),"Default"),"Leaf")</f>
        <v>Leaf</v>
      </c>
      <c r="C2685" s="26" t="s">
        <v>24</v>
      </c>
      <c r="D2685" s="24" t="str">
        <f>_xll.DBRW("TM1-S1_DEV:}ElementAttributes_SP_SKU",$F2685,D$1)</f>
        <v>Primary</v>
      </c>
      <c r="E2685" s="24" t="str">
        <f>_xll.DBRW("TM1-S1_DEV:}ElementAttributes_SP_SKU",$F2685,E$1)</f>
        <v>PROTEIN</v>
      </c>
      <c r="F2685" s="26" t="s">
        <v>3114</v>
      </c>
      <c r="G2685" s="26" t="s">
        <v>1295</v>
      </c>
      <c r="H2685" s="26" t="s">
        <v>2672</v>
      </c>
      <c r="I2685" s="54">
        <f>_xll.DBRW($A$1,$F$14,$F$15,$C2685,$A$2,$F2685,$G2685,$H2685,I$1)</f>
        <v>23</v>
      </c>
      <c r="J2685" s="25">
        <f>_xll.DBRW($A$1,$F$14,$F$15,$C2685,$A$2,$F2685,$G2685,$H2685,J$19)</f>
        <v>12</v>
      </c>
    </row>
    <row r="2686" spans="1:10" s="23" customFormat="1" outlineLevel="1" thickBot="1" x14ac:dyDescent="0.3">
      <c r="A2686" s="44"/>
      <c r="B2686" s="31" t="str">
        <f>IF(_xll.TM1RPTELISCONSOLIDATED($H$20,$H2686),IF(_xll.TM1RPTELLEV($H$20,$H2686)&lt;=5,_xll.TM1RPTELLEV($H$20,$H2686),"Default"),"Leaf")</f>
        <v>Leaf</v>
      </c>
      <c r="C2686" s="26" t="s">
        <v>24</v>
      </c>
      <c r="D2686" s="24" t="str">
        <f>_xll.DBRW("TM1-S1_DEV:}ElementAttributes_SP_SKU",$F2686,D$1)</f>
        <v>Primary</v>
      </c>
      <c r="E2686" s="24" t="str">
        <f>_xll.DBRW("TM1-S1_DEV:}ElementAttributes_SP_SKU",$F2686,E$1)</f>
        <v>PROTEIN</v>
      </c>
      <c r="F2686" s="26" t="s">
        <v>3115</v>
      </c>
      <c r="G2686" s="26" t="s">
        <v>1296</v>
      </c>
      <c r="H2686" s="26" t="s">
        <v>2672</v>
      </c>
      <c r="I2686" s="54">
        <f>_xll.DBRW($A$1,$F$14,$F$15,$C2686,$A$2,$F2686,$G2686,$H2686,I$1)</f>
        <v>7</v>
      </c>
      <c r="J2686" s="25">
        <f>_xll.DBRW($A$1,$F$14,$F$15,$C2686,$A$2,$F2686,$G2686,$H2686,J$19)</f>
        <v>7</v>
      </c>
    </row>
    <row r="2687" spans="1:10" s="23" customFormat="1" outlineLevel="1" thickBot="1" x14ac:dyDescent="0.3">
      <c r="A2687" s="44"/>
      <c r="B2687" s="31" t="str">
        <f>IF(_xll.TM1RPTELISCONSOLIDATED($H$20,$H2687),IF(_xll.TM1RPTELLEV($H$20,$H2687)&lt;=5,_xll.TM1RPTELLEV($H$20,$H2687),"Default"),"Leaf")</f>
        <v>Leaf</v>
      </c>
      <c r="C2687" s="26" t="s">
        <v>24</v>
      </c>
      <c r="D2687" s="24" t="str">
        <f>_xll.DBRW("TM1-S1_DEV:}ElementAttributes_SP_SKU",$F2687,D$1)</f>
        <v>Primary</v>
      </c>
      <c r="E2687" s="24" t="str">
        <f>_xll.DBRW("TM1-S1_DEV:}ElementAttributes_SP_SKU",$F2687,E$1)</f>
        <v>SOUP</v>
      </c>
      <c r="F2687" s="26" t="s">
        <v>3116</v>
      </c>
      <c r="G2687" s="26" t="s">
        <v>1297</v>
      </c>
      <c r="H2687" s="26" t="s">
        <v>2674</v>
      </c>
      <c r="I2687" s="54">
        <f>_xll.DBRW($A$1,$F$14,$F$15,$C2687,$A$2,$F2687,$G2687,$H2687,I$1)</f>
        <v>9</v>
      </c>
      <c r="J2687" s="25">
        <f>_xll.DBRW($A$1,$F$14,$F$15,$C2687,$A$2,$F2687,$G2687,$H2687,J$19)</f>
        <v>9</v>
      </c>
    </row>
    <row r="2688" spans="1:10" s="23" customFormat="1" outlineLevel="1" thickBot="1" x14ac:dyDescent="0.3">
      <c r="A2688" s="44"/>
      <c r="B2688" s="31" t="str">
        <f>IF(_xll.TM1RPTELISCONSOLIDATED($H$20,$H2688),IF(_xll.TM1RPTELLEV($H$20,$H2688)&lt;=5,_xll.TM1RPTELLEV($H$20,$H2688),"Default"),"Leaf")</f>
        <v>Leaf</v>
      </c>
      <c r="C2688" s="26" t="s">
        <v>24</v>
      </c>
      <c r="D2688" s="24" t="str">
        <f>_xll.DBRW("TM1-S1_DEV:}ElementAttributes_SP_SKU",$F2688,D$1)</f>
        <v>Primary</v>
      </c>
      <c r="E2688" s="24" t="str">
        <f>_xll.DBRW("TM1-S1_DEV:}ElementAttributes_SP_SKU",$F2688,E$1)</f>
        <v>SOUP</v>
      </c>
      <c r="F2688" s="26" t="s">
        <v>3117</v>
      </c>
      <c r="G2688" s="26" t="s">
        <v>1298</v>
      </c>
      <c r="H2688" s="26" t="s">
        <v>2674</v>
      </c>
      <c r="I2688" s="54">
        <f>_xll.DBRW($A$1,$F$14,$F$15,$C2688,$A$2,$F2688,$G2688,$H2688,I$1)</f>
        <v>12</v>
      </c>
      <c r="J2688" s="25">
        <f>_xll.DBRW($A$1,$F$14,$F$15,$C2688,$A$2,$F2688,$G2688,$H2688,J$19)</f>
        <v>11</v>
      </c>
    </row>
    <row r="2689" spans="1:10" s="23" customFormat="1" outlineLevel="1" thickBot="1" x14ac:dyDescent="0.3">
      <c r="A2689" s="44"/>
      <c r="B2689" s="31" t="str">
        <f>IF(_xll.TM1RPTELISCONSOLIDATED($H$20,$H2689),IF(_xll.TM1RPTELLEV($H$20,$H2689)&lt;=5,_xll.TM1RPTELLEV($H$20,$H2689),"Default"),"Leaf")</f>
        <v>Leaf</v>
      </c>
      <c r="C2689" s="26" t="s">
        <v>24</v>
      </c>
      <c r="D2689" s="24" t="str">
        <f>_xll.DBRW("TM1-S1_DEV:}ElementAttributes_SP_SKU",$F2689,D$1)</f>
        <v>Primary</v>
      </c>
      <c r="E2689" s="24" t="str">
        <f>_xll.DBRW("TM1-S1_DEV:}ElementAttributes_SP_SKU",$F2689,E$1)</f>
        <v>SOUP</v>
      </c>
      <c r="F2689" s="26" t="s">
        <v>3118</v>
      </c>
      <c r="G2689" s="26" t="s">
        <v>1299</v>
      </c>
      <c r="H2689" s="26" t="s">
        <v>2674</v>
      </c>
      <c r="I2689" s="54">
        <f>_xll.DBRW($A$1,$F$14,$F$15,$C2689,$A$2,$F2689,$G2689,$H2689,I$1)</f>
        <v>17</v>
      </c>
      <c r="J2689" s="25">
        <f>_xll.DBRW($A$1,$F$14,$F$15,$C2689,$A$2,$F2689,$G2689,$H2689,J$19)</f>
        <v>17</v>
      </c>
    </row>
    <row r="2690" spans="1:10" s="23" customFormat="1" outlineLevel="1" thickBot="1" x14ac:dyDescent="0.3">
      <c r="A2690" s="44"/>
      <c r="B2690" s="31" t="str">
        <f>IF(_xll.TM1RPTELISCONSOLIDATED($H$20,$H2690),IF(_xll.TM1RPTELLEV($H$20,$H2690)&lt;=5,_xll.TM1RPTELLEV($H$20,$H2690),"Default"),"Leaf")</f>
        <v>Leaf</v>
      </c>
      <c r="C2690" s="26" t="s">
        <v>24</v>
      </c>
      <c r="D2690" s="24" t="str">
        <f>_xll.DBRW("TM1-S1_DEV:}ElementAttributes_SP_SKU",$F2690,D$1)</f>
        <v>Primary</v>
      </c>
      <c r="E2690" s="24" t="str">
        <f>_xll.DBRW("TM1-S1_DEV:}ElementAttributes_SP_SKU",$F2690,E$1)</f>
        <v>PROTEIN</v>
      </c>
      <c r="F2690" s="26" t="s">
        <v>3119</v>
      </c>
      <c r="G2690" s="26" t="s">
        <v>1300</v>
      </c>
      <c r="H2690" s="26" t="s">
        <v>2670</v>
      </c>
      <c r="I2690" s="54">
        <f>_xll.DBRW($A$1,$F$14,$F$15,$C2690,$A$2,$F2690,$G2690,$H2690,I$1)</f>
        <v>25</v>
      </c>
      <c r="J2690" s="25">
        <f>_xll.DBRW($A$1,$F$14,$F$15,$C2690,$A$2,$F2690,$G2690,$H2690,J$19)</f>
        <v>21</v>
      </c>
    </row>
    <row r="2691" spans="1:10" s="23" customFormat="1" outlineLevel="1" thickBot="1" x14ac:dyDescent="0.3">
      <c r="A2691" s="44"/>
      <c r="B2691" s="31" t="str">
        <f>IF(_xll.TM1RPTELISCONSOLIDATED($H$20,$H2691),IF(_xll.TM1RPTELLEV($H$20,$H2691)&lt;=5,_xll.TM1RPTELLEV($H$20,$H2691),"Default"),"Leaf")</f>
        <v>Leaf</v>
      </c>
      <c r="C2691" s="26" t="s">
        <v>24</v>
      </c>
      <c r="D2691" s="24" t="str">
        <f>_xll.DBRW("TM1-S1_DEV:}ElementAttributes_SP_SKU",$F2691,D$1)</f>
        <v>Primary</v>
      </c>
      <c r="E2691" s="24" t="str">
        <f>_xll.DBRW("TM1-S1_DEV:}ElementAttributes_SP_SKU",$F2691,E$1)</f>
        <v>PROTEIN</v>
      </c>
      <c r="F2691" s="26" t="s">
        <v>3120</v>
      </c>
      <c r="G2691" s="26" t="s">
        <v>2236</v>
      </c>
      <c r="H2691" s="26" t="s">
        <v>2670</v>
      </c>
      <c r="I2691" s="54">
        <f>_xll.DBRW($A$1,$F$14,$F$15,$C2691,$A$2,$F2691,$G2691,$H2691,I$1)</f>
        <v>3</v>
      </c>
      <c r="J2691" s="25">
        <f>_xll.DBRW($A$1,$F$14,$F$15,$C2691,$A$2,$F2691,$G2691,$H2691,J$19)</f>
        <v>2</v>
      </c>
    </row>
    <row r="2692" spans="1:10" s="23" customFormat="1" outlineLevel="1" thickBot="1" x14ac:dyDescent="0.3">
      <c r="A2692" s="44"/>
      <c r="B2692" s="31" t="str">
        <f>IF(_xll.TM1RPTELISCONSOLIDATED($H$20,$H2692),IF(_xll.TM1RPTELLEV($H$20,$H2692)&lt;=5,_xll.TM1RPTELLEV($H$20,$H2692),"Default"),"Leaf")</f>
        <v>Leaf</v>
      </c>
      <c r="C2692" s="26" t="s">
        <v>24</v>
      </c>
      <c r="D2692" s="24" t="str">
        <f>_xll.DBRW("TM1-S1_DEV:}ElementAttributes_SP_SKU",$F2692,D$1)</f>
        <v>Primary</v>
      </c>
      <c r="E2692" s="24" t="str">
        <f>_xll.DBRW("TM1-S1_DEV:}ElementAttributes_SP_SKU",$F2692,E$1)</f>
        <v>SOUP</v>
      </c>
      <c r="F2692" s="26" t="s">
        <v>3121</v>
      </c>
      <c r="G2692" s="26" t="s">
        <v>2237</v>
      </c>
      <c r="H2692" s="26" t="s">
        <v>2675</v>
      </c>
      <c r="I2692" s="54">
        <f>_xll.DBRW($A$1,$F$14,$F$15,$C2692,$A$2,$F2692,$G2692,$H2692,I$1)</f>
        <v>6</v>
      </c>
      <c r="J2692" s="25">
        <f>_xll.DBRW($A$1,$F$14,$F$15,$C2692,$A$2,$F2692,$G2692,$H2692,J$19)</f>
        <v>6</v>
      </c>
    </row>
    <row r="2693" spans="1:10" s="23" customFormat="1" outlineLevel="1" thickBot="1" x14ac:dyDescent="0.3">
      <c r="A2693" s="44"/>
      <c r="B2693" s="31" t="str">
        <f>IF(_xll.TM1RPTELISCONSOLIDATED($H$20,$H2693),IF(_xll.TM1RPTELLEV($H$20,$H2693)&lt;=5,_xll.TM1RPTELLEV($H$20,$H2693),"Default"),"Leaf")</f>
        <v>Leaf</v>
      </c>
      <c r="C2693" s="26" t="s">
        <v>24</v>
      </c>
      <c r="D2693" s="24" t="str">
        <f>_xll.DBRW("TM1-S1_DEV:}ElementAttributes_SP_SKU",$F2693,D$1)</f>
        <v>Unassigned PSP</v>
      </c>
      <c r="E2693" s="24" t="str">
        <f>_xll.DBRW("TM1-S1_DEV:}ElementAttributes_SP_SKU",$F2693,E$1)</f>
        <v>SIDES</v>
      </c>
      <c r="F2693" s="26" t="s">
        <v>62</v>
      </c>
      <c r="G2693" s="26" t="s">
        <v>2238</v>
      </c>
      <c r="H2693" s="26" t="s">
        <v>2732</v>
      </c>
      <c r="I2693" s="54">
        <f>_xll.DBRW($A$1,$F$14,$F$15,$C2693,$A$2,$F2693,$G2693,$H2693,I$1)</f>
        <v>42</v>
      </c>
      <c r="J2693" s="25">
        <f>_xll.DBRW($A$1,$F$14,$F$15,$C2693,$A$2,$F2693,$G2693,$H2693,J$19)</f>
        <v>95</v>
      </c>
    </row>
    <row r="2694" spans="1:10" s="23" customFormat="1" outlineLevel="1" thickBot="1" x14ac:dyDescent="0.3">
      <c r="A2694" s="44"/>
      <c r="B2694" s="31" t="str">
        <f>IF(_xll.TM1RPTELISCONSOLIDATED($H$20,$H2694),IF(_xll.TM1RPTELLEV($H$20,$H2694)&lt;=5,_xll.TM1RPTELLEV($H$20,$H2694),"Default"),"Leaf")</f>
        <v>Leaf</v>
      </c>
      <c r="C2694" s="26" t="s">
        <v>24</v>
      </c>
      <c r="D2694" s="24" t="str">
        <f>_xll.DBRW("TM1-S1_DEV:}ElementAttributes_SP_SKU",$F2694,D$1)</f>
        <v>Primary</v>
      </c>
      <c r="E2694" s="24" t="str">
        <f>_xll.DBRW("TM1-S1_DEV:}ElementAttributes_SP_SKU",$F2694,E$1)</f>
        <v>SIDES</v>
      </c>
      <c r="F2694" s="26" t="s">
        <v>3123</v>
      </c>
      <c r="G2694" s="26" t="s">
        <v>2239</v>
      </c>
      <c r="H2694" s="26" t="s">
        <v>2676</v>
      </c>
      <c r="I2694" s="54">
        <f>_xll.DBRW($A$1,$F$14,$F$15,$C2694,$A$2,$F2694,$G2694,$H2694,I$1)</f>
        <v>63</v>
      </c>
      <c r="J2694" s="25">
        <f>_xll.DBRW($A$1,$F$14,$F$15,$C2694,$A$2,$F2694,$G2694,$H2694,J$19)</f>
        <v>31</v>
      </c>
    </row>
    <row r="2695" spans="1:10" s="23" customFormat="1" outlineLevel="1" thickBot="1" x14ac:dyDescent="0.3">
      <c r="A2695" s="44"/>
      <c r="B2695" s="31" t="str">
        <f>IF(_xll.TM1RPTELISCONSOLIDATED($H$20,$H2695),IF(_xll.TM1RPTELLEV($H$20,$H2695)&lt;=5,_xll.TM1RPTELLEV($H$20,$H2695),"Default"),"Leaf")</f>
        <v>Leaf</v>
      </c>
      <c r="C2695" s="26" t="s">
        <v>24</v>
      </c>
      <c r="D2695" s="24" t="str">
        <f>_xll.DBRW("TM1-S1_DEV:}ElementAttributes_SP_SKU",$F2695,D$1)</f>
        <v>Primary</v>
      </c>
      <c r="E2695" s="24" t="str">
        <f>_xll.DBRW("TM1-S1_DEV:}ElementAttributes_SP_SKU",$F2695,E$1)</f>
        <v>SIDES</v>
      </c>
      <c r="F2695" s="26" t="s">
        <v>3124</v>
      </c>
      <c r="G2695" s="26" t="s">
        <v>2240</v>
      </c>
      <c r="H2695" s="26" t="s">
        <v>2676</v>
      </c>
      <c r="I2695" s="54">
        <f>_xll.DBRW($A$1,$F$14,$F$15,$C2695,$A$2,$F2695,$G2695,$H2695,I$1)</f>
        <v>76</v>
      </c>
      <c r="J2695" s="25">
        <f>_xll.DBRW($A$1,$F$14,$F$15,$C2695,$A$2,$F2695,$G2695,$H2695,J$19)</f>
        <v>38</v>
      </c>
    </row>
    <row r="2696" spans="1:10" s="23" customFormat="1" outlineLevel="1" thickBot="1" x14ac:dyDescent="0.3">
      <c r="A2696" s="44"/>
      <c r="B2696" s="31" t="str">
        <f>IF(_xll.TM1RPTELISCONSOLIDATED($H$20,$H2696),IF(_xll.TM1RPTELLEV($H$20,$H2696)&lt;=5,_xll.TM1RPTELLEV($H$20,$H2696),"Default"),"Leaf")</f>
        <v>Leaf</v>
      </c>
      <c r="C2696" s="26" t="s">
        <v>24</v>
      </c>
      <c r="D2696" s="24" t="str">
        <f>_xll.DBRW("TM1-S1_DEV:}ElementAttributes_SP_SKU",$F2696,D$1)</f>
        <v>Primary</v>
      </c>
      <c r="E2696" s="24" t="str">
        <f>_xll.DBRW("TM1-S1_DEV:}ElementAttributes_SP_SKU",$F2696,E$1)</f>
        <v>SIDES</v>
      </c>
      <c r="F2696" s="26" t="s">
        <v>3125</v>
      </c>
      <c r="G2696" s="26" t="s">
        <v>2241</v>
      </c>
      <c r="H2696" s="26" t="s">
        <v>2676</v>
      </c>
      <c r="I2696" s="54">
        <f>_xll.DBRW($A$1,$F$14,$F$15,$C2696,$A$2,$F2696,$G2696,$H2696,I$1)</f>
        <v>34</v>
      </c>
      <c r="J2696" s="25">
        <f>_xll.DBRW($A$1,$F$14,$F$15,$C2696,$A$2,$F2696,$G2696,$H2696,J$19)</f>
        <v>18</v>
      </c>
    </row>
    <row r="2697" spans="1:10" s="23" customFormat="1" outlineLevel="1" thickBot="1" x14ac:dyDescent="0.3">
      <c r="A2697" s="44"/>
      <c r="B2697" s="31" t="str">
        <f>IF(_xll.TM1RPTELISCONSOLIDATED($H$20,$H2697),IF(_xll.TM1RPTELLEV($H$20,$H2697)&lt;=5,_xll.TM1RPTELLEV($H$20,$H2697),"Default"),"Leaf")</f>
        <v>Leaf</v>
      </c>
      <c r="C2697" s="26" t="s">
        <v>24</v>
      </c>
      <c r="D2697" s="24" t="str">
        <f>_xll.DBRW("TM1-S1_DEV:}ElementAttributes_SP_SKU",$F2697,D$1)</f>
        <v>Primary</v>
      </c>
      <c r="E2697" s="24" t="str">
        <f>_xll.DBRW("TM1-S1_DEV:}ElementAttributes_SP_SKU",$F2697,E$1)</f>
        <v>SIDES</v>
      </c>
      <c r="F2697" s="26" t="s">
        <v>3126</v>
      </c>
      <c r="G2697" s="26" t="s">
        <v>2242</v>
      </c>
      <c r="H2697" s="26" t="s">
        <v>2676</v>
      </c>
      <c r="I2697" s="54">
        <f>_xll.DBRW($A$1,$F$14,$F$15,$C2697,$A$2,$F2697,$G2697,$H2697,I$1)</f>
        <v>72</v>
      </c>
      <c r="J2697" s="25">
        <f>_xll.DBRW($A$1,$F$14,$F$15,$C2697,$A$2,$F2697,$G2697,$H2697,J$19)</f>
        <v>19</v>
      </c>
    </row>
    <row r="2698" spans="1:10" s="23" customFormat="1" outlineLevel="1" thickBot="1" x14ac:dyDescent="0.3">
      <c r="A2698" s="44"/>
      <c r="B2698" s="31" t="str">
        <f>IF(_xll.TM1RPTELISCONSOLIDATED($H$20,$H2698),IF(_xll.TM1RPTELLEV($H$20,$H2698)&lt;=5,_xll.TM1RPTELLEV($H$20,$H2698),"Default"),"Leaf")</f>
        <v>Leaf</v>
      </c>
      <c r="C2698" s="26" t="s">
        <v>24</v>
      </c>
      <c r="D2698" s="24" t="str">
        <f>_xll.DBRW("TM1-S1_DEV:}ElementAttributes_SP_SKU",$F2698,D$1)</f>
        <v>Primary</v>
      </c>
      <c r="E2698" s="24" t="str">
        <f>_xll.DBRW("TM1-S1_DEV:}ElementAttributes_SP_SKU",$F2698,E$1)</f>
        <v>SIDES</v>
      </c>
      <c r="F2698" s="26" t="s">
        <v>3127</v>
      </c>
      <c r="G2698" s="26" t="s">
        <v>2243</v>
      </c>
      <c r="H2698" s="26" t="s">
        <v>2676</v>
      </c>
      <c r="I2698" s="54">
        <f>_xll.DBRW($A$1,$F$14,$F$15,$C2698,$A$2,$F2698,$G2698,$H2698,I$1)</f>
        <v>95</v>
      </c>
      <c r="J2698" s="25">
        <f>_xll.DBRW($A$1,$F$14,$F$15,$C2698,$A$2,$F2698,$G2698,$H2698,J$19)</f>
        <v>24</v>
      </c>
    </row>
    <row r="2699" spans="1:10" s="23" customFormat="1" outlineLevel="1" thickBot="1" x14ac:dyDescent="0.3">
      <c r="A2699" s="44"/>
      <c r="B2699" s="31" t="str">
        <f>IF(_xll.TM1RPTELISCONSOLIDATED($H$20,$H2699),IF(_xll.TM1RPTELLEV($H$20,$H2699)&lt;=5,_xll.TM1RPTELLEV($H$20,$H2699),"Default"),"Leaf")</f>
        <v>Leaf</v>
      </c>
      <c r="C2699" s="26" t="s">
        <v>24</v>
      </c>
      <c r="D2699" s="24" t="str">
        <f>_xll.DBRW("TM1-S1_DEV:}ElementAttributes_SP_SKU",$F2699,D$1)</f>
        <v>Primary</v>
      </c>
      <c r="E2699" s="24" t="str">
        <f>_xll.DBRW("TM1-S1_DEV:}ElementAttributes_SP_SKU",$F2699,E$1)</f>
        <v>SIDES</v>
      </c>
      <c r="F2699" s="26" t="s">
        <v>3128</v>
      </c>
      <c r="G2699" s="26" t="s">
        <v>2244</v>
      </c>
      <c r="H2699" s="26" t="s">
        <v>2676</v>
      </c>
      <c r="I2699" s="54">
        <f>_xll.DBRW($A$1,$F$14,$F$15,$C2699,$A$2,$F2699,$G2699,$H2699,I$1)</f>
        <v>86</v>
      </c>
      <c r="J2699" s="25">
        <f>_xll.DBRW($A$1,$F$14,$F$15,$C2699,$A$2,$F2699,$G2699,$H2699,J$19)</f>
        <v>3</v>
      </c>
    </row>
    <row r="2700" spans="1:10" s="23" customFormat="1" outlineLevel="1" thickBot="1" x14ac:dyDescent="0.3">
      <c r="A2700" s="44"/>
      <c r="B2700" s="31" t="str">
        <f>IF(_xll.TM1RPTELISCONSOLIDATED($H$20,$H2700),IF(_xll.TM1RPTELLEV($H$20,$H2700)&lt;=5,_xll.TM1RPTELLEV($H$20,$H2700),"Default"),"Leaf")</f>
        <v>Leaf</v>
      </c>
      <c r="C2700" s="26" t="s">
        <v>24</v>
      </c>
      <c r="D2700" s="24" t="str">
        <f>_xll.DBRW("TM1-S1_DEV:}ElementAttributes_SP_SKU",$F2700,D$1)</f>
        <v>Primary</v>
      </c>
      <c r="E2700" s="24" t="str">
        <f>_xll.DBRW("TM1-S1_DEV:}ElementAttributes_SP_SKU",$F2700,E$1)</f>
        <v>SIDES</v>
      </c>
      <c r="F2700" s="26" t="s">
        <v>3129</v>
      </c>
      <c r="G2700" s="26" t="s">
        <v>2245</v>
      </c>
      <c r="H2700" s="26" t="s">
        <v>2676</v>
      </c>
      <c r="I2700" s="54">
        <f>_xll.DBRW($A$1,$F$14,$F$15,$C2700,$A$2,$F2700,$G2700,$H2700,I$1)</f>
        <v>35</v>
      </c>
      <c r="J2700" s="25">
        <f>_xll.DBRW($A$1,$F$14,$F$15,$C2700,$A$2,$F2700,$G2700,$H2700,J$19)</f>
        <v>13</v>
      </c>
    </row>
    <row r="2701" spans="1:10" s="23" customFormat="1" outlineLevel="1" thickBot="1" x14ac:dyDescent="0.3">
      <c r="A2701" s="44"/>
      <c r="B2701" s="31" t="str">
        <f>IF(_xll.TM1RPTELISCONSOLIDATED($H$20,$H2701),IF(_xll.TM1RPTELLEV($H$20,$H2701)&lt;=5,_xll.TM1RPTELLEV($H$20,$H2701),"Default"),"Leaf")</f>
        <v>Leaf</v>
      </c>
      <c r="C2701" s="26" t="s">
        <v>24</v>
      </c>
      <c r="D2701" s="24" t="str">
        <f>_xll.DBRW("TM1-S1_DEV:}ElementAttributes_SP_SKU",$F2701,D$1)</f>
        <v>Primary</v>
      </c>
      <c r="E2701" s="24" t="str">
        <f>_xll.DBRW("TM1-S1_DEV:}ElementAttributes_SP_SKU",$F2701,E$1)</f>
        <v>SIDES</v>
      </c>
      <c r="F2701" s="26" t="s">
        <v>3130</v>
      </c>
      <c r="G2701" s="26" t="s">
        <v>2246</v>
      </c>
      <c r="H2701" s="26" t="s">
        <v>2676</v>
      </c>
      <c r="I2701" s="54">
        <f>_xll.DBRW($A$1,$F$14,$F$15,$C2701,$A$2,$F2701,$G2701,$H2701,I$1)</f>
        <v>13</v>
      </c>
      <c r="J2701" s="25">
        <f>_xll.DBRW($A$1,$F$14,$F$15,$C2701,$A$2,$F2701,$G2701,$H2701,J$19)</f>
        <v>9</v>
      </c>
    </row>
    <row r="2702" spans="1:10" s="23" customFormat="1" outlineLevel="1" thickBot="1" x14ac:dyDescent="0.3">
      <c r="A2702" s="44"/>
      <c r="B2702" s="31" t="str">
        <f>IF(_xll.TM1RPTELISCONSOLIDATED($H$20,$H2702),IF(_xll.TM1RPTELLEV($H$20,$H2702)&lt;=5,_xll.TM1RPTELLEV($H$20,$H2702),"Default"),"Leaf")</f>
        <v>Leaf</v>
      </c>
      <c r="C2702" s="26" t="s">
        <v>24</v>
      </c>
      <c r="D2702" s="24" t="str">
        <f>_xll.DBRW("TM1-S1_DEV:}ElementAttributes_SP_SKU",$F2702,D$1)</f>
        <v>Primary</v>
      </c>
      <c r="E2702" s="24" t="str">
        <f>_xll.DBRW("TM1-S1_DEV:}ElementAttributes_SP_SKU",$F2702,E$1)</f>
        <v>SIDES</v>
      </c>
      <c r="F2702" s="26" t="s">
        <v>3131</v>
      </c>
      <c r="G2702" s="26" t="s">
        <v>2247</v>
      </c>
      <c r="H2702" s="26" t="s">
        <v>2676</v>
      </c>
      <c r="I2702" s="54">
        <f>_xll.DBRW($A$1,$F$14,$F$15,$C2702,$A$2,$F2702,$G2702,$H2702,I$1)</f>
        <v>34</v>
      </c>
      <c r="J2702" s="25">
        <f>_xll.DBRW($A$1,$F$14,$F$15,$C2702,$A$2,$F2702,$G2702,$H2702,J$19)</f>
        <v>18</v>
      </c>
    </row>
    <row r="2703" spans="1:10" s="23" customFormat="1" outlineLevel="1" thickBot="1" x14ac:dyDescent="0.3">
      <c r="A2703" s="44"/>
      <c r="B2703" s="31" t="str">
        <f>IF(_xll.TM1RPTELISCONSOLIDATED($H$20,$H2703),IF(_xll.TM1RPTELLEV($H$20,$H2703)&lt;=5,_xll.TM1RPTELLEV($H$20,$H2703),"Default"),"Leaf")</f>
        <v>Leaf</v>
      </c>
      <c r="C2703" s="26" t="s">
        <v>24</v>
      </c>
      <c r="D2703" s="24" t="str">
        <f>_xll.DBRW("TM1-S1_DEV:}ElementAttributes_SP_SKU",$F2703,D$1)</f>
        <v>Primary</v>
      </c>
      <c r="E2703" s="24" t="str">
        <f>_xll.DBRW("TM1-S1_DEV:}ElementAttributes_SP_SKU",$F2703,E$1)</f>
        <v>SIDES</v>
      </c>
      <c r="F2703" s="26" t="s">
        <v>3132</v>
      </c>
      <c r="G2703" s="26" t="s">
        <v>2248</v>
      </c>
      <c r="H2703" s="26" t="s">
        <v>2676</v>
      </c>
      <c r="I2703" s="54">
        <f>_xll.DBRW($A$1,$F$14,$F$15,$C2703,$A$2,$F2703,$G2703,$H2703,I$1)</f>
        <v>136</v>
      </c>
      <c r="J2703" s="25">
        <f>_xll.DBRW($A$1,$F$14,$F$15,$C2703,$A$2,$F2703,$G2703,$H2703,J$19)</f>
        <v>34</v>
      </c>
    </row>
    <row r="2704" spans="1:10" s="23" customFormat="1" outlineLevel="1" thickBot="1" x14ac:dyDescent="0.3">
      <c r="A2704" s="44"/>
      <c r="B2704" s="31" t="str">
        <f>IF(_xll.TM1RPTELISCONSOLIDATED($H$20,$H2704),IF(_xll.TM1RPTELLEV($H$20,$H2704)&lt;=5,_xll.TM1RPTELLEV($H$20,$H2704),"Default"),"Leaf")</f>
        <v>Leaf</v>
      </c>
      <c r="C2704" s="26" t="s">
        <v>24</v>
      </c>
      <c r="D2704" s="24" t="str">
        <f>_xll.DBRW("TM1-S1_DEV:}ElementAttributes_SP_SKU",$F2704,D$1)</f>
        <v>Primary</v>
      </c>
      <c r="E2704" s="24" t="str">
        <f>_xll.DBRW("TM1-S1_DEV:}ElementAttributes_SP_SKU",$F2704,E$1)</f>
        <v>DESSERT</v>
      </c>
      <c r="F2704" s="26" t="s">
        <v>29</v>
      </c>
      <c r="G2704" s="26" t="s">
        <v>2249</v>
      </c>
      <c r="H2704" s="26" t="s">
        <v>2677</v>
      </c>
      <c r="I2704" s="54">
        <f>_xll.DBRW($A$1,$F$14,$F$15,$C2704,$A$2,$F2704,$G2704,$H2704,I$1)</f>
        <v>34</v>
      </c>
      <c r="J2704" s="25">
        <f>_xll.DBRW($A$1,$F$14,$F$15,$C2704,$A$2,$F2704,$G2704,$H2704,J$19)</f>
        <v>43</v>
      </c>
    </row>
    <row r="2705" spans="1:10" s="23" customFormat="1" outlineLevel="1" thickBot="1" x14ac:dyDescent="0.3">
      <c r="A2705" s="44"/>
      <c r="B2705" s="31" t="str">
        <f>IF(_xll.TM1RPTELISCONSOLIDATED($H$20,$H2705),IF(_xll.TM1RPTELLEV($H$20,$H2705)&lt;=5,_xll.TM1RPTELLEV($H$20,$H2705),"Default"),"Leaf")</f>
        <v>Leaf</v>
      </c>
      <c r="C2705" s="26" t="s">
        <v>24</v>
      </c>
      <c r="D2705" s="24" t="str">
        <f>_xll.DBRW("TM1-S1_DEV:}ElementAttributes_SP_SKU",$F2705,D$1)</f>
        <v>Primary</v>
      </c>
      <c r="E2705" s="24" t="str">
        <f>_xll.DBRW("TM1-S1_DEV:}ElementAttributes_SP_SKU",$F2705,E$1)</f>
        <v>PIE</v>
      </c>
      <c r="F2705" s="26" t="s">
        <v>3133</v>
      </c>
      <c r="G2705" s="26" t="s">
        <v>1312</v>
      </c>
      <c r="H2705" s="26" t="s">
        <v>2678</v>
      </c>
      <c r="I2705" s="54">
        <f>_xll.DBRW($A$1,$F$14,$F$15,$C2705,$A$2,$F2705,$G2705,$H2705,I$1)</f>
        <v>14</v>
      </c>
      <c r="J2705" s="25">
        <f>_xll.DBRW($A$1,$F$14,$F$15,$C2705,$A$2,$F2705,$G2705,$H2705,J$19)</f>
        <v>4</v>
      </c>
    </row>
    <row r="2706" spans="1:10" s="23" customFormat="1" outlineLevel="1" thickBot="1" x14ac:dyDescent="0.3">
      <c r="A2706" s="44"/>
      <c r="B2706" s="31" t="str">
        <f>IF(_xll.TM1RPTELISCONSOLIDATED($H$20,$H2706),IF(_xll.TM1RPTELLEV($H$20,$H2706)&lt;=5,_xll.TM1RPTELLEV($H$20,$H2706),"Default"),"Leaf")</f>
        <v>Leaf</v>
      </c>
      <c r="C2706" s="26" t="s">
        <v>24</v>
      </c>
      <c r="D2706" s="24" t="str">
        <f>_xll.DBRW("TM1-S1_DEV:}ElementAttributes_SP_SKU",$F2706,D$1)</f>
        <v>Primary</v>
      </c>
      <c r="E2706" s="24" t="str">
        <f>_xll.DBRW("TM1-S1_DEV:}ElementAttributes_SP_SKU",$F2706,E$1)</f>
        <v>PIE</v>
      </c>
      <c r="F2706" s="26" t="s">
        <v>3134</v>
      </c>
      <c r="G2706" s="26" t="s">
        <v>1313</v>
      </c>
      <c r="H2706" s="26" t="s">
        <v>2678</v>
      </c>
      <c r="I2706" s="54">
        <f>_xll.DBRW($A$1,$F$14,$F$15,$C2706,$A$2,$F2706,$G2706,$H2706,I$1)</f>
        <v>10</v>
      </c>
      <c r="J2706" s="25">
        <f>_xll.DBRW($A$1,$F$14,$F$15,$C2706,$A$2,$F2706,$G2706,$H2706,J$19)</f>
        <v>1</v>
      </c>
    </row>
    <row r="2707" spans="1:10" s="23" customFormat="1" outlineLevel="1" thickBot="1" x14ac:dyDescent="0.3">
      <c r="A2707" s="44"/>
      <c r="B2707" s="31" t="str">
        <f>IF(_xll.TM1RPTELISCONSOLIDATED($H$20,$H2707),IF(_xll.TM1RPTELLEV($H$20,$H2707)&lt;=5,_xll.TM1RPTELLEV($H$20,$H2707),"Default"),"Leaf")</f>
        <v>Leaf</v>
      </c>
      <c r="C2707" s="26" t="s">
        <v>24</v>
      </c>
      <c r="D2707" s="24" t="str">
        <f>_xll.DBRW("TM1-S1_DEV:}ElementAttributes_SP_SKU",$F2707,D$1)</f>
        <v>Primary</v>
      </c>
      <c r="E2707" s="24" t="str">
        <f>_xll.DBRW("TM1-S1_DEV:}ElementAttributes_SP_SKU",$F2707,E$1)</f>
        <v>CAKE</v>
      </c>
      <c r="F2707" s="26" t="s">
        <v>3135</v>
      </c>
      <c r="G2707" s="26" t="s">
        <v>1314</v>
      </c>
      <c r="H2707" s="26" t="s">
        <v>2679</v>
      </c>
      <c r="I2707" s="54">
        <f>_xll.DBRW($A$1,$F$14,$F$15,$C2707,$A$2,$F2707,$G2707,$H2707,I$1)</f>
        <v>41</v>
      </c>
      <c r="J2707" s="25">
        <f>_xll.DBRW($A$1,$F$14,$F$15,$C2707,$A$2,$F2707,$G2707,$H2707,J$19)</f>
        <v>10</v>
      </c>
    </row>
    <row r="2708" spans="1:10" s="23" customFormat="1" outlineLevel="1" thickBot="1" x14ac:dyDescent="0.3">
      <c r="A2708" s="44"/>
      <c r="B2708" s="31" t="str">
        <f>IF(_xll.TM1RPTELISCONSOLIDATED($H$20,$H2708),IF(_xll.TM1RPTELLEV($H$20,$H2708)&lt;=5,_xll.TM1RPTELLEV($H$20,$H2708),"Default"),"Leaf")</f>
        <v>Leaf</v>
      </c>
      <c r="C2708" s="26" t="s">
        <v>24</v>
      </c>
      <c r="D2708" s="24" t="str">
        <f>_xll.DBRW("TM1-S1_DEV:}ElementAttributes_SP_SKU",$F2708,D$1)</f>
        <v>Primary</v>
      </c>
      <c r="E2708" s="24" t="str">
        <f>_xll.DBRW("TM1-S1_DEV:}ElementAttributes_SP_SKU",$F2708,E$1)</f>
        <v>CAKE</v>
      </c>
      <c r="F2708" s="26" t="s">
        <v>3136</v>
      </c>
      <c r="G2708" s="26" t="s">
        <v>1315</v>
      </c>
      <c r="H2708" s="26" t="s">
        <v>2679</v>
      </c>
      <c r="I2708" s="54">
        <f>_xll.DBRW($A$1,$F$14,$F$15,$C2708,$A$2,$F2708,$G2708,$H2708,I$1)</f>
        <v>27</v>
      </c>
      <c r="J2708" s="25">
        <f>_xll.DBRW($A$1,$F$14,$F$15,$C2708,$A$2,$F2708,$G2708,$H2708,J$19)</f>
        <v>7</v>
      </c>
    </row>
    <row r="2709" spans="1:10" s="23" customFormat="1" outlineLevel="1" thickBot="1" x14ac:dyDescent="0.3">
      <c r="A2709" s="44"/>
      <c r="B2709" s="31" t="str">
        <f>IF(_xll.TM1RPTELISCONSOLIDATED($H$20,$H2709),IF(_xll.TM1RPTELLEV($H$20,$H2709)&lt;=5,_xll.TM1RPTELLEV($H$20,$H2709),"Default"),"Leaf")</f>
        <v>Leaf</v>
      </c>
      <c r="C2709" s="26" t="s">
        <v>24</v>
      </c>
      <c r="D2709" s="24" t="str">
        <f>_xll.DBRW("TM1-S1_DEV:}ElementAttributes_SP_SKU",$F2709,D$1)</f>
        <v>Primary</v>
      </c>
      <c r="E2709" s="24" t="str">
        <f>_xll.DBRW("TM1-S1_DEV:}ElementAttributes_SP_SKU",$F2709,E$1)</f>
        <v>CAKE</v>
      </c>
      <c r="F2709" s="26" t="s">
        <v>3137</v>
      </c>
      <c r="G2709" s="26" t="s">
        <v>1316</v>
      </c>
      <c r="H2709" s="26" t="s">
        <v>2679</v>
      </c>
      <c r="I2709" s="54">
        <f>_xll.DBRW($A$1,$F$14,$F$15,$C2709,$A$2,$F2709,$G2709,$H2709,I$1)</f>
        <v>35</v>
      </c>
      <c r="J2709" s="25">
        <f>_xll.DBRW($A$1,$F$14,$F$15,$C2709,$A$2,$F2709,$G2709,$H2709,J$19)</f>
        <v>4</v>
      </c>
    </row>
    <row r="2710" spans="1:10" s="23" customFormat="1" outlineLevel="1" thickBot="1" x14ac:dyDescent="0.3">
      <c r="A2710" s="44"/>
      <c r="B2710" s="31" t="str">
        <f>IF(_xll.TM1RPTELISCONSOLIDATED($H$20,$H2710),IF(_xll.TM1RPTELLEV($H$20,$H2710)&lt;=5,_xll.TM1RPTELLEV($H$20,$H2710),"Default"),"Leaf")</f>
        <v>Leaf</v>
      </c>
      <c r="C2710" s="26" t="s">
        <v>24</v>
      </c>
      <c r="D2710" s="24" t="str">
        <f>_xll.DBRW("TM1-S1_DEV:}ElementAttributes_SP_SKU",$F2710,D$1)</f>
        <v>Primary</v>
      </c>
      <c r="E2710" s="24" t="str">
        <f>_xll.DBRW("TM1-S1_DEV:}ElementAttributes_SP_SKU",$F2710,E$1)</f>
        <v>CAKE</v>
      </c>
      <c r="F2710" s="26" t="s">
        <v>3138</v>
      </c>
      <c r="G2710" s="26" t="s">
        <v>2250</v>
      </c>
      <c r="H2710" s="26" t="s">
        <v>2680</v>
      </c>
      <c r="I2710" s="54">
        <f>_xll.DBRW($A$1,$F$14,$F$15,$C2710,$A$2,$F2710,$G2710,$H2710,I$1)</f>
        <v>6</v>
      </c>
      <c r="J2710" s="25">
        <f>_xll.DBRW($A$1,$F$14,$F$15,$C2710,$A$2,$F2710,$G2710,$H2710,J$19)</f>
        <v>2</v>
      </c>
    </row>
    <row r="2711" spans="1:10" s="23" customFormat="1" outlineLevel="1" thickBot="1" x14ac:dyDescent="0.3">
      <c r="A2711" s="44"/>
      <c r="B2711" s="31" t="str">
        <f>IF(_xll.TM1RPTELISCONSOLIDATED($H$20,$H2711),IF(_xll.TM1RPTELLEV($H$20,$H2711)&lt;=5,_xll.TM1RPTELLEV($H$20,$H2711),"Default"),"Leaf")</f>
        <v>Leaf</v>
      </c>
      <c r="C2711" s="26" t="s">
        <v>24</v>
      </c>
      <c r="D2711" s="24" t="str">
        <f>_xll.DBRW("TM1-S1_DEV:}ElementAttributes_SP_SKU",$F2711,D$1)</f>
        <v>Primary</v>
      </c>
      <c r="E2711" s="24" t="str">
        <f>_xll.DBRW("TM1-S1_DEV:}ElementAttributes_SP_SKU",$F2711,E$1)</f>
        <v>DESSERT</v>
      </c>
      <c r="F2711" s="26" t="s">
        <v>3139</v>
      </c>
      <c r="G2711" s="26" t="s">
        <v>1317</v>
      </c>
      <c r="H2711" s="26" t="s">
        <v>2681</v>
      </c>
      <c r="I2711" s="54">
        <f>_xll.DBRW($A$1,$F$14,$F$15,$C2711,$A$2,$F2711,$G2711,$H2711,I$1)</f>
        <v>26</v>
      </c>
      <c r="J2711" s="25">
        <f>_xll.DBRW($A$1,$F$14,$F$15,$C2711,$A$2,$F2711,$G2711,$H2711,J$19)</f>
        <v>16</v>
      </c>
    </row>
    <row r="2712" spans="1:10" s="23" customFormat="1" outlineLevel="1" thickBot="1" x14ac:dyDescent="0.3">
      <c r="A2712" s="44"/>
      <c r="B2712" s="31" t="str">
        <f>IF(_xll.TM1RPTELISCONSOLIDATED($H$20,$H2712),IF(_xll.TM1RPTELLEV($H$20,$H2712)&lt;=5,_xll.TM1RPTELLEV($H$20,$H2712),"Default"),"Leaf")</f>
        <v>Leaf</v>
      </c>
      <c r="C2712" s="26" t="s">
        <v>24</v>
      </c>
      <c r="D2712" s="24" t="str">
        <f>_xll.DBRW("TM1-S1_DEV:}ElementAttributes_SP_SKU",$F2712,D$1)</f>
        <v>Primary</v>
      </c>
      <c r="E2712" s="24" t="str">
        <f>_xll.DBRW("TM1-S1_DEV:}ElementAttributes_SP_SKU",$F2712,E$1)</f>
        <v>DESSERT</v>
      </c>
      <c r="F2712" s="26" t="s">
        <v>3140</v>
      </c>
      <c r="G2712" s="26" t="s">
        <v>1318</v>
      </c>
      <c r="H2712" s="26" t="s">
        <v>2681</v>
      </c>
      <c r="I2712" s="54">
        <f>_xll.DBRW($A$1,$F$14,$F$15,$C2712,$A$2,$F2712,$G2712,$H2712,I$1)</f>
        <v>21</v>
      </c>
      <c r="J2712" s="25">
        <f>_xll.DBRW($A$1,$F$14,$F$15,$C2712,$A$2,$F2712,$G2712,$H2712,J$19)</f>
        <v>3</v>
      </c>
    </row>
    <row r="2713" spans="1:10" s="23" customFormat="1" outlineLevel="1" thickBot="1" x14ac:dyDescent="0.3">
      <c r="A2713" s="44"/>
      <c r="B2713" s="31" t="str">
        <f>IF(_xll.TM1RPTELISCONSOLIDATED($H$20,$H2713),IF(_xll.TM1RPTELLEV($H$20,$H2713)&lt;=5,_xll.TM1RPTELLEV($H$20,$H2713),"Default"),"Leaf")</f>
        <v>Leaf</v>
      </c>
      <c r="C2713" s="26" t="s">
        <v>24</v>
      </c>
      <c r="D2713" s="24" t="str">
        <f>_xll.DBRW("TM1-S1_DEV:}ElementAttributes_SP_SKU",$F2713,D$1)</f>
        <v>Primary</v>
      </c>
      <c r="E2713" s="24" t="str">
        <f>_xll.DBRW("TM1-S1_DEV:}ElementAttributes_SP_SKU",$F2713,E$1)</f>
        <v>CAKE</v>
      </c>
      <c r="F2713" s="26" t="s">
        <v>3142</v>
      </c>
      <c r="G2713" s="26" t="s">
        <v>1319</v>
      </c>
      <c r="H2713" s="26" t="s">
        <v>2682</v>
      </c>
      <c r="I2713" s="54">
        <f>_xll.DBRW($A$1,$F$14,$F$15,$C2713,$A$2,$F2713,$G2713,$H2713,I$1)</f>
        <v>31</v>
      </c>
      <c r="J2713" s="25">
        <f>_xll.DBRW($A$1,$F$14,$F$15,$C2713,$A$2,$F2713,$G2713,$H2713,J$19)</f>
        <v>16</v>
      </c>
    </row>
    <row r="2714" spans="1:10" s="23" customFormat="1" outlineLevel="1" thickBot="1" x14ac:dyDescent="0.3">
      <c r="A2714" s="44"/>
      <c r="B2714" s="31" t="str">
        <f>IF(_xll.TM1RPTELISCONSOLIDATED($H$20,$H2714),IF(_xll.TM1RPTELLEV($H$20,$H2714)&lt;=5,_xll.TM1RPTELLEV($H$20,$H2714),"Default"),"Leaf")</f>
        <v>Leaf</v>
      </c>
      <c r="C2714" s="26" t="s">
        <v>24</v>
      </c>
      <c r="D2714" s="24" t="str">
        <f>_xll.DBRW("TM1-S1_DEV:}ElementAttributes_SP_SKU",$F2714,D$1)</f>
        <v>Primary</v>
      </c>
      <c r="E2714" s="24" t="str">
        <f>_xll.DBRW("TM1-S1_DEV:}ElementAttributes_SP_SKU",$F2714,E$1)</f>
        <v>CAKE</v>
      </c>
      <c r="F2714" s="26" t="s">
        <v>3143</v>
      </c>
      <c r="G2714" s="26" t="s">
        <v>1320</v>
      </c>
      <c r="H2714" s="26" t="s">
        <v>2682</v>
      </c>
      <c r="I2714" s="54">
        <f>_xll.DBRW($A$1,$F$14,$F$15,$C2714,$A$2,$F2714,$G2714,$H2714,I$1)</f>
        <v>24</v>
      </c>
      <c r="J2714" s="25">
        <f>_xll.DBRW($A$1,$F$14,$F$15,$C2714,$A$2,$F2714,$G2714,$H2714,J$19)</f>
        <v>16</v>
      </c>
    </row>
    <row r="2715" spans="1:10" s="23" customFormat="1" outlineLevel="1" thickBot="1" x14ac:dyDescent="0.3">
      <c r="A2715" s="44"/>
      <c r="B2715" s="31" t="str">
        <f>IF(_xll.TM1RPTELISCONSOLIDATED($H$20,$H2715),IF(_xll.TM1RPTELLEV($H$20,$H2715)&lt;=5,_xll.TM1RPTELLEV($H$20,$H2715),"Default"),"Leaf")</f>
        <v>Leaf</v>
      </c>
      <c r="C2715" s="26" t="s">
        <v>24</v>
      </c>
      <c r="D2715" s="24" t="str">
        <f>_xll.DBRW("TM1-S1_DEV:}ElementAttributes_SP_SKU",$F2715,D$1)</f>
        <v>Primary</v>
      </c>
      <c r="E2715" s="24" t="str">
        <f>_xll.DBRW("TM1-S1_DEV:}ElementAttributes_SP_SKU",$F2715,E$1)</f>
        <v>CAKE</v>
      </c>
      <c r="F2715" s="26" t="s">
        <v>3145</v>
      </c>
      <c r="G2715" s="26" t="s">
        <v>2251</v>
      </c>
      <c r="H2715" s="26" t="s">
        <v>2680</v>
      </c>
      <c r="I2715" s="54">
        <f>_xll.DBRW($A$1,$F$14,$F$15,$C2715,$A$2,$F2715,$G2715,$H2715,I$1)</f>
        <v>38</v>
      </c>
      <c r="J2715" s="25">
        <f>_xll.DBRW($A$1,$F$14,$F$15,$C2715,$A$2,$F2715,$G2715,$H2715,J$19)</f>
        <v>36</v>
      </c>
    </row>
    <row r="2716" spans="1:10" s="23" customFormat="1" outlineLevel="1" thickBot="1" x14ac:dyDescent="0.3">
      <c r="A2716" s="44"/>
      <c r="B2716" s="31" t="str">
        <f>IF(_xll.TM1RPTELISCONSOLIDATED($H$20,$H2716),IF(_xll.TM1RPTELLEV($H$20,$H2716)&lt;=5,_xll.TM1RPTELLEV($H$20,$H2716),"Default"),"Leaf")</f>
        <v>Leaf</v>
      </c>
      <c r="C2716" s="26" t="s">
        <v>24</v>
      </c>
      <c r="D2716" s="24" t="str">
        <f>_xll.DBRW("TM1-S1_DEV:}ElementAttributes_SP_SKU",$F2716,D$1)</f>
        <v>Primary</v>
      </c>
      <c r="E2716" s="24" t="str">
        <f>_xll.DBRW("TM1-S1_DEV:}ElementAttributes_SP_SKU",$F2716,E$1)</f>
        <v>CAKE</v>
      </c>
      <c r="F2716" s="26" t="s">
        <v>3146</v>
      </c>
      <c r="G2716" s="26" t="s">
        <v>2252</v>
      </c>
      <c r="H2716" s="26" t="s">
        <v>2680</v>
      </c>
      <c r="I2716" s="54">
        <f>_xll.DBRW($A$1,$F$14,$F$15,$C2716,$A$2,$F2716,$G2716,$H2716,I$1)</f>
        <v>1</v>
      </c>
      <c r="J2716" s="25">
        <f>_xll.DBRW($A$1,$F$14,$F$15,$C2716,$A$2,$F2716,$G2716,$H2716,J$19)</f>
        <v>-1</v>
      </c>
    </row>
    <row r="2717" spans="1:10" s="23" customFormat="1" outlineLevel="1" thickBot="1" x14ac:dyDescent="0.3">
      <c r="A2717" s="44"/>
      <c r="B2717" s="31" t="str">
        <f>IF(_xll.TM1RPTELISCONSOLIDATED($H$20,$H2717),IF(_xll.TM1RPTELLEV($H$20,$H2717)&lt;=5,_xll.TM1RPTELLEV($H$20,$H2717),"Default"),"Leaf")</f>
        <v>Leaf</v>
      </c>
      <c r="C2717" s="26" t="s">
        <v>24</v>
      </c>
      <c r="D2717" s="24" t="str">
        <f>_xll.DBRW("TM1-S1_DEV:}ElementAttributes_SP_SKU",$F2717,D$1)</f>
        <v>Primary</v>
      </c>
      <c r="E2717" s="24" t="str">
        <f>_xll.DBRW("TM1-S1_DEV:}ElementAttributes_SP_SKU",$F2717,E$1)</f>
        <v>CONDIMENT</v>
      </c>
      <c r="F2717" s="26" t="s">
        <v>3147</v>
      </c>
      <c r="G2717" s="26" t="s">
        <v>1321</v>
      </c>
      <c r="H2717" s="26" t="s">
        <v>2683</v>
      </c>
      <c r="I2717" s="54">
        <f>_xll.DBRW($A$1,$F$14,$F$15,$C2717,$A$2,$F2717,$G2717,$H2717,I$1)</f>
        <v>7</v>
      </c>
      <c r="J2717" s="25">
        <f>_xll.DBRW($A$1,$F$14,$F$15,$C2717,$A$2,$F2717,$G2717,$H2717,J$19)</f>
        <v>6</v>
      </c>
    </row>
    <row r="2718" spans="1:10" s="23" customFormat="1" outlineLevel="1" thickBot="1" x14ac:dyDescent="0.3">
      <c r="A2718" s="44"/>
      <c r="B2718" s="31" t="str">
        <f>IF(_xll.TM1RPTELISCONSOLIDATED($H$20,$H2718),IF(_xll.TM1RPTELLEV($H$20,$H2718)&lt;=5,_xll.TM1RPTELLEV($H$20,$H2718),"Default"),"Leaf")</f>
        <v>Leaf</v>
      </c>
      <c r="C2718" s="26" t="s">
        <v>24</v>
      </c>
      <c r="D2718" s="24" t="str">
        <f>_xll.DBRW("TM1-S1_DEV:}ElementAttributes_SP_SKU",$F2718,D$1)</f>
        <v>Primary</v>
      </c>
      <c r="E2718" s="24" t="str">
        <f>_xll.DBRW("TM1-S1_DEV:}ElementAttributes_SP_SKU",$F2718,E$1)</f>
        <v>CONDIMENT</v>
      </c>
      <c r="F2718" s="26" t="s">
        <v>3148</v>
      </c>
      <c r="G2718" s="26" t="s">
        <v>1322</v>
      </c>
      <c r="H2718" s="26" t="s">
        <v>2684</v>
      </c>
      <c r="I2718" s="54">
        <f>_xll.DBRW($A$1,$F$14,$F$15,$C2718,$A$2,$F2718,$G2718,$H2718,I$1)</f>
        <v>11</v>
      </c>
      <c r="J2718" s="25">
        <f>_xll.DBRW($A$1,$F$14,$F$15,$C2718,$A$2,$F2718,$G2718,$H2718,J$19)</f>
        <v>9</v>
      </c>
    </row>
    <row r="2719" spans="1:10" s="23" customFormat="1" outlineLevel="1" thickBot="1" x14ac:dyDescent="0.3">
      <c r="A2719" s="44"/>
      <c r="B2719" s="31" t="str">
        <f>IF(_xll.TM1RPTELISCONSOLIDATED($H$20,$H2719),IF(_xll.TM1RPTELLEV($H$20,$H2719)&lt;=5,_xll.TM1RPTELLEV($H$20,$H2719),"Default"),"Leaf")</f>
        <v>Leaf</v>
      </c>
      <c r="C2719" s="26" t="s">
        <v>24</v>
      </c>
      <c r="D2719" s="24" t="str">
        <f>_xll.DBRW("TM1-S1_DEV:}ElementAttributes_SP_SKU",$F2719,D$1)</f>
        <v>Primary</v>
      </c>
      <c r="E2719" s="24" t="str">
        <f>_xll.DBRW("TM1-S1_DEV:}ElementAttributes_SP_SKU",$F2719,E$1)</f>
        <v>CONDIMENT</v>
      </c>
      <c r="F2719" s="26" t="s">
        <v>3149</v>
      </c>
      <c r="G2719" s="26" t="s">
        <v>1323</v>
      </c>
      <c r="H2719" s="26" t="s">
        <v>2684</v>
      </c>
      <c r="I2719" s="54">
        <f>_xll.DBRW($A$1,$F$14,$F$15,$C2719,$A$2,$F2719,$G2719,$H2719,I$1)</f>
        <v>16</v>
      </c>
      <c r="J2719" s="25">
        <f>_xll.DBRW($A$1,$F$14,$F$15,$C2719,$A$2,$F2719,$G2719,$H2719,J$19)</f>
        <v>16</v>
      </c>
    </row>
    <row r="2720" spans="1:10" s="23" customFormat="1" outlineLevel="1" thickBot="1" x14ac:dyDescent="0.3">
      <c r="A2720" s="44"/>
      <c r="B2720" s="31" t="str">
        <f>IF(_xll.TM1RPTELISCONSOLIDATED($H$20,$H2720),IF(_xll.TM1RPTELLEV($H$20,$H2720)&lt;=5,_xll.TM1RPTELLEV($H$20,$H2720),"Default"),"Leaf")</f>
        <v>Leaf</v>
      </c>
      <c r="C2720" s="26" t="s">
        <v>24</v>
      </c>
      <c r="D2720" s="24" t="str">
        <f>_xll.DBRW("TM1-S1_DEV:}ElementAttributes_SP_SKU",$F2720,D$1)</f>
        <v>Primary</v>
      </c>
      <c r="E2720" s="24" t="str">
        <f>_xll.DBRW("TM1-S1_DEV:}ElementAttributes_SP_SKU",$F2720,E$1)</f>
        <v>CONDIMENT</v>
      </c>
      <c r="F2720" s="26" t="s">
        <v>3150</v>
      </c>
      <c r="G2720" s="26" t="s">
        <v>1324</v>
      </c>
      <c r="H2720" s="26" t="s">
        <v>2684</v>
      </c>
      <c r="I2720" s="54">
        <f>_xll.DBRW($A$1,$F$14,$F$15,$C2720,$A$2,$F2720,$G2720,$H2720,I$1)</f>
        <v>17</v>
      </c>
      <c r="J2720" s="25">
        <f>_xll.DBRW($A$1,$F$14,$F$15,$C2720,$A$2,$F2720,$G2720,$H2720,J$19)</f>
        <v>15</v>
      </c>
    </row>
    <row r="2721" spans="1:10" s="23" customFormat="1" outlineLevel="1" thickBot="1" x14ac:dyDescent="0.3">
      <c r="A2721" s="44"/>
      <c r="B2721" s="31" t="str">
        <f>IF(_xll.TM1RPTELISCONSOLIDATED($H$20,$H2721),IF(_xll.TM1RPTELLEV($H$20,$H2721)&lt;=5,_xll.TM1RPTELLEV($H$20,$H2721),"Default"),"Leaf")</f>
        <v>Leaf</v>
      </c>
      <c r="C2721" s="26" t="s">
        <v>24</v>
      </c>
      <c r="D2721" s="24" t="str">
        <f>_xll.DBRW("TM1-S1_DEV:}ElementAttributes_SP_SKU",$F2721,D$1)</f>
        <v>Primary</v>
      </c>
      <c r="E2721" s="24" t="str">
        <f>_xll.DBRW("TM1-S1_DEV:}ElementAttributes_SP_SKU",$F2721,E$1)</f>
        <v>CONDIMENT</v>
      </c>
      <c r="F2721" s="26" t="s">
        <v>3151</v>
      </c>
      <c r="G2721" s="26" t="s">
        <v>1325</v>
      </c>
      <c r="H2721" s="26" t="s">
        <v>2684</v>
      </c>
      <c r="I2721" s="54">
        <f>_xll.DBRW($A$1,$F$14,$F$15,$C2721,$A$2,$F2721,$G2721,$H2721,I$1)</f>
        <v>7</v>
      </c>
      <c r="J2721" s="25">
        <f>_xll.DBRW($A$1,$F$14,$F$15,$C2721,$A$2,$F2721,$G2721,$H2721,J$19)</f>
        <v>6</v>
      </c>
    </row>
    <row r="2722" spans="1:10" s="23" customFormat="1" outlineLevel="1" thickBot="1" x14ac:dyDescent="0.3">
      <c r="A2722" s="44"/>
      <c r="B2722" s="31" t="str">
        <f>IF(_xll.TM1RPTELISCONSOLIDATED($H$20,$H2722),IF(_xll.TM1RPTELLEV($H$20,$H2722)&lt;=5,_xll.TM1RPTELLEV($H$20,$H2722),"Default"),"Leaf")</f>
        <v>Leaf</v>
      </c>
      <c r="C2722" s="26" t="s">
        <v>24</v>
      </c>
      <c r="D2722" s="24" t="str">
        <f>_xll.DBRW("TM1-S1_DEV:}ElementAttributes_SP_SKU",$F2722,D$1)</f>
        <v>Primary</v>
      </c>
      <c r="E2722" s="24" t="str">
        <f>_xll.DBRW("TM1-S1_DEV:}ElementAttributes_SP_SKU",$F2722,E$1)</f>
        <v>CONDIMENT</v>
      </c>
      <c r="F2722" s="26" t="s">
        <v>3152</v>
      </c>
      <c r="G2722" s="26" t="s">
        <v>1326</v>
      </c>
      <c r="H2722" s="26" t="s">
        <v>2684</v>
      </c>
      <c r="I2722" s="54">
        <f>_xll.DBRW($A$1,$F$14,$F$15,$C2722,$A$2,$F2722,$G2722,$H2722,I$1)</f>
        <v>10</v>
      </c>
      <c r="J2722" s="25">
        <f>_xll.DBRW($A$1,$F$14,$F$15,$C2722,$A$2,$F2722,$G2722,$H2722,J$19)</f>
        <v>9</v>
      </c>
    </row>
    <row r="2723" spans="1:10" s="23" customFormat="1" outlineLevel="1" thickBot="1" x14ac:dyDescent="0.3">
      <c r="A2723" s="44"/>
      <c r="B2723" s="31" t="str">
        <f>IF(_xll.TM1RPTELISCONSOLIDATED($H$20,$H2723),IF(_xll.TM1RPTELLEV($H$20,$H2723)&lt;=5,_xll.TM1RPTELLEV($H$20,$H2723),"Default"),"Leaf")</f>
        <v>Leaf</v>
      </c>
      <c r="C2723" s="26" t="s">
        <v>24</v>
      </c>
      <c r="D2723" s="24" t="str">
        <f>_xll.DBRW("TM1-S1_DEV:}ElementAttributes_SP_SKU",$F2723,D$1)</f>
        <v>Primary</v>
      </c>
      <c r="E2723" s="24" t="str">
        <f>_xll.DBRW("TM1-S1_DEV:}ElementAttributes_SP_SKU",$F2723,E$1)</f>
        <v>CONDIMENT</v>
      </c>
      <c r="F2723" s="26" t="s">
        <v>3153</v>
      </c>
      <c r="G2723" s="26" t="s">
        <v>1327</v>
      </c>
      <c r="H2723" s="26" t="s">
        <v>2684</v>
      </c>
      <c r="I2723" s="54">
        <f>_xll.DBRW($A$1,$F$14,$F$15,$C2723,$A$2,$F2723,$G2723,$H2723,I$1)</f>
        <v>10</v>
      </c>
      <c r="J2723" s="25">
        <f>_xll.DBRW($A$1,$F$14,$F$15,$C2723,$A$2,$F2723,$G2723,$H2723,J$19)</f>
        <v>8</v>
      </c>
    </row>
    <row r="2724" spans="1:10" s="23" customFormat="1" outlineLevel="1" thickBot="1" x14ac:dyDescent="0.3">
      <c r="A2724" s="44"/>
      <c r="B2724" s="31" t="str">
        <f>IF(_xll.TM1RPTELISCONSOLIDATED($H$20,$H2724),IF(_xll.TM1RPTELLEV($H$20,$H2724)&lt;=5,_xll.TM1RPTELLEV($H$20,$H2724),"Default"),"Leaf")</f>
        <v>Leaf</v>
      </c>
      <c r="C2724" s="26" t="s">
        <v>24</v>
      </c>
      <c r="D2724" s="24" t="str">
        <f>_xll.DBRW("TM1-S1_DEV:}ElementAttributes_SP_SKU",$F2724,D$1)</f>
        <v>Primary</v>
      </c>
      <c r="E2724" s="24" t="str">
        <f>_xll.DBRW("TM1-S1_DEV:}ElementAttributes_SP_SKU",$F2724,E$1)</f>
        <v>CONDIMENT</v>
      </c>
      <c r="F2724" s="26" t="s">
        <v>3154</v>
      </c>
      <c r="G2724" s="26" t="s">
        <v>1328</v>
      </c>
      <c r="H2724" s="26" t="s">
        <v>2684</v>
      </c>
      <c r="I2724" s="54">
        <f>_xll.DBRW($A$1,$F$14,$F$15,$C2724,$A$2,$F2724,$G2724,$H2724,I$1)</f>
        <v>47</v>
      </c>
      <c r="J2724" s="25">
        <f>_xll.DBRW($A$1,$F$14,$F$15,$C2724,$A$2,$F2724,$G2724,$H2724,J$19)</f>
        <v>31</v>
      </c>
    </row>
    <row r="2725" spans="1:10" s="23" customFormat="1" outlineLevel="1" thickBot="1" x14ac:dyDescent="0.3">
      <c r="A2725" s="44"/>
      <c r="B2725" s="31" t="str">
        <f>IF(_xll.TM1RPTELISCONSOLIDATED($H$20,$H2725),IF(_xll.TM1RPTELLEV($H$20,$H2725)&lt;=5,_xll.TM1RPTELLEV($H$20,$H2725),"Default"),"Leaf")</f>
        <v>Leaf</v>
      </c>
      <c r="C2725" s="26" t="s">
        <v>24</v>
      </c>
      <c r="D2725" s="24" t="str">
        <f>_xll.DBRW("TM1-S1_DEV:}ElementAttributes_SP_SKU",$F2725,D$1)</f>
        <v>Primary</v>
      </c>
      <c r="E2725" s="24" t="str">
        <f>_xll.DBRW("TM1-S1_DEV:}ElementAttributes_SP_SKU",$F2725,E$1)</f>
        <v>BREAD</v>
      </c>
      <c r="F2725" s="26" t="s">
        <v>3163</v>
      </c>
      <c r="G2725" s="26" t="s">
        <v>1330</v>
      </c>
      <c r="H2725" s="26" t="s">
        <v>2687</v>
      </c>
      <c r="I2725" s="54">
        <f>_xll.DBRW($A$1,$F$14,$F$15,$C2725,$A$2,$F2725,$G2725,$H2725,I$1)</f>
        <v>60</v>
      </c>
      <c r="J2725" s="25">
        <f>_xll.DBRW($A$1,$F$14,$F$15,$C2725,$A$2,$F2725,$G2725,$H2725,J$19)</f>
        <v>62</v>
      </c>
    </row>
    <row r="2726" spans="1:10" s="23" customFormat="1" outlineLevel="1" thickBot="1" x14ac:dyDescent="0.3">
      <c r="A2726" s="44"/>
      <c r="B2726" s="31" t="str">
        <f>IF(_xll.TM1RPTELISCONSOLIDATED($H$20,$H2726),IF(_xll.TM1RPTELLEV($H$20,$H2726)&lt;=5,_xll.TM1RPTELLEV($H$20,$H2726),"Default"),"Leaf")</f>
        <v>Leaf</v>
      </c>
      <c r="C2726" s="26" t="s">
        <v>24</v>
      </c>
      <c r="D2726" s="24" t="str">
        <f>_xll.DBRW("TM1-S1_DEV:}ElementAttributes_SP_SKU",$F2726,D$1)</f>
        <v>Primary</v>
      </c>
      <c r="E2726" s="24" t="str">
        <f>_xll.DBRW("TM1-S1_DEV:}ElementAttributes_SP_SKU",$F2726,E$1)</f>
        <v>BREAD</v>
      </c>
      <c r="F2726" s="26" t="s">
        <v>3164</v>
      </c>
      <c r="G2726" s="26" t="s">
        <v>1331</v>
      </c>
      <c r="H2726" s="26" t="s">
        <v>2687</v>
      </c>
      <c r="I2726" s="54">
        <f>_xll.DBRW($A$1,$F$14,$F$15,$C2726,$A$2,$F2726,$G2726,$H2726,I$1)</f>
        <v>80</v>
      </c>
      <c r="J2726" s="25">
        <f>_xll.DBRW($A$1,$F$14,$F$15,$C2726,$A$2,$F2726,$G2726,$H2726,J$19)</f>
        <v>96</v>
      </c>
    </row>
    <row r="2727" spans="1:10" s="23" customFormat="1" outlineLevel="1" thickBot="1" x14ac:dyDescent="0.3">
      <c r="A2727" s="44"/>
      <c r="B2727" s="31" t="str">
        <f>IF(_xll.TM1RPTELISCONSOLIDATED($H$20,$H2727),IF(_xll.TM1RPTELLEV($H$20,$H2727)&lt;=5,_xll.TM1RPTELLEV($H$20,$H2727),"Default"),"Leaf")</f>
        <v>Leaf</v>
      </c>
      <c r="C2727" s="26" t="s">
        <v>24</v>
      </c>
      <c r="D2727" s="24" t="str">
        <f>_xll.DBRW("TM1-S1_DEV:}ElementAttributes_SP_SKU",$F2727,D$1)</f>
        <v>Primary</v>
      </c>
      <c r="E2727" s="24" t="str">
        <f>_xll.DBRW("TM1-S1_DEV:}ElementAttributes_SP_SKU",$F2727,E$1)</f>
        <v>BREAD</v>
      </c>
      <c r="F2727" s="26" t="s">
        <v>3165</v>
      </c>
      <c r="G2727" s="26" t="s">
        <v>2253</v>
      </c>
      <c r="H2727" s="26" t="s">
        <v>2688</v>
      </c>
      <c r="I2727" s="54">
        <f>_xll.DBRW($A$1,$F$14,$F$15,$C2727,$A$2,$F2727,$G2727,$H2727,I$1)</f>
        <v>118</v>
      </c>
      <c r="J2727" s="25">
        <f>_xll.DBRW($A$1,$F$14,$F$15,$C2727,$A$2,$F2727,$G2727,$H2727,J$19)</f>
        <v>8</v>
      </c>
    </row>
    <row r="2728" spans="1:10" s="23" customFormat="1" outlineLevel="1" thickBot="1" x14ac:dyDescent="0.3">
      <c r="A2728" s="44"/>
      <c r="B2728" s="31" t="str">
        <f>IF(_xll.TM1RPTELISCONSOLIDATED($H$20,$H2728),IF(_xll.TM1RPTELLEV($H$20,$H2728)&lt;=5,_xll.TM1RPTELLEV($H$20,$H2728),"Default"),"Leaf")</f>
        <v>Leaf</v>
      </c>
      <c r="C2728" s="26" t="s">
        <v>24</v>
      </c>
      <c r="D2728" s="24" t="str">
        <f>_xll.DBRW("TM1-S1_DEV:}ElementAttributes_SP_SKU",$F2728,D$1)</f>
        <v>Primary</v>
      </c>
      <c r="E2728" s="24" t="str">
        <f>_xll.DBRW("TM1-S1_DEV:}ElementAttributes_SP_SKU",$F2728,E$1)</f>
        <v>BREAD</v>
      </c>
      <c r="F2728" s="26" t="s">
        <v>3166</v>
      </c>
      <c r="G2728" s="26" t="s">
        <v>2254</v>
      </c>
      <c r="H2728" s="26" t="s">
        <v>2689</v>
      </c>
      <c r="I2728" s="54">
        <f>_xll.DBRW($A$1,$F$14,$F$15,$C2728,$A$2,$F2728,$G2728,$H2728,I$1)</f>
        <v>98</v>
      </c>
      <c r="J2728" s="25">
        <f>_xll.DBRW($A$1,$F$14,$F$15,$C2728,$A$2,$F2728,$G2728,$H2728,J$19)</f>
        <v>93</v>
      </c>
    </row>
    <row r="2729" spans="1:10" s="23" customFormat="1" outlineLevel="1" thickBot="1" x14ac:dyDescent="0.3">
      <c r="A2729" s="44"/>
      <c r="B2729" s="31" t="str">
        <f>IF(_xll.TM1RPTELISCONSOLIDATED($H$20,$H2729),IF(_xll.TM1RPTELLEV($H$20,$H2729)&lt;=5,_xll.TM1RPTELLEV($H$20,$H2729),"Default"),"Leaf")</f>
        <v>Leaf</v>
      </c>
      <c r="C2729" s="26" t="s">
        <v>24</v>
      </c>
      <c r="D2729" s="24" t="str">
        <f>_xll.DBRW("TM1-S1_DEV:}ElementAttributes_SP_SKU",$F2729,D$1)</f>
        <v>Primary</v>
      </c>
      <c r="E2729" s="24" t="str">
        <f>_xll.DBRW("TM1-S1_DEV:}ElementAttributes_SP_SKU",$F2729,E$1)</f>
        <v>BREAD</v>
      </c>
      <c r="F2729" s="26" t="s">
        <v>3167</v>
      </c>
      <c r="G2729" s="26" t="s">
        <v>2255</v>
      </c>
      <c r="H2729" s="26" t="s">
        <v>2688</v>
      </c>
      <c r="I2729" s="54">
        <f>_xll.DBRW($A$1,$F$14,$F$15,$C2729,$A$2,$F2729,$G2729,$H2729,I$1)</f>
        <v>39</v>
      </c>
      <c r="J2729" s="25">
        <f>_xll.DBRW($A$1,$F$14,$F$15,$C2729,$A$2,$F2729,$G2729,$H2729,J$19)</f>
        <v>11</v>
      </c>
    </row>
    <row r="2730" spans="1:10" s="23" customFormat="1" outlineLevel="1" thickBot="1" x14ac:dyDescent="0.3">
      <c r="A2730" s="44"/>
      <c r="B2730" s="31" t="str">
        <f>IF(_xll.TM1RPTELISCONSOLIDATED($H$20,$H2730),IF(_xll.TM1RPTELLEV($H$20,$H2730)&lt;=5,_xll.TM1RPTELLEV($H$20,$H2730),"Default"),"Leaf")</f>
        <v>Leaf</v>
      </c>
      <c r="C2730" s="26" t="s">
        <v>24</v>
      </c>
      <c r="D2730" s="24" t="str">
        <f>_xll.DBRW("TM1-S1_DEV:}ElementAttributes_SP_SKU",$F2730,D$1)</f>
        <v>Primary</v>
      </c>
      <c r="E2730" s="24" t="str">
        <f>_xll.DBRW("TM1-S1_DEV:}ElementAttributes_SP_SKU",$F2730,E$1)</f>
        <v>BREAD</v>
      </c>
      <c r="F2730" s="26" t="s">
        <v>3168</v>
      </c>
      <c r="G2730" s="26" t="s">
        <v>2256</v>
      </c>
      <c r="H2730" s="26" t="s">
        <v>2688</v>
      </c>
      <c r="I2730" s="54">
        <f>_xll.DBRW($A$1,$F$14,$F$15,$C2730,$A$2,$F2730,$G2730,$H2730,I$1)</f>
        <v>10</v>
      </c>
      <c r="J2730" s="25">
        <f>_xll.DBRW($A$1,$F$14,$F$15,$C2730,$A$2,$F2730,$G2730,$H2730,J$19)</f>
        <v>1</v>
      </c>
    </row>
    <row r="2731" spans="1:10" s="23" customFormat="1" outlineLevel="1" thickBot="1" x14ac:dyDescent="0.3">
      <c r="A2731" s="44"/>
      <c r="B2731" s="31" t="str">
        <f>IF(_xll.TM1RPTELISCONSOLIDATED($H$20,$H2731),IF(_xll.TM1RPTELLEV($H$20,$H2731)&lt;=5,_xll.TM1RPTELLEV($H$20,$H2731),"Default"),"Leaf")</f>
        <v>Leaf</v>
      </c>
      <c r="C2731" s="26" t="s">
        <v>24</v>
      </c>
      <c r="D2731" s="24" t="str">
        <f>_xll.DBRW("TM1-S1_DEV:}ElementAttributes_SP_SKU",$F2731,D$1)</f>
        <v>Primary</v>
      </c>
      <c r="E2731" s="24" t="str">
        <f>_xll.DBRW("TM1-S1_DEV:}ElementAttributes_SP_SKU",$F2731,E$1)</f>
        <v>BREAD</v>
      </c>
      <c r="F2731" s="26" t="s">
        <v>3169</v>
      </c>
      <c r="G2731" s="26" t="s">
        <v>2257</v>
      </c>
      <c r="H2731" s="26" t="s">
        <v>2690</v>
      </c>
      <c r="I2731" s="54">
        <f>_xll.DBRW($A$1,$F$14,$F$15,$C2731,$A$2,$F2731,$G2731,$H2731,I$1)</f>
        <v>297</v>
      </c>
      <c r="J2731" s="25">
        <f>_xll.DBRW($A$1,$F$14,$F$15,$C2731,$A$2,$F2731,$G2731,$H2731,J$19)</f>
        <v>236</v>
      </c>
    </row>
    <row r="2732" spans="1:10" s="23" customFormat="1" outlineLevel="1" thickBot="1" x14ac:dyDescent="0.3">
      <c r="A2732" s="44"/>
      <c r="B2732" s="31" t="str">
        <f>IF(_xll.TM1RPTELISCONSOLIDATED($H$20,$H2732),IF(_xll.TM1RPTELLEV($H$20,$H2732)&lt;=5,_xll.TM1RPTELLEV($H$20,$H2732),"Default"),"Leaf")</f>
        <v>Leaf</v>
      </c>
      <c r="C2732" s="26" t="s">
        <v>24</v>
      </c>
      <c r="D2732" s="24" t="str">
        <f>_xll.DBRW("TM1-S1_DEV:}ElementAttributes_SP_SKU",$F2732,D$1)</f>
        <v>Primary</v>
      </c>
      <c r="E2732" s="24" t="str">
        <f>_xll.DBRW("TM1-S1_DEV:}ElementAttributes_SP_SKU",$F2732,E$1)</f>
        <v>BREAD</v>
      </c>
      <c r="F2732" s="26" t="s">
        <v>3170</v>
      </c>
      <c r="G2732" s="26" t="s">
        <v>2258</v>
      </c>
      <c r="H2732" s="26" t="s">
        <v>2690</v>
      </c>
      <c r="I2732" s="54">
        <f>_xll.DBRW($A$1,$F$14,$F$15,$C2732,$A$2,$F2732,$G2732,$H2732,I$1)</f>
        <v>5</v>
      </c>
      <c r="J2732" s="25">
        <f>_xll.DBRW($A$1,$F$14,$F$15,$C2732,$A$2,$F2732,$G2732,$H2732,J$19)</f>
        <v>0</v>
      </c>
    </row>
    <row r="2733" spans="1:10" s="23" customFormat="1" outlineLevel="1" thickBot="1" x14ac:dyDescent="0.3">
      <c r="A2733" s="44"/>
      <c r="B2733" s="31" t="str">
        <f>IF(_xll.TM1RPTELISCONSOLIDATED($H$20,$H2733),IF(_xll.TM1RPTELLEV($H$20,$H2733)&lt;=5,_xll.TM1RPTELLEV($H$20,$H2733),"Default"),"Leaf")</f>
        <v>Leaf</v>
      </c>
      <c r="C2733" s="26" t="s">
        <v>24</v>
      </c>
      <c r="D2733" s="24" t="str">
        <f>_xll.DBRW("TM1-S1_DEV:}ElementAttributes_SP_SKU",$F2733,D$1)</f>
        <v>Primary</v>
      </c>
      <c r="E2733" s="24" t="str">
        <f>_xll.DBRW("TM1-S1_DEV:}ElementAttributes_SP_SKU",$F2733,E$1)</f>
        <v>BREAD</v>
      </c>
      <c r="F2733" s="26" t="s">
        <v>3171</v>
      </c>
      <c r="G2733" s="26" t="s">
        <v>2259</v>
      </c>
      <c r="H2733" s="26" t="s">
        <v>2690</v>
      </c>
      <c r="I2733" s="54">
        <f>_xll.DBRW($A$1,$F$14,$F$15,$C2733,$A$2,$F2733,$G2733,$H2733,I$1)</f>
        <v>6</v>
      </c>
      <c r="J2733" s="25">
        <f>_xll.DBRW($A$1,$F$14,$F$15,$C2733,$A$2,$F2733,$G2733,$H2733,J$19)</f>
        <v>0</v>
      </c>
    </row>
    <row r="2734" spans="1:10" s="23" customFormat="1" outlineLevel="1" thickBot="1" x14ac:dyDescent="0.3">
      <c r="A2734" s="44"/>
      <c r="B2734" s="31" t="str">
        <f>IF(_xll.TM1RPTELISCONSOLIDATED($H$20,$H2734),IF(_xll.TM1RPTELLEV($H$20,$H2734)&lt;=5,_xll.TM1RPTELLEV($H$20,$H2734),"Default"),"Leaf")</f>
        <v>Leaf</v>
      </c>
      <c r="C2734" s="26" t="s">
        <v>24</v>
      </c>
      <c r="D2734" s="24" t="str">
        <f>_xll.DBRW("TM1-S1_DEV:}ElementAttributes_SP_SKU",$F2734,D$1)</f>
        <v>Primary</v>
      </c>
      <c r="E2734" s="24" t="str">
        <f>_xll.DBRW("TM1-S1_DEV:}ElementAttributes_SP_SKU",$F2734,E$1)</f>
        <v>BREAD</v>
      </c>
      <c r="F2734" s="26" t="s">
        <v>3172</v>
      </c>
      <c r="G2734" s="26" t="s">
        <v>2260</v>
      </c>
      <c r="H2734" s="26" t="s">
        <v>2690</v>
      </c>
      <c r="I2734" s="54">
        <f>_xll.DBRW($A$1,$F$14,$F$15,$C2734,$A$2,$F2734,$G2734,$H2734,I$1)</f>
        <v>5</v>
      </c>
      <c r="J2734" s="25">
        <f>_xll.DBRW($A$1,$F$14,$F$15,$C2734,$A$2,$F2734,$G2734,$H2734,J$19)</f>
        <v>0</v>
      </c>
    </row>
    <row r="2735" spans="1:10" s="23" customFormat="1" outlineLevel="1" thickBot="1" x14ac:dyDescent="0.3">
      <c r="A2735" s="44"/>
      <c r="B2735" s="31" t="str">
        <f>IF(_xll.TM1RPTELISCONSOLIDATED($H$20,$H2735),IF(_xll.TM1RPTELLEV($H$20,$H2735)&lt;=5,_xll.TM1RPTELLEV($H$20,$H2735),"Default"),"Leaf")</f>
        <v>Leaf</v>
      </c>
      <c r="C2735" s="26" t="s">
        <v>24</v>
      </c>
      <c r="D2735" s="24" t="str">
        <f>_xll.DBRW("TM1-S1_DEV:}ElementAttributes_SP_SKU",$F2735,D$1)</f>
        <v>Primary</v>
      </c>
      <c r="E2735" s="24" t="str">
        <f>_xll.DBRW("TM1-S1_DEV:}ElementAttributes_SP_SKU",$F2735,E$1)</f>
        <v>BREAD</v>
      </c>
      <c r="F2735" s="26" t="s">
        <v>3252</v>
      </c>
      <c r="G2735" s="26" t="s">
        <v>2261</v>
      </c>
      <c r="H2735" s="26" t="s">
        <v>2691</v>
      </c>
      <c r="I2735" s="54">
        <f>_xll.DBRW($A$1,$F$14,$F$15,$C2735,$A$2,$F2735,$G2735,$H2735,I$1)</f>
        <v>10</v>
      </c>
      <c r="J2735" s="25">
        <f>_xll.DBRW($A$1,$F$14,$F$15,$C2735,$A$2,$F2735,$G2735,$H2735,J$19)</f>
        <v>10</v>
      </c>
    </row>
    <row r="2736" spans="1:10" s="23" customFormat="1" outlineLevel="1" thickBot="1" x14ac:dyDescent="0.3">
      <c r="A2736" s="44"/>
      <c r="B2736" s="31" t="str">
        <f>IF(_xll.TM1RPTELISCONSOLIDATED($H$20,$H2736),IF(_xll.TM1RPTELLEV($H$20,$H2736)&lt;=5,_xll.TM1RPTELLEV($H$20,$H2736),"Default"),"Leaf")</f>
        <v>Leaf</v>
      </c>
      <c r="C2736" s="26" t="s">
        <v>24</v>
      </c>
      <c r="D2736" s="24" t="str">
        <f>_xll.DBRW("TM1-S1_DEV:}ElementAttributes_SP_SKU",$F2736,D$1)</f>
        <v>Primary</v>
      </c>
      <c r="E2736" s="24" t="str">
        <f>_xll.DBRW("TM1-S1_DEV:}ElementAttributes_SP_SKU",$F2736,E$1)</f>
        <v>CHEESE</v>
      </c>
      <c r="F2736" s="26" t="s">
        <v>3173</v>
      </c>
      <c r="G2736" s="26" t="s">
        <v>2262</v>
      </c>
      <c r="H2736" s="26" t="s">
        <v>2734</v>
      </c>
      <c r="I2736" s="54">
        <f>_xll.DBRW($A$1,$F$14,$F$15,$C2736,$A$2,$F2736,$G2736,$H2736,I$1)</f>
        <v>115</v>
      </c>
      <c r="J2736" s="25">
        <f>_xll.DBRW($A$1,$F$14,$F$15,$C2736,$A$2,$F2736,$G2736,$H2736,J$19)</f>
        <v>115</v>
      </c>
    </row>
    <row r="2737" spans="1:10" s="23" customFormat="1" outlineLevel="1" thickBot="1" x14ac:dyDescent="0.3">
      <c r="A2737" s="44"/>
      <c r="B2737" s="31" t="str">
        <f>IF(_xll.TM1RPTELISCONSOLIDATED($H$20,$H2737),IF(_xll.TM1RPTELLEV($H$20,$H2737)&lt;=5,_xll.TM1RPTELLEV($H$20,$H2737),"Default"),"Leaf")</f>
        <v>Leaf</v>
      </c>
      <c r="C2737" s="26" t="s">
        <v>24</v>
      </c>
      <c r="D2737" s="24" t="str">
        <f>_xll.DBRW("TM1-S1_DEV:}ElementAttributes_SP_SKU",$F2737,D$1)</f>
        <v>Primary</v>
      </c>
      <c r="E2737" s="24" t="str">
        <f>_xll.DBRW("TM1-S1_DEV:}ElementAttributes_SP_SKU",$F2737,E$1)</f>
        <v>CONDIMENT</v>
      </c>
      <c r="F2737" s="26" t="s">
        <v>3174</v>
      </c>
      <c r="G2737" s="26" t="s">
        <v>2263</v>
      </c>
      <c r="H2737" s="26" t="s">
        <v>2684</v>
      </c>
      <c r="I2737" s="54">
        <f>_xll.DBRW($A$1,$F$14,$F$15,$C2737,$A$2,$F2737,$G2737,$H2737,I$1)</f>
        <v>8</v>
      </c>
      <c r="J2737" s="25">
        <f>_xll.DBRW($A$1,$F$14,$F$15,$C2737,$A$2,$F2737,$G2737,$H2737,J$19)</f>
        <v>27</v>
      </c>
    </row>
    <row r="2738" spans="1:10" s="23" customFormat="1" outlineLevel="1" thickBot="1" x14ac:dyDescent="0.3">
      <c r="A2738" s="44"/>
      <c r="B2738" s="31" t="str">
        <f>IF(_xll.TM1RPTELISCONSOLIDATED($H$20,$H2738),IF(_xll.TM1RPTELLEV($H$20,$H2738)&lt;=5,_xll.TM1RPTELLEV($H$20,$H2738),"Default"),"Leaf")</f>
        <v>Leaf</v>
      </c>
      <c r="C2738" s="26" t="s">
        <v>24</v>
      </c>
      <c r="D2738" s="24" t="str">
        <f>_xll.DBRW("TM1-S1_DEV:}ElementAttributes_SP_SKU",$F2738,D$1)</f>
        <v>Primary</v>
      </c>
      <c r="E2738" s="24" t="str">
        <f>_xll.DBRW("TM1-S1_DEV:}ElementAttributes_SP_SKU",$F2738,E$1)</f>
        <v>CHEESE</v>
      </c>
      <c r="F2738" s="26" t="s">
        <v>3175</v>
      </c>
      <c r="G2738" s="26" t="s">
        <v>2264</v>
      </c>
      <c r="H2738" s="26" t="s">
        <v>2734</v>
      </c>
      <c r="I2738" s="54">
        <f>_xll.DBRW($A$1,$F$14,$F$15,$C2738,$A$2,$F2738,$G2738,$H2738,I$1)</f>
        <v>47</v>
      </c>
      <c r="J2738" s="25">
        <f>_xll.DBRW($A$1,$F$14,$F$15,$C2738,$A$2,$F2738,$G2738,$H2738,J$19)</f>
        <v>65</v>
      </c>
    </row>
    <row r="2739" spans="1:10" s="23" customFormat="1" outlineLevel="1" thickBot="1" x14ac:dyDescent="0.3">
      <c r="A2739" s="44"/>
      <c r="B2739" s="31" t="str">
        <f>IF(_xll.TM1RPTELISCONSOLIDATED($H$20,$H2739),IF(_xll.TM1RPTELLEV($H$20,$H2739)&lt;=5,_xll.TM1RPTELLEV($H$20,$H2739),"Default"),"Leaf")</f>
        <v>Leaf</v>
      </c>
      <c r="C2739" s="26" t="s">
        <v>24</v>
      </c>
      <c r="D2739" s="24" t="str">
        <f>_xll.DBRW("TM1-S1_DEV:}ElementAttributes_SP_SKU",$F2739,D$1)</f>
        <v>Primary</v>
      </c>
      <c r="E2739" s="24" t="str">
        <f>_xll.DBRW("TM1-S1_DEV:}ElementAttributes_SP_SKU",$F2739,E$1)</f>
        <v>CONDIMENT</v>
      </c>
      <c r="F2739" s="26" t="s">
        <v>3176</v>
      </c>
      <c r="G2739" s="26" t="s">
        <v>2265</v>
      </c>
      <c r="H2739" s="26" t="s">
        <v>2684</v>
      </c>
      <c r="I2739" s="54">
        <f>_xll.DBRW($A$1,$F$14,$F$15,$C2739,$A$2,$F2739,$G2739,$H2739,I$1)</f>
        <v>13</v>
      </c>
      <c r="J2739" s="25">
        <f>_xll.DBRW($A$1,$F$14,$F$15,$C2739,$A$2,$F2739,$G2739,$H2739,J$19)</f>
        <v>8</v>
      </c>
    </row>
    <row r="2740" spans="1:10" s="23" customFormat="1" outlineLevel="1" thickBot="1" x14ac:dyDescent="0.3">
      <c r="A2740" s="44"/>
      <c r="B2740" s="31" t="str">
        <f>IF(_xll.TM1RPTELISCONSOLIDATED($H$20,$H2740),IF(_xll.TM1RPTELLEV($H$20,$H2740)&lt;=5,_xll.TM1RPTELLEV($H$20,$H2740),"Default"),"Leaf")</f>
        <v>Leaf</v>
      </c>
      <c r="C2740" s="26" t="s">
        <v>24</v>
      </c>
      <c r="D2740" s="24" t="str">
        <f>_xll.DBRW("TM1-S1_DEV:}ElementAttributes_SP_SKU",$F2740,D$1)</f>
        <v>Primary</v>
      </c>
      <c r="E2740" s="24" t="str">
        <f>_xll.DBRW("TM1-S1_DEV:}ElementAttributes_SP_SKU",$F2740,E$1)</f>
        <v>CONDIMENT</v>
      </c>
      <c r="F2740" s="26" t="s">
        <v>3253</v>
      </c>
      <c r="G2740" s="26" t="s">
        <v>2266</v>
      </c>
      <c r="H2740" s="26" t="s">
        <v>2686</v>
      </c>
      <c r="I2740" s="54">
        <f>_xll.DBRW($A$1,$F$14,$F$15,$C2740,$A$2,$F2740,$G2740,$H2740,I$1)</f>
        <v>21</v>
      </c>
      <c r="J2740" s="25">
        <f>_xll.DBRW($A$1,$F$14,$F$15,$C2740,$A$2,$F2740,$G2740,$H2740,J$19)</f>
        <v>11</v>
      </c>
    </row>
    <row r="2741" spans="1:10" s="23" customFormat="1" outlineLevel="1" thickBot="1" x14ac:dyDescent="0.3">
      <c r="A2741" s="44"/>
      <c r="B2741" s="31" t="str">
        <f>IF(_xll.TM1RPTELISCONSOLIDATED($H$20,$H2741),IF(_xll.TM1RPTELLEV($H$20,$H2741)&lt;=5,_xll.TM1RPTELLEV($H$20,$H2741),"Default"),"Leaf")</f>
        <v>Leaf</v>
      </c>
      <c r="C2741" s="26" t="s">
        <v>24</v>
      </c>
      <c r="D2741" s="24" t="str">
        <f>_xll.DBRW("TM1-S1_DEV:}ElementAttributes_SP_SKU",$F2741,D$1)</f>
        <v>Primary</v>
      </c>
      <c r="E2741" s="24" t="str">
        <f>_xll.DBRW("TM1-S1_DEV:}ElementAttributes_SP_SKU",$F2741,E$1)</f>
        <v>INGREDIENT</v>
      </c>
      <c r="F2741" s="26" t="s">
        <v>3177</v>
      </c>
      <c r="G2741" s="26" t="s">
        <v>3066</v>
      </c>
      <c r="H2741" s="26" t="s">
        <v>2686</v>
      </c>
      <c r="I2741" s="54">
        <f>_xll.DBRW($A$1,$F$14,$F$15,$C2741,$A$2,$F2741,$G2741,$H2741,I$1)</f>
        <v>0</v>
      </c>
      <c r="J2741" s="25">
        <f>_xll.DBRW($A$1,$F$14,$F$15,$C2741,$A$2,$F2741,$G2741,$H2741,J$19)</f>
        <v>2</v>
      </c>
    </row>
    <row r="2742" spans="1:10" s="23" customFormat="1" outlineLevel="1" thickBot="1" x14ac:dyDescent="0.3">
      <c r="A2742" s="44"/>
      <c r="B2742" s="31" t="str">
        <f>IF(_xll.TM1RPTELISCONSOLIDATED($H$20,$H2742),IF(_xll.TM1RPTELLEV($H$20,$H2742)&lt;=5,_xll.TM1RPTELLEV($H$20,$H2742),"Default"),"Leaf")</f>
        <v>Leaf</v>
      </c>
      <c r="C2742" s="26" t="s">
        <v>24</v>
      </c>
      <c r="D2742" s="24" t="str">
        <f>_xll.DBRW("TM1-S1_DEV:}ElementAttributes_SP_SKU",$F2742,D$1)</f>
        <v>Primary</v>
      </c>
      <c r="E2742" s="24" t="str">
        <f>_xll.DBRW("TM1-S1_DEV:}ElementAttributes_SP_SKU",$F2742,E$1)</f>
        <v>CONDIMENT</v>
      </c>
      <c r="F2742" s="26" t="s">
        <v>3178</v>
      </c>
      <c r="G2742" s="26" t="s">
        <v>1334</v>
      </c>
      <c r="H2742" s="26" t="s">
        <v>2684</v>
      </c>
      <c r="I2742" s="54">
        <f>_xll.DBRW($A$1,$F$14,$F$15,$C2742,$A$2,$F2742,$G2742,$H2742,I$1)</f>
        <v>5</v>
      </c>
      <c r="J2742" s="25">
        <f>_xll.DBRW($A$1,$F$14,$F$15,$C2742,$A$2,$F2742,$G2742,$H2742,J$19)</f>
        <v>5</v>
      </c>
    </row>
    <row r="2743" spans="1:10" s="23" customFormat="1" outlineLevel="1" thickBot="1" x14ac:dyDescent="0.3">
      <c r="A2743" s="44"/>
      <c r="B2743" s="31" t="str">
        <f>IF(_xll.TM1RPTELISCONSOLIDATED($H$20,$H2743),IF(_xll.TM1RPTELLEV($H$20,$H2743)&lt;=5,_xll.TM1RPTELLEV($H$20,$H2743),"Default"),"Leaf")</f>
        <v>Leaf</v>
      </c>
      <c r="C2743" s="26" t="s">
        <v>24</v>
      </c>
      <c r="D2743" s="24" t="str">
        <f>_xll.DBRW("TM1-S1_DEV:}ElementAttributes_SP_SKU",$F2743,D$1)</f>
        <v>Primary</v>
      </c>
      <c r="E2743" s="24" t="str">
        <f>_xll.DBRW("TM1-S1_DEV:}ElementAttributes_SP_SKU",$F2743,E$1)</f>
        <v>CONDIMENT</v>
      </c>
      <c r="F2743" s="26" t="s">
        <v>3179</v>
      </c>
      <c r="G2743" s="26" t="s">
        <v>1335</v>
      </c>
      <c r="H2743" s="26" t="s">
        <v>2684</v>
      </c>
      <c r="I2743" s="54">
        <f>_xll.DBRW($A$1,$F$14,$F$15,$C2743,$A$2,$F2743,$G2743,$H2743,I$1)</f>
        <v>17</v>
      </c>
      <c r="J2743" s="25">
        <f>_xll.DBRW($A$1,$F$14,$F$15,$C2743,$A$2,$F2743,$G2743,$H2743,J$19)</f>
        <v>17</v>
      </c>
    </row>
    <row r="2744" spans="1:10" s="23" customFormat="1" outlineLevel="1" thickBot="1" x14ac:dyDescent="0.3">
      <c r="A2744" s="44"/>
      <c r="B2744" s="31" t="str">
        <f>IF(_xll.TM1RPTELISCONSOLIDATED($H$20,$H2744),IF(_xll.TM1RPTELLEV($H$20,$H2744)&lt;=5,_xll.TM1RPTELLEV($H$20,$H2744),"Default"),"Leaf")</f>
        <v>Leaf</v>
      </c>
      <c r="C2744" s="26" t="s">
        <v>24</v>
      </c>
      <c r="D2744" s="24" t="str">
        <f>_xll.DBRW("TM1-S1_DEV:}ElementAttributes_SP_SKU",$F2744,D$1)</f>
        <v>Primary</v>
      </c>
      <c r="E2744" s="24" t="str">
        <f>_xll.DBRW("TM1-S1_DEV:}ElementAttributes_SP_SKU",$F2744,E$1)</f>
        <v>COOKIE</v>
      </c>
      <c r="F2744" s="26" t="s">
        <v>3180</v>
      </c>
      <c r="G2744" s="26" t="s">
        <v>2267</v>
      </c>
      <c r="H2744" s="26" t="s">
        <v>2691</v>
      </c>
      <c r="I2744" s="54">
        <f>_xll.DBRW($A$1,$F$14,$F$15,$C2744,$A$2,$F2744,$G2744,$H2744,I$1)</f>
        <v>22</v>
      </c>
      <c r="J2744" s="25">
        <f>_xll.DBRW($A$1,$F$14,$F$15,$C2744,$A$2,$F2744,$G2744,$H2744,J$19)</f>
        <v>62</v>
      </c>
    </row>
    <row r="2745" spans="1:10" s="23" customFormat="1" outlineLevel="1" thickBot="1" x14ac:dyDescent="0.3">
      <c r="A2745" s="44"/>
      <c r="B2745" s="31" t="str">
        <f>IF(_xll.TM1RPTELISCONSOLIDATED($H$20,$H2745),IF(_xll.TM1RPTELLEV($H$20,$H2745)&lt;=5,_xll.TM1RPTELLEV($H$20,$H2745),"Default"),"Leaf")</f>
        <v>Leaf</v>
      </c>
      <c r="C2745" s="26" t="s">
        <v>24</v>
      </c>
      <c r="D2745" s="24" t="str">
        <f>_xll.DBRW("TM1-S1_DEV:}ElementAttributes_SP_SKU",$F2745,D$1)</f>
        <v>Primary</v>
      </c>
      <c r="E2745" s="24" t="str">
        <f>_xll.DBRW("TM1-S1_DEV:}ElementAttributes_SP_SKU",$F2745,E$1)</f>
        <v>COOKIE</v>
      </c>
      <c r="F2745" s="26" t="s">
        <v>3181</v>
      </c>
      <c r="G2745" s="26" t="s">
        <v>2268</v>
      </c>
      <c r="H2745" s="26" t="s">
        <v>2691</v>
      </c>
      <c r="I2745" s="54">
        <f>_xll.DBRW($A$1,$F$14,$F$15,$C2745,$A$2,$F2745,$G2745,$H2745,I$1)</f>
        <v>40</v>
      </c>
      <c r="J2745" s="25">
        <f>_xll.DBRW($A$1,$F$14,$F$15,$C2745,$A$2,$F2745,$G2745,$H2745,J$19)</f>
        <v>64</v>
      </c>
    </row>
    <row r="2746" spans="1:10" s="23" customFormat="1" outlineLevel="1" thickBot="1" x14ac:dyDescent="0.3">
      <c r="A2746" s="44"/>
      <c r="B2746" s="31" t="str">
        <f>IF(_xll.TM1RPTELISCONSOLIDATED($H$20,$H2746),IF(_xll.TM1RPTELLEV($H$20,$H2746)&lt;=5,_xll.TM1RPTELLEV($H$20,$H2746),"Default"),"Leaf")</f>
        <v>Leaf</v>
      </c>
      <c r="C2746" s="26" t="s">
        <v>24</v>
      </c>
      <c r="D2746" s="24" t="str">
        <f>_xll.DBRW("TM1-S1_DEV:}ElementAttributes_SP_SKU",$F2746,D$1)</f>
        <v>Primary</v>
      </c>
      <c r="E2746" s="24" t="str">
        <f>_xll.DBRW("TM1-S1_DEV:}ElementAttributes_SP_SKU",$F2746,E$1)</f>
        <v>COOKIE</v>
      </c>
      <c r="F2746" s="26" t="s">
        <v>3182</v>
      </c>
      <c r="G2746" s="26" t="s">
        <v>2269</v>
      </c>
      <c r="H2746" s="26" t="s">
        <v>2691</v>
      </c>
      <c r="I2746" s="54">
        <f>_xll.DBRW($A$1,$F$14,$F$15,$C2746,$A$2,$F2746,$G2746,$H2746,I$1)</f>
        <v>45</v>
      </c>
      <c r="J2746" s="25">
        <f>_xll.DBRW($A$1,$F$14,$F$15,$C2746,$A$2,$F2746,$G2746,$H2746,J$19)</f>
        <v>53</v>
      </c>
    </row>
    <row r="2747" spans="1:10" s="23" customFormat="1" outlineLevel="1" thickBot="1" x14ac:dyDescent="0.3">
      <c r="A2747" s="44"/>
      <c r="B2747" s="31" t="str">
        <f>IF(_xll.TM1RPTELISCONSOLIDATED($H$20,$H2747),IF(_xll.TM1RPTELLEV($H$20,$H2747)&lt;=5,_xll.TM1RPTELLEV($H$20,$H2747),"Default"),"Leaf")</f>
        <v>Leaf</v>
      </c>
      <c r="C2747" s="26" t="s">
        <v>24</v>
      </c>
      <c r="D2747" s="24" t="str">
        <f>_xll.DBRW("TM1-S1_DEV:}ElementAttributes_SP_SKU",$F2747,D$1)</f>
        <v>Primary</v>
      </c>
      <c r="E2747" s="24" t="str">
        <f>_xll.DBRW("TM1-S1_DEV:}ElementAttributes_SP_SKU",$F2747,E$1)</f>
        <v>COOKIE</v>
      </c>
      <c r="F2747" s="26" t="s">
        <v>3183</v>
      </c>
      <c r="G2747" s="26" t="s">
        <v>2270</v>
      </c>
      <c r="H2747" s="26" t="s">
        <v>2691</v>
      </c>
      <c r="I2747" s="54">
        <f>_xll.DBRW($A$1,$F$14,$F$15,$C2747,$A$2,$F2747,$G2747,$H2747,I$1)</f>
        <v>54</v>
      </c>
      <c r="J2747" s="25">
        <f>_xll.DBRW($A$1,$F$14,$F$15,$C2747,$A$2,$F2747,$G2747,$H2747,J$19)</f>
        <v>81</v>
      </c>
    </row>
    <row r="2748" spans="1:10" s="23" customFormat="1" outlineLevel="1" thickBot="1" x14ac:dyDescent="0.3">
      <c r="A2748" s="44"/>
      <c r="B2748" s="31" t="str">
        <f>IF(_xll.TM1RPTELISCONSOLIDATED($H$20,$H2748),IF(_xll.TM1RPTELLEV($H$20,$H2748)&lt;=5,_xll.TM1RPTELLEV($H$20,$H2748),"Default"),"Leaf")</f>
        <v>Leaf</v>
      </c>
      <c r="C2748" s="26" t="s">
        <v>24</v>
      </c>
      <c r="D2748" s="24" t="str">
        <f>_xll.DBRW("TM1-S1_DEV:}ElementAttributes_SP_SKU",$F2748,D$1)</f>
        <v>Primary</v>
      </c>
      <c r="E2748" s="24" t="str">
        <f>_xll.DBRW("TM1-S1_DEV:}ElementAttributes_SP_SKU",$F2748,E$1)</f>
        <v>SOUP</v>
      </c>
      <c r="F2748" s="26" t="s">
        <v>3184</v>
      </c>
      <c r="G2748" s="26" t="s">
        <v>2271</v>
      </c>
      <c r="H2748" s="26" t="s">
        <v>2675</v>
      </c>
      <c r="I2748" s="54">
        <f>_xll.DBRW($A$1,$F$14,$F$15,$C2748,$A$2,$F2748,$G2748,$H2748,I$1)</f>
        <v>3</v>
      </c>
      <c r="J2748" s="25">
        <f>_xll.DBRW($A$1,$F$14,$F$15,$C2748,$A$2,$F2748,$G2748,$H2748,J$19)</f>
        <v>3</v>
      </c>
    </row>
    <row r="2749" spans="1:10" s="23" customFormat="1" outlineLevel="1" thickBot="1" x14ac:dyDescent="0.3">
      <c r="A2749" s="44"/>
      <c r="B2749" s="31" t="str">
        <f>IF(_xll.TM1RPTELISCONSOLIDATED($H$20,$H2749),IF(_xll.TM1RPTELLEV($H$20,$H2749)&lt;=5,_xll.TM1RPTELLEV($H$20,$H2749),"Default"),"Leaf")</f>
        <v>Leaf</v>
      </c>
      <c r="C2749" s="26" t="s">
        <v>24</v>
      </c>
      <c r="D2749" s="24" t="str">
        <f>_xll.DBRW("TM1-S1_DEV:}ElementAttributes_SP_SKU",$F2749,D$1)</f>
        <v>Primary</v>
      </c>
      <c r="E2749" s="24" t="str">
        <f>_xll.DBRW("TM1-S1_DEV:}ElementAttributes_SP_SKU",$F2749,E$1)</f>
        <v>INGREDIENT</v>
      </c>
      <c r="F2749" s="26" t="s">
        <v>3185</v>
      </c>
      <c r="G2749" s="26" t="s">
        <v>2272</v>
      </c>
      <c r="H2749" s="26" t="s">
        <v>2693</v>
      </c>
      <c r="I2749" s="54">
        <f>_xll.DBRW($A$1,$F$14,$F$15,$C2749,$A$2,$F2749,$G2749,$H2749,I$1)</f>
        <v>0</v>
      </c>
      <c r="J2749" s="25">
        <f>_xll.DBRW($A$1,$F$14,$F$15,$C2749,$A$2,$F2749,$G2749,$H2749,J$19)</f>
        <v>16</v>
      </c>
    </row>
    <row r="2750" spans="1:10" s="23" customFormat="1" outlineLevel="1" thickBot="1" x14ac:dyDescent="0.3">
      <c r="A2750" s="44"/>
      <c r="B2750" s="31" t="str">
        <f>IF(_xll.TM1RPTELISCONSOLIDATED($H$20,$H2750),IF(_xll.TM1RPTELLEV($H$20,$H2750)&lt;=5,_xll.TM1RPTELLEV($H$20,$H2750),"Default"),"Leaf")</f>
        <v>Leaf</v>
      </c>
      <c r="C2750" s="26" t="s">
        <v>24</v>
      </c>
      <c r="D2750" s="24" t="str">
        <f>_xll.DBRW("TM1-S1_DEV:}ElementAttributes_SP_SKU",$F2750,D$1)</f>
        <v>Primary</v>
      </c>
      <c r="E2750" s="24" t="str">
        <f>_xll.DBRW("TM1-S1_DEV:}ElementAttributes_SP_SKU",$F2750,E$1)</f>
        <v>INGREDIENT</v>
      </c>
      <c r="F2750" s="26" t="s">
        <v>3186</v>
      </c>
      <c r="G2750" s="26" t="s">
        <v>2273</v>
      </c>
      <c r="H2750" s="26" t="s">
        <v>2694</v>
      </c>
      <c r="I2750" s="54">
        <f>_xll.DBRW($A$1,$F$14,$F$15,$C2750,$A$2,$F2750,$G2750,$H2750,I$1)</f>
        <v>3</v>
      </c>
      <c r="J2750" s="25">
        <f>_xll.DBRW($A$1,$F$14,$F$15,$C2750,$A$2,$F2750,$G2750,$H2750,J$19)</f>
        <v>3</v>
      </c>
    </row>
    <row r="2751" spans="1:10" s="23" customFormat="1" outlineLevel="1" thickBot="1" x14ac:dyDescent="0.3">
      <c r="A2751" s="44"/>
      <c r="B2751" s="31" t="str">
        <f>IF(_xll.TM1RPTELISCONSOLIDATED($H$20,$H2751),IF(_xll.TM1RPTELLEV($H$20,$H2751)&lt;=5,_xll.TM1RPTELLEV($H$20,$H2751),"Default"),"Leaf")</f>
        <v>Leaf</v>
      </c>
      <c r="C2751" s="26" t="s">
        <v>24</v>
      </c>
      <c r="D2751" s="24" t="str">
        <f>_xll.DBRW("TM1-S1_DEV:}ElementAttributes_SP_SKU",$F2751,D$1)</f>
        <v>Primary</v>
      </c>
      <c r="E2751" s="24" t="str">
        <f>_xll.DBRW("TM1-S1_DEV:}ElementAttributes_SP_SKU",$F2751,E$1)</f>
        <v>INGREDIENT</v>
      </c>
      <c r="F2751" s="26" t="s">
        <v>3187</v>
      </c>
      <c r="G2751" s="26" t="s">
        <v>2274</v>
      </c>
      <c r="H2751" s="26" t="s">
        <v>2695</v>
      </c>
      <c r="I2751" s="54">
        <f>_xll.DBRW($A$1,$F$14,$F$15,$C2751,$A$2,$F2751,$G2751,$H2751,I$1)</f>
        <v>22</v>
      </c>
      <c r="J2751" s="25">
        <f>_xll.DBRW($A$1,$F$14,$F$15,$C2751,$A$2,$F2751,$G2751,$H2751,J$19)</f>
        <v>21</v>
      </c>
    </row>
    <row r="2752" spans="1:10" s="23" customFormat="1" outlineLevel="1" thickBot="1" x14ac:dyDescent="0.3">
      <c r="A2752" s="44"/>
      <c r="B2752" s="31" t="str">
        <f>IF(_xll.TM1RPTELISCONSOLIDATED($H$20,$H2752),IF(_xll.TM1RPTELLEV($H$20,$H2752)&lt;=5,_xll.TM1RPTELLEV($H$20,$H2752),"Default"),"Leaf")</f>
        <v>Leaf</v>
      </c>
      <c r="C2752" s="26" t="s">
        <v>24</v>
      </c>
      <c r="D2752" s="24" t="str">
        <f>_xll.DBRW("TM1-S1_DEV:}ElementAttributes_SP_SKU",$F2752,D$1)</f>
        <v>Primary</v>
      </c>
      <c r="E2752" s="24" t="str">
        <f>_xll.DBRW("TM1-S1_DEV:}ElementAttributes_SP_SKU",$F2752,E$1)</f>
        <v>CHIPS</v>
      </c>
      <c r="F2752" s="26" t="s">
        <v>3255</v>
      </c>
      <c r="G2752" s="26" t="s">
        <v>2275</v>
      </c>
      <c r="H2752" s="26" t="s">
        <v>2736</v>
      </c>
      <c r="I2752" s="54">
        <f>_xll.DBRW($A$1,$F$14,$F$15,$C2752,$A$2,$F2752,$G2752,$H2752,I$1)</f>
        <v>39</v>
      </c>
      <c r="J2752" s="25">
        <f>_xll.DBRW($A$1,$F$14,$F$15,$C2752,$A$2,$F2752,$G2752,$H2752,J$19)</f>
        <v>70</v>
      </c>
    </row>
    <row r="2753" spans="1:10" s="23" customFormat="1" outlineLevel="1" thickBot="1" x14ac:dyDescent="0.3">
      <c r="A2753" s="44"/>
      <c r="B2753" s="31" t="str">
        <f>IF(_xll.TM1RPTELISCONSOLIDATED($H$20,$H2753),IF(_xll.TM1RPTELLEV($H$20,$H2753)&lt;=5,_xll.TM1RPTELLEV($H$20,$H2753),"Default"),"Leaf")</f>
        <v>Leaf</v>
      </c>
      <c r="C2753" s="26" t="s">
        <v>24</v>
      </c>
      <c r="D2753" s="24" t="str">
        <f>_xll.DBRW("TM1-S1_DEV:}ElementAttributes_SP_SKU",$F2753,D$1)</f>
        <v>Primary</v>
      </c>
      <c r="E2753" s="24" t="str">
        <f>_xll.DBRW("TM1-S1_DEV:}ElementAttributes_SP_SKU",$F2753,E$1)</f>
        <v>CHIPS</v>
      </c>
      <c r="F2753" s="26" t="s">
        <v>3256</v>
      </c>
      <c r="G2753" s="26" t="s">
        <v>2276</v>
      </c>
      <c r="H2753" s="26" t="s">
        <v>2736</v>
      </c>
      <c r="I2753" s="54">
        <f>_xll.DBRW($A$1,$F$14,$F$15,$C2753,$A$2,$F2753,$G2753,$H2753,I$1)</f>
        <v>29</v>
      </c>
      <c r="J2753" s="25">
        <f>_xll.DBRW($A$1,$F$14,$F$15,$C2753,$A$2,$F2753,$G2753,$H2753,J$19)</f>
        <v>41</v>
      </c>
    </row>
    <row r="2754" spans="1:10" s="23" customFormat="1" outlineLevel="1" thickBot="1" x14ac:dyDescent="0.3">
      <c r="A2754" s="44"/>
      <c r="B2754" s="31" t="str">
        <f>IF(_xll.TM1RPTELISCONSOLIDATED($H$20,$H2754),IF(_xll.TM1RPTELLEV($H$20,$H2754)&lt;=5,_xll.TM1RPTELLEV($H$20,$H2754),"Default"),"Leaf")</f>
        <v>Leaf</v>
      </c>
      <c r="C2754" s="26" t="s">
        <v>24</v>
      </c>
      <c r="D2754" s="24" t="str">
        <f>_xll.DBRW("TM1-S1_DEV:}ElementAttributes_SP_SKU",$F2754,D$1)</f>
        <v>Primary</v>
      </c>
      <c r="E2754" s="24" t="str">
        <f>_xll.DBRW("TM1-S1_DEV:}ElementAttributes_SP_SKU",$F2754,E$1)</f>
        <v>CHIPS</v>
      </c>
      <c r="F2754" s="26" t="s">
        <v>3257</v>
      </c>
      <c r="G2754" s="26" t="s">
        <v>2277</v>
      </c>
      <c r="H2754" s="26" t="s">
        <v>2736</v>
      </c>
      <c r="I2754" s="54">
        <f>_xll.DBRW($A$1,$F$14,$F$15,$C2754,$A$2,$F2754,$G2754,$H2754,I$1)</f>
        <v>62</v>
      </c>
      <c r="J2754" s="25">
        <f>_xll.DBRW($A$1,$F$14,$F$15,$C2754,$A$2,$F2754,$G2754,$H2754,J$19)</f>
        <v>83</v>
      </c>
    </row>
    <row r="2755" spans="1:10" s="23" customFormat="1" outlineLevel="1" thickBot="1" x14ac:dyDescent="0.3">
      <c r="A2755" s="44"/>
      <c r="B2755" s="31" t="str">
        <f>IF(_xll.TM1RPTELISCONSOLIDATED($H$20,$H2755),IF(_xll.TM1RPTELLEV($H$20,$H2755)&lt;=5,_xll.TM1RPTELLEV($H$20,$H2755),"Default"),"Leaf")</f>
        <v>Leaf</v>
      </c>
      <c r="C2755" s="26" t="s">
        <v>24</v>
      </c>
      <c r="D2755" s="24" t="str">
        <f>_xll.DBRW("TM1-S1_DEV:}ElementAttributes_SP_SKU",$F2755,D$1)</f>
        <v>Primary</v>
      </c>
      <c r="E2755" s="24" t="str">
        <f>_xll.DBRW("TM1-S1_DEV:}ElementAttributes_SP_SKU",$F2755,E$1)</f>
        <v>CHIPS</v>
      </c>
      <c r="F2755" s="26" t="s">
        <v>3258</v>
      </c>
      <c r="G2755" s="26" t="s">
        <v>2278</v>
      </c>
      <c r="H2755" s="26" t="s">
        <v>2736</v>
      </c>
      <c r="I2755" s="54">
        <f>_xll.DBRW($A$1,$F$14,$F$15,$C2755,$A$2,$F2755,$G2755,$H2755,I$1)</f>
        <v>30</v>
      </c>
      <c r="J2755" s="25">
        <f>_xll.DBRW($A$1,$F$14,$F$15,$C2755,$A$2,$F2755,$G2755,$H2755,J$19)</f>
        <v>44</v>
      </c>
    </row>
    <row r="2756" spans="1:10" s="23" customFormat="1" outlineLevel="1" thickBot="1" x14ac:dyDescent="0.3">
      <c r="A2756" s="44"/>
      <c r="B2756" s="31" t="str">
        <f>IF(_xll.TM1RPTELISCONSOLIDATED($H$20,$H2756),IF(_xll.TM1RPTELLEV($H$20,$H2756)&lt;=5,_xll.TM1RPTELLEV($H$20,$H2756),"Default"),"Leaf")</f>
        <v>Leaf</v>
      </c>
      <c r="C2756" s="26" t="s">
        <v>24</v>
      </c>
      <c r="D2756" s="24" t="str">
        <f>_xll.DBRW("TM1-S1_DEV:}ElementAttributes_SP_SKU",$F2756,D$1)</f>
        <v>Primary</v>
      </c>
      <c r="E2756" s="24" t="str">
        <f>_xll.DBRW("TM1-S1_DEV:}ElementAttributes_SP_SKU",$F2756,E$1)</f>
        <v>SIDES</v>
      </c>
      <c r="F2756" s="26" t="s">
        <v>3188</v>
      </c>
      <c r="G2756" s="26" t="s">
        <v>2279</v>
      </c>
      <c r="H2756" s="26" t="s">
        <v>2686</v>
      </c>
      <c r="I2756" s="54">
        <f>_xll.DBRW($A$1,$F$14,$F$15,$C2756,$A$2,$F2756,$G2756,$H2756,I$1)</f>
        <v>13</v>
      </c>
      <c r="J2756" s="25">
        <f>_xll.DBRW($A$1,$F$14,$F$15,$C2756,$A$2,$F2756,$G2756,$H2756,J$19)</f>
        <v>11</v>
      </c>
    </row>
    <row r="2757" spans="1:10" s="23" customFormat="1" outlineLevel="1" thickBot="1" x14ac:dyDescent="0.3">
      <c r="A2757" s="44"/>
      <c r="B2757" s="31" t="str">
        <f>IF(_xll.TM1RPTELISCONSOLIDATED($H$20,$H2757),IF(_xll.TM1RPTELLEV($H$20,$H2757)&lt;=5,_xll.TM1RPTELLEV($H$20,$H2757),"Default"),"Leaf")</f>
        <v>Leaf</v>
      </c>
      <c r="C2757" s="26" t="s">
        <v>24</v>
      </c>
      <c r="D2757" s="24" t="str">
        <f>_xll.DBRW("TM1-S1_DEV:}ElementAttributes_SP_SKU",$F2757,D$1)</f>
        <v>Primary</v>
      </c>
      <c r="E2757" s="24" t="str">
        <f>_xll.DBRW("TM1-S1_DEV:}ElementAttributes_SP_SKU",$F2757,E$1)</f>
        <v>CONDIMENT</v>
      </c>
      <c r="F2757" s="26" t="s">
        <v>3189</v>
      </c>
      <c r="G2757" s="26" t="s">
        <v>2280</v>
      </c>
      <c r="H2757" s="26" t="s">
        <v>2686</v>
      </c>
      <c r="I2757" s="54">
        <f>_xll.DBRW($A$1,$F$14,$F$15,$C2757,$A$2,$F2757,$G2757,$H2757,I$1)</f>
        <v>133</v>
      </c>
      <c r="J2757" s="25">
        <f>_xll.DBRW($A$1,$F$14,$F$15,$C2757,$A$2,$F2757,$G2757,$H2757,J$19)</f>
        <v>195</v>
      </c>
    </row>
    <row r="2758" spans="1:10" s="23" customFormat="1" outlineLevel="1" thickBot="1" x14ac:dyDescent="0.3">
      <c r="A2758" s="44"/>
      <c r="B2758" s="31" t="str">
        <f>IF(_xll.TM1RPTELISCONSOLIDATED($H$20,$H2758),IF(_xll.TM1RPTELLEV($H$20,$H2758)&lt;=5,_xll.TM1RPTELLEV($H$20,$H2758),"Default"),"Leaf")</f>
        <v>Leaf</v>
      </c>
      <c r="C2758" s="26" t="s">
        <v>24</v>
      </c>
      <c r="D2758" s="24" t="str">
        <f>_xll.DBRW("TM1-S1_DEV:}ElementAttributes_SP_SKU",$F2758,D$1)</f>
        <v>Primary</v>
      </c>
      <c r="E2758" s="24" t="str">
        <f>_xll.DBRW("TM1-S1_DEV:}ElementAttributes_SP_SKU",$F2758,E$1)</f>
        <v>INGREDIENT</v>
      </c>
      <c r="F2758" s="26" t="s">
        <v>3190</v>
      </c>
      <c r="G2758" s="26" t="s">
        <v>2281</v>
      </c>
      <c r="H2758" s="26" t="s">
        <v>2696</v>
      </c>
      <c r="I2758" s="54">
        <f>_xll.DBRW($A$1,$F$14,$F$15,$C2758,$A$2,$F2758,$G2758,$H2758,I$1)</f>
        <v>57</v>
      </c>
      <c r="J2758" s="25">
        <f>_xll.DBRW($A$1,$F$14,$F$15,$C2758,$A$2,$F2758,$G2758,$H2758,J$19)</f>
        <v>74</v>
      </c>
    </row>
    <row r="2759" spans="1:10" s="23" customFormat="1" outlineLevel="1" thickBot="1" x14ac:dyDescent="0.3">
      <c r="A2759" s="44"/>
      <c r="B2759" s="31" t="str">
        <f>IF(_xll.TM1RPTELISCONSOLIDATED($H$20,$H2759),IF(_xll.TM1RPTELLEV($H$20,$H2759)&lt;=5,_xll.TM1RPTELLEV($H$20,$H2759),"Default"),"Leaf")</f>
        <v>Leaf</v>
      </c>
      <c r="C2759" s="26" t="s">
        <v>24</v>
      </c>
      <c r="D2759" s="24" t="str">
        <f>_xll.DBRW("TM1-S1_DEV:}ElementAttributes_SP_SKU",$F2759,D$1)</f>
        <v>Primary</v>
      </c>
      <c r="E2759" s="24" t="str">
        <f>_xll.DBRW("TM1-S1_DEV:}ElementAttributes_SP_SKU",$F2759,E$1)</f>
        <v>INGREDIENT</v>
      </c>
      <c r="F2759" s="26" t="s">
        <v>3191</v>
      </c>
      <c r="G2759" s="26" t="s">
        <v>2282</v>
      </c>
      <c r="H2759" s="26" t="s">
        <v>2697</v>
      </c>
      <c r="I2759" s="54">
        <f>_xll.DBRW($A$1,$F$14,$F$15,$C2759,$A$2,$F2759,$G2759,$H2759,I$1)</f>
        <v>48</v>
      </c>
      <c r="J2759" s="25">
        <f>_xll.DBRW($A$1,$F$14,$F$15,$C2759,$A$2,$F2759,$G2759,$H2759,J$19)</f>
        <v>169</v>
      </c>
    </row>
    <row r="2760" spans="1:10" s="23" customFormat="1" outlineLevel="1" thickBot="1" x14ac:dyDescent="0.3">
      <c r="A2760" s="44"/>
      <c r="B2760" s="31" t="str">
        <f>IF(_xll.TM1RPTELISCONSOLIDATED($H$20,$H2760),IF(_xll.TM1RPTELLEV($H$20,$H2760)&lt;=5,_xll.TM1RPTELLEV($H$20,$H2760),"Default"),"Leaf")</f>
        <v>Leaf</v>
      </c>
      <c r="C2760" s="26" t="s">
        <v>24</v>
      </c>
      <c r="D2760" s="24" t="str">
        <f>_xll.DBRW("TM1-S1_DEV:}ElementAttributes_SP_SKU",$F2760,D$1)</f>
        <v>Primary</v>
      </c>
      <c r="E2760" s="24" t="str">
        <f>_xll.DBRW("TM1-S1_DEV:}ElementAttributes_SP_SKU",$F2760,E$1)</f>
        <v>INGREDIENT</v>
      </c>
      <c r="F2760" s="26" t="s">
        <v>3192</v>
      </c>
      <c r="G2760" s="26" t="s">
        <v>2283</v>
      </c>
      <c r="H2760" s="26" t="s">
        <v>2698</v>
      </c>
      <c r="I2760" s="54">
        <f>_xll.DBRW($A$1,$F$14,$F$15,$C2760,$A$2,$F2760,$G2760,$H2760,I$1)</f>
        <v>16</v>
      </c>
      <c r="J2760" s="25">
        <f>_xll.DBRW($A$1,$F$14,$F$15,$C2760,$A$2,$F2760,$G2760,$H2760,J$19)</f>
        <v>25</v>
      </c>
    </row>
    <row r="2761" spans="1:10" s="23" customFormat="1" outlineLevel="1" thickBot="1" x14ac:dyDescent="0.3">
      <c r="A2761" s="44"/>
      <c r="B2761" s="31" t="str">
        <f>IF(_xll.TM1RPTELISCONSOLIDATED($H$20,$H2761),IF(_xll.TM1RPTELLEV($H$20,$H2761)&lt;=5,_xll.TM1RPTELLEV($H$20,$H2761),"Default"),"Leaf")</f>
        <v>Leaf</v>
      </c>
      <c r="C2761" s="26" t="s">
        <v>24</v>
      </c>
      <c r="D2761" s="24" t="str">
        <f>_xll.DBRW("TM1-S1_DEV:}ElementAttributes_SP_SKU",$F2761,D$1)</f>
        <v>Primary</v>
      </c>
      <c r="E2761" s="24" t="str">
        <f>_xll.DBRW("TM1-S1_DEV:}ElementAttributes_SP_SKU",$F2761,E$1)</f>
        <v>INGREDIENT</v>
      </c>
      <c r="F2761" s="26" t="s">
        <v>3193</v>
      </c>
      <c r="G2761" s="26" t="s">
        <v>2284</v>
      </c>
      <c r="H2761" s="26" t="s">
        <v>2699</v>
      </c>
      <c r="I2761" s="54">
        <f>_xll.DBRW($A$1,$F$14,$F$15,$C2761,$A$2,$F2761,$G2761,$H2761,I$1)</f>
        <v>31</v>
      </c>
      <c r="J2761" s="25">
        <f>_xll.DBRW($A$1,$F$14,$F$15,$C2761,$A$2,$F2761,$G2761,$H2761,J$19)</f>
        <v>27</v>
      </c>
    </row>
    <row r="2762" spans="1:10" s="23" customFormat="1" outlineLevel="1" thickBot="1" x14ac:dyDescent="0.3">
      <c r="A2762" s="44"/>
      <c r="B2762" s="31" t="str">
        <f>IF(_xll.TM1RPTELISCONSOLIDATED($H$20,$H2762),IF(_xll.TM1RPTELLEV($H$20,$H2762)&lt;=5,_xll.TM1RPTELLEV($H$20,$H2762),"Default"),"Leaf")</f>
        <v>Leaf</v>
      </c>
      <c r="C2762" s="26" t="s">
        <v>24</v>
      </c>
      <c r="D2762" s="24" t="str">
        <f>_xll.DBRW("TM1-S1_DEV:}ElementAttributes_SP_SKU",$F2762,D$1)</f>
        <v>Primary</v>
      </c>
      <c r="E2762" s="24" t="str">
        <f>_xll.DBRW("TM1-S1_DEV:}ElementAttributes_SP_SKU",$F2762,E$1)</f>
        <v>COOKIE</v>
      </c>
      <c r="F2762" s="26" t="s">
        <v>3194</v>
      </c>
      <c r="G2762" s="26" t="s">
        <v>3067</v>
      </c>
      <c r="H2762" s="26" t="s">
        <v>2691</v>
      </c>
      <c r="I2762" s="54">
        <f>_xll.DBRW($A$1,$F$14,$F$15,$C2762,$A$2,$F2762,$G2762,$H2762,I$1)</f>
        <v>48</v>
      </c>
      <c r="J2762" s="25">
        <f>_xll.DBRW($A$1,$F$14,$F$15,$C2762,$A$2,$F2762,$G2762,$H2762,J$19)</f>
        <v>45</v>
      </c>
    </row>
    <row r="2763" spans="1:10" s="23" customFormat="1" outlineLevel="1" thickBot="1" x14ac:dyDescent="0.3">
      <c r="A2763" s="44"/>
      <c r="B2763" s="31" t="str">
        <f>IF(_xll.TM1RPTELISCONSOLIDATED($H$20,$H2763),IF(_xll.TM1RPTELLEV($H$20,$H2763)&lt;=5,_xll.TM1RPTELLEV($H$20,$H2763),"Default"),"Leaf")</f>
        <v>Leaf</v>
      </c>
      <c r="C2763" s="26" t="s">
        <v>24</v>
      </c>
      <c r="D2763" s="24" t="str">
        <f>_xll.DBRW("TM1-S1_DEV:}ElementAttributes_SP_SKU",$F2763,D$1)</f>
        <v>Primary</v>
      </c>
      <c r="E2763" s="24" t="str">
        <f>_xll.DBRW("TM1-S1_DEV:}ElementAttributes_SP_SKU",$F2763,E$1)</f>
        <v>COOKIE</v>
      </c>
      <c r="F2763" s="26" t="s">
        <v>3195</v>
      </c>
      <c r="G2763" s="26" t="s">
        <v>2285</v>
      </c>
      <c r="H2763" s="26" t="s">
        <v>2691</v>
      </c>
      <c r="I2763" s="54">
        <f>_xll.DBRW($A$1,$F$14,$F$15,$C2763,$A$2,$F2763,$G2763,$H2763,I$1)</f>
        <v>13</v>
      </c>
      <c r="J2763" s="25">
        <f>_xll.DBRW($A$1,$F$14,$F$15,$C2763,$A$2,$F2763,$G2763,$H2763,J$19)</f>
        <v>10</v>
      </c>
    </row>
    <row r="2764" spans="1:10" s="23" customFormat="1" outlineLevel="1" thickBot="1" x14ac:dyDescent="0.3">
      <c r="A2764" s="44"/>
      <c r="B2764" s="31" t="str">
        <f>IF(_xll.TM1RPTELISCONSOLIDATED($H$20,$H2764),IF(_xll.TM1RPTELLEV($H$20,$H2764)&lt;=5,_xll.TM1RPTELLEV($H$20,$H2764),"Default"),"Leaf")</f>
        <v>Leaf</v>
      </c>
      <c r="C2764" s="26" t="s">
        <v>24</v>
      </c>
      <c r="D2764" s="24" t="str">
        <f>_xll.DBRW("TM1-S1_DEV:}ElementAttributes_SP_SKU",$F2764,D$1)</f>
        <v>Primary</v>
      </c>
      <c r="E2764" s="24" t="str">
        <f>_xll.DBRW("TM1-S1_DEV:}ElementAttributes_SP_SKU",$F2764,E$1)</f>
        <v>DESSERT</v>
      </c>
      <c r="F2764" s="26" t="s">
        <v>390</v>
      </c>
      <c r="G2764" s="26" t="s">
        <v>2286</v>
      </c>
      <c r="H2764" s="26" t="s">
        <v>2691</v>
      </c>
      <c r="I2764" s="54">
        <f>_xll.DBRW($A$1,$F$14,$F$15,$C2764,$A$2,$F2764,$G2764,$H2764,I$1)</f>
        <v>9</v>
      </c>
      <c r="J2764" s="25">
        <f>_xll.DBRW($A$1,$F$14,$F$15,$C2764,$A$2,$F2764,$G2764,$H2764,J$19)</f>
        <v>9</v>
      </c>
    </row>
    <row r="2765" spans="1:10" s="23" customFormat="1" outlineLevel="1" thickBot="1" x14ac:dyDescent="0.3">
      <c r="A2765" s="44"/>
      <c r="B2765" s="31" t="str">
        <f>IF(_xll.TM1RPTELISCONSOLIDATED($H$20,$H2765),IF(_xll.TM1RPTELLEV($H$20,$H2765)&lt;=5,_xll.TM1RPTELLEV($H$20,$H2765),"Default"),"Leaf")</f>
        <v>Leaf</v>
      </c>
      <c r="C2765" s="26" t="s">
        <v>24</v>
      </c>
      <c r="D2765" s="24" t="str">
        <f>_xll.DBRW("TM1-S1_DEV:}ElementAttributes_SP_SKU",$F2765,D$1)</f>
        <v>Primary</v>
      </c>
      <c r="E2765" s="24" t="str">
        <f>_xll.DBRW("TM1-S1_DEV:}ElementAttributes_SP_SKU",$F2765,E$1)</f>
        <v>COOKIE</v>
      </c>
      <c r="F2765" s="26" t="s">
        <v>3196</v>
      </c>
      <c r="G2765" s="26" t="s">
        <v>2287</v>
      </c>
      <c r="H2765" s="26" t="s">
        <v>2691</v>
      </c>
      <c r="I2765" s="54">
        <f>_xll.DBRW($A$1,$F$14,$F$15,$C2765,$A$2,$F2765,$G2765,$H2765,I$1)</f>
        <v>21</v>
      </c>
      <c r="J2765" s="25">
        <f>_xll.DBRW($A$1,$F$14,$F$15,$C2765,$A$2,$F2765,$G2765,$H2765,J$19)</f>
        <v>21</v>
      </c>
    </row>
    <row r="2766" spans="1:10" s="23" customFormat="1" outlineLevel="1" thickBot="1" x14ac:dyDescent="0.3">
      <c r="A2766" s="44"/>
      <c r="B2766" s="31" t="str">
        <f>IF(_xll.TM1RPTELISCONSOLIDATED($H$20,$H2766),IF(_xll.TM1RPTELLEV($H$20,$H2766)&lt;=5,_xll.TM1RPTELLEV($H$20,$H2766),"Default"),"Leaf")</f>
        <v>Leaf</v>
      </c>
      <c r="C2766" s="26" t="s">
        <v>24</v>
      </c>
      <c r="D2766" s="24" t="str">
        <f>_xll.DBRW("TM1-S1_DEV:}ElementAttributes_SP_SKU",$F2766,D$1)</f>
        <v>Primary</v>
      </c>
      <c r="E2766" s="24" t="str">
        <f>_xll.DBRW("TM1-S1_DEV:}ElementAttributes_SP_SKU",$F2766,E$1)</f>
        <v>INGREDIENT</v>
      </c>
      <c r="F2766" s="26" t="s">
        <v>3197</v>
      </c>
      <c r="G2766" s="26" t="s">
        <v>2288</v>
      </c>
      <c r="H2766" s="26" t="s">
        <v>2686</v>
      </c>
      <c r="I2766" s="54">
        <f>_xll.DBRW($A$1,$F$14,$F$15,$C2766,$A$2,$F2766,$G2766,$H2766,I$1)</f>
        <v>17</v>
      </c>
      <c r="J2766" s="25">
        <f>_xll.DBRW($A$1,$F$14,$F$15,$C2766,$A$2,$F2766,$G2766,$H2766,J$19)</f>
        <v>14</v>
      </c>
    </row>
    <row r="2767" spans="1:10" s="23" customFormat="1" outlineLevel="1" thickBot="1" x14ac:dyDescent="0.3">
      <c r="A2767" s="44"/>
      <c r="B2767" s="31" t="str">
        <f>IF(_xll.TM1RPTELISCONSOLIDATED($H$20,$H2767),IF(_xll.TM1RPTELLEV($H$20,$H2767)&lt;=5,_xll.TM1RPTELLEV($H$20,$H2767),"Default"),"Leaf")</f>
        <v>Leaf</v>
      </c>
      <c r="C2767" s="26" t="s">
        <v>24</v>
      </c>
      <c r="D2767" s="24" t="str">
        <f>_xll.DBRW("TM1-S1_DEV:}ElementAttributes_SP_SKU",$F2767,D$1)</f>
        <v>Primary</v>
      </c>
      <c r="E2767" s="24" t="str">
        <f>_xll.DBRW("TM1-S1_DEV:}ElementAttributes_SP_SKU",$F2767,E$1)</f>
        <v>INGREDIENT</v>
      </c>
      <c r="F2767" s="26" t="s">
        <v>30</v>
      </c>
      <c r="G2767" s="26" t="s">
        <v>2289</v>
      </c>
      <c r="H2767" s="26" t="s">
        <v>2700</v>
      </c>
      <c r="I2767" s="54">
        <f>_xll.DBRW($A$1,$F$14,$F$15,$C2767,$A$2,$F2767,$G2767,$H2767,I$1)</f>
        <v>23</v>
      </c>
      <c r="J2767" s="25">
        <f>_xll.DBRW($A$1,$F$14,$F$15,$C2767,$A$2,$F2767,$G2767,$H2767,J$19)</f>
        <v>19</v>
      </c>
    </row>
    <row r="2768" spans="1:10" s="23" customFormat="1" outlineLevel="1" thickBot="1" x14ac:dyDescent="0.3">
      <c r="A2768" s="44"/>
      <c r="B2768" s="31" t="str">
        <f>IF(_xll.TM1RPTELISCONSOLIDATED($H$20,$H2768),IF(_xll.TM1RPTELLEV($H$20,$H2768)&lt;=5,_xll.TM1RPTELLEV($H$20,$H2768),"Default"),"Leaf")</f>
        <v>Leaf</v>
      </c>
      <c r="C2768" s="26" t="s">
        <v>24</v>
      </c>
      <c r="D2768" s="24" t="str">
        <f>_xll.DBRW("TM1-S1_DEV:}ElementAttributes_SP_SKU",$F2768,D$1)</f>
        <v>Primary</v>
      </c>
      <c r="E2768" s="24" t="str">
        <f>_xll.DBRW("TM1-S1_DEV:}ElementAttributes_SP_SKU",$F2768,E$1)</f>
        <v>INGREDIENT</v>
      </c>
      <c r="F2768" s="26" t="s">
        <v>3198</v>
      </c>
      <c r="G2768" s="26" t="s">
        <v>2290</v>
      </c>
      <c r="H2768" s="26" t="s">
        <v>2701</v>
      </c>
      <c r="I2768" s="54">
        <f>_xll.DBRW($A$1,$F$14,$F$15,$C2768,$A$2,$F2768,$G2768,$H2768,I$1)</f>
        <v>12</v>
      </c>
      <c r="J2768" s="25">
        <f>_xll.DBRW($A$1,$F$14,$F$15,$C2768,$A$2,$F2768,$G2768,$H2768,J$19)</f>
        <v>9</v>
      </c>
    </row>
    <row r="2769" spans="1:10" s="23" customFormat="1" outlineLevel="1" thickBot="1" x14ac:dyDescent="0.3">
      <c r="A2769" s="44"/>
      <c r="B2769" s="31" t="str">
        <f>IF(_xll.TM1RPTELISCONSOLIDATED($H$20,$H2769),IF(_xll.TM1RPTELLEV($H$20,$H2769)&lt;=5,_xll.TM1RPTELLEV($H$20,$H2769),"Default"),"Leaf")</f>
        <v>Leaf</v>
      </c>
      <c r="C2769" s="26" t="s">
        <v>24</v>
      </c>
      <c r="D2769" s="24" t="str">
        <f>_xll.DBRW("TM1-S1_DEV:}ElementAttributes_SP_SKU",$F2769,D$1)</f>
        <v>Primary</v>
      </c>
      <c r="E2769" s="24" t="str">
        <f>_xll.DBRW("TM1-S1_DEV:}ElementAttributes_SP_SKU",$F2769,E$1)</f>
        <v>BOX</v>
      </c>
      <c r="F2769" s="26" t="s">
        <v>3199</v>
      </c>
      <c r="G2769" s="26" t="s">
        <v>1336</v>
      </c>
      <c r="H2769" s="26" t="s">
        <v>2702</v>
      </c>
      <c r="I2769" s="54">
        <f>_xll.DBRW($A$1,$F$14,$F$15,$C2769,$A$2,$F2769,$G2769,$H2769,I$1)</f>
        <v>5</v>
      </c>
      <c r="J2769" s="25">
        <f>_xll.DBRW($A$1,$F$14,$F$15,$C2769,$A$2,$F2769,$G2769,$H2769,J$19)</f>
        <v>5</v>
      </c>
    </row>
    <row r="2770" spans="1:10" s="23" customFormat="1" outlineLevel="1" thickBot="1" x14ac:dyDescent="0.3">
      <c r="A2770" s="44"/>
      <c r="B2770" s="31" t="str">
        <f>IF(_xll.TM1RPTELISCONSOLIDATED($H$20,$H2770),IF(_xll.TM1RPTELLEV($H$20,$H2770)&lt;=5,_xll.TM1RPTELLEV($H$20,$H2770),"Default"),"Leaf")</f>
        <v>Leaf</v>
      </c>
      <c r="C2770" s="26" t="s">
        <v>24</v>
      </c>
      <c r="D2770" s="24" t="str">
        <f>_xll.DBRW("TM1-S1_DEV:}ElementAttributes_SP_SKU",$F2770,D$1)</f>
        <v>Primary</v>
      </c>
      <c r="E2770" s="24" t="str">
        <f>_xll.DBRW("TM1-S1_DEV:}ElementAttributes_SP_SKU",$F2770,E$1)</f>
        <v>TRAY</v>
      </c>
      <c r="F2770" s="26" t="s">
        <v>3200</v>
      </c>
      <c r="G2770" s="26" t="s">
        <v>2291</v>
      </c>
      <c r="H2770" s="26" t="s">
        <v>2703</v>
      </c>
      <c r="I2770" s="54">
        <f>_xll.DBRW($A$1,$F$14,$F$15,$C2770,$A$2,$F2770,$G2770,$H2770,I$1)</f>
        <v>39</v>
      </c>
      <c r="J2770" s="25">
        <f>_xll.DBRW($A$1,$F$14,$F$15,$C2770,$A$2,$F2770,$G2770,$H2770,J$19)</f>
        <v>46</v>
      </c>
    </row>
    <row r="2771" spans="1:10" s="23" customFormat="1" outlineLevel="1" thickBot="1" x14ac:dyDescent="0.3">
      <c r="A2771" s="44"/>
      <c r="B2771" s="31" t="str">
        <f>IF(_xll.TM1RPTELISCONSOLIDATED($H$20,$H2771),IF(_xll.TM1RPTELLEV($H$20,$H2771)&lt;=5,_xll.TM1RPTELLEV($H$20,$H2771),"Default"),"Leaf")</f>
        <v>Leaf</v>
      </c>
      <c r="C2771" s="26" t="s">
        <v>24</v>
      </c>
      <c r="D2771" s="24" t="str">
        <f>_xll.DBRW("TM1-S1_DEV:}ElementAttributes_SP_SKU",$F2771,D$1)</f>
        <v>Primary</v>
      </c>
      <c r="E2771" s="24" t="str">
        <f>_xll.DBRW("TM1-S1_DEV:}ElementAttributes_SP_SKU",$F2771,E$1)</f>
        <v>TRAY</v>
      </c>
      <c r="F2771" s="26" t="s">
        <v>3201</v>
      </c>
      <c r="G2771" s="26" t="s">
        <v>2292</v>
      </c>
      <c r="H2771" s="26" t="s">
        <v>2703</v>
      </c>
      <c r="I2771" s="54">
        <f>_xll.DBRW($A$1,$F$14,$F$15,$C2771,$A$2,$F2771,$G2771,$H2771,I$1)</f>
        <v>42</v>
      </c>
      <c r="J2771" s="25">
        <f>_xll.DBRW($A$1,$F$14,$F$15,$C2771,$A$2,$F2771,$G2771,$H2771,J$19)</f>
        <v>41</v>
      </c>
    </row>
    <row r="2772" spans="1:10" s="23" customFormat="1" outlineLevel="1" thickBot="1" x14ac:dyDescent="0.3">
      <c r="A2772" s="44"/>
      <c r="B2772" s="31" t="str">
        <f>IF(_xll.TM1RPTELISCONSOLIDATED($H$20,$H2772),IF(_xll.TM1RPTELLEV($H$20,$H2772)&lt;=5,_xll.TM1RPTELLEV($H$20,$H2772),"Default"),"Leaf")</f>
        <v>Leaf</v>
      </c>
      <c r="C2772" s="26" t="s">
        <v>24</v>
      </c>
      <c r="D2772" s="24" t="str">
        <f>_xll.DBRW("TM1-S1_DEV:}ElementAttributes_SP_SKU",$F2772,D$1)</f>
        <v>Primary</v>
      </c>
      <c r="E2772" s="24" t="str">
        <f>_xll.DBRW("TM1-S1_DEV:}ElementAttributes_SP_SKU",$F2772,E$1)</f>
        <v>TRAY</v>
      </c>
      <c r="F2772" s="26" t="s">
        <v>3202</v>
      </c>
      <c r="G2772" s="26" t="s">
        <v>2293</v>
      </c>
      <c r="H2772" s="26" t="s">
        <v>2703</v>
      </c>
      <c r="I2772" s="54">
        <f>_xll.DBRW($A$1,$F$14,$F$15,$C2772,$A$2,$F2772,$G2772,$H2772,I$1)</f>
        <v>35</v>
      </c>
      <c r="J2772" s="25">
        <f>_xll.DBRW($A$1,$F$14,$F$15,$C2772,$A$2,$F2772,$G2772,$H2772,J$19)</f>
        <v>37</v>
      </c>
    </row>
    <row r="2773" spans="1:10" s="23" customFormat="1" outlineLevel="1" thickBot="1" x14ac:dyDescent="0.3">
      <c r="A2773" s="44"/>
      <c r="B2773" s="31" t="str">
        <f>IF(_xll.TM1RPTELISCONSOLIDATED($H$20,$H2773),IF(_xll.TM1RPTELLEV($H$20,$H2773)&lt;=5,_xll.TM1RPTELLEV($H$20,$H2773),"Default"),"Leaf")</f>
        <v>Leaf</v>
      </c>
      <c r="C2773" s="26" t="s">
        <v>24</v>
      </c>
      <c r="D2773" s="24" t="str">
        <f>_xll.DBRW("TM1-S1_DEV:}ElementAttributes_SP_SKU",$F2773,D$1)</f>
        <v>Primary</v>
      </c>
      <c r="E2773" s="24" t="str">
        <f>_xll.DBRW("TM1-S1_DEV:}ElementAttributes_SP_SKU",$F2773,E$1)</f>
        <v>TRAY</v>
      </c>
      <c r="F2773" s="26" t="s">
        <v>3203</v>
      </c>
      <c r="G2773" s="26" t="s">
        <v>2294</v>
      </c>
      <c r="H2773" s="26" t="s">
        <v>2703</v>
      </c>
      <c r="I2773" s="54">
        <f>_xll.DBRW($A$1,$F$14,$F$15,$C2773,$A$2,$F2773,$G2773,$H2773,I$1)</f>
        <v>40</v>
      </c>
      <c r="J2773" s="25">
        <f>_xll.DBRW($A$1,$F$14,$F$15,$C2773,$A$2,$F2773,$G2773,$H2773,J$19)</f>
        <v>41</v>
      </c>
    </row>
    <row r="2774" spans="1:10" s="23" customFormat="1" outlineLevel="1" thickBot="1" x14ac:dyDescent="0.3">
      <c r="A2774" s="44"/>
      <c r="B2774" s="31" t="str">
        <f>IF(_xll.TM1RPTELISCONSOLIDATED($H$20,$H2774),IF(_xll.TM1RPTELLEV($H$20,$H2774)&lt;=5,_xll.TM1RPTELLEV($H$20,$H2774),"Default"),"Leaf")</f>
        <v>Leaf</v>
      </c>
      <c r="C2774" s="26" t="s">
        <v>24</v>
      </c>
      <c r="D2774" s="24" t="str">
        <f>_xll.DBRW("TM1-S1_DEV:}ElementAttributes_SP_SKU",$F2774,D$1)</f>
        <v>Primary</v>
      </c>
      <c r="E2774" s="24" t="str">
        <f>_xll.DBRW("TM1-S1_DEV:}ElementAttributes_SP_SKU",$F2774,E$1)</f>
        <v>FOIL</v>
      </c>
      <c r="F2774" s="26" t="s">
        <v>3204</v>
      </c>
      <c r="G2774" s="26" t="s">
        <v>1337</v>
      </c>
      <c r="H2774" s="26" t="s">
        <v>2704</v>
      </c>
      <c r="I2774" s="54">
        <f>_xll.DBRW($A$1,$F$14,$F$15,$C2774,$A$2,$F2774,$G2774,$H2774,I$1)</f>
        <v>50</v>
      </c>
      <c r="J2774" s="25">
        <f>_xll.DBRW($A$1,$F$14,$F$15,$C2774,$A$2,$F2774,$G2774,$H2774,J$19)</f>
        <v>48</v>
      </c>
    </row>
    <row r="2775" spans="1:10" s="23" customFormat="1" outlineLevel="1" thickBot="1" x14ac:dyDescent="0.3">
      <c r="A2775" s="44"/>
      <c r="B2775" s="31" t="str">
        <f>IF(_xll.TM1RPTELISCONSOLIDATED($H$20,$H2775),IF(_xll.TM1RPTELLEV($H$20,$H2775)&lt;=5,_xll.TM1RPTELLEV($H$20,$H2775),"Default"),"Leaf")</f>
        <v>Leaf</v>
      </c>
      <c r="C2775" s="26" t="s">
        <v>24</v>
      </c>
      <c r="D2775" s="24" t="str">
        <f>_xll.DBRW("TM1-S1_DEV:}ElementAttributes_SP_SKU",$F2775,D$1)</f>
        <v>Primary</v>
      </c>
      <c r="E2775" s="24" t="str">
        <f>_xll.DBRW("TM1-S1_DEV:}ElementAttributes_SP_SKU",$F2775,E$1)</f>
        <v>BAG</v>
      </c>
      <c r="F2775" s="26" t="s">
        <v>3205</v>
      </c>
      <c r="G2775" s="26" t="s">
        <v>1338</v>
      </c>
      <c r="H2775" s="26" t="s">
        <v>2705</v>
      </c>
      <c r="I2775" s="54">
        <f>_xll.DBRW($A$1,$F$14,$F$15,$C2775,$A$2,$F2775,$G2775,$H2775,I$1)</f>
        <v>9</v>
      </c>
      <c r="J2775" s="25">
        <f>_xll.DBRW($A$1,$F$14,$F$15,$C2775,$A$2,$F2775,$G2775,$H2775,J$19)</f>
        <v>8</v>
      </c>
    </row>
    <row r="2776" spans="1:10" s="23" customFormat="1" outlineLevel="1" thickBot="1" x14ac:dyDescent="0.3">
      <c r="A2776" s="44"/>
      <c r="B2776" s="31" t="str">
        <f>IF(_xll.TM1RPTELISCONSOLIDATED($H$20,$H2776),IF(_xll.TM1RPTELLEV($H$20,$H2776)&lt;=5,_xll.TM1RPTELLEV($H$20,$H2776),"Default"),"Leaf")</f>
        <v>Leaf</v>
      </c>
      <c r="C2776" s="26" t="s">
        <v>24</v>
      </c>
      <c r="D2776" s="24" t="str">
        <f>_xll.DBRW("TM1-S1_DEV:}ElementAttributes_SP_SKU",$F2776,D$1)</f>
        <v>Primary</v>
      </c>
      <c r="E2776" s="24" t="str">
        <f>_xll.DBRW("TM1-S1_DEV:}ElementAttributes_SP_SKU",$F2776,E$1)</f>
        <v>FOIL</v>
      </c>
      <c r="F2776" s="26" t="s">
        <v>3206</v>
      </c>
      <c r="G2776" s="26" t="s">
        <v>1339</v>
      </c>
      <c r="H2776" s="26" t="s">
        <v>2704</v>
      </c>
      <c r="I2776" s="54">
        <f>_xll.DBRW($A$1,$F$14,$F$15,$C2776,$A$2,$F2776,$G2776,$H2776,I$1)</f>
        <v>18</v>
      </c>
      <c r="J2776" s="25">
        <f>_xll.DBRW($A$1,$F$14,$F$15,$C2776,$A$2,$F2776,$G2776,$H2776,J$19)</f>
        <v>15</v>
      </c>
    </row>
    <row r="2777" spans="1:10" s="23" customFormat="1" outlineLevel="1" thickBot="1" x14ac:dyDescent="0.3">
      <c r="A2777" s="44"/>
      <c r="B2777" s="31" t="str">
        <f>IF(_xll.TM1RPTELISCONSOLIDATED($H$20,$H2777),IF(_xll.TM1RPTELLEV($H$20,$H2777)&lt;=5,_xll.TM1RPTELLEV($H$20,$H2777),"Default"),"Leaf")</f>
        <v>Leaf</v>
      </c>
      <c r="C2777" s="26" t="s">
        <v>24</v>
      </c>
      <c r="D2777" s="24" t="str">
        <f>_xll.DBRW("TM1-S1_DEV:}ElementAttributes_SP_SKU",$F2777,D$1)</f>
        <v>Primary</v>
      </c>
      <c r="E2777" s="24" t="str">
        <f>_xll.DBRW("TM1-S1_DEV:}ElementAttributes_SP_SKU",$F2777,E$1)</f>
        <v>FOIL</v>
      </c>
      <c r="F2777" s="26" t="s">
        <v>3207</v>
      </c>
      <c r="G2777" s="26" t="s">
        <v>1340</v>
      </c>
      <c r="H2777" s="26" t="s">
        <v>2704</v>
      </c>
      <c r="I2777" s="54">
        <f>_xll.DBRW($A$1,$F$14,$F$15,$C2777,$A$2,$F2777,$G2777,$H2777,I$1)</f>
        <v>9</v>
      </c>
      <c r="J2777" s="25">
        <f>_xll.DBRW($A$1,$F$14,$F$15,$C2777,$A$2,$F2777,$G2777,$H2777,J$19)</f>
        <v>9</v>
      </c>
    </row>
    <row r="2778" spans="1:10" s="23" customFormat="1" outlineLevel="1" thickBot="1" x14ac:dyDescent="0.3">
      <c r="A2778" s="44"/>
      <c r="B2778" s="31" t="str">
        <f>IF(_xll.TM1RPTELISCONSOLIDATED($H$20,$H2778),IF(_xll.TM1RPTELLEV($H$20,$H2778)&lt;=5,_xll.TM1RPTELLEV($H$20,$H2778),"Default"),"Leaf")</f>
        <v>Leaf</v>
      </c>
      <c r="C2778" s="26" t="s">
        <v>24</v>
      </c>
      <c r="D2778" s="24" t="str">
        <f>_xll.DBRW("TM1-S1_DEV:}ElementAttributes_SP_SKU",$F2778,D$1)</f>
        <v>Primary</v>
      </c>
      <c r="E2778" s="24" t="str">
        <f>_xll.DBRW("TM1-S1_DEV:}ElementAttributes_SP_SKU",$F2778,E$1)</f>
        <v>BAG</v>
      </c>
      <c r="F2778" s="26" t="s">
        <v>3208</v>
      </c>
      <c r="G2778" s="26" t="s">
        <v>1341</v>
      </c>
      <c r="H2778" s="26" t="s">
        <v>2705</v>
      </c>
      <c r="I2778" s="54">
        <f>_xll.DBRW($A$1,$F$14,$F$15,$C2778,$A$2,$F2778,$G2778,$H2778,I$1)</f>
        <v>9</v>
      </c>
      <c r="J2778" s="25">
        <f>_xll.DBRW($A$1,$F$14,$F$15,$C2778,$A$2,$F2778,$G2778,$H2778,J$19)</f>
        <v>8</v>
      </c>
    </row>
    <row r="2779" spans="1:10" s="23" customFormat="1" outlineLevel="1" thickBot="1" x14ac:dyDescent="0.3">
      <c r="A2779" s="44"/>
      <c r="B2779" s="31" t="str">
        <f>IF(_xll.TM1RPTELISCONSOLIDATED($H$20,$H2779),IF(_xll.TM1RPTELLEV($H$20,$H2779)&lt;=5,_xll.TM1RPTELLEV($H$20,$H2779),"Default"),"Leaf")</f>
        <v>Leaf</v>
      </c>
      <c r="C2779" s="26" t="s">
        <v>24</v>
      </c>
      <c r="D2779" s="24" t="str">
        <f>_xll.DBRW("TM1-S1_DEV:}ElementAttributes_SP_SKU",$F2779,D$1)</f>
        <v>Primary</v>
      </c>
      <c r="E2779" s="24" t="str">
        <f>_xll.DBRW("TM1-S1_DEV:}ElementAttributes_SP_SKU",$F2779,E$1)</f>
        <v>BAG</v>
      </c>
      <c r="F2779" s="26" t="s">
        <v>3209</v>
      </c>
      <c r="G2779" s="26" t="s">
        <v>1342</v>
      </c>
      <c r="H2779" s="26" t="s">
        <v>2705</v>
      </c>
      <c r="I2779" s="54">
        <f>_xll.DBRW($A$1,$F$14,$F$15,$C2779,$A$2,$F2779,$G2779,$H2779,I$1)</f>
        <v>41</v>
      </c>
      <c r="J2779" s="25">
        <f>_xll.DBRW($A$1,$F$14,$F$15,$C2779,$A$2,$F2779,$G2779,$H2779,J$19)</f>
        <v>35</v>
      </c>
    </row>
    <row r="2780" spans="1:10" s="23" customFormat="1" outlineLevel="1" thickBot="1" x14ac:dyDescent="0.3">
      <c r="A2780" s="44"/>
      <c r="B2780" s="31" t="str">
        <f>IF(_xll.TM1RPTELISCONSOLIDATED($H$20,$H2780),IF(_xll.TM1RPTELLEV($H$20,$H2780)&lt;=5,_xll.TM1RPTELLEV($H$20,$H2780),"Default"),"Leaf")</f>
        <v>Leaf</v>
      </c>
      <c r="C2780" s="26" t="s">
        <v>24</v>
      </c>
      <c r="D2780" s="24" t="str">
        <f>_xll.DBRW("TM1-S1_DEV:}ElementAttributes_SP_SKU",$F2780,D$1)</f>
        <v>Primary</v>
      </c>
      <c r="E2780" s="24" t="str">
        <f>_xll.DBRW("TM1-S1_DEV:}ElementAttributes_SP_SKU",$F2780,E$1)</f>
        <v>BAG</v>
      </c>
      <c r="F2780" s="26" t="s">
        <v>3210</v>
      </c>
      <c r="G2780" s="26" t="s">
        <v>2295</v>
      </c>
      <c r="H2780" s="26" t="s">
        <v>2705</v>
      </c>
      <c r="I2780" s="54">
        <f>_xll.DBRW($A$1,$F$14,$F$15,$C2780,$A$2,$F2780,$G2780,$H2780,I$1)</f>
        <v>8</v>
      </c>
      <c r="J2780" s="25">
        <f>_xll.DBRW($A$1,$F$14,$F$15,$C2780,$A$2,$F2780,$G2780,$H2780,J$19)</f>
        <v>7</v>
      </c>
    </row>
    <row r="2781" spans="1:10" s="23" customFormat="1" outlineLevel="1" thickBot="1" x14ac:dyDescent="0.3">
      <c r="A2781" s="44"/>
      <c r="B2781" s="31" t="str">
        <f>IF(_xll.TM1RPTELISCONSOLIDATED($H$20,$H2781),IF(_xll.TM1RPTELLEV($H$20,$H2781)&lt;=5,_xll.TM1RPTELLEV($H$20,$H2781),"Default"),"Leaf")</f>
        <v>Leaf</v>
      </c>
      <c r="C2781" s="26" t="s">
        <v>24</v>
      </c>
      <c r="D2781" s="24" t="str">
        <f>_xll.DBRW("TM1-S1_DEV:}ElementAttributes_SP_SKU",$F2781,D$1)</f>
        <v>Primary</v>
      </c>
      <c r="E2781" s="24" t="str">
        <f>_xll.DBRW("TM1-S1_DEV:}ElementAttributes_SP_SKU",$F2781,E$1)</f>
        <v>BOX</v>
      </c>
      <c r="F2781" s="26" t="s">
        <v>3211</v>
      </c>
      <c r="G2781" s="26" t="s">
        <v>2296</v>
      </c>
      <c r="H2781" s="26" t="s">
        <v>2706</v>
      </c>
      <c r="I2781" s="54">
        <f>_xll.DBRW($A$1,$F$14,$F$15,$C2781,$A$2,$F2781,$G2781,$H2781,I$1)</f>
        <v>71</v>
      </c>
      <c r="J2781" s="25">
        <f>_xll.DBRW($A$1,$F$14,$F$15,$C2781,$A$2,$F2781,$G2781,$H2781,J$19)</f>
        <v>83</v>
      </c>
    </row>
    <row r="2782" spans="1:10" s="23" customFormat="1" outlineLevel="1" thickBot="1" x14ac:dyDescent="0.3">
      <c r="A2782" s="44"/>
      <c r="B2782" s="31" t="str">
        <f>IF(_xll.TM1RPTELISCONSOLIDATED($H$20,$H2782),IF(_xll.TM1RPTELLEV($H$20,$H2782)&lt;=5,_xll.TM1RPTELLEV($H$20,$H2782),"Default"),"Leaf")</f>
        <v>Leaf</v>
      </c>
      <c r="C2782" s="26" t="s">
        <v>24</v>
      </c>
      <c r="D2782" s="24" t="str">
        <f>_xll.DBRW("TM1-S1_DEV:}ElementAttributes_SP_SKU",$F2782,D$1)</f>
        <v>Primary</v>
      </c>
      <c r="E2782" s="24" t="str">
        <f>_xll.DBRW("TM1-S1_DEV:}ElementAttributes_SP_SKU",$F2782,E$1)</f>
        <v>FOIL</v>
      </c>
      <c r="F2782" s="26" t="s">
        <v>3212</v>
      </c>
      <c r="G2782" s="26" t="s">
        <v>1345</v>
      </c>
      <c r="H2782" s="26" t="s">
        <v>2704</v>
      </c>
      <c r="I2782" s="54">
        <f>_xll.DBRW($A$1,$F$14,$F$15,$C2782,$A$2,$F2782,$G2782,$H2782,I$1)</f>
        <v>20</v>
      </c>
      <c r="J2782" s="25">
        <f>_xll.DBRW($A$1,$F$14,$F$15,$C2782,$A$2,$F2782,$G2782,$H2782,J$19)</f>
        <v>18</v>
      </c>
    </row>
    <row r="2783" spans="1:10" s="23" customFormat="1" outlineLevel="1" thickBot="1" x14ac:dyDescent="0.3">
      <c r="A2783" s="44"/>
      <c r="B2783" s="31" t="str">
        <f>IF(_xll.TM1RPTELISCONSOLIDATED($H$20,$H2783),IF(_xll.TM1RPTELLEV($H$20,$H2783)&lt;=5,_xll.TM1RPTELLEV($H$20,$H2783),"Default"),"Leaf")</f>
        <v>Leaf</v>
      </c>
      <c r="C2783" s="26" t="s">
        <v>24</v>
      </c>
      <c r="D2783" s="24" t="str">
        <f>_xll.DBRW("TM1-S1_DEV:}ElementAttributes_SP_SKU",$F2783,D$1)</f>
        <v>Primary</v>
      </c>
      <c r="E2783" s="24" t="str">
        <f>_xll.DBRW("TM1-S1_DEV:}ElementAttributes_SP_SKU",$F2783,E$1)</f>
        <v>TRAY</v>
      </c>
      <c r="F2783" s="26" t="s">
        <v>3213</v>
      </c>
      <c r="G2783" s="26" t="s">
        <v>2297</v>
      </c>
      <c r="H2783" s="26" t="s">
        <v>2703</v>
      </c>
      <c r="I2783" s="54">
        <f>_xll.DBRW($A$1,$F$14,$F$15,$C2783,$A$2,$F2783,$G2783,$H2783,I$1)</f>
        <v>31</v>
      </c>
      <c r="J2783" s="25">
        <f>_xll.DBRW($A$1,$F$14,$F$15,$C2783,$A$2,$F2783,$G2783,$H2783,J$19)</f>
        <v>30</v>
      </c>
    </row>
    <row r="2784" spans="1:10" s="23" customFormat="1" outlineLevel="1" thickBot="1" x14ac:dyDescent="0.3">
      <c r="A2784" s="44"/>
      <c r="B2784" s="31" t="str">
        <f>IF(_xll.TM1RPTELISCONSOLIDATED($H$20,$H2784),IF(_xll.TM1RPTELLEV($H$20,$H2784)&lt;=5,_xll.TM1RPTELLEV($H$20,$H2784),"Default"),"Leaf")</f>
        <v>Leaf</v>
      </c>
      <c r="C2784" s="26" t="s">
        <v>24</v>
      </c>
      <c r="D2784" s="24" t="str">
        <f>_xll.DBRW("TM1-S1_DEV:}ElementAttributes_SP_SKU",$F2784,D$1)</f>
        <v>Primary</v>
      </c>
      <c r="E2784" s="24" t="str">
        <f>_xll.DBRW("TM1-S1_DEV:}ElementAttributes_SP_SKU",$F2784,E$1)</f>
        <v>TRAY</v>
      </c>
      <c r="F2784" s="26" t="s">
        <v>3214</v>
      </c>
      <c r="G2784" s="26" t="s">
        <v>2298</v>
      </c>
      <c r="H2784" s="26" t="s">
        <v>2703</v>
      </c>
      <c r="I2784" s="54">
        <f>_xll.DBRW($A$1,$F$14,$F$15,$C2784,$A$2,$F2784,$G2784,$H2784,I$1)</f>
        <v>18</v>
      </c>
      <c r="J2784" s="25">
        <f>_xll.DBRW($A$1,$F$14,$F$15,$C2784,$A$2,$F2784,$G2784,$H2784,J$19)</f>
        <v>29</v>
      </c>
    </row>
    <row r="2785" spans="1:10" s="23" customFormat="1" outlineLevel="1" thickBot="1" x14ac:dyDescent="0.3">
      <c r="A2785" s="44"/>
      <c r="B2785" s="31" t="str">
        <f>IF(_xll.TM1RPTELISCONSOLIDATED($H$20,$H2785),IF(_xll.TM1RPTELLEV($H$20,$H2785)&lt;=5,_xll.TM1RPTELLEV($H$20,$H2785),"Default"),"Leaf")</f>
        <v>Leaf</v>
      </c>
      <c r="C2785" s="26" t="s">
        <v>24</v>
      </c>
      <c r="D2785" s="24" t="str">
        <f>_xll.DBRW("TM1-S1_DEV:}ElementAttributes_SP_SKU",$F2785,D$1)</f>
        <v>Primary</v>
      </c>
      <c r="E2785" s="24" t="str">
        <f>_xll.DBRW("TM1-S1_DEV:}ElementAttributes_SP_SKU",$F2785,E$1)</f>
        <v>BOWL</v>
      </c>
      <c r="F2785" s="26" t="s">
        <v>3215</v>
      </c>
      <c r="G2785" s="26" t="s">
        <v>2299</v>
      </c>
      <c r="H2785" s="26" t="s">
        <v>2703</v>
      </c>
      <c r="I2785" s="54">
        <f>_xll.DBRW($A$1,$F$14,$F$15,$C2785,$A$2,$F2785,$G2785,$H2785,I$1)</f>
        <v>13</v>
      </c>
      <c r="J2785" s="25">
        <f>_xll.DBRW($A$1,$F$14,$F$15,$C2785,$A$2,$F2785,$G2785,$H2785,J$19)</f>
        <v>13</v>
      </c>
    </row>
    <row r="2786" spans="1:10" s="23" customFormat="1" outlineLevel="1" thickBot="1" x14ac:dyDescent="0.3">
      <c r="A2786" s="44"/>
      <c r="B2786" s="31" t="str">
        <f>IF(_xll.TM1RPTELISCONSOLIDATED($H$20,$H2786),IF(_xll.TM1RPTELLEV($H$20,$H2786)&lt;=5,_xll.TM1RPTELLEV($H$20,$H2786),"Default"),"Leaf")</f>
        <v>Leaf</v>
      </c>
      <c r="C2786" s="26" t="s">
        <v>24</v>
      </c>
      <c r="D2786" s="24" t="str">
        <f>_xll.DBRW("TM1-S1_DEV:}ElementAttributes_SP_SKU",$F2786,D$1)</f>
        <v>Primary</v>
      </c>
      <c r="E2786" s="24" t="str">
        <f>_xll.DBRW("TM1-S1_DEV:}ElementAttributes_SP_SKU",$F2786,E$1)</f>
        <v>BOWL</v>
      </c>
      <c r="F2786" s="26" t="s">
        <v>3216</v>
      </c>
      <c r="G2786" s="26" t="s">
        <v>2300</v>
      </c>
      <c r="H2786" s="26" t="s">
        <v>2703</v>
      </c>
      <c r="I2786" s="54">
        <f>_xll.DBRW($A$1,$F$14,$F$15,$C2786,$A$2,$F2786,$G2786,$H2786,I$1)</f>
        <v>10</v>
      </c>
      <c r="J2786" s="25">
        <f>_xll.DBRW($A$1,$F$14,$F$15,$C2786,$A$2,$F2786,$G2786,$H2786,J$19)</f>
        <v>10</v>
      </c>
    </row>
    <row r="2787" spans="1:10" s="23" customFormat="1" outlineLevel="1" thickBot="1" x14ac:dyDescent="0.3">
      <c r="A2787" s="44"/>
      <c r="B2787" s="31" t="str">
        <f>IF(_xll.TM1RPTELISCONSOLIDATED($H$20,$H2787),IF(_xll.TM1RPTELLEV($H$20,$H2787)&lt;=5,_xll.TM1RPTELLEV($H$20,$H2787),"Default"),"Leaf")</f>
        <v>Leaf</v>
      </c>
      <c r="C2787" s="26" t="s">
        <v>24</v>
      </c>
      <c r="D2787" s="24" t="str">
        <f>_xll.DBRW("TM1-S1_DEV:}ElementAttributes_SP_SKU",$F2787,D$1)</f>
        <v>Primary</v>
      </c>
      <c r="E2787" s="24" t="str">
        <f>_xll.DBRW("TM1-S1_DEV:}ElementAttributes_SP_SKU",$F2787,E$1)</f>
        <v>UTENSIL</v>
      </c>
      <c r="F2787" s="26" t="s">
        <v>3217</v>
      </c>
      <c r="G2787" s="26" t="s">
        <v>2301</v>
      </c>
      <c r="H2787" s="26" t="s">
        <v>2703</v>
      </c>
      <c r="I2787" s="54">
        <f>_xll.DBRW($A$1,$F$14,$F$15,$C2787,$A$2,$F2787,$G2787,$H2787,I$1)</f>
        <v>17</v>
      </c>
      <c r="J2787" s="25">
        <f>_xll.DBRW($A$1,$F$14,$F$15,$C2787,$A$2,$F2787,$G2787,$H2787,J$19)</f>
        <v>22</v>
      </c>
    </row>
    <row r="2788" spans="1:10" s="23" customFormat="1" outlineLevel="1" thickBot="1" x14ac:dyDescent="0.3">
      <c r="A2788" s="44"/>
      <c r="B2788" s="31" t="str">
        <f>IF(_xll.TM1RPTELISCONSOLIDATED($H$20,$H2788),IF(_xll.TM1RPTELLEV($H$20,$H2788)&lt;=5,_xll.TM1RPTELLEV($H$20,$H2788),"Default"),"Leaf")</f>
        <v>Leaf</v>
      </c>
      <c r="C2788" s="26" t="s">
        <v>24</v>
      </c>
      <c r="D2788" s="24" t="str">
        <f>_xll.DBRW("TM1-S1_DEV:}ElementAttributes_SP_SKU",$F2788,D$1)</f>
        <v>Primary</v>
      </c>
      <c r="E2788" s="24" t="str">
        <f>_xll.DBRW("TM1-S1_DEV:}ElementAttributes_SP_SKU",$F2788,E$1)</f>
        <v>UTENSIL</v>
      </c>
      <c r="F2788" s="26" t="s">
        <v>3218</v>
      </c>
      <c r="G2788" s="26" t="s">
        <v>2302</v>
      </c>
      <c r="H2788" s="26" t="s">
        <v>2703</v>
      </c>
      <c r="I2788" s="54">
        <f>_xll.DBRW($A$1,$F$14,$F$15,$C2788,$A$2,$F2788,$G2788,$H2788,I$1)</f>
        <v>43</v>
      </c>
      <c r="J2788" s="25">
        <f>_xll.DBRW($A$1,$F$14,$F$15,$C2788,$A$2,$F2788,$G2788,$H2788,J$19)</f>
        <v>58</v>
      </c>
    </row>
    <row r="2789" spans="1:10" s="23" customFormat="1" outlineLevel="1" thickBot="1" x14ac:dyDescent="0.3">
      <c r="A2789" s="44"/>
      <c r="B2789" s="31" t="str">
        <f>IF(_xll.TM1RPTELISCONSOLIDATED($H$20,$H2789),IF(_xll.TM1RPTELLEV($H$20,$H2789)&lt;=5,_xll.TM1RPTELLEV($H$20,$H2789),"Default"),"Leaf")</f>
        <v>Leaf</v>
      </c>
      <c r="C2789" s="26" t="s">
        <v>24</v>
      </c>
      <c r="D2789" s="24" t="str">
        <f>_xll.DBRW("TM1-S1_DEV:}ElementAttributes_SP_SKU",$F2789,D$1)</f>
        <v>Primary</v>
      </c>
      <c r="E2789" s="24" t="str">
        <f>_xll.DBRW("TM1-S1_DEV:}ElementAttributes_SP_SKU",$F2789,E$1)</f>
        <v>BAG</v>
      </c>
      <c r="F2789" s="26" t="s">
        <v>3219</v>
      </c>
      <c r="G2789" s="26" t="s">
        <v>1346</v>
      </c>
      <c r="H2789" s="26" t="s">
        <v>2705</v>
      </c>
      <c r="I2789" s="54">
        <f>_xll.DBRW($A$1,$F$14,$F$15,$C2789,$A$2,$F2789,$G2789,$H2789,I$1)</f>
        <v>4</v>
      </c>
      <c r="J2789" s="25">
        <f>_xll.DBRW($A$1,$F$14,$F$15,$C2789,$A$2,$F2789,$G2789,$H2789,J$19)</f>
        <v>4</v>
      </c>
    </row>
    <row r="2790" spans="1:10" s="23" customFormat="1" outlineLevel="1" thickBot="1" x14ac:dyDescent="0.3">
      <c r="A2790" s="44"/>
      <c r="B2790" s="31" t="str">
        <f>IF(_xll.TM1RPTELISCONSOLIDATED($H$20,$H2790),IF(_xll.TM1RPTELLEV($H$20,$H2790)&lt;=5,_xll.TM1RPTELLEV($H$20,$H2790),"Default"),"Leaf")</f>
        <v>Leaf</v>
      </c>
      <c r="C2790" s="26" t="s">
        <v>24</v>
      </c>
      <c r="D2790" s="24" t="str">
        <f>_xll.DBRW("TM1-S1_DEV:}ElementAttributes_SP_SKU",$F2790,D$1)</f>
        <v>Primary</v>
      </c>
      <c r="E2790" s="24" t="str">
        <f>_xll.DBRW("TM1-S1_DEV:}ElementAttributes_SP_SKU",$F2790,E$1)</f>
        <v>BOX</v>
      </c>
      <c r="F2790" s="26" t="s">
        <v>3220</v>
      </c>
      <c r="G2790" s="26" t="s">
        <v>1347</v>
      </c>
      <c r="H2790" s="26" t="s">
        <v>2702</v>
      </c>
      <c r="I2790" s="54">
        <f>_xll.DBRW($A$1,$F$14,$F$15,$C2790,$A$2,$F2790,$G2790,$H2790,I$1)</f>
        <v>9</v>
      </c>
      <c r="J2790" s="25">
        <f>_xll.DBRW($A$1,$F$14,$F$15,$C2790,$A$2,$F2790,$G2790,$H2790,J$19)</f>
        <v>9</v>
      </c>
    </row>
    <row r="2791" spans="1:10" s="23" customFormat="1" outlineLevel="1" thickBot="1" x14ac:dyDescent="0.3">
      <c r="A2791" s="44"/>
      <c r="B2791" s="31" t="str">
        <f>IF(_xll.TM1RPTELISCONSOLIDATED($H$20,$H2791),IF(_xll.TM1RPTELLEV($H$20,$H2791)&lt;=5,_xll.TM1RPTELLEV($H$20,$H2791),"Default"),"Leaf")</f>
        <v>Leaf</v>
      </c>
      <c r="C2791" s="26" t="s">
        <v>24</v>
      </c>
      <c r="D2791" s="24" t="str">
        <f>_xll.DBRW("TM1-S1_DEV:}ElementAttributes_SP_SKU",$F2791,D$1)</f>
        <v>Primary</v>
      </c>
      <c r="E2791" s="24" t="str">
        <f>_xll.DBRW("TM1-S1_DEV:}ElementAttributes_SP_SKU",$F2791,E$1)</f>
        <v>BOX</v>
      </c>
      <c r="F2791" s="26" t="s">
        <v>3221</v>
      </c>
      <c r="G2791" s="26" t="s">
        <v>1348</v>
      </c>
      <c r="H2791" s="26" t="s">
        <v>2702</v>
      </c>
      <c r="I2791" s="54">
        <f>_xll.DBRW($A$1,$F$14,$F$15,$C2791,$A$2,$F2791,$G2791,$H2791,I$1)</f>
        <v>25</v>
      </c>
      <c r="J2791" s="25">
        <f>_xll.DBRW($A$1,$F$14,$F$15,$C2791,$A$2,$F2791,$G2791,$H2791,J$19)</f>
        <v>25</v>
      </c>
    </row>
    <row r="2792" spans="1:10" s="23" customFormat="1" outlineLevel="1" thickBot="1" x14ac:dyDescent="0.3">
      <c r="A2792" s="44"/>
      <c r="B2792" s="31" t="str">
        <f>IF(_xll.TM1RPTELISCONSOLIDATED($H$20,$H2792),IF(_xll.TM1RPTELLEV($H$20,$H2792)&lt;=5,_xll.TM1RPTELLEV($H$20,$H2792),"Default"),"Leaf")</f>
        <v>Leaf</v>
      </c>
      <c r="C2792" s="26" t="s">
        <v>24</v>
      </c>
      <c r="D2792" s="24" t="str">
        <f>_xll.DBRW("TM1-S1_DEV:}ElementAttributes_SP_SKU",$F2792,D$1)</f>
        <v>Primary</v>
      </c>
      <c r="E2792" s="24" t="str">
        <f>_xll.DBRW("TM1-S1_DEV:}ElementAttributes_SP_SKU",$F2792,E$1)</f>
        <v>BOX</v>
      </c>
      <c r="F2792" s="26" t="s">
        <v>3222</v>
      </c>
      <c r="G2792" s="26" t="s">
        <v>1349</v>
      </c>
      <c r="H2792" s="26" t="s">
        <v>2702</v>
      </c>
      <c r="I2792" s="54">
        <f>_xll.DBRW($A$1,$F$14,$F$15,$C2792,$A$2,$F2792,$G2792,$H2792,I$1)</f>
        <v>12</v>
      </c>
      <c r="J2792" s="25">
        <f>_xll.DBRW($A$1,$F$14,$F$15,$C2792,$A$2,$F2792,$G2792,$H2792,J$19)</f>
        <v>12</v>
      </c>
    </row>
    <row r="2793" spans="1:10" s="23" customFormat="1" outlineLevel="1" thickBot="1" x14ac:dyDescent="0.3">
      <c r="A2793" s="44"/>
      <c r="B2793" s="31" t="str">
        <f>IF(_xll.TM1RPTELISCONSOLIDATED($H$20,$H2793),IF(_xll.TM1RPTELLEV($H$20,$H2793)&lt;=5,_xll.TM1RPTELLEV($H$20,$H2793),"Default"),"Leaf")</f>
        <v>Leaf</v>
      </c>
      <c r="C2793" s="26" t="s">
        <v>24</v>
      </c>
      <c r="D2793" s="24" t="str">
        <f>_xll.DBRW("TM1-S1_DEV:}ElementAttributes_SP_SKU",$F2793,D$1)</f>
        <v>Primary</v>
      </c>
      <c r="E2793" s="24" t="str">
        <f>_xll.DBRW("TM1-S1_DEV:}ElementAttributes_SP_SKU",$F2793,E$1)</f>
        <v>BOWL</v>
      </c>
      <c r="F2793" s="26" t="s">
        <v>3223</v>
      </c>
      <c r="G2793" s="26" t="s">
        <v>2303</v>
      </c>
      <c r="H2793" s="26" t="s">
        <v>2703</v>
      </c>
      <c r="I2793" s="54">
        <f>_xll.DBRW($A$1,$F$14,$F$15,$C2793,$A$2,$F2793,$G2793,$H2793,I$1)</f>
        <v>7</v>
      </c>
      <c r="J2793" s="25">
        <f>_xll.DBRW($A$1,$F$14,$F$15,$C2793,$A$2,$F2793,$G2793,$H2793,J$19)</f>
        <v>7</v>
      </c>
    </row>
    <row r="2794" spans="1:10" s="23" customFormat="1" outlineLevel="1" thickBot="1" x14ac:dyDescent="0.3">
      <c r="A2794" s="44"/>
      <c r="B2794" s="31" t="str">
        <f>IF(_xll.TM1RPTELISCONSOLIDATED($H$20,$H2794),IF(_xll.TM1RPTELLEV($H$20,$H2794)&lt;=5,_xll.TM1RPTELLEV($H$20,$H2794),"Default"),"Leaf")</f>
        <v>Leaf</v>
      </c>
      <c r="C2794" s="26" t="s">
        <v>24</v>
      </c>
      <c r="D2794" s="24" t="str">
        <f>_xll.DBRW("TM1-S1_DEV:}ElementAttributes_SP_SKU",$F2794,D$1)</f>
        <v>Primary</v>
      </c>
      <c r="E2794" s="24" t="str">
        <f>_xll.DBRW("TM1-S1_DEV:}ElementAttributes_SP_SKU",$F2794,E$1)</f>
        <v>BAG</v>
      </c>
      <c r="F2794" s="26" t="s">
        <v>3224</v>
      </c>
      <c r="G2794" s="26" t="s">
        <v>1350</v>
      </c>
      <c r="H2794" s="26" t="s">
        <v>2705</v>
      </c>
      <c r="I2794" s="54">
        <f>_xll.DBRW($A$1,$F$14,$F$15,$C2794,$A$2,$F2794,$G2794,$H2794,I$1)</f>
        <v>13</v>
      </c>
      <c r="J2794" s="25">
        <f>_xll.DBRW($A$1,$F$14,$F$15,$C2794,$A$2,$F2794,$G2794,$H2794,J$19)</f>
        <v>12</v>
      </c>
    </row>
    <row r="2795" spans="1:10" s="23" customFormat="1" outlineLevel="1" thickBot="1" x14ac:dyDescent="0.3">
      <c r="A2795" s="44"/>
      <c r="B2795" s="31" t="str">
        <f>IF(_xll.TM1RPTELISCONSOLIDATED($H$20,$H2795),IF(_xll.TM1RPTELLEV($H$20,$H2795)&lt;=5,_xll.TM1RPTELLEV($H$20,$H2795),"Default"),"Leaf")</f>
        <v>Leaf</v>
      </c>
      <c r="C2795" s="26" t="s">
        <v>24</v>
      </c>
      <c r="D2795" s="24" t="str">
        <f>_xll.DBRW("TM1-S1_DEV:}ElementAttributes_SP_SKU",$F2795,D$1)</f>
        <v>Primary</v>
      </c>
      <c r="E2795" s="24" t="str">
        <f>_xll.DBRW("TM1-S1_DEV:}ElementAttributes_SP_SKU",$F2795,E$1)</f>
        <v>CUP</v>
      </c>
      <c r="F2795" s="26" t="s">
        <v>3225</v>
      </c>
      <c r="G2795" s="26" t="s">
        <v>1351</v>
      </c>
      <c r="H2795" s="26" t="s">
        <v>2707</v>
      </c>
      <c r="I2795" s="54">
        <f>_xll.DBRW($A$1,$F$14,$F$15,$C2795,$A$2,$F2795,$G2795,$H2795,I$1)</f>
        <v>2</v>
      </c>
      <c r="J2795" s="25">
        <f>_xll.DBRW($A$1,$F$14,$F$15,$C2795,$A$2,$F2795,$G2795,$H2795,J$19)</f>
        <v>10</v>
      </c>
    </row>
    <row r="2796" spans="1:10" s="23" customFormat="1" outlineLevel="1" thickBot="1" x14ac:dyDescent="0.3">
      <c r="A2796" s="44"/>
      <c r="B2796" s="31" t="str">
        <f>IF(_xll.TM1RPTELISCONSOLIDATED($H$20,$H2796),IF(_xll.TM1RPTELLEV($H$20,$H2796)&lt;=5,_xll.TM1RPTELLEV($H$20,$H2796),"Default"),"Leaf")</f>
        <v>Leaf</v>
      </c>
      <c r="C2796" s="26" t="s">
        <v>24</v>
      </c>
      <c r="D2796" s="24" t="str">
        <f>_xll.DBRW("TM1-S1_DEV:}ElementAttributes_SP_SKU",$F2796,D$1)</f>
        <v>Primary</v>
      </c>
      <c r="E2796" s="24" t="str">
        <f>_xll.DBRW("TM1-S1_DEV:}ElementAttributes_SP_SKU",$F2796,E$1)</f>
        <v>CUP</v>
      </c>
      <c r="F2796" s="26" t="s">
        <v>3226</v>
      </c>
      <c r="G2796" s="26" t="s">
        <v>1352</v>
      </c>
      <c r="H2796" s="26" t="s">
        <v>2707</v>
      </c>
      <c r="I2796" s="54">
        <f>_xll.DBRW($A$1,$F$14,$F$15,$C2796,$A$2,$F2796,$G2796,$H2796,I$1)</f>
        <v>11</v>
      </c>
      <c r="J2796" s="25">
        <f>_xll.DBRW($A$1,$F$14,$F$15,$C2796,$A$2,$F2796,$G2796,$H2796,J$19)</f>
        <v>10</v>
      </c>
    </row>
    <row r="2797" spans="1:10" s="23" customFormat="1" outlineLevel="1" thickBot="1" x14ac:dyDescent="0.3">
      <c r="A2797" s="44"/>
      <c r="B2797" s="31" t="str">
        <f>IF(_xll.TM1RPTELISCONSOLIDATED($H$20,$H2797),IF(_xll.TM1RPTELLEV($H$20,$H2797)&lt;=5,_xll.TM1RPTELLEV($H$20,$H2797),"Default"),"Leaf")</f>
        <v>Leaf</v>
      </c>
      <c r="C2797" s="26" t="s">
        <v>24</v>
      </c>
      <c r="D2797" s="24" t="str">
        <f>_xll.DBRW("TM1-S1_DEV:}ElementAttributes_SP_SKU",$F2797,D$1)</f>
        <v>Primary</v>
      </c>
      <c r="E2797" s="24" t="str">
        <f>_xll.DBRW("TM1-S1_DEV:}ElementAttributes_SP_SKU",$F2797,E$1)</f>
        <v>PROTEIN</v>
      </c>
      <c r="F2797" s="26" t="s">
        <v>3227</v>
      </c>
      <c r="G2797" s="26" t="s">
        <v>2304</v>
      </c>
      <c r="H2797" s="26" t="s">
        <v>2673</v>
      </c>
      <c r="I2797" s="54">
        <f>_xll.DBRW($A$1,$F$14,$F$15,$C2797,$A$2,$F2797,$G2797,$H2797,I$1)</f>
        <v>97</v>
      </c>
      <c r="J2797" s="25">
        <f>_xll.DBRW($A$1,$F$14,$F$15,$C2797,$A$2,$F2797,$G2797,$H2797,J$19)</f>
        <v>79</v>
      </c>
    </row>
    <row r="2798" spans="1:10" s="23" customFormat="1" outlineLevel="1" thickBot="1" x14ac:dyDescent="0.3">
      <c r="A2798" s="44"/>
      <c r="B2798" s="31" t="str">
        <f>IF(_xll.TM1RPTELISCONSOLIDATED($H$20,$H2798),IF(_xll.TM1RPTELLEV($H$20,$H2798)&lt;=5,_xll.TM1RPTELLEV($H$20,$H2798),"Default"),"Leaf")</f>
        <v>Leaf</v>
      </c>
      <c r="C2798" s="26" t="s">
        <v>24</v>
      </c>
      <c r="D2798" s="24" t="str">
        <f>_xll.DBRW("TM1-S1_DEV:}ElementAttributes_SP_SKU",$F2798,D$1)</f>
        <v>Primary</v>
      </c>
      <c r="E2798" s="24" t="str">
        <f>_xll.DBRW("TM1-S1_DEV:}ElementAttributes_SP_SKU",$F2798,E$1)</f>
        <v>GLOVES</v>
      </c>
      <c r="F2798" s="26" t="s">
        <v>3274</v>
      </c>
      <c r="G2798" s="26" t="s">
        <v>2305</v>
      </c>
      <c r="H2798" s="26" t="s">
        <v>2712</v>
      </c>
      <c r="I2798" s="54">
        <f>_xll.DBRW($A$1,$F$14,$F$15,$C2798,$A$2,$F2798,$G2798,$H2798,I$1)</f>
        <v>25</v>
      </c>
      <c r="J2798" s="25">
        <f>_xll.DBRW($A$1,$F$14,$F$15,$C2798,$A$2,$F2798,$G2798,$H2798,J$19)</f>
        <v>24</v>
      </c>
    </row>
    <row r="2799" spans="1:10" s="23" customFormat="1" outlineLevel="1" thickBot="1" x14ac:dyDescent="0.3">
      <c r="A2799" s="44"/>
      <c r="B2799" s="31" t="str">
        <f>IF(_xll.TM1RPTELISCONSOLIDATED($H$20,$H2799),IF(_xll.TM1RPTELLEV($H$20,$H2799)&lt;=5,_xll.TM1RPTELLEV($H$20,$H2799),"Default"),"Leaf")</f>
        <v>Leaf</v>
      </c>
      <c r="C2799" s="26" t="s">
        <v>24</v>
      </c>
      <c r="D2799" s="24" t="str">
        <f>_xll.DBRW("TM1-S1_DEV:}ElementAttributes_SP_SKU",$F2799,D$1)</f>
        <v>Primary</v>
      </c>
      <c r="E2799" s="24" t="str">
        <f>_xll.DBRW("TM1-S1_DEV:}ElementAttributes_SP_SKU",$F2799,E$1)</f>
        <v>GLOVES</v>
      </c>
      <c r="F2799" s="26" t="s">
        <v>3275</v>
      </c>
      <c r="G2799" s="26" t="s">
        <v>2306</v>
      </c>
      <c r="H2799" s="26" t="s">
        <v>2712</v>
      </c>
      <c r="I2799" s="54">
        <f>_xll.DBRW($A$1,$F$14,$F$15,$C2799,$A$2,$F2799,$G2799,$H2799,I$1)</f>
        <v>17</v>
      </c>
      <c r="J2799" s="25">
        <f>_xll.DBRW($A$1,$F$14,$F$15,$C2799,$A$2,$F2799,$G2799,$H2799,J$19)</f>
        <v>16</v>
      </c>
    </row>
    <row r="2800" spans="1:10" s="23" customFormat="1" outlineLevel="1" thickBot="1" x14ac:dyDescent="0.3">
      <c r="A2800" s="44"/>
      <c r="B2800" s="31" t="str">
        <f>IF(_xll.TM1RPTELISCONSOLIDATED($H$20,$H2800),IF(_xll.TM1RPTELLEV($H$20,$H2800)&lt;=5,_xll.TM1RPTELLEV($H$20,$H2800),"Default"),"Leaf")</f>
        <v>Leaf</v>
      </c>
      <c r="C2800" s="26" t="s">
        <v>24</v>
      </c>
      <c r="D2800" s="24" t="str">
        <f>_xll.DBRW("TM1-S1_DEV:}ElementAttributes_SP_SKU",$F2800,D$1)</f>
        <v>Primary</v>
      </c>
      <c r="E2800" s="24" t="str">
        <f>_xll.DBRW("TM1-S1_DEV:}ElementAttributes_SP_SKU",$F2800,E$1)</f>
        <v>GLOVES</v>
      </c>
      <c r="F2800" s="26" t="s">
        <v>3276</v>
      </c>
      <c r="G2800" s="26" t="s">
        <v>2307</v>
      </c>
      <c r="H2800" s="26" t="s">
        <v>2712</v>
      </c>
      <c r="I2800" s="54">
        <f>_xll.DBRW($A$1,$F$14,$F$15,$C2800,$A$2,$F2800,$G2800,$H2800,I$1)</f>
        <v>28</v>
      </c>
      <c r="J2800" s="25">
        <f>_xll.DBRW($A$1,$F$14,$F$15,$C2800,$A$2,$F2800,$G2800,$H2800,J$19)</f>
        <v>26</v>
      </c>
    </row>
    <row r="2801" spans="1:10" s="23" customFormat="1" outlineLevel="1" thickBot="1" x14ac:dyDescent="0.3">
      <c r="A2801" s="44"/>
      <c r="B2801" s="31" t="str">
        <f>IF(_xll.TM1RPTELISCONSOLIDATED($H$20,$H2801),IF(_xll.TM1RPTELLEV($H$20,$H2801)&lt;=5,_xll.TM1RPTELLEV($H$20,$H2801),"Default"),"Leaf")</f>
        <v>Leaf</v>
      </c>
      <c r="C2801" s="26" t="s">
        <v>24</v>
      </c>
      <c r="D2801" s="24" t="str">
        <f>_xll.DBRW("TM1-S1_DEV:}ElementAttributes_SP_SKU",$F2801,D$1)</f>
        <v>Primary</v>
      </c>
      <c r="E2801" s="24" t="str">
        <f>_xll.DBRW("TM1-S1_DEV:}ElementAttributes_SP_SKU",$F2801,E$1)</f>
        <v>TRAY</v>
      </c>
      <c r="F2801" s="26" t="s">
        <v>3228</v>
      </c>
      <c r="G2801" s="26" t="s">
        <v>1353</v>
      </c>
      <c r="H2801" s="26" t="s">
        <v>2708</v>
      </c>
      <c r="I2801" s="54">
        <f>_xll.DBRW($A$1,$F$14,$F$15,$C2801,$A$2,$F2801,$G2801,$H2801,I$1)</f>
        <v>14</v>
      </c>
      <c r="J2801" s="25">
        <f>_xll.DBRW($A$1,$F$14,$F$15,$C2801,$A$2,$F2801,$G2801,$H2801,J$19)</f>
        <v>13</v>
      </c>
    </row>
    <row r="2802" spans="1:10" s="23" customFormat="1" outlineLevel="1" thickBot="1" x14ac:dyDescent="0.3">
      <c r="A2802" s="44"/>
      <c r="B2802" s="31" t="str">
        <f>IF(_xll.TM1RPTELISCONSOLIDATED($H$20,$H2802),IF(_xll.TM1RPTELLEV($H$20,$H2802)&lt;=5,_xll.TM1RPTELLEV($H$20,$H2802),"Default"),"Leaf")</f>
        <v>Leaf</v>
      </c>
      <c r="C2802" s="26" t="s">
        <v>24</v>
      </c>
      <c r="D2802" s="24" t="str">
        <f>_xll.DBRW("TM1-S1_DEV:}ElementAttributes_SP_SKU",$F2802,D$1)</f>
        <v>Primary</v>
      </c>
      <c r="E2802" s="24" t="str">
        <f>_xll.DBRW("TM1-S1_DEV:}ElementAttributes_SP_SKU",$F2802,E$1)</f>
        <v>TRAY</v>
      </c>
      <c r="F2802" s="26" t="s">
        <v>3229</v>
      </c>
      <c r="G2802" s="26" t="s">
        <v>1354</v>
      </c>
      <c r="H2802" s="26" t="s">
        <v>2708</v>
      </c>
      <c r="I2802" s="54">
        <f>_xll.DBRW($A$1,$F$14,$F$15,$C2802,$A$2,$F2802,$G2802,$H2802,I$1)</f>
        <v>11</v>
      </c>
      <c r="J2802" s="25">
        <f>_xll.DBRW($A$1,$F$14,$F$15,$C2802,$A$2,$F2802,$G2802,$H2802,J$19)</f>
        <v>11</v>
      </c>
    </row>
    <row r="2803" spans="1:10" s="23" customFormat="1" outlineLevel="1" thickBot="1" x14ac:dyDescent="0.3">
      <c r="A2803" s="44"/>
      <c r="B2803" s="31" t="str">
        <f>IF(_xll.TM1RPTELISCONSOLIDATED($H$20,$H2803),IF(_xll.TM1RPTELLEV($H$20,$H2803)&lt;=5,_xll.TM1RPTELLEV($H$20,$H2803),"Default"),"Leaf")</f>
        <v>Leaf</v>
      </c>
      <c r="C2803" s="26" t="s">
        <v>24</v>
      </c>
      <c r="D2803" s="24" t="str">
        <f>_xll.DBRW("TM1-S1_DEV:}ElementAttributes_SP_SKU",$F2803,D$1)</f>
        <v>Primary</v>
      </c>
      <c r="E2803" s="24" t="str">
        <f>_xll.DBRW("TM1-S1_DEV:}ElementAttributes_SP_SKU",$F2803,E$1)</f>
        <v>BOWL</v>
      </c>
      <c r="F2803" s="26" t="s">
        <v>3230</v>
      </c>
      <c r="G2803" s="26" t="s">
        <v>2308</v>
      </c>
      <c r="H2803" s="26" t="s">
        <v>2703</v>
      </c>
      <c r="I2803" s="54">
        <f>_xll.DBRW($A$1,$F$14,$F$15,$C2803,$A$2,$F2803,$G2803,$H2803,I$1)</f>
        <v>5</v>
      </c>
      <c r="J2803" s="25">
        <f>_xll.DBRW($A$1,$F$14,$F$15,$C2803,$A$2,$F2803,$G2803,$H2803,J$19)</f>
        <v>5</v>
      </c>
    </row>
    <row r="2804" spans="1:10" s="23" customFormat="1" outlineLevel="1" thickBot="1" x14ac:dyDescent="0.3">
      <c r="A2804" s="44"/>
      <c r="B2804" s="31" t="str">
        <f>IF(_xll.TM1RPTELISCONSOLIDATED($H$20,$H2804),IF(_xll.TM1RPTELLEV($H$20,$H2804)&lt;=5,_xll.TM1RPTELLEV($H$20,$H2804),"Default"),"Leaf")</f>
        <v>Leaf</v>
      </c>
      <c r="C2804" s="26" t="s">
        <v>24</v>
      </c>
      <c r="D2804" s="24" t="str">
        <f>_xll.DBRW("TM1-S1_DEV:}ElementAttributes_SP_SKU",$F2804,D$1)</f>
        <v>Primary</v>
      </c>
      <c r="E2804" s="24" t="str">
        <f>_xll.DBRW("TM1-S1_DEV:}ElementAttributes_SP_SKU",$F2804,E$1)</f>
        <v>BOWL</v>
      </c>
      <c r="F2804" s="26" t="s">
        <v>314</v>
      </c>
      <c r="G2804" s="26" t="s">
        <v>2309</v>
      </c>
      <c r="H2804" s="26" t="s">
        <v>2841</v>
      </c>
      <c r="I2804" s="54">
        <f>_xll.DBRW($A$1,$F$14,$F$15,$C2804,$A$2,$F2804,$G2804,$H2804,I$1)</f>
        <v>5</v>
      </c>
      <c r="J2804" s="25">
        <f>_xll.DBRW($A$1,$F$14,$F$15,$C2804,$A$2,$F2804,$G2804,$H2804,J$19)</f>
        <v>23</v>
      </c>
    </row>
    <row r="2805" spans="1:10" s="23" customFormat="1" outlineLevel="1" thickBot="1" x14ac:dyDescent="0.3">
      <c r="A2805" s="44"/>
      <c r="B2805" s="31" t="str">
        <f>IF(_xll.TM1RPTELISCONSOLIDATED($H$20,$H2805),IF(_xll.TM1RPTELLEV($H$20,$H2805)&lt;=5,_xll.TM1RPTELLEV($H$20,$H2805),"Default"),"Leaf")</f>
        <v>Leaf</v>
      </c>
      <c r="C2805" s="26" t="s">
        <v>24</v>
      </c>
      <c r="D2805" s="24" t="str">
        <f>_xll.DBRW("TM1-S1_DEV:}ElementAttributes_SP_SKU",$F2805,D$1)</f>
        <v>Primary</v>
      </c>
      <c r="E2805" s="24" t="str">
        <f>_xll.DBRW("TM1-S1_DEV:}ElementAttributes_SP_SKU",$F2805,E$1)</f>
        <v>BOWL</v>
      </c>
      <c r="F2805" s="26" t="s">
        <v>315</v>
      </c>
      <c r="G2805" s="26" t="s">
        <v>2310</v>
      </c>
      <c r="H2805" s="26" t="s">
        <v>2841</v>
      </c>
      <c r="I2805" s="54">
        <f>_xll.DBRW($A$1,$F$14,$F$15,$C2805,$A$2,$F2805,$G2805,$H2805,I$1)</f>
        <v>23</v>
      </c>
      <c r="J2805" s="25">
        <f>_xll.DBRW($A$1,$F$14,$F$15,$C2805,$A$2,$F2805,$G2805,$H2805,J$19)</f>
        <v>23</v>
      </c>
    </row>
    <row r="2806" spans="1:10" s="23" customFormat="1" outlineLevel="1" thickBot="1" x14ac:dyDescent="0.3">
      <c r="A2806" s="44"/>
      <c r="B2806" s="31" t="str">
        <f>IF(_xll.TM1RPTELISCONSOLIDATED($H$20,$H2806),IF(_xll.TM1RPTELLEV($H$20,$H2806)&lt;=5,_xll.TM1RPTELLEV($H$20,$H2806),"Default"),"Leaf")</f>
        <v>Leaf</v>
      </c>
      <c r="C2806" s="26" t="s">
        <v>24</v>
      </c>
      <c r="D2806" s="24" t="str">
        <f>_xll.DBRW("TM1-S1_DEV:}ElementAttributes_SP_SKU",$F2806,D$1)</f>
        <v>Primary</v>
      </c>
      <c r="E2806" s="24" t="str">
        <f>_xll.DBRW("TM1-S1_DEV:}ElementAttributes_SP_SKU",$F2806,E$1)</f>
        <v>BREAD</v>
      </c>
      <c r="F2806" s="26" t="s">
        <v>3260</v>
      </c>
      <c r="G2806" s="26" t="s">
        <v>2311</v>
      </c>
      <c r="H2806" s="26" t="s">
        <v>2710</v>
      </c>
      <c r="I2806" s="54">
        <f>_xll.DBRW($A$1,$F$14,$F$15,$C2806,$A$2,$F2806,$G2806,$H2806,I$1)</f>
        <v>92</v>
      </c>
      <c r="J2806" s="25">
        <f>_xll.DBRW($A$1,$F$14,$F$15,$C2806,$A$2,$F2806,$G2806,$H2806,J$19)</f>
        <v>90</v>
      </c>
    </row>
    <row r="2807" spans="1:10" s="23" customFormat="1" outlineLevel="1" thickBot="1" x14ac:dyDescent="0.3">
      <c r="A2807" s="44"/>
      <c r="B2807" s="31" t="str">
        <f>IF(_xll.TM1RPTELISCONSOLIDATED($H$20,$H2807),IF(_xll.TM1RPTELLEV($H$20,$H2807)&lt;=5,_xll.TM1RPTELLEV($H$20,$H2807),"Default"),"Leaf")</f>
        <v>Leaf</v>
      </c>
      <c r="C2807" s="26" t="s">
        <v>24</v>
      </c>
      <c r="D2807" s="24" t="str">
        <f>_xll.DBRW("TM1-S1_DEV:}ElementAttributes_SP_SKU",$F2807,D$1)</f>
        <v>Primary</v>
      </c>
      <c r="E2807" s="24" t="str">
        <f>_xll.DBRW("TM1-S1_DEV:}ElementAttributes_SP_SKU",$F2807,E$1)</f>
        <v>TRAY</v>
      </c>
      <c r="F2807" s="26" t="s">
        <v>3231</v>
      </c>
      <c r="G2807" s="26" t="s">
        <v>2312</v>
      </c>
      <c r="H2807" s="26" t="s">
        <v>2711</v>
      </c>
      <c r="I2807" s="54">
        <f>_xll.DBRW($A$1,$F$14,$F$15,$C2807,$A$2,$F2807,$G2807,$H2807,I$1)</f>
        <v>25</v>
      </c>
      <c r="J2807" s="25">
        <f>_xll.DBRW($A$1,$F$14,$F$15,$C2807,$A$2,$F2807,$G2807,$H2807,J$19)</f>
        <v>24</v>
      </c>
    </row>
    <row r="2808" spans="1:10" s="23" customFormat="1" outlineLevel="1" thickBot="1" x14ac:dyDescent="0.3">
      <c r="A2808" s="44"/>
      <c r="B2808" s="31" t="str">
        <f>IF(_xll.TM1RPTELISCONSOLIDATED($H$20,$H2808),IF(_xll.TM1RPTELLEV($H$20,$H2808)&lt;=5,_xll.TM1RPTELLEV($H$20,$H2808),"Default"),"Leaf")</f>
        <v>Leaf</v>
      </c>
      <c r="C2808" s="26" t="s">
        <v>24</v>
      </c>
      <c r="D2808" s="24" t="str">
        <f>_xll.DBRW("TM1-S1_DEV:}ElementAttributes_SP_SKU",$F2808,D$1)</f>
        <v>Primary</v>
      </c>
      <c r="E2808" s="24" t="str">
        <f>_xll.DBRW("TM1-S1_DEV:}ElementAttributes_SP_SKU",$F2808,E$1)</f>
        <v>PAPER</v>
      </c>
      <c r="F2808" s="26" t="s">
        <v>3261</v>
      </c>
      <c r="G2808" s="26" t="s">
        <v>2313</v>
      </c>
      <c r="H2808" s="26" t="s">
        <v>2716</v>
      </c>
      <c r="I2808" s="54">
        <f>_xll.DBRW($A$1,$F$14,$F$15,$C2808,$A$2,$F2808,$G2808,$H2808,I$1)</f>
        <v>5</v>
      </c>
      <c r="J2808" s="25">
        <f>_xll.DBRW($A$1,$F$14,$F$15,$C2808,$A$2,$F2808,$G2808,$H2808,J$19)</f>
        <v>5</v>
      </c>
    </row>
    <row r="2809" spans="1:10" s="23" customFormat="1" outlineLevel="1" thickBot="1" x14ac:dyDescent="0.3">
      <c r="A2809" s="44"/>
      <c r="B2809" s="31" t="str">
        <f>IF(_xll.TM1RPTELISCONSOLIDATED($H$20,$H2809),IF(_xll.TM1RPTELLEV($H$20,$H2809)&lt;=5,_xll.TM1RPTELLEV($H$20,$H2809),"Default"),"Leaf")</f>
        <v>Leaf</v>
      </c>
      <c r="C2809" s="26" t="s">
        <v>24</v>
      </c>
      <c r="D2809" s="24" t="str">
        <f>_xll.DBRW("TM1-S1_DEV:}ElementAttributes_SP_SKU",$F2809,D$1)</f>
        <v>Primary</v>
      </c>
      <c r="E2809" s="24" t="str">
        <f>_xll.DBRW("TM1-S1_DEV:}ElementAttributes_SP_SKU",$F2809,E$1)</f>
        <v>BREAD</v>
      </c>
      <c r="F2809" s="26" t="s">
        <v>31</v>
      </c>
      <c r="G2809" s="26" t="s">
        <v>2314</v>
      </c>
      <c r="H2809" s="26" t="s">
        <v>2689</v>
      </c>
      <c r="I2809" s="54">
        <f>_xll.DBRW($A$1,$F$14,$F$15,$C2809,$A$2,$F2809,$G2809,$H2809,I$1)</f>
        <v>12</v>
      </c>
      <c r="J2809" s="25">
        <f>_xll.DBRW($A$1,$F$14,$F$15,$C2809,$A$2,$F2809,$G2809,$H2809,J$19)</f>
        <v>9</v>
      </c>
    </row>
    <row r="2810" spans="1:10" s="23" customFormat="1" outlineLevel="1" thickBot="1" x14ac:dyDescent="0.3">
      <c r="A2810" s="44"/>
      <c r="B2810" s="31" t="str">
        <f>IF(_xll.TM1RPTELISCONSOLIDATED($H$20,$H2810),IF(_xll.TM1RPTELLEV($H$20,$H2810)&lt;=5,_xll.TM1RPTELLEV($H$20,$H2810),"Default"),"Leaf")</f>
        <v>Leaf</v>
      </c>
      <c r="C2810" s="26" t="s">
        <v>24</v>
      </c>
      <c r="D2810" s="24" t="str">
        <f>_xll.DBRW("TM1-S1_DEV:}ElementAttributes_SP_SKU",$F2810,D$1)</f>
        <v>Primary</v>
      </c>
      <c r="E2810" s="24" t="str">
        <f>_xll.DBRW("TM1-S1_DEV:}ElementAttributes_SP_SKU",$F2810,E$1)</f>
        <v>BREAD</v>
      </c>
      <c r="F2810" s="26" t="s">
        <v>3236</v>
      </c>
      <c r="G2810" s="26" t="s">
        <v>2315</v>
      </c>
      <c r="H2810" s="26" t="s">
        <v>2689</v>
      </c>
      <c r="I2810" s="54">
        <f>_xll.DBRW($A$1,$F$14,$F$15,$C2810,$A$2,$F2810,$G2810,$H2810,I$1)</f>
        <v>37</v>
      </c>
      <c r="J2810" s="25">
        <f>_xll.DBRW($A$1,$F$14,$F$15,$C2810,$A$2,$F2810,$G2810,$H2810,J$19)</f>
        <v>67</v>
      </c>
    </row>
    <row r="2811" spans="1:10" s="23" customFormat="1" outlineLevel="1" thickBot="1" x14ac:dyDescent="0.3">
      <c r="A2811" s="44"/>
      <c r="B2811" s="31" t="str">
        <f>IF(_xll.TM1RPTELISCONSOLIDATED($H$20,$H2811),IF(_xll.TM1RPTELLEV($H$20,$H2811)&lt;=5,_xll.TM1RPTELLEV($H$20,$H2811),"Default"),"Leaf")</f>
        <v>Leaf</v>
      </c>
      <c r="C2811" s="26" t="s">
        <v>24</v>
      </c>
      <c r="D2811" s="24" t="str">
        <f>_xll.DBRW("TM1-S1_DEV:}ElementAttributes_SP_SKU",$F2811,D$1)</f>
        <v>Primary</v>
      </c>
      <c r="E2811" s="24" t="str">
        <f>_xll.DBRW("TM1-S1_DEV:}ElementAttributes_SP_SKU",$F2811,E$1)</f>
        <v>BREAD</v>
      </c>
      <c r="F2811" s="26" t="s">
        <v>3277</v>
      </c>
      <c r="G2811" s="26" t="s">
        <v>2316</v>
      </c>
      <c r="H2811" s="26" t="s">
        <v>2689</v>
      </c>
      <c r="I2811" s="54">
        <f>_xll.DBRW($A$1,$F$14,$F$15,$C2811,$A$2,$F2811,$G2811,$H2811,I$1)</f>
        <v>9</v>
      </c>
      <c r="J2811" s="25">
        <f>_xll.DBRW($A$1,$F$14,$F$15,$C2811,$A$2,$F2811,$G2811,$H2811,J$19)</f>
        <v>9</v>
      </c>
    </row>
    <row r="2812" spans="1:10" s="23" customFormat="1" outlineLevel="1" thickBot="1" x14ac:dyDescent="0.3">
      <c r="A2812" s="44"/>
      <c r="B2812" s="31" t="str">
        <f>IF(_xll.TM1RPTELISCONSOLIDATED($H$20,$H2812),IF(_xll.TM1RPTELLEV($H$20,$H2812)&lt;=5,_xll.TM1RPTELLEV($H$20,$H2812),"Default"),"Leaf")</f>
        <v>Leaf</v>
      </c>
      <c r="C2812" s="26" t="s">
        <v>24</v>
      </c>
      <c r="D2812" s="24" t="str">
        <f>_xll.DBRW("TM1-S1_DEV:}ElementAttributes_SP_SKU",$F2812,D$1)</f>
        <v>Primary</v>
      </c>
      <c r="E2812" s="24" t="str">
        <f>_xll.DBRW("TM1-S1_DEV:}ElementAttributes_SP_SKU",$F2812,E$1)</f>
        <v>PAPER</v>
      </c>
      <c r="F2812" s="26" t="s">
        <v>3239</v>
      </c>
      <c r="G2812" s="26" t="s">
        <v>1355</v>
      </c>
      <c r="H2812" s="26" t="s">
        <v>2715</v>
      </c>
      <c r="I2812" s="54">
        <f>_xll.DBRW($A$1,$F$14,$F$15,$C2812,$A$2,$F2812,$G2812,$H2812,I$1)</f>
        <v>3</v>
      </c>
      <c r="J2812" s="25">
        <f>_xll.DBRW($A$1,$F$14,$F$15,$C2812,$A$2,$F2812,$G2812,$H2812,J$19)</f>
        <v>9</v>
      </c>
    </row>
    <row r="2813" spans="1:10" s="23" customFormat="1" outlineLevel="1" thickBot="1" x14ac:dyDescent="0.3">
      <c r="A2813" s="44"/>
      <c r="B2813" s="31" t="str">
        <f>IF(_xll.TM1RPTELISCONSOLIDATED($H$20,$H2813),IF(_xll.TM1RPTELLEV($H$20,$H2813)&lt;=5,_xll.TM1RPTELLEV($H$20,$H2813),"Default"),"Leaf")</f>
        <v>Leaf</v>
      </c>
      <c r="C2813" s="26" t="s">
        <v>24</v>
      </c>
      <c r="D2813" s="24" t="str">
        <f>_xll.DBRW("TM1-S1_DEV:}ElementAttributes_SP_SKU",$F2813,D$1)</f>
        <v>Primary</v>
      </c>
      <c r="E2813" s="24" t="str">
        <f>_xll.DBRW("TM1-S1_DEV:}ElementAttributes_SP_SKU",$F2813,E$1)</f>
        <v>BOWL</v>
      </c>
      <c r="F2813" s="26" t="s">
        <v>32</v>
      </c>
      <c r="G2813" s="26" t="s">
        <v>2317</v>
      </c>
      <c r="H2813" s="26" t="s">
        <v>2708</v>
      </c>
      <c r="I2813" s="54">
        <f>_xll.DBRW($A$1,$F$14,$F$15,$C2813,$A$2,$F2813,$G2813,$H2813,I$1)</f>
        <v>6</v>
      </c>
      <c r="J2813" s="25">
        <f>_xll.DBRW($A$1,$F$14,$F$15,$C2813,$A$2,$F2813,$G2813,$H2813,J$19)</f>
        <v>6</v>
      </c>
    </row>
    <row r="2814" spans="1:10" s="23" customFormat="1" outlineLevel="1" thickBot="1" x14ac:dyDescent="0.3">
      <c r="A2814" s="44"/>
      <c r="B2814" s="31" t="str">
        <f>IF(_xll.TM1RPTELISCONSOLIDATED($H$20,$H2814),IF(_xll.TM1RPTELLEV($H$20,$H2814)&lt;=5,_xll.TM1RPTELLEV($H$20,$H2814),"Default"),"Leaf")</f>
        <v>Leaf</v>
      </c>
      <c r="C2814" s="26" t="s">
        <v>24</v>
      </c>
      <c r="D2814" s="24" t="str">
        <f>_xll.DBRW("TM1-S1_DEV:}ElementAttributes_SP_SKU",$F2814,D$1)</f>
        <v>Primary</v>
      </c>
      <c r="E2814" s="24" t="str">
        <f>_xll.DBRW("TM1-S1_DEV:}ElementAttributes_SP_SKU",$F2814,E$1)</f>
        <v>BOWL</v>
      </c>
      <c r="F2814" s="26" t="s">
        <v>33</v>
      </c>
      <c r="G2814" s="26" t="s">
        <v>3330</v>
      </c>
      <c r="H2814" s="26" t="s">
        <v>2708</v>
      </c>
      <c r="I2814" s="54">
        <f>_xll.DBRW($A$1,$F$14,$F$15,$C2814,$A$2,$F2814,$G2814,$H2814,I$1)</f>
        <v>2</v>
      </c>
      <c r="J2814" s="25">
        <f>_xll.DBRW($A$1,$F$14,$F$15,$C2814,$A$2,$F2814,$G2814,$H2814,J$19)</f>
        <v>2</v>
      </c>
    </row>
    <row r="2815" spans="1:10" s="23" customFormat="1" outlineLevel="1" thickBot="1" x14ac:dyDescent="0.3">
      <c r="A2815" s="44"/>
      <c r="B2815" s="31" t="str">
        <f>IF(_xll.TM1RPTELISCONSOLIDATED($H$20,$H2815),IF(_xll.TM1RPTELLEV($H$20,$H2815)&lt;=5,_xll.TM1RPTELLEV($H$20,$H2815),"Default"),"Leaf")</f>
        <v>Leaf</v>
      </c>
      <c r="C2815" s="26" t="s">
        <v>24</v>
      </c>
      <c r="D2815" s="24" t="str">
        <f>_xll.DBRW("TM1-S1_DEV:}ElementAttributes_SP_SKU",$F2815,D$1)</f>
        <v>Primary</v>
      </c>
      <c r="E2815" s="24" t="str">
        <f>_xll.DBRW("TM1-S1_DEV:}ElementAttributes_SP_SKU",$F2815,E$1)</f>
        <v>CONTAINER</v>
      </c>
      <c r="F2815" s="26" t="s">
        <v>3304</v>
      </c>
      <c r="G2815" s="26" t="s">
        <v>3331</v>
      </c>
      <c r="H2815" s="26" t="s">
        <v>2882</v>
      </c>
      <c r="I2815" s="54">
        <f>_xll.DBRW($A$1,$F$14,$F$15,$C2815,$A$2,$F2815,$G2815,$H2815,I$1)</f>
        <v>0</v>
      </c>
      <c r="J2815" s="25">
        <f>_xll.DBRW($A$1,$F$14,$F$15,$C2815,$A$2,$F2815,$G2815,$H2815,J$19)</f>
        <v>-2</v>
      </c>
    </row>
    <row r="2816" spans="1:10" s="23" customFormat="1" outlineLevel="1" thickBot="1" x14ac:dyDescent="0.3">
      <c r="A2816" s="44"/>
      <c r="B2816" s="31" t="str">
        <f>IF(_xll.TM1RPTELISCONSOLIDATED($H$20,$H2816),IF(_xll.TM1RPTELLEV($H$20,$H2816)&lt;=5,_xll.TM1RPTELLEV($H$20,$H2816),"Default"),"Leaf")</f>
        <v>Leaf</v>
      </c>
      <c r="C2816" s="26" t="s">
        <v>24</v>
      </c>
      <c r="D2816" s="24" t="str">
        <f>_xll.DBRW("TM1-S1_DEV:}ElementAttributes_SP_SKU",$F2816,D$1)</f>
        <v>Primary</v>
      </c>
      <c r="E2816" s="24" t="str">
        <f>_xll.DBRW("TM1-S1_DEV:}ElementAttributes_SP_SKU",$F2816,E$1)</f>
        <v>PAPER</v>
      </c>
      <c r="F2816" s="26" t="s">
        <v>3005</v>
      </c>
      <c r="G2816" s="26" t="s">
        <v>3068</v>
      </c>
      <c r="H2816" s="26" t="s">
        <v>3091</v>
      </c>
      <c r="I2816" s="54">
        <f>_xll.DBRW($A$1,$F$14,$F$15,$C2816,$A$2,$F2816,$G2816,$H2816,I$1)</f>
        <v>0</v>
      </c>
      <c r="J2816" s="25">
        <f>_xll.DBRW($A$1,$F$14,$F$15,$C2816,$A$2,$F2816,$G2816,$H2816,J$19)</f>
        <v>-2</v>
      </c>
    </row>
    <row r="2817" spans="1:10" s="23" customFormat="1" outlineLevel="1" thickBot="1" x14ac:dyDescent="0.3">
      <c r="A2817" s="44"/>
      <c r="B2817" s="31" t="str">
        <f>IF(_xll.TM1RPTELISCONSOLIDATED($H$20,$H2817),IF(_xll.TM1RPTELLEV($H$20,$H2817)&lt;=5,_xll.TM1RPTELLEV($H$20,$H2817),"Default"),"Leaf")</f>
        <v>Leaf</v>
      </c>
      <c r="C2817" s="26" t="s">
        <v>24</v>
      </c>
      <c r="D2817" s="24" t="str">
        <f>_xll.DBRW("TM1-S1_DEV:}ElementAttributes_SP_SKU",$F2817,D$1)</f>
        <v>Primary</v>
      </c>
      <c r="E2817" s="24" t="str">
        <f>_xll.DBRW("TM1-S1_DEV:}ElementAttributes_SP_SKU",$F2817,E$1)</f>
        <v>PRODUCE</v>
      </c>
      <c r="F2817" s="26" t="s">
        <v>3006</v>
      </c>
      <c r="G2817" s="26" t="s">
        <v>3069</v>
      </c>
      <c r="H2817" s="26" t="s">
        <v>3092</v>
      </c>
      <c r="I2817" s="54">
        <f>_xll.DBRW($A$1,$F$14,$F$15,$C2817,$A$2,$F2817,$G2817,$H2817,I$1)</f>
        <v>0</v>
      </c>
      <c r="J2817" s="25">
        <f>_xll.DBRW($A$1,$F$14,$F$15,$C2817,$A$2,$F2817,$G2817,$H2817,J$19)</f>
        <v>-1</v>
      </c>
    </row>
    <row r="2818" spans="1:10" s="23" customFormat="1" outlineLevel="1" thickBot="1" x14ac:dyDescent="0.3">
      <c r="A2818" s="44"/>
      <c r="B2818" s="31" t="str">
        <f>IF(_xll.TM1RPTELISCONSOLIDATED($H$20,$H2818),IF(_xll.TM1RPTELLEV($H$20,$H2818)&lt;=5,_xll.TM1RPTELLEV($H$20,$H2818),"Default"),"Leaf")</f>
        <v>Leaf</v>
      </c>
      <c r="C2818" s="26" t="s">
        <v>24</v>
      </c>
      <c r="D2818" s="24" t="str">
        <f>_xll.DBRW("TM1-S1_DEV:}ElementAttributes_SP_SKU",$F2818,D$1)</f>
        <v>Unassigned PSP</v>
      </c>
      <c r="E2818" s="24" t="str">
        <f>_xll.DBRW("TM1-S1_DEV:}ElementAttributes_SP_SKU",$F2818,E$1)</f>
        <v>UTENSIL</v>
      </c>
      <c r="F2818" s="26" t="s">
        <v>3007</v>
      </c>
      <c r="G2818" s="26" t="s">
        <v>2302</v>
      </c>
      <c r="H2818" s="26" t="s">
        <v>3093</v>
      </c>
      <c r="I2818" s="54">
        <f>_xll.DBRW($A$1,$F$14,$F$15,$C2818,$A$2,$F2818,$G2818,$H2818,I$1)</f>
        <v>0</v>
      </c>
      <c r="J2818" s="25">
        <f>_xll.DBRW($A$1,$F$14,$F$15,$C2818,$A$2,$F2818,$G2818,$H2818,J$19)</f>
        <v>-1</v>
      </c>
    </row>
    <row r="2819" spans="1:10" s="23" customFormat="1" outlineLevel="1" thickBot="1" x14ac:dyDescent="0.3">
      <c r="A2819" s="44"/>
      <c r="B2819" s="31" t="str">
        <f>IF(_xll.TM1RPTELISCONSOLIDATED($H$20,$H2819),IF(_xll.TM1RPTELLEV($H$20,$H2819)&lt;=5,_xll.TM1RPTELLEV($H$20,$H2819),"Default"),"Leaf")</f>
        <v>Leaf</v>
      </c>
      <c r="C2819" s="26" t="s">
        <v>24</v>
      </c>
      <c r="D2819" s="24" t="str">
        <f>_xll.DBRW("TM1-S1_DEV:}ElementAttributes_SP_SKU",$F2819,D$1)</f>
        <v>Primary</v>
      </c>
      <c r="E2819" s="24" t="str">
        <f>_xll.DBRW("TM1-S1_DEV:}ElementAttributes_SP_SKU",$F2819,E$1)</f>
        <v>TRAY</v>
      </c>
      <c r="F2819" s="26" t="s">
        <v>3008</v>
      </c>
      <c r="G2819" s="26" t="s">
        <v>2297</v>
      </c>
      <c r="H2819" s="26" t="s">
        <v>3094</v>
      </c>
      <c r="I2819" s="54">
        <f>_xll.DBRW($A$1,$F$14,$F$15,$C2819,$A$2,$F2819,$G2819,$H2819,I$1)</f>
        <v>0</v>
      </c>
      <c r="J2819" s="25">
        <f>_xll.DBRW($A$1,$F$14,$F$15,$C2819,$A$2,$F2819,$G2819,$H2819,J$19)</f>
        <v>-1</v>
      </c>
    </row>
    <row r="2820" spans="1:10" s="23" customFormat="1" outlineLevel="1" thickBot="1" x14ac:dyDescent="0.3">
      <c r="A2820" s="44"/>
      <c r="B2820" s="31" t="str">
        <f>IF(_xll.TM1RPTELISCONSOLIDATED($H$20,$H2820),IF(_xll.TM1RPTELLEV($H$20,$H2820)&lt;=5,_xll.TM1RPTELLEV($H$20,$H2820),"Default"),"Leaf")</f>
        <v>Leaf</v>
      </c>
      <c r="C2820" s="26" t="s">
        <v>24</v>
      </c>
      <c r="D2820" s="24" t="str">
        <f>_xll.DBRW("TM1-S1_DEV:}ElementAttributes_SP_SKU",$F2820,D$1)</f>
        <v>Primary</v>
      </c>
      <c r="E2820" s="24" t="str">
        <f>_xll.DBRW("TM1-S1_DEV:}ElementAttributes_SP_SKU",$F2820,E$1)</f>
        <v>TRAY</v>
      </c>
      <c r="F2820" s="26" t="s">
        <v>3009</v>
      </c>
      <c r="G2820" s="26" t="s">
        <v>2291</v>
      </c>
      <c r="H2820" s="26" t="s">
        <v>3094</v>
      </c>
      <c r="I2820" s="54">
        <f>_xll.DBRW($A$1,$F$14,$F$15,$C2820,$A$2,$F2820,$G2820,$H2820,I$1)</f>
        <v>0</v>
      </c>
      <c r="J2820" s="25">
        <f>_xll.DBRW($A$1,$F$14,$F$15,$C2820,$A$2,$F2820,$G2820,$H2820,J$19)</f>
        <v>-1</v>
      </c>
    </row>
    <row r="2821" spans="1:10" s="23" customFormat="1" outlineLevel="1" thickBot="1" x14ac:dyDescent="0.3">
      <c r="A2821" s="44"/>
      <c r="B2821" s="31" t="str">
        <f>IF(_xll.TM1RPTELISCONSOLIDATED($H$20,$H2821),IF(_xll.TM1RPTELLEV($H$20,$H2821)&lt;=5,_xll.TM1RPTELLEV($H$20,$H2821),"Default"),"Leaf")</f>
        <v>Leaf</v>
      </c>
      <c r="C2821" s="26" t="s">
        <v>24</v>
      </c>
      <c r="D2821" s="24" t="str">
        <f>_xll.DBRW("TM1-S1_DEV:}ElementAttributes_SP_SKU",$F2821,D$1)</f>
        <v>Primary</v>
      </c>
      <c r="E2821" s="24" t="str">
        <f>_xll.DBRW("TM1-S1_DEV:}ElementAttributes_SP_SKU",$F2821,E$1)</f>
        <v>TRAY</v>
      </c>
      <c r="F2821" s="26" t="s">
        <v>3010</v>
      </c>
      <c r="G2821" s="26" t="s">
        <v>2293</v>
      </c>
      <c r="H2821" s="26" t="s">
        <v>3094</v>
      </c>
      <c r="I2821" s="54">
        <f>_xll.DBRW($A$1,$F$14,$F$15,$C2821,$A$2,$F2821,$G2821,$H2821,I$1)</f>
        <v>0</v>
      </c>
      <c r="J2821" s="25">
        <f>_xll.DBRW($A$1,$F$14,$F$15,$C2821,$A$2,$F2821,$G2821,$H2821,J$19)</f>
        <v>-2</v>
      </c>
    </row>
    <row r="2822" spans="1:10" s="23" customFormat="1" outlineLevel="1" thickBot="1" x14ac:dyDescent="0.3">
      <c r="A2822" s="44"/>
      <c r="B2822" s="31" t="str">
        <f>IF(_xll.TM1RPTELISCONSOLIDATED($H$20,$H2822),IF(_xll.TM1RPTELLEV($H$20,$H2822)&lt;=5,_xll.TM1RPTELLEV($H$20,$H2822),"Default"),"Leaf")</f>
        <v>Leaf</v>
      </c>
      <c r="C2822" s="26" t="s">
        <v>24</v>
      </c>
      <c r="D2822" s="24" t="str">
        <f>_xll.DBRW("TM1-S1_DEV:}ElementAttributes_SP_SKU",$F2822,D$1)</f>
        <v>Primary</v>
      </c>
      <c r="E2822" s="24" t="str">
        <f>_xll.DBRW("TM1-S1_DEV:}ElementAttributes_SP_SKU",$F2822,E$1)</f>
        <v>PLATE</v>
      </c>
      <c r="F2822" s="26" t="s">
        <v>3305</v>
      </c>
      <c r="G2822" s="26" t="s">
        <v>3332</v>
      </c>
      <c r="H2822" s="26" t="s">
        <v>2757</v>
      </c>
      <c r="I2822" s="54">
        <f>_xll.DBRW($A$1,$F$14,$F$15,$C2822,$A$2,$F2822,$G2822,$H2822,I$1)</f>
        <v>0</v>
      </c>
      <c r="J2822" s="25">
        <f>_xll.DBRW($A$1,$F$14,$F$15,$C2822,$A$2,$F2822,$G2822,$H2822,J$19)</f>
        <v>-1</v>
      </c>
    </row>
    <row r="2823" spans="1:10" s="23" customFormat="1" outlineLevel="1" thickBot="1" x14ac:dyDescent="0.3">
      <c r="A2823" s="44"/>
      <c r="B2823" s="31" t="str">
        <f>IF(_xll.TM1RPTELISCONSOLIDATED($H$20,$H2823),IF(_xll.TM1RPTELLEV($H$20,$H2823)&lt;=5,_xll.TM1RPTELLEV($H$20,$H2823),"Default"),"Leaf")</f>
        <v>Leaf</v>
      </c>
      <c r="C2823" s="26" t="s">
        <v>24</v>
      </c>
      <c r="D2823" s="24" t="str">
        <f>_xll.DBRW("TM1-S1_DEV:}ElementAttributes_SP_SKU",$F2823,D$1)</f>
        <v>Primary</v>
      </c>
      <c r="E2823" s="24" t="str">
        <f>_xll.DBRW("TM1-S1_DEV:}ElementAttributes_SP_SKU",$F2823,E$1)</f>
        <v>PRODUCE</v>
      </c>
      <c r="F2823" s="26" t="s">
        <v>3011</v>
      </c>
      <c r="G2823" s="26" t="s">
        <v>3070</v>
      </c>
      <c r="H2823" s="26" t="s">
        <v>3095</v>
      </c>
      <c r="I2823" s="54">
        <f>_xll.DBRW($A$1,$F$14,$F$15,$C2823,$A$2,$F2823,$G2823,$H2823,I$1)</f>
        <v>0</v>
      </c>
      <c r="J2823" s="25">
        <f>_xll.DBRW($A$1,$F$14,$F$15,$C2823,$A$2,$F2823,$G2823,$H2823,J$19)</f>
        <v>-1</v>
      </c>
    </row>
    <row r="2824" spans="1:10" s="23" customFormat="1" outlineLevel="1" thickBot="1" x14ac:dyDescent="0.3">
      <c r="A2824" s="44"/>
      <c r="B2824" s="31" t="str">
        <f>IF(_xll.TM1RPTELISCONSOLIDATED($H$20,$H2824),IF(_xll.TM1RPTELLEV($H$20,$H2824)&lt;=5,_xll.TM1RPTELLEV($H$20,$H2824),"Default"),"Leaf")</f>
        <v>Leaf</v>
      </c>
      <c r="C2824" s="26" t="s">
        <v>24</v>
      </c>
      <c r="D2824" s="24" t="str">
        <f>_xll.DBRW("TM1-S1_DEV:}ElementAttributes_SP_SKU",$F2824,D$1)</f>
        <v>Primary</v>
      </c>
      <c r="E2824" s="24" t="str">
        <f>_xll.DBRW("TM1-S1_DEV:}ElementAttributes_SP_SKU",$F2824,E$1)</f>
        <v>DRESSING</v>
      </c>
      <c r="F2824" s="26" t="s">
        <v>3306</v>
      </c>
      <c r="G2824" s="26" t="s">
        <v>3333</v>
      </c>
      <c r="H2824" s="26" t="s">
        <v>2747</v>
      </c>
      <c r="I2824" s="54">
        <f>_xll.DBRW($A$1,$F$14,$F$15,$C2824,$A$2,$F2824,$G2824,$H2824,I$1)</f>
        <v>0</v>
      </c>
      <c r="J2824" s="25">
        <f>_xll.DBRW($A$1,$F$14,$F$15,$C2824,$A$2,$F2824,$G2824,$H2824,J$19)</f>
        <v>-1</v>
      </c>
    </row>
    <row r="2825" spans="1:10" s="23" customFormat="1" outlineLevel="1" thickBot="1" x14ac:dyDescent="0.3">
      <c r="A2825" s="44"/>
      <c r="B2825" s="31" t="str">
        <f>IF(_xll.TM1RPTELISCONSOLIDATED($H$20,$H2825),IF(_xll.TM1RPTELLEV($H$20,$H2825)&lt;=5,_xll.TM1RPTELLEV($H$20,$H2825),"Default"),"Leaf")</f>
        <v>Leaf</v>
      </c>
      <c r="C2825" s="26" t="s">
        <v>24</v>
      </c>
      <c r="D2825" s="24" t="str">
        <f>_xll.DBRW("TM1-S1_DEV:}ElementAttributes_SP_SKU",$F2825,D$1)</f>
        <v>Primary</v>
      </c>
      <c r="E2825" s="24" t="str">
        <f>_xll.DBRW("TM1-S1_DEV:}ElementAttributes_SP_SKU",$F2825,E$1)</f>
        <v>UTENSIL</v>
      </c>
      <c r="F2825" s="26" t="s">
        <v>3012</v>
      </c>
      <c r="G2825" s="26" t="s">
        <v>3071</v>
      </c>
      <c r="H2825" s="26" t="s">
        <v>3096</v>
      </c>
      <c r="I2825" s="54">
        <f>_xll.DBRW($A$1,$F$14,$F$15,$C2825,$A$2,$F2825,$G2825,$H2825,I$1)</f>
        <v>0</v>
      </c>
      <c r="J2825" s="25">
        <f>_xll.DBRW($A$1,$F$14,$F$15,$C2825,$A$2,$F2825,$G2825,$H2825,J$19)</f>
        <v>-1</v>
      </c>
    </row>
    <row r="2826" spans="1:10" s="23" customFormat="1" outlineLevel="1" thickBot="1" x14ac:dyDescent="0.3">
      <c r="A2826" s="44"/>
      <c r="B2826" s="31" t="str">
        <f>IF(_xll.TM1RPTELISCONSOLIDATED($H$20,$H2826),IF(_xll.TM1RPTELLEV($H$20,$H2826)&lt;=5,_xll.TM1RPTELLEV($H$20,$H2826),"Default"),"Leaf")</f>
        <v>Leaf</v>
      </c>
      <c r="C2826" s="26" t="s">
        <v>24</v>
      </c>
      <c r="D2826" s="24" t="str">
        <f>_xll.DBRW("TM1-S1_DEV:}ElementAttributes_SP_SKU",$F2826,D$1)</f>
        <v>Primary</v>
      </c>
      <c r="E2826" s="24" t="str">
        <f>_xll.DBRW("TM1-S1_DEV:}ElementAttributes_SP_SKU",$F2826,E$1)</f>
        <v>PRODUCE</v>
      </c>
      <c r="F2826" s="26" t="s">
        <v>3013</v>
      </c>
      <c r="G2826" s="26" t="s">
        <v>3072</v>
      </c>
      <c r="H2826" s="26" t="s">
        <v>3096</v>
      </c>
      <c r="I2826" s="54">
        <f>_xll.DBRW($A$1,$F$14,$F$15,$C2826,$A$2,$F2826,$G2826,$H2826,I$1)</f>
        <v>0</v>
      </c>
      <c r="J2826" s="25">
        <f>_xll.DBRW($A$1,$F$14,$F$15,$C2826,$A$2,$F2826,$G2826,$H2826,J$19)</f>
        <v>-4</v>
      </c>
    </row>
    <row r="2827" spans="1:10" s="23" customFormat="1" outlineLevel="1" thickBot="1" x14ac:dyDescent="0.3">
      <c r="A2827" s="44"/>
      <c r="B2827" s="31" t="str">
        <f>IF(_xll.TM1RPTELISCONSOLIDATED($H$20,$H2827),IF(_xll.TM1RPTELLEV($H$20,$H2827)&lt;=5,_xll.TM1RPTELLEV($H$20,$H2827),"Default"),"Leaf")</f>
        <v>Leaf</v>
      </c>
      <c r="C2827" s="26" t="s">
        <v>24</v>
      </c>
      <c r="D2827" s="24" t="str">
        <f>_xll.DBRW("TM1-S1_DEV:}ElementAttributes_SP_SKU",$F2827,D$1)</f>
        <v>Primary</v>
      </c>
      <c r="E2827" s="24" t="str">
        <f>_xll.DBRW("TM1-S1_DEV:}ElementAttributes_SP_SKU",$F2827,E$1)</f>
        <v>PRODUCE</v>
      </c>
      <c r="F2827" s="26" t="s">
        <v>3307</v>
      </c>
      <c r="G2827" s="26" t="s">
        <v>3334</v>
      </c>
      <c r="H2827" s="26" t="s">
        <v>3096</v>
      </c>
      <c r="I2827" s="54">
        <f>_xll.DBRW($A$1,$F$14,$F$15,$C2827,$A$2,$F2827,$G2827,$H2827,I$1)</f>
        <v>0</v>
      </c>
      <c r="J2827" s="25">
        <f>_xll.DBRW($A$1,$F$14,$F$15,$C2827,$A$2,$F2827,$G2827,$H2827,J$19)</f>
        <v>-1</v>
      </c>
    </row>
    <row r="2828" spans="1:10" s="23" customFormat="1" outlineLevel="1" thickBot="1" x14ac:dyDescent="0.3">
      <c r="A2828" s="44"/>
      <c r="B2828" s="31" t="str">
        <f>IF(_xll.TM1RPTELISCONSOLIDATED($H$20,$H2828),IF(_xll.TM1RPTELLEV($H$20,$H2828)&lt;=5,_xll.TM1RPTELLEV($H$20,$H2828),"Default"),"Leaf")</f>
        <v>Leaf</v>
      </c>
      <c r="C2828" s="26" t="s">
        <v>24</v>
      </c>
      <c r="D2828" s="24" t="str">
        <f>_xll.DBRW("TM1-S1_DEV:}ElementAttributes_SP_SKU",$F2828,D$1)</f>
        <v>Primary</v>
      </c>
      <c r="E2828" s="24" t="str">
        <f>_xll.DBRW("TM1-S1_DEV:}ElementAttributes_SP_SKU",$F2828,E$1)</f>
        <v>PRODUCE</v>
      </c>
      <c r="F2828" s="26" t="s">
        <v>3014</v>
      </c>
      <c r="G2828" s="26" t="s">
        <v>3073</v>
      </c>
      <c r="H2828" s="26" t="s">
        <v>3085</v>
      </c>
      <c r="I2828" s="54">
        <f>_xll.DBRW($A$1,$F$14,$F$15,$C2828,$A$2,$F2828,$G2828,$H2828,I$1)</f>
        <v>0</v>
      </c>
      <c r="J2828" s="25">
        <f>_xll.DBRW($A$1,$F$14,$F$15,$C2828,$A$2,$F2828,$G2828,$H2828,J$19)</f>
        <v>-3</v>
      </c>
    </row>
    <row r="2829" spans="1:10" s="23" customFormat="1" outlineLevel="1" thickBot="1" x14ac:dyDescent="0.3">
      <c r="A2829" s="44"/>
      <c r="B2829" s="31" t="str">
        <f>IF(_xll.TM1RPTELISCONSOLIDATED($H$20,$H2829),IF(_xll.TM1RPTELLEV($H$20,$H2829)&lt;=5,_xll.TM1RPTELLEV($H$20,$H2829),"Default"),"Leaf")</f>
        <v>Leaf</v>
      </c>
      <c r="C2829" s="26" t="s">
        <v>24</v>
      </c>
      <c r="D2829" s="24" t="str">
        <f>_xll.DBRW("TM1-S1_DEV:}ElementAttributes_SP_SKU",$F2829,D$1)</f>
        <v>Primary</v>
      </c>
      <c r="E2829" s="24" t="str">
        <f>_xll.DBRW("TM1-S1_DEV:}ElementAttributes_SP_SKU",$F2829,E$1)</f>
        <v>PRODUCE</v>
      </c>
      <c r="F2829" s="26" t="s">
        <v>3015</v>
      </c>
      <c r="G2829" s="26" t="s">
        <v>3074</v>
      </c>
      <c r="H2829" s="26" t="s">
        <v>3085</v>
      </c>
      <c r="I2829" s="54">
        <f>_xll.DBRW($A$1,$F$14,$F$15,$C2829,$A$2,$F2829,$G2829,$H2829,I$1)</f>
        <v>0</v>
      </c>
      <c r="J2829" s="25">
        <f>_xll.DBRW($A$1,$F$14,$F$15,$C2829,$A$2,$F2829,$G2829,$H2829,J$19)</f>
        <v>-2</v>
      </c>
    </row>
    <row r="2830" spans="1:10" s="23" customFormat="1" outlineLevel="1" thickBot="1" x14ac:dyDescent="0.3">
      <c r="A2830" s="44"/>
      <c r="B2830" s="31" t="str">
        <f>IF(_xll.TM1RPTELISCONSOLIDATED($H$20,$H2830),IF(_xll.TM1RPTELLEV($H$20,$H2830)&lt;=5,_xll.TM1RPTELLEV($H$20,$H2830),"Default"),"Leaf")</f>
        <v>Leaf</v>
      </c>
      <c r="C2830" s="26" t="s">
        <v>24</v>
      </c>
      <c r="D2830" s="24" t="str">
        <f>_xll.DBRW("TM1-S1_DEV:}ElementAttributes_SP_SKU",$F2830,D$1)</f>
        <v>Secondary</v>
      </c>
      <c r="E2830" s="24" t="str">
        <f>_xll.DBRW("TM1-S1_DEV:}ElementAttributes_SP_SKU",$F2830,E$1)</f>
        <v>UTENSIL</v>
      </c>
      <c r="F2830" s="26" t="s">
        <v>295</v>
      </c>
      <c r="G2830" s="26" t="s">
        <v>2318</v>
      </c>
      <c r="H2830" s="26" t="s">
        <v>2882</v>
      </c>
      <c r="I2830" s="54">
        <f>_xll.DBRW($A$1,$F$14,$F$15,$C2830,$A$2,$F2830,$G2830,$H2830,I$1)</f>
        <v>11</v>
      </c>
      <c r="J2830" s="25">
        <f>_xll.DBRW($A$1,$F$14,$F$15,$C2830,$A$2,$F2830,$G2830,$H2830,J$19)</f>
        <v>11</v>
      </c>
    </row>
    <row r="2831" spans="1:10" s="23" customFormat="1" outlineLevel="1" thickBot="1" x14ac:dyDescent="0.3">
      <c r="A2831" s="44"/>
      <c r="B2831" s="31" t="str">
        <f>IF(_xll.TM1RPTELISCONSOLIDATED($H$20,$H2831),IF(_xll.TM1RPTELLEV($H$20,$H2831)&lt;=5,_xll.TM1RPTELLEV($H$20,$H2831),"Default"),"Leaf")</f>
        <v>Leaf</v>
      </c>
      <c r="C2831" s="26" t="s">
        <v>24</v>
      </c>
      <c r="D2831" s="24" t="str">
        <f>_xll.DBRW("TM1-S1_DEV:}ElementAttributes_SP_SKU",$F2831,D$1)</f>
        <v>Secondary</v>
      </c>
      <c r="E2831" s="24" t="str">
        <f>_xll.DBRW("TM1-S1_DEV:}ElementAttributes_SP_SKU",$F2831,E$1)</f>
        <v>PAPER</v>
      </c>
      <c r="F2831" s="26" t="s">
        <v>215</v>
      </c>
      <c r="G2831" s="26" t="s">
        <v>2319</v>
      </c>
      <c r="H2831" s="26" t="s">
        <v>2882</v>
      </c>
      <c r="I2831" s="54">
        <f>_xll.DBRW($A$1,$F$14,$F$15,$C2831,$A$2,$F2831,$G2831,$H2831,I$1)</f>
        <v>12</v>
      </c>
      <c r="J2831" s="25">
        <f>_xll.DBRW($A$1,$F$14,$F$15,$C2831,$A$2,$F2831,$G2831,$H2831,J$19)</f>
        <v>12</v>
      </c>
    </row>
    <row r="2832" spans="1:10" s="23" customFormat="1" outlineLevel="1" thickBot="1" x14ac:dyDescent="0.3">
      <c r="A2832" s="44"/>
      <c r="B2832" s="31" t="str">
        <f>IF(_xll.TM1RPTELISCONSOLIDATED($H$20,$H2832),IF(_xll.TM1RPTELLEV($H$20,$H2832)&lt;=5,_xll.TM1RPTELLEV($H$20,$H2832),"Default"),"Leaf")</f>
        <v>Leaf</v>
      </c>
      <c r="C2832" s="26" t="s">
        <v>24</v>
      </c>
      <c r="D2832" s="24" t="str">
        <f>_xll.DBRW("TM1-S1_DEV:}ElementAttributes_SP_SKU",$F2832,D$1)</f>
        <v>Secondary</v>
      </c>
      <c r="E2832" s="24" t="str">
        <f>_xll.DBRW("TM1-S1_DEV:}ElementAttributes_SP_SKU",$F2832,E$1)</f>
        <v>PAPER</v>
      </c>
      <c r="F2832" s="26" t="s">
        <v>221</v>
      </c>
      <c r="G2832" s="26" t="s">
        <v>2320</v>
      </c>
      <c r="H2832" s="26" t="s">
        <v>2882</v>
      </c>
      <c r="I2832" s="54">
        <f>_xll.DBRW($A$1,$F$14,$F$15,$C2832,$A$2,$F2832,$G2832,$H2832,I$1)</f>
        <v>3</v>
      </c>
      <c r="J2832" s="25">
        <f>_xll.DBRW($A$1,$F$14,$F$15,$C2832,$A$2,$F2832,$G2832,$H2832,J$19)</f>
        <v>11</v>
      </c>
    </row>
    <row r="2833" spans="1:10" s="23" customFormat="1" outlineLevel="1" thickBot="1" x14ac:dyDescent="0.3">
      <c r="A2833" s="44"/>
      <c r="B2833" s="31" t="str">
        <f>IF(_xll.TM1RPTELISCONSOLIDATED($H$20,$H2833),IF(_xll.TM1RPTELLEV($H$20,$H2833)&lt;=5,_xll.TM1RPTELLEV($H$20,$H2833),"Default"),"Leaf")</f>
        <v>Leaf</v>
      </c>
      <c r="C2833" s="26" t="s">
        <v>24</v>
      </c>
      <c r="D2833" s="24" t="str">
        <f>_xll.DBRW("TM1-S1_DEV:}ElementAttributes_SP_SKU",$F2833,D$1)</f>
        <v>Secondary</v>
      </c>
      <c r="E2833" s="24" t="str">
        <f>_xll.DBRW("TM1-S1_DEV:}ElementAttributes_SP_SKU",$F2833,E$1)</f>
        <v>PLATE</v>
      </c>
      <c r="F2833" s="26" t="s">
        <v>436</v>
      </c>
      <c r="G2833" s="26" t="s">
        <v>2321</v>
      </c>
      <c r="H2833" s="26" t="s">
        <v>2712</v>
      </c>
      <c r="I2833" s="54">
        <f>_xll.DBRW($A$1,$F$14,$F$15,$C2833,$A$2,$F2833,$G2833,$H2833,I$1)</f>
        <v>27</v>
      </c>
      <c r="J2833" s="25">
        <f>_xll.DBRW($A$1,$F$14,$F$15,$C2833,$A$2,$F2833,$G2833,$H2833,J$19)</f>
        <v>27</v>
      </c>
    </row>
    <row r="2834" spans="1:10" s="23" customFormat="1" outlineLevel="1" thickBot="1" x14ac:dyDescent="0.3">
      <c r="A2834" s="44"/>
      <c r="B2834" s="31" t="str">
        <f>IF(_xll.TM1RPTELISCONSOLIDATED($H$20,$H2834),IF(_xll.TM1RPTELLEV($H$20,$H2834)&lt;=5,_xll.TM1RPTELLEV($H$20,$H2834),"Default"),"Leaf")</f>
        <v>Leaf</v>
      </c>
      <c r="C2834" s="26" t="s">
        <v>24</v>
      </c>
      <c r="D2834" s="24" t="str">
        <f>_xll.DBRW("TM1-S1_DEV:}ElementAttributes_SP_SKU",$F2834,D$1)</f>
        <v>Secondary</v>
      </c>
      <c r="E2834" s="24" t="str">
        <f>_xll.DBRW("TM1-S1_DEV:}ElementAttributes_SP_SKU",$F2834,E$1)</f>
        <v>CONTAINER</v>
      </c>
      <c r="F2834" s="26" t="s">
        <v>437</v>
      </c>
      <c r="G2834" s="26" t="s">
        <v>2322</v>
      </c>
      <c r="H2834" s="26" t="s">
        <v>2883</v>
      </c>
      <c r="I2834" s="54">
        <f>_xll.DBRW($A$1,$F$14,$F$15,$C2834,$A$2,$F2834,$G2834,$H2834,I$1)</f>
        <v>6</v>
      </c>
      <c r="J2834" s="25">
        <f>_xll.DBRW($A$1,$F$14,$F$15,$C2834,$A$2,$F2834,$G2834,$H2834,J$19)</f>
        <v>6</v>
      </c>
    </row>
    <row r="2835" spans="1:10" s="23" customFormat="1" outlineLevel="1" thickBot="1" x14ac:dyDescent="0.3">
      <c r="A2835" s="44"/>
      <c r="B2835" s="31" t="str">
        <f>IF(_xll.TM1RPTELISCONSOLIDATED($H$20,$H2835),IF(_xll.TM1RPTELLEV($H$20,$H2835)&lt;=5,_xll.TM1RPTELLEV($H$20,$H2835),"Default"),"Leaf")</f>
        <v>Leaf</v>
      </c>
      <c r="C2835" s="26" t="s">
        <v>24</v>
      </c>
      <c r="D2835" s="24" t="str">
        <f>_xll.DBRW("TM1-S1_DEV:}ElementAttributes_SP_SKU",$F2835,D$1)</f>
        <v>Secondary</v>
      </c>
      <c r="E2835" s="24" t="str">
        <f>_xll.DBRW("TM1-S1_DEV:}ElementAttributes_SP_SKU",$F2835,E$1)</f>
        <v>CHEMICAL</v>
      </c>
      <c r="F2835" s="26" t="s">
        <v>438</v>
      </c>
      <c r="G2835" s="26" t="s">
        <v>2323</v>
      </c>
      <c r="H2835" s="26" t="s">
        <v>2796</v>
      </c>
      <c r="I2835" s="54">
        <f>_xll.DBRW($A$1,$F$14,$F$15,$C2835,$A$2,$F2835,$G2835,$H2835,I$1)</f>
        <v>113</v>
      </c>
      <c r="J2835" s="25">
        <f>_xll.DBRW($A$1,$F$14,$F$15,$C2835,$A$2,$F2835,$G2835,$H2835,J$19)</f>
        <v>113</v>
      </c>
    </row>
    <row r="2836" spans="1:10" s="23" customFormat="1" outlineLevel="1" thickBot="1" x14ac:dyDescent="0.3">
      <c r="A2836" s="44"/>
      <c r="B2836" s="31" t="str">
        <f>IF(_xll.TM1RPTELISCONSOLIDATED($H$20,$H2836),IF(_xll.TM1RPTELLEV($H$20,$H2836)&lt;=5,_xll.TM1RPTELLEV($H$20,$H2836),"Default"),"Leaf")</f>
        <v>Leaf</v>
      </c>
      <c r="C2836" s="26" t="s">
        <v>24</v>
      </c>
      <c r="D2836" s="24" t="str">
        <f>_xll.DBRW("TM1-S1_DEV:}ElementAttributes_SP_SKU",$F2836,D$1)</f>
        <v>Secondary</v>
      </c>
      <c r="E2836" s="24" t="str">
        <f>_xll.DBRW("TM1-S1_DEV:}ElementAttributes_SP_SKU",$F2836,E$1)</f>
        <v>CONDIMENT</v>
      </c>
      <c r="F2836" s="26" t="s">
        <v>439</v>
      </c>
      <c r="G2836" s="26" t="s">
        <v>2324</v>
      </c>
      <c r="H2836" s="26" t="s">
        <v>2884</v>
      </c>
      <c r="I2836" s="54">
        <f>_xll.DBRW($A$1,$F$14,$F$15,$C2836,$A$2,$F2836,$G2836,$H2836,I$1)</f>
        <v>9</v>
      </c>
      <c r="J2836" s="25">
        <f>_xll.DBRW($A$1,$F$14,$F$15,$C2836,$A$2,$F2836,$G2836,$H2836,J$19)</f>
        <v>9</v>
      </c>
    </row>
    <row r="2837" spans="1:10" s="23" customFormat="1" outlineLevel="1" thickBot="1" x14ac:dyDescent="0.3">
      <c r="A2837" s="44"/>
      <c r="B2837" s="31" t="str">
        <f>IF(_xll.TM1RPTELISCONSOLIDATED($H$20,$H2837),IF(_xll.TM1RPTELLEV($H$20,$H2837)&lt;=5,_xll.TM1RPTELLEV($H$20,$H2837),"Default"),"Leaf")</f>
        <v>Leaf</v>
      </c>
      <c r="C2837" s="26" t="s">
        <v>24</v>
      </c>
      <c r="D2837" s="24" t="str">
        <f>_xll.DBRW("TM1-S1_DEV:}ElementAttributes_SP_SKU",$F2837,D$1)</f>
        <v>Secondary</v>
      </c>
      <c r="E2837" s="24" t="str">
        <f>_xll.DBRW("TM1-S1_DEV:}ElementAttributes_SP_SKU",$F2837,E$1)</f>
        <v>SIDES</v>
      </c>
      <c r="F2837" s="26" t="s">
        <v>440</v>
      </c>
      <c r="G2837" s="26" t="s">
        <v>2325</v>
      </c>
      <c r="H2837" s="26" t="s">
        <v>2885</v>
      </c>
      <c r="I2837" s="54">
        <f>_xll.DBRW($A$1,$F$14,$F$15,$C2837,$A$2,$F2837,$G2837,$H2837,I$1)</f>
        <v>225</v>
      </c>
      <c r="J2837" s="25">
        <f>_xll.DBRW($A$1,$F$14,$F$15,$C2837,$A$2,$F2837,$G2837,$H2837,J$19)</f>
        <v>225</v>
      </c>
    </row>
    <row r="2838" spans="1:10" s="23" customFormat="1" outlineLevel="1" thickBot="1" x14ac:dyDescent="0.3">
      <c r="A2838" s="44"/>
      <c r="B2838" s="31" t="str">
        <f>IF(_xll.TM1RPTELISCONSOLIDATED($H$20,$H2838),IF(_xll.TM1RPTELLEV($H$20,$H2838)&lt;=5,_xll.TM1RPTELLEV($H$20,$H2838),"Default"),"Leaf")</f>
        <v>Leaf</v>
      </c>
      <c r="C2838" s="26" t="s">
        <v>24</v>
      </c>
      <c r="D2838" s="24" t="str">
        <f>_xll.DBRW("TM1-S1_DEV:}ElementAttributes_SP_SKU",$F2838,D$1)</f>
        <v>Secondary</v>
      </c>
      <c r="E2838" s="24" t="str">
        <f>_xll.DBRW("TM1-S1_DEV:}ElementAttributes_SP_SKU",$F2838,E$1)</f>
        <v>DRINKS</v>
      </c>
      <c r="F2838" s="26" t="s">
        <v>441</v>
      </c>
      <c r="G2838" s="26" t="s">
        <v>2326</v>
      </c>
      <c r="H2838" s="26" t="s">
        <v>2746</v>
      </c>
      <c r="I2838" s="54">
        <f>_xll.DBRW($A$1,$F$14,$F$15,$C2838,$A$2,$F2838,$G2838,$H2838,I$1)</f>
        <v>27</v>
      </c>
      <c r="J2838" s="25">
        <f>_xll.DBRW($A$1,$F$14,$F$15,$C2838,$A$2,$F2838,$G2838,$H2838,J$19)</f>
        <v>57</v>
      </c>
    </row>
    <row r="2839" spans="1:10" s="23" customFormat="1" outlineLevel="1" thickBot="1" x14ac:dyDescent="0.3">
      <c r="A2839" s="44"/>
      <c r="B2839" s="31" t="str">
        <f>IF(_xll.TM1RPTELISCONSOLIDATED($H$20,$H2839),IF(_xll.TM1RPTELLEV($H$20,$H2839)&lt;=5,_xll.TM1RPTELLEV($H$20,$H2839),"Default"),"Leaf")</f>
        <v>Leaf</v>
      </c>
      <c r="C2839" s="26" t="s">
        <v>24</v>
      </c>
      <c r="D2839" s="24" t="str">
        <f>_xll.DBRW("TM1-S1_DEV:}ElementAttributes_SP_SKU",$F2839,D$1)</f>
        <v>Secondary</v>
      </c>
      <c r="E2839" s="24" t="str">
        <f>_xll.DBRW("TM1-S1_DEV:}ElementAttributes_SP_SKU",$F2839,E$1)</f>
        <v>UTENSIL</v>
      </c>
      <c r="F2839" s="26" t="s">
        <v>442</v>
      </c>
      <c r="G2839" s="26" t="s">
        <v>2327</v>
      </c>
      <c r="H2839" s="26" t="s">
        <v>2856</v>
      </c>
      <c r="I2839" s="54">
        <f>_xll.DBRW($A$1,$F$14,$F$15,$C2839,$A$2,$F2839,$G2839,$H2839,I$1)</f>
        <v>147</v>
      </c>
      <c r="J2839" s="25">
        <f>_xll.DBRW($A$1,$F$14,$F$15,$C2839,$A$2,$F2839,$G2839,$H2839,J$19)</f>
        <v>247</v>
      </c>
    </row>
    <row r="2840" spans="1:10" s="23" customFormat="1" outlineLevel="1" thickBot="1" x14ac:dyDescent="0.3">
      <c r="A2840" s="44"/>
      <c r="B2840" s="31" t="str">
        <f>IF(_xll.TM1RPTELISCONSOLIDATED($H$20,$H2840),IF(_xll.TM1RPTELLEV($H$20,$H2840)&lt;=5,_xll.TM1RPTELLEV($H$20,$H2840),"Default"),"Leaf")</f>
        <v>Leaf</v>
      </c>
      <c r="C2840" s="26" t="s">
        <v>24</v>
      </c>
      <c r="D2840" s="24" t="str">
        <f>_xll.DBRW("TM1-S1_DEV:}ElementAttributes_SP_SKU",$F2840,D$1)</f>
        <v>Secondary</v>
      </c>
      <c r="E2840" s="24" t="str">
        <f>_xll.DBRW("TM1-S1_DEV:}ElementAttributes_SP_SKU",$F2840,E$1)</f>
        <v>UTENSIL</v>
      </c>
      <c r="F2840" s="26" t="s">
        <v>443</v>
      </c>
      <c r="G2840" s="26" t="s">
        <v>2328</v>
      </c>
      <c r="H2840" s="26" t="s">
        <v>2886</v>
      </c>
      <c r="I2840" s="54">
        <f>_xll.DBRW($A$1,$F$14,$F$15,$C2840,$A$2,$F2840,$G2840,$H2840,I$1)</f>
        <v>278</v>
      </c>
      <c r="J2840" s="25">
        <f>_xll.DBRW($A$1,$F$14,$F$15,$C2840,$A$2,$F2840,$G2840,$H2840,J$19)</f>
        <v>1232</v>
      </c>
    </row>
    <row r="2841" spans="1:10" s="23" customFormat="1" outlineLevel="1" thickBot="1" x14ac:dyDescent="0.3">
      <c r="A2841" s="44"/>
      <c r="B2841" s="31" t="str">
        <f>IF(_xll.TM1RPTELISCONSOLIDATED($H$20,$H2841),IF(_xll.TM1RPTELLEV($H$20,$H2841)&lt;=5,_xll.TM1RPTELLEV($H$20,$H2841),"Default"),"Leaf")</f>
        <v>Leaf</v>
      </c>
      <c r="C2841" s="26" t="s">
        <v>24</v>
      </c>
      <c r="D2841" s="24" t="str">
        <f>_xll.DBRW("TM1-S1_DEV:}ElementAttributes_SP_SKU",$F2841,D$1)</f>
        <v>Secondary</v>
      </c>
      <c r="E2841" s="24" t="str">
        <f>_xll.DBRW("TM1-S1_DEV:}ElementAttributes_SP_SKU",$F2841,E$1)</f>
        <v>CLEANING</v>
      </c>
      <c r="F2841" s="26" t="s">
        <v>444</v>
      </c>
      <c r="G2841" s="26" t="s">
        <v>2329</v>
      </c>
      <c r="H2841" s="26" t="s">
        <v>2887</v>
      </c>
      <c r="I2841" s="54">
        <f>_xll.DBRW($A$1,$F$14,$F$15,$C2841,$A$2,$F2841,$G2841,$H2841,I$1)</f>
        <v>127</v>
      </c>
      <c r="J2841" s="25">
        <f>_xll.DBRW($A$1,$F$14,$F$15,$C2841,$A$2,$F2841,$G2841,$H2841,J$19)</f>
        <v>127</v>
      </c>
    </row>
    <row r="2842" spans="1:10" s="23" customFormat="1" outlineLevel="1" thickBot="1" x14ac:dyDescent="0.3">
      <c r="A2842" s="44"/>
      <c r="B2842" s="31" t="str">
        <f>IF(_xll.TM1RPTELISCONSOLIDATED($H$20,$H2842),IF(_xll.TM1RPTELLEV($H$20,$H2842)&lt;=5,_xll.TM1RPTELLEV($H$20,$H2842),"Default"),"Leaf")</f>
        <v>Leaf</v>
      </c>
      <c r="C2842" s="26" t="s">
        <v>24</v>
      </c>
      <c r="D2842" s="24" t="str">
        <f>_xll.DBRW("TM1-S1_DEV:}ElementAttributes_SP_SKU",$F2842,D$1)</f>
        <v>Secondary</v>
      </c>
      <c r="E2842" s="24" t="str">
        <f>_xll.DBRW("TM1-S1_DEV:}ElementAttributes_SP_SKU",$F2842,E$1)</f>
        <v>PAPER</v>
      </c>
      <c r="F2842" s="26" t="s">
        <v>445</v>
      </c>
      <c r="G2842" s="26" t="s">
        <v>2330</v>
      </c>
      <c r="H2842" s="26" t="s">
        <v>2808</v>
      </c>
      <c r="I2842" s="54">
        <f>_xll.DBRW($A$1,$F$14,$F$15,$C2842,$A$2,$F2842,$G2842,$H2842,I$1)</f>
        <v>93</v>
      </c>
      <c r="J2842" s="25">
        <f>_xll.DBRW($A$1,$F$14,$F$15,$C2842,$A$2,$F2842,$G2842,$H2842,J$19)</f>
        <v>93</v>
      </c>
    </row>
    <row r="2843" spans="1:10" s="23" customFormat="1" outlineLevel="1" thickBot="1" x14ac:dyDescent="0.3">
      <c r="A2843" s="44"/>
      <c r="B2843" s="31" t="str">
        <f>IF(_xll.TM1RPTELISCONSOLIDATED($H$20,$H2843),IF(_xll.TM1RPTELLEV($H$20,$H2843)&lt;=5,_xll.TM1RPTELLEV($H$20,$H2843),"Default"),"Leaf")</f>
        <v>Leaf</v>
      </c>
      <c r="C2843" s="26" t="s">
        <v>24</v>
      </c>
      <c r="D2843" s="24" t="str">
        <f>_xll.DBRW("TM1-S1_DEV:}ElementAttributes_SP_SKU",$F2843,D$1)</f>
        <v>Secondary</v>
      </c>
      <c r="E2843" s="24" t="str">
        <f>_xll.DBRW("TM1-S1_DEV:}ElementAttributes_SP_SKU",$F2843,E$1)</f>
        <v>GLOVES</v>
      </c>
      <c r="F2843" s="26" t="s">
        <v>446</v>
      </c>
      <c r="G2843" s="26" t="s">
        <v>2331</v>
      </c>
      <c r="H2843" s="26" t="s">
        <v>2861</v>
      </c>
      <c r="I2843" s="54">
        <f>_xll.DBRW($A$1,$F$14,$F$15,$C2843,$A$2,$F2843,$G2843,$H2843,I$1)</f>
        <v>5</v>
      </c>
      <c r="J2843" s="25">
        <f>_xll.DBRW($A$1,$F$14,$F$15,$C2843,$A$2,$F2843,$G2843,$H2843,J$19)</f>
        <v>5</v>
      </c>
    </row>
    <row r="2844" spans="1:10" s="23" customFormat="1" outlineLevel="1" thickBot="1" x14ac:dyDescent="0.3">
      <c r="A2844" s="44"/>
      <c r="B2844" s="31" t="str">
        <f>IF(_xll.TM1RPTELISCONSOLIDATED($H$20,$H2844),IF(_xll.TM1RPTELLEV($H$20,$H2844)&lt;=5,_xll.TM1RPTELLEV($H$20,$H2844),"Default"),"Leaf")</f>
        <v>Leaf</v>
      </c>
      <c r="C2844" s="26" t="s">
        <v>24</v>
      </c>
      <c r="D2844" s="24" t="str">
        <f>_xll.DBRW("TM1-S1_DEV:}ElementAttributes_SP_SKU",$F2844,D$1)</f>
        <v>Secondary</v>
      </c>
      <c r="E2844" s="24" t="str">
        <f>_xll.DBRW("TM1-S1_DEV:}ElementAttributes_SP_SKU",$F2844,E$1)</f>
        <v>DRINKS</v>
      </c>
      <c r="F2844" s="26" t="s">
        <v>447</v>
      </c>
      <c r="G2844" s="26" t="s">
        <v>2332</v>
      </c>
      <c r="H2844" s="26" t="s">
        <v>2888</v>
      </c>
      <c r="I2844" s="54">
        <f>_xll.DBRW($A$1,$F$14,$F$15,$C2844,$A$2,$F2844,$G2844,$H2844,I$1)</f>
        <v>664</v>
      </c>
      <c r="J2844" s="25">
        <f>_xll.DBRW($A$1,$F$14,$F$15,$C2844,$A$2,$F2844,$G2844,$H2844,J$19)</f>
        <v>1042</v>
      </c>
    </row>
    <row r="2845" spans="1:10" s="23" customFormat="1" outlineLevel="1" thickBot="1" x14ac:dyDescent="0.3">
      <c r="A2845" s="44"/>
      <c r="B2845" s="31" t="str">
        <f>IF(_xll.TM1RPTELISCONSOLIDATED($H$20,$H2845),IF(_xll.TM1RPTELLEV($H$20,$H2845)&lt;=5,_xll.TM1RPTELLEV($H$20,$H2845),"Default"),"Leaf")</f>
        <v>Leaf</v>
      </c>
      <c r="C2845" s="26" t="s">
        <v>24</v>
      </c>
      <c r="D2845" s="24" t="str">
        <f>_xll.DBRW("TM1-S1_DEV:}ElementAttributes_SP_SKU",$F2845,D$1)</f>
        <v>Secondary</v>
      </c>
      <c r="E2845" s="24" t="str">
        <f>_xll.DBRW("TM1-S1_DEV:}ElementAttributes_SP_SKU",$F2845,E$1)</f>
        <v>CONDIMENT</v>
      </c>
      <c r="F2845" s="26" t="s">
        <v>448</v>
      </c>
      <c r="G2845" s="26" t="s">
        <v>2333</v>
      </c>
      <c r="H2845" s="26" t="s">
        <v>2884</v>
      </c>
      <c r="I2845" s="54">
        <f>_xll.DBRW($A$1,$F$14,$F$15,$C2845,$A$2,$F2845,$G2845,$H2845,I$1)</f>
        <v>148</v>
      </c>
      <c r="J2845" s="25">
        <f>_xll.DBRW($A$1,$F$14,$F$15,$C2845,$A$2,$F2845,$G2845,$H2845,J$19)</f>
        <v>288</v>
      </c>
    </row>
    <row r="2846" spans="1:10" s="23" customFormat="1" outlineLevel="1" thickBot="1" x14ac:dyDescent="0.3">
      <c r="A2846" s="44"/>
      <c r="B2846" s="31" t="str">
        <f>IF(_xll.TM1RPTELISCONSOLIDATED($H$20,$H2846),IF(_xll.TM1RPTELLEV($H$20,$H2846)&lt;=5,_xll.TM1RPTELLEV($H$20,$H2846),"Default"),"Leaf")</f>
        <v>Leaf</v>
      </c>
      <c r="C2846" s="26" t="s">
        <v>24</v>
      </c>
      <c r="D2846" s="24" t="str">
        <f>_xll.DBRW("TM1-S1_DEV:}ElementAttributes_SP_SKU",$F2846,D$1)</f>
        <v>Secondary</v>
      </c>
      <c r="E2846" s="24" t="str">
        <f>_xll.DBRW("TM1-S1_DEV:}ElementAttributes_SP_SKU",$F2846,E$1)</f>
        <v>COOKIE</v>
      </c>
      <c r="F2846" s="26" t="s">
        <v>449</v>
      </c>
      <c r="G2846" s="26" t="s">
        <v>2286</v>
      </c>
      <c r="H2846" s="26" t="s">
        <v>2889</v>
      </c>
      <c r="I2846" s="54">
        <f>_xll.DBRW($A$1,$F$14,$F$15,$C2846,$A$2,$F2846,$G2846,$H2846,I$1)</f>
        <v>9</v>
      </c>
      <c r="J2846" s="25">
        <f>_xll.DBRW($A$1,$F$14,$F$15,$C2846,$A$2,$F2846,$G2846,$H2846,J$19)</f>
        <v>9</v>
      </c>
    </row>
    <row r="2847" spans="1:10" s="23" customFormat="1" outlineLevel="1" thickBot="1" x14ac:dyDescent="0.3">
      <c r="A2847" s="44"/>
      <c r="B2847" s="31" t="str">
        <f>IF(_xll.TM1RPTELISCONSOLIDATED($H$20,$H2847),IF(_xll.TM1RPTELLEV($H$20,$H2847)&lt;=5,_xll.TM1RPTELLEV($H$20,$H2847),"Default"),"Leaf")</f>
        <v>Leaf</v>
      </c>
      <c r="C2847" s="26" t="s">
        <v>24</v>
      </c>
      <c r="D2847" s="24" t="str">
        <f>_xll.DBRW("TM1-S1_DEV:}ElementAttributes_SP_SKU",$F2847,D$1)</f>
        <v>Secondary</v>
      </c>
      <c r="E2847" s="24" t="str">
        <f>_xll.DBRW("TM1-S1_DEV:}ElementAttributes_SP_SKU",$F2847,E$1)</f>
        <v>CHIPS</v>
      </c>
      <c r="F2847" s="26" t="s">
        <v>450</v>
      </c>
      <c r="G2847" s="26" t="s">
        <v>2334</v>
      </c>
      <c r="H2847" s="26" t="s">
        <v>2890</v>
      </c>
      <c r="I2847" s="54">
        <f>_xll.DBRW($A$1,$F$14,$F$15,$C2847,$A$2,$F2847,$G2847,$H2847,I$1)</f>
        <v>12</v>
      </c>
      <c r="J2847" s="25">
        <f>_xll.DBRW($A$1,$F$14,$F$15,$C2847,$A$2,$F2847,$G2847,$H2847,J$19)</f>
        <v>60</v>
      </c>
    </row>
    <row r="2848" spans="1:10" s="23" customFormat="1" outlineLevel="1" thickBot="1" x14ac:dyDescent="0.3">
      <c r="A2848" s="44"/>
      <c r="B2848" s="31" t="str">
        <f>IF(_xll.TM1RPTELISCONSOLIDATED($H$20,$H2848),IF(_xll.TM1RPTELLEV($H$20,$H2848)&lt;=5,_xll.TM1RPTELLEV($H$20,$H2848),"Default"),"Leaf")</f>
        <v>Leaf</v>
      </c>
      <c r="C2848" s="26" t="s">
        <v>24</v>
      </c>
      <c r="D2848" s="24" t="str">
        <f>_xll.DBRW("TM1-S1_DEV:}ElementAttributes_SP_SKU",$F2848,D$1)</f>
        <v>Secondary</v>
      </c>
      <c r="E2848" s="24" t="str">
        <f>_xll.DBRW("TM1-S1_DEV:}ElementAttributes_SP_SKU",$F2848,E$1)</f>
        <v>PROTEIN</v>
      </c>
      <c r="F2848" s="26" t="s">
        <v>451</v>
      </c>
      <c r="G2848" s="26" t="s">
        <v>2335</v>
      </c>
      <c r="H2848" s="26" t="s">
        <v>2891</v>
      </c>
      <c r="I2848" s="54">
        <f>_xll.DBRW($A$1,$F$14,$F$15,$C2848,$A$2,$F2848,$G2848,$H2848,I$1)</f>
        <v>148</v>
      </c>
      <c r="J2848" s="25">
        <f>_xll.DBRW($A$1,$F$14,$F$15,$C2848,$A$2,$F2848,$G2848,$H2848,J$19)</f>
        <v>148</v>
      </c>
    </row>
    <row r="2849" spans="1:10" s="23" customFormat="1" outlineLevel="1" thickBot="1" x14ac:dyDescent="0.3">
      <c r="A2849" s="44"/>
      <c r="B2849" s="31" t="str">
        <f>IF(_xll.TM1RPTELISCONSOLIDATED($H$20,$H2849),IF(_xll.TM1RPTELLEV($H$20,$H2849)&lt;=5,_xll.TM1RPTELLEV($H$20,$H2849),"Default"),"Leaf")</f>
        <v>Leaf</v>
      </c>
      <c r="C2849" s="26" t="s">
        <v>24</v>
      </c>
      <c r="D2849" s="24" t="str">
        <f>_xll.DBRW("TM1-S1_DEV:}ElementAttributes_SP_SKU",$F2849,D$1)</f>
        <v>Secondary</v>
      </c>
      <c r="E2849" s="24" t="str">
        <f>_xll.DBRW("TM1-S1_DEV:}ElementAttributes_SP_SKU",$F2849,E$1)</f>
        <v>DRESSING</v>
      </c>
      <c r="F2849" s="26" t="s">
        <v>452</v>
      </c>
      <c r="G2849" s="26" t="s">
        <v>2336</v>
      </c>
      <c r="H2849" s="26" t="s">
        <v>2892</v>
      </c>
      <c r="I2849" s="54">
        <f>_xll.DBRW($A$1,$F$14,$F$15,$C2849,$A$2,$F2849,$G2849,$H2849,I$1)</f>
        <v>39</v>
      </c>
      <c r="J2849" s="25">
        <f>_xll.DBRW($A$1,$F$14,$F$15,$C2849,$A$2,$F2849,$G2849,$H2849,J$19)</f>
        <v>49</v>
      </c>
    </row>
    <row r="2850" spans="1:10" s="23" customFormat="1" outlineLevel="1" thickBot="1" x14ac:dyDescent="0.3">
      <c r="A2850" s="44"/>
      <c r="B2850" s="31" t="str">
        <f>IF(_xll.TM1RPTELISCONSOLIDATED($H$20,$H2850),IF(_xll.TM1RPTELLEV($H$20,$H2850)&lt;=5,_xll.TM1RPTELLEV($H$20,$H2850),"Default"),"Leaf")</f>
        <v>Leaf</v>
      </c>
      <c r="C2850" s="26" t="s">
        <v>24</v>
      </c>
      <c r="D2850" s="24" t="str">
        <f>_xll.DBRW("TM1-S1_DEV:}ElementAttributes_SP_SKU",$F2850,D$1)</f>
        <v>Secondary</v>
      </c>
      <c r="E2850" s="24" t="str">
        <f>_xll.DBRW("TM1-S1_DEV:}ElementAttributes_SP_SKU",$F2850,E$1)</f>
        <v>CHIPS</v>
      </c>
      <c r="F2850" s="26" t="s">
        <v>453</v>
      </c>
      <c r="G2850" s="26" t="s">
        <v>2337</v>
      </c>
      <c r="H2850" s="26" t="s">
        <v>2893</v>
      </c>
      <c r="I2850" s="54">
        <f>_xll.DBRW($A$1,$F$14,$F$15,$C2850,$A$2,$F2850,$G2850,$H2850,I$1)</f>
        <v>32</v>
      </c>
      <c r="J2850" s="25">
        <f>_xll.DBRW($A$1,$F$14,$F$15,$C2850,$A$2,$F2850,$G2850,$H2850,J$19)</f>
        <v>32</v>
      </c>
    </row>
    <row r="2851" spans="1:10" s="23" customFormat="1" outlineLevel="1" thickBot="1" x14ac:dyDescent="0.3">
      <c r="A2851" s="44"/>
      <c r="B2851" s="31" t="str">
        <f>IF(_xll.TM1RPTELISCONSOLIDATED($H$20,$H2851),IF(_xll.TM1RPTELLEV($H$20,$H2851)&lt;=5,_xll.TM1RPTELLEV($H$20,$H2851),"Default"),"Leaf")</f>
        <v>Leaf</v>
      </c>
      <c r="C2851" s="26" t="s">
        <v>24</v>
      </c>
      <c r="D2851" s="24" t="str">
        <f>_xll.DBRW("TM1-S1_DEV:}ElementAttributes_SP_SKU",$F2851,D$1)</f>
        <v>Secondary</v>
      </c>
      <c r="E2851" s="24" t="str">
        <f>_xll.DBRW("TM1-S1_DEV:}ElementAttributes_SP_SKU",$F2851,E$1)</f>
        <v>CHIPS</v>
      </c>
      <c r="F2851" s="26" t="s">
        <v>454</v>
      </c>
      <c r="G2851" s="26" t="s">
        <v>2338</v>
      </c>
      <c r="H2851" s="26" t="s">
        <v>2894</v>
      </c>
      <c r="I2851" s="54">
        <f>_xll.DBRW($A$1,$F$14,$F$15,$C2851,$A$2,$F2851,$G2851,$H2851,I$1)</f>
        <v>44</v>
      </c>
      <c r="J2851" s="25">
        <f>_xll.DBRW($A$1,$F$14,$F$15,$C2851,$A$2,$F2851,$G2851,$H2851,J$19)</f>
        <v>58</v>
      </c>
    </row>
    <row r="2852" spans="1:10" s="23" customFormat="1" outlineLevel="1" thickBot="1" x14ac:dyDescent="0.3">
      <c r="A2852" s="44"/>
      <c r="B2852" s="31" t="str">
        <f>IF(_xll.TM1RPTELISCONSOLIDATED($H$20,$H2852),IF(_xll.TM1RPTELLEV($H$20,$H2852)&lt;=5,_xll.TM1RPTELLEV($H$20,$H2852),"Default"),"Leaf")</f>
        <v>Leaf</v>
      </c>
      <c r="C2852" s="26" t="s">
        <v>24</v>
      </c>
      <c r="D2852" s="24" t="str">
        <f>_xll.DBRW("TM1-S1_DEV:}ElementAttributes_SP_SKU",$F2852,D$1)</f>
        <v>Secondary</v>
      </c>
      <c r="E2852" s="24" t="str">
        <f>_xll.DBRW("TM1-S1_DEV:}ElementAttributes_SP_SKU",$F2852,E$1)</f>
        <v>PRODUCE</v>
      </c>
      <c r="F2852" s="26" t="s">
        <v>455</v>
      </c>
      <c r="G2852" s="26" t="s">
        <v>2339</v>
      </c>
      <c r="H2852" s="26" t="s">
        <v>2895</v>
      </c>
      <c r="I2852" s="54">
        <f>_xll.DBRW($A$1,$F$14,$F$15,$C2852,$A$2,$F2852,$G2852,$H2852,I$1)</f>
        <v>0</v>
      </c>
      <c r="J2852" s="25">
        <f>_xll.DBRW($A$1,$F$14,$F$15,$C2852,$A$2,$F2852,$G2852,$H2852,J$19)</f>
        <v>224</v>
      </c>
    </row>
    <row r="2853" spans="1:10" s="23" customFormat="1" outlineLevel="1" thickBot="1" x14ac:dyDescent="0.3">
      <c r="A2853" s="44"/>
      <c r="B2853" s="31" t="str">
        <f>IF(_xll.TM1RPTELISCONSOLIDATED($H$20,$H2853),IF(_xll.TM1RPTELLEV($H$20,$H2853)&lt;=5,_xll.TM1RPTELLEV($H$20,$H2853),"Default"),"Leaf")</f>
        <v>Leaf</v>
      </c>
      <c r="C2853" s="26" t="s">
        <v>24</v>
      </c>
      <c r="D2853" s="24" t="str">
        <f>_xll.DBRW("TM1-S1_DEV:}ElementAttributes_SP_SKU",$F2853,D$1)</f>
        <v>Secondary</v>
      </c>
      <c r="E2853" s="24" t="str">
        <f>_xll.DBRW("TM1-S1_DEV:}ElementAttributes_SP_SKU",$F2853,E$1)</f>
        <v>PLATE</v>
      </c>
      <c r="F2853" s="26" t="s">
        <v>456</v>
      </c>
      <c r="G2853" s="26" t="s">
        <v>2340</v>
      </c>
      <c r="H2853" s="26" t="s">
        <v>2856</v>
      </c>
      <c r="I2853" s="54">
        <f>_xll.DBRW($A$1,$F$14,$F$15,$C2853,$A$2,$F2853,$G2853,$H2853,I$1)</f>
        <v>12</v>
      </c>
      <c r="J2853" s="25">
        <f>_xll.DBRW($A$1,$F$14,$F$15,$C2853,$A$2,$F2853,$G2853,$H2853,J$19)</f>
        <v>15</v>
      </c>
    </row>
    <row r="2854" spans="1:10" s="23" customFormat="1" outlineLevel="1" thickBot="1" x14ac:dyDescent="0.3">
      <c r="A2854" s="44"/>
      <c r="B2854" s="31" t="str">
        <f>IF(_xll.TM1RPTELISCONSOLIDATED($H$20,$H2854),IF(_xll.TM1RPTELLEV($H$20,$H2854)&lt;=5,_xll.TM1RPTELLEV($H$20,$H2854),"Default"),"Leaf")</f>
        <v>Leaf</v>
      </c>
      <c r="C2854" s="26" t="s">
        <v>24</v>
      </c>
      <c r="D2854" s="24" t="str">
        <f>_xll.DBRW("TM1-S1_DEV:}ElementAttributes_SP_SKU",$F2854,D$1)</f>
        <v>Secondary</v>
      </c>
      <c r="E2854" s="24" t="str">
        <f>_xll.DBRW("TM1-S1_DEV:}ElementAttributes_SP_SKU",$F2854,E$1)</f>
        <v>CHEESE</v>
      </c>
      <c r="F2854" s="26" t="s">
        <v>457</v>
      </c>
      <c r="G2854" s="26" t="s">
        <v>2341</v>
      </c>
      <c r="H2854" s="26" t="s">
        <v>2685</v>
      </c>
      <c r="I2854" s="54">
        <f>_xll.DBRW($A$1,$F$14,$F$15,$C2854,$A$2,$F2854,$G2854,$H2854,I$1)</f>
        <v>34</v>
      </c>
      <c r="J2854" s="25">
        <f>_xll.DBRW($A$1,$F$14,$F$15,$C2854,$A$2,$F2854,$G2854,$H2854,J$19)</f>
        <v>34</v>
      </c>
    </row>
    <row r="2855" spans="1:10" s="23" customFormat="1" outlineLevel="1" thickBot="1" x14ac:dyDescent="0.3">
      <c r="A2855" s="44"/>
      <c r="B2855" s="31" t="str">
        <f>IF(_xll.TM1RPTELISCONSOLIDATED($H$20,$H2855),IF(_xll.TM1RPTELLEV($H$20,$H2855)&lt;=5,_xll.TM1RPTELLEV($H$20,$H2855),"Default"),"Leaf")</f>
        <v>Leaf</v>
      </c>
      <c r="C2855" s="26" t="s">
        <v>24</v>
      </c>
      <c r="D2855" s="24" t="str">
        <f>_xll.DBRW("TM1-S1_DEV:}ElementAttributes_SP_SKU",$F2855,D$1)</f>
        <v>Secondary</v>
      </c>
      <c r="E2855" s="24" t="str">
        <f>_xll.DBRW("TM1-S1_DEV:}ElementAttributes_SP_SKU",$F2855,E$1)</f>
        <v>CHEESE</v>
      </c>
      <c r="F2855" s="26" t="s">
        <v>457</v>
      </c>
      <c r="G2855" s="26" t="s">
        <v>2342</v>
      </c>
      <c r="H2855" s="26" t="s">
        <v>2831</v>
      </c>
      <c r="I2855" s="54">
        <f>_xll.DBRW($A$1,$F$14,$F$15,$C2855,$A$2,$F2855,$G2855,$H2855,I$1)</f>
        <v>22</v>
      </c>
      <c r="J2855" s="25">
        <f>_xll.DBRW($A$1,$F$14,$F$15,$C2855,$A$2,$F2855,$G2855,$H2855,J$19)</f>
        <v>22</v>
      </c>
    </row>
    <row r="2856" spans="1:10" s="23" customFormat="1" outlineLevel="1" thickBot="1" x14ac:dyDescent="0.3">
      <c r="A2856" s="44"/>
      <c r="B2856" s="31" t="str">
        <f>IF(_xll.TM1RPTELISCONSOLIDATED($H$20,$H2856),IF(_xll.TM1RPTELLEV($H$20,$H2856)&lt;=5,_xll.TM1RPTELLEV($H$20,$H2856),"Default"),"Leaf")</f>
        <v>Leaf</v>
      </c>
      <c r="C2856" s="26" t="s">
        <v>24</v>
      </c>
      <c r="D2856" s="24" t="str">
        <f>_xll.DBRW("TM1-S1_DEV:}ElementAttributes_SP_SKU",$F2856,D$1)</f>
        <v>Secondary</v>
      </c>
      <c r="E2856" s="24" t="str">
        <f>_xll.DBRW("TM1-S1_DEV:}ElementAttributes_SP_SKU",$F2856,E$1)</f>
        <v>DRINKS</v>
      </c>
      <c r="F2856" s="26" t="s">
        <v>458</v>
      </c>
      <c r="G2856" s="26" t="s">
        <v>2343</v>
      </c>
      <c r="H2856" s="26" t="s">
        <v>2746</v>
      </c>
      <c r="I2856" s="54">
        <f>_xll.DBRW($A$1,$F$14,$F$15,$C2856,$A$2,$F2856,$G2856,$H2856,I$1)</f>
        <v>315</v>
      </c>
      <c r="J2856" s="25">
        <f>_xll.DBRW($A$1,$F$14,$F$15,$C2856,$A$2,$F2856,$G2856,$H2856,J$19)</f>
        <v>495</v>
      </c>
    </row>
    <row r="2857" spans="1:10" s="23" customFormat="1" outlineLevel="1" thickBot="1" x14ac:dyDescent="0.3">
      <c r="A2857" s="44"/>
      <c r="B2857" s="31" t="str">
        <f>IF(_xll.TM1RPTELISCONSOLIDATED($H$20,$H2857),IF(_xll.TM1RPTELLEV($H$20,$H2857)&lt;=5,_xll.TM1RPTELLEV($H$20,$H2857),"Default"),"Leaf")</f>
        <v>Leaf</v>
      </c>
      <c r="C2857" s="26" t="s">
        <v>24</v>
      </c>
      <c r="D2857" s="24" t="str">
        <f>_xll.DBRW("TM1-S1_DEV:}ElementAttributes_SP_SKU",$F2857,D$1)</f>
        <v>Secondary</v>
      </c>
      <c r="E2857" s="24" t="str">
        <f>_xll.DBRW("TM1-S1_DEV:}ElementAttributes_SP_SKU",$F2857,E$1)</f>
        <v>PRODUCE</v>
      </c>
      <c r="F2857" s="26" t="s">
        <v>459</v>
      </c>
      <c r="G2857" s="26" t="s">
        <v>2344</v>
      </c>
      <c r="H2857" s="26" t="s">
        <v>2855</v>
      </c>
      <c r="I2857" s="54">
        <f>_xll.DBRW($A$1,$F$14,$F$15,$C2857,$A$2,$F2857,$G2857,$H2857,I$1)</f>
        <v>64</v>
      </c>
      <c r="J2857" s="25">
        <f>_xll.DBRW($A$1,$F$14,$F$15,$C2857,$A$2,$F2857,$G2857,$H2857,J$19)</f>
        <v>624</v>
      </c>
    </row>
    <row r="2858" spans="1:10" s="23" customFormat="1" outlineLevel="1" thickBot="1" x14ac:dyDescent="0.3">
      <c r="A2858" s="44"/>
      <c r="B2858" s="31" t="str">
        <f>IF(_xll.TM1RPTELISCONSOLIDATED($H$20,$H2858),IF(_xll.TM1RPTELLEV($H$20,$H2858)&lt;=5,_xll.TM1RPTELLEV($H$20,$H2858),"Default"),"Leaf")</f>
        <v>Leaf</v>
      </c>
      <c r="C2858" s="26" t="s">
        <v>24</v>
      </c>
      <c r="D2858" s="24" t="str">
        <f>_xll.DBRW("TM1-S1_DEV:}ElementAttributes_SP_SKU",$F2858,D$1)</f>
        <v>Secondary</v>
      </c>
      <c r="E2858" s="24" t="str">
        <f>_xll.DBRW("TM1-S1_DEV:}ElementAttributes_SP_SKU",$F2858,E$1)</f>
        <v>FILM</v>
      </c>
      <c r="F2858" s="26" t="s">
        <v>460</v>
      </c>
      <c r="G2858" s="26" t="s">
        <v>2345</v>
      </c>
      <c r="H2858" s="26" t="s">
        <v>2896</v>
      </c>
      <c r="I2858" s="54">
        <f>_xll.DBRW($A$1,$F$14,$F$15,$C2858,$A$2,$F2858,$G2858,$H2858,I$1)</f>
        <v>150</v>
      </c>
      <c r="J2858" s="25">
        <f>_xll.DBRW($A$1,$F$14,$F$15,$C2858,$A$2,$F2858,$G2858,$H2858,J$19)</f>
        <v>262</v>
      </c>
    </row>
    <row r="2859" spans="1:10" s="23" customFormat="1" outlineLevel="1" thickBot="1" x14ac:dyDescent="0.3">
      <c r="A2859" s="44"/>
      <c r="B2859" s="31" t="str">
        <f>IF(_xll.TM1RPTELISCONSOLIDATED($H$20,$H2859),IF(_xll.TM1RPTELLEV($H$20,$H2859)&lt;=5,_xll.TM1RPTELLEV($H$20,$H2859),"Default"),"Leaf")</f>
        <v>Leaf</v>
      </c>
      <c r="C2859" s="26" t="s">
        <v>24</v>
      </c>
      <c r="D2859" s="24" t="str">
        <f>_xll.DBRW("TM1-S1_DEV:}ElementAttributes_SP_SKU",$F2859,D$1)</f>
        <v>Secondary</v>
      </c>
      <c r="E2859" s="24" t="str">
        <f>_xll.DBRW("TM1-S1_DEV:}ElementAttributes_SP_SKU",$F2859,E$1)</f>
        <v>FILM</v>
      </c>
      <c r="F2859" s="26" t="s">
        <v>461</v>
      </c>
      <c r="G2859" s="26" t="s">
        <v>2346</v>
      </c>
      <c r="H2859" s="26" t="s">
        <v>2818</v>
      </c>
      <c r="I2859" s="54">
        <f>_xll.DBRW($A$1,$F$14,$F$15,$C2859,$A$2,$F2859,$G2859,$H2859,I$1)</f>
        <v>49</v>
      </c>
      <c r="J2859" s="25">
        <f>_xll.DBRW($A$1,$F$14,$F$15,$C2859,$A$2,$F2859,$G2859,$H2859,J$19)</f>
        <v>273</v>
      </c>
    </row>
    <row r="2860" spans="1:10" s="23" customFormat="1" outlineLevel="1" thickBot="1" x14ac:dyDescent="0.3">
      <c r="A2860" s="44"/>
      <c r="B2860" s="31" t="str">
        <f>IF(_xll.TM1RPTELISCONSOLIDATED($H$20,$H2860),IF(_xll.TM1RPTELLEV($H$20,$H2860)&lt;=5,_xll.TM1RPTELLEV($H$20,$H2860),"Default"),"Leaf")</f>
        <v>Leaf</v>
      </c>
      <c r="C2860" s="26" t="s">
        <v>24</v>
      </c>
      <c r="D2860" s="24" t="str">
        <f>_xll.DBRW("TM1-S1_DEV:}ElementAttributes_SP_SKU",$F2860,D$1)</f>
        <v>Secondary</v>
      </c>
      <c r="E2860" s="24" t="str">
        <f>_xll.DBRW("TM1-S1_DEV:}ElementAttributes_SP_SKU",$F2860,E$1)</f>
        <v>CONDIMENT</v>
      </c>
      <c r="F2860" s="26" t="s">
        <v>462</v>
      </c>
      <c r="G2860" s="26" t="s">
        <v>2347</v>
      </c>
      <c r="H2860" s="26" t="s">
        <v>2884</v>
      </c>
      <c r="I2860" s="54">
        <f>_xll.DBRW($A$1,$F$14,$F$15,$C2860,$A$2,$F2860,$G2860,$H2860,I$1)</f>
        <v>949</v>
      </c>
      <c r="J2860" s="25">
        <f>_xll.DBRW($A$1,$F$14,$F$15,$C2860,$A$2,$F2860,$G2860,$H2860,J$19)</f>
        <v>1717</v>
      </c>
    </row>
    <row r="2861" spans="1:10" s="23" customFormat="1" outlineLevel="1" thickBot="1" x14ac:dyDescent="0.3">
      <c r="A2861" s="44"/>
      <c r="B2861" s="31" t="str">
        <f>IF(_xll.TM1RPTELISCONSOLIDATED($H$20,$H2861),IF(_xll.TM1RPTELLEV($H$20,$H2861)&lt;=5,_xll.TM1RPTELLEV($H$20,$H2861),"Default"),"Leaf")</f>
        <v>Leaf</v>
      </c>
      <c r="C2861" s="26" t="s">
        <v>24</v>
      </c>
      <c r="D2861" s="24" t="str">
        <f>_xll.DBRW("TM1-S1_DEV:}ElementAttributes_SP_SKU",$F2861,D$1)</f>
        <v>Secondary</v>
      </c>
      <c r="E2861" s="24" t="str">
        <f>_xll.DBRW("TM1-S1_DEV:}ElementAttributes_SP_SKU",$F2861,E$1)</f>
        <v>CHIPS</v>
      </c>
      <c r="F2861" s="26" t="s">
        <v>463</v>
      </c>
      <c r="G2861" s="26" t="s">
        <v>2348</v>
      </c>
      <c r="H2861" s="26" t="s">
        <v>2890</v>
      </c>
      <c r="I2861" s="54">
        <f>_xll.DBRW($A$1,$F$14,$F$15,$C2861,$A$2,$F2861,$G2861,$H2861,I$1)</f>
        <v>34</v>
      </c>
      <c r="J2861" s="25">
        <f>_xll.DBRW($A$1,$F$14,$F$15,$C2861,$A$2,$F2861,$G2861,$H2861,J$19)</f>
        <v>124</v>
      </c>
    </row>
    <row r="2862" spans="1:10" s="23" customFormat="1" outlineLevel="1" thickBot="1" x14ac:dyDescent="0.3">
      <c r="A2862" s="44"/>
      <c r="B2862" s="31" t="str">
        <f>IF(_xll.TM1RPTELISCONSOLIDATED($H$20,$H2862),IF(_xll.TM1RPTELLEV($H$20,$H2862)&lt;=5,_xll.TM1RPTELLEV($H$20,$H2862),"Default"),"Leaf")</f>
        <v>Leaf</v>
      </c>
      <c r="C2862" s="26" t="s">
        <v>24</v>
      </c>
      <c r="D2862" s="24" t="str">
        <f>_xll.DBRW("TM1-S1_DEV:}ElementAttributes_SP_SKU",$F2862,D$1)</f>
        <v>Secondary</v>
      </c>
      <c r="E2862" s="24" t="str">
        <f>_xll.DBRW("TM1-S1_DEV:}ElementAttributes_SP_SKU",$F2862,E$1)</f>
        <v>PAPER</v>
      </c>
      <c r="F2862" s="26" t="s">
        <v>464</v>
      </c>
      <c r="G2862" s="26" t="s">
        <v>2349</v>
      </c>
      <c r="H2862" s="26" t="s">
        <v>2809</v>
      </c>
      <c r="I2862" s="54">
        <f>_xll.DBRW($A$1,$F$14,$F$15,$C2862,$A$2,$F2862,$G2862,$H2862,I$1)</f>
        <v>11</v>
      </c>
      <c r="J2862" s="25">
        <f>_xll.DBRW($A$1,$F$14,$F$15,$C2862,$A$2,$F2862,$G2862,$H2862,J$19)</f>
        <v>20</v>
      </c>
    </row>
    <row r="2863" spans="1:10" s="23" customFormat="1" outlineLevel="1" thickBot="1" x14ac:dyDescent="0.3">
      <c r="A2863" s="44"/>
      <c r="B2863" s="31" t="str">
        <f>IF(_xll.TM1RPTELISCONSOLIDATED($H$20,$H2863),IF(_xll.TM1RPTELLEV($H$20,$H2863)&lt;=5,_xll.TM1RPTELLEV($H$20,$H2863),"Default"),"Leaf")</f>
        <v>Leaf</v>
      </c>
      <c r="C2863" s="26" t="s">
        <v>24</v>
      </c>
      <c r="D2863" s="24" t="str">
        <f>_xll.DBRW("TM1-S1_DEV:}ElementAttributes_SP_SKU",$F2863,D$1)</f>
        <v>Secondary</v>
      </c>
      <c r="E2863" s="24" t="str">
        <f>_xll.DBRW("TM1-S1_DEV:}ElementAttributes_SP_SKU",$F2863,E$1)</f>
        <v>DRINKS</v>
      </c>
      <c r="F2863" s="26" t="s">
        <v>465</v>
      </c>
      <c r="G2863" s="26" t="s">
        <v>2350</v>
      </c>
      <c r="H2863" s="26" t="s">
        <v>2746</v>
      </c>
      <c r="I2863" s="54">
        <f>_xll.DBRW($A$1,$F$14,$F$15,$C2863,$A$2,$F2863,$G2863,$H2863,I$1)</f>
        <v>193</v>
      </c>
      <c r="J2863" s="25">
        <f>_xll.DBRW($A$1,$F$14,$F$15,$C2863,$A$2,$F2863,$G2863,$H2863,J$19)</f>
        <v>363</v>
      </c>
    </row>
    <row r="2864" spans="1:10" s="23" customFormat="1" outlineLevel="1" thickBot="1" x14ac:dyDescent="0.3">
      <c r="A2864" s="44"/>
      <c r="B2864" s="31" t="str">
        <f>IF(_xll.TM1RPTELISCONSOLIDATED($H$20,$H2864),IF(_xll.TM1RPTELLEV($H$20,$H2864)&lt;=5,_xll.TM1RPTELLEV($H$20,$H2864),"Default"),"Leaf")</f>
        <v>Leaf</v>
      </c>
      <c r="C2864" s="26" t="s">
        <v>24</v>
      </c>
      <c r="D2864" s="24" t="str">
        <f>_xll.DBRW("TM1-S1_DEV:}ElementAttributes_SP_SKU",$F2864,D$1)</f>
        <v>Secondary</v>
      </c>
      <c r="E2864" s="24" t="str">
        <f>_xll.DBRW("TM1-S1_DEV:}ElementAttributes_SP_SKU",$F2864,E$1)</f>
        <v>PLATE</v>
      </c>
      <c r="F2864" s="26" t="s">
        <v>466</v>
      </c>
      <c r="G2864" s="26" t="s">
        <v>2351</v>
      </c>
      <c r="H2864" s="26" t="s">
        <v>2787</v>
      </c>
      <c r="I2864" s="54">
        <f>_xll.DBRW($A$1,$F$14,$F$15,$C2864,$A$2,$F2864,$G2864,$H2864,I$1)</f>
        <v>38</v>
      </c>
      <c r="J2864" s="25">
        <f>_xll.DBRW($A$1,$F$14,$F$15,$C2864,$A$2,$F2864,$G2864,$H2864,J$19)</f>
        <v>38</v>
      </c>
    </row>
    <row r="2865" spans="1:10" s="23" customFormat="1" outlineLevel="1" thickBot="1" x14ac:dyDescent="0.3">
      <c r="A2865" s="44"/>
      <c r="B2865" s="31" t="str">
        <f>IF(_xll.TM1RPTELISCONSOLIDATED($H$20,$H2865),IF(_xll.TM1RPTELLEV($H$20,$H2865)&lt;=5,_xll.TM1RPTELLEV($H$20,$H2865),"Default"),"Leaf")</f>
        <v>Leaf</v>
      </c>
      <c r="C2865" s="26" t="s">
        <v>24</v>
      </c>
      <c r="D2865" s="24" t="str">
        <f>_xll.DBRW("TM1-S1_DEV:}ElementAttributes_SP_SKU",$F2865,D$1)</f>
        <v>Secondary</v>
      </c>
      <c r="E2865" s="24" t="str">
        <f>_xll.DBRW("TM1-S1_DEV:}ElementAttributes_SP_SKU",$F2865,E$1)</f>
        <v>BOWL</v>
      </c>
      <c r="F2865" s="26" t="s">
        <v>467</v>
      </c>
      <c r="G2865" s="26" t="s">
        <v>2352</v>
      </c>
      <c r="H2865" s="26" t="s">
        <v>2787</v>
      </c>
      <c r="I2865" s="54">
        <f>_xll.DBRW($A$1,$F$14,$F$15,$C2865,$A$2,$F2865,$G2865,$H2865,I$1)</f>
        <v>2</v>
      </c>
      <c r="J2865" s="25">
        <f>_xll.DBRW($A$1,$F$14,$F$15,$C2865,$A$2,$F2865,$G2865,$H2865,J$19)</f>
        <v>4</v>
      </c>
    </row>
    <row r="2866" spans="1:10" s="23" customFormat="1" outlineLevel="1" thickBot="1" x14ac:dyDescent="0.3">
      <c r="A2866" s="44"/>
      <c r="B2866" s="31" t="str">
        <f>IF(_xll.TM1RPTELISCONSOLIDATED($H$20,$H2866),IF(_xll.TM1RPTELLEV($H$20,$H2866)&lt;=5,_xll.TM1RPTELLEV($H$20,$H2866),"Default"),"Leaf")</f>
        <v>Leaf</v>
      </c>
      <c r="C2866" s="26" t="s">
        <v>24</v>
      </c>
      <c r="D2866" s="24" t="str">
        <f>_xll.DBRW("TM1-S1_DEV:}ElementAttributes_SP_SKU",$F2866,D$1)</f>
        <v>Secondary</v>
      </c>
      <c r="E2866" s="24" t="str">
        <f>_xll.DBRW("TM1-S1_DEV:}ElementAttributes_SP_SKU",$F2866,E$1)</f>
        <v>CONTAINER</v>
      </c>
      <c r="F2866" s="26" t="s">
        <v>468</v>
      </c>
      <c r="G2866" s="26" t="s">
        <v>2353</v>
      </c>
      <c r="H2866" s="26" t="s">
        <v>2787</v>
      </c>
      <c r="I2866" s="54">
        <f>_xll.DBRW($A$1,$F$14,$F$15,$C2866,$A$2,$F2866,$G2866,$H2866,I$1)</f>
        <v>16</v>
      </c>
      <c r="J2866" s="25">
        <f>_xll.DBRW($A$1,$F$14,$F$15,$C2866,$A$2,$F2866,$G2866,$H2866,J$19)</f>
        <v>16</v>
      </c>
    </row>
    <row r="2867" spans="1:10" s="23" customFormat="1" outlineLevel="1" thickBot="1" x14ac:dyDescent="0.3">
      <c r="A2867" s="44"/>
      <c r="B2867" s="31" t="str">
        <f>IF(_xll.TM1RPTELISCONSOLIDATED($H$20,$H2867),IF(_xll.TM1RPTELLEV($H$20,$H2867)&lt;=5,_xll.TM1RPTELLEV($H$20,$H2867),"Default"),"Leaf")</f>
        <v>Leaf</v>
      </c>
      <c r="C2867" s="26" t="s">
        <v>24</v>
      </c>
      <c r="D2867" s="24" t="str">
        <f>_xll.DBRW("TM1-S1_DEV:}ElementAttributes_SP_SKU",$F2867,D$1)</f>
        <v>Secondary</v>
      </c>
      <c r="E2867" s="24" t="str">
        <f>_xll.DBRW("TM1-S1_DEV:}ElementAttributes_SP_SKU",$F2867,E$1)</f>
        <v>DRINKS</v>
      </c>
      <c r="F2867" s="26" t="s">
        <v>469</v>
      </c>
      <c r="G2867" s="26" t="s">
        <v>2354</v>
      </c>
      <c r="H2867" s="26" t="s">
        <v>2897</v>
      </c>
      <c r="I2867" s="54">
        <f>_xll.DBRW($A$1,$F$14,$F$15,$C2867,$A$2,$F2867,$G2867,$H2867,I$1)</f>
        <v>240</v>
      </c>
      <c r="J2867" s="25">
        <f>_xll.DBRW($A$1,$F$14,$F$15,$C2867,$A$2,$F2867,$G2867,$H2867,J$19)</f>
        <v>240</v>
      </c>
    </row>
    <row r="2868" spans="1:10" s="23" customFormat="1" outlineLevel="1" thickBot="1" x14ac:dyDescent="0.3">
      <c r="A2868" s="44"/>
      <c r="B2868" s="31" t="str">
        <f>IF(_xll.TM1RPTELISCONSOLIDATED($H$20,$H2868),IF(_xll.TM1RPTELLEV($H$20,$H2868)&lt;=5,_xll.TM1RPTELLEV($H$20,$H2868),"Default"),"Leaf")</f>
        <v>Leaf</v>
      </c>
      <c r="C2868" s="26" t="s">
        <v>24</v>
      </c>
      <c r="D2868" s="24" t="str">
        <f>_xll.DBRW("TM1-S1_DEV:}ElementAttributes_SP_SKU",$F2868,D$1)</f>
        <v>Secondary</v>
      </c>
      <c r="E2868" s="24" t="str">
        <f>_xll.DBRW("TM1-S1_DEV:}ElementAttributes_SP_SKU",$F2868,E$1)</f>
        <v>CLEANING</v>
      </c>
      <c r="F2868" s="26" t="s">
        <v>470</v>
      </c>
      <c r="G2868" s="26" t="s">
        <v>2355</v>
      </c>
      <c r="H2868" s="26" t="s">
        <v>2898</v>
      </c>
      <c r="I2868" s="54">
        <f>_xll.DBRW($A$1,$F$14,$F$15,$C2868,$A$2,$F2868,$G2868,$H2868,I$1)</f>
        <v>326</v>
      </c>
      <c r="J2868" s="25">
        <f>_xll.DBRW($A$1,$F$14,$F$15,$C2868,$A$2,$F2868,$G2868,$H2868,J$19)</f>
        <v>334</v>
      </c>
    </row>
    <row r="2869" spans="1:10" s="23" customFormat="1" outlineLevel="1" thickBot="1" x14ac:dyDescent="0.3">
      <c r="A2869" s="44"/>
      <c r="B2869" s="31" t="str">
        <f>IF(_xll.TM1RPTELISCONSOLIDATED($H$20,$H2869),IF(_xll.TM1RPTELLEV($H$20,$H2869)&lt;=5,_xll.TM1RPTELLEV($H$20,$H2869),"Default"),"Leaf")</f>
        <v>Leaf</v>
      </c>
      <c r="C2869" s="26" t="s">
        <v>24</v>
      </c>
      <c r="D2869" s="24" t="str">
        <f>_xll.DBRW("TM1-S1_DEV:}ElementAttributes_SP_SKU",$F2869,D$1)</f>
        <v>Secondary</v>
      </c>
      <c r="E2869" s="24" t="str">
        <f>_xll.DBRW("TM1-S1_DEV:}ElementAttributes_SP_SKU",$F2869,E$1)</f>
        <v>DRINKS</v>
      </c>
      <c r="F2869" s="26" t="s">
        <v>471</v>
      </c>
      <c r="G2869" s="26" t="s">
        <v>2356</v>
      </c>
      <c r="H2869" s="26" t="s">
        <v>2746</v>
      </c>
      <c r="I2869" s="54">
        <f>_xll.DBRW($A$1,$F$14,$F$15,$C2869,$A$2,$F2869,$G2869,$H2869,I$1)</f>
        <v>164</v>
      </c>
      <c r="J2869" s="25">
        <f>_xll.DBRW($A$1,$F$14,$F$15,$C2869,$A$2,$F2869,$G2869,$H2869,J$19)</f>
        <v>294</v>
      </c>
    </row>
    <row r="2870" spans="1:10" s="23" customFormat="1" outlineLevel="1" thickBot="1" x14ac:dyDescent="0.3">
      <c r="A2870" s="44"/>
      <c r="B2870" s="31" t="str">
        <f>IF(_xll.TM1RPTELISCONSOLIDATED($H$20,$H2870),IF(_xll.TM1RPTELLEV($H$20,$H2870)&lt;=5,_xll.TM1RPTELLEV($H$20,$H2870),"Default"),"Leaf")</f>
        <v>Leaf</v>
      </c>
      <c r="C2870" s="26" t="s">
        <v>24</v>
      </c>
      <c r="D2870" s="24" t="str">
        <f>_xll.DBRW("TM1-S1_DEV:}ElementAttributes_SP_SKU",$F2870,D$1)</f>
        <v>Secondary</v>
      </c>
      <c r="E2870" s="24" t="str">
        <f>_xll.DBRW("TM1-S1_DEV:}ElementAttributes_SP_SKU",$F2870,E$1)</f>
        <v>CLEANING</v>
      </c>
      <c r="F2870" s="26" t="s">
        <v>472</v>
      </c>
      <c r="G2870" s="26" t="s">
        <v>2357</v>
      </c>
      <c r="H2870" s="26" t="s">
        <v>2800</v>
      </c>
      <c r="I2870" s="54">
        <f>_xll.DBRW($A$1,$F$14,$F$15,$C2870,$A$2,$F2870,$G2870,$H2870,I$1)</f>
        <v>5</v>
      </c>
      <c r="J2870" s="25">
        <f>_xll.DBRW($A$1,$F$14,$F$15,$C2870,$A$2,$F2870,$G2870,$H2870,J$19)</f>
        <v>7</v>
      </c>
    </row>
    <row r="2871" spans="1:10" s="23" customFormat="1" outlineLevel="1" thickBot="1" x14ac:dyDescent="0.3">
      <c r="A2871" s="44"/>
      <c r="B2871" s="31" t="str">
        <f>IF(_xll.TM1RPTELISCONSOLIDATED($H$20,$H2871),IF(_xll.TM1RPTELLEV($H$20,$H2871)&lt;=5,_xll.TM1RPTELLEV($H$20,$H2871),"Default"),"Leaf")</f>
        <v>Leaf</v>
      </c>
      <c r="C2871" s="26" t="s">
        <v>24</v>
      </c>
      <c r="D2871" s="24" t="str">
        <f>_xll.DBRW("TM1-S1_DEV:}ElementAttributes_SP_SKU",$F2871,D$1)</f>
        <v>Secondary</v>
      </c>
      <c r="E2871" s="24" t="str">
        <f>_xll.DBRW("TM1-S1_DEV:}ElementAttributes_SP_SKU",$F2871,E$1)</f>
        <v>DRINKS</v>
      </c>
      <c r="F2871" s="26" t="s">
        <v>473</v>
      </c>
      <c r="G2871" s="26" t="s">
        <v>2358</v>
      </c>
      <c r="H2871" s="26" t="s">
        <v>2890</v>
      </c>
      <c r="I2871" s="54">
        <f>_xll.DBRW($A$1,$F$14,$F$15,$C2871,$A$2,$F2871,$G2871,$H2871,I$1)</f>
        <v>51</v>
      </c>
      <c r="J2871" s="25">
        <f>_xll.DBRW($A$1,$F$14,$F$15,$C2871,$A$2,$F2871,$G2871,$H2871,J$19)</f>
        <v>51</v>
      </c>
    </row>
    <row r="2872" spans="1:10" s="23" customFormat="1" outlineLevel="1" thickBot="1" x14ac:dyDescent="0.3">
      <c r="A2872" s="44"/>
      <c r="B2872" s="31" t="str">
        <f>IF(_xll.TM1RPTELISCONSOLIDATED($H$20,$H2872),IF(_xll.TM1RPTELLEV($H$20,$H2872)&lt;=5,_xll.TM1RPTELLEV($H$20,$H2872),"Default"),"Leaf")</f>
        <v>Leaf</v>
      </c>
      <c r="C2872" s="26" t="s">
        <v>24</v>
      </c>
      <c r="D2872" s="24" t="str">
        <f>_xll.DBRW("TM1-S1_DEV:}ElementAttributes_SP_SKU",$F2872,D$1)</f>
        <v>Secondary</v>
      </c>
      <c r="E2872" s="24" t="str">
        <f>_xll.DBRW("TM1-S1_DEV:}ElementAttributes_SP_SKU",$F2872,E$1)</f>
        <v>GLOVES</v>
      </c>
      <c r="F2872" s="26" t="s">
        <v>474</v>
      </c>
      <c r="G2872" s="26" t="s">
        <v>2359</v>
      </c>
      <c r="H2872" s="26" t="s">
        <v>2726</v>
      </c>
      <c r="I2872" s="54">
        <f>_xll.DBRW($A$1,$F$14,$F$15,$C2872,$A$2,$F2872,$G2872,$H2872,I$1)</f>
        <v>636</v>
      </c>
      <c r="J2872" s="25">
        <f>_xll.DBRW($A$1,$F$14,$F$15,$C2872,$A$2,$F2872,$G2872,$H2872,J$19)</f>
        <v>936</v>
      </c>
    </row>
    <row r="2873" spans="1:10" s="23" customFormat="1" outlineLevel="1" thickBot="1" x14ac:dyDescent="0.3">
      <c r="A2873" s="44"/>
      <c r="B2873" s="31" t="str">
        <f>IF(_xll.TM1RPTELISCONSOLIDATED($H$20,$H2873),IF(_xll.TM1RPTELLEV($H$20,$H2873)&lt;=5,_xll.TM1RPTELLEV($H$20,$H2873),"Default"),"Leaf")</f>
        <v>Leaf</v>
      </c>
      <c r="C2873" s="26" t="s">
        <v>24</v>
      </c>
      <c r="D2873" s="24" t="str">
        <f>_xll.DBRW("TM1-S1_DEV:}ElementAttributes_SP_SKU",$F2873,D$1)</f>
        <v>Secondary</v>
      </c>
      <c r="E2873" s="24" t="str">
        <f>_xll.DBRW("TM1-S1_DEV:}ElementAttributes_SP_SKU",$F2873,E$1)</f>
        <v>DRINKS</v>
      </c>
      <c r="F2873" s="26" t="s">
        <v>475</v>
      </c>
      <c r="G2873" s="26" t="s">
        <v>2360</v>
      </c>
      <c r="H2873" s="26" t="s">
        <v>2890</v>
      </c>
      <c r="I2873" s="54">
        <f>_xll.DBRW($A$1,$F$14,$F$15,$C2873,$A$2,$F2873,$G2873,$H2873,I$1)</f>
        <v>44</v>
      </c>
      <c r="J2873" s="25">
        <f>_xll.DBRW($A$1,$F$14,$F$15,$C2873,$A$2,$F2873,$G2873,$H2873,J$19)</f>
        <v>44</v>
      </c>
    </row>
    <row r="2874" spans="1:10" s="23" customFormat="1" outlineLevel="1" thickBot="1" x14ac:dyDescent="0.3">
      <c r="A2874" s="44"/>
      <c r="B2874" s="31" t="str">
        <f>IF(_xll.TM1RPTELISCONSOLIDATED($H$20,$H2874),IF(_xll.TM1RPTELLEV($H$20,$H2874)&lt;=5,_xll.TM1RPTELLEV($H$20,$H2874),"Default"),"Leaf")</f>
        <v>Leaf</v>
      </c>
      <c r="C2874" s="26" t="s">
        <v>24</v>
      </c>
      <c r="D2874" s="24" t="str">
        <f>_xll.DBRW("TM1-S1_DEV:}ElementAttributes_SP_SKU",$F2874,D$1)</f>
        <v>Secondary</v>
      </c>
      <c r="E2874" s="24" t="str">
        <f>_xll.DBRW("TM1-S1_DEV:}ElementAttributes_SP_SKU",$F2874,E$1)</f>
        <v>SIDES</v>
      </c>
      <c r="F2874" s="26" t="s">
        <v>476</v>
      </c>
      <c r="G2874" s="26" t="s">
        <v>2361</v>
      </c>
      <c r="H2874" s="26" t="s">
        <v>2899</v>
      </c>
      <c r="I2874" s="54">
        <f>_xll.DBRW($A$1,$F$14,$F$15,$C2874,$A$2,$F2874,$G2874,$H2874,I$1)</f>
        <v>85</v>
      </c>
      <c r="J2874" s="25">
        <f>_xll.DBRW($A$1,$F$14,$F$15,$C2874,$A$2,$F2874,$G2874,$H2874,J$19)</f>
        <v>165</v>
      </c>
    </row>
    <row r="2875" spans="1:10" s="23" customFormat="1" outlineLevel="1" thickBot="1" x14ac:dyDescent="0.3">
      <c r="A2875" s="44"/>
      <c r="B2875" s="31" t="str">
        <f>IF(_xll.TM1RPTELISCONSOLIDATED($H$20,$H2875),IF(_xll.TM1RPTELLEV($H$20,$H2875)&lt;=5,_xll.TM1RPTELLEV($H$20,$H2875),"Default"),"Leaf")</f>
        <v>Leaf</v>
      </c>
      <c r="C2875" s="26" t="s">
        <v>24</v>
      </c>
      <c r="D2875" s="24" t="str">
        <f>_xll.DBRW("TM1-S1_DEV:}ElementAttributes_SP_SKU",$F2875,D$1)</f>
        <v>Secondary</v>
      </c>
      <c r="E2875" s="24" t="str">
        <f>_xll.DBRW("TM1-S1_DEV:}ElementAttributes_SP_SKU",$F2875,E$1)</f>
        <v>DRINKS</v>
      </c>
      <c r="F2875" s="26" t="s">
        <v>477</v>
      </c>
      <c r="G2875" s="26" t="s">
        <v>2362</v>
      </c>
      <c r="H2875" s="26" t="s">
        <v>2712</v>
      </c>
      <c r="I2875" s="54">
        <f>_xll.DBRW($A$1,$F$14,$F$15,$C2875,$A$2,$F2875,$G2875,$H2875,I$1)</f>
        <v>20</v>
      </c>
      <c r="J2875" s="25">
        <f>_xll.DBRW($A$1,$F$14,$F$15,$C2875,$A$2,$F2875,$G2875,$H2875,J$19)</f>
        <v>20</v>
      </c>
    </row>
    <row r="2876" spans="1:10" s="23" customFormat="1" outlineLevel="1" thickBot="1" x14ac:dyDescent="0.3">
      <c r="A2876" s="44"/>
      <c r="B2876" s="31" t="str">
        <f>IF(_xll.TM1RPTELISCONSOLIDATED($H$20,$H2876),IF(_xll.TM1RPTELLEV($H$20,$H2876)&lt;=5,_xll.TM1RPTELLEV($H$20,$H2876),"Default"),"Leaf")</f>
        <v>Leaf</v>
      </c>
      <c r="C2876" s="26" t="s">
        <v>24</v>
      </c>
      <c r="D2876" s="24" t="str">
        <f>_xll.DBRW("TM1-S1_DEV:}ElementAttributes_SP_SKU",$F2876,D$1)</f>
        <v>Secondary</v>
      </c>
      <c r="E2876" s="24" t="str">
        <f>_xll.DBRW("TM1-S1_DEV:}ElementAttributes_SP_SKU",$F2876,E$1)</f>
        <v>DRINKS</v>
      </c>
      <c r="F2876" s="26" t="s">
        <v>477</v>
      </c>
      <c r="G2876" s="26" t="s">
        <v>2363</v>
      </c>
      <c r="H2876" s="26" t="s">
        <v>2746</v>
      </c>
      <c r="I2876" s="54">
        <f>_xll.DBRW($A$1,$F$14,$F$15,$C2876,$A$2,$F2876,$G2876,$H2876,I$1)</f>
        <v>150</v>
      </c>
      <c r="J2876" s="25">
        <f>_xll.DBRW($A$1,$F$14,$F$15,$C2876,$A$2,$F2876,$G2876,$H2876,J$19)</f>
        <v>250</v>
      </c>
    </row>
    <row r="2877" spans="1:10" s="23" customFormat="1" outlineLevel="1" thickBot="1" x14ac:dyDescent="0.3">
      <c r="A2877" s="44"/>
      <c r="B2877" s="31" t="str">
        <f>IF(_xll.TM1RPTELISCONSOLIDATED($H$20,$H2877),IF(_xll.TM1RPTELLEV($H$20,$H2877)&lt;=5,_xll.TM1RPTELLEV($H$20,$H2877),"Default"),"Leaf")</f>
        <v>Leaf</v>
      </c>
      <c r="C2877" s="26" t="s">
        <v>24</v>
      </c>
      <c r="D2877" s="24" t="str">
        <f>_xll.DBRW("TM1-S1_DEV:}ElementAttributes_SP_SKU",$F2877,D$1)</f>
        <v>Secondary</v>
      </c>
      <c r="E2877" s="24" t="str">
        <f>_xll.DBRW("TM1-S1_DEV:}ElementAttributes_SP_SKU",$F2877,E$1)</f>
        <v>PRODUCE</v>
      </c>
      <c r="F2877" s="26" t="s">
        <v>478</v>
      </c>
      <c r="G2877" s="26" t="s">
        <v>2364</v>
      </c>
      <c r="H2877" s="26" t="s">
        <v>2895</v>
      </c>
      <c r="I2877" s="54">
        <f>_xll.DBRW($A$1,$F$14,$F$15,$C2877,$A$2,$F2877,$G2877,$H2877,I$1)</f>
        <v>0</v>
      </c>
      <c r="J2877" s="25">
        <f>_xll.DBRW($A$1,$F$14,$F$15,$C2877,$A$2,$F2877,$G2877,$H2877,J$19)</f>
        <v>12</v>
      </c>
    </row>
    <row r="2878" spans="1:10" s="23" customFormat="1" outlineLevel="1" thickBot="1" x14ac:dyDescent="0.3">
      <c r="A2878" s="44"/>
      <c r="B2878" s="31" t="str">
        <f>IF(_xll.TM1RPTELISCONSOLIDATED($H$20,$H2878),IF(_xll.TM1RPTELLEV($H$20,$H2878)&lt;=5,_xll.TM1RPTELLEV($H$20,$H2878),"Default"),"Leaf")</f>
        <v>Leaf</v>
      </c>
      <c r="C2878" s="26" t="s">
        <v>24</v>
      </c>
      <c r="D2878" s="24" t="str">
        <f>_xll.DBRW("TM1-S1_DEV:}ElementAttributes_SP_SKU",$F2878,D$1)</f>
        <v>Secondary</v>
      </c>
      <c r="E2878" s="24" t="str">
        <f>_xll.DBRW("TM1-S1_DEV:}ElementAttributes_SP_SKU",$F2878,E$1)</f>
        <v>PAPER</v>
      </c>
      <c r="F2878" s="26" t="s">
        <v>479</v>
      </c>
      <c r="G2878" s="26" t="s">
        <v>2365</v>
      </c>
      <c r="H2878" s="26" t="s">
        <v>2761</v>
      </c>
      <c r="I2878" s="54">
        <f>_xll.DBRW($A$1,$F$14,$F$15,$C2878,$A$2,$F2878,$G2878,$H2878,I$1)</f>
        <v>29</v>
      </c>
      <c r="J2878" s="25">
        <f>_xll.DBRW($A$1,$F$14,$F$15,$C2878,$A$2,$F2878,$G2878,$H2878,J$19)</f>
        <v>69</v>
      </c>
    </row>
    <row r="2879" spans="1:10" s="23" customFormat="1" outlineLevel="1" thickBot="1" x14ac:dyDescent="0.3">
      <c r="A2879" s="44"/>
      <c r="B2879" s="31" t="str">
        <f>IF(_xll.TM1RPTELISCONSOLIDATED($H$20,$H2879),IF(_xll.TM1RPTELLEV($H$20,$H2879)&lt;=5,_xll.TM1RPTELLEV($H$20,$H2879),"Default"),"Leaf")</f>
        <v>Leaf</v>
      </c>
      <c r="C2879" s="26" t="s">
        <v>24</v>
      </c>
      <c r="D2879" s="24" t="str">
        <f>_xll.DBRW("TM1-S1_DEV:}ElementAttributes_SP_SKU",$F2879,D$1)</f>
        <v>Secondary</v>
      </c>
      <c r="E2879" s="24" t="str">
        <f>_xll.DBRW("TM1-S1_DEV:}ElementAttributes_SP_SKU",$F2879,E$1)</f>
        <v>MINT</v>
      </c>
      <c r="F2879" s="26" t="s">
        <v>480</v>
      </c>
      <c r="G2879" s="26" t="s">
        <v>2366</v>
      </c>
      <c r="H2879" s="26" t="s">
        <v>2813</v>
      </c>
      <c r="I2879" s="54">
        <f>_xll.DBRW($A$1,$F$14,$F$15,$C2879,$A$2,$F2879,$G2879,$H2879,I$1)</f>
        <v>27</v>
      </c>
      <c r="J2879" s="25">
        <f>_xll.DBRW($A$1,$F$14,$F$15,$C2879,$A$2,$F2879,$G2879,$H2879,J$19)</f>
        <v>27</v>
      </c>
    </row>
    <row r="2880" spans="1:10" s="23" customFormat="1" outlineLevel="1" thickBot="1" x14ac:dyDescent="0.3">
      <c r="A2880" s="44"/>
      <c r="B2880" s="31" t="str">
        <f>IF(_xll.TM1RPTELISCONSOLIDATED($H$20,$H2880),IF(_xll.TM1RPTELLEV($H$20,$H2880)&lt;=5,_xll.TM1RPTELLEV($H$20,$H2880),"Default"),"Leaf")</f>
        <v>Leaf</v>
      </c>
      <c r="C2880" s="26" t="s">
        <v>24</v>
      </c>
      <c r="D2880" s="24" t="str">
        <f>_xll.DBRW("TM1-S1_DEV:}ElementAttributes_SP_SKU",$F2880,D$1)</f>
        <v>Secondary</v>
      </c>
      <c r="E2880" s="24" t="str">
        <f>_xll.DBRW("TM1-S1_DEV:}ElementAttributes_SP_SKU",$F2880,E$1)</f>
        <v>PAPER</v>
      </c>
      <c r="F2880" s="26" t="s">
        <v>481</v>
      </c>
      <c r="G2880" s="26" t="s">
        <v>2367</v>
      </c>
      <c r="H2880" s="26" t="s">
        <v>2900</v>
      </c>
      <c r="I2880" s="54">
        <f>_xll.DBRW($A$1,$F$14,$F$15,$C2880,$A$2,$F2880,$G2880,$H2880,I$1)</f>
        <v>59</v>
      </c>
      <c r="J2880" s="25">
        <f>_xll.DBRW($A$1,$F$14,$F$15,$C2880,$A$2,$F2880,$G2880,$H2880,J$19)</f>
        <v>59</v>
      </c>
    </row>
    <row r="2881" spans="1:10" s="23" customFormat="1" outlineLevel="1" thickBot="1" x14ac:dyDescent="0.3">
      <c r="A2881" s="44"/>
      <c r="B2881" s="31" t="str">
        <f>IF(_xll.TM1RPTELISCONSOLIDATED($H$20,$H2881),IF(_xll.TM1RPTELLEV($H$20,$H2881)&lt;=5,_xll.TM1RPTELLEV($H$20,$H2881),"Default"),"Leaf")</f>
        <v>Leaf</v>
      </c>
      <c r="C2881" s="26" t="s">
        <v>24</v>
      </c>
      <c r="D2881" s="24" t="str">
        <f>_xll.DBRW("TM1-S1_DEV:}ElementAttributes_SP_SKU",$F2881,D$1)</f>
        <v>Secondary</v>
      </c>
      <c r="E2881" s="24" t="str">
        <f>_xll.DBRW("TM1-S1_DEV:}ElementAttributes_SP_SKU",$F2881,E$1)</f>
        <v>BAG</v>
      </c>
      <c r="F2881" s="26" t="s">
        <v>482</v>
      </c>
      <c r="G2881" s="26" t="s">
        <v>2368</v>
      </c>
      <c r="H2881" s="26" t="s">
        <v>2901</v>
      </c>
      <c r="I2881" s="54">
        <f>_xll.DBRW($A$1,$F$14,$F$15,$C2881,$A$2,$F2881,$G2881,$H2881,I$1)</f>
        <v>15</v>
      </c>
      <c r="J2881" s="25">
        <f>_xll.DBRW($A$1,$F$14,$F$15,$C2881,$A$2,$F2881,$G2881,$H2881,J$19)</f>
        <v>15</v>
      </c>
    </row>
    <row r="2882" spans="1:10" s="23" customFormat="1" outlineLevel="1" thickBot="1" x14ac:dyDescent="0.3">
      <c r="A2882" s="44"/>
      <c r="B2882" s="31" t="str">
        <f>IF(_xll.TM1RPTELISCONSOLIDATED($H$20,$H2882),IF(_xll.TM1RPTELLEV($H$20,$H2882)&lt;=5,_xll.TM1RPTELLEV($H$20,$H2882),"Default"),"Leaf")</f>
        <v>Leaf</v>
      </c>
      <c r="C2882" s="26" t="s">
        <v>24</v>
      </c>
      <c r="D2882" s="24" t="str">
        <f>_xll.DBRW("TM1-S1_DEV:}ElementAttributes_SP_SKU",$F2882,D$1)</f>
        <v>Secondary</v>
      </c>
      <c r="E2882" s="24" t="str">
        <f>_xll.DBRW("TM1-S1_DEV:}ElementAttributes_SP_SKU",$F2882,E$1)</f>
        <v>BAG</v>
      </c>
      <c r="F2882" s="26" t="s">
        <v>483</v>
      </c>
      <c r="G2882" s="26" t="s">
        <v>2369</v>
      </c>
      <c r="H2882" s="26" t="s">
        <v>2901</v>
      </c>
      <c r="I2882" s="54">
        <f>_xll.DBRW($A$1,$F$14,$F$15,$C2882,$A$2,$F2882,$G2882,$H2882,I$1)</f>
        <v>27</v>
      </c>
      <c r="J2882" s="25">
        <f>_xll.DBRW($A$1,$F$14,$F$15,$C2882,$A$2,$F2882,$G2882,$H2882,J$19)</f>
        <v>45</v>
      </c>
    </row>
    <row r="2883" spans="1:10" s="23" customFormat="1" outlineLevel="1" thickBot="1" x14ac:dyDescent="0.3">
      <c r="A2883" s="44"/>
      <c r="B2883" s="31" t="str">
        <f>IF(_xll.TM1RPTELISCONSOLIDATED($H$20,$H2883),IF(_xll.TM1RPTELLEV($H$20,$H2883)&lt;=5,_xll.TM1RPTELLEV($H$20,$H2883),"Default"),"Leaf")</f>
        <v>Leaf</v>
      </c>
      <c r="C2883" s="26" t="s">
        <v>24</v>
      </c>
      <c r="D2883" s="24" t="str">
        <f>_xll.DBRW("TM1-S1_DEV:}ElementAttributes_SP_SKU",$F2883,D$1)</f>
        <v>Secondary</v>
      </c>
      <c r="E2883" s="24" t="str">
        <f>_xll.DBRW("TM1-S1_DEV:}ElementAttributes_SP_SKU",$F2883,E$1)</f>
        <v>CUP</v>
      </c>
      <c r="F2883" s="26" t="s">
        <v>484</v>
      </c>
      <c r="G2883" s="26" t="s">
        <v>2370</v>
      </c>
      <c r="H2883" s="26" t="s">
        <v>2787</v>
      </c>
      <c r="I2883" s="54">
        <f>_xll.DBRW($A$1,$F$14,$F$15,$C2883,$A$2,$F2883,$G2883,$H2883,I$1)</f>
        <v>108</v>
      </c>
      <c r="J2883" s="25">
        <f>_xll.DBRW($A$1,$F$14,$F$15,$C2883,$A$2,$F2883,$G2883,$H2883,J$19)</f>
        <v>208</v>
      </c>
    </row>
    <row r="2884" spans="1:10" s="23" customFormat="1" outlineLevel="1" thickBot="1" x14ac:dyDescent="0.3">
      <c r="A2884" s="44"/>
      <c r="B2884" s="31" t="str">
        <f>IF(_xll.TM1RPTELISCONSOLIDATED($H$20,$H2884),IF(_xll.TM1RPTELLEV($H$20,$H2884)&lt;=5,_xll.TM1RPTELLEV($H$20,$H2884),"Default"),"Leaf")</f>
        <v>Leaf</v>
      </c>
      <c r="C2884" s="26" t="s">
        <v>24</v>
      </c>
      <c r="D2884" s="24" t="str">
        <f>_xll.DBRW("TM1-S1_DEV:}ElementAttributes_SP_SKU",$F2884,D$1)</f>
        <v>Secondary</v>
      </c>
      <c r="E2884" s="24" t="str">
        <f>_xll.DBRW("TM1-S1_DEV:}ElementAttributes_SP_SKU",$F2884,E$1)</f>
        <v>CUP</v>
      </c>
      <c r="F2884" s="26" t="s">
        <v>485</v>
      </c>
      <c r="G2884" s="26" t="s">
        <v>2371</v>
      </c>
      <c r="H2884" s="26" t="s">
        <v>2861</v>
      </c>
      <c r="I2884" s="54">
        <f>_xll.DBRW($A$1,$F$14,$F$15,$C2884,$A$2,$F2884,$G2884,$H2884,I$1)</f>
        <v>270</v>
      </c>
      <c r="J2884" s="25">
        <f>_xll.DBRW($A$1,$F$14,$F$15,$C2884,$A$2,$F2884,$G2884,$H2884,J$19)</f>
        <v>498</v>
      </c>
    </row>
    <row r="2885" spans="1:10" s="23" customFormat="1" outlineLevel="1" thickBot="1" x14ac:dyDescent="0.3">
      <c r="A2885" s="44"/>
      <c r="B2885" s="31" t="str">
        <f>IF(_xll.TM1RPTELISCONSOLIDATED($H$20,$H2885),IF(_xll.TM1RPTELLEV($H$20,$H2885)&lt;=5,_xll.TM1RPTELLEV($H$20,$H2885),"Default"),"Leaf")</f>
        <v>Leaf</v>
      </c>
      <c r="C2885" s="26" t="s">
        <v>24</v>
      </c>
      <c r="D2885" s="24" t="str">
        <f>_xll.DBRW("TM1-S1_DEV:}ElementAttributes_SP_SKU",$F2885,D$1)</f>
        <v>Secondary</v>
      </c>
      <c r="E2885" s="24" t="str">
        <f>_xll.DBRW("TM1-S1_DEV:}ElementAttributes_SP_SKU",$F2885,E$1)</f>
        <v>DRINKS</v>
      </c>
      <c r="F2885" s="26" t="s">
        <v>486</v>
      </c>
      <c r="G2885" s="26" t="s">
        <v>2372</v>
      </c>
      <c r="H2885" s="26" t="s">
        <v>2746</v>
      </c>
      <c r="I2885" s="54">
        <f>_xll.DBRW($A$1,$F$14,$F$15,$C2885,$A$2,$F2885,$G2885,$H2885,I$1)</f>
        <v>26</v>
      </c>
      <c r="J2885" s="25">
        <f>_xll.DBRW($A$1,$F$14,$F$15,$C2885,$A$2,$F2885,$G2885,$H2885,J$19)</f>
        <v>46</v>
      </c>
    </row>
    <row r="2886" spans="1:10" s="23" customFormat="1" outlineLevel="1" thickBot="1" x14ac:dyDescent="0.3">
      <c r="A2886" s="44"/>
      <c r="B2886" s="31" t="str">
        <f>IF(_xll.TM1RPTELISCONSOLIDATED($H$20,$H2886),IF(_xll.TM1RPTELLEV($H$20,$H2886)&lt;=5,_xll.TM1RPTELLEV($H$20,$H2886),"Default"),"Leaf")</f>
        <v>Leaf</v>
      </c>
      <c r="C2886" s="26" t="s">
        <v>24</v>
      </c>
      <c r="D2886" s="24" t="str">
        <f>_xll.DBRW("TM1-S1_DEV:}ElementAttributes_SP_SKU",$F2886,D$1)</f>
        <v>Secondary</v>
      </c>
      <c r="E2886" s="24" t="str">
        <f>_xll.DBRW("TM1-S1_DEV:}ElementAttributes_SP_SKU",$F2886,E$1)</f>
        <v>PAPER</v>
      </c>
      <c r="F2886" s="26" t="s">
        <v>487</v>
      </c>
      <c r="G2886" s="26" t="s">
        <v>2373</v>
      </c>
      <c r="H2886" s="26" t="s">
        <v>2883</v>
      </c>
      <c r="I2886" s="54">
        <f>_xll.DBRW($A$1,$F$14,$F$15,$C2886,$A$2,$F2886,$G2886,$H2886,I$1)</f>
        <v>128</v>
      </c>
      <c r="J2886" s="25">
        <f>_xll.DBRW($A$1,$F$14,$F$15,$C2886,$A$2,$F2886,$G2886,$H2886,J$19)</f>
        <v>128</v>
      </c>
    </row>
    <row r="2887" spans="1:10" s="23" customFormat="1" outlineLevel="1" thickBot="1" x14ac:dyDescent="0.3">
      <c r="A2887" s="44"/>
      <c r="B2887" s="31" t="str">
        <f>IF(_xll.TM1RPTELISCONSOLIDATED($H$20,$H2887),IF(_xll.TM1RPTELLEV($H$20,$H2887)&lt;=5,_xll.TM1RPTELLEV($H$20,$H2887),"Default"),"Leaf")</f>
        <v>Leaf</v>
      </c>
      <c r="C2887" s="26" t="s">
        <v>24</v>
      </c>
      <c r="D2887" s="24" t="str">
        <f>_xll.DBRW("TM1-S1_DEV:}ElementAttributes_SP_SKU",$F2887,D$1)</f>
        <v>Secondary</v>
      </c>
      <c r="E2887" s="24" t="str">
        <f>_xll.DBRW("TM1-S1_DEV:}ElementAttributes_SP_SKU",$F2887,E$1)</f>
        <v>BOWL</v>
      </c>
      <c r="F2887" s="26" t="s">
        <v>488</v>
      </c>
      <c r="G2887" s="26" t="s">
        <v>2374</v>
      </c>
      <c r="H2887" s="26" t="s">
        <v>2787</v>
      </c>
      <c r="I2887" s="54">
        <f>_xll.DBRW($A$1,$F$14,$F$15,$C2887,$A$2,$F2887,$G2887,$H2887,I$1)</f>
        <v>0</v>
      </c>
      <c r="J2887" s="25">
        <f>_xll.DBRW($A$1,$F$14,$F$15,$C2887,$A$2,$F2887,$G2887,$H2887,J$19)</f>
        <v>18</v>
      </c>
    </row>
    <row r="2888" spans="1:10" s="23" customFormat="1" outlineLevel="1" thickBot="1" x14ac:dyDescent="0.3">
      <c r="A2888" s="44"/>
      <c r="B2888" s="31" t="str">
        <f>IF(_xll.TM1RPTELISCONSOLIDATED($H$20,$H2888),IF(_xll.TM1RPTELLEV($H$20,$H2888)&lt;=5,_xll.TM1RPTELLEV($H$20,$H2888),"Default"),"Leaf")</f>
        <v>Leaf</v>
      </c>
      <c r="C2888" s="26" t="s">
        <v>24</v>
      </c>
      <c r="D2888" s="24" t="str">
        <f>_xll.DBRW("TM1-S1_DEV:}ElementAttributes_SP_SKU",$F2888,D$1)</f>
        <v>Secondary</v>
      </c>
      <c r="E2888" s="24" t="str">
        <f>_xll.DBRW("TM1-S1_DEV:}ElementAttributes_SP_SKU",$F2888,E$1)</f>
        <v>BAG</v>
      </c>
      <c r="F2888" s="26" t="s">
        <v>489</v>
      </c>
      <c r="G2888" s="26" t="s">
        <v>2375</v>
      </c>
      <c r="H2888" s="26" t="s">
        <v>2901</v>
      </c>
      <c r="I2888" s="54">
        <f>_xll.DBRW($A$1,$F$14,$F$15,$C2888,$A$2,$F2888,$G2888,$H2888,I$1)</f>
        <v>16</v>
      </c>
      <c r="J2888" s="25">
        <f>_xll.DBRW($A$1,$F$14,$F$15,$C2888,$A$2,$F2888,$G2888,$H2888,J$19)</f>
        <v>16</v>
      </c>
    </row>
    <row r="2889" spans="1:10" s="23" customFormat="1" outlineLevel="1" thickBot="1" x14ac:dyDescent="0.3">
      <c r="A2889" s="44"/>
      <c r="B2889" s="31" t="str">
        <f>IF(_xll.TM1RPTELISCONSOLIDATED($H$20,$H2889),IF(_xll.TM1RPTELLEV($H$20,$H2889)&lt;=5,_xll.TM1RPTELLEV($H$20,$H2889),"Default"),"Leaf")</f>
        <v>Leaf</v>
      </c>
      <c r="C2889" s="26" t="s">
        <v>24</v>
      </c>
      <c r="D2889" s="24" t="str">
        <f>_xll.DBRW("TM1-S1_DEV:}ElementAttributes_SP_SKU",$F2889,D$1)</f>
        <v>Secondary</v>
      </c>
      <c r="E2889" s="24" t="str">
        <f>_xll.DBRW("TM1-S1_DEV:}ElementAttributes_SP_SKU",$F2889,E$1)</f>
        <v>PAPER</v>
      </c>
      <c r="F2889" s="26" t="s">
        <v>490</v>
      </c>
      <c r="G2889" s="26" t="s">
        <v>2306</v>
      </c>
      <c r="H2889" s="26" t="s">
        <v>2712</v>
      </c>
      <c r="I2889" s="54">
        <f>_xll.DBRW($A$1,$F$14,$F$15,$C2889,$A$2,$F2889,$G2889,$H2889,I$1)</f>
        <v>17</v>
      </c>
      <c r="J2889" s="25">
        <f>_xll.DBRW($A$1,$F$14,$F$15,$C2889,$A$2,$F2889,$G2889,$H2889,J$19)</f>
        <v>17</v>
      </c>
    </row>
    <row r="2890" spans="1:10" s="23" customFormat="1" outlineLevel="1" thickBot="1" x14ac:dyDescent="0.3">
      <c r="A2890" s="44"/>
      <c r="B2890" s="31" t="str">
        <f>IF(_xll.TM1RPTELISCONSOLIDATED($H$20,$H2890),IF(_xll.TM1RPTELLEV($H$20,$H2890)&lt;=5,_xll.TM1RPTELLEV($H$20,$H2890),"Default"),"Leaf")</f>
        <v>Leaf</v>
      </c>
      <c r="C2890" s="26" t="s">
        <v>24</v>
      </c>
      <c r="D2890" s="24" t="str">
        <f>_xll.DBRW("TM1-S1_DEV:}ElementAttributes_SP_SKU",$F2890,D$1)</f>
        <v>Primary</v>
      </c>
      <c r="E2890" s="24" t="str">
        <f>_xll.DBRW("TM1-S1_DEV:}ElementAttributes_SP_SKU",$F2890,E$1)</f>
        <v>INGREDIENT</v>
      </c>
      <c r="F2890" s="26" t="s">
        <v>3240</v>
      </c>
      <c r="G2890" s="26" t="s">
        <v>1356</v>
      </c>
      <c r="H2890" s="26" t="s">
        <v>2728</v>
      </c>
      <c r="I2890" s="54">
        <f>_xll.DBRW($A$1,$F$14,$F$15,$C2890,$A$2,$F2890,$G2890,$H2890,I$1)</f>
        <v>18</v>
      </c>
      <c r="J2890" s="25">
        <f>_xll.DBRW($A$1,$F$14,$F$15,$C2890,$A$2,$F2890,$G2890,$H2890,J$19)</f>
        <v>12</v>
      </c>
    </row>
    <row r="2891" spans="1:10" s="23" customFormat="1" outlineLevel="1" thickBot="1" x14ac:dyDescent="0.3">
      <c r="A2891" s="44"/>
      <c r="B2891" s="31" t="str">
        <f>IF(_xll.TM1RPTELISCONSOLIDATED($H$20,$H2891),IF(_xll.TM1RPTELLEV($H$20,$H2891)&lt;=5,_xll.TM1RPTELLEV($H$20,$H2891),"Default"),"Leaf")</f>
        <v>Leaf</v>
      </c>
      <c r="C2891" s="26" t="s">
        <v>24</v>
      </c>
      <c r="D2891" s="24" t="str">
        <f>_xll.DBRW("TM1-S1_DEV:}ElementAttributes_SP_SKU",$F2891,D$1)</f>
        <v>Primary</v>
      </c>
      <c r="E2891" s="24" t="str">
        <f>_xll.DBRW("TM1-S1_DEV:}ElementAttributes_SP_SKU",$F2891,E$1)</f>
        <v>INGREDIENT</v>
      </c>
      <c r="F2891" s="26" t="s">
        <v>3241</v>
      </c>
      <c r="G2891" s="26" t="s">
        <v>2376</v>
      </c>
      <c r="H2891" s="26" t="s">
        <v>2734</v>
      </c>
      <c r="I2891" s="54">
        <f>_xll.DBRW($A$1,$F$14,$F$15,$C2891,$A$2,$F2891,$G2891,$H2891,I$1)</f>
        <v>3508</v>
      </c>
      <c r="J2891" s="25">
        <f>_xll.DBRW($A$1,$F$14,$F$15,$C2891,$A$2,$F2891,$G2891,$H2891,J$19)</f>
        <v>3508</v>
      </c>
    </row>
    <row r="2892" spans="1:10" s="23" customFormat="1" outlineLevel="1" thickBot="1" x14ac:dyDescent="0.3">
      <c r="A2892" s="44"/>
      <c r="B2892" s="31" t="str">
        <f>IF(_xll.TM1RPTELISCONSOLIDATED($H$20,$H2892),IF(_xll.TM1RPTELLEV($H$20,$H2892)&lt;=5,_xll.TM1RPTELLEV($H$20,$H2892),"Default"),"Leaf")</f>
        <v>Leaf</v>
      </c>
      <c r="C2892" s="26" t="s">
        <v>24</v>
      </c>
      <c r="D2892" s="24" t="str">
        <f>_xll.DBRW("TM1-S1_DEV:}ElementAttributes_SP_SKU",$F2892,D$1)</f>
        <v>Primary</v>
      </c>
      <c r="E2892" s="24" t="str">
        <f>_xll.DBRW("TM1-S1_DEV:}ElementAttributes_SP_SKU",$F2892,E$1)</f>
        <v>INGREDIENT</v>
      </c>
      <c r="F2892" s="26" t="s">
        <v>3241</v>
      </c>
      <c r="G2892" s="26" t="s">
        <v>2377</v>
      </c>
      <c r="H2892" s="26" t="s">
        <v>2729</v>
      </c>
      <c r="I2892" s="54">
        <f>_xll.DBRW($A$1,$F$14,$F$15,$C2892,$A$2,$F2892,$G2892,$H2892,I$1)</f>
        <v>279</v>
      </c>
      <c r="J2892" s="25">
        <f>_xll.DBRW($A$1,$F$14,$F$15,$C2892,$A$2,$F2892,$G2892,$H2892,J$19)</f>
        <v>213</v>
      </c>
    </row>
    <row r="2893" spans="1:10" s="23" customFormat="1" outlineLevel="1" thickBot="1" x14ac:dyDescent="0.3">
      <c r="A2893" s="44"/>
      <c r="B2893" s="31" t="str">
        <f>IF(_xll.TM1RPTELISCONSOLIDATED($H$20,$H2893),IF(_xll.TM1RPTELLEV($H$20,$H2893)&lt;=5,_xll.TM1RPTELLEV($H$20,$H2893),"Default"),"Leaf")</f>
        <v>Leaf</v>
      </c>
      <c r="C2893" s="26" t="s">
        <v>24</v>
      </c>
      <c r="D2893" s="24" t="str">
        <f>_xll.DBRW("TM1-S1_DEV:}ElementAttributes_SP_SKU",$F2893,D$1)</f>
        <v>Primary</v>
      </c>
      <c r="E2893" s="24" t="str">
        <f>_xll.DBRW("TM1-S1_DEV:}ElementAttributes_SP_SKU",$F2893,E$1)</f>
        <v>GEL</v>
      </c>
      <c r="F2893" s="26" t="s">
        <v>98</v>
      </c>
      <c r="G2893" s="26" t="s">
        <v>2378</v>
      </c>
      <c r="H2893" s="26" t="s">
        <v>2762</v>
      </c>
      <c r="I2893" s="54">
        <f>_xll.DBRW($A$1,$F$14,$F$15,$C2893,$A$2,$F2893,$G2893,$H2893,I$1)</f>
        <v>4</v>
      </c>
      <c r="J2893" s="25">
        <f>_xll.DBRW($A$1,$F$14,$F$15,$C2893,$A$2,$F2893,$G2893,$H2893,J$19)</f>
        <v>4</v>
      </c>
    </row>
    <row r="2894" spans="1:10" s="23" customFormat="1" outlineLevel="1" thickBot="1" x14ac:dyDescent="0.3">
      <c r="A2894" s="44"/>
      <c r="B2894" s="31" t="str">
        <f>IF(_xll.TM1RPTELISCONSOLIDATED($H$20,$H2894),IF(_xll.TM1RPTELLEV($H$20,$H2894)&lt;=5,_xll.TM1RPTELLEV($H$20,$H2894),"Default"),"Leaf")</f>
        <v>Leaf</v>
      </c>
      <c r="C2894" s="26" t="s">
        <v>24</v>
      </c>
      <c r="D2894" s="24" t="str">
        <f>_xll.DBRW("TM1-S1_DEV:}ElementAttributes_SP_SKU",$F2894,D$1)</f>
        <v>Primary</v>
      </c>
      <c r="E2894" s="24" t="str">
        <f>_xll.DBRW("TM1-S1_DEV:}ElementAttributes_SP_SKU",$F2894,E$1)</f>
        <v>DRINKS</v>
      </c>
      <c r="F2894" s="26" t="s">
        <v>3267</v>
      </c>
      <c r="G2894" s="26" t="s">
        <v>2379</v>
      </c>
      <c r="H2894" s="26" t="s">
        <v>2764</v>
      </c>
      <c r="I2894" s="54">
        <f>_xll.DBRW($A$1,$F$14,$F$15,$C2894,$A$2,$F2894,$G2894,$H2894,I$1)</f>
        <v>8</v>
      </c>
      <c r="J2894" s="25">
        <f>_xll.DBRW($A$1,$F$14,$F$15,$C2894,$A$2,$F2894,$G2894,$H2894,J$19)</f>
        <v>8</v>
      </c>
    </row>
    <row r="2895" spans="1:10" s="23" customFormat="1" outlineLevel="1" thickBot="1" x14ac:dyDescent="0.3">
      <c r="A2895" s="44"/>
      <c r="B2895" s="31" t="str">
        <f>IF(_xll.TM1RPTELISCONSOLIDATED($H$20,$H2895),IF(_xll.TM1RPTELLEV($H$20,$H2895)&lt;=5,_xll.TM1RPTELLEV($H$20,$H2895),"Default"),"Leaf")</f>
        <v>Leaf</v>
      </c>
      <c r="C2895" s="26" t="s">
        <v>24</v>
      </c>
      <c r="D2895" s="24" t="str">
        <f>_xll.DBRW("TM1-S1_DEV:}ElementAttributes_SP_SKU",$F2895,D$1)</f>
        <v>Primary</v>
      </c>
      <c r="E2895" s="24" t="str">
        <f>_xll.DBRW("TM1-S1_DEV:}ElementAttributes_SP_SKU",$F2895,E$1)</f>
        <v>CONTAINER</v>
      </c>
      <c r="F2895" s="26" t="s">
        <v>3242</v>
      </c>
      <c r="G2895" s="26" t="s">
        <v>2380</v>
      </c>
      <c r="H2895" s="26" t="s">
        <v>2708</v>
      </c>
      <c r="I2895" s="54">
        <f>_xll.DBRW($A$1,$F$14,$F$15,$C2895,$A$2,$F2895,$G2895,$H2895,I$1)</f>
        <v>49</v>
      </c>
      <c r="J2895" s="25">
        <f>_xll.DBRW($A$1,$F$14,$F$15,$C2895,$A$2,$F2895,$G2895,$H2895,J$19)</f>
        <v>45</v>
      </c>
    </row>
    <row r="2896" spans="1:10" s="23" customFormat="1" outlineLevel="1" thickBot="1" x14ac:dyDescent="0.3">
      <c r="A2896" s="44"/>
      <c r="B2896" s="31" t="str">
        <f>IF(_xll.TM1RPTELISCONSOLIDATED($H$20,$H2896),IF(_xll.TM1RPTELLEV($H$20,$H2896)&lt;=5,_xll.TM1RPTELLEV($H$20,$H2896),"Default"),"Leaf")</f>
        <v>Leaf</v>
      </c>
      <c r="C2896" s="26" t="s">
        <v>24</v>
      </c>
      <c r="D2896" s="24" t="str">
        <f>_xll.DBRW("TM1-S1_DEV:}ElementAttributes_SP_SKU",$F2896,D$1)</f>
        <v>Primary</v>
      </c>
      <c r="E2896" s="24" t="str">
        <f>_xll.DBRW("TM1-S1_DEV:}ElementAttributes_SP_SKU",$F2896,E$1)</f>
        <v>PAPER</v>
      </c>
      <c r="F2896" s="26" t="s">
        <v>3243</v>
      </c>
      <c r="G2896" s="26" t="s">
        <v>2381</v>
      </c>
      <c r="H2896" s="26" t="s">
        <v>2730</v>
      </c>
      <c r="I2896" s="54">
        <f>_xll.DBRW($A$1,$F$14,$F$15,$C2896,$A$2,$F2896,$G2896,$H2896,I$1)</f>
        <v>11</v>
      </c>
      <c r="J2896" s="25">
        <f>_xll.DBRW($A$1,$F$14,$F$15,$C2896,$A$2,$F2896,$G2896,$H2896,J$19)</f>
        <v>10</v>
      </c>
    </row>
    <row r="2897" spans="1:10" s="23" customFormat="1" outlineLevel="1" thickBot="1" x14ac:dyDescent="0.3">
      <c r="A2897" s="44"/>
      <c r="B2897" s="31" t="str">
        <f>IF(_xll.TM1RPTELISCONSOLIDATED($H$20,$H2897),IF(_xll.TM1RPTELLEV($H$20,$H2897)&lt;=5,_xll.TM1RPTELLEV($H$20,$H2897),"Default"),"Leaf")</f>
        <v>Leaf</v>
      </c>
      <c r="C2897" s="26" t="s">
        <v>24</v>
      </c>
      <c r="D2897" s="24" t="str">
        <f>_xll.DBRW("TM1-S1_DEV:}ElementAttributes_SP_SKU",$F2897,D$1)</f>
        <v>Primary</v>
      </c>
      <c r="E2897" s="24" t="str">
        <f>_xll.DBRW("TM1-S1_DEV:}ElementAttributes_SP_SKU",$F2897,E$1)</f>
        <v>PROTEIN</v>
      </c>
      <c r="F2897" s="26" t="s">
        <v>3244</v>
      </c>
      <c r="G2897" s="26" t="s">
        <v>3042</v>
      </c>
      <c r="H2897" s="26" t="s">
        <v>2670</v>
      </c>
      <c r="I2897" s="54">
        <f>_xll.DBRW($A$1,$F$14,$F$15,$C2897,$A$2,$F2897,$G2897,$H2897,I$1)</f>
        <v>0</v>
      </c>
      <c r="J2897" s="25">
        <f>_xll.DBRW($A$1,$F$14,$F$15,$C2897,$A$2,$F2897,$G2897,$H2897,J$19)</f>
        <v>52</v>
      </c>
    </row>
    <row r="2898" spans="1:10" s="23" customFormat="1" outlineLevel="1" thickBot="1" x14ac:dyDescent="0.3">
      <c r="A2898" s="44"/>
      <c r="B2898" s="31" t="str">
        <f>IF(_xll.TM1RPTELISCONSOLIDATED($H$20,$H2898),IF(_xll.TM1RPTELLEV($H$20,$H2898)&lt;=5,_xll.TM1RPTELLEV($H$20,$H2898),"Default"),"Leaf")</f>
        <v>Leaf</v>
      </c>
      <c r="C2898" s="26" t="s">
        <v>24</v>
      </c>
      <c r="D2898" s="24" t="str">
        <f>_xll.DBRW("TM1-S1_DEV:}ElementAttributes_SP_SKU",$F2898,D$1)</f>
        <v>Primary</v>
      </c>
      <c r="E2898" s="24" t="str">
        <f>_xll.DBRW("TM1-S1_DEV:}ElementAttributes_SP_SKU",$F2898,E$1)</f>
        <v>PAD</v>
      </c>
      <c r="F2898" s="26" t="s">
        <v>3245</v>
      </c>
      <c r="G2898" s="26" t="s">
        <v>1358</v>
      </c>
      <c r="H2898" s="26" t="s">
        <v>2731</v>
      </c>
      <c r="I2898" s="54">
        <f>_xll.DBRW($A$1,$F$14,$F$15,$C2898,$A$2,$F2898,$G2898,$H2898,I$1)</f>
        <v>19</v>
      </c>
      <c r="J2898" s="25">
        <f>_xll.DBRW($A$1,$F$14,$F$15,$C2898,$A$2,$F2898,$G2898,$H2898,J$19)</f>
        <v>14</v>
      </c>
    </row>
    <row r="2899" spans="1:10" s="23" customFormat="1" outlineLevel="1" thickBot="1" x14ac:dyDescent="0.3">
      <c r="A2899" s="44"/>
      <c r="B2899" s="31" t="str">
        <f>IF(_xll.TM1RPTELISCONSOLIDATED($H$20,$H2899),IF(_xll.TM1RPTELLEV($H$20,$H2899)&lt;=5,_xll.TM1RPTELLEV($H$20,$H2899),"Default"),"Leaf")</f>
        <v>Leaf</v>
      </c>
      <c r="C2899" s="26" t="s">
        <v>25</v>
      </c>
      <c r="D2899" s="24" t="str">
        <f>_xll.DBRW("TM1-S1_DEV:}ElementAttributes_SP_SKU",$F2899,D$1)</f>
        <v>Primary</v>
      </c>
      <c r="E2899" s="24" t="str">
        <f>_xll.DBRW("TM1-S1_DEV:}ElementAttributes_SP_SKU",$F2899,E$1)</f>
        <v>HAM</v>
      </c>
      <c r="F2899" s="26" t="s">
        <v>3246</v>
      </c>
      <c r="G2899" s="26" t="s">
        <v>2382</v>
      </c>
      <c r="H2899" s="26" t="s">
        <v>2673</v>
      </c>
      <c r="I2899" s="54">
        <f>_xll.DBRW($A$1,$F$14,$F$15,$C2899,$A$2,$F2899,$G2899,$H2899,I$1)</f>
        <v>486</v>
      </c>
      <c r="J2899" s="25">
        <f>_xll.DBRW($A$1,$F$14,$F$15,$C2899,$A$2,$F2899,$G2899,$H2899,J$19)</f>
        <v>3</v>
      </c>
    </row>
    <row r="2900" spans="1:10" s="23" customFormat="1" outlineLevel="1" thickBot="1" x14ac:dyDescent="0.3">
      <c r="A2900" s="44"/>
      <c r="B2900" s="31" t="str">
        <f>IF(_xll.TM1RPTELISCONSOLIDATED($H$20,$H2900),IF(_xll.TM1RPTELLEV($H$20,$H2900)&lt;=5,_xll.TM1RPTELLEV($H$20,$H2900),"Default"),"Leaf")</f>
        <v>Leaf</v>
      </c>
      <c r="C2900" s="26" t="s">
        <v>25</v>
      </c>
      <c r="D2900" s="24" t="str">
        <f>_xll.DBRW("TM1-S1_DEV:}ElementAttributes_SP_SKU",$F2900,D$1)</f>
        <v>Primary</v>
      </c>
      <c r="E2900" s="24" t="str">
        <f>_xll.DBRW("TM1-S1_DEV:}ElementAttributes_SP_SKU",$F2900,E$1)</f>
        <v>HAM</v>
      </c>
      <c r="F2900" s="26" t="s">
        <v>3247</v>
      </c>
      <c r="G2900" s="26" t="s">
        <v>2383</v>
      </c>
      <c r="H2900" s="26" t="s">
        <v>2673</v>
      </c>
      <c r="I2900" s="54">
        <f>_xll.DBRW($A$1,$F$14,$F$15,$C2900,$A$2,$F2900,$G2900,$H2900,I$1)</f>
        <v>588</v>
      </c>
      <c r="J2900" s="25">
        <f>_xll.DBRW($A$1,$F$14,$F$15,$C2900,$A$2,$F2900,$G2900,$H2900,J$19)</f>
        <v>3</v>
      </c>
    </row>
    <row r="2901" spans="1:10" s="23" customFormat="1" outlineLevel="1" thickBot="1" x14ac:dyDescent="0.3">
      <c r="A2901" s="44"/>
      <c r="B2901" s="31" t="str">
        <f>IF(_xll.TM1RPTELISCONSOLIDATED($H$20,$H2901),IF(_xll.TM1RPTELLEV($H$20,$H2901)&lt;=5,_xll.TM1RPTELLEV($H$20,$H2901),"Default"),"Leaf")</f>
        <v>Leaf</v>
      </c>
      <c r="C2901" s="26" t="s">
        <v>25</v>
      </c>
      <c r="D2901" s="24" t="str">
        <f>_xll.DBRW("TM1-S1_DEV:}ElementAttributes_SP_SKU",$F2901,D$1)</f>
        <v>Primary</v>
      </c>
      <c r="E2901" s="24" t="str">
        <f>_xll.DBRW("TM1-S1_DEV:}ElementAttributes_SP_SKU",$F2901,E$1)</f>
        <v>HAM</v>
      </c>
      <c r="F2901" s="26" t="s">
        <v>3248</v>
      </c>
      <c r="G2901" s="26" t="s">
        <v>2384</v>
      </c>
      <c r="H2901" s="26" t="s">
        <v>2673</v>
      </c>
      <c r="I2901" s="54">
        <f>_xll.DBRW($A$1,$F$14,$F$15,$C2901,$A$2,$F2901,$G2901,$H2901,I$1)</f>
        <v>455</v>
      </c>
      <c r="J2901" s="25">
        <f>_xll.DBRW($A$1,$F$14,$F$15,$C2901,$A$2,$F2901,$G2901,$H2901,J$19)</f>
        <v>3</v>
      </c>
    </row>
    <row r="2902" spans="1:10" s="23" customFormat="1" outlineLevel="1" thickBot="1" x14ac:dyDescent="0.3">
      <c r="A2902" s="44"/>
      <c r="B2902" s="31" t="str">
        <f>IF(_xll.TM1RPTELISCONSOLIDATED($H$20,$H2902),IF(_xll.TM1RPTELLEV($H$20,$H2902)&lt;=5,_xll.TM1RPTELLEV($H$20,$H2902),"Default"),"Leaf")</f>
        <v>Leaf</v>
      </c>
      <c r="C2902" s="26" t="s">
        <v>25</v>
      </c>
      <c r="D2902" s="24" t="str">
        <f>_xll.DBRW("TM1-S1_DEV:}ElementAttributes_SP_SKU",$F2902,D$1)</f>
        <v>Primary</v>
      </c>
      <c r="E2902" s="24" t="str">
        <f>_xll.DBRW("TM1-S1_DEV:}ElementAttributes_SP_SKU",$F2902,E$1)</f>
        <v>HAM</v>
      </c>
      <c r="F2902" s="26" t="s">
        <v>3249</v>
      </c>
      <c r="G2902" s="26" t="s">
        <v>2385</v>
      </c>
      <c r="H2902" s="26" t="s">
        <v>2673</v>
      </c>
      <c r="I2902" s="54">
        <f>_xll.DBRW($A$1,$F$14,$F$15,$C2902,$A$2,$F2902,$G2902,$H2902,I$1)</f>
        <v>295</v>
      </c>
      <c r="J2902" s="25">
        <f>_xll.DBRW($A$1,$F$14,$F$15,$C2902,$A$2,$F2902,$G2902,$H2902,J$19)</f>
        <v>0</v>
      </c>
    </row>
    <row r="2903" spans="1:10" s="23" customFormat="1" outlineLevel="1" thickBot="1" x14ac:dyDescent="0.3">
      <c r="A2903" s="44"/>
      <c r="B2903" s="31" t="str">
        <f>IF(_xll.TM1RPTELISCONSOLIDATED($H$20,$H2903),IF(_xll.TM1RPTELLEV($H$20,$H2903)&lt;=5,_xll.TM1RPTELLEV($H$20,$H2903),"Default"),"Leaf")</f>
        <v>Leaf</v>
      </c>
      <c r="C2903" s="26" t="s">
        <v>25</v>
      </c>
      <c r="D2903" s="24" t="str">
        <f>_xll.DBRW("TM1-S1_DEV:}ElementAttributes_SP_SKU",$F2903,D$1)</f>
        <v>Primary</v>
      </c>
      <c r="E2903" s="24" t="str">
        <f>_xll.DBRW("TM1-S1_DEV:}ElementAttributes_SP_SKU",$F2903,E$1)</f>
        <v>HAM</v>
      </c>
      <c r="F2903" s="26" t="s">
        <v>3250</v>
      </c>
      <c r="G2903" s="26" t="s">
        <v>2386</v>
      </c>
      <c r="H2903" s="26" t="s">
        <v>2673</v>
      </c>
      <c r="I2903" s="54">
        <f>_xll.DBRW($A$1,$F$14,$F$15,$C2903,$A$2,$F2903,$G2903,$H2903,I$1)</f>
        <v>35</v>
      </c>
      <c r="J2903" s="25">
        <f>_xll.DBRW($A$1,$F$14,$F$15,$C2903,$A$2,$F2903,$G2903,$H2903,J$19)</f>
        <v>0</v>
      </c>
    </row>
    <row r="2904" spans="1:10" s="23" customFormat="1" outlineLevel="1" thickBot="1" x14ac:dyDescent="0.3">
      <c r="A2904" s="44"/>
      <c r="B2904" s="31" t="str">
        <f>IF(_xll.TM1RPTELISCONSOLIDATED($H$20,$H2904),IF(_xll.TM1RPTELLEV($H$20,$H2904)&lt;=5,_xll.TM1RPTELLEV($H$20,$H2904),"Default"),"Leaf")</f>
        <v>Leaf</v>
      </c>
      <c r="C2904" s="26" t="s">
        <v>25</v>
      </c>
      <c r="D2904" s="24" t="str">
        <f>_xll.DBRW("TM1-S1_DEV:}ElementAttributes_SP_SKU",$F2904,D$1)</f>
        <v>Primary</v>
      </c>
      <c r="E2904" s="24" t="str">
        <f>_xll.DBRW("TM1-S1_DEV:}ElementAttributes_SP_SKU",$F2904,E$1)</f>
        <v>HAM</v>
      </c>
      <c r="F2904" s="26" t="s">
        <v>3251</v>
      </c>
      <c r="G2904" s="26" t="s">
        <v>2387</v>
      </c>
      <c r="H2904" s="26" t="s">
        <v>2673</v>
      </c>
      <c r="I2904" s="54">
        <f>_xll.DBRW($A$1,$F$14,$F$15,$C2904,$A$2,$F2904,$G2904,$H2904,I$1)</f>
        <v>184</v>
      </c>
      <c r="J2904" s="25">
        <f>_xll.DBRW($A$1,$F$14,$F$15,$C2904,$A$2,$F2904,$G2904,$H2904,J$19)</f>
        <v>5</v>
      </c>
    </row>
    <row r="2905" spans="1:10" s="23" customFormat="1" outlineLevel="1" thickBot="1" x14ac:dyDescent="0.3">
      <c r="A2905" s="44"/>
      <c r="B2905" s="31" t="str">
        <f>IF(_xll.TM1RPTELISCONSOLIDATED($H$20,$H2905),IF(_xll.TM1RPTELLEV($H$20,$H2905)&lt;=5,_xll.TM1RPTELLEV($H$20,$H2905),"Default"),"Leaf")</f>
        <v>Leaf</v>
      </c>
      <c r="C2905" s="26" t="s">
        <v>25</v>
      </c>
      <c r="D2905" s="24" t="str">
        <f>_xll.DBRW("TM1-S1_DEV:}ElementAttributes_SP_SKU",$F2905,D$1)</f>
        <v>Primary</v>
      </c>
      <c r="E2905" s="24" t="str">
        <f>_xll.DBRW("TM1-S1_DEV:}ElementAttributes_SP_SKU",$F2905,E$1)</f>
        <v>TURKEY</v>
      </c>
      <c r="F2905" s="26" t="s">
        <v>3110</v>
      </c>
      <c r="G2905" s="26" t="s">
        <v>2390</v>
      </c>
      <c r="H2905" s="26" t="s">
        <v>2671</v>
      </c>
      <c r="I2905" s="54">
        <f>_xll.DBRW($A$1,$F$14,$F$15,$C2905,$A$2,$F2905,$G2905,$H2905,I$1)</f>
        <v>134</v>
      </c>
      <c r="J2905" s="25">
        <f>_xll.DBRW($A$1,$F$14,$F$15,$C2905,$A$2,$F2905,$G2905,$H2905,J$19)</f>
        <v>37</v>
      </c>
    </row>
    <row r="2906" spans="1:10" s="23" customFormat="1" outlineLevel="1" thickBot="1" x14ac:dyDescent="0.3">
      <c r="A2906" s="44"/>
      <c r="B2906" s="31" t="str">
        <f>IF(_xll.TM1RPTELISCONSOLIDATED($H$20,$H2906),IF(_xll.TM1RPTELLEV($H$20,$H2906)&lt;=5,_xll.TM1RPTELLEV($H$20,$H2906),"Default"),"Leaf")</f>
        <v>Leaf</v>
      </c>
      <c r="C2906" s="26" t="s">
        <v>25</v>
      </c>
      <c r="D2906" s="24" t="str">
        <f>_xll.DBRW("TM1-S1_DEV:}ElementAttributes_SP_SKU",$F2906,D$1)</f>
        <v>Primary</v>
      </c>
      <c r="E2906" s="24" t="str">
        <f>_xll.DBRW("TM1-S1_DEV:}ElementAttributes_SP_SKU",$F2906,E$1)</f>
        <v>TURKEY</v>
      </c>
      <c r="F2906" s="26" t="s">
        <v>3111</v>
      </c>
      <c r="G2906" s="26" t="s">
        <v>2391</v>
      </c>
      <c r="H2906" s="26" t="s">
        <v>2671</v>
      </c>
      <c r="I2906" s="54">
        <f>_xll.DBRW($A$1,$F$14,$F$15,$C2906,$A$2,$F2906,$G2906,$H2906,I$1)</f>
        <v>149</v>
      </c>
      <c r="J2906" s="25">
        <f>_xll.DBRW($A$1,$F$14,$F$15,$C2906,$A$2,$F2906,$G2906,$H2906,J$19)</f>
        <v>55</v>
      </c>
    </row>
    <row r="2907" spans="1:10" s="23" customFormat="1" outlineLevel="1" thickBot="1" x14ac:dyDescent="0.3">
      <c r="A2907" s="44"/>
      <c r="B2907" s="31" t="str">
        <f>IF(_xll.TM1RPTELISCONSOLIDATED($H$20,$H2907),IF(_xll.TM1RPTELLEV($H$20,$H2907)&lt;=5,_xll.TM1RPTELLEV($H$20,$H2907),"Default"),"Leaf")</f>
        <v>Leaf</v>
      </c>
      <c r="C2907" s="26" t="s">
        <v>25</v>
      </c>
      <c r="D2907" s="24" t="str">
        <f>_xll.DBRW("TM1-S1_DEV:}ElementAttributes_SP_SKU",$F2907,D$1)</f>
        <v>Primary</v>
      </c>
      <c r="E2907" s="24" t="str">
        <f>_xll.DBRW("TM1-S1_DEV:}ElementAttributes_SP_SKU",$F2907,E$1)</f>
        <v>PROTEIN</v>
      </c>
      <c r="F2907" s="26" t="s">
        <v>3112</v>
      </c>
      <c r="G2907" s="26" t="s">
        <v>2392</v>
      </c>
      <c r="H2907" s="26" t="s">
        <v>2672</v>
      </c>
      <c r="I2907" s="54">
        <f>_xll.DBRW($A$1,$F$14,$F$15,$C2907,$A$2,$F2907,$G2907,$H2907,I$1)</f>
        <v>20</v>
      </c>
      <c r="J2907" s="25">
        <f>_xll.DBRW($A$1,$F$14,$F$15,$C2907,$A$2,$F2907,$G2907,$H2907,J$19)</f>
        <v>12</v>
      </c>
    </row>
    <row r="2908" spans="1:10" s="23" customFormat="1" outlineLevel="1" thickBot="1" x14ac:dyDescent="0.3">
      <c r="A2908" s="44"/>
      <c r="B2908" s="31" t="str">
        <f>IF(_xll.TM1RPTELISCONSOLIDATED($H$20,$H2908),IF(_xll.TM1RPTELLEV($H$20,$H2908)&lt;=5,_xll.TM1RPTELLEV($H$20,$H2908),"Default"),"Leaf")</f>
        <v>Leaf</v>
      </c>
      <c r="C2908" s="26" t="s">
        <v>25</v>
      </c>
      <c r="D2908" s="24" t="str">
        <f>_xll.DBRW("TM1-S1_DEV:}ElementAttributes_SP_SKU",$F2908,D$1)</f>
        <v>Primary</v>
      </c>
      <c r="E2908" s="24" t="str">
        <f>_xll.DBRW("TM1-S1_DEV:}ElementAttributes_SP_SKU",$F2908,E$1)</f>
        <v>PROTEIN</v>
      </c>
      <c r="F2908" s="26" t="s">
        <v>3113</v>
      </c>
      <c r="G2908" s="26" t="s">
        <v>2393</v>
      </c>
      <c r="H2908" s="26" t="s">
        <v>2673</v>
      </c>
      <c r="I2908" s="54">
        <f>_xll.DBRW($A$1,$F$14,$F$15,$C2908,$A$2,$F2908,$G2908,$H2908,I$1)</f>
        <v>26</v>
      </c>
      <c r="J2908" s="25">
        <f>_xll.DBRW($A$1,$F$14,$F$15,$C2908,$A$2,$F2908,$G2908,$H2908,J$19)</f>
        <v>26</v>
      </c>
    </row>
    <row r="2909" spans="1:10" s="23" customFormat="1" outlineLevel="1" thickBot="1" x14ac:dyDescent="0.3">
      <c r="A2909" s="44"/>
      <c r="B2909" s="31" t="str">
        <f>IF(_xll.TM1RPTELISCONSOLIDATED($H$20,$H2909),IF(_xll.TM1RPTELLEV($H$20,$H2909)&lt;=5,_xll.TM1RPTELLEV($H$20,$H2909),"Default"),"Leaf")</f>
        <v>Leaf</v>
      </c>
      <c r="C2909" s="26" t="s">
        <v>25</v>
      </c>
      <c r="D2909" s="24" t="str">
        <f>_xll.DBRW("TM1-S1_DEV:}ElementAttributes_SP_SKU",$F2909,D$1)</f>
        <v>Primary</v>
      </c>
      <c r="E2909" s="24" t="str">
        <f>_xll.DBRW("TM1-S1_DEV:}ElementAttributes_SP_SKU",$F2909,E$1)</f>
        <v>PROTEIN</v>
      </c>
      <c r="F2909" s="26" t="s">
        <v>3114</v>
      </c>
      <c r="G2909" s="26" t="s">
        <v>2394</v>
      </c>
      <c r="H2909" s="26" t="s">
        <v>2672</v>
      </c>
      <c r="I2909" s="54">
        <f>_xll.DBRW($A$1,$F$14,$F$15,$C2909,$A$2,$F2909,$G2909,$H2909,I$1)</f>
        <v>12</v>
      </c>
      <c r="J2909" s="25">
        <f>_xll.DBRW($A$1,$F$14,$F$15,$C2909,$A$2,$F2909,$G2909,$H2909,J$19)</f>
        <v>5</v>
      </c>
    </row>
    <row r="2910" spans="1:10" s="23" customFormat="1" outlineLevel="1" thickBot="1" x14ac:dyDescent="0.3">
      <c r="A2910" s="44"/>
      <c r="B2910" s="31" t="str">
        <f>IF(_xll.TM1RPTELISCONSOLIDATED($H$20,$H2910),IF(_xll.TM1RPTELLEV($H$20,$H2910)&lt;=5,_xll.TM1RPTELLEV($H$20,$H2910),"Default"),"Leaf")</f>
        <v>Leaf</v>
      </c>
      <c r="C2910" s="26" t="s">
        <v>25</v>
      </c>
      <c r="D2910" s="24" t="str">
        <f>_xll.DBRW("TM1-S1_DEV:}ElementAttributes_SP_SKU",$F2910,D$1)</f>
        <v>Primary</v>
      </c>
      <c r="E2910" s="24" t="str">
        <f>_xll.DBRW("TM1-S1_DEV:}ElementAttributes_SP_SKU",$F2910,E$1)</f>
        <v>PROTEIN</v>
      </c>
      <c r="F2910" s="26" t="s">
        <v>3115</v>
      </c>
      <c r="G2910" s="26" t="s">
        <v>2395</v>
      </c>
      <c r="H2910" s="26" t="s">
        <v>2672</v>
      </c>
      <c r="I2910" s="54">
        <f>_xll.DBRW($A$1,$F$14,$F$15,$C2910,$A$2,$F2910,$G2910,$H2910,I$1)</f>
        <v>9</v>
      </c>
      <c r="J2910" s="25">
        <f>_xll.DBRW($A$1,$F$14,$F$15,$C2910,$A$2,$F2910,$G2910,$H2910,J$19)</f>
        <v>4</v>
      </c>
    </row>
    <row r="2911" spans="1:10" s="23" customFormat="1" outlineLevel="1" thickBot="1" x14ac:dyDescent="0.3">
      <c r="A2911" s="44"/>
      <c r="B2911" s="31" t="str">
        <f>IF(_xll.TM1RPTELISCONSOLIDATED($H$20,$H2911),IF(_xll.TM1RPTELLEV($H$20,$H2911)&lt;=5,_xll.TM1RPTELLEV($H$20,$H2911),"Default"),"Leaf")</f>
        <v>Leaf</v>
      </c>
      <c r="C2911" s="26" t="s">
        <v>25</v>
      </c>
      <c r="D2911" s="24" t="str">
        <f>_xll.DBRW("TM1-S1_DEV:}ElementAttributes_SP_SKU",$F2911,D$1)</f>
        <v>Primary</v>
      </c>
      <c r="E2911" s="24" t="str">
        <f>_xll.DBRW("TM1-S1_DEV:}ElementAttributes_SP_SKU",$F2911,E$1)</f>
        <v>SOUP</v>
      </c>
      <c r="F2911" s="26" t="s">
        <v>3116</v>
      </c>
      <c r="G2911" s="26" t="s">
        <v>2396</v>
      </c>
      <c r="H2911" s="26" t="s">
        <v>2674</v>
      </c>
      <c r="I2911" s="54">
        <f>_xll.DBRW($A$1,$F$14,$F$15,$C2911,$A$2,$F2911,$G2911,$H2911,I$1)</f>
        <v>31</v>
      </c>
      <c r="J2911" s="25">
        <f>_xll.DBRW($A$1,$F$14,$F$15,$C2911,$A$2,$F2911,$G2911,$H2911,J$19)</f>
        <v>22</v>
      </c>
    </row>
    <row r="2912" spans="1:10" s="23" customFormat="1" outlineLevel="1" thickBot="1" x14ac:dyDescent="0.3">
      <c r="A2912" s="44"/>
      <c r="B2912" s="31" t="str">
        <f>IF(_xll.TM1RPTELISCONSOLIDATED($H$20,$H2912),IF(_xll.TM1RPTELLEV($H$20,$H2912)&lt;=5,_xll.TM1RPTELLEV($H$20,$H2912),"Default"),"Leaf")</f>
        <v>Leaf</v>
      </c>
      <c r="C2912" s="26" t="s">
        <v>25</v>
      </c>
      <c r="D2912" s="24" t="str">
        <f>_xll.DBRW("TM1-S1_DEV:}ElementAttributes_SP_SKU",$F2912,D$1)</f>
        <v>Primary</v>
      </c>
      <c r="E2912" s="24" t="str">
        <f>_xll.DBRW("TM1-S1_DEV:}ElementAttributes_SP_SKU",$F2912,E$1)</f>
        <v>SOUP</v>
      </c>
      <c r="F2912" s="26" t="s">
        <v>3117</v>
      </c>
      <c r="G2912" s="26" t="s">
        <v>2397</v>
      </c>
      <c r="H2912" s="26" t="s">
        <v>2674</v>
      </c>
      <c r="I2912" s="54">
        <f>_xll.DBRW($A$1,$F$14,$F$15,$C2912,$A$2,$F2912,$G2912,$H2912,I$1)</f>
        <v>22</v>
      </c>
      <c r="J2912" s="25">
        <f>_xll.DBRW($A$1,$F$14,$F$15,$C2912,$A$2,$F2912,$G2912,$H2912,J$19)</f>
        <v>16</v>
      </c>
    </row>
    <row r="2913" spans="1:10" s="23" customFormat="1" outlineLevel="1" thickBot="1" x14ac:dyDescent="0.3">
      <c r="A2913" s="44"/>
      <c r="B2913" s="31" t="str">
        <f>IF(_xll.TM1RPTELISCONSOLIDATED($H$20,$H2913),IF(_xll.TM1RPTELLEV($H$20,$H2913)&lt;=5,_xll.TM1RPTELLEV($H$20,$H2913),"Default"),"Leaf")</f>
        <v>Leaf</v>
      </c>
      <c r="C2913" s="26" t="s">
        <v>25</v>
      </c>
      <c r="D2913" s="24" t="str">
        <f>_xll.DBRW("TM1-S1_DEV:}ElementAttributes_SP_SKU",$F2913,D$1)</f>
        <v>Primary</v>
      </c>
      <c r="E2913" s="24" t="str">
        <f>_xll.DBRW("TM1-S1_DEV:}ElementAttributes_SP_SKU",$F2913,E$1)</f>
        <v>SOUP</v>
      </c>
      <c r="F2913" s="26" t="s">
        <v>3118</v>
      </c>
      <c r="G2913" s="26" t="s">
        <v>2398</v>
      </c>
      <c r="H2913" s="26" t="s">
        <v>2674</v>
      </c>
      <c r="I2913" s="54">
        <f>_xll.DBRW($A$1,$F$14,$F$15,$C2913,$A$2,$F2913,$G2913,$H2913,I$1)</f>
        <v>24</v>
      </c>
      <c r="J2913" s="25">
        <f>_xll.DBRW($A$1,$F$14,$F$15,$C2913,$A$2,$F2913,$G2913,$H2913,J$19)</f>
        <v>16</v>
      </c>
    </row>
    <row r="2914" spans="1:10" s="23" customFormat="1" outlineLevel="1" thickBot="1" x14ac:dyDescent="0.3">
      <c r="A2914" s="44"/>
      <c r="B2914" s="31" t="str">
        <f>IF(_xll.TM1RPTELISCONSOLIDATED($H$20,$H2914),IF(_xll.TM1RPTELLEV($H$20,$H2914)&lt;=5,_xll.TM1RPTELLEV($H$20,$H2914),"Default"),"Leaf")</f>
        <v>Leaf</v>
      </c>
      <c r="C2914" s="26" t="s">
        <v>25</v>
      </c>
      <c r="D2914" s="24" t="str">
        <f>_xll.DBRW("TM1-S1_DEV:}ElementAttributes_SP_SKU",$F2914,D$1)</f>
        <v>Primary</v>
      </c>
      <c r="E2914" s="24" t="str">
        <f>_xll.DBRW("TM1-S1_DEV:}ElementAttributes_SP_SKU",$F2914,E$1)</f>
        <v>SIDES</v>
      </c>
      <c r="F2914" s="26" t="s">
        <v>3123</v>
      </c>
      <c r="G2914" s="26" t="s">
        <v>2399</v>
      </c>
      <c r="H2914" s="26" t="s">
        <v>2676</v>
      </c>
      <c r="I2914" s="54">
        <f>_xll.DBRW($A$1,$F$14,$F$15,$C2914,$A$2,$F2914,$G2914,$H2914,I$1)</f>
        <v>15</v>
      </c>
      <c r="J2914" s="25">
        <f>_xll.DBRW($A$1,$F$14,$F$15,$C2914,$A$2,$F2914,$G2914,$H2914,J$19)</f>
        <v>0</v>
      </c>
    </row>
    <row r="2915" spans="1:10" s="23" customFormat="1" outlineLevel="1" thickBot="1" x14ac:dyDescent="0.3">
      <c r="A2915" s="44"/>
      <c r="B2915" s="31" t="str">
        <f>IF(_xll.TM1RPTELISCONSOLIDATED($H$20,$H2915),IF(_xll.TM1RPTELLEV($H$20,$H2915)&lt;=5,_xll.TM1RPTELLEV($H$20,$H2915),"Default"),"Leaf")</f>
        <v>Leaf</v>
      </c>
      <c r="C2915" s="26" t="s">
        <v>25</v>
      </c>
      <c r="D2915" s="24" t="str">
        <f>_xll.DBRW("TM1-S1_DEV:}ElementAttributes_SP_SKU",$F2915,D$1)</f>
        <v>Primary</v>
      </c>
      <c r="E2915" s="24" t="str">
        <f>_xll.DBRW("TM1-S1_DEV:}ElementAttributes_SP_SKU",$F2915,E$1)</f>
        <v>SIDES</v>
      </c>
      <c r="F2915" s="26" t="s">
        <v>3124</v>
      </c>
      <c r="G2915" s="26" t="s">
        <v>2400</v>
      </c>
      <c r="H2915" s="26" t="s">
        <v>2676</v>
      </c>
      <c r="I2915" s="54">
        <f>_xll.DBRW($A$1,$F$14,$F$15,$C2915,$A$2,$F2915,$G2915,$H2915,I$1)</f>
        <v>29</v>
      </c>
      <c r="J2915" s="25">
        <f>_xll.DBRW($A$1,$F$14,$F$15,$C2915,$A$2,$F2915,$G2915,$H2915,J$19)</f>
        <v>13</v>
      </c>
    </row>
    <row r="2916" spans="1:10" s="23" customFormat="1" outlineLevel="1" thickBot="1" x14ac:dyDescent="0.3">
      <c r="A2916" s="44"/>
      <c r="B2916" s="31" t="str">
        <f>IF(_xll.TM1RPTELISCONSOLIDATED($H$20,$H2916),IF(_xll.TM1RPTELLEV($H$20,$H2916)&lt;=5,_xll.TM1RPTELLEV($H$20,$H2916),"Default"),"Leaf")</f>
        <v>Leaf</v>
      </c>
      <c r="C2916" s="26" t="s">
        <v>25</v>
      </c>
      <c r="D2916" s="24" t="str">
        <f>_xll.DBRW("TM1-S1_DEV:}ElementAttributes_SP_SKU",$F2916,D$1)</f>
        <v>Primary</v>
      </c>
      <c r="E2916" s="24" t="str">
        <f>_xll.DBRW("TM1-S1_DEV:}ElementAttributes_SP_SKU",$F2916,E$1)</f>
        <v>SIDES</v>
      </c>
      <c r="F2916" s="26" t="s">
        <v>3125</v>
      </c>
      <c r="G2916" s="26" t="s">
        <v>2401</v>
      </c>
      <c r="H2916" s="26" t="s">
        <v>2676</v>
      </c>
      <c r="I2916" s="54">
        <f>_xll.DBRW($A$1,$F$14,$F$15,$C2916,$A$2,$F2916,$G2916,$H2916,I$1)</f>
        <v>15</v>
      </c>
      <c r="J2916" s="25">
        <f>_xll.DBRW($A$1,$F$14,$F$15,$C2916,$A$2,$F2916,$G2916,$H2916,J$19)</f>
        <v>4</v>
      </c>
    </row>
    <row r="2917" spans="1:10" s="23" customFormat="1" outlineLevel="1" thickBot="1" x14ac:dyDescent="0.3">
      <c r="A2917" s="44"/>
      <c r="B2917" s="31" t="str">
        <f>IF(_xll.TM1RPTELISCONSOLIDATED($H$20,$H2917),IF(_xll.TM1RPTELLEV($H$20,$H2917)&lt;=5,_xll.TM1RPTELLEV($H$20,$H2917),"Default"),"Leaf")</f>
        <v>Leaf</v>
      </c>
      <c r="C2917" s="26" t="s">
        <v>25</v>
      </c>
      <c r="D2917" s="24" t="str">
        <f>_xll.DBRW("TM1-S1_DEV:}ElementAttributes_SP_SKU",$F2917,D$1)</f>
        <v>Primary</v>
      </c>
      <c r="E2917" s="24" t="str">
        <f>_xll.DBRW("TM1-S1_DEV:}ElementAttributes_SP_SKU",$F2917,E$1)</f>
        <v>SIDES</v>
      </c>
      <c r="F2917" s="26" t="s">
        <v>3126</v>
      </c>
      <c r="G2917" s="26" t="s">
        <v>2402</v>
      </c>
      <c r="H2917" s="26" t="s">
        <v>2676</v>
      </c>
      <c r="I2917" s="54">
        <f>_xll.DBRW($A$1,$F$14,$F$15,$C2917,$A$2,$F2917,$G2917,$H2917,I$1)</f>
        <v>11</v>
      </c>
      <c r="J2917" s="25">
        <f>_xll.DBRW($A$1,$F$14,$F$15,$C2917,$A$2,$F2917,$G2917,$H2917,J$19)</f>
        <v>1</v>
      </c>
    </row>
    <row r="2918" spans="1:10" s="23" customFormat="1" outlineLevel="1" thickBot="1" x14ac:dyDescent="0.3">
      <c r="A2918" s="44"/>
      <c r="B2918" s="31" t="str">
        <f>IF(_xll.TM1RPTELISCONSOLIDATED($H$20,$H2918),IF(_xll.TM1RPTELLEV($H$20,$H2918)&lt;=5,_xll.TM1RPTELLEV($H$20,$H2918),"Default"),"Leaf")</f>
        <v>Leaf</v>
      </c>
      <c r="C2918" s="26" t="s">
        <v>25</v>
      </c>
      <c r="D2918" s="24" t="str">
        <f>_xll.DBRW("TM1-S1_DEV:}ElementAttributes_SP_SKU",$F2918,D$1)</f>
        <v>Primary</v>
      </c>
      <c r="E2918" s="24" t="str">
        <f>_xll.DBRW("TM1-S1_DEV:}ElementAttributes_SP_SKU",$F2918,E$1)</f>
        <v>SIDES</v>
      </c>
      <c r="F2918" s="26" t="s">
        <v>3127</v>
      </c>
      <c r="G2918" s="26" t="s">
        <v>2403</v>
      </c>
      <c r="H2918" s="26" t="s">
        <v>2676</v>
      </c>
      <c r="I2918" s="54">
        <f>_xll.DBRW($A$1,$F$14,$F$15,$C2918,$A$2,$F2918,$G2918,$H2918,I$1)</f>
        <v>22</v>
      </c>
      <c r="J2918" s="25">
        <f>_xll.DBRW($A$1,$F$14,$F$15,$C2918,$A$2,$F2918,$G2918,$H2918,J$19)</f>
        <v>0</v>
      </c>
    </row>
    <row r="2919" spans="1:10" s="23" customFormat="1" outlineLevel="1" thickBot="1" x14ac:dyDescent="0.3">
      <c r="A2919" s="44"/>
      <c r="B2919" s="31" t="str">
        <f>IF(_xll.TM1RPTELISCONSOLIDATED($H$20,$H2919),IF(_xll.TM1RPTELLEV($H$20,$H2919)&lt;=5,_xll.TM1RPTELLEV($H$20,$H2919),"Default"),"Leaf")</f>
        <v>Leaf</v>
      </c>
      <c r="C2919" s="26" t="s">
        <v>25</v>
      </c>
      <c r="D2919" s="24" t="str">
        <f>_xll.DBRW("TM1-S1_DEV:}ElementAttributes_SP_SKU",$F2919,D$1)</f>
        <v>Primary</v>
      </c>
      <c r="E2919" s="24" t="str">
        <f>_xll.DBRW("TM1-S1_DEV:}ElementAttributes_SP_SKU",$F2919,E$1)</f>
        <v>SIDES</v>
      </c>
      <c r="F2919" s="26" t="s">
        <v>3128</v>
      </c>
      <c r="G2919" s="26" t="s">
        <v>2404</v>
      </c>
      <c r="H2919" s="26" t="s">
        <v>2676</v>
      </c>
      <c r="I2919" s="54">
        <f>_xll.DBRW($A$1,$F$14,$F$15,$C2919,$A$2,$F2919,$G2919,$H2919,I$1)</f>
        <v>33</v>
      </c>
      <c r="J2919" s="25">
        <f>_xll.DBRW($A$1,$F$14,$F$15,$C2919,$A$2,$F2919,$G2919,$H2919,J$19)</f>
        <v>-1</v>
      </c>
    </row>
    <row r="2920" spans="1:10" s="23" customFormat="1" outlineLevel="1" thickBot="1" x14ac:dyDescent="0.3">
      <c r="A2920" s="44"/>
      <c r="B2920" s="31" t="str">
        <f>IF(_xll.TM1RPTELISCONSOLIDATED($H$20,$H2920),IF(_xll.TM1RPTELLEV($H$20,$H2920)&lt;=5,_xll.TM1RPTELLEV($H$20,$H2920),"Default"),"Leaf")</f>
        <v>Leaf</v>
      </c>
      <c r="C2920" s="26" t="s">
        <v>25</v>
      </c>
      <c r="D2920" s="24" t="str">
        <f>_xll.DBRW("TM1-S1_DEV:}ElementAttributes_SP_SKU",$F2920,D$1)</f>
        <v>Primary</v>
      </c>
      <c r="E2920" s="24" t="str">
        <f>_xll.DBRW("TM1-S1_DEV:}ElementAttributes_SP_SKU",$F2920,E$1)</f>
        <v>SIDES</v>
      </c>
      <c r="F2920" s="26" t="s">
        <v>3129</v>
      </c>
      <c r="G2920" s="26" t="s">
        <v>2405</v>
      </c>
      <c r="H2920" s="26" t="s">
        <v>2676</v>
      </c>
      <c r="I2920" s="54">
        <f>_xll.DBRW($A$1,$F$14,$F$15,$C2920,$A$2,$F2920,$G2920,$H2920,I$1)</f>
        <v>28</v>
      </c>
      <c r="J2920" s="25">
        <f>_xll.DBRW($A$1,$F$14,$F$15,$C2920,$A$2,$F2920,$G2920,$H2920,J$19)</f>
        <v>10</v>
      </c>
    </row>
    <row r="2921" spans="1:10" s="23" customFormat="1" outlineLevel="1" thickBot="1" x14ac:dyDescent="0.3">
      <c r="A2921" s="44"/>
      <c r="B2921" s="31" t="str">
        <f>IF(_xll.TM1RPTELISCONSOLIDATED($H$20,$H2921),IF(_xll.TM1RPTELLEV($H$20,$H2921)&lt;=5,_xll.TM1RPTELLEV($H$20,$H2921),"Default"),"Leaf")</f>
        <v>Leaf</v>
      </c>
      <c r="C2921" s="26" t="s">
        <v>25</v>
      </c>
      <c r="D2921" s="24" t="str">
        <f>_xll.DBRW("TM1-S1_DEV:}ElementAttributes_SP_SKU",$F2921,D$1)</f>
        <v>Primary</v>
      </c>
      <c r="E2921" s="24" t="str">
        <f>_xll.DBRW("TM1-S1_DEV:}ElementAttributes_SP_SKU",$F2921,E$1)</f>
        <v>SIDES</v>
      </c>
      <c r="F2921" s="26" t="s">
        <v>3130</v>
      </c>
      <c r="G2921" s="26" t="s">
        <v>2406</v>
      </c>
      <c r="H2921" s="26" t="s">
        <v>2676</v>
      </c>
      <c r="I2921" s="54">
        <f>_xll.DBRW($A$1,$F$14,$F$15,$C2921,$A$2,$F2921,$G2921,$H2921,I$1)</f>
        <v>25</v>
      </c>
      <c r="J2921" s="25">
        <f>_xll.DBRW($A$1,$F$14,$F$15,$C2921,$A$2,$F2921,$G2921,$H2921,J$19)</f>
        <v>14</v>
      </c>
    </row>
    <row r="2922" spans="1:10" s="23" customFormat="1" outlineLevel="1" thickBot="1" x14ac:dyDescent="0.3">
      <c r="A2922" s="44"/>
      <c r="B2922" s="31" t="str">
        <f>IF(_xll.TM1RPTELISCONSOLIDATED($H$20,$H2922),IF(_xll.TM1RPTELLEV($H$20,$H2922)&lt;=5,_xll.TM1RPTELLEV($H$20,$H2922),"Default"),"Leaf")</f>
        <v>Leaf</v>
      </c>
      <c r="C2922" s="26" t="s">
        <v>25</v>
      </c>
      <c r="D2922" s="24" t="str">
        <f>_xll.DBRW("TM1-S1_DEV:}ElementAttributes_SP_SKU",$F2922,D$1)</f>
        <v>Primary</v>
      </c>
      <c r="E2922" s="24" t="str">
        <f>_xll.DBRW("TM1-S1_DEV:}ElementAttributes_SP_SKU",$F2922,E$1)</f>
        <v>SIDES</v>
      </c>
      <c r="F2922" s="26" t="s">
        <v>3131</v>
      </c>
      <c r="G2922" s="26" t="s">
        <v>2407</v>
      </c>
      <c r="H2922" s="26" t="s">
        <v>2676</v>
      </c>
      <c r="I2922" s="54">
        <f>_xll.DBRW($A$1,$F$14,$F$15,$C2922,$A$2,$F2922,$G2922,$H2922,I$1)</f>
        <v>23</v>
      </c>
      <c r="J2922" s="25">
        <f>_xll.DBRW($A$1,$F$14,$F$15,$C2922,$A$2,$F2922,$G2922,$H2922,J$19)</f>
        <v>5</v>
      </c>
    </row>
    <row r="2923" spans="1:10" s="23" customFormat="1" outlineLevel="1" thickBot="1" x14ac:dyDescent="0.3">
      <c r="A2923" s="44"/>
      <c r="B2923" s="31" t="str">
        <f>IF(_xll.TM1RPTELISCONSOLIDATED($H$20,$H2923),IF(_xll.TM1RPTELLEV($H$20,$H2923)&lt;=5,_xll.TM1RPTELLEV($H$20,$H2923),"Default"),"Leaf")</f>
        <v>Leaf</v>
      </c>
      <c r="C2923" s="26" t="s">
        <v>25</v>
      </c>
      <c r="D2923" s="24" t="str">
        <f>_xll.DBRW("TM1-S1_DEV:}ElementAttributes_SP_SKU",$F2923,D$1)</f>
        <v>Primary</v>
      </c>
      <c r="E2923" s="24" t="str">
        <f>_xll.DBRW("TM1-S1_DEV:}ElementAttributes_SP_SKU",$F2923,E$1)</f>
        <v>SIDES</v>
      </c>
      <c r="F2923" s="26" t="s">
        <v>3132</v>
      </c>
      <c r="G2923" s="26" t="s">
        <v>2408</v>
      </c>
      <c r="H2923" s="26" t="s">
        <v>2676</v>
      </c>
      <c r="I2923" s="54">
        <f>_xll.DBRW($A$1,$F$14,$F$15,$C2923,$A$2,$F2923,$G2923,$H2923,I$1)</f>
        <v>35</v>
      </c>
      <c r="J2923" s="25">
        <f>_xll.DBRW($A$1,$F$14,$F$15,$C2923,$A$2,$F2923,$G2923,$H2923,J$19)</f>
        <v>0</v>
      </c>
    </row>
    <row r="2924" spans="1:10" s="23" customFormat="1" outlineLevel="1" thickBot="1" x14ac:dyDescent="0.3">
      <c r="A2924" s="44"/>
      <c r="B2924" s="31" t="str">
        <f>IF(_xll.TM1RPTELISCONSOLIDATED($H$20,$H2924),IF(_xll.TM1RPTELLEV($H$20,$H2924)&lt;=5,_xll.TM1RPTELLEV($H$20,$H2924),"Default"),"Leaf")</f>
        <v>Leaf</v>
      </c>
      <c r="C2924" s="26" t="s">
        <v>25</v>
      </c>
      <c r="D2924" s="24" t="str">
        <f>_xll.DBRW("TM1-S1_DEV:}ElementAttributes_SP_SKU",$F2924,D$1)</f>
        <v>Primary</v>
      </c>
      <c r="E2924" s="24" t="str">
        <f>_xll.DBRW("TM1-S1_DEV:}ElementAttributes_SP_SKU",$F2924,E$1)</f>
        <v>DESSERT</v>
      </c>
      <c r="F2924" s="26" t="s">
        <v>29</v>
      </c>
      <c r="G2924" s="26" t="s">
        <v>2409</v>
      </c>
      <c r="H2924" s="26" t="s">
        <v>2677</v>
      </c>
      <c r="I2924" s="54">
        <f>_xll.DBRW($A$1,$F$14,$F$15,$C2924,$A$2,$F2924,$G2924,$H2924,I$1)</f>
        <v>5</v>
      </c>
      <c r="J2924" s="25">
        <f>_xll.DBRW($A$1,$F$14,$F$15,$C2924,$A$2,$F2924,$G2924,$H2924,J$19)</f>
        <v>5</v>
      </c>
    </row>
    <row r="2925" spans="1:10" s="23" customFormat="1" outlineLevel="1" thickBot="1" x14ac:dyDescent="0.3">
      <c r="A2925" s="44"/>
      <c r="B2925" s="31" t="str">
        <f>IF(_xll.TM1RPTELISCONSOLIDATED($H$20,$H2925),IF(_xll.TM1RPTELLEV($H$20,$H2925)&lt;=5,_xll.TM1RPTELLEV($H$20,$H2925),"Default"),"Leaf")</f>
        <v>Leaf</v>
      </c>
      <c r="C2925" s="26" t="s">
        <v>25</v>
      </c>
      <c r="D2925" s="24" t="str">
        <f>_xll.DBRW("TM1-S1_DEV:}ElementAttributes_SP_SKU",$F2925,D$1)</f>
        <v>Primary</v>
      </c>
      <c r="E2925" s="24" t="str">
        <f>_xll.DBRW("TM1-S1_DEV:}ElementAttributes_SP_SKU",$F2925,E$1)</f>
        <v>PIE</v>
      </c>
      <c r="F2925" s="26" t="s">
        <v>3133</v>
      </c>
      <c r="G2925" s="26" t="s">
        <v>2410</v>
      </c>
      <c r="H2925" s="26" t="s">
        <v>2678</v>
      </c>
      <c r="I2925" s="54">
        <f>_xll.DBRW($A$1,$F$14,$F$15,$C2925,$A$2,$F2925,$G2925,$H2925,I$1)</f>
        <v>15</v>
      </c>
      <c r="J2925" s="25">
        <f>_xll.DBRW($A$1,$F$14,$F$15,$C2925,$A$2,$F2925,$G2925,$H2925,J$19)</f>
        <v>11</v>
      </c>
    </row>
    <row r="2926" spans="1:10" s="23" customFormat="1" outlineLevel="1" thickBot="1" x14ac:dyDescent="0.3">
      <c r="A2926" s="44"/>
      <c r="B2926" s="31" t="str">
        <f>IF(_xll.TM1RPTELISCONSOLIDATED($H$20,$H2926),IF(_xll.TM1RPTELLEV($H$20,$H2926)&lt;=5,_xll.TM1RPTELLEV($H$20,$H2926),"Default"),"Leaf")</f>
        <v>Leaf</v>
      </c>
      <c r="C2926" s="26" t="s">
        <v>25</v>
      </c>
      <c r="D2926" s="24" t="str">
        <f>_xll.DBRW("TM1-S1_DEV:}ElementAttributes_SP_SKU",$F2926,D$1)</f>
        <v>Primary</v>
      </c>
      <c r="E2926" s="24" t="str">
        <f>_xll.DBRW("TM1-S1_DEV:}ElementAttributes_SP_SKU",$F2926,E$1)</f>
        <v>PIE</v>
      </c>
      <c r="F2926" s="26" t="s">
        <v>3134</v>
      </c>
      <c r="G2926" s="26" t="s">
        <v>2411</v>
      </c>
      <c r="H2926" s="26" t="s">
        <v>2678</v>
      </c>
      <c r="I2926" s="54">
        <f>_xll.DBRW($A$1,$F$14,$F$15,$C2926,$A$2,$F2926,$G2926,$H2926,I$1)</f>
        <v>16</v>
      </c>
      <c r="J2926" s="25">
        <f>_xll.DBRW($A$1,$F$14,$F$15,$C2926,$A$2,$F2926,$G2926,$H2926,J$19)</f>
        <v>9</v>
      </c>
    </row>
    <row r="2927" spans="1:10" s="23" customFormat="1" outlineLevel="1" thickBot="1" x14ac:dyDescent="0.3">
      <c r="A2927" s="44"/>
      <c r="B2927" s="31" t="str">
        <f>IF(_xll.TM1RPTELISCONSOLIDATED($H$20,$H2927),IF(_xll.TM1RPTELLEV($H$20,$H2927)&lt;=5,_xll.TM1RPTELLEV($H$20,$H2927),"Default"),"Leaf")</f>
        <v>Leaf</v>
      </c>
      <c r="C2927" s="26" t="s">
        <v>25</v>
      </c>
      <c r="D2927" s="24" t="str">
        <f>_xll.DBRW("TM1-S1_DEV:}ElementAttributes_SP_SKU",$F2927,D$1)</f>
        <v>Primary</v>
      </c>
      <c r="E2927" s="24" t="str">
        <f>_xll.DBRW("TM1-S1_DEV:}ElementAttributes_SP_SKU",$F2927,E$1)</f>
        <v>CAKE</v>
      </c>
      <c r="F2927" s="26" t="s">
        <v>3135</v>
      </c>
      <c r="G2927" s="26" t="s">
        <v>2412</v>
      </c>
      <c r="H2927" s="26" t="s">
        <v>2679</v>
      </c>
      <c r="I2927" s="54">
        <f>_xll.DBRW($A$1,$F$14,$F$15,$C2927,$A$2,$F2927,$G2927,$H2927,I$1)</f>
        <v>29</v>
      </c>
      <c r="J2927" s="25">
        <f>_xll.DBRW($A$1,$F$14,$F$15,$C2927,$A$2,$F2927,$G2927,$H2927,J$19)</f>
        <v>12</v>
      </c>
    </row>
    <row r="2928" spans="1:10" s="23" customFormat="1" outlineLevel="1" thickBot="1" x14ac:dyDescent="0.3">
      <c r="A2928" s="44"/>
      <c r="B2928" s="31" t="str">
        <f>IF(_xll.TM1RPTELISCONSOLIDATED($H$20,$H2928),IF(_xll.TM1RPTELLEV($H$20,$H2928)&lt;=5,_xll.TM1RPTELLEV($H$20,$H2928),"Default"),"Leaf")</f>
        <v>Leaf</v>
      </c>
      <c r="C2928" s="26" t="s">
        <v>25</v>
      </c>
      <c r="D2928" s="24" t="str">
        <f>_xll.DBRW("TM1-S1_DEV:}ElementAttributes_SP_SKU",$F2928,D$1)</f>
        <v>Primary</v>
      </c>
      <c r="E2928" s="24" t="str">
        <f>_xll.DBRW("TM1-S1_DEV:}ElementAttributes_SP_SKU",$F2928,E$1)</f>
        <v>CAKE</v>
      </c>
      <c r="F2928" s="26" t="s">
        <v>3136</v>
      </c>
      <c r="G2928" s="26" t="s">
        <v>2413</v>
      </c>
      <c r="H2928" s="26" t="s">
        <v>2679</v>
      </c>
      <c r="I2928" s="54">
        <f>_xll.DBRW($A$1,$F$14,$F$15,$C2928,$A$2,$F2928,$G2928,$H2928,I$1)</f>
        <v>13</v>
      </c>
      <c r="J2928" s="25">
        <f>_xll.DBRW($A$1,$F$14,$F$15,$C2928,$A$2,$F2928,$G2928,$H2928,J$19)</f>
        <v>6</v>
      </c>
    </row>
    <row r="2929" spans="1:10" s="23" customFormat="1" outlineLevel="1" thickBot="1" x14ac:dyDescent="0.3">
      <c r="A2929" s="44"/>
      <c r="B2929" s="31" t="str">
        <f>IF(_xll.TM1RPTELISCONSOLIDATED($H$20,$H2929),IF(_xll.TM1RPTELLEV($H$20,$H2929)&lt;=5,_xll.TM1RPTELLEV($H$20,$H2929),"Default"),"Leaf")</f>
        <v>Leaf</v>
      </c>
      <c r="C2929" s="26" t="s">
        <v>25</v>
      </c>
      <c r="D2929" s="24" t="str">
        <f>_xll.DBRW("TM1-S1_DEV:}ElementAttributes_SP_SKU",$F2929,D$1)</f>
        <v>Primary</v>
      </c>
      <c r="E2929" s="24" t="str">
        <f>_xll.DBRW("TM1-S1_DEV:}ElementAttributes_SP_SKU",$F2929,E$1)</f>
        <v>CAKE</v>
      </c>
      <c r="F2929" s="26" t="s">
        <v>3137</v>
      </c>
      <c r="G2929" s="26" t="s">
        <v>2414</v>
      </c>
      <c r="H2929" s="26" t="s">
        <v>2679</v>
      </c>
      <c r="I2929" s="54">
        <f>_xll.DBRW($A$1,$F$14,$F$15,$C2929,$A$2,$F2929,$G2929,$H2929,I$1)</f>
        <v>10</v>
      </c>
      <c r="J2929" s="25">
        <f>_xll.DBRW($A$1,$F$14,$F$15,$C2929,$A$2,$F2929,$G2929,$H2929,J$19)</f>
        <v>0</v>
      </c>
    </row>
    <row r="2930" spans="1:10" s="23" customFormat="1" outlineLevel="1" thickBot="1" x14ac:dyDescent="0.3">
      <c r="A2930" s="44"/>
      <c r="B2930" s="31" t="str">
        <f>IF(_xll.TM1RPTELISCONSOLIDATED($H$20,$H2930),IF(_xll.TM1RPTELLEV($H$20,$H2930)&lt;=5,_xll.TM1RPTELLEV($H$20,$H2930),"Default"),"Leaf")</f>
        <v>Leaf</v>
      </c>
      <c r="C2930" s="26" t="s">
        <v>25</v>
      </c>
      <c r="D2930" s="24" t="str">
        <f>_xll.DBRW("TM1-S1_DEV:}ElementAttributes_SP_SKU",$F2930,D$1)</f>
        <v>Primary</v>
      </c>
      <c r="E2930" s="24" t="str">
        <f>_xll.DBRW("TM1-S1_DEV:}ElementAttributes_SP_SKU",$F2930,E$1)</f>
        <v>CAKE</v>
      </c>
      <c r="F2930" s="26" t="s">
        <v>3138</v>
      </c>
      <c r="G2930" s="26" t="s">
        <v>2415</v>
      </c>
      <c r="H2930" s="26" t="s">
        <v>2680</v>
      </c>
      <c r="I2930" s="54">
        <f>_xll.DBRW($A$1,$F$14,$F$15,$C2930,$A$2,$F2930,$G2930,$H2930,I$1)</f>
        <v>2</v>
      </c>
      <c r="J2930" s="25">
        <f>_xll.DBRW($A$1,$F$14,$F$15,$C2930,$A$2,$F2930,$G2930,$H2930,J$19)</f>
        <v>1</v>
      </c>
    </row>
    <row r="2931" spans="1:10" s="23" customFormat="1" outlineLevel="1" thickBot="1" x14ac:dyDescent="0.3">
      <c r="A2931" s="44"/>
      <c r="B2931" s="31" t="str">
        <f>IF(_xll.TM1RPTELISCONSOLIDATED($H$20,$H2931),IF(_xll.TM1RPTELLEV($H$20,$H2931)&lt;=5,_xll.TM1RPTELLEV($H$20,$H2931),"Default"),"Leaf")</f>
        <v>Leaf</v>
      </c>
      <c r="C2931" s="26" t="s">
        <v>25</v>
      </c>
      <c r="D2931" s="24" t="str">
        <f>_xll.DBRW("TM1-S1_DEV:}ElementAttributes_SP_SKU",$F2931,D$1)</f>
        <v>Primary</v>
      </c>
      <c r="E2931" s="24" t="str">
        <f>_xll.DBRW("TM1-S1_DEV:}ElementAttributes_SP_SKU",$F2931,E$1)</f>
        <v>DESSERT</v>
      </c>
      <c r="F2931" s="26" t="s">
        <v>3139</v>
      </c>
      <c r="G2931" s="26" t="s">
        <v>2416</v>
      </c>
      <c r="H2931" s="26" t="s">
        <v>2681</v>
      </c>
      <c r="I2931" s="54">
        <f>_xll.DBRW($A$1,$F$14,$F$15,$C2931,$A$2,$F2931,$G2931,$H2931,I$1)</f>
        <v>19</v>
      </c>
      <c r="J2931" s="25">
        <f>_xll.DBRW($A$1,$F$14,$F$15,$C2931,$A$2,$F2931,$G2931,$H2931,J$19)</f>
        <v>13</v>
      </c>
    </row>
    <row r="2932" spans="1:10" s="23" customFormat="1" outlineLevel="1" thickBot="1" x14ac:dyDescent="0.3">
      <c r="A2932" s="44"/>
      <c r="B2932" s="31" t="str">
        <f>IF(_xll.TM1RPTELISCONSOLIDATED($H$20,$H2932),IF(_xll.TM1RPTELLEV($H$20,$H2932)&lt;=5,_xll.TM1RPTELLEV($H$20,$H2932),"Default"),"Leaf")</f>
        <v>Leaf</v>
      </c>
      <c r="C2932" s="26" t="s">
        <v>25</v>
      </c>
      <c r="D2932" s="24" t="str">
        <f>_xll.DBRW("TM1-S1_DEV:}ElementAttributes_SP_SKU",$F2932,D$1)</f>
        <v>Primary</v>
      </c>
      <c r="E2932" s="24" t="str">
        <f>_xll.DBRW("TM1-S1_DEV:}ElementAttributes_SP_SKU",$F2932,E$1)</f>
        <v>DESSERT</v>
      </c>
      <c r="F2932" s="26" t="s">
        <v>3140</v>
      </c>
      <c r="G2932" s="26" t="s">
        <v>2417</v>
      </c>
      <c r="H2932" s="26" t="s">
        <v>2681</v>
      </c>
      <c r="I2932" s="54">
        <f>_xll.DBRW($A$1,$F$14,$F$15,$C2932,$A$2,$F2932,$G2932,$H2932,I$1)</f>
        <v>14</v>
      </c>
      <c r="J2932" s="25">
        <f>_xll.DBRW($A$1,$F$14,$F$15,$C2932,$A$2,$F2932,$G2932,$H2932,J$19)</f>
        <v>6</v>
      </c>
    </row>
    <row r="2933" spans="1:10" s="23" customFormat="1" outlineLevel="1" thickBot="1" x14ac:dyDescent="0.3">
      <c r="A2933" s="44"/>
      <c r="B2933" s="31" t="str">
        <f>IF(_xll.TM1RPTELISCONSOLIDATED($H$20,$H2933),IF(_xll.TM1RPTELLEV($H$20,$H2933)&lt;=5,_xll.TM1RPTELLEV($H$20,$H2933),"Default"),"Leaf")</f>
        <v>Leaf</v>
      </c>
      <c r="C2933" s="26" t="s">
        <v>25</v>
      </c>
      <c r="D2933" s="24" t="str">
        <f>_xll.DBRW("TM1-S1_DEV:}ElementAttributes_SP_SKU",$F2933,D$1)</f>
        <v>Primary</v>
      </c>
      <c r="E2933" s="24" t="str">
        <f>_xll.DBRW("TM1-S1_DEV:}ElementAttributes_SP_SKU",$F2933,E$1)</f>
        <v>CAKE</v>
      </c>
      <c r="F2933" s="26" t="s">
        <v>3142</v>
      </c>
      <c r="G2933" s="26" t="s">
        <v>2418</v>
      </c>
      <c r="H2933" s="26" t="s">
        <v>2682</v>
      </c>
      <c r="I2933" s="54">
        <f>_xll.DBRW($A$1,$F$14,$F$15,$C2933,$A$2,$F2933,$G2933,$H2933,I$1)</f>
        <v>13</v>
      </c>
      <c r="J2933" s="25">
        <f>_xll.DBRW($A$1,$F$14,$F$15,$C2933,$A$2,$F2933,$G2933,$H2933,J$19)</f>
        <v>12</v>
      </c>
    </row>
    <row r="2934" spans="1:10" s="23" customFormat="1" outlineLevel="1" thickBot="1" x14ac:dyDescent="0.3">
      <c r="A2934" s="44"/>
      <c r="B2934" s="31" t="str">
        <f>IF(_xll.TM1RPTELISCONSOLIDATED($H$20,$H2934),IF(_xll.TM1RPTELLEV($H$20,$H2934)&lt;=5,_xll.TM1RPTELLEV($H$20,$H2934),"Default"),"Leaf")</f>
        <v>Leaf</v>
      </c>
      <c r="C2934" s="26" t="s">
        <v>25</v>
      </c>
      <c r="D2934" s="24" t="str">
        <f>_xll.DBRW("TM1-S1_DEV:}ElementAttributes_SP_SKU",$F2934,D$1)</f>
        <v>Primary</v>
      </c>
      <c r="E2934" s="24" t="str">
        <f>_xll.DBRW("TM1-S1_DEV:}ElementAttributes_SP_SKU",$F2934,E$1)</f>
        <v>CAKE</v>
      </c>
      <c r="F2934" s="26" t="s">
        <v>3143</v>
      </c>
      <c r="G2934" s="26" t="s">
        <v>2419</v>
      </c>
      <c r="H2934" s="26" t="s">
        <v>2682</v>
      </c>
      <c r="I2934" s="54">
        <f>_xll.DBRW($A$1,$F$14,$F$15,$C2934,$A$2,$F2934,$G2934,$H2934,I$1)</f>
        <v>13</v>
      </c>
      <c r="J2934" s="25">
        <f>_xll.DBRW($A$1,$F$14,$F$15,$C2934,$A$2,$F2934,$G2934,$H2934,J$19)</f>
        <v>9</v>
      </c>
    </row>
    <row r="2935" spans="1:10" s="23" customFormat="1" outlineLevel="1" thickBot="1" x14ac:dyDescent="0.3">
      <c r="A2935" s="44"/>
      <c r="B2935" s="31" t="str">
        <f>IF(_xll.TM1RPTELISCONSOLIDATED($H$20,$H2935),IF(_xll.TM1RPTELLEV($H$20,$H2935)&lt;=5,_xll.TM1RPTELLEV($H$20,$H2935),"Default"),"Leaf")</f>
        <v>Leaf</v>
      </c>
      <c r="C2935" s="26" t="s">
        <v>25</v>
      </c>
      <c r="D2935" s="24" t="str">
        <f>_xll.DBRW("TM1-S1_DEV:}ElementAttributes_SP_SKU",$F2935,D$1)</f>
        <v>Primary</v>
      </c>
      <c r="E2935" s="24" t="str">
        <f>_xll.DBRW("TM1-S1_DEV:}ElementAttributes_SP_SKU",$F2935,E$1)</f>
        <v>CAKE</v>
      </c>
      <c r="F2935" s="26" t="s">
        <v>3144</v>
      </c>
      <c r="G2935" s="26" t="s">
        <v>2420</v>
      </c>
      <c r="H2935" s="26" t="s">
        <v>2679</v>
      </c>
      <c r="I2935" s="54">
        <f>_xll.DBRW($A$1,$F$14,$F$15,$C2935,$A$2,$F2935,$G2935,$H2935,I$1)</f>
        <v>0</v>
      </c>
      <c r="J2935" s="25">
        <f>_xll.DBRW($A$1,$F$14,$F$15,$C2935,$A$2,$F2935,$G2935,$H2935,J$19)</f>
        <v>3</v>
      </c>
    </row>
    <row r="2936" spans="1:10" s="23" customFormat="1" outlineLevel="1" thickBot="1" x14ac:dyDescent="0.3">
      <c r="A2936" s="44"/>
      <c r="B2936" s="31" t="str">
        <f>IF(_xll.TM1RPTELISCONSOLIDATED($H$20,$H2936),IF(_xll.TM1RPTELLEV($H$20,$H2936)&lt;=5,_xll.TM1RPTELLEV($H$20,$H2936),"Default"),"Leaf")</f>
        <v>Leaf</v>
      </c>
      <c r="C2936" s="26" t="s">
        <v>25</v>
      </c>
      <c r="D2936" s="24" t="str">
        <f>_xll.DBRW("TM1-S1_DEV:}ElementAttributes_SP_SKU",$F2936,D$1)</f>
        <v>Primary</v>
      </c>
      <c r="E2936" s="24" t="str">
        <f>_xll.DBRW("TM1-S1_DEV:}ElementAttributes_SP_SKU",$F2936,E$1)</f>
        <v>CAKE</v>
      </c>
      <c r="F2936" s="26" t="s">
        <v>3145</v>
      </c>
      <c r="G2936" s="26" t="s">
        <v>2421</v>
      </c>
      <c r="H2936" s="26" t="s">
        <v>2680</v>
      </c>
      <c r="I2936" s="54">
        <f>_xll.DBRW($A$1,$F$14,$F$15,$C2936,$A$2,$F2936,$G2936,$H2936,I$1)</f>
        <v>39</v>
      </c>
      <c r="J2936" s="25">
        <f>_xll.DBRW($A$1,$F$14,$F$15,$C2936,$A$2,$F2936,$G2936,$H2936,J$19)</f>
        <v>36</v>
      </c>
    </row>
    <row r="2937" spans="1:10" s="23" customFormat="1" outlineLevel="1" thickBot="1" x14ac:dyDescent="0.3">
      <c r="A2937" s="44"/>
      <c r="B2937" s="31" t="str">
        <f>IF(_xll.TM1RPTELISCONSOLIDATED($H$20,$H2937),IF(_xll.TM1RPTELLEV($H$20,$H2937)&lt;=5,_xll.TM1RPTELLEV($H$20,$H2937),"Default"),"Leaf")</f>
        <v>Leaf</v>
      </c>
      <c r="C2937" s="26" t="s">
        <v>25</v>
      </c>
      <c r="D2937" s="24" t="str">
        <f>_xll.DBRW("TM1-S1_DEV:}ElementAttributes_SP_SKU",$F2937,D$1)</f>
        <v>Primary</v>
      </c>
      <c r="E2937" s="24" t="str">
        <f>_xll.DBRW("TM1-S1_DEV:}ElementAttributes_SP_SKU",$F2937,E$1)</f>
        <v>CAKE</v>
      </c>
      <c r="F2937" s="26" t="s">
        <v>3146</v>
      </c>
      <c r="G2937" s="26" t="s">
        <v>2422</v>
      </c>
      <c r="H2937" s="26" t="s">
        <v>2680</v>
      </c>
      <c r="I2937" s="54">
        <f>_xll.DBRW($A$1,$F$14,$F$15,$C2937,$A$2,$F2937,$G2937,$H2937,I$1)</f>
        <v>24</v>
      </c>
      <c r="J2937" s="25">
        <f>_xll.DBRW($A$1,$F$14,$F$15,$C2937,$A$2,$F2937,$G2937,$H2937,J$19)</f>
        <v>20</v>
      </c>
    </row>
    <row r="2938" spans="1:10" s="23" customFormat="1" outlineLevel="1" thickBot="1" x14ac:dyDescent="0.3">
      <c r="A2938" s="44"/>
      <c r="B2938" s="31" t="str">
        <f>IF(_xll.TM1RPTELISCONSOLIDATED($H$20,$H2938),IF(_xll.TM1RPTELLEV($H$20,$H2938)&lt;=5,_xll.TM1RPTELLEV($H$20,$H2938),"Default"),"Leaf")</f>
        <v>Leaf</v>
      </c>
      <c r="C2938" s="26" t="s">
        <v>25</v>
      </c>
      <c r="D2938" s="24" t="str">
        <f>_xll.DBRW("TM1-S1_DEV:}ElementAttributes_SP_SKU",$F2938,D$1)</f>
        <v>Primary</v>
      </c>
      <c r="E2938" s="24" t="str">
        <f>_xll.DBRW("TM1-S1_DEV:}ElementAttributes_SP_SKU",$F2938,E$1)</f>
        <v>CONDIMENT</v>
      </c>
      <c r="F2938" s="26" t="s">
        <v>3147</v>
      </c>
      <c r="G2938" s="26" t="s">
        <v>2423</v>
      </c>
      <c r="H2938" s="26" t="s">
        <v>2683</v>
      </c>
      <c r="I2938" s="54">
        <f>_xll.DBRW($A$1,$F$14,$F$15,$C2938,$A$2,$F2938,$G2938,$H2938,I$1)</f>
        <v>39</v>
      </c>
      <c r="J2938" s="25">
        <f>_xll.DBRW($A$1,$F$14,$F$15,$C2938,$A$2,$F2938,$G2938,$H2938,J$19)</f>
        <v>31</v>
      </c>
    </row>
    <row r="2939" spans="1:10" s="23" customFormat="1" outlineLevel="1" thickBot="1" x14ac:dyDescent="0.3">
      <c r="A2939" s="44"/>
      <c r="B2939" s="31" t="str">
        <f>IF(_xll.TM1RPTELISCONSOLIDATED($H$20,$H2939),IF(_xll.TM1RPTELLEV($H$20,$H2939)&lt;=5,_xll.TM1RPTELLEV($H$20,$H2939),"Default"),"Leaf")</f>
        <v>Leaf</v>
      </c>
      <c r="C2939" s="26" t="s">
        <v>25</v>
      </c>
      <c r="D2939" s="24" t="str">
        <f>_xll.DBRW("TM1-S1_DEV:}ElementAttributes_SP_SKU",$F2939,D$1)</f>
        <v>Primary</v>
      </c>
      <c r="E2939" s="24" t="str">
        <f>_xll.DBRW("TM1-S1_DEV:}ElementAttributes_SP_SKU",$F2939,E$1)</f>
        <v>CONDIMENT</v>
      </c>
      <c r="F2939" s="26" t="s">
        <v>3148</v>
      </c>
      <c r="G2939" s="26" t="s">
        <v>2424</v>
      </c>
      <c r="H2939" s="26" t="s">
        <v>2684</v>
      </c>
      <c r="I2939" s="54">
        <f>_xll.DBRW($A$1,$F$14,$F$15,$C2939,$A$2,$F2939,$G2939,$H2939,I$1)</f>
        <v>6</v>
      </c>
      <c r="J2939" s="25">
        <f>_xll.DBRW($A$1,$F$14,$F$15,$C2939,$A$2,$F2939,$G2939,$H2939,J$19)</f>
        <v>9</v>
      </c>
    </row>
    <row r="2940" spans="1:10" s="23" customFormat="1" outlineLevel="1" thickBot="1" x14ac:dyDescent="0.3">
      <c r="A2940" s="44"/>
      <c r="B2940" s="31" t="str">
        <f>IF(_xll.TM1RPTELISCONSOLIDATED($H$20,$H2940),IF(_xll.TM1RPTELLEV($H$20,$H2940)&lt;=5,_xll.TM1RPTELLEV($H$20,$H2940),"Default"),"Leaf")</f>
        <v>Leaf</v>
      </c>
      <c r="C2940" s="26" t="s">
        <v>25</v>
      </c>
      <c r="D2940" s="24" t="str">
        <f>_xll.DBRW("TM1-S1_DEV:}ElementAttributes_SP_SKU",$F2940,D$1)</f>
        <v>Primary</v>
      </c>
      <c r="E2940" s="24" t="str">
        <f>_xll.DBRW("TM1-S1_DEV:}ElementAttributes_SP_SKU",$F2940,E$1)</f>
        <v>CONDIMENT</v>
      </c>
      <c r="F2940" s="26" t="s">
        <v>3149</v>
      </c>
      <c r="G2940" s="26" t="s">
        <v>2425</v>
      </c>
      <c r="H2940" s="26" t="s">
        <v>2684</v>
      </c>
      <c r="I2940" s="54">
        <f>_xll.DBRW($A$1,$F$14,$F$15,$C2940,$A$2,$F2940,$G2940,$H2940,I$1)</f>
        <v>25</v>
      </c>
      <c r="J2940" s="25">
        <f>_xll.DBRW($A$1,$F$14,$F$15,$C2940,$A$2,$F2940,$G2940,$H2940,J$19)</f>
        <v>17</v>
      </c>
    </row>
    <row r="2941" spans="1:10" s="23" customFormat="1" outlineLevel="1" thickBot="1" x14ac:dyDescent="0.3">
      <c r="A2941" s="44"/>
      <c r="B2941" s="31" t="str">
        <f>IF(_xll.TM1RPTELISCONSOLIDATED($H$20,$H2941),IF(_xll.TM1RPTELLEV($H$20,$H2941)&lt;=5,_xll.TM1RPTELLEV($H$20,$H2941),"Default"),"Leaf")</f>
        <v>Leaf</v>
      </c>
      <c r="C2941" s="26" t="s">
        <v>25</v>
      </c>
      <c r="D2941" s="24" t="str">
        <f>_xll.DBRW("TM1-S1_DEV:}ElementAttributes_SP_SKU",$F2941,D$1)</f>
        <v>Primary</v>
      </c>
      <c r="E2941" s="24" t="str">
        <f>_xll.DBRW("TM1-S1_DEV:}ElementAttributes_SP_SKU",$F2941,E$1)</f>
        <v>CONDIMENT</v>
      </c>
      <c r="F2941" s="26" t="s">
        <v>3150</v>
      </c>
      <c r="G2941" s="26" t="s">
        <v>2426</v>
      </c>
      <c r="H2941" s="26" t="s">
        <v>2684</v>
      </c>
      <c r="I2941" s="54">
        <f>_xll.DBRW($A$1,$F$14,$F$15,$C2941,$A$2,$F2941,$G2941,$H2941,I$1)</f>
        <v>24</v>
      </c>
      <c r="J2941" s="25">
        <f>_xll.DBRW($A$1,$F$14,$F$15,$C2941,$A$2,$F2941,$G2941,$H2941,J$19)</f>
        <v>16</v>
      </c>
    </row>
    <row r="2942" spans="1:10" s="23" customFormat="1" outlineLevel="1" thickBot="1" x14ac:dyDescent="0.3">
      <c r="A2942" s="44"/>
      <c r="B2942" s="31" t="str">
        <f>IF(_xll.TM1RPTELISCONSOLIDATED($H$20,$H2942),IF(_xll.TM1RPTELLEV($H$20,$H2942)&lt;=5,_xll.TM1RPTELLEV($H$20,$H2942),"Default"),"Leaf")</f>
        <v>Leaf</v>
      </c>
      <c r="C2942" s="26" t="s">
        <v>25</v>
      </c>
      <c r="D2942" s="24" t="str">
        <f>_xll.DBRW("TM1-S1_DEV:}ElementAttributes_SP_SKU",$F2942,D$1)</f>
        <v>Primary</v>
      </c>
      <c r="E2942" s="24" t="str">
        <f>_xll.DBRW("TM1-S1_DEV:}ElementAttributes_SP_SKU",$F2942,E$1)</f>
        <v>CONDIMENT</v>
      </c>
      <c r="F2942" s="26" t="s">
        <v>3151</v>
      </c>
      <c r="G2942" s="26" t="s">
        <v>2427</v>
      </c>
      <c r="H2942" s="26" t="s">
        <v>2684</v>
      </c>
      <c r="I2942" s="54">
        <f>_xll.DBRW($A$1,$F$14,$F$15,$C2942,$A$2,$F2942,$G2942,$H2942,I$1)</f>
        <v>23</v>
      </c>
      <c r="J2942" s="25">
        <f>_xll.DBRW($A$1,$F$14,$F$15,$C2942,$A$2,$F2942,$G2942,$H2942,J$19)</f>
        <v>10</v>
      </c>
    </row>
    <row r="2943" spans="1:10" s="23" customFormat="1" outlineLevel="1" thickBot="1" x14ac:dyDescent="0.3">
      <c r="A2943" s="44"/>
      <c r="B2943" s="31" t="str">
        <f>IF(_xll.TM1RPTELISCONSOLIDATED($H$20,$H2943),IF(_xll.TM1RPTELLEV($H$20,$H2943)&lt;=5,_xll.TM1RPTELLEV($H$20,$H2943),"Default"),"Leaf")</f>
        <v>Leaf</v>
      </c>
      <c r="C2943" s="26" t="s">
        <v>25</v>
      </c>
      <c r="D2943" s="24" t="str">
        <f>_xll.DBRW("TM1-S1_DEV:}ElementAttributes_SP_SKU",$F2943,D$1)</f>
        <v>Primary</v>
      </c>
      <c r="E2943" s="24" t="str">
        <f>_xll.DBRW("TM1-S1_DEV:}ElementAttributes_SP_SKU",$F2943,E$1)</f>
        <v>CONDIMENT</v>
      </c>
      <c r="F2943" s="26" t="s">
        <v>3152</v>
      </c>
      <c r="G2943" s="26" t="s">
        <v>2428</v>
      </c>
      <c r="H2943" s="26" t="s">
        <v>2684</v>
      </c>
      <c r="I2943" s="54">
        <f>_xll.DBRW($A$1,$F$14,$F$15,$C2943,$A$2,$F2943,$G2943,$H2943,I$1)</f>
        <v>3</v>
      </c>
      <c r="J2943" s="25">
        <f>_xll.DBRW($A$1,$F$14,$F$15,$C2943,$A$2,$F2943,$G2943,$H2943,J$19)</f>
        <v>2</v>
      </c>
    </row>
    <row r="2944" spans="1:10" s="23" customFormat="1" outlineLevel="1" thickBot="1" x14ac:dyDescent="0.3">
      <c r="A2944" s="44"/>
      <c r="B2944" s="31" t="str">
        <f>IF(_xll.TM1RPTELISCONSOLIDATED($H$20,$H2944),IF(_xll.TM1RPTELLEV($H$20,$H2944)&lt;=5,_xll.TM1RPTELLEV($H$20,$H2944),"Default"),"Leaf")</f>
        <v>Leaf</v>
      </c>
      <c r="C2944" s="26" t="s">
        <v>25</v>
      </c>
      <c r="D2944" s="24" t="str">
        <f>_xll.DBRW("TM1-S1_DEV:}ElementAttributes_SP_SKU",$F2944,D$1)</f>
        <v>Primary</v>
      </c>
      <c r="E2944" s="24" t="str">
        <f>_xll.DBRW("TM1-S1_DEV:}ElementAttributes_SP_SKU",$F2944,E$1)</f>
        <v>CONDIMENT</v>
      </c>
      <c r="F2944" s="26" t="s">
        <v>3153</v>
      </c>
      <c r="G2944" s="26" t="s">
        <v>2429</v>
      </c>
      <c r="H2944" s="26" t="s">
        <v>2684</v>
      </c>
      <c r="I2944" s="54">
        <f>_xll.DBRW($A$1,$F$14,$F$15,$C2944,$A$2,$F2944,$G2944,$H2944,I$1)</f>
        <v>18</v>
      </c>
      <c r="J2944" s="25">
        <f>_xll.DBRW($A$1,$F$14,$F$15,$C2944,$A$2,$F2944,$G2944,$H2944,J$19)</f>
        <v>15</v>
      </c>
    </row>
    <row r="2945" spans="1:10" s="23" customFormat="1" outlineLevel="1" thickBot="1" x14ac:dyDescent="0.3">
      <c r="A2945" s="44"/>
      <c r="B2945" s="31" t="str">
        <f>IF(_xll.TM1RPTELISCONSOLIDATED($H$20,$H2945),IF(_xll.TM1RPTELLEV($H$20,$H2945)&lt;=5,_xll.TM1RPTELLEV($H$20,$H2945),"Default"),"Leaf")</f>
        <v>Leaf</v>
      </c>
      <c r="C2945" s="26" t="s">
        <v>25</v>
      </c>
      <c r="D2945" s="24" t="str">
        <f>_xll.DBRW("TM1-S1_DEV:}ElementAttributes_SP_SKU",$F2945,D$1)</f>
        <v>Primary</v>
      </c>
      <c r="E2945" s="24" t="str">
        <f>_xll.DBRW("TM1-S1_DEV:}ElementAttributes_SP_SKU",$F2945,E$1)</f>
        <v>CONDIMENT</v>
      </c>
      <c r="F2945" s="26" t="s">
        <v>3154</v>
      </c>
      <c r="G2945" s="26" t="s">
        <v>2430</v>
      </c>
      <c r="H2945" s="26" t="s">
        <v>2684</v>
      </c>
      <c r="I2945" s="54">
        <f>_xll.DBRW($A$1,$F$14,$F$15,$C2945,$A$2,$F2945,$G2945,$H2945,I$1)</f>
        <v>46</v>
      </c>
      <c r="J2945" s="25">
        <f>_xll.DBRW($A$1,$F$14,$F$15,$C2945,$A$2,$F2945,$G2945,$H2945,J$19)</f>
        <v>25</v>
      </c>
    </row>
    <row r="2946" spans="1:10" s="23" customFormat="1" outlineLevel="1" thickBot="1" x14ac:dyDescent="0.3">
      <c r="A2946" s="44"/>
      <c r="B2946" s="31" t="str">
        <f>IF(_xll.TM1RPTELISCONSOLIDATED($H$20,$H2946),IF(_xll.TM1RPTELLEV($H$20,$H2946)&lt;=5,_xll.TM1RPTELLEV($H$20,$H2946),"Default"),"Leaf")</f>
        <v>Leaf</v>
      </c>
      <c r="C2946" s="26" t="s">
        <v>25</v>
      </c>
      <c r="D2946" s="24" t="str">
        <f>_xll.DBRW("TM1-S1_DEV:}ElementAttributes_SP_SKU",$F2946,D$1)</f>
        <v>Primary</v>
      </c>
      <c r="E2946" s="24" t="str">
        <f>_xll.DBRW("TM1-S1_DEV:}ElementAttributes_SP_SKU",$F2946,E$1)</f>
        <v>DRESSING</v>
      </c>
      <c r="F2946" s="26" t="s">
        <v>3155</v>
      </c>
      <c r="G2946" s="26" t="s">
        <v>2431</v>
      </c>
      <c r="H2946" s="26" t="s">
        <v>2733</v>
      </c>
      <c r="I2946" s="54">
        <f>_xll.DBRW($A$1,$F$14,$F$15,$C2946,$A$2,$F2946,$G2946,$H2946,I$1)</f>
        <v>5</v>
      </c>
      <c r="J2946" s="25">
        <f>_xll.DBRW($A$1,$F$14,$F$15,$C2946,$A$2,$F2946,$G2946,$H2946,J$19)</f>
        <v>5</v>
      </c>
    </row>
    <row r="2947" spans="1:10" s="23" customFormat="1" outlineLevel="1" thickBot="1" x14ac:dyDescent="0.3">
      <c r="A2947" s="44"/>
      <c r="B2947" s="31" t="str">
        <f>IF(_xll.TM1RPTELISCONSOLIDATED($H$20,$H2947),IF(_xll.TM1RPTELLEV($H$20,$H2947)&lt;=5,_xll.TM1RPTELLEV($H$20,$H2947),"Default"),"Leaf")</f>
        <v>Leaf</v>
      </c>
      <c r="C2947" s="26" t="s">
        <v>25</v>
      </c>
      <c r="D2947" s="24" t="str">
        <f>_xll.DBRW("TM1-S1_DEV:}ElementAttributes_SP_SKU",$F2947,D$1)</f>
        <v>Primary</v>
      </c>
      <c r="E2947" s="24" t="str">
        <f>_xll.DBRW("TM1-S1_DEV:}ElementAttributes_SP_SKU",$F2947,E$1)</f>
        <v>DRESSING</v>
      </c>
      <c r="F2947" s="26" t="s">
        <v>3161</v>
      </c>
      <c r="G2947" s="26" t="s">
        <v>2432</v>
      </c>
      <c r="H2947" s="26" t="s">
        <v>2733</v>
      </c>
      <c r="I2947" s="54">
        <f>_xll.DBRW($A$1,$F$14,$F$15,$C2947,$A$2,$F2947,$G2947,$H2947,I$1)</f>
        <v>5</v>
      </c>
      <c r="J2947" s="25">
        <f>_xll.DBRW($A$1,$F$14,$F$15,$C2947,$A$2,$F2947,$G2947,$H2947,J$19)</f>
        <v>5</v>
      </c>
    </row>
    <row r="2948" spans="1:10" s="23" customFormat="1" outlineLevel="1" thickBot="1" x14ac:dyDescent="0.3">
      <c r="A2948" s="44"/>
      <c r="B2948" s="31" t="str">
        <f>IF(_xll.TM1RPTELISCONSOLIDATED($H$20,$H2948),IF(_xll.TM1RPTELLEV($H$20,$H2948)&lt;=5,_xll.TM1RPTELLEV($H$20,$H2948),"Default"),"Leaf")</f>
        <v>Leaf</v>
      </c>
      <c r="C2948" s="26" t="s">
        <v>25</v>
      </c>
      <c r="D2948" s="24" t="str">
        <f>_xll.DBRW("TM1-S1_DEV:}ElementAttributes_SP_SKU",$F2948,D$1)</f>
        <v>Primary</v>
      </c>
      <c r="E2948" s="24" t="str">
        <f>_xll.DBRW("TM1-S1_DEV:}ElementAttributes_SP_SKU",$F2948,E$1)</f>
        <v>BREAD</v>
      </c>
      <c r="F2948" s="26" t="s">
        <v>3163</v>
      </c>
      <c r="G2948" s="26" t="s">
        <v>2433</v>
      </c>
      <c r="H2948" s="26" t="s">
        <v>2687</v>
      </c>
      <c r="I2948" s="54">
        <f>_xll.DBRW($A$1,$F$14,$F$15,$C2948,$A$2,$F2948,$G2948,$H2948,I$1)</f>
        <v>26</v>
      </c>
      <c r="J2948" s="25">
        <f>_xll.DBRW($A$1,$F$14,$F$15,$C2948,$A$2,$F2948,$G2948,$H2948,J$19)</f>
        <v>19</v>
      </c>
    </row>
    <row r="2949" spans="1:10" s="23" customFormat="1" outlineLevel="1" thickBot="1" x14ac:dyDescent="0.3">
      <c r="A2949" s="44"/>
      <c r="B2949" s="31" t="str">
        <f>IF(_xll.TM1RPTELISCONSOLIDATED($H$20,$H2949),IF(_xll.TM1RPTELLEV($H$20,$H2949)&lt;=5,_xll.TM1RPTELLEV($H$20,$H2949),"Default"),"Leaf")</f>
        <v>Leaf</v>
      </c>
      <c r="C2949" s="26" t="s">
        <v>25</v>
      </c>
      <c r="D2949" s="24" t="str">
        <f>_xll.DBRW("TM1-S1_DEV:}ElementAttributes_SP_SKU",$F2949,D$1)</f>
        <v>Primary</v>
      </c>
      <c r="E2949" s="24" t="str">
        <f>_xll.DBRW("TM1-S1_DEV:}ElementAttributes_SP_SKU",$F2949,E$1)</f>
        <v>BREAD</v>
      </c>
      <c r="F2949" s="26" t="s">
        <v>3164</v>
      </c>
      <c r="G2949" s="26" t="s">
        <v>2434</v>
      </c>
      <c r="H2949" s="26" t="s">
        <v>2687</v>
      </c>
      <c r="I2949" s="54">
        <f>_xll.DBRW($A$1,$F$14,$F$15,$C2949,$A$2,$F2949,$G2949,$H2949,I$1)</f>
        <v>31</v>
      </c>
      <c r="J2949" s="25">
        <f>_xll.DBRW($A$1,$F$14,$F$15,$C2949,$A$2,$F2949,$G2949,$H2949,J$19)</f>
        <v>20</v>
      </c>
    </row>
    <row r="2950" spans="1:10" s="23" customFormat="1" outlineLevel="1" thickBot="1" x14ac:dyDescent="0.3">
      <c r="A2950" s="44"/>
      <c r="B2950" s="31" t="str">
        <f>IF(_xll.TM1RPTELISCONSOLIDATED($H$20,$H2950),IF(_xll.TM1RPTELLEV($H$20,$H2950)&lt;=5,_xll.TM1RPTELLEV($H$20,$H2950),"Default"),"Leaf")</f>
        <v>Leaf</v>
      </c>
      <c r="C2950" s="26" t="s">
        <v>25</v>
      </c>
      <c r="D2950" s="24" t="str">
        <f>_xll.DBRW("TM1-S1_DEV:}ElementAttributes_SP_SKU",$F2950,D$1)</f>
        <v>Primary</v>
      </c>
      <c r="E2950" s="24" t="str">
        <f>_xll.DBRW("TM1-S1_DEV:}ElementAttributes_SP_SKU",$F2950,E$1)</f>
        <v>BREAD</v>
      </c>
      <c r="F2950" s="26" t="s">
        <v>3165</v>
      </c>
      <c r="G2950" s="26" t="s">
        <v>2435</v>
      </c>
      <c r="H2950" s="26" t="s">
        <v>2688</v>
      </c>
      <c r="I2950" s="54">
        <f>_xll.DBRW($A$1,$F$14,$F$15,$C2950,$A$2,$F2950,$G2950,$H2950,I$1)</f>
        <v>79</v>
      </c>
      <c r="J2950" s="25">
        <f>_xll.DBRW($A$1,$F$14,$F$15,$C2950,$A$2,$F2950,$G2950,$H2950,J$19)</f>
        <v>47</v>
      </c>
    </row>
    <row r="2951" spans="1:10" s="23" customFormat="1" outlineLevel="1" thickBot="1" x14ac:dyDescent="0.3">
      <c r="A2951" s="44"/>
      <c r="B2951" s="31" t="str">
        <f>IF(_xll.TM1RPTELISCONSOLIDATED($H$20,$H2951),IF(_xll.TM1RPTELLEV($H$20,$H2951)&lt;=5,_xll.TM1RPTELLEV($H$20,$H2951),"Default"),"Leaf")</f>
        <v>Leaf</v>
      </c>
      <c r="C2951" s="26" t="s">
        <v>25</v>
      </c>
      <c r="D2951" s="24" t="str">
        <f>_xll.DBRW("TM1-S1_DEV:}ElementAttributes_SP_SKU",$F2951,D$1)</f>
        <v>Primary</v>
      </c>
      <c r="E2951" s="24" t="str">
        <f>_xll.DBRW("TM1-S1_DEV:}ElementAttributes_SP_SKU",$F2951,E$1)</f>
        <v>BREAD</v>
      </c>
      <c r="F2951" s="26" t="s">
        <v>3166</v>
      </c>
      <c r="G2951" s="26" t="s">
        <v>2436</v>
      </c>
      <c r="H2951" s="26" t="s">
        <v>2689</v>
      </c>
      <c r="I2951" s="54">
        <f>_xll.DBRW($A$1,$F$14,$F$15,$C2951,$A$2,$F2951,$G2951,$H2951,I$1)</f>
        <v>46</v>
      </c>
      <c r="J2951" s="25">
        <f>_xll.DBRW($A$1,$F$14,$F$15,$C2951,$A$2,$F2951,$G2951,$H2951,J$19)</f>
        <v>32</v>
      </c>
    </row>
    <row r="2952" spans="1:10" s="23" customFormat="1" outlineLevel="1" thickBot="1" x14ac:dyDescent="0.3">
      <c r="A2952" s="44"/>
      <c r="B2952" s="31" t="str">
        <f>IF(_xll.TM1RPTELISCONSOLIDATED($H$20,$H2952),IF(_xll.TM1RPTELLEV($H$20,$H2952)&lt;=5,_xll.TM1RPTELLEV($H$20,$H2952),"Default"),"Leaf")</f>
        <v>Leaf</v>
      </c>
      <c r="C2952" s="26" t="s">
        <v>25</v>
      </c>
      <c r="D2952" s="24" t="str">
        <f>_xll.DBRW("TM1-S1_DEV:}ElementAttributes_SP_SKU",$F2952,D$1)</f>
        <v>Primary</v>
      </c>
      <c r="E2952" s="24" t="str">
        <f>_xll.DBRW("TM1-S1_DEV:}ElementAttributes_SP_SKU",$F2952,E$1)</f>
        <v>BREAD</v>
      </c>
      <c r="F2952" s="26" t="s">
        <v>3167</v>
      </c>
      <c r="G2952" s="26" t="s">
        <v>2437</v>
      </c>
      <c r="H2952" s="26" t="s">
        <v>2688</v>
      </c>
      <c r="I2952" s="54">
        <f>_xll.DBRW($A$1,$F$14,$F$15,$C2952,$A$2,$F2952,$G2952,$H2952,I$1)</f>
        <v>24</v>
      </c>
      <c r="J2952" s="25">
        <f>_xll.DBRW($A$1,$F$14,$F$15,$C2952,$A$2,$F2952,$G2952,$H2952,J$19)</f>
        <v>18</v>
      </c>
    </row>
    <row r="2953" spans="1:10" s="23" customFormat="1" outlineLevel="1" thickBot="1" x14ac:dyDescent="0.3">
      <c r="A2953" s="44"/>
      <c r="B2953" s="31" t="str">
        <f>IF(_xll.TM1RPTELISCONSOLIDATED($H$20,$H2953),IF(_xll.TM1RPTELLEV($H$20,$H2953)&lt;=5,_xll.TM1RPTELLEV($H$20,$H2953),"Default"),"Leaf")</f>
        <v>Leaf</v>
      </c>
      <c r="C2953" s="26" t="s">
        <v>25</v>
      </c>
      <c r="D2953" s="24" t="str">
        <f>_xll.DBRW("TM1-S1_DEV:}ElementAttributes_SP_SKU",$F2953,D$1)</f>
        <v>Primary</v>
      </c>
      <c r="E2953" s="24" t="str">
        <f>_xll.DBRW("TM1-S1_DEV:}ElementAttributes_SP_SKU",$F2953,E$1)</f>
        <v>BREAD</v>
      </c>
      <c r="F2953" s="26" t="s">
        <v>3168</v>
      </c>
      <c r="G2953" s="26" t="s">
        <v>2438</v>
      </c>
      <c r="H2953" s="26" t="s">
        <v>2688</v>
      </c>
      <c r="I2953" s="54">
        <f>_xll.DBRW($A$1,$F$14,$F$15,$C2953,$A$2,$F2953,$G2953,$H2953,I$1)</f>
        <v>19</v>
      </c>
      <c r="J2953" s="25">
        <f>_xll.DBRW($A$1,$F$14,$F$15,$C2953,$A$2,$F2953,$G2953,$H2953,J$19)</f>
        <v>12</v>
      </c>
    </row>
    <row r="2954" spans="1:10" s="23" customFormat="1" outlineLevel="1" thickBot="1" x14ac:dyDescent="0.3">
      <c r="A2954" s="44"/>
      <c r="B2954" s="31" t="str">
        <f>IF(_xll.TM1RPTELISCONSOLIDATED($H$20,$H2954),IF(_xll.TM1RPTELLEV($H$20,$H2954)&lt;=5,_xll.TM1RPTELLEV($H$20,$H2954),"Default"),"Leaf")</f>
        <v>Leaf</v>
      </c>
      <c r="C2954" s="26" t="s">
        <v>25</v>
      </c>
      <c r="D2954" s="24" t="str">
        <f>_xll.DBRW("TM1-S1_DEV:}ElementAttributes_SP_SKU",$F2954,D$1)</f>
        <v>Primary</v>
      </c>
      <c r="E2954" s="24" t="str">
        <f>_xll.DBRW("TM1-S1_DEV:}ElementAttributes_SP_SKU",$F2954,E$1)</f>
        <v>BREAD</v>
      </c>
      <c r="F2954" s="26" t="s">
        <v>3169</v>
      </c>
      <c r="G2954" s="26" t="s">
        <v>2439</v>
      </c>
      <c r="H2954" s="26" t="s">
        <v>2690</v>
      </c>
      <c r="I2954" s="54">
        <f>_xll.DBRW($A$1,$F$14,$F$15,$C2954,$A$2,$F2954,$G2954,$H2954,I$1)</f>
        <v>21</v>
      </c>
      <c r="J2954" s="25">
        <f>_xll.DBRW($A$1,$F$14,$F$15,$C2954,$A$2,$F2954,$G2954,$H2954,J$19)</f>
        <v>14</v>
      </c>
    </row>
    <row r="2955" spans="1:10" s="23" customFormat="1" outlineLevel="1" thickBot="1" x14ac:dyDescent="0.3">
      <c r="A2955" s="44"/>
      <c r="B2955" s="31" t="str">
        <f>IF(_xll.TM1RPTELISCONSOLIDATED($H$20,$H2955),IF(_xll.TM1RPTELLEV($H$20,$H2955)&lt;=5,_xll.TM1RPTELLEV($H$20,$H2955),"Default"),"Leaf")</f>
        <v>Leaf</v>
      </c>
      <c r="C2955" s="26" t="s">
        <v>25</v>
      </c>
      <c r="D2955" s="24" t="str">
        <f>_xll.DBRW("TM1-S1_DEV:}ElementAttributes_SP_SKU",$F2955,D$1)</f>
        <v>Primary</v>
      </c>
      <c r="E2955" s="24" t="str">
        <f>_xll.DBRW("TM1-S1_DEV:}ElementAttributes_SP_SKU",$F2955,E$1)</f>
        <v>BREAD</v>
      </c>
      <c r="F2955" s="26" t="s">
        <v>3171</v>
      </c>
      <c r="G2955" s="26" t="s">
        <v>2440</v>
      </c>
      <c r="H2955" s="26" t="s">
        <v>2690</v>
      </c>
      <c r="I2955" s="54">
        <f>_xll.DBRW($A$1,$F$14,$F$15,$C2955,$A$2,$F2955,$G2955,$H2955,I$1)</f>
        <v>0</v>
      </c>
      <c r="J2955" s="25">
        <f>_xll.DBRW($A$1,$F$14,$F$15,$C2955,$A$2,$F2955,$G2955,$H2955,J$19)</f>
        <v>1</v>
      </c>
    </row>
    <row r="2956" spans="1:10" s="23" customFormat="1" outlineLevel="1" thickBot="1" x14ac:dyDescent="0.3">
      <c r="A2956" s="44"/>
      <c r="B2956" s="31" t="str">
        <f>IF(_xll.TM1RPTELISCONSOLIDATED($H$20,$H2956),IF(_xll.TM1RPTELLEV($H$20,$H2956)&lt;=5,_xll.TM1RPTELLEV($H$20,$H2956),"Default"),"Leaf")</f>
        <v>Leaf</v>
      </c>
      <c r="C2956" s="26" t="s">
        <v>25</v>
      </c>
      <c r="D2956" s="24" t="str">
        <f>_xll.DBRW("TM1-S1_DEV:}ElementAttributes_SP_SKU",$F2956,D$1)</f>
        <v>Primary</v>
      </c>
      <c r="E2956" s="24" t="str">
        <f>_xll.DBRW("TM1-S1_DEV:}ElementAttributes_SP_SKU",$F2956,E$1)</f>
        <v>BREAD</v>
      </c>
      <c r="F2956" s="26" t="s">
        <v>3252</v>
      </c>
      <c r="G2956" s="26" t="s">
        <v>2441</v>
      </c>
      <c r="H2956" s="26" t="s">
        <v>2691</v>
      </c>
      <c r="I2956" s="54">
        <f>_xll.DBRW($A$1,$F$14,$F$15,$C2956,$A$2,$F2956,$G2956,$H2956,I$1)</f>
        <v>4</v>
      </c>
      <c r="J2956" s="25">
        <f>_xll.DBRW($A$1,$F$14,$F$15,$C2956,$A$2,$F2956,$G2956,$H2956,J$19)</f>
        <v>4</v>
      </c>
    </row>
    <row r="2957" spans="1:10" s="23" customFormat="1" outlineLevel="1" thickBot="1" x14ac:dyDescent="0.3">
      <c r="A2957" s="44"/>
      <c r="B2957" s="31" t="str">
        <f>IF(_xll.TM1RPTELISCONSOLIDATED($H$20,$H2957),IF(_xll.TM1RPTELLEV($H$20,$H2957)&lt;=5,_xll.TM1RPTELLEV($H$20,$H2957),"Default"),"Leaf")</f>
        <v>Leaf</v>
      </c>
      <c r="C2957" s="26" t="s">
        <v>25</v>
      </c>
      <c r="D2957" s="24" t="str">
        <f>_xll.DBRW("TM1-S1_DEV:}ElementAttributes_SP_SKU",$F2957,D$1)</f>
        <v>Primary</v>
      </c>
      <c r="E2957" s="24" t="str">
        <f>_xll.DBRW("TM1-S1_DEV:}ElementAttributes_SP_SKU",$F2957,E$1)</f>
        <v>CHIPS</v>
      </c>
      <c r="F2957" s="26" t="s">
        <v>301</v>
      </c>
      <c r="G2957" s="26" t="s">
        <v>2442</v>
      </c>
      <c r="H2957" s="26" t="s">
        <v>2717</v>
      </c>
      <c r="I2957" s="54">
        <f>_xll.DBRW($A$1,$F$14,$F$15,$C2957,$A$2,$F2957,$G2957,$H2957,I$1)</f>
        <v>17</v>
      </c>
      <c r="J2957" s="25">
        <f>_xll.DBRW($A$1,$F$14,$F$15,$C2957,$A$2,$F2957,$G2957,$H2957,J$19)</f>
        <v>17</v>
      </c>
    </row>
    <row r="2958" spans="1:10" s="23" customFormat="1" outlineLevel="1" thickBot="1" x14ac:dyDescent="0.3">
      <c r="A2958" s="44"/>
      <c r="B2958" s="31" t="str">
        <f>IF(_xll.TM1RPTELISCONSOLIDATED($H$20,$H2958),IF(_xll.TM1RPTELLEV($H$20,$H2958)&lt;=5,_xll.TM1RPTELLEV($H$20,$H2958),"Default"),"Leaf")</f>
        <v>Leaf</v>
      </c>
      <c r="C2958" s="26" t="s">
        <v>25</v>
      </c>
      <c r="D2958" s="24" t="str">
        <f>_xll.DBRW("TM1-S1_DEV:}ElementAttributes_SP_SKU",$F2958,D$1)</f>
        <v>Primary</v>
      </c>
      <c r="E2958" s="24" t="str">
        <f>_xll.DBRW("TM1-S1_DEV:}ElementAttributes_SP_SKU",$F2958,E$1)</f>
        <v>CHIPS</v>
      </c>
      <c r="F2958" s="26" t="s">
        <v>3292</v>
      </c>
      <c r="G2958" s="26" t="s">
        <v>2443</v>
      </c>
      <c r="H2958" s="26" t="s">
        <v>2717</v>
      </c>
      <c r="I2958" s="54">
        <f>_xll.DBRW($A$1,$F$14,$F$15,$C2958,$A$2,$F2958,$G2958,$H2958,I$1)</f>
        <v>19</v>
      </c>
      <c r="J2958" s="25">
        <f>_xll.DBRW($A$1,$F$14,$F$15,$C2958,$A$2,$F2958,$G2958,$H2958,J$19)</f>
        <v>14</v>
      </c>
    </row>
    <row r="2959" spans="1:10" s="23" customFormat="1" outlineLevel="1" thickBot="1" x14ac:dyDescent="0.3">
      <c r="A2959" s="44"/>
      <c r="B2959" s="31" t="str">
        <f>IF(_xll.TM1RPTELISCONSOLIDATED($H$20,$H2959),IF(_xll.TM1RPTELLEV($H$20,$H2959)&lt;=5,_xll.TM1RPTELLEV($H$20,$H2959),"Default"),"Leaf")</f>
        <v>Leaf</v>
      </c>
      <c r="C2959" s="26" t="s">
        <v>25</v>
      </c>
      <c r="D2959" s="24" t="str">
        <f>_xll.DBRW("TM1-S1_DEV:}ElementAttributes_SP_SKU",$F2959,D$1)</f>
        <v>Primary</v>
      </c>
      <c r="E2959" s="24" t="str">
        <f>_xll.DBRW("TM1-S1_DEV:}ElementAttributes_SP_SKU",$F2959,E$1)</f>
        <v>CONDIMENT</v>
      </c>
      <c r="F2959" s="26" t="s">
        <v>3174</v>
      </c>
      <c r="G2959" s="26" t="s">
        <v>2444</v>
      </c>
      <c r="H2959" s="26" t="s">
        <v>2684</v>
      </c>
      <c r="I2959" s="54">
        <f>_xll.DBRW($A$1,$F$14,$F$15,$C2959,$A$2,$F2959,$G2959,$H2959,I$1)</f>
        <v>21</v>
      </c>
      <c r="J2959" s="25">
        <f>_xll.DBRW($A$1,$F$14,$F$15,$C2959,$A$2,$F2959,$G2959,$H2959,J$19)</f>
        <v>18</v>
      </c>
    </row>
    <row r="2960" spans="1:10" s="23" customFormat="1" outlineLevel="1" thickBot="1" x14ac:dyDescent="0.3">
      <c r="A2960" s="44"/>
      <c r="B2960" s="31" t="str">
        <f>IF(_xll.TM1RPTELISCONSOLIDATED($H$20,$H2960),IF(_xll.TM1RPTELLEV($H$20,$H2960)&lt;=5,_xll.TM1RPTELLEV($H$20,$H2960),"Default"),"Leaf")</f>
        <v>Leaf</v>
      </c>
      <c r="C2960" s="26" t="s">
        <v>25</v>
      </c>
      <c r="D2960" s="24" t="str">
        <f>_xll.DBRW("TM1-S1_DEV:}ElementAttributes_SP_SKU",$F2960,D$1)</f>
        <v>Primary</v>
      </c>
      <c r="E2960" s="24" t="str">
        <f>_xll.DBRW("TM1-S1_DEV:}ElementAttributes_SP_SKU",$F2960,E$1)</f>
        <v>CONDIMENT</v>
      </c>
      <c r="F2960" s="26" t="s">
        <v>3176</v>
      </c>
      <c r="G2960" s="26" t="s">
        <v>2445</v>
      </c>
      <c r="H2960" s="26" t="s">
        <v>2684</v>
      </c>
      <c r="I2960" s="54">
        <f>_xll.DBRW($A$1,$F$14,$F$15,$C2960,$A$2,$F2960,$G2960,$H2960,I$1)</f>
        <v>3</v>
      </c>
      <c r="J2960" s="25">
        <f>_xll.DBRW($A$1,$F$14,$F$15,$C2960,$A$2,$F2960,$G2960,$H2960,J$19)</f>
        <v>7</v>
      </c>
    </row>
    <row r="2961" spans="1:10" s="23" customFormat="1" outlineLevel="1" thickBot="1" x14ac:dyDescent="0.3">
      <c r="A2961" s="44"/>
      <c r="B2961" s="31" t="str">
        <f>IF(_xll.TM1RPTELISCONSOLIDATED($H$20,$H2961),IF(_xll.TM1RPTELLEV($H$20,$H2961)&lt;=5,_xll.TM1RPTELLEV($H$20,$H2961),"Default"),"Leaf")</f>
        <v>Leaf</v>
      </c>
      <c r="C2961" s="26" t="s">
        <v>25</v>
      </c>
      <c r="D2961" s="24" t="str">
        <f>_xll.DBRW("TM1-S1_DEV:}ElementAttributes_SP_SKU",$F2961,D$1)</f>
        <v>Primary</v>
      </c>
      <c r="E2961" s="24" t="str">
        <f>_xll.DBRW("TM1-S1_DEV:}ElementAttributes_SP_SKU",$F2961,E$1)</f>
        <v>CONDIMENT</v>
      </c>
      <c r="F2961" s="26" t="s">
        <v>3253</v>
      </c>
      <c r="G2961" s="26" t="s">
        <v>2446</v>
      </c>
      <c r="H2961" s="26" t="s">
        <v>2686</v>
      </c>
      <c r="I2961" s="54">
        <f>_xll.DBRW($A$1,$F$14,$F$15,$C2961,$A$2,$F2961,$G2961,$H2961,I$1)</f>
        <v>82</v>
      </c>
      <c r="J2961" s="25">
        <f>_xll.DBRW($A$1,$F$14,$F$15,$C2961,$A$2,$F2961,$G2961,$H2961,J$19)</f>
        <v>80</v>
      </c>
    </row>
    <row r="2962" spans="1:10" s="23" customFormat="1" outlineLevel="1" thickBot="1" x14ac:dyDescent="0.3">
      <c r="A2962" s="44"/>
      <c r="B2962" s="31" t="str">
        <f>IF(_xll.TM1RPTELISCONSOLIDATED($H$20,$H2962),IF(_xll.TM1RPTELLEV($H$20,$H2962)&lt;=5,_xll.TM1RPTELLEV($H$20,$H2962),"Default"),"Leaf")</f>
        <v>Leaf</v>
      </c>
      <c r="C2962" s="26" t="s">
        <v>25</v>
      </c>
      <c r="D2962" s="24" t="str">
        <f>_xll.DBRW("TM1-S1_DEV:}ElementAttributes_SP_SKU",$F2962,D$1)</f>
        <v>Primary</v>
      </c>
      <c r="E2962" s="24" t="str">
        <f>_xll.DBRW("TM1-S1_DEV:}ElementAttributes_SP_SKU",$F2962,E$1)</f>
        <v>INGREDIENT</v>
      </c>
      <c r="F2962" s="26" t="s">
        <v>3177</v>
      </c>
      <c r="G2962" s="26" t="s">
        <v>2447</v>
      </c>
      <c r="H2962" s="26" t="s">
        <v>2686</v>
      </c>
      <c r="I2962" s="54">
        <f>_xll.DBRW($A$1,$F$14,$F$15,$C2962,$A$2,$F2962,$G2962,$H2962,I$1)</f>
        <v>17</v>
      </c>
      <c r="J2962" s="25">
        <f>_xll.DBRW($A$1,$F$14,$F$15,$C2962,$A$2,$F2962,$G2962,$H2962,J$19)</f>
        <v>16</v>
      </c>
    </row>
    <row r="2963" spans="1:10" s="23" customFormat="1" outlineLevel="1" thickBot="1" x14ac:dyDescent="0.3">
      <c r="A2963" s="44"/>
      <c r="B2963" s="31" t="str">
        <f>IF(_xll.TM1RPTELISCONSOLIDATED($H$20,$H2963),IF(_xll.TM1RPTELLEV($H$20,$H2963)&lt;=5,_xll.TM1RPTELLEV($H$20,$H2963),"Default"),"Leaf")</f>
        <v>Leaf</v>
      </c>
      <c r="C2963" s="26" t="s">
        <v>25</v>
      </c>
      <c r="D2963" s="24" t="str">
        <f>_xll.DBRW("TM1-S1_DEV:}ElementAttributes_SP_SKU",$F2963,D$1)</f>
        <v>Primary</v>
      </c>
      <c r="E2963" s="24" t="str">
        <f>_xll.DBRW("TM1-S1_DEV:}ElementAttributes_SP_SKU",$F2963,E$1)</f>
        <v>CONDIMENT</v>
      </c>
      <c r="F2963" s="26" t="s">
        <v>3178</v>
      </c>
      <c r="G2963" s="26" t="s">
        <v>2448</v>
      </c>
      <c r="H2963" s="26" t="s">
        <v>2684</v>
      </c>
      <c r="I2963" s="54">
        <f>_xll.DBRW($A$1,$F$14,$F$15,$C2963,$A$2,$F2963,$G2963,$H2963,I$1)</f>
        <v>3</v>
      </c>
      <c r="J2963" s="25">
        <f>_xll.DBRW($A$1,$F$14,$F$15,$C2963,$A$2,$F2963,$G2963,$H2963,J$19)</f>
        <v>2</v>
      </c>
    </row>
    <row r="2964" spans="1:10" s="23" customFormat="1" outlineLevel="1" thickBot="1" x14ac:dyDescent="0.3">
      <c r="A2964" s="44"/>
      <c r="B2964" s="31" t="str">
        <f>IF(_xll.TM1RPTELISCONSOLIDATED($H$20,$H2964),IF(_xll.TM1RPTELLEV($H$20,$H2964)&lt;=5,_xll.TM1RPTELLEV($H$20,$H2964),"Default"),"Leaf")</f>
        <v>Leaf</v>
      </c>
      <c r="C2964" s="26" t="s">
        <v>25</v>
      </c>
      <c r="D2964" s="24" t="str">
        <f>_xll.DBRW("TM1-S1_DEV:}ElementAttributes_SP_SKU",$F2964,D$1)</f>
        <v>Primary</v>
      </c>
      <c r="E2964" s="24" t="str">
        <f>_xll.DBRW("TM1-S1_DEV:}ElementAttributes_SP_SKU",$F2964,E$1)</f>
        <v>CONDIMENT</v>
      </c>
      <c r="F2964" s="26" t="s">
        <v>3179</v>
      </c>
      <c r="G2964" s="26" t="s">
        <v>2449</v>
      </c>
      <c r="H2964" s="26" t="s">
        <v>2684</v>
      </c>
      <c r="I2964" s="54">
        <f>_xll.DBRW($A$1,$F$14,$F$15,$C2964,$A$2,$F2964,$G2964,$H2964,I$1)</f>
        <v>8</v>
      </c>
      <c r="J2964" s="25">
        <f>_xll.DBRW($A$1,$F$14,$F$15,$C2964,$A$2,$F2964,$G2964,$H2964,J$19)</f>
        <v>6</v>
      </c>
    </row>
    <row r="2965" spans="1:10" s="23" customFormat="1" outlineLevel="1" thickBot="1" x14ac:dyDescent="0.3">
      <c r="A2965" s="44"/>
      <c r="B2965" s="31" t="str">
        <f>IF(_xll.TM1RPTELISCONSOLIDATED($H$20,$H2965),IF(_xll.TM1RPTELLEV($H$20,$H2965)&lt;=5,_xll.TM1RPTELLEV($H$20,$H2965),"Default"),"Leaf")</f>
        <v>Leaf</v>
      </c>
      <c r="C2965" s="26" t="s">
        <v>25</v>
      </c>
      <c r="D2965" s="24" t="str">
        <f>_xll.DBRW("TM1-S1_DEV:}ElementAttributes_SP_SKU",$F2965,D$1)</f>
        <v>Primary</v>
      </c>
      <c r="E2965" s="24" t="str">
        <f>_xll.DBRW("TM1-S1_DEV:}ElementAttributes_SP_SKU",$F2965,E$1)</f>
        <v>CHIPS</v>
      </c>
      <c r="F2965" s="26" t="s">
        <v>3308</v>
      </c>
      <c r="G2965" s="26" t="s">
        <v>2450</v>
      </c>
      <c r="H2965" s="26" t="s">
        <v>2717</v>
      </c>
      <c r="I2965" s="54">
        <f>_xll.DBRW($A$1,$F$14,$F$15,$C2965,$A$2,$F2965,$G2965,$H2965,I$1)</f>
        <v>15</v>
      </c>
      <c r="J2965" s="25">
        <f>_xll.DBRW($A$1,$F$14,$F$15,$C2965,$A$2,$F2965,$G2965,$H2965,J$19)</f>
        <v>16</v>
      </c>
    </row>
    <row r="2966" spans="1:10" s="23" customFormat="1" outlineLevel="1" thickBot="1" x14ac:dyDescent="0.3">
      <c r="A2966" s="44"/>
      <c r="B2966" s="31" t="str">
        <f>IF(_xll.TM1RPTELISCONSOLIDATED($H$20,$H2966),IF(_xll.TM1RPTELLEV($H$20,$H2966)&lt;=5,_xll.TM1RPTELLEV($H$20,$H2966),"Default"),"Leaf")</f>
        <v>Leaf</v>
      </c>
      <c r="C2966" s="26" t="s">
        <v>25</v>
      </c>
      <c r="D2966" s="24" t="str">
        <f>_xll.DBRW("TM1-S1_DEV:}ElementAttributes_SP_SKU",$F2966,D$1)</f>
        <v>Primary</v>
      </c>
      <c r="E2966" s="24" t="str">
        <f>_xll.DBRW("TM1-S1_DEV:}ElementAttributes_SP_SKU",$F2966,E$1)</f>
        <v>COOKIE</v>
      </c>
      <c r="F2966" s="26" t="s">
        <v>3180</v>
      </c>
      <c r="G2966" s="26" t="s">
        <v>2451</v>
      </c>
      <c r="H2966" s="26" t="s">
        <v>2691</v>
      </c>
      <c r="I2966" s="54">
        <f>_xll.DBRW($A$1,$F$14,$F$15,$C2966,$A$2,$F2966,$G2966,$H2966,I$1)</f>
        <v>7</v>
      </c>
      <c r="J2966" s="25">
        <f>_xll.DBRW($A$1,$F$14,$F$15,$C2966,$A$2,$F2966,$G2966,$H2966,J$19)</f>
        <v>9</v>
      </c>
    </row>
    <row r="2967" spans="1:10" s="23" customFormat="1" outlineLevel="1" thickBot="1" x14ac:dyDescent="0.3">
      <c r="A2967" s="44"/>
      <c r="B2967" s="31" t="str">
        <f>IF(_xll.TM1RPTELISCONSOLIDATED($H$20,$H2967),IF(_xll.TM1RPTELLEV($H$20,$H2967)&lt;=5,_xll.TM1RPTELLEV($H$20,$H2967),"Default"),"Leaf")</f>
        <v>Leaf</v>
      </c>
      <c r="C2967" s="26" t="s">
        <v>25</v>
      </c>
      <c r="D2967" s="24" t="str">
        <f>_xll.DBRW("TM1-S1_DEV:}ElementAttributes_SP_SKU",$F2967,D$1)</f>
        <v>Primary</v>
      </c>
      <c r="E2967" s="24" t="str">
        <f>_xll.DBRW("TM1-S1_DEV:}ElementAttributes_SP_SKU",$F2967,E$1)</f>
        <v>COOKIE</v>
      </c>
      <c r="F2967" s="26" t="s">
        <v>3181</v>
      </c>
      <c r="G2967" s="26" t="s">
        <v>2452</v>
      </c>
      <c r="H2967" s="26" t="s">
        <v>2691</v>
      </c>
      <c r="I2967" s="54">
        <f>_xll.DBRW($A$1,$F$14,$F$15,$C2967,$A$2,$F2967,$G2967,$H2967,I$1)</f>
        <v>13</v>
      </c>
      <c r="J2967" s="25">
        <f>_xll.DBRW($A$1,$F$14,$F$15,$C2967,$A$2,$F2967,$G2967,$H2967,J$19)</f>
        <v>8</v>
      </c>
    </row>
    <row r="2968" spans="1:10" s="23" customFormat="1" outlineLevel="1" thickBot="1" x14ac:dyDescent="0.3">
      <c r="A2968" s="44"/>
      <c r="B2968" s="31" t="str">
        <f>IF(_xll.TM1RPTELISCONSOLIDATED($H$20,$H2968),IF(_xll.TM1RPTELLEV($H$20,$H2968)&lt;=5,_xll.TM1RPTELLEV($H$20,$H2968),"Default"),"Leaf")</f>
        <v>Leaf</v>
      </c>
      <c r="C2968" s="26" t="s">
        <v>25</v>
      </c>
      <c r="D2968" s="24" t="str">
        <f>_xll.DBRW("TM1-S1_DEV:}ElementAttributes_SP_SKU",$F2968,D$1)</f>
        <v>Primary</v>
      </c>
      <c r="E2968" s="24" t="str">
        <f>_xll.DBRW("TM1-S1_DEV:}ElementAttributes_SP_SKU",$F2968,E$1)</f>
        <v>COOKIE</v>
      </c>
      <c r="F2968" s="26" t="s">
        <v>3182</v>
      </c>
      <c r="G2968" s="26" t="s">
        <v>2453</v>
      </c>
      <c r="H2968" s="26" t="s">
        <v>2691</v>
      </c>
      <c r="I2968" s="54">
        <f>_xll.DBRW($A$1,$F$14,$F$15,$C2968,$A$2,$F2968,$G2968,$H2968,I$1)</f>
        <v>3</v>
      </c>
      <c r="J2968" s="25">
        <f>_xll.DBRW($A$1,$F$14,$F$15,$C2968,$A$2,$F2968,$G2968,$H2968,J$19)</f>
        <v>15</v>
      </c>
    </row>
    <row r="2969" spans="1:10" s="23" customFormat="1" outlineLevel="1" thickBot="1" x14ac:dyDescent="0.3">
      <c r="A2969" s="44"/>
      <c r="B2969" s="31" t="str">
        <f>IF(_xll.TM1RPTELISCONSOLIDATED($H$20,$H2969),IF(_xll.TM1RPTELLEV($H$20,$H2969)&lt;=5,_xll.TM1RPTELLEV($H$20,$H2969),"Default"),"Leaf")</f>
        <v>Leaf</v>
      </c>
      <c r="C2969" s="26" t="s">
        <v>25</v>
      </c>
      <c r="D2969" s="24" t="str">
        <f>_xll.DBRW("TM1-S1_DEV:}ElementAttributes_SP_SKU",$F2969,D$1)</f>
        <v>Primary</v>
      </c>
      <c r="E2969" s="24" t="str">
        <f>_xll.DBRW("TM1-S1_DEV:}ElementAttributes_SP_SKU",$F2969,E$1)</f>
        <v>COOKIE</v>
      </c>
      <c r="F2969" s="26" t="s">
        <v>3183</v>
      </c>
      <c r="G2969" s="26" t="s">
        <v>2454</v>
      </c>
      <c r="H2969" s="26" t="s">
        <v>2691</v>
      </c>
      <c r="I2969" s="54">
        <f>_xll.DBRW($A$1,$F$14,$F$15,$C2969,$A$2,$F2969,$G2969,$H2969,I$1)</f>
        <v>18</v>
      </c>
      <c r="J2969" s="25">
        <f>_xll.DBRW($A$1,$F$14,$F$15,$C2969,$A$2,$F2969,$G2969,$H2969,J$19)</f>
        <v>28</v>
      </c>
    </row>
    <row r="2970" spans="1:10" s="23" customFormat="1" outlineLevel="1" thickBot="1" x14ac:dyDescent="0.3">
      <c r="A2970" s="44"/>
      <c r="B2970" s="31" t="str">
        <f>IF(_xll.TM1RPTELISCONSOLIDATED($H$20,$H2970),IF(_xll.TM1RPTELLEV($H$20,$H2970)&lt;=5,_xll.TM1RPTELLEV($H$20,$H2970),"Default"),"Leaf")</f>
        <v>Leaf</v>
      </c>
      <c r="C2970" s="26" t="s">
        <v>25</v>
      </c>
      <c r="D2970" s="24" t="str">
        <f>_xll.DBRW("TM1-S1_DEV:}ElementAttributes_SP_SKU",$F2970,D$1)</f>
        <v>Primary</v>
      </c>
      <c r="E2970" s="24" t="str">
        <f>_xll.DBRW("TM1-S1_DEV:}ElementAttributes_SP_SKU",$F2970,E$1)</f>
        <v>INGREDIENT</v>
      </c>
      <c r="F2970" s="26" t="s">
        <v>3185</v>
      </c>
      <c r="G2970" s="26" t="s">
        <v>2455</v>
      </c>
      <c r="H2970" s="26" t="s">
        <v>2693</v>
      </c>
      <c r="I2970" s="54">
        <f>_xll.DBRW($A$1,$F$14,$F$15,$C2970,$A$2,$F2970,$G2970,$H2970,I$1)</f>
        <v>17</v>
      </c>
      <c r="J2970" s="25">
        <f>_xll.DBRW($A$1,$F$14,$F$15,$C2970,$A$2,$F2970,$G2970,$H2970,J$19)</f>
        <v>15</v>
      </c>
    </row>
    <row r="2971" spans="1:10" s="23" customFormat="1" outlineLevel="1" thickBot="1" x14ac:dyDescent="0.3">
      <c r="A2971" s="44"/>
      <c r="B2971" s="31" t="str">
        <f>IF(_xll.TM1RPTELISCONSOLIDATED($H$20,$H2971),IF(_xll.TM1RPTELLEV($H$20,$H2971)&lt;=5,_xll.TM1RPTELLEV($H$20,$H2971),"Default"),"Leaf")</f>
        <v>Leaf</v>
      </c>
      <c r="C2971" s="26" t="s">
        <v>25</v>
      </c>
      <c r="D2971" s="24" t="str">
        <f>_xll.DBRW("TM1-S1_DEV:}ElementAttributes_SP_SKU",$F2971,D$1)</f>
        <v>Primary</v>
      </c>
      <c r="E2971" s="24" t="str">
        <f>_xll.DBRW("TM1-S1_DEV:}ElementAttributes_SP_SKU",$F2971,E$1)</f>
        <v>INGREDIENT</v>
      </c>
      <c r="F2971" s="26" t="s">
        <v>3186</v>
      </c>
      <c r="G2971" s="26" t="s">
        <v>2456</v>
      </c>
      <c r="H2971" s="26" t="s">
        <v>2694</v>
      </c>
      <c r="I2971" s="54">
        <f>_xll.DBRW($A$1,$F$14,$F$15,$C2971,$A$2,$F2971,$G2971,$H2971,I$1)</f>
        <v>6</v>
      </c>
      <c r="J2971" s="25">
        <f>_xll.DBRW($A$1,$F$14,$F$15,$C2971,$A$2,$F2971,$G2971,$H2971,J$19)</f>
        <v>6</v>
      </c>
    </row>
    <row r="2972" spans="1:10" s="23" customFormat="1" outlineLevel="1" thickBot="1" x14ac:dyDescent="0.3">
      <c r="A2972" s="44"/>
      <c r="B2972" s="31" t="str">
        <f>IF(_xll.TM1RPTELISCONSOLIDATED($H$20,$H2972),IF(_xll.TM1RPTELLEV($H$20,$H2972)&lt;=5,_xll.TM1RPTELLEV($H$20,$H2972),"Default"),"Leaf")</f>
        <v>Leaf</v>
      </c>
      <c r="C2972" s="26" t="s">
        <v>25</v>
      </c>
      <c r="D2972" s="24" t="str">
        <f>_xll.DBRW("TM1-S1_DEV:}ElementAttributes_SP_SKU",$F2972,D$1)</f>
        <v>Primary</v>
      </c>
      <c r="E2972" s="24" t="str">
        <f>_xll.DBRW("TM1-S1_DEV:}ElementAttributes_SP_SKU",$F2972,E$1)</f>
        <v>INGREDIENT</v>
      </c>
      <c r="F2972" s="26" t="s">
        <v>3187</v>
      </c>
      <c r="G2972" s="26" t="s">
        <v>2457</v>
      </c>
      <c r="H2972" s="26" t="s">
        <v>2695</v>
      </c>
      <c r="I2972" s="54">
        <f>_xll.DBRW($A$1,$F$14,$F$15,$C2972,$A$2,$F2972,$G2972,$H2972,I$1)</f>
        <v>9</v>
      </c>
      <c r="J2972" s="25">
        <f>_xll.DBRW($A$1,$F$14,$F$15,$C2972,$A$2,$F2972,$G2972,$H2972,J$19)</f>
        <v>7</v>
      </c>
    </row>
    <row r="2973" spans="1:10" s="23" customFormat="1" outlineLevel="1" thickBot="1" x14ac:dyDescent="0.3">
      <c r="A2973" s="44"/>
      <c r="B2973" s="31" t="str">
        <f>IF(_xll.TM1RPTELISCONSOLIDATED($H$20,$H2973),IF(_xll.TM1RPTELLEV($H$20,$H2973)&lt;=5,_xll.TM1RPTELLEV($H$20,$H2973),"Default"),"Leaf")</f>
        <v>Leaf</v>
      </c>
      <c r="C2973" s="26" t="s">
        <v>25</v>
      </c>
      <c r="D2973" s="24" t="str">
        <f>_xll.DBRW("TM1-S1_DEV:}ElementAttributes_SP_SKU",$F2973,D$1)</f>
        <v>Primary</v>
      </c>
      <c r="E2973" s="24" t="str">
        <f>_xll.DBRW("TM1-S1_DEV:}ElementAttributes_SP_SKU",$F2973,E$1)</f>
        <v>CHIPS</v>
      </c>
      <c r="F2973" s="26" t="s">
        <v>3255</v>
      </c>
      <c r="G2973" s="26" t="s">
        <v>2458</v>
      </c>
      <c r="H2973" s="26" t="s">
        <v>2736</v>
      </c>
      <c r="I2973" s="54">
        <f>_xll.DBRW($A$1,$F$14,$F$15,$C2973,$A$2,$F2973,$G2973,$H2973,I$1)</f>
        <v>0</v>
      </c>
      <c r="J2973" s="25">
        <f>_xll.DBRW($A$1,$F$14,$F$15,$C2973,$A$2,$F2973,$G2973,$H2973,J$19)</f>
        <v>-6</v>
      </c>
    </row>
    <row r="2974" spans="1:10" s="23" customFormat="1" outlineLevel="1" thickBot="1" x14ac:dyDescent="0.3">
      <c r="A2974" s="44"/>
      <c r="B2974" s="31" t="str">
        <f>IF(_xll.TM1RPTELISCONSOLIDATED($H$20,$H2974),IF(_xll.TM1RPTELLEV($H$20,$H2974)&lt;=5,_xll.TM1RPTELLEV($H$20,$H2974),"Default"),"Leaf")</f>
        <v>Leaf</v>
      </c>
      <c r="C2974" s="26" t="s">
        <v>25</v>
      </c>
      <c r="D2974" s="24" t="str">
        <f>_xll.DBRW("TM1-S1_DEV:}ElementAttributes_SP_SKU",$F2974,D$1)</f>
        <v>Primary</v>
      </c>
      <c r="E2974" s="24" t="str">
        <f>_xll.DBRW("TM1-S1_DEV:}ElementAttributes_SP_SKU",$F2974,E$1)</f>
        <v>SIDES</v>
      </c>
      <c r="F2974" s="26" t="s">
        <v>3188</v>
      </c>
      <c r="G2974" s="26" t="s">
        <v>2459</v>
      </c>
      <c r="H2974" s="26" t="s">
        <v>2686</v>
      </c>
      <c r="I2974" s="54">
        <f>_xll.DBRW($A$1,$F$14,$F$15,$C2974,$A$2,$F2974,$G2974,$H2974,I$1)</f>
        <v>9</v>
      </c>
      <c r="J2974" s="25">
        <f>_xll.DBRW($A$1,$F$14,$F$15,$C2974,$A$2,$F2974,$G2974,$H2974,J$19)</f>
        <v>7</v>
      </c>
    </row>
    <row r="2975" spans="1:10" s="23" customFormat="1" outlineLevel="1" thickBot="1" x14ac:dyDescent="0.3">
      <c r="A2975" s="44"/>
      <c r="B2975" s="31" t="str">
        <f>IF(_xll.TM1RPTELISCONSOLIDATED($H$20,$H2975),IF(_xll.TM1RPTELLEV($H$20,$H2975)&lt;=5,_xll.TM1RPTELLEV($H$20,$H2975),"Default"),"Leaf")</f>
        <v>Leaf</v>
      </c>
      <c r="C2975" s="26" t="s">
        <v>25</v>
      </c>
      <c r="D2975" s="24" t="str">
        <f>_xll.DBRW("TM1-S1_DEV:}ElementAttributes_SP_SKU",$F2975,D$1)</f>
        <v>Primary</v>
      </c>
      <c r="E2975" s="24" t="str">
        <f>_xll.DBRW("TM1-S1_DEV:}ElementAttributes_SP_SKU",$F2975,E$1)</f>
        <v>CONDIMENT</v>
      </c>
      <c r="F2975" s="26" t="s">
        <v>3189</v>
      </c>
      <c r="G2975" s="26" t="s">
        <v>2460</v>
      </c>
      <c r="H2975" s="26" t="s">
        <v>2686</v>
      </c>
      <c r="I2975" s="54">
        <f>_xll.DBRW($A$1,$F$14,$F$15,$C2975,$A$2,$F2975,$G2975,$H2975,I$1)</f>
        <v>10</v>
      </c>
      <c r="J2975" s="25">
        <f>_xll.DBRW($A$1,$F$14,$F$15,$C2975,$A$2,$F2975,$G2975,$H2975,J$19)</f>
        <v>10</v>
      </c>
    </row>
    <row r="2976" spans="1:10" s="23" customFormat="1" outlineLevel="1" thickBot="1" x14ac:dyDescent="0.3">
      <c r="A2976" s="44"/>
      <c r="B2976" s="31" t="str">
        <f>IF(_xll.TM1RPTELISCONSOLIDATED($H$20,$H2976),IF(_xll.TM1RPTELLEV($H$20,$H2976)&lt;=5,_xll.TM1RPTELLEV($H$20,$H2976),"Default"),"Leaf")</f>
        <v>Leaf</v>
      </c>
      <c r="C2976" s="26" t="s">
        <v>25</v>
      </c>
      <c r="D2976" s="24" t="str">
        <f>_xll.DBRW("TM1-S1_DEV:}ElementAttributes_SP_SKU",$F2976,D$1)</f>
        <v>Primary</v>
      </c>
      <c r="E2976" s="24" t="str">
        <f>_xll.DBRW("TM1-S1_DEV:}ElementAttributes_SP_SKU",$F2976,E$1)</f>
        <v>INGREDIENT</v>
      </c>
      <c r="F2976" s="26" t="s">
        <v>3190</v>
      </c>
      <c r="G2976" s="26" t="s">
        <v>2461</v>
      </c>
      <c r="H2976" s="26" t="s">
        <v>2696</v>
      </c>
      <c r="I2976" s="54">
        <f>_xll.DBRW($A$1,$F$14,$F$15,$C2976,$A$2,$F2976,$G2976,$H2976,I$1)</f>
        <v>10</v>
      </c>
      <c r="J2976" s="25">
        <f>_xll.DBRW($A$1,$F$14,$F$15,$C2976,$A$2,$F2976,$G2976,$H2976,J$19)</f>
        <v>9</v>
      </c>
    </row>
    <row r="2977" spans="1:10" s="23" customFormat="1" outlineLevel="1" thickBot="1" x14ac:dyDescent="0.3">
      <c r="A2977" s="44"/>
      <c r="B2977" s="31" t="str">
        <f>IF(_xll.TM1RPTELISCONSOLIDATED($H$20,$H2977),IF(_xll.TM1RPTELLEV($H$20,$H2977)&lt;=5,_xll.TM1RPTELLEV($H$20,$H2977),"Default"),"Leaf")</f>
        <v>Leaf</v>
      </c>
      <c r="C2977" s="26" t="s">
        <v>25</v>
      </c>
      <c r="D2977" s="24" t="str">
        <f>_xll.DBRW("TM1-S1_DEV:}ElementAttributes_SP_SKU",$F2977,D$1)</f>
        <v>Primary</v>
      </c>
      <c r="E2977" s="24" t="str">
        <f>_xll.DBRW("TM1-S1_DEV:}ElementAttributes_SP_SKU",$F2977,E$1)</f>
        <v>INGREDIENT</v>
      </c>
      <c r="F2977" s="26" t="s">
        <v>3191</v>
      </c>
      <c r="G2977" s="26" t="s">
        <v>2462</v>
      </c>
      <c r="H2977" s="26" t="s">
        <v>2697</v>
      </c>
      <c r="I2977" s="54">
        <f>_xll.DBRW($A$1,$F$14,$F$15,$C2977,$A$2,$F2977,$G2977,$H2977,I$1)</f>
        <v>9</v>
      </c>
      <c r="J2977" s="25">
        <f>_xll.DBRW($A$1,$F$14,$F$15,$C2977,$A$2,$F2977,$G2977,$H2977,J$19)</f>
        <v>8</v>
      </c>
    </row>
    <row r="2978" spans="1:10" s="23" customFormat="1" outlineLevel="1" thickBot="1" x14ac:dyDescent="0.3">
      <c r="A2978" s="44"/>
      <c r="B2978" s="31" t="str">
        <f>IF(_xll.TM1RPTELISCONSOLIDATED($H$20,$H2978),IF(_xll.TM1RPTELLEV($H$20,$H2978)&lt;=5,_xll.TM1RPTELLEV($H$20,$H2978),"Default"),"Leaf")</f>
        <v>Leaf</v>
      </c>
      <c r="C2978" s="26" t="s">
        <v>25</v>
      </c>
      <c r="D2978" s="24" t="str">
        <f>_xll.DBRW("TM1-S1_DEV:}ElementAttributes_SP_SKU",$F2978,D$1)</f>
        <v>Primary</v>
      </c>
      <c r="E2978" s="24" t="str">
        <f>_xll.DBRW("TM1-S1_DEV:}ElementAttributes_SP_SKU",$F2978,E$1)</f>
        <v>INGREDIENT</v>
      </c>
      <c r="F2978" s="26" t="s">
        <v>3192</v>
      </c>
      <c r="G2978" s="26" t="s">
        <v>2463</v>
      </c>
      <c r="H2978" s="26" t="s">
        <v>2698</v>
      </c>
      <c r="I2978" s="54">
        <f>_xll.DBRW($A$1,$F$14,$F$15,$C2978,$A$2,$F2978,$G2978,$H2978,I$1)</f>
        <v>16</v>
      </c>
      <c r="J2978" s="25">
        <f>_xll.DBRW($A$1,$F$14,$F$15,$C2978,$A$2,$F2978,$G2978,$H2978,J$19)</f>
        <v>16</v>
      </c>
    </row>
    <row r="2979" spans="1:10" s="23" customFormat="1" outlineLevel="1" thickBot="1" x14ac:dyDescent="0.3">
      <c r="A2979" s="44"/>
      <c r="B2979" s="31" t="str">
        <f>IF(_xll.TM1RPTELISCONSOLIDATED($H$20,$H2979),IF(_xll.TM1RPTELLEV($H$20,$H2979)&lt;=5,_xll.TM1RPTELLEV($H$20,$H2979),"Default"),"Leaf")</f>
        <v>Leaf</v>
      </c>
      <c r="C2979" s="26" t="s">
        <v>25</v>
      </c>
      <c r="D2979" s="24" t="str">
        <f>_xll.DBRW("TM1-S1_DEV:}ElementAttributes_SP_SKU",$F2979,D$1)</f>
        <v>Primary</v>
      </c>
      <c r="E2979" s="24" t="str">
        <f>_xll.DBRW("TM1-S1_DEV:}ElementAttributes_SP_SKU",$F2979,E$1)</f>
        <v>INGREDIENT</v>
      </c>
      <c r="F2979" s="26" t="s">
        <v>3193</v>
      </c>
      <c r="G2979" s="26" t="s">
        <v>2464</v>
      </c>
      <c r="H2979" s="26" t="s">
        <v>2699</v>
      </c>
      <c r="I2979" s="54">
        <f>_xll.DBRW($A$1,$F$14,$F$15,$C2979,$A$2,$F2979,$G2979,$H2979,I$1)</f>
        <v>33</v>
      </c>
      <c r="J2979" s="25">
        <f>_xll.DBRW($A$1,$F$14,$F$15,$C2979,$A$2,$F2979,$G2979,$H2979,J$19)</f>
        <v>27</v>
      </c>
    </row>
    <row r="2980" spans="1:10" s="23" customFormat="1" outlineLevel="1" thickBot="1" x14ac:dyDescent="0.3">
      <c r="A2980" s="44"/>
      <c r="B2980" s="31" t="str">
        <f>IF(_xll.TM1RPTELISCONSOLIDATED($H$20,$H2980),IF(_xll.TM1RPTELLEV($H$20,$H2980)&lt;=5,_xll.TM1RPTELLEV($H$20,$H2980),"Default"),"Leaf")</f>
        <v>Leaf</v>
      </c>
      <c r="C2980" s="26" t="s">
        <v>25</v>
      </c>
      <c r="D2980" s="24" t="str">
        <f>_xll.DBRW("TM1-S1_DEV:}ElementAttributes_SP_SKU",$F2980,D$1)</f>
        <v>Primary</v>
      </c>
      <c r="E2980" s="24" t="str">
        <f>_xll.DBRW("TM1-S1_DEV:}ElementAttributes_SP_SKU",$F2980,E$1)</f>
        <v>INGREDIENT</v>
      </c>
      <c r="F2980" s="26" t="s">
        <v>3197</v>
      </c>
      <c r="G2980" s="26" t="s">
        <v>2465</v>
      </c>
      <c r="H2980" s="26" t="s">
        <v>2686</v>
      </c>
      <c r="I2980" s="54">
        <f>_xll.DBRW($A$1,$F$14,$F$15,$C2980,$A$2,$F2980,$G2980,$H2980,I$1)</f>
        <v>10</v>
      </c>
      <c r="J2980" s="25">
        <f>_xll.DBRW($A$1,$F$14,$F$15,$C2980,$A$2,$F2980,$G2980,$H2980,J$19)</f>
        <v>9</v>
      </c>
    </row>
    <row r="2981" spans="1:10" s="23" customFormat="1" outlineLevel="1" thickBot="1" x14ac:dyDescent="0.3">
      <c r="A2981" s="44"/>
      <c r="B2981" s="31" t="str">
        <f>IF(_xll.TM1RPTELISCONSOLIDATED($H$20,$H2981),IF(_xll.TM1RPTELLEV($H$20,$H2981)&lt;=5,_xll.TM1RPTELLEV($H$20,$H2981),"Default"),"Leaf")</f>
        <v>Leaf</v>
      </c>
      <c r="C2981" s="26" t="s">
        <v>25</v>
      </c>
      <c r="D2981" s="24" t="str">
        <f>_xll.DBRW("TM1-S1_DEV:}ElementAttributes_SP_SKU",$F2981,D$1)</f>
        <v>Primary</v>
      </c>
      <c r="E2981" s="24" t="str">
        <f>_xll.DBRW("TM1-S1_DEV:}ElementAttributes_SP_SKU",$F2981,E$1)</f>
        <v>DRINKS</v>
      </c>
      <c r="F2981" s="26" t="s">
        <v>3269</v>
      </c>
      <c r="G2981" s="26" t="s">
        <v>2466</v>
      </c>
      <c r="H2981" s="26" t="s">
        <v>2764</v>
      </c>
      <c r="I2981" s="54">
        <f>_xll.DBRW($A$1,$F$14,$F$15,$C2981,$A$2,$F2981,$G2981,$H2981,I$1)</f>
        <v>53</v>
      </c>
      <c r="J2981" s="25">
        <f>_xll.DBRW($A$1,$F$14,$F$15,$C2981,$A$2,$F2981,$G2981,$H2981,J$19)</f>
        <v>53</v>
      </c>
    </row>
    <row r="2982" spans="1:10" s="23" customFormat="1" outlineLevel="1" thickBot="1" x14ac:dyDescent="0.3">
      <c r="A2982" s="44"/>
      <c r="B2982" s="31" t="str">
        <f>IF(_xll.TM1RPTELISCONSOLIDATED($H$20,$H2982),IF(_xll.TM1RPTELLEV($H$20,$H2982)&lt;=5,_xll.TM1RPTELLEV($H$20,$H2982),"Default"),"Leaf")</f>
        <v>Leaf</v>
      </c>
      <c r="C2982" s="26" t="s">
        <v>25</v>
      </c>
      <c r="D2982" s="24" t="str">
        <f>_xll.DBRW("TM1-S1_DEV:}ElementAttributes_SP_SKU",$F2982,D$1)</f>
        <v>Primary</v>
      </c>
      <c r="E2982" s="24" t="str">
        <f>_xll.DBRW("TM1-S1_DEV:}ElementAttributes_SP_SKU",$F2982,E$1)</f>
        <v>INGREDIENT</v>
      </c>
      <c r="F2982" s="26" t="s">
        <v>30</v>
      </c>
      <c r="G2982" s="26" t="s">
        <v>2467</v>
      </c>
      <c r="H2982" s="26" t="s">
        <v>2700</v>
      </c>
      <c r="I2982" s="54">
        <f>_xll.DBRW($A$1,$F$14,$F$15,$C2982,$A$2,$F2982,$G2982,$H2982,I$1)</f>
        <v>0</v>
      </c>
      <c r="J2982" s="25">
        <f>_xll.DBRW($A$1,$F$14,$F$15,$C2982,$A$2,$F2982,$G2982,$H2982,J$19)</f>
        <v>4</v>
      </c>
    </row>
    <row r="2983" spans="1:10" s="23" customFormat="1" outlineLevel="1" thickBot="1" x14ac:dyDescent="0.3">
      <c r="A2983" s="44"/>
      <c r="B2983" s="31" t="str">
        <f>IF(_xll.TM1RPTELISCONSOLIDATED($H$20,$H2983),IF(_xll.TM1RPTELLEV($H$20,$H2983)&lt;=5,_xll.TM1RPTELLEV($H$20,$H2983),"Default"),"Leaf")</f>
        <v>Leaf</v>
      </c>
      <c r="C2983" s="26" t="s">
        <v>25</v>
      </c>
      <c r="D2983" s="24" t="str">
        <f>_xll.DBRW("TM1-S1_DEV:}ElementAttributes_SP_SKU",$F2983,D$1)</f>
        <v>Primary</v>
      </c>
      <c r="E2983" s="24" t="str">
        <f>_xll.DBRW("TM1-S1_DEV:}ElementAttributes_SP_SKU",$F2983,E$1)</f>
        <v>INGREDIENT</v>
      </c>
      <c r="F2983" s="26" t="s">
        <v>3198</v>
      </c>
      <c r="G2983" s="26" t="s">
        <v>2468</v>
      </c>
      <c r="H2983" s="26" t="s">
        <v>2701</v>
      </c>
      <c r="I2983" s="54">
        <f>_xll.DBRW($A$1,$F$14,$F$15,$C2983,$A$2,$F2983,$G2983,$H2983,I$1)</f>
        <v>4</v>
      </c>
      <c r="J2983" s="25">
        <f>_xll.DBRW($A$1,$F$14,$F$15,$C2983,$A$2,$F2983,$G2983,$H2983,J$19)</f>
        <v>4</v>
      </c>
    </row>
    <row r="2984" spans="1:10" s="23" customFormat="1" outlineLevel="1" thickBot="1" x14ac:dyDescent="0.3">
      <c r="A2984" s="44"/>
      <c r="B2984" s="31" t="str">
        <f>IF(_xll.TM1RPTELISCONSOLIDATED($H$20,$H2984),IF(_xll.TM1RPTELLEV($H$20,$H2984)&lt;=5,_xll.TM1RPTELLEV($H$20,$H2984),"Default"),"Leaf")</f>
        <v>Leaf</v>
      </c>
      <c r="C2984" s="26" t="s">
        <v>25</v>
      </c>
      <c r="D2984" s="24" t="str">
        <f>_xll.DBRW("TM1-S1_DEV:}ElementAttributes_SP_SKU",$F2984,D$1)</f>
        <v>Primary</v>
      </c>
      <c r="E2984" s="24" t="str">
        <f>_xll.DBRW("TM1-S1_DEV:}ElementAttributes_SP_SKU",$F2984,E$1)</f>
        <v>BOX</v>
      </c>
      <c r="F2984" s="26" t="s">
        <v>3199</v>
      </c>
      <c r="G2984" s="26" t="s">
        <v>2469</v>
      </c>
      <c r="H2984" s="26" t="s">
        <v>2702</v>
      </c>
      <c r="I2984" s="54">
        <f>_xll.DBRW($A$1,$F$14,$F$15,$C2984,$A$2,$F2984,$G2984,$H2984,I$1)</f>
        <v>11</v>
      </c>
      <c r="J2984" s="25">
        <f>_xll.DBRW($A$1,$F$14,$F$15,$C2984,$A$2,$F2984,$G2984,$H2984,J$19)</f>
        <v>11</v>
      </c>
    </row>
    <row r="2985" spans="1:10" s="23" customFormat="1" outlineLevel="1" thickBot="1" x14ac:dyDescent="0.3">
      <c r="A2985" s="44"/>
      <c r="B2985" s="31" t="str">
        <f>IF(_xll.TM1RPTELISCONSOLIDATED($H$20,$H2985),IF(_xll.TM1RPTELLEV($H$20,$H2985)&lt;=5,_xll.TM1RPTELLEV($H$20,$H2985),"Default"),"Leaf")</f>
        <v>Leaf</v>
      </c>
      <c r="C2985" s="26" t="s">
        <v>25</v>
      </c>
      <c r="D2985" s="24" t="str">
        <f>_xll.DBRW("TM1-S1_DEV:}ElementAttributes_SP_SKU",$F2985,D$1)</f>
        <v>Primary</v>
      </c>
      <c r="E2985" s="24" t="str">
        <f>_xll.DBRW("TM1-S1_DEV:}ElementAttributes_SP_SKU",$F2985,E$1)</f>
        <v>TRAY</v>
      </c>
      <c r="F2985" s="26" t="s">
        <v>3200</v>
      </c>
      <c r="G2985" s="26" t="s">
        <v>2470</v>
      </c>
      <c r="H2985" s="26" t="s">
        <v>2703</v>
      </c>
      <c r="I2985" s="54">
        <f>_xll.DBRW($A$1,$F$14,$F$15,$C2985,$A$2,$F2985,$G2985,$H2985,I$1)</f>
        <v>6</v>
      </c>
      <c r="J2985" s="25">
        <f>_xll.DBRW($A$1,$F$14,$F$15,$C2985,$A$2,$F2985,$G2985,$H2985,J$19)</f>
        <v>6</v>
      </c>
    </row>
    <row r="2986" spans="1:10" s="23" customFormat="1" outlineLevel="1" thickBot="1" x14ac:dyDescent="0.3">
      <c r="A2986" s="44"/>
      <c r="B2986" s="31" t="str">
        <f>IF(_xll.TM1RPTELISCONSOLIDATED($H$20,$H2986),IF(_xll.TM1RPTELLEV($H$20,$H2986)&lt;=5,_xll.TM1RPTELLEV($H$20,$H2986),"Default"),"Leaf")</f>
        <v>Leaf</v>
      </c>
      <c r="C2986" s="26" t="s">
        <v>25</v>
      </c>
      <c r="D2986" s="24" t="str">
        <f>_xll.DBRW("TM1-S1_DEV:}ElementAttributes_SP_SKU",$F2986,D$1)</f>
        <v>Primary</v>
      </c>
      <c r="E2986" s="24" t="str">
        <f>_xll.DBRW("TM1-S1_DEV:}ElementAttributes_SP_SKU",$F2986,E$1)</f>
        <v>TRAY</v>
      </c>
      <c r="F2986" s="26" t="s">
        <v>3201</v>
      </c>
      <c r="G2986" s="26" t="s">
        <v>2471</v>
      </c>
      <c r="H2986" s="26" t="s">
        <v>2703</v>
      </c>
      <c r="I2986" s="54">
        <f>_xll.DBRW($A$1,$F$14,$F$15,$C2986,$A$2,$F2986,$G2986,$H2986,I$1)</f>
        <v>3</v>
      </c>
      <c r="J2986" s="25">
        <f>_xll.DBRW($A$1,$F$14,$F$15,$C2986,$A$2,$F2986,$G2986,$H2986,J$19)</f>
        <v>2</v>
      </c>
    </row>
    <row r="2987" spans="1:10" s="23" customFormat="1" outlineLevel="1" thickBot="1" x14ac:dyDescent="0.3">
      <c r="A2987" s="44"/>
      <c r="B2987" s="31" t="str">
        <f>IF(_xll.TM1RPTELISCONSOLIDATED($H$20,$H2987),IF(_xll.TM1RPTELLEV($H$20,$H2987)&lt;=5,_xll.TM1RPTELLEV($H$20,$H2987),"Default"),"Leaf")</f>
        <v>Leaf</v>
      </c>
      <c r="C2987" s="26" t="s">
        <v>25</v>
      </c>
      <c r="D2987" s="24" t="str">
        <f>_xll.DBRW("TM1-S1_DEV:}ElementAttributes_SP_SKU",$F2987,D$1)</f>
        <v>Primary</v>
      </c>
      <c r="E2987" s="24" t="str">
        <f>_xll.DBRW("TM1-S1_DEV:}ElementAttributes_SP_SKU",$F2987,E$1)</f>
        <v>TRAY</v>
      </c>
      <c r="F2987" s="26" t="s">
        <v>3202</v>
      </c>
      <c r="G2987" s="26" t="s">
        <v>2472</v>
      </c>
      <c r="H2987" s="26" t="s">
        <v>2703</v>
      </c>
      <c r="I2987" s="54">
        <f>_xll.DBRW($A$1,$F$14,$F$15,$C2987,$A$2,$F2987,$G2987,$H2987,I$1)</f>
        <v>10</v>
      </c>
      <c r="J2987" s="25">
        <f>_xll.DBRW($A$1,$F$14,$F$15,$C2987,$A$2,$F2987,$G2987,$H2987,J$19)</f>
        <v>7</v>
      </c>
    </row>
    <row r="2988" spans="1:10" s="23" customFormat="1" outlineLevel="1" thickBot="1" x14ac:dyDescent="0.3">
      <c r="A2988" s="44"/>
      <c r="B2988" s="31" t="str">
        <f>IF(_xll.TM1RPTELISCONSOLIDATED($H$20,$H2988),IF(_xll.TM1RPTELLEV($H$20,$H2988)&lt;=5,_xll.TM1RPTELLEV($H$20,$H2988),"Default"),"Leaf")</f>
        <v>Leaf</v>
      </c>
      <c r="C2988" s="26" t="s">
        <v>25</v>
      </c>
      <c r="D2988" s="24" t="str">
        <f>_xll.DBRW("TM1-S1_DEV:}ElementAttributes_SP_SKU",$F2988,D$1)</f>
        <v>Primary</v>
      </c>
      <c r="E2988" s="24" t="str">
        <f>_xll.DBRW("TM1-S1_DEV:}ElementAttributes_SP_SKU",$F2988,E$1)</f>
        <v>TRAY</v>
      </c>
      <c r="F2988" s="26" t="s">
        <v>3203</v>
      </c>
      <c r="G2988" s="26" t="s">
        <v>2473</v>
      </c>
      <c r="H2988" s="26" t="s">
        <v>2703</v>
      </c>
      <c r="I2988" s="54">
        <f>_xll.DBRW($A$1,$F$14,$F$15,$C2988,$A$2,$F2988,$G2988,$H2988,I$1)</f>
        <v>13</v>
      </c>
      <c r="J2988" s="25">
        <f>_xll.DBRW($A$1,$F$14,$F$15,$C2988,$A$2,$F2988,$G2988,$H2988,J$19)</f>
        <v>11</v>
      </c>
    </row>
    <row r="2989" spans="1:10" s="23" customFormat="1" outlineLevel="1" thickBot="1" x14ac:dyDescent="0.3">
      <c r="A2989" s="44"/>
      <c r="B2989" s="31" t="str">
        <f>IF(_xll.TM1RPTELISCONSOLIDATED($H$20,$H2989),IF(_xll.TM1RPTELLEV($H$20,$H2989)&lt;=5,_xll.TM1RPTELLEV($H$20,$H2989),"Default"),"Leaf")</f>
        <v>Leaf</v>
      </c>
      <c r="C2989" s="26" t="s">
        <v>25</v>
      </c>
      <c r="D2989" s="24" t="str">
        <f>_xll.DBRW("TM1-S1_DEV:}ElementAttributes_SP_SKU",$F2989,D$1)</f>
        <v>Primary</v>
      </c>
      <c r="E2989" s="24" t="str">
        <f>_xll.DBRW("TM1-S1_DEV:}ElementAttributes_SP_SKU",$F2989,E$1)</f>
        <v>FOIL</v>
      </c>
      <c r="F2989" s="26" t="s">
        <v>3204</v>
      </c>
      <c r="G2989" s="26" t="s">
        <v>2474</v>
      </c>
      <c r="H2989" s="26" t="s">
        <v>2704</v>
      </c>
      <c r="I2989" s="54">
        <f>_xll.DBRW($A$1,$F$14,$F$15,$C2989,$A$2,$F2989,$G2989,$H2989,I$1)</f>
        <v>49</v>
      </c>
      <c r="J2989" s="25">
        <f>_xll.DBRW($A$1,$F$14,$F$15,$C2989,$A$2,$F2989,$G2989,$H2989,J$19)</f>
        <v>33</v>
      </c>
    </row>
    <row r="2990" spans="1:10" s="23" customFormat="1" outlineLevel="1" thickBot="1" x14ac:dyDescent="0.3">
      <c r="A2990" s="44"/>
      <c r="B2990" s="31" t="str">
        <f>IF(_xll.TM1RPTELISCONSOLIDATED($H$20,$H2990),IF(_xll.TM1RPTELLEV($H$20,$H2990)&lt;=5,_xll.TM1RPTELLEV($H$20,$H2990),"Default"),"Leaf")</f>
        <v>Leaf</v>
      </c>
      <c r="C2990" s="26" t="s">
        <v>25</v>
      </c>
      <c r="D2990" s="24" t="str">
        <f>_xll.DBRW("TM1-S1_DEV:}ElementAttributes_SP_SKU",$F2990,D$1)</f>
        <v>Primary</v>
      </c>
      <c r="E2990" s="24" t="str">
        <f>_xll.DBRW("TM1-S1_DEV:}ElementAttributes_SP_SKU",$F2990,E$1)</f>
        <v>BAG</v>
      </c>
      <c r="F2990" s="26" t="s">
        <v>3205</v>
      </c>
      <c r="G2990" s="26" t="s">
        <v>2475</v>
      </c>
      <c r="H2990" s="26" t="s">
        <v>2705</v>
      </c>
      <c r="I2990" s="54">
        <f>_xll.DBRW($A$1,$F$14,$F$15,$C2990,$A$2,$F2990,$G2990,$H2990,I$1)</f>
        <v>11</v>
      </c>
      <c r="J2990" s="25">
        <f>_xll.DBRW($A$1,$F$14,$F$15,$C2990,$A$2,$F2990,$G2990,$H2990,J$19)</f>
        <v>9</v>
      </c>
    </row>
    <row r="2991" spans="1:10" s="23" customFormat="1" outlineLevel="1" thickBot="1" x14ac:dyDescent="0.3">
      <c r="A2991" s="44"/>
      <c r="B2991" s="31" t="str">
        <f>IF(_xll.TM1RPTELISCONSOLIDATED($H$20,$H2991),IF(_xll.TM1RPTELLEV($H$20,$H2991)&lt;=5,_xll.TM1RPTELLEV($H$20,$H2991),"Default"),"Leaf")</f>
        <v>Leaf</v>
      </c>
      <c r="C2991" s="26" t="s">
        <v>25</v>
      </c>
      <c r="D2991" s="24" t="str">
        <f>_xll.DBRW("TM1-S1_DEV:}ElementAttributes_SP_SKU",$F2991,D$1)</f>
        <v>Primary</v>
      </c>
      <c r="E2991" s="24" t="str">
        <f>_xll.DBRW("TM1-S1_DEV:}ElementAttributes_SP_SKU",$F2991,E$1)</f>
        <v>FOIL</v>
      </c>
      <c r="F2991" s="26" t="s">
        <v>3206</v>
      </c>
      <c r="G2991" s="26" t="s">
        <v>2476</v>
      </c>
      <c r="H2991" s="26" t="s">
        <v>2704</v>
      </c>
      <c r="I2991" s="54">
        <f>_xll.DBRW($A$1,$F$14,$F$15,$C2991,$A$2,$F2991,$G2991,$H2991,I$1)</f>
        <v>27</v>
      </c>
      <c r="J2991" s="25">
        <f>_xll.DBRW($A$1,$F$14,$F$15,$C2991,$A$2,$F2991,$G2991,$H2991,J$19)</f>
        <v>19</v>
      </c>
    </row>
    <row r="2992" spans="1:10" s="23" customFormat="1" outlineLevel="1" thickBot="1" x14ac:dyDescent="0.3">
      <c r="A2992" s="44"/>
      <c r="B2992" s="31" t="str">
        <f>IF(_xll.TM1RPTELISCONSOLIDATED($H$20,$H2992),IF(_xll.TM1RPTELLEV($H$20,$H2992)&lt;=5,_xll.TM1RPTELLEV($H$20,$H2992),"Default"),"Leaf")</f>
        <v>Leaf</v>
      </c>
      <c r="C2992" s="26" t="s">
        <v>25</v>
      </c>
      <c r="D2992" s="24" t="str">
        <f>_xll.DBRW("TM1-S1_DEV:}ElementAttributes_SP_SKU",$F2992,D$1)</f>
        <v>Primary</v>
      </c>
      <c r="E2992" s="24" t="str">
        <f>_xll.DBRW("TM1-S1_DEV:}ElementAttributes_SP_SKU",$F2992,E$1)</f>
        <v>FOIL</v>
      </c>
      <c r="F2992" s="26" t="s">
        <v>3207</v>
      </c>
      <c r="G2992" s="26" t="s">
        <v>2477</v>
      </c>
      <c r="H2992" s="26" t="s">
        <v>2704</v>
      </c>
      <c r="I2992" s="54">
        <f>_xll.DBRW($A$1,$F$14,$F$15,$C2992,$A$2,$F2992,$G2992,$H2992,I$1)</f>
        <v>6</v>
      </c>
      <c r="J2992" s="25">
        <f>_xll.DBRW($A$1,$F$14,$F$15,$C2992,$A$2,$F2992,$G2992,$H2992,J$19)</f>
        <v>6</v>
      </c>
    </row>
    <row r="2993" spans="1:10" s="23" customFormat="1" outlineLevel="1" thickBot="1" x14ac:dyDescent="0.3">
      <c r="A2993" s="44"/>
      <c r="B2993" s="31" t="str">
        <f>IF(_xll.TM1RPTELISCONSOLIDATED($H$20,$H2993),IF(_xll.TM1RPTELLEV($H$20,$H2993)&lt;=5,_xll.TM1RPTELLEV($H$20,$H2993),"Default"),"Leaf")</f>
        <v>Leaf</v>
      </c>
      <c r="C2993" s="26" t="s">
        <v>25</v>
      </c>
      <c r="D2993" s="24" t="str">
        <f>_xll.DBRW("TM1-S1_DEV:}ElementAttributes_SP_SKU",$F2993,D$1)</f>
        <v>Primary</v>
      </c>
      <c r="E2993" s="24" t="str">
        <f>_xll.DBRW("TM1-S1_DEV:}ElementAttributes_SP_SKU",$F2993,E$1)</f>
        <v>BAG</v>
      </c>
      <c r="F2993" s="26" t="s">
        <v>3208</v>
      </c>
      <c r="G2993" s="26" t="s">
        <v>2478</v>
      </c>
      <c r="H2993" s="26" t="s">
        <v>2705</v>
      </c>
      <c r="I2993" s="54">
        <f>_xll.DBRW($A$1,$F$14,$F$15,$C2993,$A$2,$F2993,$G2993,$H2993,I$1)</f>
        <v>9</v>
      </c>
      <c r="J2993" s="25">
        <f>_xll.DBRW($A$1,$F$14,$F$15,$C2993,$A$2,$F2993,$G2993,$H2993,J$19)</f>
        <v>7</v>
      </c>
    </row>
    <row r="2994" spans="1:10" s="23" customFormat="1" outlineLevel="1" thickBot="1" x14ac:dyDescent="0.3">
      <c r="A2994" s="44"/>
      <c r="B2994" s="31" t="str">
        <f>IF(_xll.TM1RPTELISCONSOLIDATED($H$20,$H2994),IF(_xll.TM1RPTELLEV($H$20,$H2994)&lt;=5,_xll.TM1RPTELLEV($H$20,$H2994),"Default"),"Leaf")</f>
        <v>Leaf</v>
      </c>
      <c r="C2994" s="26" t="s">
        <v>25</v>
      </c>
      <c r="D2994" s="24" t="str">
        <f>_xll.DBRW("TM1-S1_DEV:}ElementAttributes_SP_SKU",$F2994,D$1)</f>
        <v>Primary</v>
      </c>
      <c r="E2994" s="24" t="str">
        <f>_xll.DBRW("TM1-S1_DEV:}ElementAttributes_SP_SKU",$F2994,E$1)</f>
        <v>BAG</v>
      </c>
      <c r="F2994" s="26" t="s">
        <v>3209</v>
      </c>
      <c r="G2994" s="26" t="s">
        <v>2479</v>
      </c>
      <c r="H2994" s="26" t="s">
        <v>2705</v>
      </c>
      <c r="I2994" s="54">
        <f>_xll.DBRW($A$1,$F$14,$F$15,$C2994,$A$2,$F2994,$G2994,$H2994,I$1)</f>
        <v>34</v>
      </c>
      <c r="J2994" s="25">
        <f>_xll.DBRW($A$1,$F$14,$F$15,$C2994,$A$2,$F2994,$G2994,$H2994,J$19)</f>
        <v>25</v>
      </c>
    </row>
    <row r="2995" spans="1:10" s="23" customFormat="1" outlineLevel="1" thickBot="1" x14ac:dyDescent="0.3">
      <c r="A2995" s="44"/>
      <c r="B2995" s="31" t="str">
        <f>IF(_xll.TM1RPTELISCONSOLIDATED($H$20,$H2995),IF(_xll.TM1RPTELLEV($H$20,$H2995)&lt;=5,_xll.TM1RPTELLEV($H$20,$H2995),"Default"),"Leaf")</f>
        <v>Leaf</v>
      </c>
      <c r="C2995" s="26" t="s">
        <v>25</v>
      </c>
      <c r="D2995" s="24" t="str">
        <f>_xll.DBRW("TM1-S1_DEV:}ElementAttributes_SP_SKU",$F2995,D$1)</f>
        <v>Primary</v>
      </c>
      <c r="E2995" s="24" t="str">
        <f>_xll.DBRW("TM1-S1_DEV:}ElementAttributes_SP_SKU",$F2995,E$1)</f>
        <v>BAG</v>
      </c>
      <c r="F2995" s="26" t="s">
        <v>3210</v>
      </c>
      <c r="G2995" s="26" t="s">
        <v>2480</v>
      </c>
      <c r="H2995" s="26" t="s">
        <v>2705</v>
      </c>
      <c r="I2995" s="54">
        <f>_xll.DBRW($A$1,$F$14,$F$15,$C2995,$A$2,$F2995,$G2995,$H2995,I$1)</f>
        <v>1</v>
      </c>
      <c r="J2995" s="25">
        <f>_xll.DBRW($A$1,$F$14,$F$15,$C2995,$A$2,$F2995,$G2995,$H2995,J$19)</f>
        <v>1</v>
      </c>
    </row>
    <row r="2996" spans="1:10" s="23" customFormat="1" outlineLevel="1" thickBot="1" x14ac:dyDescent="0.3">
      <c r="A2996" s="44"/>
      <c r="B2996" s="31" t="str">
        <f>IF(_xll.TM1RPTELISCONSOLIDATED($H$20,$H2996),IF(_xll.TM1RPTELLEV($H$20,$H2996)&lt;=5,_xll.TM1RPTELLEV($H$20,$H2996),"Default"),"Leaf")</f>
        <v>Leaf</v>
      </c>
      <c r="C2996" s="26" t="s">
        <v>25</v>
      </c>
      <c r="D2996" s="24" t="str">
        <f>_xll.DBRW("TM1-S1_DEV:}ElementAttributes_SP_SKU",$F2996,D$1)</f>
        <v>Primary</v>
      </c>
      <c r="E2996" s="24" t="str">
        <f>_xll.DBRW("TM1-S1_DEV:}ElementAttributes_SP_SKU",$F2996,E$1)</f>
        <v>BOX</v>
      </c>
      <c r="F2996" s="26" t="s">
        <v>3211</v>
      </c>
      <c r="G2996" s="26" t="s">
        <v>2481</v>
      </c>
      <c r="H2996" s="26" t="s">
        <v>2706</v>
      </c>
      <c r="I2996" s="54">
        <f>_xll.DBRW($A$1,$F$14,$F$15,$C2996,$A$2,$F2996,$G2996,$H2996,I$1)</f>
        <v>8</v>
      </c>
      <c r="J2996" s="25">
        <f>_xll.DBRW($A$1,$F$14,$F$15,$C2996,$A$2,$F2996,$G2996,$H2996,J$19)</f>
        <v>8</v>
      </c>
    </row>
    <row r="2997" spans="1:10" s="23" customFormat="1" outlineLevel="1" thickBot="1" x14ac:dyDescent="0.3">
      <c r="A2997" s="44"/>
      <c r="B2997" s="31" t="str">
        <f>IF(_xll.TM1RPTELISCONSOLIDATED($H$20,$H2997),IF(_xll.TM1RPTELLEV($H$20,$H2997)&lt;=5,_xll.TM1RPTELLEV($H$20,$H2997),"Default"),"Leaf")</f>
        <v>Leaf</v>
      </c>
      <c r="C2997" s="26" t="s">
        <v>25</v>
      </c>
      <c r="D2997" s="24" t="str">
        <f>_xll.DBRW("TM1-S1_DEV:}ElementAttributes_SP_SKU",$F2997,D$1)</f>
        <v>Primary</v>
      </c>
      <c r="E2997" s="24" t="str">
        <f>_xll.DBRW("TM1-S1_DEV:}ElementAttributes_SP_SKU",$F2997,E$1)</f>
        <v>FOIL</v>
      </c>
      <c r="F2997" s="26" t="s">
        <v>3212</v>
      </c>
      <c r="G2997" s="26" t="s">
        <v>2482</v>
      </c>
      <c r="H2997" s="26" t="s">
        <v>2704</v>
      </c>
      <c r="I2997" s="54">
        <f>_xll.DBRW($A$1,$F$14,$F$15,$C2997,$A$2,$F2997,$G2997,$H2997,I$1)</f>
        <v>18</v>
      </c>
      <c r="J2997" s="25">
        <f>_xll.DBRW($A$1,$F$14,$F$15,$C2997,$A$2,$F2997,$G2997,$H2997,J$19)</f>
        <v>16</v>
      </c>
    </row>
    <row r="2998" spans="1:10" s="23" customFormat="1" outlineLevel="1" thickBot="1" x14ac:dyDescent="0.3">
      <c r="A2998" s="44"/>
      <c r="B2998" s="31" t="str">
        <f>IF(_xll.TM1RPTELISCONSOLIDATED($H$20,$H2998),IF(_xll.TM1RPTELLEV($H$20,$H2998)&lt;=5,_xll.TM1RPTELLEV($H$20,$H2998),"Default"),"Leaf")</f>
        <v>Leaf</v>
      </c>
      <c r="C2998" s="26" t="s">
        <v>25</v>
      </c>
      <c r="D2998" s="24" t="str">
        <f>_xll.DBRW("TM1-S1_DEV:}ElementAttributes_SP_SKU",$F2998,D$1)</f>
        <v>Primary</v>
      </c>
      <c r="E2998" s="24" t="str">
        <f>_xll.DBRW("TM1-S1_DEV:}ElementAttributes_SP_SKU",$F2998,E$1)</f>
        <v>TRAY</v>
      </c>
      <c r="F2998" s="26" t="s">
        <v>3213</v>
      </c>
      <c r="G2998" s="26" t="s">
        <v>2483</v>
      </c>
      <c r="H2998" s="26" t="s">
        <v>2703</v>
      </c>
      <c r="I2998" s="54">
        <f>_xll.DBRW($A$1,$F$14,$F$15,$C2998,$A$2,$F2998,$G2998,$H2998,I$1)</f>
        <v>7</v>
      </c>
      <c r="J2998" s="25">
        <f>_xll.DBRW($A$1,$F$14,$F$15,$C2998,$A$2,$F2998,$G2998,$H2998,J$19)</f>
        <v>6</v>
      </c>
    </row>
    <row r="2999" spans="1:10" s="23" customFormat="1" outlineLevel="1" thickBot="1" x14ac:dyDescent="0.3">
      <c r="A2999" s="44"/>
      <c r="B2999" s="31" t="str">
        <f>IF(_xll.TM1RPTELISCONSOLIDATED($H$20,$H2999),IF(_xll.TM1RPTELLEV($H$20,$H2999)&lt;=5,_xll.TM1RPTELLEV($H$20,$H2999),"Default"),"Leaf")</f>
        <v>Leaf</v>
      </c>
      <c r="C2999" s="26" t="s">
        <v>25</v>
      </c>
      <c r="D2999" s="24" t="str">
        <f>_xll.DBRW("TM1-S1_DEV:}ElementAttributes_SP_SKU",$F2999,D$1)</f>
        <v>Primary</v>
      </c>
      <c r="E2999" s="24" t="str">
        <f>_xll.DBRW("TM1-S1_DEV:}ElementAttributes_SP_SKU",$F2999,E$1)</f>
        <v>TRAY</v>
      </c>
      <c r="F2999" s="26" t="s">
        <v>3214</v>
      </c>
      <c r="G2999" s="26" t="s">
        <v>2484</v>
      </c>
      <c r="H2999" s="26" t="s">
        <v>2703</v>
      </c>
      <c r="I2999" s="54">
        <f>_xll.DBRW($A$1,$F$14,$F$15,$C2999,$A$2,$F2999,$G2999,$H2999,I$1)</f>
        <v>6</v>
      </c>
      <c r="J2999" s="25">
        <f>_xll.DBRW($A$1,$F$14,$F$15,$C2999,$A$2,$F2999,$G2999,$H2999,J$19)</f>
        <v>5</v>
      </c>
    </row>
    <row r="3000" spans="1:10" s="23" customFormat="1" outlineLevel="1" thickBot="1" x14ac:dyDescent="0.3">
      <c r="A3000" s="44"/>
      <c r="B3000" s="31" t="str">
        <f>IF(_xll.TM1RPTELISCONSOLIDATED($H$20,$H3000),IF(_xll.TM1RPTELLEV($H$20,$H3000)&lt;=5,_xll.TM1RPTELLEV($H$20,$H3000),"Default"),"Leaf")</f>
        <v>Leaf</v>
      </c>
      <c r="C3000" s="26" t="s">
        <v>25</v>
      </c>
      <c r="D3000" s="24" t="str">
        <f>_xll.DBRW("TM1-S1_DEV:}ElementAttributes_SP_SKU",$F3000,D$1)</f>
        <v>Primary</v>
      </c>
      <c r="E3000" s="24" t="str">
        <f>_xll.DBRW("TM1-S1_DEV:}ElementAttributes_SP_SKU",$F3000,E$1)</f>
        <v>BOWL</v>
      </c>
      <c r="F3000" s="26" t="s">
        <v>3215</v>
      </c>
      <c r="G3000" s="26" t="s">
        <v>2485</v>
      </c>
      <c r="H3000" s="26" t="s">
        <v>2703</v>
      </c>
      <c r="I3000" s="54">
        <f>_xll.DBRW($A$1,$F$14,$F$15,$C3000,$A$2,$F3000,$G3000,$H3000,I$1)</f>
        <v>4</v>
      </c>
      <c r="J3000" s="25">
        <f>_xll.DBRW($A$1,$F$14,$F$15,$C3000,$A$2,$F3000,$G3000,$H3000,J$19)</f>
        <v>4</v>
      </c>
    </row>
    <row r="3001" spans="1:10" s="23" customFormat="1" outlineLevel="1" thickBot="1" x14ac:dyDescent="0.3">
      <c r="A3001" s="44"/>
      <c r="B3001" s="31" t="str">
        <f>IF(_xll.TM1RPTELISCONSOLIDATED($H$20,$H3001),IF(_xll.TM1RPTELLEV($H$20,$H3001)&lt;=5,_xll.TM1RPTELLEV($H$20,$H3001),"Default"),"Leaf")</f>
        <v>Leaf</v>
      </c>
      <c r="C3001" s="26" t="s">
        <v>25</v>
      </c>
      <c r="D3001" s="24" t="str">
        <f>_xll.DBRW("TM1-S1_DEV:}ElementAttributes_SP_SKU",$F3001,D$1)</f>
        <v>Primary</v>
      </c>
      <c r="E3001" s="24" t="str">
        <f>_xll.DBRW("TM1-S1_DEV:}ElementAttributes_SP_SKU",$F3001,E$1)</f>
        <v>BOWL</v>
      </c>
      <c r="F3001" s="26" t="s">
        <v>3216</v>
      </c>
      <c r="G3001" s="26" t="s">
        <v>2486</v>
      </c>
      <c r="H3001" s="26" t="s">
        <v>2703</v>
      </c>
      <c r="I3001" s="54">
        <f>_xll.DBRW($A$1,$F$14,$F$15,$C3001,$A$2,$F3001,$G3001,$H3001,I$1)</f>
        <v>7</v>
      </c>
      <c r="J3001" s="25">
        <f>_xll.DBRW($A$1,$F$14,$F$15,$C3001,$A$2,$F3001,$G3001,$H3001,J$19)</f>
        <v>7</v>
      </c>
    </row>
    <row r="3002" spans="1:10" s="23" customFormat="1" outlineLevel="1" thickBot="1" x14ac:dyDescent="0.3">
      <c r="A3002" s="44"/>
      <c r="B3002" s="31" t="str">
        <f>IF(_xll.TM1RPTELISCONSOLIDATED($H$20,$H3002),IF(_xll.TM1RPTELLEV($H$20,$H3002)&lt;=5,_xll.TM1RPTELLEV($H$20,$H3002),"Default"),"Leaf")</f>
        <v>Leaf</v>
      </c>
      <c r="C3002" s="26" t="s">
        <v>25</v>
      </c>
      <c r="D3002" s="24" t="str">
        <f>_xll.DBRW("TM1-S1_DEV:}ElementAttributes_SP_SKU",$F3002,D$1)</f>
        <v>Primary</v>
      </c>
      <c r="E3002" s="24" t="str">
        <f>_xll.DBRW("TM1-S1_DEV:}ElementAttributes_SP_SKU",$F3002,E$1)</f>
        <v>UTENSIL</v>
      </c>
      <c r="F3002" s="26" t="s">
        <v>3217</v>
      </c>
      <c r="G3002" s="26" t="s">
        <v>2487</v>
      </c>
      <c r="H3002" s="26" t="s">
        <v>2703</v>
      </c>
      <c r="I3002" s="54">
        <f>_xll.DBRW($A$1,$F$14,$F$15,$C3002,$A$2,$F3002,$G3002,$H3002,I$1)</f>
        <v>3</v>
      </c>
      <c r="J3002" s="25">
        <f>_xll.DBRW($A$1,$F$14,$F$15,$C3002,$A$2,$F3002,$G3002,$H3002,J$19)</f>
        <v>3</v>
      </c>
    </row>
    <row r="3003" spans="1:10" s="23" customFormat="1" outlineLevel="1" thickBot="1" x14ac:dyDescent="0.3">
      <c r="A3003" s="44"/>
      <c r="B3003" s="31" t="str">
        <f>IF(_xll.TM1RPTELISCONSOLIDATED($H$20,$H3003),IF(_xll.TM1RPTELLEV($H$20,$H3003)&lt;=5,_xll.TM1RPTELLEV($H$20,$H3003),"Default"),"Leaf")</f>
        <v>Leaf</v>
      </c>
      <c r="C3003" s="26" t="s">
        <v>25</v>
      </c>
      <c r="D3003" s="24" t="str">
        <f>_xll.DBRW("TM1-S1_DEV:}ElementAttributes_SP_SKU",$F3003,D$1)</f>
        <v>Primary</v>
      </c>
      <c r="E3003" s="24" t="str">
        <f>_xll.DBRW("TM1-S1_DEV:}ElementAttributes_SP_SKU",$F3003,E$1)</f>
        <v>UTENSIL</v>
      </c>
      <c r="F3003" s="26" t="s">
        <v>3218</v>
      </c>
      <c r="G3003" s="26" t="s">
        <v>2488</v>
      </c>
      <c r="H3003" s="26" t="s">
        <v>2703</v>
      </c>
      <c r="I3003" s="54">
        <f>_xll.DBRW($A$1,$F$14,$F$15,$C3003,$A$2,$F3003,$G3003,$H3003,I$1)</f>
        <v>1</v>
      </c>
      <c r="J3003" s="25">
        <f>_xll.DBRW($A$1,$F$14,$F$15,$C3003,$A$2,$F3003,$G3003,$H3003,J$19)</f>
        <v>3</v>
      </c>
    </row>
    <row r="3004" spans="1:10" s="23" customFormat="1" outlineLevel="1" thickBot="1" x14ac:dyDescent="0.3">
      <c r="A3004" s="44"/>
      <c r="B3004" s="31" t="str">
        <f>IF(_xll.TM1RPTELISCONSOLIDATED($H$20,$H3004),IF(_xll.TM1RPTELLEV($H$20,$H3004)&lt;=5,_xll.TM1RPTELLEV($H$20,$H3004),"Default"),"Leaf")</f>
        <v>Leaf</v>
      </c>
      <c r="C3004" s="26" t="s">
        <v>25</v>
      </c>
      <c r="D3004" s="24" t="str">
        <f>_xll.DBRW("TM1-S1_DEV:}ElementAttributes_SP_SKU",$F3004,D$1)</f>
        <v>Primary</v>
      </c>
      <c r="E3004" s="24" t="str">
        <f>_xll.DBRW("TM1-S1_DEV:}ElementAttributes_SP_SKU",$F3004,E$1)</f>
        <v>BAG</v>
      </c>
      <c r="F3004" s="26" t="s">
        <v>3219</v>
      </c>
      <c r="G3004" s="26" t="s">
        <v>2489</v>
      </c>
      <c r="H3004" s="26" t="s">
        <v>2705</v>
      </c>
      <c r="I3004" s="54">
        <f>_xll.DBRW($A$1,$F$14,$F$15,$C3004,$A$2,$F3004,$G3004,$H3004,I$1)</f>
        <v>0</v>
      </c>
      <c r="J3004" s="25">
        <f>_xll.DBRW($A$1,$F$14,$F$15,$C3004,$A$2,$F3004,$G3004,$H3004,J$19)</f>
        <v>5</v>
      </c>
    </row>
    <row r="3005" spans="1:10" s="23" customFormat="1" outlineLevel="1" thickBot="1" x14ac:dyDescent="0.3">
      <c r="A3005" s="44"/>
      <c r="B3005" s="31" t="str">
        <f>IF(_xll.TM1RPTELISCONSOLIDATED($H$20,$H3005),IF(_xll.TM1RPTELLEV($H$20,$H3005)&lt;=5,_xll.TM1RPTELLEV($H$20,$H3005),"Default"),"Leaf")</f>
        <v>Leaf</v>
      </c>
      <c r="C3005" s="26" t="s">
        <v>25</v>
      </c>
      <c r="D3005" s="24" t="str">
        <f>_xll.DBRW("TM1-S1_DEV:}ElementAttributes_SP_SKU",$F3005,D$1)</f>
        <v>Primary</v>
      </c>
      <c r="E3005" s="24" t="str">
        <f>_xll.DBRW("TM1-S1_DEV:}ElementAttributes_SP_SKU",$F3005,E$1)</f>
        <v>BOX</v>
      </c>
      <c r="F3005" s="26" t="s">
        <v>3220</v>
      </c>
      <c r="G3005" s="26" t="s">
        <v>2490</v>
      </c>
      <c r="H3005" s="26" t="s">
        <v>2702</v>
      </c>
      <c r="I3005" s="54">
        <f>_xll.DBRW($A$1,$F$14,$F$15,$C3005,$A$2,$F3005,$G3005,$H3005,I$1)</f>
        <v>15</v>
      </c>
      <c r="J3005" s="25">
        <f>_xll.DBRW($A$1,$F$14,$F$15,$C3005,$A$2,$F3005,$G3005,$H3005,J$19)</f>
        <v>15</v>
      </c>
    </row>
    <row r="3006" spans="1:10" s="23" customFormat="1" outlineLevel="1" thickBot="1" x14ac:dyDescent="0.3">
      <c r="A3006" s="44"/>
      <c r="B3006" s="31" t="str">
        <f>IF(_xll.TM1RPTELISCONSOLIDATED($H$20,$H3006),IF(_xll.TM1RPTELLEV($H$20,$H3006)&lt;=5,_xll.TM1RPTELLEV($H$20,$H3006),"Default"),"Leaf")</f>
        <v>Leaf</v>
      </c>
      <c r="C3006" s="26" t="s">
        <v>25</v>
      </c>
      <c r="D3006" s="24" t="str">
        <f>_xll.DBRW("TM1-S1_DEV:}ElementAttributes_SP_SKU",$F3006,D$1)</f>
        <v>Primary</v>
      </c>
      <c r="E3006" s="24" t="str">
        <f>_xll.DBRW("TM1-S1_DEV:}ElementAttributes_SP_SKU",$F3006,E$1)</f>
        <v>BOX</v>
      </c>
      <c r="F3006" s="26" t="s">
        <v>3221</v>
      </c>
      <c r="G3006" s="26" t="s">
        <v>2491</v>
      </c>
      <c r="H3006" s="26" t="s">
        <v>2702</v>
      </c>
      <c r="I3006" s="54">
        <f>_xll.DBRW($A$1,$F$14,$F$15,$C3006,$A$2,$F3006,$G3006,$H3006,I$1)</f>
        <v>6</v>
      </c>
      <c r="J3006" s="25">
        <f>_xll.DBRW($A$1,$F$14,$F$15,$C3006,$A$2,$F3006,$G3006,$H3006,J$19)</f>
        <v>6</v>
      </c>
    </row>
    <row r="3007" spans="1:10" s="23" customFormat="1" outlineLevel="1" thickBot="1" x14ac:dyDescent="0.3">
      <c r="A3007" s="44"/>
      <c r="B3007" s="31" t="str">
        <f>IF(_xll.TM1RPTELISCONSOLIDATED($H$20,$H3007),IF(_xll.TM1RPTELLEV($H$20,$H3007)&lt;=5,_xll.TM1RPTELLEV($H$20,$H3007),"Default"),"Leaf")</f>
        <v>Leaf</v>
      </c>
      <c r="C3007" s="26" t="s">
        <v>25</v>
      </c>
      <c r="D3007" s="24" t="str">
        <f>_xll.DBRW("TM1-S1_DEV:}ElementAttributes_SP_SKU",$F3007,D$1)</f>
        <v>Primary</v>
      </c>
      <c r="E3007" s="24" t="str">
        <f>_xll.DBRW("TM1-S1_DEV:}ElementAttributes_SP_SKU",$F3007,E$1)</f>
        <v>BOX</v>
      </c>
      <c r="F3007" s="26" t="s">
        <v>3222</v>
      </c>
      <c r="G3007" s="26" t="s">
        <v>2492</v>
      </c>
      <c r="H3007" s="26" t="s">
        <v>2702</v>
      </c>
      <c r="I3007" s="54">
        <f>_xll.DBRW($A$1,$F$14,$F$15,$C3007,$A$2,$F3007,$G3007,$H3007,I$1)</f>
        <v>9</v>
      </c>
      <c r="J3007" s="25">
        <f>_xll.DBRW($A$1,$F$14,$F$15,$C3007,$A$2,$F3007,$G3007,$H3007,J$19)</f>
        <v>9</v>
      </c>
    </row>
    <row r="3008" spans="1:10" s="23" customFormat="1" outlineLevel="1" thickBot="1" x14ac:dyDescent="0.3">
      <c r="A3008" s="44"/>
      <c r="B3008" s="31" t="str">
        <f>IF(_xll.TM1RPTELISCONSOLIDATED($H$20,$H3008),IF(_xll.TM1RPTELLEV($H$20,$H3008)&lt;=5,_xll.TM1RPTELLEV($H$20,$H3008),"Default"),"Leaf")</f>
        <v>Leaf</v>
      </c>
      <c r="C3008" s="26" t="s">
        <v>25</v>
      </c>
      <c r="D3008" s="24" t="str">
        <f>_xll.DBRW("TM1-S1_DEV:}ElementAttributes_SP_SKU",$F3008,D$1)</f>
        <v>Primary</v>
      </c>
      <c r="E3008" s="24" t="str">
        <f>_xll.DBRW("TM1-S1_DEV:}ElementAttributes_SP_SKU",$F3008,E$1)</f>
        <v>BOWL</v>
      </c>
      <c r="F3008" s="26" t="s">
        <v>3223</v>
      </c>
      <c r="G3008" s="26" t="s">
        <v>2493</v>
      </c>
      <c r="H3008" s="26" t="s">
        <v>2703</v>
      </c>
      <c r="I3008" s="54">
        <f>_xll.DBRW($A$1,$F$14,$F$15,$C3008,$A$2,$F3008,$G3008,$H3008,I$1)</f>
        <v>2</v>
      </c>
      <c r="J3008" s="25">
        <f>_xll.DBRW($A$1,$F$14,$F$15,$C3008,$A$2,$F3008,$G3008,$H3008,J$19)</f>
        <v>2</v>
      </c>
    </row>
    <row r="3009" spans="1:10" s="23" customFormat="1" outlineLevel="1" thickBot="1" x14ac:dyDescent="0.3">
      <c r="A3009" s="44"/>
      <c r="B3009" s="31" t="str">
        <f>IF(_xll.TM1RPTELISCONSOLIDATED($H$20,$H3009),IF(_xll.TM1RPTELLEV($H$20,$H3009)&lt;=5,_xll.TM1RPTELLEV($H$20,$H3009),"Default"),"Leaf")</f>
        <v>Leaf</v>
      </c>
      <c r="C3009" s="26" t="s">
        <v>25</v>
      </c>
      <c r="D3009" s="24" t="str">
        <f>_xll.DBRW("TM1-S1_DEV:}ElementAttributes_SP_SKU",$F3009,D$1)</f>
        <v>Primary</v>
      </c>
      <c r="E3009" s="24" t="str">
        <f>_xll.DBRW("TM1-S1_DEV:}ElementAttributes_SP_SKU",$F3009,E$1)</f>
        <v>BAG</v>
      </c>
      <c r="F3009" s="26" t="s">
        <v>3224</v>
      </c>
      <c r="G3009" s="26" t="s">
        <v>2494</v>
      </c>
      <c r="H3009" s="26" t="s">
        <v>2705</v>
      </c>
      <c r="I3009" s="54">
        <f>_xll.DBRW($A$1,$F$14,$F$15,$C3009,$A$2,$F3009,$G3009,$H3009,I$1)</f>
        <v>16</v>
      </c>
      <c r="J3009" s="25">
        <f>_xll.DBRW($A$1,$F$14,$F$15,$C3009,$A$2,$F3009,$G3009,$H3009,J$19)</f>
        <v>13</v>
      </c>
    </row>
    <row r="3010" spans="1:10" s="23" customFormat="1" outlineLevel="1" thickBot="1" x14ac:dyDescent="0.3">
      <c r="A3010" s="44"/>
      <c r="B3010" s="31" t="str">
        <f>IF(_xll.TM1RPTELISCONSOLIDATED($H$20,$H3010),IF(_xll.TM1RPTELLEV($H$20,$H3010)&lt;=5,_xll.TM1RPTELLEV($H$20,$H3010),"Default"),"Leaf")</f>
        <v>Leaf</v>
      </c>
      <c r="C3010" s="26" t="s">
        <v>25</v>
      </c>
      <c r="D3010" s="24" t="str">
        <f>_xll.DBRW("TM1-S1_DEV:}ElementAttributes_SP_SKU",$F3010,D$1)</f>
        <v>Primary</v>
      </c>
      <c r="E3010" s="24" t="str">
        <f>_xll.DBRW("TM1-S1_DEV:}ElementAttributes_SP_SKU",$F3010,E$1)</f>
        <v>CUP</v>
      </c>
      <c r="F3010" s="26" t="s">
        <v>3225</v>
      </c>
      <c r="G3010" s="26" t="s">
        <v>2495</v>
      </c>
      <c r="H3010" s="26" t="s">
        <v>2707</v>
      </c>
      <c r="I3010" s="54">
        <f>_xll.DBRW($A$1,$F$14,$F$15,$C3010,$A$2,$F3010,$G3010,$H3010,I$1)</f>
        <v>4</v>
      </c>
      <c r="J3010" s="25">
        <f>_xll.DBRW($A$1,$F$14,$F$15,$C3010,$A$2,$F3010,$G3010,$H3010,J$19)</f>
        <v>4</v>
      </c>
    </row>
    <row r="3011" spans="1:10" s="23" customFormat="1" outlineLevel="1" thickBot="1" x14ac:dyDescent="0.3">
      <c r="A3011" s="44"/>
      <c r="B3011" s="31" t="str">
        <f>IF(_xll.TM1RPTELISCONSOLIDATED($H$20,$H3011),IF(_xll.TM1RPTELLEV($H$20,$H3011)&lt;=5,_xll.TM1RPTELLEV($H$20,$H3011),"Default"),"Leaf")</f>
        <v>Leaf</v>
      </c>
      <c r="C3011" s="26" t="s">
        <v>25</v>
      </c>
      <c r="D3011" s="24" t="str">
        <f>_xll.DBRW("TM1-S1_DEV:}ElementAttributes_SP_SKU",$F3011,D$1)</f>
        <v>Primary</v>
      </c>
      <c r="E3011" s="24" t="str">
        <f>_xll.DBRW("TM1-S1_DEV:}ElementAttributes_SP_SKU",$F3011,E$1)</f>
        <v>CUP</v>
      </c>
      <c r="F3011" s="26" t="s">
        <v>3226</v>
      </c>
      <c r="G3011" s="26" t="s">
        <v>2496</v>
      </c>
      <c r="H3011" s="26" t="s">
        <v>2707</v>
      </c>
      <c r="I3011" s="54">
        <f>_xll.DBRW($A$1,$F$14,$F$15,$C3011,$A$2,$F3011,$G3011,$H3011,I$1)</f>
        <v>8</v>
      </c>
      <c r="J3011" s="25">
        <f>_xll.DBRW($A$1,$F$14,$F$15,$C3011,$A$2,$F3011,$G3011,$H3011,J$19)</f>
        <v>8</v>
      </c>
    </row>
    <row r="3012" spans="1:10" s="23" customFormat="1" outlineLevel="1" thickBot="1" x14ac:dyDescent="0.3">
      <c r="A3012" s="44"/>
      <c r="B3012" s="31" t="str">
        <f>IF(_xll.TM1RPTELISCONSOLIDATED($H$20,$H3012),IF(_xll.TM1RPTELLEV($H$20,$H3012)&lt;=5,_xll.TM1RPTELLEV($H$20,$H3012),"Default"),"Leaf")</f>
        <v>Leaf</v>
      </c>
      <c r="C3012" s="26" t="s">
        <v>25</v>
      </c>
      <c r="D3012" s="24" t="str">
        <f>_xll.DBRW("TM1-S1_DEV:}ElementAttributes_SP_SKU",$F3012,D$1)</f>
        <v>Primary</v>
      </c>
      <c r="E3012" s="24" t="str">
        <f>_xll.DBRW("TM1-S1_DEV:}ElementAttributes_SP_SKU",$F3012,E$1)</f>
        <v>PROTEIN</v>
      </c>
      <c r="F3012" s="26" t="s">
        <v>3227</v>
      </c>
      <c r="G3012" s="26" t="s">
        <v>2497</v>
      </c>
      <c r="H3012" s="26" t="s">
        <v>2673</v>
      </c>
      <c r="I3012" s="54">
        <f>_xll.DBRW($A$1,$F$14,$F$15,$C3012,$A$2,$F3012,$G3012,$H3012,I$1)</f>
        <v>15</v>
      </c>
      <c r="J3012" s="25">
        <f>_xll.DBRW($A$1,$F$14,$F$15,$C3012,$A$2,$F3012,$G3012,$H3012,J$19)</f>
        <v>15</v>
      </c>
    </row>
    <row r="3013" spans="1:10" s="23" customFormat="1" outlineLevel="1" thickBot="1" x14ac:dyDescent="0.3">
      <c r="A3013" s="44"/>
      <c r="B3013" s="31" t="str">
        <f>IF(_xll.TM1RPTELISCONSOLIDATED($H$20,$H3013),IF(_xll.TM1RPTELLEV($H$20,$H3013)&lt;=5,_xll.TM1RPTELLEV($H$20,$H3013),"Default"),"Leaf")</f>
        <v>Leaf</v>
      </c>
      <c r="C3013" s="26" t="s">
        <v>25</v>
      </c>
      <c r="D3013" s="24" t="str">
        <f>_xll.DBRW("TM1-S1_DEV:}ElementAttributes_SP_SKU",$F3013,D$1)</f>
        <v>Primary</v>
      </c>
      <c r="E3013" s="24" t="str">
        <f>_xll.DBRW("TM1-S1_DEV:}ElementAttributes_SP_SKU",$F3013,E$1)</f>
        <v>GLOVES</v>
      </c>
      <c r="F3013" s="26" t="s">
        <v>3275</v>
      </c>
      <c r="G3013" s="26" t="s">
        <v>2498</v>
      </c>
      <c r="H3013" s="26" t="s">
        <v>2712</v>
      </c>
      <c r="I3013" s="54">
        <f>_xll.DBRW($A$1,$F$14,$F$15,$C3013,$A$2,$F3013,$G3013,$H3013,I$1)</f>
        <v>2</v>
      </c>
      <c r="J3013" s="25">
        <f>_xll.DBRW($A$1,$F$14,$F$15,$C3013,$A$2,$F3013,$G3013,$H3013,J$19)</f>
        <v>1</v>
      </c>
    </row>
    <row r="3014" spans="1:10" s="23" customFormat="1" outlineLevel="1" thickBot="1" x14ac:dyDescent="0.3">
      <c r="A3014" s="44"/>
      <c r="B3014" s="31" t="str">
        <f>IF(_xll.TM1RPTELISCONSOLIDATED($H$20,$H3014),IF(_xll.TM1RPTELLEV($H$20,$H3014)&lt;=5,_xll.TM1RPTELLEV($H$20,$H3014),"Default"),"Leaf")</f>
        <v>Leaf</v>
      </c>
      <c r="C3014" s="26" t="s">
        <v>25</v>
      </c>
      <c r="D3014" s="24" t="str">
        <f>_xll.DBRW("TM1-S1_DEV:}ElementAttributes_SP_SKU",$F3014,D$1)</f>
        <v>Primary</v>
      </c>
      <c r="E3014" s="24" t="str">
        <f>_xll.DBRW("TM1-S1_DEV:}ElementAttributes_SP_SKU",$F3014,E$1)</f>
        <v>TRAY</v>
      </c>
      <c r="F3014" s="26" t="s">
        <v>3228</v>
      </c>
      <c r="G3014" s="26" t="s">
        <v>2499</v>
      </c>
      <c r="H3014" s="26" t="s">
        <v>2708</v>
      </c>
      <c r="I3014" s="54">
        <f>_xll.DBRW($A$1,$F$14,$F$15,$C3014,$A$2,$F3014,$G3014,$H3014,I$1)</f>
        <v>6</v>
      </c>
      <c r="J3014" s="25">
        <f>_xll.DBRW($A$1,$F$14,$F$15,$C3014,$A$2,$F3014,$G3014,$H3014,J$19)</f>
        <v>6</v>
      </c>
    </row>
    <row r="3015" spans="1:10" s="23" customFormat="1" outlineLevel="1" thickBot="1" x14ac:dyDescent="0.3">
      <c r="A3015" s="44"/>
      <c r="B3015" s="31" t="str">
        <f>IF(_xll.TM1RPTELISCONSOLIDATED($H$20,$H3015),IF(_xll.TM1RPTELLEV($H$20,$H3015)&lt;=5,_xll.TM1RPTELLEV($H$20,$H3015),"Default"),"Leaf")</f>
        <v>Leaf</v>
      </c>
      <c r="C3015" s="26" t="s">
        <v>25</v>
      </c>
      <c r="D3015" s="24" t="str">
        <f>_xll.DBRW("TM1-S1_DEV:}ElementAttributes_SP_SKU",$F3015,D$1)</f>
        <v>Primary</v>
      </c>
      <c r="E3015" s="24" t="str">
        <f>_xll.DBRW("TM1-S1_DEV:}ElementAttributes_SP_SKU",$F3015,E$1)</f>
        <v>TRAY</v>
      </c>
      <c r="F3015" s="26" t="s">
        <v>3229</v>
      </c>
      <c r="G3015" s="26" t="s">
        <v>2500</v>
      </c>
      <c r="H3015" s="26" t="s">
        <v>2708</v>
      </c>
      <c r="I3015" s="54">
        <f>_xll.DBRW($A$1,$F$14,$F$15,$C3015,$A$2,$F3015,$G3015,$H3015,I$1)</f>
        <v>6</v>
      </c>
      <c r="J3015" s="25">
        <f>_xll.DBRW($A$1,$F$14,$F$15,$C3015,$A$2,$F3015,$G3015,$H3015,J$19)</f>
        <v>6</v>
      </c>
    </row>
    <row r="3016" spans="1:10" s="23" customFormat="1" outlineLevel="1" thickBot="1" x14ac:dyDescent="0.3">
      <c r="A3016" s="44"/>
      <c r="B3016" s="31" t="str">
        <f>IF(_xll.TM1RPTELISCONSOLIDATED($H$20,$H3016),IF(_xll.TM1RPTELLEV($H$20,$H3016)&lt;=5,_xll.TM1RPTELLEV($H$20,$H3016),"Default"),"Leaf")</f>
        <v>Leaf</v>
      </c>
      <c r="C3016" s="26" t="s">
        <v>25</v>
      </c>
      <c r="D3016" s="24" t="str">
        <f>_xll.DBRW("TM1-S1_DEV:}ElementAttributes_SP_SKU",$F3016,D$1)</f>
        <v>Primary</v>
      </c>
      <c r="E3016" s="24" t="str">
        <f>_xll.DBRW("TM1-S1_DEV:}ElementAttributes_SP_SKU",$F3016,E$1)</f>
        <v>BOWL</v>
      </c>
      <c r="F3016" s="26" t="s">
        <v>3230</v>
      </c>
      <c r="G3016" s="26" t="s">
        <v>2501</v>
      </c>
      <c r="H3016" s="26" t="s">
        <v>2703</v>
      </c>
      <c r="I3016" s="54">
        <f>_xll.DBRW($A$1,$F$14,$F$15,$C3016,$A$2,$F3016,$G3016,$H3016,I$1)</f>
        <v>3</v>
      </c>
      <c r="J3016" s="25">
        <f>_xll.DBRW($A$1,$F$14,$F$15,$C3016,$A$2,$F3016,$G3016,$H3016,J$19)</f>
        <v>3</v>
      </c>
    </row>
    <row r="3017" spans="1:10" s="23" customFormat="1" outlineLevel="1" thickBot="1" x14ac:dyDescent="0.3">
      <c r="A3017" s="44"/>
      <c r="B3017" s="31" t="str">
        <f>IF(_xll.TM1RPTELISCONSOLIDATED($H$20,$H3017),IF(_xll.TM1RPTELLEV($H$20,$H3017)&lt;=5,_xll.TM1RPTELLEV($H$20,$H3017),"Default"),"Leaf")</f>
        <v>Leaf</v>
      </c>
      <c r="C3017" s="26" t="s">
        <v>25</v>
      </c>
      <c r="D3017" s="24" t="str">
        <f>_xll.DBRW("TM1-S1_DEV:}ElementAttributes_SP_SKU",$F3017,D$1)</f>
        <v>Unassigned PSP</v>
      </c>
      <c r="E3017" s="24" t="str">
        <f>_xll.DBRW("TM1-S1_DEV:}ElementAttributes_SP_SKU",$F3017,E$1)</f>
        <v>BOWL</v>
      </c>
      <c r="F3017" s="26" t="s">
        <v>115</v>
      </c>
      <c r="G3017" s="26" t="s">
        <v>2502</v>
      </c>
      <c r="H3017" s="26" t="s">
        <v>2745</v>
      </c>
      <c r="I3017" s="54">
        <f>_xll.DBRW($A$1,$F$14,$F$15,$C3017,$A$2,$F3017,$G3017,$H3017,I$1)</f>
        <v>7</v>
      </c>
      <c r="J3017" s="25">
        <f>_xll.DBRW($A$1,$F$14,$F$15,$C3017,$A$2,$F3017,$G3017,$H3017,J$19)</f>
        <v>7</v>
      </c>
    </row>
    <row r="3018" spans="1:10" s="23" customFormat="1" outlineLevel="1" thickBot="1" x14ac:dyDescent="0.3">
      <c r="A3018" s="44"/>
      <c r="B3018" s="31" t="str">
        <f>IF(_xll.TM1RPTELISCONSOLIDATED($H$20,$H3018),IF(_xll.TM1RPTELLEV($H$20,$H3018)&lt;=5,_xll.TM1RPTELLEV($H$20,$H3018),"Default"),"Leaf")</f>
        <v>Leaf</v>
      </c>
      <c r="C3018" s="26" t="s">
        <v>25</v>
      </c>
      <c r="D3018" s="24" t="str">
        <f>_xll.DBRW("TM1-S1_DEV:}ElementAttributes_SP_SKU",$F3018,D$1)</f>
        <v>Primary</v>
      </c>
      <c r="E3018" s="24" t="str">
        <f>_xll.DBRW("TM1-S1_DEV:}ElementAttributes_SP_SKU",$F3018,E$1)</f>
        <v>BREAD</v>
      </c>
      <c r="F3018" s="26" t="s">
        <v>3260</v>
      </c>
      <c r="G3018" s="26" t="s">
        <v>2503</v>
      </c>
      <c r="H3018" s="26" t="s">
        <v>2710</v>
      </c>
      <c r="I3018" s="54">
        <f>_xll.DBRW($A$1,$F$14,$F$15,$C3018,$A$2,$F3018,$G3018,$H3018,I$1)</f>
        <v>6</v>
      </c>
      <c r="J3018" s="25">
        <f>_xll.DBRW($A$1,$F$14,$F$15,$C3018,$A$2,$F3018,$G3018,$H3018,J$19)</f>
        <v>4</v>
      </c>
    </row>
    <row r="3019" spans="1:10" s="23" customFormat="1" outlineLevel="1" thickBot="1" x14ac:dyDescent="0.3">
      <c r="A3019" s="44"/>
      <c r="B3019" s="31" t="str">
        <f>IF(_xll.TM1RPTELISCONSOLIDATED($H$20,$H3019),IF(_xll.TM1RPTELLEV($H$20,$H3019)&lt;=5,_xll.TM1RPTELLEV($H$20,$H3019),"Default"),"Leaf")</f>
        <v>Leaf</v>
      </c>
      <c r="C3019" s="26" t="s">
        <v>25</v>
      </c>
      <c r="D3019" s="24" t="str">
        <f>_xll.DBRW("TM1-S1_DEV:}ElementAttributes_SP_SKU",$F3019,D$1)</f>
        <v>Primary</v>
      </c>
      <c r="E3019" s="24" t="str">
        <f>_xll.DBRW("TM1-S1_DEV:}ElementAttributes_SP_SKU",$F3019,E$1)</f>
        <v>TRAY</v>
      </c>
      <c r="F3019" s="26" t="s">
        <v>3231</v>
      </c>
      <c r="G3019" s="26" t="s">
        <v>2504</v>
      </c>
      <c r="H3019" s="26" t="s">
        <v>2711</v>
      </c>
      <c r="I3019" s="54">
        <f>_xll.DBRW($A$1,$F$14,$F$15,$C3019,$A$2,$F3019,$G3019,$H3019,I$1)</f>
        <v>12</v>
      </c>
      <c r="J3019" s="25">
        <f>_xll.DBRW($A$1,$F$14,$F$15,$C3019,$A$2,$F3019,$G3019,$H3019,J$19)</f>
        <v>10</v>
      </c>
    </row>
    <row r="3020" spans="1:10" s="23" customFormat="1" outlineLevel="1" thickBot="1" x14ac:dyDescent="0.3">
      <c r="A3020" s="44"/>
      <c r="B3020" s="31" t="str">
        <f>IF(_xll.TM1RPTELISCONSOLIDATED($H$20,$H3020),IF(_xll.TM1RPTELLEV($H$20,$H3020)&lt;=5,_xll.TM1RPTELLEV($H$20,$H3020),"Default"),"Leaf")</f>
        <v>Leaf</v>
      </c>
      <c r="C3020" s="26" t="s">
        <v>25</v>
      </c>
      <c r="D3020" s="24" t="str">
        <f>_xll.DBRW("TM1-S1_DEV:}ElementAttributes_SP_SKU",$F3020,D$1)</f>
        <v>Primary</v>
      </c>
      <c r="E3020" s="24" t="str">
        <f>_xll.DBRW("TM1-S1_DEV:}ElementAttributes_SP_SKU",$F3020,E$1)</f>
        <v>PAPER</v>
      </c>
      <c r="F3020" s="26" t="s">
        <v>3261</v>
      </c>
      <c r="G3020" s="26" t="s">
        <v>2505</v>
      </c>
      <c r="H3020" s="26" t="s">
        <v>2716</v>
      </c>
      <c r="I3020" s="54">
        <f>_xll.DBRW($A$1,$F$14,$F$15,$C3020,$A$2,$F3020,$G3020,$H3020,I$1)</f>
        <v>2</v>
      </c>
      <c r="J3020" s="25">
        <f>_xll.DBRW($A$1,$F$14,$F$15,$C3020,$A$2,$F3020,$G3020,$H3020,J$19)</f>
        <v>0</v>
      </c>
    </row>
    <row r="3021" spans="1:10" s="23" customFormat="1" outlineLevel="1" thickBot="1" x14ac:dyDescent="0.3">
      <c r="A3021" s="44"/>
      <c r="B3021" s="31" t="str">
        <f>IF(_xll.TM1RPTELISCONSOLIDATED($H$20,$H3021),IF(_xll.TM1RPTELLEV($H$20,$H3021)&lt;=5,_xll.TM1RPTELLEV($H$20,$H3021),"Default"),"Leaf")</f>
        <v>Leaf</v>
      </c>
      <c r="C3021" s="26" t="s">
        <v>25</v>
      </c>
      <c r="D3021" s="24" t="str">
        <f>_xll.DBRW("TM1-S1_DEV:}ElementAttributes_SP_SKU",$F3021,D$1)</f>
        <v>Primary</v>
      </c>
      <c r="E3021" s="24" t="str">
        <f>_xll.DBRW("TM1-S1_DEV:}ElementAttributes_SP_SKU",$F3021,E$1)</f>
        <v>BOWL</v>
      </c>
      <c r="F3021" s="26" t="s">
        <v>3237</v>
      </c>
      <c r="G3021" s="26" t="s">
        <v>2506</v>
      </c>
      <c r="H3021" s="26" t="s">
        <v>2703</v>
      </c>
      <c r="I3021" s="54">
        <f>_xll.DBRW($A$1,$F$14,$F$15,$C3021,$A$2,$F3021,$G3021,$H3021,I$1)</f>
        <v>9</v>
      </c>
      <c r="J3021" s="25">
        <f>_xll.DBRW($A$1,$F$14,$F$15,$C3021,$A$2,$F3021,$G3021,$H3021,J$19)</f>
        <v>9</v>
      </c>
    </row>
    <row r="3022" spans="1:10" s="23" customFormat="1" outlineLevel="1" thickBot="1" x14ac:dyDescent="0.3">
      <c r="A3022" s="44"/>
      <c r="B3022" s="31" t="str">
        <f>IF(_xll.TM1RPTELISCONSOLIDATED($H$20,$H3022),IF(_xll.TM1RPTELLEV($H$20,$H3022)&lt;=5,_xll.TM1RPTELLEV($H$20,$H3022),"Default"),"Leaf")</f>
        <v>Leaf</v>
      </c>
      <c r="C3022" s="26" t="s">
        <v>25</v>
      </c>
      <c r="D3022" s="24" t="str">
        <f>_xll.DBRW("TM1-S1_DEV:}ElementAttributes_SP_SKU",$F3022,D$1)</f>
        <v>Primary</v>
      </c>
      <c r="E3022" s="24" t="str">
        <f>_xll.DBRW("TM1-S1_DEV:}ElementAttributes_SP_SKU",$F3022,E$1)</f>
        <v>BOWL</v>
      </c>
      <c r="F3022" s="26" t="s">
        <v>3238</v>
      </c>
      <c r="G3022" s="26" t="s">
        <v>2507</v>
      </c>
      <c r="H3022" s="26" t="s">
        <v>2703</v>
      </c>
      <c r="I3022" s="54">
        <f>_xll.DBRW($A$1,$F$14,$F$15,$C3022,$A$2,$F3022,$G3022,$H3022,I$1)</f>
        <v>9</v>
      </c>
      <c r="J3022" s="25">
        <f>_xll.DBRW($A$1,$F$14,$F$15,$C3022,$A$2,$F3022,$G3022,$H3022,J$19)</f>
        <v>9</v>
      </c>
    </row>
    <row r="3023" spans="1:10" s="23" customFormat="1" outlineLevel="1" thickBot="1" x14ac:dyDescent="0.3">
      <c r="A3023" s="44"/>
      <c r="B3023" s="31" t="str">
        <f>IF(_xll.TM1RPTELISCONSOLIDATED($H$20,$H3023),IF(_xll.TM1RPTELLEV($H$20,$H3023)&lt;=5,_xll.TM1RPTELLEV($H$20,$H3023),"Default"),"Leaf")</f>
        <v>Leaf</v>
      </c>
      <c r="C3023" s="26" t="s">
        <v>25</v>
      </c>
      <c r="D3023" s="24" t="str">
        <f>_xll.DBRW("TM1-S1_DEV:}ElementAttributes_SP_SKU",$F3023,D$1)</f>
        <v>Primary</v>
      </c>
      <c r="E3023" s="24" t="str">
        <f>_xll.DBRW("TM1-S1_DEV:}ElementAttributes_SP_SKU",$F3023,E$1)</f>
        <v>PAPER</v>
      </c>
      <c r="F3023" s="26" t="s">
        <v>3239</v>
      </c>
      <c r="G3023" s="26" t="s">
        <v>2508</v>
      </c>
      <c r="H3023" s="26" t="s">
        <v>2715</v>
      </c>
      <c r="I3023" s="54">
        <f>_xll.DBRW($A$1,$F$14,$F$15,$C3023,$A$2,$F3023,$G3023,$H3023,I$1)</f>
        <v>5</v>
      </c>
      <c r="J3023" s="25">
        <f>_xll.DBRW($A$1,$F$14,$F$15,$C3023,$A$2,$F3023,$G3023,$H3023,J$19)</f>
        <v>4</v>
      </c>
    </row>
    <row r="3024" spans="1:10" s="23" customFormat="1" outlineLevel="1" thickBot="1" x14ac:dyDescent="0.3">
      <c r="A3024" s="44"/>
      <c r="B3024" s="31" t="str">
        <f>IF(_xll.TM1RPTELISCONSOLIDATED($H$20,$H3024),IF(_xll.TM1RPTELLEV($H$20,$H3024)&lt;=5,_xll.TM1RPTELLEV($H$20,$H3024),"Default"),"Leaf")</f>
        <v>Leaf</v>
      </c>
      <c r="C3024" s="26" t="s">
        <v>25</v>
      </c>
      <c r="D3024" s="24" t="str">
        <f>_xll.DBRW("TM1-S1_DEV:}ElementAttributes_SP_SKU",$F3024,D$1)</f>
        <v>Primary</v>
      </c>
      <c r="E3024" s="24" t="str">
        <f>_xll.DBRW("TM1-S1_DEV:}ElementAttributes_SP_SKU",$F3024,E$1)</f>
        <v>BOWL</v>
      </c>
      <c r="F3024" s="26" t="s">
        <v>32</v>
      </c>
      <c r="G3024" s="26" t="s">
        <v>2509</v>
      </c>
      <c r="H3024" s="26" t="s">
        <v>2708</v>
      </c>
      <c r="I3024" s="54">
        <f>_xll.DBRW($A$1,$F$14,$F$15,$C3024,$A$2,$F3024,$G3024,$H3024,I$1)</f>
        <v>2</v>
      </c>
      <c r="J3024" s="25">
        <f>_xll.DBRW($A$1,$F$14,$F$15,$C3024,$A$2,$F3024,$G3024,$H3024,J$19)</f>
        <v>2</v>
      </c>
    </row>
    <row r="3025" spans="1:10" s="23" customFormat="1" outlineLevel="1" thickBot="1" x14ac:dyDescent="0.3">
      <c r="A3025" s="44"/>
      <c r="B3025" s="31" t="str">
        <f>IF(_xll.TM1RPTELISCONSOLIDATED($H$20,$H3025),IF(_xll.TM1RPTELLEV($H$20,$H3025)&lt;=5,_xll.TM1RPTELLEV($H$20,$H3025),"Default"),"Leaf")</f>
        <v>Leaf</v>
      </c>
      <c r="C3025" s="26" t="s">
        <v>25</v>
      </c>
      <c r="D3025" s="24" t="str">
        <f>_xll.DBRW("TM1-S1_DEV:}ElementAttributes_SP_SKU",$F3025,D$1)</f>
        <v>Primary</v>
      </c>
      <c r="E3025" s="24" t="str">
        <f>_xll.DBRW("TM1-S1_DEV:}ElementAttributes_SP_SKU",$F3025,E$1)</f>
        <v>BOWL</v>
      </c>
      <c r="F3025" s="26" t="s">
        <v>33</v>
      </c>
      <c r="G3025" s="26" t="s">
        <v>2510</v>
      </c>
      <c r="H3025" s="26" t="s">
        <v>2708</v>
      </c>
      <c r="I3025" s="54">
        <f>_xll.DBRW($A$1,$F$14,$F$15,$C3025,$A$2,$F3025,$G3025,$H3025,I$1)</f>
        <v>2</v>
      </c>
      <c r="J3025" s="25">
        <f>_xll.DBRW($A$1,$F$14,$F$15,$C3025,$A$2,$F3025,$G3025,$H3025,J$19)</f>
        <v>2</v>
      </c>
    </row>
    <row r="3026" spans="1:10" s="23" customFormat="1" outlineLevel="1" thickBot="1" x14ac:dyDescent="0.3">
      <c r="A3026" s="44"/>
      <c r="B3026" s="31" t="str">
        <f>IF(_xll.TM1RPTELISCONSOLIDATED($H$20,$H3026),IF(_xll.TM1RPTELLEV($H$20,$H3026)&lt;=5,_xll.TM1RPTELLEV($H$20,$H3026),"Default"),"Leaf")</f>
        <v>Leaf</v>
      </c>
      <c r="C3026" s="26" t="s">
        <v>25</v>
      </c>
      <c r="D3026" s="24" t="str">
        <f>_xll.DBRW("TM1-S1_DEV:}ElementAttributes_SP_SKU",$F3026,D$1)</f>
        <v>Primary</v>
      </c>
      <c r="E3026" s="24" t="str">
        <f>_xll.DBRW("TM1-S1_DEV:}ElementAttributes_SP_SKU",$F3026,E$1)</f>
        <v>DRESSING</v>
      </c>
      <c r="F3026" s="26" t="s">
        <v>491</v>
      </c>
      <c r="G3026" s="26" t="s">
        <v>2511</v>
      </c>
      <c r="H3026" s="26" t="s">
        <v>2743</v>
      </c>
      <c r="I3026" s="54">
        <f>_xll.DBRW($A$1,$F$14,$F$15,$C3026,$A$2,$F3026,$G3026,$H3026,I$1)</f>
        <v>2</v>
      </c>
      <c r="J3026" s="25">
        <f>_xll.DBRW($A$1,$F$14,$F$15,$C3026,$A$2,$F3026,$G3026,$H3026,J$19)</f>
        <v>2</v>
      </c>
    </row>
    <row r="3027" spans="1:10" s="23" customFormat="1" outlineLevel="1" thickBot="1" x14ac:dyDescent="0.3">
      <c r="A3027" s="44"/>
      <c r="B3027" s="31" t="str">
        <f>IF(_xll.TM1RPTELISCONSOLIDATED($H$20,$H3027),IF(_xll.TM1RPTELLEV($H$20,$H3027)&lt;=5,_xll.TM1RPTELLEV($H$20,$H3027),"Default"),"Leaf")</f>
        <v>Leaf</v>
      </c>
      <c r="C3027" s="26" t="s">
        <v>25</v>
      </c>
      <c r="D3027" s="24" t="str">
        <f>_xll.DBRW("TM1-S1_DEV:}ElementAttributes_SP_SKU",$F3027,D$1)</f>
        <v>Primary</v>
      </c>
      <c r="E3027" s="24" t="str">
        <f>_xll.DBRW("TM1-S1_DEV:}ElementAttributes_SP_SKU",$F3027,E$1)</f>
        <v>FILM</v>
      </c>
      <c r="F3027" s="26" t="s">
        <v>492</v>
      </c>
      <c r="G3027" s="26" t="s">
        <v>2512</v>
      </c>
      <c r="H3027" s="26" t="s">
        <v>2902</v>
      </c>
      <c r="I3027" s="54">
        <f>_xll.DBRW($A$1,$F$14,$F$15,$C3027,$A$2,$F3027,$G3027,$H3027,I$1)</f>
        <v>142</v>
      </c>
      <c r="J3027" s="25">
        <f>_xll.DBRW($A$1,$F$14,$F$15,$C3027,$A$2,$F3027,$G3027,$H3027,J$19)</f>
        <v>141</v>
      </c>
    </row>
    <row r="3028" spans="1:10" s="23" customFormat="1" outlineLevel="1" thickBot="1" x14ac:dyDescent="0.3">
      <c r="A3028" s="44"/>
      <c r="B3028" s="31" t="str">
        <f>IF(_xll.TM1RPTELISCONSOLIDATED($H$20,$H3028),IF(_xll.TM1RPTELLEV($H$20,$H3028)&lt;=5,_xll.TM1RPTELLEV($H$20,$H3028),"Default"),"Leaf")</f>
        <v>Leaf</v>
      </c>
      <c r="C3028" s="26" t="s">
        <v>25</v>
      </c>
      <c r="D3028" s="24" t="str">
        <f>_xll.DBRW("TM1-S1_DEV:}ElementAttributes_SP_SKU",$F3028,D$1)</f>
        <v>Primary</v>
      </c>
      <c r="E3028" s="24" t="str">
        <f>_xll.DBRW("TM1-S1_DEV:}ElementAttributes_SP_SKU",$F3028,E$1)</f>
        <v>CHEESE</v>
      </c>
      <c r="F3028" s="26" t="s">
        <v>3016</v>
      </c>
      <c r="G3028" s="26" t="s">
        <v>3075</v>
      </c>
      <c r="H3028" s="26" t="s">
        <v>2903</v>
      </c>
      <c r="I3028" s="54">
        <f>_xll.DBRW($A$1,$F$14,$F$15,$C3028,$A$2,$F3028,$G3028,$H3028,I$1)</f>
        <v>0</v>
      </c>
      <c r="J3028" s="25">
        <f>_xll.DBRW($A$1,$F$14,$F$15,$C3028,$A$2,$F3028,$G3028,$H3028,J$19)</f>
        <v>-2</v>
      </c>
    </row>
    <row r="3029" spans="1:10" s="23" customFormat="1" outlineLevel="1" thickBot="1" x14ac:dyDescent="0.3">
      <c r="A3029" s="44"/>
      <c r="B3029" s="31" t="str">
        <f>IF(_xll.TM1RPTELISCONSOLIDATED($H$20,$H3029),IF(_xll.TM1RPTELLEV($H$20,$H3029)&lt;=5,_xll.TM1RPTELLEV($H$20,$H3029),"Default"),"Leaf")</f>
        <v>Leaf</v>
      </c>
      <c r="C3029" s="26" t="s">
        <v>25</v>
      </c>
      <c r="D3029" s="24" t="str">
        <f>_xll.DBRW("TM1-S1_DEV:}ElementAttributes_SP_SKU",$F3029,D$1)</f>
        <v>Primary</v>
      </c>
      <c r="E3029" s="24" t="str">
        <f>_xll.DBRW("TM1-S1_DEV:}ElementAttributes_SP_SKU",$F3029,E$1)</f>
        <v>CHEESE</v>
      </c>
      <c r="F3029" s="26" t="s">
        <v>493</v>
      </c>
      <c r="G3029" s="26" t="s">
        <v>2513</v>
      </c>
      <c r="H3029" s="26" t="s">
        <v>2903</v>
      </c>
      <c r="I3029" s="54">
        <f>_xll.DBRW($A$1,$F$14,$F$15,$C3029,$A$2,$F3029,$G3029,$H3029,I$1)</f>
        <v>14</v>
      </c>
      <c r="J3029" s="25">
        <f>_xll.DBRW($A$1,$F$14,$F$15,$C3029,$A$2,$F3029,$G3029,$H3029,J$19)</f>
        <v>12</v>
      </c>
    </row>
    <row r="3030" spans="1:10" s="23" customFormat="1" outlineLevel="1" thickBot="1" x14ac:dyDescent="0.3">
      <c r="A3030" s="44"/>
      <c r="B3030" s="31" t="str">
        <f>IF(_xll.TM1RPTELISCONSOLIDATED($H$20,$H3030),IF(_xll.TM1RPTELLEV($H$20,$H3030)&lt;=5,_xll.TM1RPTELLEV($H$20,$H3030),"Default"),"Leaf")</f>
        <v>Leaf</v>
      </c>
      <c r="C3030" s="26" t="s">
        <v>25</v>
      </c>
      <c r="D3030" s="24" t="str">
        <f>_xll.DBRW("TM1-S1_DEV:}ElementAttributes_SP_SKU",$F3030,D$1)</f>
        <v>Primary</v>
      </c>
      <c r="E3030" s="24" t="str">
        <f>_xll.DBRW("TM1-S1_DEV:}ElementAttributes_SP_SKU",$F3030,E$1)</f>
        <v>INGREDIENT</v>
      </c>
      <c r="F3030" s="26" t="s">
        <v>564</v>
      </c>
      <c r="G3030" s="26" t="s">
        <v>2609</v>
      </c>
      <c r="H3030" s="26" t="s">
        <v>2942</v>
      </c>
      <c r="I3030" s="54">
        <f>_xll.DBRW($A$1,$F$14,$F$15,$C3030,$A$2,$F3030,$G3030,$H3030,I$1)</f>
        <v>5</v>
      </c>
      <c r="J3030" s="25">
        <f>_xll.DBRW($A$1,$F$14,$F$15,$C3030,$A$2,$F3030,$G3030,$H3030,J$19)</f>
        <v>5</v>
      </c>
    </row>
    <row r="3031" spans="1:10" s="23" customFormat="1" outlineLevel="1" thickBot="1" x14ac:dyDescent="0.3">
      <c r="A3031" s="44"/>
      <c r="B3031" s="31" t="str">
        <f>IF(_xll.TM1RPTELISCONSOLIDATED($H$20,$H3031),IF(_xll.TM1RPTELLEV($H$20,$H3031)&lt;=5,_xll.TM1RPTELLEV($H$20,$H3031),"Default"),"Leaf")</f>
        <v>Leaf</v>
      </c>
      <c r="C3031" s="26" t="s">
        <v>25</v>
      </c>
      <c r="D3031" s="24" t="str">
        <f>_xll.DBRW("TM1-S1_DEV:}ElementAttributes_SP_SKU",$F3031,D$1)</f>
        <v>Primary</v>
      </c>
      <c r="E3031" s="24" t="str">
        <f>_xll.DBRW("TM1-S1_DEV:}ElementAttributes_SP_SKU",$F3031,E$1)</f>
        <v>PRODUCE</v>
      </c>
      <c r="F3031" s="26" t="s">
        <v>494</v>
      </c>
      <c r="G3031" s="26" t="s">
        <v>2514</v>
      </c>
      <c r="H3031" s="26" t="s">
        <v>2904</v>
      </c>
      <c r="I3031" s="54">
        <f>_xll.DBRW($A$1,$F$14,$F$15,$C3031,$A$2,$F3031,$G3031,$H3031,I$1)</f>
        <v>19</v>
      </c>
      <c r="J3031" s="25">
        <f>_xll.DBRW($A$1,$F$14,$F$15,$C3031,$A$2,$F3031,$G3031,$H3031,J$19)</f>
        <v>19</v>
      </c>
    </row>
    <row r="3032" spans="1:10" s="23" customFormat="1" outlineLevel="1" thickBot="1" x14ac:dyDescent="0.3">
      <c r="A3032" s="44"/>
      <c r="B3032" s="31" t="str">
        <f>IF(_xll.TM1RPTELISCONSOLIDATED($H$20,$H3032),IF(_xll.TM1RPTELLEV($H$20,$H3032)&lt;=5,_xll.TM1RPTELLEV($H$20,$H3032),"Default"),"Leaf")</f>
        <v>Leaf</v>
      </c>
      <c r="C3032" s="26" t="s">
        <v>25</v>
      </c>
      <c r="D3032" s="24" t="str">
        <f>_xll.DBRW("TM1-S1_DEV:}ElementAttributes_SP_SKU",$F3032,D$1)</f>
        <v>Primary</v>
      </c>
      <c r="E3032" s="24" t="str">
        <f>_xll.DBRW("TM1-S1_DEV:}ElementAttributes_SP_SKU",$F3032,E$1)</f>
        <v>DRESSING</v>
      </c>
      <c r="F3032" s="26" t="s">
        <v>495</v>
      </c>
      <c r="G3032" s="26" t="s">
        <v>2515</v>
      </c>
      <c r="H3032" s="26" t="s">
        <v>2743</v>
      </c>
      <c r="I3032" s="54">
        <f>_xll.DBRW($A$1,$F$14,$F$15,$C3032,$A$2,$F3032,$G3032,$H3032,I$1)</f>
        <v>3</v>
      </c>
      <c r="J3032" s="25">
        <f>_xll.DBRW($A$1,$F$14,$F$15,$C3032,$A$2,$F3032,$G3032,$H3032,J$19)</f>
        <v>3</v>
      </c>
    </row>
    <row r="3033" spans="1:10" s="23" customFormat="1" outlineLevel="1" thickBot="1" x14ac:dyDescent="0.3">
      <c r="A3033" s="44"/>
      <c r="B3033" s="31" t="str">
        <f>IF(_xll.TM1RPTELISCONSOLIDATED($H$20,$H3033),IF(_xll.TM1RPTELLEV($H$20,$H3033)&lt;=5,_xll.TM1RPTELLEV($H$20,$H3033),"Default"),"Leaf")</f>
        <v>Leaf</v>
      </c>
      <c r="C3033" s="26" t="s">
        <v>25</v>
      </c>
      <c r="D3033" s="24" t="str">
        <f>_xll.DBRW("TM1-S1_DEV:}ElementAttributes_SP_SKU",$F3033,D$1)</f>
        <v>Primary</v>
      </c>
      <c r="E3033" s="24" t="str">
        <f>_xll.DBRW("TM1-S1_DEV:}ElementAttributes_SP_SKU",$F3033,E$1)</f>
        <v>GLOVES</v>
      </c>
      <c r="F3033" s="26" t="s">
        <v>496</v>
      </c>
      <c r="G3033" s="26" t="s">
        <v>2516</v>
      </c>
      <c r="H3033" s="26" t="s">
        <v>2905</v>
      </c>
      <c r="I3033" s="54">
        <f>_xll.DBRW($A$1,$F$14,$F$15,$C3033,$A$2,$F3033,$G3033,$H3033,I$1)</f>
        <v>44</v>
      </c>
      <c r="J3033" s="25">
        <f>_xll.DBRW($A$1,$F$14,$F$15,$C3033,$A$2,$F3033,$G3033,$H3033,J$19)</f>
        <v>42</v>
      </c>
    </row>
    <row r="3034" spans="1:10" s="23" customFormat="1" outlineLevel="1" thickBot="1" x14ac:dyDescent="0.3">
      <c r="A3034" s="44"/>
      <c r="B3034" s="31" t="str">
        <f>IF(_xll.TM1RPTELISCONSOLIDATED($H$20,$H3034),IF(_xll.TM1RPTELLEV($H$20,$H3034)&lt;=5,_xll.TM1RPTELLEV($H$20,$H3034),"Default"),"Leaf")</f>
        <v>Leaf</v>
      </c>
      <c r="C3034" s="26" t="s">
        <v>25</v>
      </c>
      <c r="D3034" s="24" t="str">
        <f>_xll.DBRW("TM1-S1_DEV:}ElementAttributes_SP_SKU",$F3034,D$1)</f>
        <v>Primary</v>
      </c>
      <c r="E3034" s="24" t="str">
        <f>_xll.DBRW("TM1-S1_DEV:}ElementAttributes_SP_SKU",$F3034,E$1)</f>
        <v>GLOVES</v>
      </c>
      <c r="F3034" s="26" t="s">
        <v>497</v>
      </c>
      <c r="G3034" s="26" t="s">
        <v>2517</v>
      </c>
      <c r="H3034" s="26" t="s">
        <v>2905</v>
      </c>
      <c r="I3034" s="54">
        <f>_xll.DBRW($A$1,$F$14,$F$15,$C3034,$A$2,$F3034,$G3034,$H3034,I$1)</f>
        <v>94</v>
      </c>
      <c r="J3034" s="25">
        <f>_xll.DBRW($A$1,$F$14,$F$15,$C3034,$A$2,$F3034,$G3034,$H3034,J$19)</f>
        <v>92</v>
      </c>
    </row>
    <row r="3035" spans="1:10" s="23" customFormat="1" outlineLevel="1" thickBot="1" x14ac:dyDescent="0.3">
      <c r="A3035" s="44"/>
      <c r="B3035" s="31" t="str">
        <f>IF(_xll.TM1RPTELISCONSOLIDATED($H$20,$H3035),IF(_xll.TM1RPTELLEV($H$20,$H3035)&lt;=5,_xll.TM1RPTELLEV($H$20,$H3035),"Default"),"Leaf")</f>
        <v>Leaf</v>
      </c>
      <c r="C3035" s="26" t="s">
        <v>25</v>
      </c>
      <c r="D3035" s="24" t="str">
        <f>_xll.DBRW("TM1-S1_DEV:}ElementAttributes_SP_SKU",$F3035,D$1)</f>
        <v>Primary</v>
      </c>
      <c r="E3035" s="24" t="str">
        <f>_xll.DBRW("TM1-S1_DEV:}ElementAttributes_SP_SKU",$F3035,E$1)</f>
        <v>UTENSIL</v>
      </c>
      <c r="F3035" s="26" t="s">
        <v>498</v>
      </c>
      <c r="G3035" s="26" t="s">
        <v>2518</v>
      </c>
      <c r="H3035" s="26" t="s">
        <v>2906</v>
      </c>
      <c r="I3035" s="54">
        <f>_xll.DBRW($A$1,$F$14,$F$15,$C3035,$A$2,$F3035,$G3035,$H3035,I$1)</f>
        <v>15</v>
      </c>
      <c r="J3035" s="25">
        <f>_xll.DBRW($A$1,$F$14,$F$15,$C3035,$A$2,$F3035,$G3035,$H3035,J$19)</f>
        <v>15</v>
      </c>
    </row>
    <row r="3036" spans="1:10" s="23" customFormat="1" outlineLevel="1" thickBot="1" x14ac:dyDescent="0.3">
      <c r="A3036" s="44"/>
      <c r="B3036" s="31" t="str">
        <f>IF(_xll.TM1RPTELISCONSOLIDATED($H$20,$H3036),IF(_xll.TM1RPTELLEV($H$20,$H3036)&lt;=5,_xll.TM1RPTELLEV($H$20,$H3036),"Default"),"Leaf")</f>
        <v>Leaf</v>
      </c>
      <c r="C3036" s="26" t="s">
        <v>25</v>
      </c>
      <c r="D3036" s="24" t="str">
        <f>_xll.DBRW("TM1-S1_DEV:}ElementAttributes_SP_SKU",$F3036,D$1)</f>
        <v>Primary</v>
      </c>
      <c r="E3036" s="24" t="str">
        <f>_xll.DBRW("TM1-S1_DEV:}ElementAttributes_SP_SKU",$F3036,E$1)</f>
        <v>CHIPS</v>
      </c>
      <c r="F3036" s="26" t="s">
        <v>499</v>
      </c>
      <c r="G3036" s="26" t="s">
        <v>2442</v>
      </c>
      <c r="H3036" s="26" t="s">
        <v>2907</v>
      </c>
      <c r="I3036" s="54">
        <f>_xll.DBRW($A$1,$F$14,$F$15,$C3036,$A$2,$F3036,$G3036,$H3036,I$1)</f>
        <v>17</v>
      </c>
      <c r="J3036" s="25">
        <f>_xll.DBRW($A$1,$F$14,$F$15,$C3036,$A$2,$F3036,$G3036,$H3036,J$19)</f>
        <v>12</v>
      </c>
    </row>
    <row r="3037" spans="1:10" s="23" customFormat="1" outlineLevel="1" thickBot="1" x14ac:dyDescent="0.3">
      <c r="A3037" s="44"/>
      <c r="B3037" s="31" t="str">
        <f>IF(_xll.TM1RPTELISCONSOLIDATED($H$20,$H3037),IF(_xll.TM1RPTELLEV($H$20,$H3037)&lt;=5,_xll.TM1RPTELLEV($H$20,$H3037),"Default"),"Leaf")</f>
        <v>Leaf</v>
      </c>
      <c r="C3037" s="26" t="s">
        <v>25</v>
      </c>
      <c r="D3037" s="24" t="str">
        <f>_xll.DBRW("TM1-S1_DEV:}ElementAttributes_SP_SKU",$F3037,D$1)</f>
        <v>Primary</v>
      </c>
      <c r="E3037" s="24" t="str">
        <f>_xll.DBRW("TM1-S1_DEV:}ElementAttributes_SP_SKU",$F3037,E$1)</f>
        <v>CONTAINER</v>
      </c>
      <c r="F3037" s="26" t="s">
        <v>500</v>
      </c>
      <c r="G3037" s="26" t="s">
        <v>2519</v>
      </c>
      <c r="H3037" s="26" t="s">
        <v>2908</v>
      </c>
      <c r="I3037" s="54">
        <f>_xll.DBRW($A$1,$F$14,$F$15,$C3037,$A$2,$F3037,$G3037,$H3037,I$1)</f>
        <v>45</v>
      </c>
      <c r="J3037" s="25">
        <f>_xll.DBRW($A$1,$F$14,$F$15,$C3037,$A$2,$F3037,$G3037,$H3037,J$19)</f>
        <v>63</v>
      </c>
    </row>
    <row r="3038" spans="1:10" s="23" customFormat="1" outlineLevel="1" thickBot="1" x14ac:dyDescent="0.3">
      <c r="A3038" s="44"/>
      <c r="B3038" s="31" t="str">
        <f>IF(_xll.TM1RPTELISCONSOLIDATED($H$20,$H3038),IF(_xll.TM1RPTELLEV($H$20,$H3038)&lt;=5,_xll.TM1RPTELLEV($H$20,$H3038),"Default"),"Leaf")</f>
        <v>Leaf</v>
      </c>
      <c r="C3038" s="26" t="s">
        <v>25</v>
      </c>
      <c r="D3038" s="24" t="str">
        <f>_xll.DBRW("TM1-S1_DEV:}ElementAttributes_SP_SKU",$F3038,D$1)</f>
        <v>Primary</v>
      </c>
      <c r="E3038" s="24" t="str">
        <f>_xll.DBRW("TM1-S1_DEV:}ElementAttributes_SP_SKU",$F3038,E$1)</f>
        <v>PAPER</v>
      </c>
      <c r="F3038" s="26" t="s">
        <v>501</v>
      </c>
      <c r="G3038" s="26" t="s">
        <v>2520</v>
      </c>
      <c r="H3038" s="26" t="s">
        <v>2909</v>
      </c>
      <c r="I3038" s="54">
        <f>_xll.DBRW($A$1,$F$14,$F$15,$C3038,$A$2,$F3038,$G3038,$H3038,I$1)</f>
        <v>1</v>
      </c>
      <c r="J3038" s="25">
        <f>_xll.DBRW($A$1,$F$14,$F$15,$C3038,$A$2,$F3038,$G3038,$H3038,J$19)</f>
        <v>0</v>
      </c>
    </row>
    <row r="3039" spans="1:10" s="23" customFormat="1" outlineLevel="1" thickBot="1" x14ac:dyDescent="0.3">
      <c r="A3039" s="44"/>
      <c r="B3039" s="31" t="str">
        <f>IF(_xll.TM1RPTELISCONSOLIDATED($H$20,$H3039),IF(_xll.TM1RPTELLEV($H$20,$H3039)&lt;=5,_xll.TM1RPTELLEV($H$20,$H3039),"Default"),"Leaf")</f>
        <v>Leaf</v>
      </c>
      <c r="C3039" s="26" t="s">
        <v>25</v>
      </c>
      <c r="D3039" s="24" t="str">
        <f>_xll.DBRW("TM1-S1_DEV:}ElementAttributes_SP_SKU",$F3039,D$1)</f>
        <v>Primary</v>
      </c>
      <c r="E3039" s="24" t="str">
        <f>_xll.DBRW("TM1-S1_DEV:}ElementAttributes_SP_SKU",$F3039,E$1)</f>
        <v>PAPER</v>
      </c>
      <c r="F3039" s="26" t="s">
        <v>3309</v>
      </c>
      <c r="G3039" s="26" t="s">
        <v>3335</v>
      </c>
      <c r="H3039" s="26" t="s">
        <v>3342</v>
      </c>
      <c r="I3039" s="54">
        <f>_xll.DBRW($A$1,$F$14,$F$15,$C3039,$A$2,$F3039,$G3039,$H3039,I$1)</f>
        <v>0</v>
      </c>
      <c r="J3039" s="25">
        <f>_xll.DBRW($A$1,$F$14,$F$15,$C3039,$A$2,$F3039,$G3039,$H3039,J$19)</f>
        <v>-1</v>
      </c>
    </row>
    <row r="3040" spans="1:10" s="23" customFormat="1" outlineLevel="1" thickBot="1" x14ac:dyDescent="0.3">
      <c r="A3040" s="44"/>
      <c r="B3040" s="31" t="str">
        <f>IF(_xll.TM1RPTELISCONSOLIDATED($H$20,$H3040),IF(_xll.TM1RPTELLEV($H$20,$H3040)&lt;=5,_xll.TM1RPTELLEV($H$20,$H3040),"Default"),"Leaf")</f>
        <v>Leaf</v>
      </c>
      <c r="C3040" s="26" t="s">
        <v>25</v>
      </c>
      <c r="D3040" s="24" t="str">
        <f>_xll.DBRW("TM1-S1_DEV:}ElementAttributes_SP_SKU",$F3040,D$1)</f>
        <v>Primary</v>
      </c>
      <c r="E3040" s="24" t="str">
        <f>_xll.DBRW("TM1-S1_DEV:}ElementAttributes_SP_SKU",$F3040,E$1)</f>
        <v>BAG</v>
      </c>
      <c r="F3040" s="26" t="s">
        <v>502</v>
      </c>
      <c r="G3040" s="26" t="s">
        <v>2521</v>
      </c>
      <c r="H3040" s="26" t="s">
        <v>2910</v>
      </c>
      <c r="I3040" s="54">
        <f>_xll.DBRW($A$1,$F$14,$F$15,$C3040,$A$2,$F3040,$G3040,$H3040,I$1)</f>
        <v>11</v>
      </c>
      <c r="J3040" s="25">
        <f>_xll.DBRW($A$1,$F$14,$F$15,$C3040,$A$2,$F3040,$G3040,$H3040,J$19)</f>
        <v>11</v>
      </c>
    </row>
    <row r="3041" spans="1:10" s="23" customFormat="1" outlineLevel="1" thickBot="1" x14ac:dyDescent="0.3">
      <c r="A3041" s="44"/>
      <c r="B3041" s="31" t="str">
        <f>IF(_xll.TM1RPTELISCONSOLIDATED($H$20,$H3041),IF(_xll.TM1RPTELLEV($H$20,$H3041)&lt;=5,_xll.TM1RPTELLEV($H$20,$H3041),"Default"),"Leaf")</f>
        <v>Leaf</v>
      </c>
      <c r="C3041" s="26" t="s">
        <v>25</v>
      </c>
      <c r="D3041" s="24" t="str">
        <f>_xll.DBRW("TM1-S1_DEV:}ElementAttributes_SP_SKU",$F3041,D$1)</f>
        <v>Primary</v>
      </c>
      <c r="E3041" s="24" t="str">
        <f>_xll.DBRW("TM1-S1_DEV:}ElementAttributes_SP_SKU",$F3041,E$1)</f>
        <v>GLOVES</v>
      </c>
      <c r="F3041" s="26" t="s">
        <v>503</v>
      </c>
      <c r="G3041" s="26" t="s">
        <v>2522</v>
      </c>
      <c r="H3041" s="26" t="s">
        <v>2911</v>
      </c>
      <c r="I3041" s="54">
        <f>_xll.DBRW($A$1,$F$14,$F$15,$C3041,$A$2,$F3041,$G3041,$H3041,I$1)</f>
        <v>38</v>
      </c>
      <c r="J3041" s="25">
        <f>_xll.DBRW($A$1,$F$14,$F$15,$C3041,$A$2,$F3041,$G3041,$H3041,J$19)</f>
        <v>37</v>
      </c>
    </row>
    <row r="3042" spans="1:10" s="23" customFormat="1" outlineLevel="1" thickBot="1" x14ac:dyDescent="0.3">
      <c r="A3042" s="44"/>
      <c r="B3042" s="31" t="str">
        <f>IF(_xll.TM1RPTELISCONSOLIDATED($H$20,$H3042),IF(_xll.TM1RPTELLEV($H$20,$H3042)&lt;=5,_xll.TM1RPTELLEV($H$20,$H3042),"Default"),"Leaf")</f>
        <v>Leaf</v>
      </c>
      <c r="C3042" s="26" t="s">
        <v>25</v>
      </c>
      <c r="D3042" s="24" t="str">
        <f>_xll.DBRW("TM1-S1_DEV:}ElementAttributes_SP_SKU",$F3042,D$1)</f>
        <v>Primary</v>
      </c>
      <c r="E3042" s="24" t="str">
        <f>_xll.DBRW("TM1-S1_DEV:}ElementAttributes_SP_SKU",$F3042,E$1)</f>
        <v>PAPER</v>
      </c>
      <c r="F3042" s="26" t="s">
        <v>504</v>
      </c>
      <c r="G3042" s="26" t="s">
        <v>2523</v>
      </c>
      <c r="H3042" s="26" t="s">
        <v>2912</v>
      </c>
      <c r="I3042" s="54">
        <f>_xll.DBRW($A$1,$F$14,$F$15,$C3042,$A$2,$F3042,$G3042,$H3042,I$1)</f>
        <v>10</v>
      </c>
      <c r="J3042" s="25">
        <f>_xll.DBRW($A$1,$F$14,$F$15,$C3042,$A$2,$F3042,$G3042,$H3042,J$19)</f>
        <v>9</v>
      </c>
    </row>
    <row r="3043" spans="1:10" s="23" customFormat="1" outlineLevel="1" thickBot="1" x14ac:dyDescent="0.3">
      <c r="A3043" s="44"/>
      <c r="B3043" s="31" t="str">
        <f>IF(_xll.TM1RPTELISCONSOLIDATED($H$20,$H3043),IF(_xll.TM1RPTELLEV($H$20,$H3043)&lt;=5,_xll.TM1RPTELLEV($H$20,$H3043),"Default"),"Leaf")</f>
        <v>Leaf</v>
      </c>
      <c r="C3043" s="26" t="s">
        <v>25</v>
      </c>
      <c r="D3043" s="24" t="str">
        <f>_xll.DBRW("TM1-S1_DEV:}ElementAttributes_SP_SKU",$F3043,D$1)</f>
        <v>Unassigned PSP</v>
      </c>
      <c r="E3043" s="24" t="str">
        <f>_xll.DBRW("TM1-S1_DEV:}ElementAttributes_SP_SKU",$F3043,E$1)</f>
        <v>CHEESE</v>
      </c>
      <c r="F3043" s="26" t="s">
        <v>505</v>
      </c>
      <c r="G3043" s="26" t="s">
        <v>2524</v>
      </c>
      <c r="H3043" s="26" t="s">
        <v>2700</v>
      </c>
      <c r="I3043" s="54">
        <f>_xll.DBRW($A$1,$F$14,$F$15,$C3043,$A$2,$F3043,$G3043,$H3043,I$1)</f>
        <v>2</v>
      </c>
      <c r="J3043" s="25">
        <f>_xll.DBRW($A$1,$F$14,$F$15,$C3043,$A$2,$F3043,$G3043,$H3043,J$19)</f>
        <v>2</v>
      </c>
    </row>
    <row r="3044" spans="1:10" s="23" customFormat="1" outlineLevel="1" thickBot="1" x14ac:dyDescent="0.3">
      <c r="A3044" s="44"/>
      <c r="B3044" s="31" t="str">
        <f>IF(_xll.TM1RPTELISCONSOLIDATED($H$20,$H3044),IF(_xll.TM1RPTELLEV($H$20,$H3044)&lt;=5,_xll.TM1RPTELLEV($H$20,$H3044),"Default"),"Leaf")</f>
        <v>Leaf</v>
      </c>
      <c r="C3044" s="26" t="s">
        <v>25</v>
      </c>
      <c r="D3044" s="24" t="str">
        <f>_xll.DBRW("TM1-S1_DEV:}ElementAttributes_SP_SKU",$F3044,D$1)</f>
        <v>Primary</v>
      </c>
      <c r="E3044" s="24" t="str">
        <f>_xll.DBRW("TM1-S1_DEV:}ElementAttributes_SP_SKU",$F3044,E$1)</f>
        <v>INGREDIENT</v>
      </c>
      <c r="F3044" s="26" t="s">
        <v>506</v>
      </c>
      <c r="G3044" s="26" t="s">
        <v>2525</v>
      </c>
      <c r="H3044" s="26" t="s">
        <v>2913</v>
      </c>
      <c r="I3044" s="54">
        <f>_xll.DBRW($A$1,$F$14,$F$15,$C3044,$A$2,$F3044,$G3044,$H3044,I$1)</f>
        <v>15</v>
      </c>
      <c r="J3044" s="25">
        <f>_xll.DBRW($A$1,$F$14,$F$15,$C3044,$A$2,$F3044,$G3044,$H3044,J$19)</f>
        <v>15</v>
      </c>
    </row>
    <row r="3045" spans="1:10" s="23" customFormat="1" outlineLevel="1" thickBot="1" x14ac:dyDescent="0.3">
      <c r="A3045" s="44"/>
      <c r="B3045" s="31" t="str">
        <f>IF(_xll.TM1RPTELISCONSOLIDATED($H$20,$H3045),IF(_xll.TM1RPTELLEV($H$20,$H3045)&lt;=5,_xll.TM1RPTELLEV($H$20,$H3045),"Default"),"Leaf")</f>
        <v>Leaf</v>
      </c>
      <c r="C3045" s="26" t="s">
        <v>25</v>
      </c>
      <c r="D3045" s="24" t="str">
        <f>_xll.DBRW("TM1-S1_DEV:}ElementAttributes_SP_SKU",$F3045,D$1)</f>
        <v>Primary</v>
      </c>
      <c r="E3045" s="24" t="str">
        <f>_xll.DBRW("TM1-S1_DEV:}ElementAttributes_SP_SKU",$F3045,E$1)</f>
        <v>PAPER</v>
      </c>
      <c r="F3045" s="26" t="s">
        <v>3310</v>
      </c>
      <c r="G3045" s="26" t="s">
        <v>3336</v>
      </c>
      <c r="H3045" s="26" t="s">
        <v>2770</v>
      </c>
      <c r="I3045" s="54">
        <f>_xll.DBRW($A$1,$F$14,$F$15,$C3045,$A$2,$F3045,$G3045,$H3045,I$1)</f>
        <v>0</v>
      </c>
      <c r="J3045" s="25">
        <f>_xll.DBRW($A$1,$F$14,$F$15,$C3045,$A$2,$F3045,$G3045,$H3045,J$19)</f>
        <v>-1</v>
      </c>
    </row>
    <row r="3046" spans="1:10" s="23" customFormat="1" outlineLevel="1" thickBot="1" x14ac:dyDescent="0.3">
      <c r="A3046" s="44"/>
      <c r="B3046" s="31" t="str">
        <f>IF(_xll.TM1RPTELISCONSOLIDATED($H$20,$H3046),IF(_xll.TM1RPTELLEV($H$20,$H3046)&lt;=5,_xll.TM1RPTELLEV($H$20,$H3046),"Default"),"Leaf")</f>
        <v>Leaf</v>
      </c>
      <c r="C3046" s="26" t="s">
        <v>25</v>
      </c>
      <c r="D3046" s="24" t="str">
        <f>_xll.DBRW("TM1-S1_DEV:}ElementAttributes_SP_SKU",$F3046,D$1)</f>
        <v>Primary</v>
      </c>
      <c r="E3046" s="24" t="str">
        <f>_xll.DBRW("TM1-S1_DEV:}ElementAttributes_SP_SKU",$F3046,E$1)</f>
        <v>PROTEIN</v>
      </c>
      <c r="F3046" s="26" t="s">
        <v>3017</v>
      </c>
      <c r="G3046" s="26" t="s">
        <v>3076</v>
      </c>
      <c r="H3046" s="26" t="s">
        <v>3097</v>
      </c>
      <c r="I3046" s="54">
        <f>_xll.DBRW($A$1,$F$14,$F$15,$C3046,$A$2,$F3046,$G3046,$H3046,I$1)</f>
        <v>0</v>
      </c>
      <c r="J3046" s="25">
        <f>_xll.DBRW($A$1,$F$14,$F$15,$C3046,$A$2,$F3046,$G3046,$H3046,J$19)</f>
        <v>-2</v>
      </c>
    </row>
    <row r="3047" spans="1:10" s="23" customFormat="1" outlineLevel="1" thickBot="1" x14ac:dyDescent="0.3">
      <c r="A3047" s="44"/>
      <c r="B3047" s="31" t="str">
        <f>IF(_xll.TM1RPTELISCONSOLIDATED($H$20,$H3047),IF(_xll.TM1RPTELLEV($H$20,$H3047)&lt;=5,_xll.TM1RPTELLEV($H$20,$H3047),"Default"),"Leaf")</f>
        <v>Leaf</v>
      </c>
      <c r="C3047" s="26" t="s">
        <v>25</v>
      </c>
      <c r="D3047" s="24" t="str">
        <f>_xll.DBRW("TM1-S1_DEV:}ElementAttributes_SP_SKU",$F3047,D$1)</f>
        <v>Primary</v>
      </c>
      <c r="E3047" s="24" t="str">
        <f>_xll.DBRW("TM1-S1_DEV:}ElementAttributes_SP_SKU",$F3047,E$1)</f>
        <v>PLATE</v>
      </c>
      <c r="F3047" s="26" t="s">
        <v>507</v>
      </c>
      <c r="G3047" s="26" t="s">
        <v>2526</v>
      </c>
      <c r="H3047" s="26" t="s">
        <v>2914</v>
      </c>
      <c r="I3047" s="54">
        <f>_xll.DBRW($A$1,$F$14,$F$15,$C3047,$A$2,$F3047,$G3047,$H3047,I$1)</f>
        <v>6</v>
      </c>
      <c r="J3047" s="25">
        <f>_xll.DBRW($A$1,$F$14,$F$15,$C3047,$A$2,$F3047,$G3047,$H3047,J$19)</f>
        <v>6</v>
      </c>
    </row>
    <row r="3048" spans="1:10" s="23" customFormat="1" outlineLevel="1" thickBot="1" x14ac:dyDescent="0.3">
      <c r="A3048" s="44"/>
      <c r="B3048" s="31" t="str">
        <f>IF(_xll.TM1RPTELISCONSOLIDATED($H$20,$H3048),IF(_xll.TM1RPTELLEV($H$20,$H3048)&lt;=5,_xll.TM1RPTELLEV($H$20,$H3048),"Default"),"Leaf")</f>
        <v>Leaf</v>
      </c>
      <c r="C3048" s="26" t="s">
        <v>25</v>
      </c>
      <c r="D3048" s="24" t="str">
        <f>_xll.DBRW("TM1-S1_DEV:}ElementAttributes_SP_SKU",$F3048,D$1)</f>
        <v>Primary</v>
      </c>
      <c r="E3048" s="24" t="str">
        <f>_xll.DBRW("TM1-S1_DEV:}ElementAttributes_SP_SKU",$F3048,E$1)</f>
        <v>BAG</v>
      </c>
      <c r="F3048" s="26" t="s">
        <v>508</v>
      </c>
      <c r="G3048" s="26" t="s">
        <v>2527</v>
      </c>
      <c r="H3048" s="26" t="s">
        <v>2915</v>
      </c>
      <c r="I3048" s="54">
        <f>_xll.DBRW($A$1,$F$14,$F$15,$C3048,$A$2,$F3048,$G3048,$H3048,I$1)</f>
        <v>74</v>
      </c>
      <c r="J3048" s="25">
        <f>_xll.DBRW($A$1,$F$14,$F$15,$C3048,$A$2,$F3048,$G3048,$H3048,J$19)</f>
        <v>73</v>
      </c>
    </row>
    <row r="3049" spans="1:10" s="23" customFormat="1" outlineLevel="1" thickBot="1" x14ac:dyDescent="0.3">
      <c r="A3049" s="44"/>
      <c r="B3049" s="31" t="str">
        <f>IF(_xll.TM1RPTELISCONSOLIDATED($H$20,$H3049),IF(_xll.TM1RPTELLEV($H$20,$H3049)&lt;=5,_xll.TM1RPTELLEV($H$20,$H3049),"Default"),"Leaf")</f>
        <v>Leaf</v>
      </c>
      <c r="C3049" s="26" t="s">
        <v>25</v>
      </c>
      <c r="D3049" s="24" t="str">
        <f>_xll.DBRW("TM1-S1_DEV:}ElementAttributes_SP_SKU",$F3049,D$1)</f>
        <v>Secondary</v>
      </c>
      <c r="E3049" s="24" t="str">
        <f>_xll.DBRW("TM1-S1_DEV:}ElementAttributes_SP_SKU",$F3049,E$1)</f>
        <v>BREAD</v>
      </c>
      <c r="F3049" s="26" t="s">
        <v>354</v>
      </c>
      <c r="G3049" s="26" t="s">
        <v>2528</v>
      </c>
      <c r="H3049" s="26" t="s">
        <v>2689</v>
      </c>
      <c r="I3049" s="54">
        <f>_xll.DBRW($A$1,$F$14,$F$15,$C3049,$A$2,$F3049,$G3049,$H3049,I$1)</f>
        <v>30</v>
      </c>
      <c r="J3049" s="25">
        <f>_xll.DBRW($A$1,$F$14,$F$15,$C3049,$A$2,$F3049,$G3049,$H3049,J$19)</f>
        <v>30</v>
      </c>
    </row>
    <row r="3050" spans="1:10" s="23" customFormat="1" outlineLevel="1" thickBot="1" x14ac:dyDescent="0.3">
      <c r="A3050" s="44"/>
      <c r="B3050" s="31" t="str">
        <f>IF(_xll.TM1RPTELISCONSOLIDATED($H$20,$H3050),IF(_xll.TM1RPTELLEV($H$20,$H3050)&lt;=5,_xll.TM1RPTELLEV($H$20,$H3050),"Default"),"Leaf")</f>
        <v>Leaf</v>
      </c>
      <c r="C3050" s="26" t="s">
        <v>25</v>
      </c>
      <c r="D3050" s="24" t="str">
        <f>_xll.DBRW("TM1-S1_DEV:}ElementAttributes_SP_SKU",$F3050,D$1)</f>
        <v>Secondary</v>
      </c>
      <c r="E3050" s="24" t="str">
        <f>_xll.DBRW("TM1-S1_DEV:}ElementAttributes_SP_SKU",$F3050,E$1)</f>
        <v>CONDIMENT</v>
      </c>
      <c r="F3050" s="26" t="s">
        <v>509</v>
      </c>
      <c r="G3050" s="26" t="s">
        <v>2529</v>
      </c>
      <c r="H3050" s="26" t="s">
        <v>2733</v>
      </c>
      <c r="I3050" s="54">
        <f>_xll.DBRW($A$1,$F$14,$F$15,$C3050,$A$2,$F3050,$G3050,$H3050,I$1)</f>
        <v>11</v>
      </c>
      <c r="J3050" s="25">
        <f>_xll.DBRW($A$1,$F$14,$F$15,$C3050,$A$2,$F3050,$G3050,$H3050,J$19)</f>
        <v>11</v>
      </c>
    </row>
    <row r="3051" spans="1:10" s="23" customFormat="1" outlineLevel="1" thickBot="1" x14ac:dyDescent="0.3">
      <c r="A3051" s="44"/>
      <c r="B3051" s="31" t="str">
        <f>IF(_xll.TM1RPTELISCONSOLIDATED($H$20,$H3051),IF(_xll.TM1RPTELLEV($H$20,$H3051)&lt;=5,_xll.TM1RPTELLEV($H$20,$H3051),"Default"),"Leaf")</f>
        <v>Leaf</v>
      </c>
      <c r="C3051" s="26" t="s">
        <v>25</v>
      </c>
      <c r="D3051" s="24" t="str">
        <f>_xll.DBRW("TM1-S1_DEV:}ElementAttributes_SP_SKU",$F3051,D$1)</f>
        <v>Secondary</v>
      </c>
      <c r="E3051" s="24" t="str">
        <f>_xll.DBRW("TM1-S1_DEV:}ElementAttributes_SP_SKU",$F3051,E$1)</f>
        <v>INGREDIENT</v>
      </c>
      <c r="F3051" s="26" t="s">
        <v>510</v>
      </c>
      <c r="G3051" s="26" t="s">
        <v>2530</v>
      </c>
      <c r="H3051" s="26" t="s">
        <v>2916</v>
      </c>
      <c r="I3051" s="54">
        <f>_xll.DBRW($A$1,$F$14,$F$15,$C3051,$A$2,$F3051,$G3051,$H3051,I$1)</f>
        <v>15</v>
      </c>
      <c r="J3051" s="25">
        <f>_xll.DBRW($A$1,$F$14,$F$15,$C3051,$A$2,$F3051,$G3051,$H3051,J$19)</f>
        <v>15</v>
      </c>
    </row>
    <row r="3052" spans="1:10" s="23" customFormat="1" outlineLevel="1" thickBot="1" x14ac:dyDescent="0.3">
      <c r="A3052" s="44"/>
      <c r="B3052" s="31" t="str">
        <f>IF(_xll.TM1RPTELISCONSOLIDATED($H$20,$H3052),IF(_xll.TM1RPTELLEV($H$20,$H3052)&lt;=5,_xll.TM1RPTELLEV($H$20,$H3052),"Default"),"Leaf")</f>
        <v>Leaf</v>
      </c>
      <c r="C3052" s="26" t="s">
        <v>25</v>
      </c>
      <c r="D3052" s="24" t="str">
        <f>_xll.DBRW("TM1-S1_DEV:}ElementAttributes_SP_SKU",$F3052,D$1)</f>
        <v>Secondary</v>
      </c>
      <c r="E3052" s="24" t="str">
        <f>_xll.DBRW("TM1-S1_DEV:}ElementAttributes_SP_SKU",$F3052,E$1)</f>
        <v>PROTEIN</v>
      </c>
      <c r="F3052" s="26" t="s">
        <v>511</v>
      </c>
      <c r="G3052" s="26" t="s">
        <v>2531</v>
      </c>
      <c r="H3052" s="26" t="s">
        <v>2917</v>
      </c>
      <c r="I3052" s="54">
        <f>_xll.DBRW($A$1,$F$14,$F$15,$C3052,$A$2,$F3052,$G3052,$H3052,I$1)</f>
        <v>21</v>
      </c>
      <c r="J3052" s="25">
        <f>_xll.DBRW($A$1,$F$14,$F$15,$C3052,$A$2,$F3052,$G3052,$H3052,J$19)</f>
        <v>21</v>
      </c>
    </row>
    <row r="3053" spans="1:10" s="23" customFormat="1" outlineLevel="1" thickBot="1" x14ac:dyDescent="0.3">
      <c r="A3053" s="44"/>
      <c r="B3053" s="31" t="str">
        <f>IF(_xll.TM1RPTELISCONSOLIDATED($H$20,$H3053),IF(_xll.TM1RPTELLEV($H$20,$H3053)&lt;=5,_xll.TM1RPTELLEV($H$20,$H3053),"Default"),"Leaf")</f>
        <v>Leaf</v>
      </c>
      <c r="C3053" s="26" t="s">
        <v>25</v>
      </c>
      <c r="D3053" s="24" t="str">
        <f>_xll.DBRW("TM1-S1_DEV:}ElementAttributes_SP_SKU",$F3053,D$1)</f>
        <v>Secondary</v>
      </c>
      <c r="E3053" s="24" t="str">
        <f>_xll.DBRW("TM1-S1_DEV:}ElementAttributes_SP_SKU",$F3053,E$1)</f>
        <v>CHEMICAL</v>
      </c>
      <c r="F3053" s="26" t="s">
        <v>512</v>
      </c>
      <c r="G3053" s="26" t="s">
        <v>2532</v>
      </c>
      <c r="H3053" s="26" t="s">
        <v>2918</v>
      </c>
      <c r="I3053" s="54">
        <f>_xll.DBRW($A$1,$F$14,$F$15,$C3053,$A$2,$F3053,$G3053,$H3053,I$1)</f>
        <v>1</v>
      </c>
      <c r="J3053" s="25">
        <f>_xll.DBRW($A$1,$F$14,$F$15,$C3053,$A$2,$F3053,$G3053,$H3053,J$19)</f>
        <v>1</v>
      </c>
    </row>
    <row r="3054" spans="1:10" s="23" customFormat="1" outlineLevel="1" thickBot="1" x14ac:dyDescent="0.3">
      <c r="A3054" s="44"/>
      <c r="B3054" s="31" t="str">
        <f>IF(_xll.TM1RPTELISCONSOLIDATED($H$20,$H3054),IF(_xll.TM1RPTELLEV($H$20,$H3054)&lt;=5,_xll.TM1RPTELLEV($H$20,$H3054),"Default"),"Leaf")</f>
        <v>Leaf</v>
      </c>
      <c r="C3054" s="26" t="s">
        <v>25</v>
      </c>
      <c r="D3054" s="24" t="str">
        <f>_xll.DBRW("TM1-S1_DEV:}ElementAttributes_SP_SKU",$F3054,D$1)</f>
        <v>Secondary</v>
      </c>
      <c r="E3054" s="24" t="str">
        <f>_xll.DBRW("TM1-S1_DEV:}ElementAttributes_SP_SKU",$F3054,E$1)</f>
        <v>DRESSING</v>
      </c>
      <c r="F3054" s="26" t="s">
        <v>513</v>
      </c>
      <c r="G3054" s="26" t="s">
        <v>2533</v>
      </c>
      <c r="H3054" s="26" t="s">
        <v>2720</v>
      </c>
      <c r="I3054" s="54">
        <f>_xll.DBRW($A$1,$F$14,$F$15,$C3054,$A$2,$F3054,$G3054,$H3054,I$1)</f>
        <v>1</v>
      </c>
      <c r="J3054" s="25">
        <f>_xll.DBRW($A$1,$F$14,$F$15,$C3054,$A$2,$F3054,$G3054,$H3054,J$19)</f>
        <v>1</v>
      </c>
    </row>
    <row r="3055" spans="1:10" s="23" customFormat="1" outlineLevel="1" thickBot="1" x14ac:dyDescent="0.3">
      <c r="A3055" s="44"/>
      <c r="B3055" s="31" t="str">
        <f>IF(_xll.TM1RPTELISCONSOLIDATED($H$20,$H3055),IF(_xll.TM1RPTELLEV($H$20,$H3055)&lt;=5,_xll.TM1RPTELLEV($H$20,$H3055),"Default"),"Leaf")</f>
        <v>Leaf</v>
      </c>
      <c r="C3055" s="26" t="s">
        <v>25</v>
      </c>
      <c r="D3055" s="24" t="str">
        <f>_xll.DBRW("TM1-S1_DEV:}ElementAttributes_SP_SKU",$F3055,D$1)</f>
        <v>Secondary</v>
      </c>
      <c r="E3055" s="24" t="str">
        <f>_xll.DBRW("TM1-S1_DEV:}ElementAttributes_SP_SKU",$F3055,E$1)</f>
        <v>INGREDIENT</v>
      </c>
      <c r="F3055" s="26" t="s">
        <v>514</v>
      </c>
      <c r="G3055" s="26" t="s">
        <v>2534</v>
      </c>
      <c r="H3055" s="26" t="s">
        <v>2919</v>
      </c>
      <c r="I3055" s="54">
        <f>_xll.DBRW($A$1,$F$14,$F$15,$C3055,$A$2,$F3055,$G3055,$H3055,I$1)</f>
        <v>4</v>
      </c>
      <c r="J3055" s="25">
        <f>_xll.DBRW($A$1,$F$14,$F$15,$C3055,$A$2,$F3055,$G3055,$H3055,J$19)</f>
        <v>4</v>
      </c>
    </row>
    <row r="3056" spans="1:10" s="23" customFormat="1" outlineLevel="1" thickBot="1" x14ac:dyDescent="0.3">
      <c r="A3056" s="44"/>
      <c r="B3056" s="31" t="str">
        <f>IF(_xll.TM1RPTELISCONSOLIDATED($H$20,$H3056),IF(_xll.TM1RPTELLEV($H$20,$H3056)&lt;=5,_xll.TM1RPTELLEV($H$20,$H3056),"Default"),"Leaf")</f>
        <v>Leaf</v>
      </c>
      <c r="C3056" s="26" t="s">
        <v>25</v>
      </c>
      <c r="D3056" s="24" t="str">
        <f>_xll.DBRW("TM1-S1_DEV:}ElementAttributes_SP_SKU",$F3056,D$1)</f>
        <v>Secondary</v>
      </c>
      <c r="E3056" s="24" t="str">
        <f>_xll.DBRW("TM1-S1_DEV:}ElementAttributes_SP_SKU",$F3056,E$1)</f>
        <v>DRESSING</v>
      </c>
      <c r="F3056" s="26" t="s">
        <v>515</v>
      </c>
      <c r="G3056" s="26" t="s">
        <v>2535</v>
      </c>
      <c r="H3056" s="26" t="s">
        <v>2720</v>
      </c>
      <c r="I3056" s="54">
        <f>_xll.DBRW($A$1,$F$14,$F$15,$C3056,$A$2,$F3056,$G3056,$H3056,I$1)</f>
        <v>15</v>
      </c>
      <c r="J3056" s="25">
        <f>_xll.DBRW($A$1,$F$14,$F$15,$C3056,$A$2,$F3056,$G3056,$H3056,J$19)</f>
        <v>15</v>
      </c>
    </row>
    <row r="3057" spans="1:10" s="23" customFormat="1" outlineLevel="1" thickBot="1" x14ac:dyDescent="0.3">
      <c r="A3057" s="44"/>
      <c r="B3057" s="31" t="str">
        <f>IF(_xll.TM1RPTELISCONSOLIDATED($H$20,$H3057),IF(_xll.TM1RPTELLEV($H$20,$H3057)&lt;=5,_xll.TM1RPTELLEV($H$20,$H3057),"Default"),"Leaf")</f>
        <v>Leaf</v>
      </c>
      <c r="C3057" s="26" t="s">
        <v>25</v>
      </c>
      <c r="D3057" s="24" t="str">
        <f>_xll.DBRW("TM1-S1_DEV:}ElementAttributes_SP_SKU",$F3057,D$1)</f>
        <v>Unassigned PSP</v>
      </c>
      <c r="E3057" s="24" t="str">
        <f>_xll.DBRW("TM1-S1_DEV:}ElementAttributes_SP_SKU",$F3057,E$1)</f>
        <v>DRINKS</v>
      </c>
      <c r="F3057" s="26" t="s">
        <v>516</v>
      </c>
      <c r="G3057" s="26" t="s">
        <v>2536</v>
      </c>
      <c r="H3057" s="26" t="s">
        <v>2920</v>
      </c>
      <c r="I3057" s="54">
        <f>_xll.DBRW($A$1,$F$14,$F$15,$C3057,$A$2,$F3057,$G3057,$H3057,I$1)</f>
        <v>3</v>
      </c>
      <c r="J3057" s="25">
        <f>_xll.DBRW($A$1,$F$14,$F$15,$C3057,$A$2,$F3057,$G3057,$H3057,J$19)</f>
        <v>3</v>
      </c>
    </row>
    <row r="3058" spans="1:10" s="23" customFormat="1" outlineLevel="1" thickBot="1" x14ac:dyDescent="0.3">
      <c r="A3058" s="44"/>
      <c r="B3058" s="31" t="str">
        <f>IF(_xll.TM1RPTELISCONSOLIDATED($H$20,$H3058),IF(_xll.TM1RPTELLEV($H$20,$H3058)&lt;=5,_xll.TM1RPTELLEV($H$20,$H3058),"Default"),"Leaf")</f>
        <v>Leaf</v>
      </c>
      <c r="C3058" s="26" t="s">
        <v>25</v>
      </c>
      <c r="D3058" s="24" t="str">
        <f>_xll.DBRW("TM1-S1_DEV:}ElementAttributes_SP_SKU",$F3058,D$1)</f>
        <v>Unassigned PSP</v>
      </c>
      <c r="E3058" s="24" t="str">
        <f>_xll.DBRW("TM1-S1_DEV:}ElementAttributes_SP_SKU",$F3058,E$1)</f>
        <v>DRINKS</v>
      </c>
      <c r="F3058" s="26" t="s">
        <v>517</v>
      </c>
      <c r="G3058" s="26" t="s">
        <v>2537</v>
      </c>
      <c r="H3058" s="26" t="s">
        <v>2920</v>
      </c>
      <c r="I3058" s="54">
        <f>_xll.DBRW($A$1,$F$14,$F$15,$C3058,$A$2,$F3058,$G3058,$H3058,I$1)</f>
        <v>2</v>
      </c>
      <c r="J3058" s="25">
        <f>_xll.DBRW($A$1,$F$14,$F$15,$C3058,$A$2,$F3058,$G3058,$H3058,J$19)</f>
        <v>2</v>
      </c>
    </row>
    <row r="3059" spans="1:10" s="23" customFormat="1" outlineLevel="1" thickBot="1" x14ac:dyDescent="0.3">
      <c r="A3059" s="44"/>
      <c r="B3059" s="31" t="str">
        <f>IF(_xll.TM1RPTELISCONSOLIDATED($H$20,$H3059),IF(_xll.TM1RPTELLEV($H$20,$H3059)&lt;=5,_xll.TM1RPTELLEV($H$20,$H3059),"Default"),"Leaf")</f>
        <v>Leaf</v>
      </c>
      <c r="C3059" s="26" t="s">
        <v>25</v>
      </c>
      <c r="D3059" s="24" t="str">
        <f>_xll.DBRW("TM1-S1_DEV:}ElementAttributes_SP_SKU",$F3059,D$1)</f>
        <v>Secondary</v>
      </c>
      <c r="E3059" s="24" t="str">
        <f>_xll.DBRW("TM1-S1_DEV:}ElementAttributes_SP_SKU",$F3059,E$1)</f>
        <v>DRESSING</v>
      </c>
      <c r="F3059" s="26" t="s">
        <v>518</v>
      </c>
      <c r="G3059" s="26" t="s">
        <v>2538</v>
      </c>
      <c r="H3059" s="26" t="s">
        <v>2720</v>
      </c>
      <c r="I3059" s="54">
        <f>_xll.DBRW($A$1,$F$14,$F$15,$C3059,$A$2,$F3059,$G3059,$H3059,I$1)</f>
        <v>14</v>
      </c>
      <c r="J3059" s="25">
        <f>_xll.DBRW($A$1,$F$14,$F$15,$C3059,$A$2,$F3059,$G3059,$H3059,J$19)</f>
        <v>14</v>
      </c>
    </row>
    <row r="3060" spans="1:10" s="23" customFormat="1" outlineLevel="1" thickBot="1" x14ac:dyDescent="0.3">
      <c r="A3060" s="44"/>
      <c r="B3060" s="31" t="str">
        <f>IF(_xll.TM1RPTELISCONSOLIDATED($H$20,$H3060),IF(_xll.TM1RPTELLEV($H$20,$H3060)&lt;=5,_xll.TM1RPTELLEV($H$20,$H3060),"Default"),"Leaf")</f>
        <v>Leaf</v>
      </c>
      <c r="C3060" s="26" t="s">
        <v>25</v>
      </c>
      <c r="D3060" s="24" t="str">
        <f>_xll.DBRW("TM1-S1_DEV:}ElementAttributes_SP_SKU",$F3060,D$1)</f>
        <v>Secondary</v>
      </c>
      <c r="E3060" s="24" t="str">
        <f>_xll.DBRW("TM1-S1_DEV:}ElementAttributes_SP_SKU",$F3060,E$1)</f>
        <v>CONDIMENT</v>
      </c>
      <c r="F3060" s="26" t="s">
        <v>519</v>
      </c>
      <c r="G3060" s="26" t="s">
        <v>2539</v>
      </c>
      <c r="H3060" s="26" t="s">
        <v>2921</v>
      </c>
      <c r="I3060" s="54">
        <f>_xll.DBRW($A$1,$F$14,$F$15,$C3060,$A$2,$F3060,$G3060,$H3060,I$1)</f>
        <v>11</v>
      </c>
      <c r="J3060" s="25">
        <f>_xll.DBRW($A$1,$F$14,$F$15,$C3060,$A$2,$F3060,$G3060,$H3060,J$19)</f>
        <v>11</v>
      </c>
    </row>
    <row r="3061" spans="1:10" s="23" customFormat="1" outlineLevel="1" thickBot="1" x14ac:dyDescent="0.3">
      <c r="A3061" s="44"/>
      <c r="B3061" s="31" t="str">
        <f>IF(_xll.TM1RPTELISCONSOLIDATED($H$20,$H3061),IF(_xll.TM1RPTELLEV($H$20,$H3061)&lt;=5,_xll.TM1RPTELLEV($H$20,$H3061),"Default"),"Leaf")</f>
        <v>Leaf</v>
      </c>
      <c r="C3061" s="26" t="s">
        <v>25</v>
      </c>
      <c r="D3061" s="24" t="str">
        <f>_xll.DBRW("TM1-S1_DEV:}ElementAttributes_SP_SKU",$F3061,D$1)</f>
        <v>Secondary</v>
      </c>
      <c r="E3061" s="24" t="str">
        <f>_xll.DBRW("TM1-S1_DEV:}ElementAttributes_SP_SKU",$F3061,E$1)</f>
        <v>DRINKS</v>
      </c>
      <c r="F3061" s="26" t="s">
        <v>520</v>
      </c>
      <c r="G3061" s="26" t="s">
        <v>2540</v>
      </c>
      <c r="H3061" s="26" t="s">
        <v>2746</v>
      </c>
      <c r="I3061" s="54">
        <f>_xll.DBRW($A$1,$F$14,$F$15,$C3061,$A$2,$F3061,$G3061,$H3061,I$1)</f>
        <v>5</v>
      </c>
      <c r="J3061" s="25">
        <f>_xll.DBRW($A$1,$F$14,$F$15,$C3061,$A$2,$F3061,$G3061,$H3061,J$19)</f>
        <v>5</v>
      </c>
    </row>
    <row r="3062" spans="1:10" s="23" customFormat="1" outlineLevel="1" thickBot="1" x14ac:dyDescent="0.3">
      <c r="A3062" s="44"/>
      <c r="B3062" s="31" t="str">
        <f>IF(_xll.TM1RPTELISCONSOLIDATED($H$20,$H3062),IF(_xll.TM1RPTELLEV($H$20,$H3062)&lt;=5,_xll.TM1RPTELLEV($H$20,$H3062),"Default"),"Leaf")</f>
        <v>Leaf</v>
      </c>
      <c r="C3062" s="26" t="s">
        <v>25</v>
      </c>
      <c r="D3062" s="24" t="str">
        <f>_xll.DBRW("TM1-S1_DEV:}ElementAttributes_SP_SKU",$F3062,D$1)</f>
        <v>Secondary</v>
      </c>
      <c r="E3062" s="24" t="str">
        <f>_xll.DBRW("TM1-S1_DEV:}ElementAttributes_SP_SKU",$F3062,E$1)</f>
        <v>CLEANING</v>
      </c>
      <c r="F3062" s="26" t="s">
        <v>521</v>
      </c>
      <c r="G3062" s="26" t="s">
        <v>2541</v>
      </c>
      <c r="H3062" s="26" t="s">
        <v>2922</v>
      </c>
      <c r="I3062" s="54">
        <f>_xll.DBRW($A$1,$F$14,$F$15,$C3062,$A$2,$F3062,$G3062,$H3062,I$1)</f>
        <v>7</v>
      </c>
      <c r="J3062" s="25">
        <f>_xll.DBRW($A$1,$F$14,$F$15,$C3062,$A$2,$F3062,$G3062,$H3062,J$19)</f>
        <v>7</v>
      </c>
    </row>
    <row r="3063" spans="1:10" s="23" customFormat="1" outlineLevel="1" thickBot="1" x14ac:dyDescent="0.3">
      <c r="A3063" s="44"/>
      <c r="B3063" s="31" t="str">
        <f>IF(_xll.TM1RPTELISCONSOLIDATED($H$20,$H3063),IF(_xll.TM1RPTELLEV($H$20,$H3063)&lt;=5,_xll.TM1RPTELLEV($H$20,$H3063),"Default"),"Leaf")</f>
        <v>Leaf</v>
      </c>
      <c r="C3063" s="26" t="s">
        <v>25</v>
      </c>
      <c r="D3063" s="24" t="str">
        <f>_xll.DBRW("TM1-S1_DEV:}ElementAttributes_SP_SKU",$F3063,D$1)</f>
        <v>Secondary</v>
      </c>
      <c r="E3063" s="24" t="str">
        <f>_xll.DBRW("TM1-S1_DEV:}ElementAttributes_SP_SKU",$F3063,E$1)</f>
        <v>BAG</v>
      </c>
      <c r="F3063" s="26" t="s">
        <v>522</v>
      </c>
      <c r="G3063" s="26" t="s">
        <v>2542</v>
      </c>
      <c r="H3063" s="26" t="s">
        <v>2923</v>
      </c>
      <c r="I3063" s="54">
        <f>_xll.DBRW($A$1,$F$14,$F$15,$C3063,$A$2,$F3063,$G3063,$H3063,I$1)</f>
        <v>49</v>
      </c>
      <c r="J3063" s="25">
        <f>_xll.DBRW($A$1,$F$14,$F$15,$C3063,$A$2,$F3063,$G3063,$H3063,J$19)</f>
        <v>49</v>
      </c>
    </row>
    <row r="3064" spans="1:10" s="23" customFormat="1" outlineLevel="1" thickBot="1" x14ac:dyDescent="0.3">
      <c r="A3064" s="44"/>
      <c r="B3064" s="31" t="str">
        <f>IF(_xll.TM1RPTELISCONSOLIDATED($H$20,$H3064),IF(_xll.TM1RPTELLEV($H$20,$H3064)&lt;=5,_xll.TM1RPTELLEV($H$20,$H3064),"Default"),"Leaf")</f>
        <v>Leaf</v>
      </c>
      <c r="C3064" s="26" t="s">
        <v>25</v>
      </c>
      <c r="D3064" s="24" t="str">
        <f>_xll.DBRW("TM1-S1_DEV:}ElementAttributes_SP_SKU",$F3064,D$1)</f>
        <v>Secondary</v>
      </c>
      <c r="E3064" s="24" t="str">
        <f>_xll.DBRW("TM1-S1_DEV:}ElementAttributes_SP_SKU",$F3064,E$1)</f>
        <v>SIDES</v>
      </c>
      <c r="F3064" s="26" t="s">
        <v>523</v>
      </c>
      <c r="G3064" s="26" t="s">
        <v>2543</v>
      </c>
      <c r="H3064" s="26" t="s">
        <v>2924</v>
      </c>
      <c r="I3064" s="54">
        <f>_xll.DBRW($A$1,$F$14,$F$15,$C3064,$A$2,$F3064,$G3064,$H3064,I$1)</f>
        <v>5</v>
      </c>
      <c r="J3064" s="25">
        <f>_xll.DBRW($A$1,$F$14,$F$15,$C3064,$A$2,$F3064,$G3064,$H3064,J$19)</f>
        <v>5</v>
      </c>
    </row>
    <row r="3065" spans="1:10" s="23" customFormat="1" outlineLevel="1" thickBot="1" x14ac:dyDescent="0.3">
      <c r="A3065" s="44"/>
      <c r="B3065" s="31" t="str">
        <f>IF(_xll.TM1RPTELISCONSOLIDATED($H$20,$H3065),IF(_xll.TM1RPTELLEV($H$20,$H3065)&lt;=5,_xll.TM1RPTELLEV($H$20,$H3065),"Default"),"Leaf")</f>
        <v>Leaf</v>
      </c>
      <c r="C3065" s="26" t="s">
        <v>25</v>
      </c>
      <c r="D3065" s="24" t="str">
        <f>_xll.DBRW("TM1-S1_DEV:}ElementAttributes_SP_SKU",$F3065,D$1)</f>
        <v>Unassigned PSP</v>
      </c>
      <c r="E3065" s="24" t="str">
        <f>_xll.DBRW("TM1-S1_DEV:}ElementAttributes_SP_SKU",$F3065,E$1)</f>
        <v>DRINKS</v>
      </c>
      <c r="F3065" s="26" t="s">
        <v>524</v>
      </c>
      <c r="G3065" s="26" t="s">
        <v>2544</v>
      </c>
      <c r="H3065" s="26" t="s">
        <v>2920</v>
      </c>
      <c r="I3065" s="54">
        <f>_xll.DBRW($A$1,$F$14,$F$15,$C3065,$A$2,$F3065,$G3065,$H3065,I$1)</f>
        <v>2</v>
      </c>
      <c r="J3065" s="25">
        <f>_xll.DBRW($A$1,$F$14,$F$15,$C3065,$A$2,$F3065,$G3065,$H3065,J$19)</f>
        <v>2</v>
      </c>
    </row>
    <row r="3066" spans="1:10" s="23" customFormat="1" outlineLevel="1" thickBot="1" x14ac:dyDescent="0.3">
      <c r="A3066" s="44"/>
      <c r="B3066" s="31" t="str">
        <f>IF(_xll.TM1RPTELISCONSOLIDATED($H$20,$H3066),IF(_xll.TM1RPTELLEV($H$20,$H3066)&lt;=5,_xll.TM1RPTELLEV($H$20,$H3066),"Default"),"Leaf")</f>
        <v>Leaf</v>
      </c>
      <c r="C3066" s="26" t="s">
        <v>25</v>
      </c>
      <c r="D3066" s="24" t="str">
        <f>_xll.DBRW("TM1-S1_DEV:}ElementAttributes_SP_SKU",$F3066,D$1)</f>
        <v>Secondary</v>
      </c>
      <c r="E3066" s="24" t="str">
        <f>_xll.DBRW("TM1-S1_DEV:}ElementAttributes_SP_SKU",$F3066,E$1)</f>
        <v>FOIL</v>
      </c>
      <c r="F3066" s="26" t="s">
        <v>525</v>
      </c>
      <c r="G3066" s="26" t="s">
        <v>2545</v>
      </c>
      <c r="H3066" s="26" t="s">
        <v>2727</v>
      </c>
      <c r="I3066" s="54">
        <f>_xll.DBRW($A$1,$F$14,$F$15,$C3066,$A$2,$F3066,$G3066,$H3066,I$1)</f>
        <v>194</v>
      </c>
      <c r="J3066" s="25">
        <f>_xll.DBRW($A$1,$F$14,$F$15,$C3066,$A$2,$F3066,$G3066,$H3066,J$19)</f>
        <v>518</v>
      </c>
    </row>
    <row r="3067" spans="1:10" s="23" customFormat="1" outlineLevel="1" thickBot="1" x14ac:dyDescent="0.3">
      <c r="A3067" s="44"/>
      <c r="B3067" s="31" t="str">
        <f>IF(_xll.TM1RPTELISCONSOLIDATED($H$20,$H3067),IF(_xll.TM1RPTELLEV($H$20,$H3067)&lt;=5,_xll.TM1RPTELLEV($H$20,$H3067),"Default"),"Leaf")</f>
        <v>Leaf</v>
      </c>
      <c r="C3067" s="26" t="s">
        <v>25</v>
      </c>
      <c r="D3067" s="24" t="str">
        <f>_xll.DBRW("TM1-S1_DEV:}ElementAttributes_SP_SKU",$F3067,D$1)</f>
        <v>Primary</v>
      </c>
      <c r="E3067" s="24" t="str">
        <f>_xll.DBRW("TM1-S1_DEV:}ElementAttributes_SP_SKU",$F3067,E$1)</f>
        <v>INGREDIENT</v>
      </c>
      <c r="F3067" s="26" t="s">
        <v>3240</v>
      </c>
      <c r="G3067" s="26" t="s">
        <v>2546</v>
      </c>
      <c r="H3067" s="26" t="s">
        <v>2728</v>
      </c>
      <c r="I3067" s="54">
        <f>_xll.DBRW($A$1,$F$14,$F$15,$C3067,$A$2,$F3067,$G3067,$H3067,I$1)</f>
        <v>16</v>
      </c>
      <c r="J3067" s="25">
        <f>_xll.DBRW($A$1,$F$14,$F$15,$C3067,$A$2,$F3067,$G3067,$H3067,J$19)</f>
        <v>13</v>
      </c>
    </row>
    <row r="3068" spans="1:10" s="23" customFormat="1" outlineLevel="1" thickBot="1" x14ac:dyDescent="0.3">
      <c r="A3068" s="44"/>
      <c r="B3068" s="31" t="str">
        <f>IF(_xll.TM1RPTELISCONSOLIDATED($H$20,$H3068),IF(_xll.TM1RPTELLEV($H$20,$H3068)&lt;=5,_xll.TM1RPTELLEV($H$20,$H3068),"Default"),"Leaf")</f>
        <v>Leaf</v>
      </c>
      <c r="C3068" s="26" t="s">
        <v>25</v>
      </c>
      <c r="D3068" s="24" t="str">
        <f>_xll.DBRW("TM1-S1_DEV:}ElementAttributes_SP_SKU",$F3068,D$1)</f>
        <v>Primary</v>
      </c>
      <c r="E3068" s="24" t="str">
        <f>_xll.DBRW("TM1-S1_DEV:}ElementAttributes_SP_SKU",$F3068,E$1)</f>
        <v>INGREDIENT</v>
      </c>
      <c r="F3068" s="26" t="s">
        <v>3241</v>
      </c>
      <c r="G3068" s="26" t="s">
        <v>2547</v>
      </c>
      <c r="H3068" s="26" t="s">
        <v>2729</v>
      </c>
      <c r="I3068" s="54">
        <f>_xll.DBRW($A$1,$F$14,$F$15,$C3068,$A$2,$F3068,$G3068,$H3068,I$1)</f>
        <v>302</v>
      </c>
      <c r="J3068" s="25">
        <f>_xll.DBRW($A$1,$F$14,$F$15,$C3068,$A$2,$F3068,$G3068,$H3068,J$19)</f>
        <v>302</v>
      </c>
    </row>
    <row r="3069" spans="1:10" s="23" customFormat="1" outlineLevel="1" thickBot="1" x14ac:dyDescent="0.3">
      <c r="A3069" s="44"/>
      <c r="B3069" s="31" t="str">
        <f>IF(_xll.TM1RPTELISCONSOLIDATED($H$20,$H3069),IF(_xll.TM1RPTELLEV($H$20,$H3069)&lt;=5,_xll.TM1RPTELLEV($H$20,$H3069),"Default"),"Leaf")</f>
        <v>Leaf</v>
      </c>
      <c r="C3069" s="26" t="s">
        <v>25</v>
      </c>
      <c r="D3069" s="24" t="str">
        <f>_xll.DBRW("TM1-S1_DEV:}ElementAttributes_SP_SKU",$F3069,D$1)</f>
        <v>Primary</v>
      </c>
      <c r="E3069" s="24" t="str">
        <f>_xll.DBRW("TM1-S1_DEV:}ElementAttributes_SP_SKU",$F3069,E$1)</f>
        <v>INGREDIENT</v>
      </c>
      <c r="F3069" s="26" t="s">
        <v>3241</v>
      </c>
      <c r="G3069" s="26" t="s">
        <v>2548</v>
      </c>
      <c r="H3069" s="26" t="s">
        <v>2734</v>
      </c>
      <c r="I3069" s="54">
        <f>_xll.DBRW($A$1,$F$14,$F$15,$C3069,$A$2,$F3069,$G3069,$H3069,I$1)</f>
        <v>119</v>
      </c>
      <c r="J3069" s="25">
        <f>_xll.DBRW($A$1,$F$14,$F$15,$C3069,$A$2,$F3069,$G3069,$H3069,J$19)</f>
        <v>969</v>
      </c>
    </row>
    <row r="3070" spans="1:10" s="23" customFormat="1" outlineLevel="1" thickBot="1" x14ac:dyDescent="0.3">
      <c r="A3070" s="44"/>
      <c r="B3070" s="31" t="str">
        <f>IF(_xll.TM1RPTELISCONSOLIDATED($H$20,$H3070),IF(_xll.TM1RPTELLEV($H$20,$H3070)&lt;=5,_xll.TM1RPTELLEV($H$20,$H3070),"Default"),"Leaf")</f>
        <v>Leaf</v>
      </c>
      <c r="C3070" s="26" t="s">
        <v>25</v>
      </c>
      <c r="D3070" s="24" t="str">
        <f>_xll.DBRW("TM1-S1_DEV:}ElementAttributes_SP_SKU",$F3070,D$1)</f>
        <v>Primary</v>
      </c>
      <c r="E3070" s="24" t="str">
        <f>_xll.DBRW("TM1-S1_DEV:}ElementAttributes_SP_SKU",$F3070,E$1)</f>
        <v>GEL</v>
      </c>
      <c r="F3070" s="26" t="s">
        <v>98</v>
      </c>
      <c r="G3070" s="26" t="s">
        <v>2549</v>
      </c>
      <c r="H3070" s="26" t="s">
        <v>2762</v>
      </c>
      <c r="I3070" s="54">
        <f>_xll.DBRW($A$1,$F$14,$F$15,$C3070,$A$2,$F3070,$G3070,$H3070,I$1)</f>
        <v>1</v>
      </c>
      <c r="J3070" s="25">
        <f>_xll.DBRW($A$1,$F$14,$F$15,$C3070,$A$2,$F3070,$G3070,$H3070,J$19)</f>
        <v>1</v>
      </c>
    </row>
    <row r="3071" spans="1:10" s="23" customFormat="1" outlineLevel="1" thickBot="1" x14ac:dyDescent="0.3">
      <c r="A3071" s="44"/>
      <c r="B3071" s="31" t="str">
        <f>IF(_xll.TM1RPTELISCONSOLIDATED($H$20,$H3071),IF(_xll.TM1RPTELLEV($H$20,$H3071)&lt;=5,_xll.TM1RPTELLEV($H$20,$H3071),"Default"),"Leaf")</f>
        <v>Leaf</v>
      </c>
      <c r="C3071" s="26" t="s">
        <v>25</v>
      </c>
      <c r="D3071" s="24" t="str">
        <f>_xll.DBRW("TM1-S1_DEV:}ElementAttributes_SP_SKU",$F3071,D$1)</f>
        <v>Unassigned PSP</v>
      </c>
      <c r="E3071" s="24" t="str">
        <f>_xll.DBRW("TM1-S1_DEV:}ElementAttributes_SP_SKU",$F3071,E$1)</f>
        <v>PAPER</v>
      </c>
      <c r="F3071" s="26" t="s">
        <v>99</v>
      </c>
      <c r="G3071" s="26" t="s">
        <v>2550</v>
      </c>
      <c r="H3071" s="26" t="s">
        <v>2763</v>
      </c>
      <c r="I3071" s="54">
        <f>_xll.DBRW($A$1,$F$14,$F$15,$C3071,$A$2,$F3071,$G3071,$H3071,I$1)</f>
        <v>11</v>
      </c>
      <c r="J3071" s="25">
        <f>_xll.DBRW($A$1,$F$14,$F$15,$C3071,$A$2,$F3071,$G3071,$H3071,J$19)</f>
        <v>11</v>
      </c>
    </row>
    <row r="3072" spans="1:10" s="23" customFormat="1" outlineLevel="1" thickBot="1" x14ac:dyDescent="0.3">
      <c r="A3072" s="44"/>
      <c r="B3072" s="31" t="str">
        <f>IF(_xll.TM1RPTELISCONSOLIDATED($H$20,$H3072),IF(_xll.TM1RPTELLEV($H$20,$H3072)&lt;=5,_xll.TM1RPTELLEV($H$20,$H3072),"Default"),"Leaf")</f>
        <v>Leaf</v>
      </c>
      <c r="C3072" s="26" t="s">
        <v>25</v>
      </c>
      <c r="D3072" s="24" t="str">
        <f>_xll.DBRW("TM1-S1_DEV:}ElementAttributes_SP_SKU",$F3072,D$1)</f>
        <v>Unassigned PSP</v>
      </c>
      <c r="E3072" s="24" t="str">
        <f>_xll.DBRW("TM1-S1_DEV:}ElementAttributes_SP_SKU",$F3072,E$1)</f>
        <v>INGREDIENT</v>
      </c>
      <c r="F3072" s="26" t="s">
        <v>526</v>
      </c>
      <c r="G3072" s="26" t="s">
        <v>2551</v>
      </c>
      <c r="H3072" s="26" t="s">
        <v>2925</v>
      </c>
      <c r="I3072" s="54">
        <f>_xll.DBRW($A$1,$F$14,$F$15,$C3072,$A$2,$F3072,$G3072,$H3072,I$1)</f>
        <v>6</v>
      </c>
      <c r="J3072" s="25">
        <f>_xll.DBRW($A$1,$F$14,$F$15,$C3072,$A$2,$F3072,$G3072,$H3072,J$19)</f>
        <v>6</v>
      </c>
    </row>
    <row r="3073" spans="1:10" s="23" customFormat="1" outlineLevel="1" thickBot="1" x14ac:dyDescent="0.3">
      <c r="A3073" s="44"/>
      <c r="B3073" s="31" t="str">
        <f>IF(_xll.TM1RPTELISCONSOLIDATED($H$20,$H3073),IF(_xll.TM1RPTELLEV($H$20,$H3073)&lt;=5,_xll.TM1RPTELLEV($H$20,$H3073),"Default"),"Leaf")</f>
        <v>Leaf</v>
      </c>
      <c r="C3073" s="26" t="s">
        <v>25</v>
      </c>
      <c r="D3073" s="24" t="str">
        <f>_xll.DBRW("TM1-S1_DEV:}ElementAttributes_SP_SKU",$F3073,D$1)</f>
        <v>Unassigned PSP</v>
      </c>
      <c r="E3073" s="24" t="str">
        <f>_xll.DBRW("TM1-S1_DEV:}ElementAttributes_SP_SKU",$F3073,E$1)</f>
        <v>PROTEIN</v>
      </c>
      <c r="F3073" s="26" t="s">
        <v>527</v>
      </c>
      <c r="G3073" s="26" t="s">
        <v>2552</v>
      </c>
      <c r="H3073" s="26" t="s">
        <v>2926</v>
      </c>
      <c r="I3073" s="54">
        <f>_xll.DBRW($A$1,$F$14,$F$15,$C3073,$A$2,$F3073,$G3073,$H3073,I$1)</f>
        <v>7</v>
      </c>
      <c r="J3073" s="25">
        <f>_xll.DBRW($A$1,$F$14,$F$15,$C3073,$A$2,$F3073,$G3073,$H3073,J$19)</f>
        <v>7</v>
      </c>
    </row>
    <row r="3074" spans="1:10" s="23" customFormat="1" outlineLevel="1" thickBot="1" x14ac:dyDescent="0.3">
      <c r="A3074" s="44"/>
      <c r="B3074" s="31" t="str">
        <f>IF(_xll.TM1RPTELISCONSOLIDATED($H$20,$H3074),IF(_xll.TM1RPTELLEV($H$20,$H3074)&lt;=5,_xll.TM1RPTELLEV($H$20,$H3074),"Default"),"Leaf")</f>
        <v>Leaf</v>
      </c>
      <c r="C3074" s="26" t="s">
        <v>25</v>
      </c>
      <c r="D3074" s="24" t="str">
        <f>_xll.DBRW("TM1-S1_DEV:}ElementAttributes_SP_SKU",$F3074,D$1)</f>
        <v>Primary</v>
      </c>
      <c r="E3074" s="24" t="str">
        <f>_xll.DBRW("TM1-S1_DEV:}ElementAttributes_SP_SKU",$F3074,E$1)</f>
        <v>INGREDIENT</v>
      </c>
      <c r="F3074" s="26" t="s">
        <v>528</v>
      </c>
      <c r="G3074" s="26" t="s">
        <v>2553</v>
      </c>
      <c r="H3074" s="26" t="s">
        <v>2927</v>
      </c>
      <c r="I3074" s="54">
        <f>_xll.DBRW($A$1,$F$14,$F$15,$C3074,$A$2,$F3074,$G3074,$H3074,I$1)</f>
        <v>44</v>
      </c>
      <c r="J3074" s="25">
        <f>_xll.DBRW($A$1,$F$14,$F$15,$C3074,$A$2,$F3074,$G3074,$H3074,J$19)</f>
        <v>84</v>
      </c>
    </row>
    <row r="3075" spans="1:10" s="23" customFormat="1" outlineLevel="1" thickBot="1" x14ac:dyDescent="0.3">
      <c r="A3075" s="44"/>
      <c r="B3075" s="31" t="str">
        <f>IF(_xll.TM1RPTELISCONSOLIDATED($H$20,$H3075),IF(_xll.TM1RPTELLEV($H$20,$H3075)&lt;=5,_xll.TM1RPTELLEV($H$20,$H3075),"Default"),"Leaf")</f>
        <v>Leaf</v>
      </c>
      <c r="C3075" s="26" t="s">
        <v>25</v>
      </c>
      <c r="D3075" s="24" t="str">
        <f>_xll.DBRW("TM1-S1_DEV:}ElementAttributes_SP_SKU",$F3075,D$1)</f>
        <v>Primary</v>
      </c>
      <c r="E3075" s="24" t="str">
        <f>_xll.DBRW("TM1-S1_DEV:}ElementAttributes_SP_SKU",$F3075,E$1)</f>
        <v>SIDES</v>
      </c>
      <c r="F3075" s="26" t="s">
        <v>529</v>
      </c>
      <c r="G3075" s="26" t="s">
        <v>2554</v>
      </c>
      <c r="H3075" s="26" t="s">
        <v>2732</v>
      </c>
      <c r="I3075" s="54">
        <f>_xll.DBRW($A$1,$F$14,$F$15,$C3075,$A$2,$F3075,$G3075,$H3075,I$1)</f>
        <v>1</v>
      </c>
      <c r="J3075" s="25">
        <f>_xll.DBRW($A$1,$F$14,$F$15,$C3075,$A$2,$F3075,$G3075,$H3075,J$19)</f>
        <v>1</v>
      </c>
    </row>
    <row r="3076" spans="1:10" s="23" customFormat="1" outlineLevel="1" thickBot="1" x14ac:dyDescent="0.3">
      <c r="A3076" s="44"/>
      <c r="B3076" s="31" t="str">
        <f>IF(_xll.TM1RPTELISCONSOLIDATED($H$20,$H3076),IF(_xll.TM1RPTELLEV($H$20,$H3076)&lt;=5,_xll.TM1RPTELLEV($H$20,$H3076),"Default"),"Leaf")</f>
        <v>Leaf</v>
      </c>
      <c r="C3076" s="26" t="s">
        <v>25</v>
      </c>
      <c r="D3076" s="24" t="str">
        <f>_xll.DBRW("TM1-S1_DEV:}ElementAttributes_SP_SKU",$F3076,D$1)</f>
        <v>Primary</v>
      </c>
      <c r="E3076" s="24" t="str">
        <f>_xll.DBRW("TM1-S1_DEV:}ElementAttributes_SP_SKU",$F3076,E$1)</f>
        <v>INGREDIENT</v>
      </c>
      <c r="F3076" s="26" t="s">
        <v>530</v>
      </c>
      <c r="G3076" s="26" t="s">
        <v>2555</v>
      </c>
      <c r="H3076" s="26" t="s">
        <v>2928</v>
      </c>
      <c r="I3076" s="54">
        <f>_xll.DBRW($A$1,$F$14,$F$15,$C3076,$A$2,$F3076,$G3076,$H3076,I$1)</f>
        <v>3</v>
      </c>
      <c r="J3076" s="25">
        <f>_xll.DBRW($A$1,$F$14,$F$15,$C3076,$A$2,$F3076,$G3076,$H3076,J$19)</f>
        <v>3</v>
      </c>
    </row>
    <row r="3077" spans="1:10" s="23" customFormat="1" outlineLevel="1" thickBot="1" x14ac:dyDescent="0.3">
      <c r="A3077" s="44"/>
      <c r="B3077" s="31" t="str">
        <f>IF(_xll.TM1RPTELISCONSOLIDATED($H$20,$H3077),IF(_xll.TM1RPTELLEV($H$20,$H3077)&lt;=5,_xll.TM1RPTELLEV($H$20,$H3077),"Default"),"Leaf")</f>
        <v>Leaf</v>
      </c>
      <c r="C3077" s="26" t="s">
        <v>25</v>
      </c>
      <c r="D3077" s="24" t="str">
        <f>_xll.DBRW("TM1-S1_DEV:}ElementAttributes_SP_SKU",$F3077,D$1)</f>
        <v>Primary</v>
      </c>
      <c r="E3077" s="24" t="str">
        <f>_xll.DBRW("TM1-S1_DEV:}ElementAttributes_SP_SKU",$F3077,E$1)</f>
        <v>INGREDIENT</v>
      </c>
      <c r="F3077" s="26" t="s">
        <v>532</v>
      </c>
      <c r="G3077" s="26" t="s">
        <v>2557</v>
      </c>
      <c r="H3077" s="26" t="s">
        <v>2710</v>
      </c>
      <c r="I3077" s="54">
        <f>_xll.DBRW($A$1,$F$14,$F$15,$C3077,$A$2,$F3077,$G3077,$H3077,I$1)</f>
        <v>2</v>
      </c>
      <c r="J3077" s="25">
        <f>_xll.DBRW($A$1,$F$14,$F$15,$C3077,$A$2,$F3077,$G3077,$H3077,J$19)</f>
        <v>2</v>
      </c>
    </row>
    <row r="3078" spans="1:10" s="23" customFormat="1" outlineLevel="1" thickBot="1" x14ac:dyDescent="0.3">
      <c r="A3078" s="44"/>
      <c r="B3078" s="31" t="str">
        <f>IF(_xll.TM1RPTELISCONSOLIDATED($H$20,$H3078),IF(_xll.TM1RPTELLEV($H$20,$H3078)&lt;=5,_xll.TM1RPTELLEV($H$20,$H3078),"Default"),"Leaf")</f>
        <v>Leaf</v>
      </c>
      <c r="C3078" s="26" t="s">
        <v>25</v>
      </c>
      <c r="D3078" s="24" t="str">
        <f>_xll.DBRW("TM1-S1_DEV:}ElementAttributes_SP_SKU",$F3078,D$1)</f>
        <v>Primary</v>
      </c>
      <c r="E3078" s="24" t="str">
        <f>_xll.DBRW("TM1-S1_DEV:}ElementAttributes_SP_SKU",$F3078,E$1)</f>
        <v>CHEESE</v>
      </c>
      <c r="F3078" s="26" t="s">
        <v>533</v>
      </c>
      <c r="G3078" s="26" t="s">
        <v>2558</v>
      </c>
      <c r="H3078" s="26" t="s">
        <v>2734</v>
      </c>
      <c r="I3078" s="54">
        <f>_xll.DBRW($A$1,$F$14,$F$15,$C3078,$A$2,$F3078,$G3078,$H3078,I$1)</f>
        <v>8</v>
      </c>
      <c r="J3078" s="25">
        <f>_xll.DBRW($A$1,$F$14,$F$15,$C3078,$A$2,$F3078,$G3078,$H3078,J$19)</f>
        <v>8</v>
      </c>
    </row>
    <row r="3079" spans="1:10" s="23" customFormat="1" outlineLevel="1" thickBot="1" x14ac:dyDescent="0.3">
      <c r="A3079" s="44"/>
      <c r="B3079" s="31" t="str">
        <f>IF(_xll.TM1RPTELISCONSOLIDATED($H$20,$H3079),IF(_xll.TM1RPTELLEV($H$20,$H3079)&lt;=5,_xll.TM1RPTELLEV($H$20,$H3079),"Default"),"Leaf")</f>
        <v>Leaf</v>
      </c>
      <c r="C3079" s="26" t="s">
        <v>25</v>
      </c>
      <c r="D3079" s="24" t="str">
        <f>_xll.DBRW("TM1-S1_DEV:}ElementAttributes_SP_SKU",$F3079,D$1)</f>
        <v>Primary</v>
      </c>
      <c r="E3079" s="24" t="str">
        <f>_xll.DBRW("TM1-S1_DEV:}ElementAttributes_SP_SKU",$F3079,E$1)</f>
        <v>CLEANING</v>
      </c>
      <c r="F3079" s="26" t="s">
        <v>534</v>
      </c>
      <c r="G3079" s="26" t="s">
        <v>2559</v>
      </c>
      <c r="H3079" s="26" t="s">
        <v>2820</v>
      </c>
      <c r="I3079" s="54">
        <f>_xll.DBRW($A$1,$F$14,$F$15,$C3079,$A$2,$F3079,$G3079,$H3079,I$1)</f>
        <v>1</v>
      </c>
      <c r="J3079" s="25">
        <f>_xll.DBRW($A$1,$F$14,$F$15,$C3079,$A$2,$F3079,$G3079,$H3079,J$19)</f>
        <v>1</v>
      </c>
    </row>
    <row r="3080" spans="1:10" s="23" customFormat="1" outlineLevel="1" thickBot="1" x14ac:dyDescent="0.3">
      <c r="A3080" s="44"/>
      <c r="B3080" s="31" t="str">
        <f>IF(_xll.TM1RPTELISCONSOLIDATED($H$20,$H3080),IF(_xll.TM1RPTELLEV($H$20,$H3080)&lt;=5,_xll.TM1RPTELLEV($H$20,$H3080),"Default"),"Leaf")</f>
        <v>Leaf</v>
      </c>
      <c r="C3080" s="26" t="s">
        <v>25</v>
      </c>
      <c r="D3080" s="24" t="str">
        <f>_xll.DBRW("TM1-S1_DEV:}ElementAttributes_SP_SKU",$F3080,D$1)</f>
        <v>Primary</v>
      </c>
      <c r="E3080" s="24" t="str">
        <f>_xll.DBRW("TM1-S1_DEV:}ElementAttributes_SP_SKU",$F3080,E$1)</f>
        <v>INGREDIENT</v>
      </c>
      <c r="F3080" s="26" t="s">
        <v>535</v>
      </c>
      <c r="G3080" s="26" t="s">
        <v>2560</v>
      </c>
      <c r="H3080" s="26" t="s">
        <v>2685</v>
      </c>
      <c r="I3080" s="54">
        <f>_xll.DBRW($A$1,$F$14,$F$15,$C3080,$A$2,$F3080,$G3080,$H3080,I$1)</f>
        <v>8</v>
      </c>
      <c r="J3080" s="25">
        <f>_xll.DBRW($A$1,$F$14,$F$15,$C3080,$A$2,$F3080,$G3080,$H3080,J$19)</f>
        <v>8</v>
      </c>
    </row>
    <row r="3081" spans="1:10" s="23" customFormat="1" outlineLevel="1" thickBot="1" x14ac:dyDescent="0.3">
      <c r="A3081" s="44"/>
      <c r="B3081" s="31" t="str">
        <f>IF(_xll.TM1RPTELISCONSOLIDATED($H$20,$H3081),IF(_xll.TM1RPTELLEV($H$20,$H3081)&lt;=5,_xll.TM1RPTELLEV($H$20,$H3081),"Default"),"Leaf")</f>
        <v>Leaf</v>
      </c>
      <c r="C3081" s="26" t="s">
        <v>25</v>
      </c>
      <c r="D3081" s="24" t="str">
        <f>_xll.DBRW("TM1-S1_DEV:}ElementAttributes_SP_SKU",$F3081,D$1)</f>
        <v>Primary</v>
      </c>
      <c r="E3081" s="24" t="str">
        <f>_xll.DBRW("TM1-S1_DEV:}ElementAttributes_SP_SKU",$F3081,E$1)</f>
        <v>INGREDIENT</v>
      </c>
      <c r="F3081" s="26" t="s">
        <v>536</v>
      </c>
      <c r="G3081" s="26" t="s">
        <v>2561</v>
      </c>
      <c r="H3081" s="26" t="s">
        <v>2867</v>
      </c>
      <c r="I3081" s="54">
        <f>_xll.DBRW($A$1,$F$14,$F$15,$C3081,$A$2,$F3081,$G3081,$H3081,I$1)</f>
        <v>5</v>
      </c>
      <c r="J3081" s="25">
        <f>_xll.DBRW($A$1,$F$14,$F$15,$C3081,$A$2,$F3081,$G3081,$H3081,J$19)</f>
        <v>5</v>
      </c>
    </row>
    <row r="3082" spans="1:10" s="23" customFormat="1" outlineLevel="1" thickBot="1" x14ac:dyDescent="0.3">
      <c r="A3082" s="44"/>
      <c r="B3082" s="31" t="str">
        <f>IF(_xll.TM1RPTELISCONSOLIDATED($H$20,$H3082),IF(_xll.TM1RPTELLEV($H$20,$H3082)&lt;=5,_xll.TM1RPTELLEV($H$20,$H3082),"Default"),"Leaf")</f>
        <v>Leaf</v>
      </c>
      <c r="C3082" s="26" t="s">
        <v>25</v>
      </c>
      <c r="D3082" s="24" t="str">
        <f>_xll.DBRW("TM1-S1_DEV:}ElementAttributes_SP_SKU",$F3082,D$1)</f>
        <v>Primary</v>
      </c>
      <c r="E3082" s="24" t="str">
        <f>_xll.DBRW("TM1-S1_DEV:}ElementAttributes_SP_SKU",$F3082,E$1)</f>
        <v>SIDES</v>
      </c>
      <c r="F3082" s="26" t="s">
        <v>537</v>
      </c>
      <c r="G3082" s="26" t="s">
        <v>2562</v>
      </c>
      <c r="H3082" s="26" t="s">
        <v>2698</v>
      </c>
      <c r="I3082" s="54">
        <f>_xll.DBRW($A$1,$F$14,$F$15,$C3082,$A$2,$F3082,$G3082,$H3082,I$1)</f>
        <v>6</v>
      </c>
      <c r="J3082" s="25">
        <f>_xll.DBRW($A$1,$F$14,$F$15,$C3082,$A$2,$F3082,$G3082,$H3082,J$19)</f>
        <v>6</v>
      </c>
    </row>
    <row r="3083" spans="1:10" s="23" customFormat="1" outlineLevel="1" thickBot="1" x14ac:dyDescent="0.3">
      <c r="A3083" s="44"/>
      <c r="B3083" s="31" t="str">
        <f>IF(_xll.TM1RPTELISCONSOLIDATED($H$20,$H3083),IF(_xll.TM1RPTELLEV($H$20,$H3083)&lt;=5,_xll.TM1RPTELLEV($H$20,$H3083),"Default"),"Leaf")</f>
        <v>Leaf</v>
      </c>
      <c r="C3083" s="26" t="s">
        <v>25</v>
      </c>
      <c r="D3083" s="24" t="str">
        <f>_xll.DBRW("TM1-S1_DEV:}ElementAttributes_SP_SKU",$F3083,D$1)</f>
        <v>Unassigned PSP</v>
      </c>
      <c r="E3083" s="24" t="str">
        <f>_xll.DBRW("TM1-S1_DEV:}ElementAttributes_SP_SKU",$F3083,E$1)</f>
        <v>SIDES</v>
      </c>
      <c r="F3083" s="26" t="s">
        <v>538</v>
      </c>
      <c r="G3083" s="26" t="s">
        <v>2543</v>
      </c>
      <c r="H3083" s="26" t="s">
        <v>2734</v>
      </c>
      <c r="I3083" s="54">
        <f>_xll.DBRW($A$1,$F$14,$F$15,$C3083,$A$2,$F3083,$G3083,$H3083,I$1)</f>
        <v>5</v>
      </c>
      <c r="J3083" s="25">
        <f>_xll.DBRW($A$1,$F$14,$F$15,$C3083,$A$2,$F3083,$G3083,$H3083,J$19)</f>
        <v>5</v>
      </c>
    </row>
    <row r="3084" spans="1:10" s="23" customFormat="1" outlineLevel="1" thickBot="1" x14ac:dyDescent="0.3">
      <c r="A3084" s="44"/>
      <c r="B3084" s="31" t="str">
        <f>IF(_xll.TM1RPTELISCONSOLIDATED($H$20,$H3084),IF(_xll.TM1RPTELLEV($H$20,$H3084)&lt;=5,_xll.TM1RPTELLEV($H$20,$H3084),"Default"),"Leaf")</f>
        <v>Leaf</v>
      </c>
      <c r="C3084" s="26" t="s">
        <v>25</v>
      </c>
      <c r="D3084" s="24" t="str">
        <f>_xll.DBRW("TM1-S1_DEV:}ElementAttributes_SP_SKU",$F3084,D$1)</f>
        <v>Unassigned PSP</v>
      </c>
      <c r="E3084" s="24" t="str">
        <f>_xll.DBRW("TM1-S1_DEV:}ElementAttributes_SP_SKU",$F3084,E$1)</f>
        <v>INGREDIENT</v>
      </c>
      <c r="F3084" s="26" t="s">
        <v>539</v>
      </c>
      <c r="G3084" s="26" t="s">
        <v>2563</v>
      </c>
      <c r="H3084" s="26" t="s">
        <v>2734</v>
      </c>
      <c r="I3084" s="54">
        <f>_xll.DBRW($A$1,$F$14,$F$15,$C3084,$A$2,$F3084,$G3084,$H3084,I$1)</f>
        <v>21</v>
      </c>
      <c r="J3084" s="25">
        <f>_xll.DBRW($A$1,$F$14,$F$15,$C3084,$A$2,$F3084,$G3084,$H3084,J$19)</f>
        <v>21</v>
      </c>
    </row>
    <row r="3085" spans="1:10" s="23" customFormat="1" outlineLevel="1" thickBot="1" x14ac:dyDescent="0.3">
      <c r="A3085" s="44"/>
      <c r="B3085" s="31" t="str">
        <f>IF(_xll.TM1RPTELISCONSOLIDATED($H$20,$H3085),IF(_xll.TM1RPTELLEV($H$20,$H3085)&lt;=5,_xll.TM1RPTELLEV($H$20,$H3085),"Default"),"Leaf")</f>
        <v>Leaf</v>
      </c>
      <c r="C3085" s="26" t="s">
        <v>25</v>
      </c>
      <c r="D3085" s="24" t="str">
        <f>_xll.DBRW("TM1-S1_DEV:}ElementAttributes_SP_SKU",$F3085,D$1)</f>
        <v>Unassigned PSP</v>
      </c>
      <c r="E3085" s="24" t="str">
        <f>_xll.DBRW("TM1-S1_DEV:}ElementAttributes_SP_SKU",$F3085,E$1)</f>
        <v>INGREDIENT</v>
      </c>
      <c r="F3085" s="26" t="s">
        <v>540</v>
      </c>
      <c r="G3085" s="26" t="s">
        <v>2530</v>
      </c>
      <c r="H3085" s="26" t="s">
        <v>2929</v>
      </c>
      <c r="I3085" s="54">
        <f>_xll.DBRW($A$1,$F$14,$F$15,$C3085,$A$2,$F3085,$G3085,$H3085,I$1)</f>
        <v>15</v>
      </c>
      <c r="J3085" s="25">
        <f>_xll.DBRW($A$1,$F$14,$F$15,$C3085,$A$2,$F3085,$G3085,$H3085,J$19)</f>
        <v>15</v>
      </c>
    </row>
    <row r="3086" spans="1:10" s="23" customFormat="1" outlineLevel="1" thickBot="1" x14ac:dyDescent="0.3">
      <c r="A3086" s="44"/>
      <c r="B3086" s="31" t="str">
        <f>IF(_xll.TM1RPTELISCONSOLIDATED($H$20,$H3086),IF(_xll.TM1RPTELLEV($H$20,$H3086)&lt;=5,_xll.TM1RPTELLEV($H$20,$H3086),"Default"),"Leaf")</f>
        <v>Leaf</v>
      </c>
      <c r="C3086" s="26" t="s">
        <v>25</v>
      </c>
      <c r="D3086" s="24" t="str">
        <f>_xll.DBRW("TM1-S1_DEV:}ElementAttributes_SP_SKU",$F3086,D$1)</f>
        <v>Unassigned PSP</v>
      </c>
      <c r="E3086" s="24" t="str">
        <f>_xll.DBRW("TM1-S1_DEV:}ElementAttributes_SP_SKU",$F3086,E$1)</f>
        <v>SIDES</v>
      </c>
      <c r="F3086" s="26" t="s">
        <v>541</v>
      </c>
      <c r="G3086" s="26" t="s">
        <v>2543</v>
      </c>
      <c r="H3086" s="26" t="s">
        <v>2930</v>
      </c>
      <c r="I3086" s="54">
        <f>_xll.DBRW($A$1,$F$14,$F$15,$C3086,$A$2,$F3086,$G3086,$H3086,I$1)</f>
        <v>5</v>
      </c>
      <c r="J3086" s="25">
        <f>_xll.DBRW($A$1,$F$14,$F$15,$C3086,$A$2,$F3086,$G3086,$H3086,J$19)</f>
        <v>5</v>
      </c>
    </row>
    <row r="3087" spans="1:10" s="23" customFormat="1" outlineLevel="1" thickBot="1" x14ac:dyDescent="0.3">
      <c r="A3087" s="44"/>
      <c r="B3087" s="31" t="str">
        <f>IF(_xll.TM1RPTELISCONSOLIDATED($H$20,$H3087),IF(_xll.TM1RPTELLEV($H$20,$H3087)&lt;=5,_xll.TM1RPTELLEV($H$20,$H3087),"Default"),"Leaf")</f>
        <v>Leaf</v>
      </c>
      <c r="C3087" s="26" t="s">
        <v>25</v>
      </c>
      <c r="D3087" s="24" t="str">
        <f>_xll.DBRW("TM1-S1_DEV:}ElementAttributes_SP_SKU",$F3087,D$1)</f>
        <v>Primary</v>
      </c>
      <c r="E3087" s="24" t="str">
        <f>_xll.DBRW("TM1-S1_DEV:}ElementAttributes_SP_SKU",$F3087,E$1)</f>
        <v>CONTAINER</v>
      </c>
      <c r="F3087" s="26" t="s">
        <v>3242</v>
      </c>
      <c r="G3087" s="26" t="s">
        <v>2564</v>
      </c>
      <c r="H3087" s="26" t="s">
        <v>2708</v>
      </c>
      <c r="I3087" s="54">
        <f>_xll.DBRW($A$1,$F$14,$F$15,$C3087,$A$2,$F3087,$G3087,$H3087,I$1)</f>
        <v>21</v>
      </c>
      <c r="J3087" s="25">
        <f>_xll.DBRW($A$1,$F$14,$F$15,$C3087,$A$2,$F3087,$G3087,$H3087,J$19)</f>
        <v>15</v>
      </c>
    </row>
    <row r="3088" spans="1:10" s="23" customFormat="1" outlineLevel="1" thickBot="1" x14ac:dyDescent="0.3">
      <c r="A3088" s="44"/>
      <c r="B3088" s="31" t="str">
        <f>IF(_xll.TM1RPTELISCONSOLIDATED($H$20,$H3088),IF(_xll.TM1RPTELLEV($H$20,$H3088)&lt;=5,_xll.TM1RPTELLEV($H$20,$H3088),"Default"),"Leaf")</f>
        <v>Leaf</v>
      </c>
      <c r="C3088" s="26" t="s">
        <v>25</v>
      </c>
      <c r="D3088" s="24" t="str">
        <f>_xll.DBRW("TM1-S1_DEV:}ElementAttributes_SP_SKU",$F3088,D$1)</f>
        <v>Primary</v>
      </c>
      <c r="E3088" s="24" t="str">
        <f>_xll.DBRW("TM1-S1_DEV:}ElementAttributes_SP_SKU",$F3088,E$1)</f>
        <v>PAPER</v>
      </c>
      <c r="F3088" s="26" t="s">
        <v>3243</v>
      </c>
      <c r="G3088" s="26" t="s">
        <v>2565</v>
      </c>
      <c r="H3088" s="26" t="s">
        <v>2730</v>
      </c>
      <c r="I3088" s="54">
        <f>_xll.DBRW($A$1,$F$14,$F$15,$C3088,$A$2,$F3088,$G3088,$H3088,I$1)</f>
        <v>0</v>
      </c>
      <c r="J3088" s="25">
        <f>_xll.DBRW($A$1,$F$14,$F$15,$C3088,$A$2,$F3088,$G3088,$H3088,J$19)</f>
        <v>-1</v>
      </c>
    </row>
    <row r="3089" spans="1:10" s="23" customFormat="1" outlineLevel="1" thickBot="1" x14ac:dyDescent="0.3">
      <c r="A3089" s="44"/>
      <c r="B3089" s="31" t="str">
        <f>IF(_xll.TM1RPTELISCONSOLIDATED($H$20,$H3089),IF(_xll.TM1RPTELLEV($H$20,$H3089)&lt;=5,_xll.TM1RPTELLEV($H$20,$H3089),"Default"),"Leaf")</f>
        <v>Leaf</v>
      </c>
      <c r="C3089" s="26" t="s">
        <v>25</v>
      </c>
      <c r="D3089" s="24" t="str">
        <f>_xll.DBRW("TM1-S1_DEV:}ElementAttributes_SP_SKU",$F3089,D$1)</f>
        <v>Primary</v>
      </c>
      <c r="E3089" s="24" t="str">
        <f>_xll.DBRW("TM1-S1_DEV:}ElementAttributes_SP_SKU",$F3089,E$1)</f>
        <v>PROTEIN</v>
      </c>
      <c r="F3089" s="26" t="s">
        <v>3244</v>
      </c>
      <c r="G3089" s="26" t="s">
        <v>2566</v>
      </c>
      <c r="H3089" s="26" t="s">
        <v>2670</v>
      </c>
      <c r="I3089" s="54">
        <f>_xll.DBRW($A$1,$F$14,$F$15,$C3089,$A$2,$F3089,$G3089,$H3089,I$1)</f>
        <v>16</v>
      </c>
      <c r="J3089" s="25">
        <f>_xll.DBRW($A$1,$F$14,$F$15,$C3089,$A$2,$F3089,$G3089,$H3089,J$19)</f>
        <v>11</v>
      </c>
    </row>
    <row r="3090" spans="1:10" s="23" customFormat="1" outlineLevel="1" thickBot="1" x14ac:dyDescent="0.3">
      <c r="A3090" s="44"/>
      <c r="B3090" s="31" t="str">
        <f>IF(_xll.TM1RPTELISCONSOLIDATED($H$20,$H3090),IF(_xll.TM1RPTELLEV($H$20,$H3090)&lt;=5,_xll.TM1RPTELLEV($H$20,$H3090),"Default"),"Leaf")</f>
        <v>Leaf</v>
      </c>
      <c r="C3090" s="26" t="s">
        <v>25</v>
      </c>
      <c r="D3090" s="24" t="str">
        <f>_xll.DBRW("TM1-S1_DEV:}ElementAttributes_SP_SKU",$F3090,D$1)</f>
        <v>Primary</v>
      </c>
      <c r="E3090" s="24" t="str">
        <f>_xll.DBRW("TM1-S1_DEV:}ElementAttributes_SP_SKU",$F3090,E$1)</f>
        <v>PAD</v>
      </c>
      <c r="F3090" s="26" t="s">
        <v>3245</v>
      </c>
      <c r="G3090" s="26" t="s">
        <v>2567</v>
      </c>
      <c r="H3090" s="26" t="s">
        <v>2731</v>
      </c>
      <c r="I3090" s="54">
        <f>_xll.DBRW($A$1,$F$14,$F$15,$C3090,$A$2,$F3090,$G3090,$H3090,I$1)</f>
        <v>29</v>
      </c>
      <c r="J3090" s="25">
        <f>_xll.DBRW($A$1,$F$14,$F$15,$C3090,$A$2,$F3090,$G3090,$H3090,J$19)</f>
        <v>23</v>
      </c>
    </row>
    <row r="3091" spans="1:10" s="23" customFormat="1" outlineLevel="1" thickBot="1" x14ac:dyDescent="0.3">
      <c r="A3091" s="44"/>
      <c r="B3091" s="31" t="str">
        <f>IF(_xll.TM1RPTELISCONSOLIDATED($H$20,$H3091),IF(_xll.TM1RPTELLEV($H$20,$H3091)&lt;=5,_xll.TM1RPTELLEV($H$20,$H3091),"Default"),"Leaf")</f>
        <v>Leaf</v>
      </c>
      <c r="C3091" s="26" t="s">
        <v>26</v>
      </c>
      <c r="D3091" s="24" t="str">
        <f>_xll.DBRW("TM1-S1_DEV:}ElementAttributes_SP_SKU",$F3091,D$1)</f>
        <v>Primary</v>
      </c>
      <c r="E3091" s="24" t="str">
        <f>_xll.DBRW("TM1-S1_DEV:}ElementAttributes_SP_SKU",$F3091,E$1)</f>
        <v>HAM</v>
      </c>
      <c r="F3091" s="26" t="s">
        <v>3246</v>
      </c>
      <c r="G3091" s="26" t="s">
        <v>2382</v>
      </c>
      <c r="H3091" s="26" t="s">
        <v>2673</v>
      </c>
      <c r="I3091" s="54">
        <f>_xll.DBRW($A$1,$F$14,$F$15,$C3091,$A$2,$F3091,$G3091,$H3091,I$1)</f>
        <v>389</v>
      </c>
      <c r="J3091" s="25">
        <f>_xll.DBRW($A$1,$F$14,$F$15,$C3091,$A$2,$F3091,$G3091,$H3091,J$19)</f>
        <v>2</v>
      </c>
    </row>
    <row r="3092" spans="1:10" s="23" customFormat="1" outlineLevel="1" thickBot="1" x14ac:dyDescent="0.3">
      <c r="A3092" s="44"/>
      <c r="B3092" s="31" t="str">
        <f>IF(_xll.TM1RPTELISCONSOLIDATED($H$20,$H3092),IF(_xll.TM1RPTELLEV($H$20,$H3092)&lt;=5,_xll.TM1RPTELLEV($H$20,$H3092),"Default"),"Leaf")</f>
        <v>Leaf</v>
      </c>
      <c r="C3092" s="26" t="s">
        <v>26</v>
      </c>
      <c r="D3092" s="24" t="str">
        <f>_xll.DBRW("TM1-S1_DEV:}ElementAttributes_SP_SKU",$F3092,D$1)</f>
        <v>Primary</v>
      </c>
      <c r="E3092" s="24" t="str">
        <f>_xll.DBRW("TM1-S1_DEV:}ElementAttributes_SP_SKU",$F3092,E$1)</f>
        <v>HAM</v>
      </c>
      <c r="F3092" s="26" t="s">
        <v>3247</v>
      </c>
      <c r="G3092" s="26" t="s">
        <v>2383</v>
      </c>
      <c r="H3092" s="26" t="s">
        <v>2673</v>
      </c>
      <c r="I3092" s="54">
        <f>_xll.DBRW($A$1,$F$14,$F$15,$C3092,$A$2,$F3092,$G3092,$H3092,I$1)</f>
        <v>413</v>
      </c>
      <c r="J3092" s="25">
        <f>_xll.DBRW($A$1,$F$14,$F$15,$C3092,$A$2,$F3092,$G3092,$H3092,J$19)</f>
        <v>2</v>
      </c>
    </row>
    <row r="3093" spans="1:10" s="23" customFormat="1" outlineLevel="1" thickBot="1" x14ac:dyDescent="0.3">
      <c r="A3093" s="44"/>
      <c r="B3093" s="31" t="str">
        <f>IF(_xll.TM1RPTELISCONSOLIDATED($H$20,$H3093),IF(_xll.TM1RPTELLEV($H$20,$H3093)&lt;=5,_xll.TM1RPTELLEV($H$20,$H3093),"Default"),"Leaf")</f>
        <v>Leaf</v>
      </c>
      <c r="C3093" s="26" t="s">
        <v>26</v>
      </c>
      <c r="D3093" s="24" t="str">
        <f>_xll.DBRW("TM1-S1_DEV:}ElementAttributes_SP_SKU",$F3093,D$1)</f>
        <v>Primary</v>
      </c>
      <c r="E3093" s="24" t="str">
        <f>_xll.DBRW("TM1-S1_DEV:}ElementAttributes_SP_SKU",$F3093,E$1)</f>
        <v>HAM</v>
      </c>
      <c r="F3093" s="26" t="s">
        <v>3248</v>
      </c>
      <c r="G3093" s="26" t="s">
        <v>2384</v>
      </c>
      <c r="H3093" s="26" t="s">
        <v>2673</v>
      </c>
      <c r="I3093" s="54">
        <f>_xll.DBRW($A$1,$F$14,$F$15,$C3093,$A$2,$F3093,$G3093,$H3093,I$1)</f>
        <v>337</v>
      </c>
      <c r="J3093" s="25">
        <f>_xll.DBRW($A$1,$F$14,$F$15,$C3093,$A$2,$F3093,$G3093,$H3093,J$19)</f>
        <v>2</v>
      </c>
    </row>
    <row r="3094" spans="1:10" s="23" customFormat="1" outlineLevel="1" thickBot="1" x14ac:dyDescent="0.3">
      <c r="A3094" s="44"/>
      <c r="B3094" s="31" t="str">
        <f>IF(_xll.TM1RPTELISCONSOLIDATED($H$20,$H3094),IF(_xll.TM1RPTELLEV($H$20,$H3094)&lt;=5,_xll.TM1RPTELLEV($H$20,$H3094),"Default"),"Leaf")</f>
        <v>Leaf</v>
      </c>
      <c r="C3094" s="26" t="s">
        <v>26</v>
      </c>
      <c r="D3094" s="24" t="str">
        <f>_xll.DBRW("TM1-S1_DEV:}ElementAttributes_SP_SKU",$F3094,D$1)</f>
        <v>Primary</v>
      </c>
      <c r="E3094" s="24" t="str">
        <f>_xll.DBRW("TM1-S1_DEV:}ElementAttributes_SP_SKU",$F3094,E$1)</f>
        <v>HAM</v>
      </c>
      <c r="F3094" s="26" t="s">
        <v>3249</v>
      </c>
      <c r="G3094" s="26" t="s">
        <v>2385</v>
      </c>
      <c r="H3094" s="26" t="s">
        <v>2673</v>
      </c>
      <c r="I3094" s="54">
        <f>_xll.DBRW($A$1,$F$14,$F$15,$C3094,$A$2,$F3094,$G3094,$H3094,I$1)</f>
        <v>137</v>
      </c>
      <c r="J3094" s="25">
        <f>_xll.DBRW($A$1,$F$14,$F$15,$C3094,$A$2,$F3094,$G3094,$H3094,J$19)</f>
        <v>0</v>
      </c>
    </row>
    <row r="3095" spans="1:10" s="23" customFormat="1" outlineLevel="1" thickBot="1" x14ac:dyDescent="0.3">
      <c r="A3095" s="44"/>
      <c r="B3095" s="31" t="str">
        <f>IF(_xll.TM1RPTELISCONSOLIDATED($H$20,$H3095),IF(_xll.TM1RPTELLEV($H$20,$H3095)&lt;=5,_xll.TM1RPTELLEV($H$20,$H3095),"Default"),"Leaf")</f>
        <v>Leaf</v>
      </c>
      <c r="C3095" s="26" t="s">
        <v>26</v>
      </c>
      <c r="D3095" s="24" t="str">
        <f>_xll.DBRW("TM1-S1_DEV:}ElementAttributes_SP_SKU",$F3095,D$1)</f>
        <v>Primary</v>
      </c>
      <c r="E3095" s="24" t="str">
        <f>_xll.DBRW("TM1-S1_DEV:}ElementAttributes_SP_SKU",$F3095,E$1)</f>
        <v>HAM</v>
      </c>
      <c r="F3095" s="26" t="s">
        <v>3250</v>
      </c>
      <c r="G3095" s="26" t="s">
        <v>2386</v>
      </c>
      <c r="H3095" s="26" t="s">
        <v>2673</v>
      </c>
      <c r="I3095" s="54">
        <f>_xll.DBRW($A$1,$F$14,$F$15,$C3095,$A$2,$F3095,$G3095,$H3095,I$1)</f>
        <v>100</v>
      </c>
      <c r="J3095" s="25">
        <f>_xll.DBRW($A$1,$F$14,$F$15,$C3095,$A$2,$F3095,$G3095,$H3095,J$19)</f>
        <v>0</v>
      </c>
    </row>
    <row r="3096" spans="1:10" s="23" customFormat="1" outlineLevel="1" thickBot="1" x14ac:dyDescent="0.3">
      <c r="A3096" s="44"/>
      <c r="B3096" s="31" t="str">
        <f>IF(_xll.TM1RPTELISCONSOLIDATED($H$20,$H3096),IF(_xll.TM1RPTELLEV($H$20,$H3096)&lt;=5,_xll.TM1RPTELLEV($H$20,$H3096),"Default"),"Leaf")</f>
        <v>Leaf</v>
      </c>
      <c r="C3096" s="26" t="s">
        <v>26</v>
      </c>
      <c r="D3096" s="24" t="str">
        <f>_xll.DBRW("TM1-S1_DEV:}ElementAttributes_SP_SKU",$F3096,D$1)</f>
        <v>Primary</v>
      </c>
      <c r="E3096" s="24" t="str">
        <f>_xll.DBRW("TM1-S1_DEV:}ElementAttributes_SP_SKU",$F3096,E$1)</f>
        <v>HAM</v>
      </c>
      <c r="F3096" s="26" t="s">
        <v>3251</v>
      </c>
      <c r="G3096" s="26" t="s">
        <v>2387</v>
      </c>
      <c r="H3096" s="26" t="s">
        <v>2673</v>
      </c>
      <c r="I3096" s="54">
        <f>_xll.DBRW($A$1,$F$14,$F$15,$C3096,$A$2,$F3096,$G3096,$H3096,I$1)</f>
        <v>281</v>
      </c>
      <c r="J3096" s="25">
        <f>_xll.DBRW($A$1,$F$14,$F$15,$C3096,$A$2,$F3096,$G3096,$H3096,J$19)</f>
        <v>2</v>
      </c>
    </row>
    <row r="3097" spans="1:10" s="23" customFormat="1" outlineLevel="1" thickBot="1" x14ac:dyDescent="0.3">
      <c r="A3097" s="44"/>
      <c r="B3097" s="31" t="str">
        <f>IF(_xll.TM1RPTELISCONSOLIDATED($H$20,$H3097),IF(_xll.TM1RPTELLEV($H$20,$H3097)&lt;=5,_xll.TM1RPTELLEV($H$20,$H3097),"Default"),"Leaf")</f>
        <v>Leaf</v>
      </c>
      <c r="C3097" s="26" t="s">
        <v>26</v>
      </c>
      <c r="D3097" s="24" t="str">
        <f>_xll.DBRW("TM1-S1_DEV:}ElementAttributes_SP_SKU",$F3097,D$1)</f>
        <v>Primary</v>
      </c>
      <c r="E3097" s="24" t="str">
        <f>_xll.DBRW("TM1-S1_DEV:}ElementAttributes_SP_SKU",$F3097,E$1)</f>
        <v>TURKEY</v>
      </c>
      <c r="F3097" s="26" t="s">
        <v>3110</v>
      </c>
      <c r="G3097" s="26" t="s">
        <v>2390</v>
      </c>
      <c r="H3097" s="26" t="s">
        <v>2671</v>
      </c>
      <c r="I3097" s="54">
        <f>_xll.DBRW($A$1,$F$14,$F$15,$C3097,$A$2,$F3097,$G3097,$H3097,I$1)</f>
        <v>108</v>
      </c>
      <c r="J3097" s="25">
        <f>_xll.DBRW($A$1,$F$14,$F$15,$C3097,$A$2,$F3097,$G3097,$H3097,J$19)</f>
        <v>-5</v>
      </c>
    </row>
    <row r="3098" spans="1:10" s="23" customFormat="1" outlineLevel="1" thickBot="1" x14ac:dyDescent="0.3">
      <c r="A3098" s="44"/>
      <c r="B3098" s="31" t="str">
        <f>IF(_xll.TM1RPTELISCONSOLIDATED($H$20,$H3098),IF(_xll.TM1RPTELLEV($H$20,$H3098)&lt;=5,_xll.TM1RPTELLEV($H$20,$H3098),"Default"),"Leaf")</f>
        <v>Leaf</v>
      </c>
      <c r="C3098" s="26" t="s">
        <v>26</v>
      </c>
      <c r="D3098" s="24" t="str">
        <f>_xll.DBRW("TM1-S1_DEV:}ElementAttributes_SP_SKU",$F3098,D$1)</f>
        <v>Primary</v>
      </c>
      <c r="E3098" s="24" t="str">
        <f>_xll.DBRW("TM1-S1_DEV:}ElementAttributes_SP_SKU",$F3098,E$1)</f>
        <v>TURKEY</v>
      </c>
      <c r="F3098" s="26" t="s">
        <v>3111</v>
      </c>
      <c r="G3098" s="26" t="s">
        <v>2391</v>
      </c>
      <c r="H3098" s="26" t="s">
        <v>2671</v>
      </c>
      <c r="I3098" s="54">
        <f>_xll.DBRW($A$1,$F$14,$F$15,$C3098,$A$2,$F3098,$G3098,$H3098,I$1)</f>
        <v>97</v>
      </c>
      <c r="J3098" s="25">
        <f>_xll.DBRW($A$1,$F$14,$F$15,$C3098,$A$2,$F3098,$G3098,$H3098,J$19)</f>
        <v>38</v>
      </c>
    </row>
    <row r="3099" spans="1:10" s="23" customFormat="1" outlineLevel="1" thickBot="1" x14ac:dyDescent="0.3">
      <c r="A3099" s="44"/>
      <c r="B3099" s="31" t="str">
        <f>IF(_xll.TM1RPTELISCONSOLIDATED($H$20,$H3099),IF(_xll.TM1RPTELLEV($H$20,$H3099)&lt;=5,_xll.TM1RPTELLEV($H$20,$H3099),"Default"),"Leaf")</f>
        <v>Leaf</v>
      </c>
      <c r="C3099" s="26" t="s">
        <v>26</v>
      </c>
      <c r="D3099" s="24" t="str">
        <f>_xll.DBRW("TM1-S1_DEV:}ElementAttributes_SP_SKU",$F3099,D$1)</f>
        <v>Primary</v>
      </c>
      <c r="E3099" s="24" t="str">
        <f>_xll.DBRW("TM1-S1_DEV:}ElementAttributes_SP_SKU",$F3099,E$1)</f>
        <v>PROTEIN</v>
      </c>
      <c r="F3099" s="26" t="s">
        <v>3112</v>
      </c>
      <c r="G3099" s="26" t="s">
        <v>2392</v>
      </c>
      <c r="H3099" s="26" t="s">
        <v>2672</v>
      </c>
      <c r="I3099" s="54">
        <f>_xll.DBRW($A$1,$F$14,$F$15,$C3099,$A$2,$F3099,$G3099,$H3099,I$1)</f>
        <v>30</v>
      </c>
      <c r="J3099" s="25">
        <f>_xll.DBRW($A$1,$F$14,$F$15,$C3099,$A$2,$F3099,$G3099,$H3099,J$19)</f>
        <v>17</v>
      </c>
    </row>
    <row r="3100" spans="1:10" s="23" customFormat="1" outlineLevel="1" thickBot="1" x14ac:dyDescent="0.3">
      <c r="A3100" s="44"/>
      <c r="B3100" s="31" t="str">
        <f>IF(_xll.TM1RPTELISCONSOLIDATED($H$20,$H3100),IF(_xll.TM1RPTELLEV($H$20,$H3100)&lt;=5,_xll.TM1RPTELLEV($H$20,$H3100),"Default"),"Leaf")</f>
        <v>Leaf</v>
      </c>
      <c r="C3100" s="26" t="s">
        <v>26</v>
      </c>
      <c r="D3100" s="24" t="str">
        <f>_xll.DBRW("TM1-S1_DEV:}ElementAttributes_SP_SKU",$F3100,D$1)</f>
        <v>Primary</v>
      </c>
      <c r="E3100" s="24" t="str">
        <f>_xll.DBRW("TM1-S1_DEV:}ElementAttributes_SP_SKU",$F3100,E$1)</f>
        <v>PROTEIN</v>
      </c>
      <c r="F3100" s="26" t="s">
        <v>3114</v>
      </c>
      <c r="G3100" s="26" t="s">
        <v>2394</v>
      </c>
      <c r="H3100" s="26" t="s">
        <v>2672</v>
      </c>
      <c r="I3100" s="54">
        <f>_xll.DBRW($A$1,$F$14,$F$15,$C3100,$A$2,$F3100,$G3100,$H3100,I$1)</f>
        <v>33</v>
      </c>
      <c r="J3100" s="25">
        <f>_xll.DBRW($A$1,$F$14,$F$15,$C3100,$A$2,$F3100,$G3100,$H3100,J$19)</f>
        <v>15</v>
      </c>
    </row>
    <row r="3101" spans="1:10" s="23" customFormat="1" outlineLevel="1" thickBot="1" x14ac:dyDescent="0.3">
      <c r="A3101" s="44"/>
      <c r="B3101" s="31" t="str">
        <f>IF(_xll.TM1RPTELISCONSOLIDATED($H$20,$H3101),IF(_xll.TM1RPTELLEV($H$20,$H3101)&lt;=5,_xll.TM1RPTELLEV($H$20,$H3101),"Default"),"Leaf")</f>
        <v>Leaf</v>
      </c>
      <c r="C3101" s="26" t="s">
        <v>26</v>
      </c>
      <c r="D3101" s="24" t="str">
        <f>_xll.DBRW("TM1-S1_DEV:}ElementAttributes_SP_SKU",$F3101,D$1)</f>
        <v>Primary</v>
      </c>
      <c r="E3101" s="24" t="str">
        <f>_xll.DBRW("TM1-S1_DEV:}ElementAttributes_SP_SKU",$F3101,E$1)</f>
        <v>PROTEIN</v>
      </c>
      <c r="F3101" s="26" t="s">
        <v>3115</v>
      </c>
      <c r="G3101" s="26" t="s">
        <v>2395</v>
      </c>
      <c r="H3101" s="26" t="s">
        <v>2672</v>
      </c>
      <c r="I3101" s="54">
        <f>_xll.DBRW($A$1,$F$14,$F$15,$C3101,$A$2,$F3101,$G3101,$H3101,I$1)</f>
        <v>15</v>
      </c>
      <c r="J3101" s="25">
        <f>_xll.DBRW($A$1,$F$14,$F$15,$C3101,$A$2,$F3101,$G3101,$H3101,J$19)</f>
        <v>9</v>
      </c>
    </row>
    <row r="3102" spans="1:10" s="23" customFormat="1" outlineLevel="1" thickBot="1" x14ac:dyDescent="0.3">
      <c r="A3102" s="44"/>
      <c r="B3102" s="31" t="str">
        <f>IF(_xll.TM1RPTELISCONSOLIDATED($H$20,$H3102),IF(_xll.TM1RPTELLEV($H$20,$H3102)&lt;=5,_xll.TM1RPTELLEV($H$20,$H3102),"Default"),"Leaf")</f>
        <v>Leaf</v>
      </c>
      <c r="C3102" s="26" t="s">
        <v>26</v>
      </c>
      <c r="D3102" s="24" t="str">
        <f>_xll.DBRW("TM1-S1_DEV:}ElementAttributes_SP_SKU",$F3102,D$1)</f>
        <v>Primary</v>
      </c>
      <c r="E3102" s="24" t="str">
        <f>_xll.DBRW("TM1-S1_DEV:}ElementAttributes_SP_SKU",$F3102,E$1)</f>
        <v>SOUP</v>
      </c>
      <c r="F3102" s="26" t="s">
        <v>3116</v>
      </c>
      <c r="G3102" s="26" t="s">
        <v>2396</v>
      </c>
      <c r="H3102" s="26" t="s">
        <v>2674</v>
      </c>
      <c r="I3102" s="54">
        <f>_xll.DBRW($A$1,$F$14,$F$15,$C3102,$A$2,$F3102,$G3102,$H3102,I$1)</f>
        <v>8</v>
      </c>
      <c r="J3102" s="25">
        <f>_xll.DBRW($A$1,$F$14,$F$15,$C3102,$A$2,$F3102,$G3102,$H3102,J$19)</f>
        <v>7</v>
      </c>
    </row>
    <row r="3103" spans="1:10" s="23" customFormat="1" outlineLevel="1" thickBot="1" x14ac:dyDescent="0.3">
      <c r="A3103" s="44"/>
      <c r="B3103" s="31" t="str">
        <f>IF(_xll.TM1RPTELISCONSOLIDATED($H$20,$H3103),IF(_xll.TM1RPTELLEV($H$20,$H3103)&lt;=5,_xll.TM1RPTELLEV($H$20,$H3103),"Default"),"Leaf")</f>
        <v>Leaf</v>
      </c>
      <c r="C3103" s="26" t="s">
        <v>26</v>
      </c>
      <c r="D3103" s="24" t="str">
        <f>_xll.DBRW("TM1-S1_DEV:}ElementAttributes_SP_SKU",$F3103,D$1)</f>
        <v>Primary</v>
      </c>
      <c r="E3103" s="24" t="str">
        <f>_xll.DBRW("TM1-S1_DEV:}ElementAttributes_SP_SKU",$F3103,E$1)</f>
        <v>SOUP</v>
      </c>
      <c r="F3103" s="26" t="s">
        <v>3117</v>
      </c>
      <c r="G3103" s="26" t="s">
        <v>2397</v>
      </c>
      <c r="H3103" s="26" t="s">
        <v>2674</v>
      </c>
      <c r="I3103" s="54">
        <f>_xll.DBRW($A$1,$F$14,$F$15,$C3103,$A$2,$F3103,$G3103,$H3103,I$1)</f>
        <v>7</v>
      </c>
      <c r="J3103" s="25">
        <f>_xll.DBRW($A$1,$F$14,$F$15,$C3103,$A$2,$F3103,$G3103,$H3103,J$19)</f>
        <v>6</v>
      </c>
    </row>
    <row r="3104" spans="1:10" s="23" customFormat="1" outlineLevel="1" thickBot="1" x14ac:dyDescent="0.3">
      <c r="A3104" s="44"/>
      <c r="B3104" s="31" t="str">
        <f>IF(_xll.TM1RPTELISCONSOLIDATED($H$20,$H3104),IF(_xll.TM1RPTELLEV($H$20,$H3104)&lt;=5,_xll.TM1RPTELLEV($H$20,$H3104),"Default"),"Leaf")</f>
        <v>Leaf</v>
      </c>
      <c r="C3104" s="26" t="s">
        <v>26</v>
      </c>
      <c r="D3104" s="24" t="str">
        <f>_xll.DBRW("TM1-S1_DEV:}ElementAttributes_SP_SKU",$F3104,D$1)</f>
        <v>Primary</v>
      </c>
      <c r="E3104" s="24" t="str">
        <f>_xll.DBRW("TM1-S1_DEV:}ElementAttributes_SP_SKU",$F3104,E$1)</f>
        <v>SOUP</v>
      </c>
      <c r="F3104" s="26" t="s">
        <v>3118</v>
      </c>
      <c r="G3104" s="26" t="s">
        <v>2398</v>
      </c>
      <c r="H3104" s="26" t="s">
        <v>2674</v>
      </c>
      <c r="I3104" s="54">
        <f>_xll.DBRW($A$1,$F$14,$F$15,$C3104,$A$2,$F3104,$G3104,$H3104,I$1)</f>
        <v>8</v>
      </c>
      <c r="J3104" s="25">
        <f>_xll.DBRW($A$1,$F$14,$F$15,$C3104,$A$2,$F3104,$G3104,$H3104,J$19)</f>
        <v>7</v>
      </c>
    </row>
    <row r="3105" spans="1:10" s="23" customFormat="1" outlineLevel="1" thickBot="1" x14ac:dyDescent="0.3">
      <c r="A3105" s="44"/>
      <c r="B3105" s="31" t="str">
        <f>IF(_xll.TM1RPTELISCONSOLIDATED($H$20,$H3105),IF(_xll.TM1RPTELLEV($H$20,$H3105)&lt;=5,_xll.TM1RPTELLEV($H$20,$H3105),"Default"),"Leaf")</f>
        <v>Leaf</v>
      </c>
      <c r="C3105" s="26" t="s">
        <v>26</v>
      </c>
      <c r="D3105" s="24" t="str">
        <f>_xll.DBRW("TM1-S1_DEV:}ElementAttributes_SP_SKU",$F3105,D$1)</f>
        <v>Primary</v>
      </c>
      <c r="E3105" s="24" t="str">
        <f>_xll.DBRW("TM1-S1_DEV:}ElementAttributes_SP_SKU",$F3105,E$1)</f>
        <v>PROTEIN</v>
      </c>
      <c r="F3105" s="26" t="s">
        <v>3119</v>
      </c>
      <c r="G3105" s="26" t="s">
        <v>2568</v>
      </c>
      <c r="H3105" s="26" t="s">
        <v>2670</v>
      </c>
      <c r="I3105" s="54">
        <f>_xll.DBRW($A$1,$F$14,$F$15,$C3105,$A$2,$F3105,$G3105,$H3105,I$1)</f>
        <v>4</v>
      </c>
      <c r="J3105" s="25">
        <f>_xll.DBRW($A$1,$F$14,$F$15,$C3105,$A$2,$F3105,$G3105,$H3105,J$19)</f>
        <v>3</v>
      </c>
    </row>
    <row r="3106" spans="1:10" s="23" customFormat="1" outlineLevel="1" thickBot="1" x14ac:dyDescent="0.3">
      <c r="A3106" s="44"/>
      <c r="B3106" s="31" t="str">
        <f>IF(_xll.TM1RPTELISCONSOLIDATED($H$20,$H3106),IF(_xll.TM1RPTELLEV($H$20,$H3106)&lt;=5,_xll.TM1RPTELLEV($H$20,$H3106),"Default"),"Leaf")</f>
        <v>Leaf</v>
      </c>
      <c r="C3106" s="26" t="s">
        <v>26</v>
      </c>
      <c r="D3106" s="24" t="str">
        <f>_xll.DBRW("TM1-S1_DEV:}ElementAttributes_SP_SKU",$F3106,D$1)</f>
        <v>Primary</v>
      </c>
      <c r="E3106" s="24" t="str">
        <f>_xll.DBRW("TM1-S1_DEV:}ElementAttributes_SP_SKU",$F3106,E$1)</f>
        <v>PROTEIN</v>
      </c>
      <c r="F3106" s="26" t="s">
        <v>3120</v>
      </c>
      <c r="G3106" s="26" t="s">
        <v>2569</v>
      </c>
      <c r="H3106" s="26" t="s">
        <v>2670</v>
      </c>
      <c r="I3106" s="54">
        <f>_xll.DBRW($A$1,$F$14,$F$15,$C3106,$A$2,$F3106,$G3106,$H3106,I$1)</f>
        <v>5</v>
      </c>
      <c r="J3106" s="25">
        <f>_xll.DBRW($A$1,$F$14,$F$15,$C3106,$A$2,$F3106,$G3106,$H3106,J$19)</f>
        <v>5</v>
      </c>
    </row>
    <row r="3107" spans="1:10" s="23" customFormat="1" outlineLevel="1" thickBot="1" x14ac:dyDescent="0.3">
      <c r="A3107" s="44"/>
      <c r="B3107" s="31" t="str">
        <f>IF(_xll.TM1RPTELISCONSOLIDATED($H$20,$H3107),IF(_xll.TM1RPTELLEV($H$20,$H3107)&lt;=5,_xll.TM1RPTELLEV($H$20,$H3107),"Default"),"Leaf")</f>
        <v>Leaf</v>
      </c>
      <c r="C3107" s="26" t="s">
        <v>26</v>
      </c>
      <c r="D3107" s="24" t="str">
        <f>_xll.DBRW("TM1-S1_DEV:}ElementAttributes_SP_SKU",$F3107,D$1)</f>
        <v>Primary</v>
      </c>
      <c r="E3107" s="24" t="str">
        <f>_xll.DBRW("TM1-S1_DEV:}ElementAttributes_SP_SKU",$F3107,E$1)</f>
        <v>SOUP</v>
      </c>
      <c r="F3107" s="26" t="s">
        <v>3121</v>
      </c>
      <c r="G3107" s="26" t="s">
        <v>2570</v>
      </c>
      <c r="H3107" s="26" t="s">
        <v>2675</v>
      </c>
      <c r="I3107" s="54">
        <f>_xll.DBRW($A$1,$F$14,$F$15,$C3107,$A$2,$F3107,$G3107,$H3107,I$1)</f>
        <v>3</v>
      </c>
      <c r="J3107" s="25">
        <f>_xll.DBRW($A$1,$F$14,$F$15,$C3107,$A$2,$F3107,$G3107,$H3107,J$19)</f>
        <v>2</v>
      </c>
    </row>
    <row r="3108" spans="1:10" s="23" customFormat="1" outlineLevel="1" thickBot="1" x14ac:dyDescent="0.3">
      <c r="A3108" s="44"/>
      <c r="B3108" s="31" t="str">
        <f>IF(_xll.TM1RPTELISCONSOLIDATED($H$20,$H3108),IF(_xll.TM1RPTELLEV($H$20,$H3108)&lt;=5,_xll.TM1RPTELLEV($H$20,$H3108),"Default"),"Leaf")</f>
        <v>Leaf</v>
      </c>
      <c r="C3108" s="26" t="s">
        <v>26</v>
      </c>
      <c r="D3108" s="24" t="str">
        <f>_xll.DBRW("TM1-S1_DEV:}ElementAttributes_SP_SKU",$F3108,D$1)</f>
        <v>Primary</v>
      </c>
      <c r="E3108" s="24" t="str">
        <f>_xll.DBRW("TM1-S1_DEV:}ElementAttributes_SP_SKU",$F3108,E$1)</f>
        <v>SOUP</v>
      </c>
      <c r="F3108" s="26" t="s">
        <v>3122</v>
      </c>
      <c r="G3108" s="26" t="s">
        <v>2571</v>
      </c>
      <c r="H3108" s="26" t="s">
        <v>2675</v>
      </c>
      <c r="I3108" s="54">
        <f>_xll.DBRW($A$1,$F$14,$F$15,$C3108,$A$2,$F3108,$G3108,$H3108,I$1)</f>
        <v>3</v>
      </c>
      <c r="J3108" s="25">
        <f>_xll.DBRW($A$1,$F$14,$F$15,$C3108,$A$2,$F3108,$G3108,$H3108,J$19)</f>
        <v>2</v>
      </c>
    </row>
    <row r="3109" spans="1:10" s="23" customFormat="1" outlineLevel="1" thickBot="1" x14ac:dyDescent="0.3">
      <c r="A3109" s="44"/>
      <c r="B3109" s="31" t="str">
        <f>IF(_xll.TM1RPTELISCONSOLIDATED($H$20,$H3109),IF(_xll.TM1RPTELLEV($H$20,$H3109)&lt;=5,_xll.TM1RPTELLEV($H$20,$H3109),"Default"),"Leaf")</f>
        <v>Leaf</v>
      </c>
      <c r="C3109" s="26" t="s">
        <v>26</v>
      </c>
      <c r="D3109" s="24" t="str">
        <f>_xll.DBRW("TM1-S1_DEV:}ElementAttributes_SP_SKU",$F3109,D$1)</f>
        <v>Primary</v>
      </c>
      <c r="E3109" s="24" t="str">
        <f>_xll.DBRW("TM1-S1_DEV:}ElementAttributes_SP_SKU",$F3109,E$1)</f>
        <v>SIDES</v>
      </c>
      <c r="F3109" s="26" t="s">
        <v>3123</v>
      </c>
      <c r="G3109" s="26" t="s">
        <v>2399</v>
      </c>
      <c r="H3109" s="26" t="s">
        <v>2676</v>
      </c>
      <c r="I3109" s="54">
        <f>_xll.DBRW($A$1,$F$14,$F$15,$C3109,$A$2,$F3109,$G3109,$H3109,I$1)</f>
        <v>43</v>
      </c>
      <c r="J3109" s="25">
        <f>_xll.DBRW($A$1,$F$14,$F$15,$C3109,$A$2,$F3109,$G3109,$H3109,J$19)</f>
        <v>28</v>
      </c>
    </row>
    <row r="3110" spans="1:10" s="23" customFormat="1" outlineLevel="1" thickBot="1" x14ac:dyDescent="0.3">
      <c r="A3110" s="44"/>
      <c r="B3110" s="31" t="str">
        <f>IF(_xll.TM1RPTELISCONSOLIDATED($H$20,$H3110),IF(_xll.TM1RPTELLEV($H$20,$H3110)&lt;=5,_xll.TM1RPTELLEV($H$20,$H3110),"Default"),"Leaf")</f>
        <v>Leaf</v>
      </c>
      <c r="C3110" s="26" t="s">
        <v>26</v>
      </c>
      <c r="D3110" s="24" t="str">
        <f>_xll.DBRW("TM1-S1_DEV:}ElementAttributes_SP_SKU",$F3110,D$1)</f>
        <v>Primary</v>
      </c>
      <c r="E3110" s="24" t="str">
        <f>_xll.DBRW("TM1-S1_DEV:}ElementAttributes_SP_SKU",$F3110,E$1)</f>
        <v>SIDES</v>
      </c>
      <c r="F3110" s="26" t="s">
        <v>3124</v>
      </c>
      <c r="G3110" s="26" t="s">
        <v>2400</v>
      </c>
      <c r="H3110" s="26" t="s">
        <v>2676</v>
      </c>
      <c r="I3110" s="54">
        <f>_xll.DBRW($A$1,$F$14,$F$15,$C3110,$A$2,$F3110,$G3110,$H3110,I$1)</f>
        <v>47</v>
      </c>
      <c r="J3110" s="25">
        <f>_xll.DBRW($A$1,$F$14,$F$15,$C3110,$A$2,$F3110,$G3110,$H3110,J$19)</f>
        <v>28</v>
      </c>
    </row>
    <row r="3111" spans="1:10" s="23" customFormat="1" outlineLevel="1" thickBot="1" x14ac:dyDescent="0.3">
      <c r="A3111" s="44"/>
      <c r="B3111" s="31" t="str">
        <f>IF(_xll.TM1RPTELISCONSOLIDATED($H$20,$H3111),IF(_xll.TM1RPTELLEV($H$20,$H3111)&lt;=5,_xll.TM1RPTELLEV($H$20,$H3111),"Default"),"Leaf")</f>
        <v>Leaf</v>
      </c>
      <c r="C3111" s="26" t="s">
        <v>26</v>
      </c>
      <c r="D3111" s="24" t="str">
        <f>_xll.DBRW("TM1-S1_DEV:}ElementAttributes_SP_SKU",$F3111,D$1)</f>
        <v>Primary</v>
      </c>
      <c r="E3111" s="24" t="str">
        <f>_xll.DBRW("TM1-S1_DEV:}ElementAttributes_SP_SKU",$F3111,E$1)</f>
        <v>SIDES</v>
      </c>
      <c r="F3111" s="26" t="s">
        <v>3125</v>
      </c>
      <c r="G3111" s="26" t="s">
        <v>2401</v>
      </c>
      <c r="H3111" s="26" t="s">
        <v>2676</v>
      </c>
      <c r="I3111" s="54">
        <f>_xll.DBRW($A$1,$F$14,$F$15,$C3111,$A$2,$F3111,$G3111,$H3111,I$1)</f>
        <v>38</v>
      </c>
      <c r="J3111" s="25">
        <f>_xll.DBRW($A$1,$F$14,$F$15,$C3111,$A$2,$F3111,$G3111,$H3111,J$19)</f>
        <v>24</v>
      </c>
    </row>
    <row r="3112" spans="1:10" s="23" customFormat="1" outlineLevel="1" thickBot="1" x14ac:dyDescent="0.3">
      <c r="A3112" s="44"/>
      <c r="B3112" s="31" t="str">
        <f>IF(_xll.TM1RPTELISCONSOLIDATED($H$20,$H3112),IF(_xll.TM1RPTELLEV($H$20,$H3112)&lt;=5,_xll.TM1RPTELLEV($H$20,$H3112),"Default"),"Leaf")</f>
        <v>Leaf</v>
      </c>
      <c r="C3112" s="26" t="s">
        <v>26</v>
      </c>
      <c r="D3112" s="24" t="str">
        <f>_xll.DBRW("TM1-S1_DEV:}ElementAttributes_SP_SKU",$F3112,D$1)</f>
        <v>Primary</v>
      </c>
      <c r="E3112" s="24" t="str">
        <f>_xll.DBRW("TM1-S1_DEV:}ElementAttributes_SP_SKU",$F3112,E$1)</f>
        <v>SIDES</v>
      </c>
      <c r="F3112" s="26" t="s">
        <v>3126</v>
      </c>
      <c r="G3112" s="26" t="s">
        <v>2402</v>
      </c>
      <c r="H3112" s="26" t="s">
        <v>2676</v>
      </c>
      <c r="I3112" s="54">
        <f>_xll.DBRW($A$1,$F$14,$F$15,$C3112,$A$2,$F3112,$G3112,$H3112,I$1)</f>
        <v>58</v>
      </c>
      <c r="J3112" s="25">
        <f>_xll.DBRW($A$1,$F$14,$F$15,$C3112,$A$2,$F3112,$G3112,$H3112,J$19)</f>
        <v>57</v>
      </c>
    </row>
    <row r="3113" spans="1:10" s="23" customFormat="1" outlineLevel="1" thickBot="1" x14ac:dyDescent="0.3">
      <c r="A3113" s="44"/>
      <c r="B3113" s="31" t="str">
        <f>IF(_xll.TM1RPTELISCONSOLIDATED($H$20,$H3113),IF(_xll.TM1RPTELLEV($H$20,$H3113)&lt;=5,_xll.TM1RPTELLEV($H$20,$H3113),"Default"),"Leaf")</f>
        <v>Leaf</v>
      </c>
      <c r="C3113" s="26" t="s">
        <v>26</v>
      </c>
      <c r="D3113" s="24" t="str">
        <f>_xll.DBRW("TM1-S1_DEV:}ElementAttributes_SP_SKU",$F3113,D$1)</f>
        <v>Primary</v>
      </c>
      <c r="E3113" s="24" t="str">
        <f>_xll.DBRW("TM1-S1_DEV:}ElementAttributes_SP_SKU",$F3113,E$1)</f>
        <v>SIDES</v>
      </c>
      <c r="F3113" s="26" t="s">
        <v>3127</v>
      </c>
      <c r="G3113" s="26" t="s">
        <v>2403</v>
      </c>
      <c r="H3113" s="26" t="s">
        <v>2676</v>
      </c>
      <c r="I3113" s="54">
        <f>_xll.DBRW($A$1,$F$14,$F$15,$C3113,$A$2,$F3113,$G3113,$H3113,I$1)</f>
        <v>54</v>
      </c>
      <c r="J3113" s="25">
        <f>_xll.DBRW($A$1,$F$14,$F$15,$C3113,$A$2,$F3113,$G3113,$H3113,J$19)</f>
        <v>23</v>
      </c>
    </row>
    <row r="3114" spans="1:10" s="23" customFormat="1" outlineLevel="1" thickBot="1" x14ac:dyDescent="0.3">
      <c r="A3114" s="44"/>
      <c r="B3114" s="31" t="str">
        <f>IF(_xll.TM1RPTELISCONSOLIDATED($H$20,$H3114),IF(_xll.TM1RPTELLEV($H$20,$H3114)&lt;=5,_xll.TM1RPTELLEV($H$20,$H3114),"Default"),"Leaf")</f>
        <v>Leaf</v>
      </c>
      <c r="C3114" s="26" t="s">
        <v>26</v>
      </c>
      <c r="D3114" s="24" t="str">
        <f>_xll.DBRW("TM1-S1_DEV:}ElementAttributes_SP_SKU",$F3114,D$1)</f>
        <v>Primary</v>
      </c>
      <c r="E3114" s="24" t="str">
        <f>_xll.DBRW("TM1-S1_DEV:}ElementAttributes_SP_SKU",$F3114,E$1)</f>
        <v>SIDES</v>
      </c>
      <c r="F3114" s="26" t="s">
        <v>3128</v>
      </c>
      <c r="G3114" s="26" t="s">
        <v>2404</v>
      </c>
      <c r="H3114" s="26" t="s">
        <v>2676</v>
      </c>
      <c r="I3114" s="54">
        <f>_xll.DBRW($A$1,$F$14,$F$15,$C3114,$A$2,$F3114,$G3114,$H3114,I$1)</f>
        <v>53</v>
      </c>
      <c r="J3114" s="25">
        <f>_xll.DBRW($A$1,$F$14,$F$15,$C3114,$A$2,$F3114,$G3114,$H3114,J$19)</f>
        <v>11</v>
      </c>
    </row>
    <row r="3115" spans="1:10" s="23" customFormat="1" outlineLevel="1" thickBot="1" x14ac:dyDescent="0.3">
      <c r="A3115" s="44"/>
      <c r="B3115" s="31" t="str">
        <f>IF(_xll.TM1RPTELISCONSOLIDATED($H$20,$H3115),IF(_xll.TM1RPTELLEV($H$20,$H3115)&lt;=5,_xll.TM1RPTELLEV($H$20,$H3115),"Default"),"Leaf")</f>
        <v>Leaf</v>
      </c>
      <c r="C3115" s="26" t="s">
        <v>26</v>
      </c>
      <c r="D3115" s="24" t="str">
        <f>_xll.DBRW("TM1-S1_DEV:}ElementAttributes_SP_SKU",$F3115,D$1)</f>
        <v>Primary</v>
      </c>
      <c r="E3115" s="24" t="str">
        <f>_xll.DBRW("TM1-S1_DEV:}ElementAttributes_SP_SKU",$F3115,E$1)</f>
        <v>SIDES</v>
      </c>
      <c r="F3115" s="26" t="s">
        <v>3129</v>
      </c>
      <c r="G3115" s="26" t="s">
        <v>2405</v>
      </c>
      <c r="H3115" s="26" t="s">
        <v>2676</v>
      </c>
      <c r="I3115" s="54">
        <f>_xll.DBRW($A$1,$F$14,$F$15,$C3115,$A$2,$F3115,$G3115,$H3115,I$1)</f>
        <v>26</v>
      </c>
      <c r="J3115" s="25">
        <f>_xll.DBRW($A$1,$F$14,$F$15,$C3115,$A$2,$F3115,$G3115,$H3115,J$19)</f>
        <v>25</v>
      </c>
    </row>
    <row r="3116" spans="1:10" s="23" customFormat="1" outlineLevel="1" thickBot="1" x14ac:dyDescent="0.3">
      <c r="A3116" s="44"/>
      <c r="B3116" s="31" t="str">
        <f>IF(_xll.TM1RPTELISCONSOLIDATED($H$20,$H3116),IF(_xll.TM1RPTELLEV($H$20,$H3116)&lt;=5,_xll.TM1RPTELLEV($H$20,$H3116),"Default"),"Leaf")</f>
        <v>Leaf</v>
      </c>
      <c r="C3116" s="26" t="s">
        <v>26</v>
      </c>
      <c r="D3116" s="24" t="str">
        <f>_xll.DBRW("TM1-S1_DEV:}ElementAttributes_SP_SKU",$F3116,D$1)</f>
        <v>Primary</v>
      </c>
      <c r="E3116" s="24" t="str">
        <f>_xll.DBRW("TM1-S1_DEV:}ElementAttributes_SP_SKU",$F3116,E$1)</f>
        <v>SIDES</v>
      </c>
      <c r="F3116" s="26" t="s">
        <v>3130</v>
      </c>
      <c r="G3116" s="26" t="s">
        <v>2406</v>
      </c>
      <c r="H3116" s="26" t="s">
        <v>2676</v>
      </c>
      <c r="I3116" s="54">
        <f>_xll.DBRW($A$1,$F$14,$F$15,$C3116,$A$2,$F3116,$G3116,$H3116,I$1)</f>
        <v>34</v>
      </c>
      <c r="J3116" s="25">
        <f>_xll.DBRW($A$1,$F$14,$F$15,$C3116,$A$2,$F3116,$G3116,$H3116,J$19)</f>
        <v>31</v>
      </c>
    </row>
    <row r="3117" spans="1:10" s="23" customFormat="1" outlineLevel="1" thickBot="1" x14ac:dyDescent="0.3">
      <c r="A3117" s="44"/>
      <c r="B3117" s="31" t="str">
        <f>IF(_xll.TM1RPTELISCONSOLIDATED($H$20,$H3117),IF(_xll.TM1RPTELLEV($H$20,$H3117)&lt;=5,_xll.TM1RPTELLEV($H$20,$H3117),"Default"),"Leaf")</f>
        <v>Leaf</v>
      </c>
      <c r="C3117" s="26" t="s">
        <v>26</v>
      </c>
      <c r="D3117" s="24" t="str">
        <f>_xll.DBRW("TM1-S1_DEV:}ElementAttributes_SP_SKU",$F3117,D$1)</f>
        <v>Primary</v>
      </c>
      <c r="E3117" s="24" t="str">
        <f>_xll.DBRW("TM1-S1_DEV:}ElementAttributes_SP_SKU",$F3117,E$1)</f>
        <v>SIDES</v>
      </c>
      <c r="F3117" s="26" t="s">
        <v>3131</v>
      </c>
      <c r="G3117" s="26" t="s">
        <v>2407</v>
      </c>
      <c r="H3117" s="26" t="s">
        <v>2676</v>
      </c>
      <c r="I3117" s="54">
        <f>_xll.DBRW($A$1,$F$14,$F$15,$C3117,$A$2,$F3117,$G3117,$H3117,I$1)</f>
        <v>29</v>
      </c>
      <c r="J3117" s="25">
        <f>_xll.DBRW($A$1,$F$14,$F$15,$C3117,$A$2,$F3117,$G3117,$H3117,J$19)</f>
        <v>19</v>
      </c>
    </row>
    <row r="3118" spans="1:10" s="23" customFormat="1" outlineLevel="1" thickBot="1" x14ac:dyDescent="0.3">
      <c r="A3118" s="44"/>
      <c r="B3118" s="31" t="str">
        <f>IF(_xll.TM1RPTELISCONSOLIDATED($H$20,$H3118),IF(_xll.TM1RPTELLEV($H$20,$H3118)&lt;=5,_xll.TM1RPTELLEV($H$20,$H3118),"Default"),"Leaf")</f>
        <v>Leaf</v>
      </c>
      <c r="C3118" s="26" t="s">
        <v>26</v>
      </c>
      <c r="D3118" s="24" t="str">
        <f>_xll.DBRW("TM1-S1_DEV:}ElementAttributes_SP_SKU",$F3118,D$1)</f>
        <v>Primary</v>
      </c>
      <c r="E3118" s="24" t="str">
        <f>_xll.DBRW("TM1-S1_DEV:}ElementAttributes_SP_SKU",$F3118,E$1)</f>
        <v>SIDES</v>
      </c>
      <c r="F3118" s="26" t="s">
        <v>3132</v>
      </c>
      <c r="G3118" s="26" t="s">
        <v>2408</v>
      </c>
      <c r="H3118" s="26" t="s">
        <v>2676</v>
      </c>
      <c r="I3118" s="54">
        <f>_xll.DBRW($A$1,$F$14,$F$15,$C3118,$A$2,$F3118,$G3118,$H3118,I$1)</f>
        <v>42</v>
      </c>
      <c r="J3118" s="25">
        <f>_xll.DBRW($A$1,$F$14,$F$15,$C3118,$A$2,$F3118,$G3118,$H3118,J$19)</f>
        <v>27</v>
      </c>
    </row>
    <row r="3119" spans="1:10" s="23" customFormat="1" outlineLevel="1" thickBot="1" x14ac:dyDescent="0.3">
      <c r="A3119" s="44"/>
      <c r="B3119" s="31" t="str">
        <f>IF(_xll.TM1RPTELISCONSOLIDATED($H$20,$H3119),IF(_xll.TM1RPTELLEV($H$20,$H3119)&lt;=5,_xll.TM1RPTELLEV($H$20,$H3119),"Default"),"Leaf")</f>
        <v>Leaf</v>
      </c>
      <c r="C3119" s="26" t="s">
        <v>26</v>
      </c>
      <c r="D3119" s="24" t="str">
        <f>_xll.DBRW("TM1-S1_DEV:}ElementAttributes_SP_SKU",$F3119,D$1)</f>
        <v>Primary</v>
      </c>
      <c r="E3119" s="24" t="str">
        <f>_xll.DBRW("TM1-S1_DEV:}ElementAttributes_SP_SKU",$F3119,E$1)</f>
        <v>DESSERT</v>
      </c>
      <c r="F3119" s="26" t="s">
        <v>29</v>
      </c>
      <c r="G3119" s="26" t="s">
        <v>2409</v>
      </c>
      <c r="H3119" s="26" t="s">
        <v>2677</v>
      </c>
      <c r="I3119" s="54">
        <f>_xll.DBRW($A$1,$F$14,$F$15,$C3119,$A$2,$F3119,$G3119,$H3119,I$1)</f>
        <v>4</v>
      </c>
      <c r="J3119" s="25">
        <f>_xll.DBRW($A$1,$F$14,$F$15,$C3119,$A$2,$F3119,$G3119,$H3119,J$19)</f>
        <v>4</v>
      </c>
    </row>
    <row r="3120" spans="1:10" s="23" customFormat="1" outlineLevel="1" thickBot="1" x14ac:dyDescent="0.3">
      <c r="A3120" s="44"/>
      <c r="B3120" s="31" t="str">
        <f>IF(_xll.TM1RPTELISCONSOLIDATED($H$20,$H3120),IF(_xll.TM1RPTELLEV($H$20,$H3120)&lt;=5,_xll.TM1RPTELLEV($H$20,$H3120),"Default"),"Leaf")</f>
        <v>Leaf</v>
      </c>
      <c r="C3120" s="26" t="s">
        <v>26</v>
      </c>
      <c r="D3120" s="24" t="str">
        <f>_xll.DBRW("TM1-S1_DEV:}ElementAttributes_SP_SKU",$F3120,D$1)</f>
        <v>Primary</v>
      </c>
      <c r="E3120" s="24" t="str">
        <f>_xll.DBRW("TM1-S1_DEV:}ElementAttributes_SP_SKU",$F3120,E$1)</f>
        <v>PIE</v>
      </c>
      <c r="F3120" s="26" t="s">
        <v>3133</v>
      </c>
      <c r="G3120" s="26" t="s">
        <v>2410</v>
      </c>
      <c r="H3120" s="26" t="s">
        <v>2678</v>
      </c>
      <c r="I3120" s="54">
        <f>_xll.DBRW($A$1,$F$14,$F$15,$C3120,$A$2,$F3120,$G3120,$H3120,I$1)</f>
        <v>5</v>
      </c>
      <c r="J3120" s="25">
        <f>_xll.DBRW($A$1,$F$14,$F$15,$C3120,$A$2,$F3120,$G3120,$H3120,J$19)</f>
        <v>5</v>
      </c>
    </row>
    <row r="3121" spans="1:10" s="23" customFormat="1" outlineLevel="1" thickBot="1" x14ac:dyDescent="0.3">
      <c r="A3121" s="44"/>
      <c r="B3121" s="31" t="str">
        <f>IF(_xll.TM1RPTELISCONSOLIDATED($H$20,$H3121),IF(_xll.TM1RPTELLEV($H$20,$H3121)&lt;=5,_xll.TM1RPTELLEV($H$20,$H3121),"Default"),"Leaf")</f>
        <v>Leaf</v>
      </c>
      <c r="C3121" s="26" t="s">
        <v>26</v>
      </c>
      <c r="D3121" s="24" t="str">
        <f>_xll.DBRW("TM1-S1_DEV:}ElementAttributes_SP_SKU",$F3121,D$1)</f>
        <v>Primary</v>
      </c>
      <c r="E3121" s="24" t="str">
        <f>_xll.DBRW("TM1-S1_DEV:}ElementAttributes_SP_SKU",$F3121,E$1)</f>
        <v>PIE</v>
      </c>
      <c r="F3121" s="26" t="s">
        <v>3134</v>
      </c>
      <c r="G3121" s="26" t="s">
        <v>2411</v>
      </c>
      <c r="H3121" s="26" t="s">
        <v>2678</v>
      </c>
      <c r="I3121" s="54">
        <f>_xll.DBRW($A$1,$F$14,$F$15,$C3121,$A$2,$F3121,$G3121,$H3121,I$1)</f>
        <v>7</v>
      </c>
      <c r="J3121" s="25">
        <f>_xll.DBRW($A$1,$F$14,$F$15,$C3121,$A$2,$F3121,$G3121,$H3121,J$19)</f>
        <v>5</v>
      </c>
    </row>
    <row r="3122" spans="1:10" s="23" customFormat="1" outlineLevel="1" thickBot="1" x14ac:dyDescent="0.3">
      <c r="A3122" s="44"/>
      <c r="B3122" s="31" t="str">
        <f>IF(_xll.TM1RPTELISCONSOLIDATED($H$20,$H3122),IF(_xll.TM1RPTELLEV($H$20,$H3122)&lt;=5,_xll.TM1RPTELLEV($H$20,$H3122),"Default"),"Leaf")</f>
        <v>Leaf</v>
      </c>
      <c r="C3122" s="26" t="s">
        <v>26</v>
      </c>
      <c r="D3122" s="24" t="str">
        <f>_xll.DBRW("TM1-S1_DEV:}ElementAttributes_SP_SKU",$F3122,D$1)</f>
        <v>Primary</v>
      </c>
      <c r="E3122" s="24" t="str">
        <f>_xll.DBRW("TM1-S1_DEV:}ElementAttributes_SP_SKU",$F3122,E$1)</f>
        <v>CAKE</v>
      </c>
      <c r="F3122" s="26" t="s">
        <v>3135</v>
      </c>
      <c r="G3122" s="26" t="s">
        <v>2412</v>
      </c>
      <c r="H3122" s="26" t="s">
        <v>2679</v>
      </c>
      <c r="I3122" s="54">
        <f>_xll.DBRW($A$1,$F$14,$F$15,$C3122,$A$2,$F3122,$G3122,$H3122,I$1)</f>
        <v>18</v>
      </c>
      <c r="J3122" s="25">
        <f>_xll.DBRW($A$1,$F$14,$F$15,$C3122,$A$2,$F3122,$G3122,$H3122,J$19)</f>
        <v>7</v>
      </c>
    </row>
    <row r="3123" spans="1:10" s="23" customFormat="1" outlineLevel="1" thickBot="1" x14ac:dyDescent="0.3">
      <c r="A3123" s="44"/>
      <c r="B3123" s="31" t="str">
        <f>IF(_xll.TM1RPTELISCONSOLIDATED($H$20,$H3123),IF(_xll.TM1RPTELLEV($H$20,$H3123)&lt;=5,_xll.TM1RPTELLEV($H$20,$H3123),"Default"),"Leaf")</f>
        <v>Leaf</v>
      </c>
      <c r="C3123" s="26" t="s">
        <v>26</v>
      </c>
      <c r="D3123" s="24" t="str">
        <f>_xll.DBRW("TM1-S1_DEV:}ElementAttributes_SP_SKU",$F3123,D$1)</f>
        <v>Primary</v>
      </c>
      <c r="E3123" s="24" t="str">
        <f>_xll.DBRW("TM1-S1_DEV:}ElementAttributes_SP_SKU",$F3123,E$1)</f>
        <v>CAKE</v>
      </c>
      <c r="F3123" s="26" t="s">
        <v>3136</v>
      </c>
      <c r="G3123" s="26" t="s">
        <v>2413</v>
      </c>
      <c r="H3123" s="26" t="s">
        <v>2679</v>
      </c>
      <c r="I3123" s="54">
        <f>_xll.DBRW($A$1,$F$14,$F$15,$C3123,$A$2,$F3123,$G3123,$H3123,I$1)</f>
        <v>13</v>
      </c>
      <c r="J3123" s="25">
        <f>_xll.DBRW($A$1,$F$14,$F$15,$C3123,$A$2,$F3123,$G3123,$H3123,J$19)</f>
        <v>6</v>
      </c>
    </row>
    <row r="3124" spans="1:10" s="23" customFormat="1" outlineLevel="1" thickBot="1" x14ac:dyDescent="0.3">
      <c r="A3124" s="44"/>
      <c r="B3124" s="31" t="str">
        <f>IF(_xll.TM1RPTELISCONSOLIDATED($H$20,$H3124),IF(_xll.TM1RPTELLEV($H$20,$H3124)&lt;=5,_xll.TM1RPTELLEV($H$20,$H3124),"Default"),"Leaf")</f>
        <v>Leaf</v>
      </c>
      <c r="C3124" s="26" t="s">
        <v>26</v>
      </c>
      <c r="D3124" s="24" t="str">
        <f>_xll.DBRW("TM1-S1_DEV:}ElementAttributes_SP_SKU",$F3124,D$1)</f>
        <v>Primary</v>
      </c>
      <c r="E3124" s="24" t="str">
        <f>_xll.DBRW("TM1-S1_DEV:}ElementAttributes_SP_SKU",$F3124,E$1)</f>
        <v>CAKE</v>
      </c>
      <c r="F3124" s="26" t="s">
        <v>3137</v>
      </c>
      <c r="G3124" s="26" t="s">
        <v>2414</v>
      </c>
      <c r="H3124" s="26" t="s">
        <v>2679</v>
      </c>
      <c r="I3124" s="54">
        <f>_xll.DBRW($A$1,$F$14,$F$15,$C3124,$A$2,$F3124,$G3124,$H3124,I$1)</f>
        <v>9</v>
      </c>
      <c r="J3124" s="25">
        <f>_xll.DBRW($A$1,$F$14,$F$15,$C3124,$A$2,$F3124,$G3124,$H3124,J$19)</f>
        <v>2</v>
      </c>
    </row>
    <row r="3125" spans="1:10" s="23" customFormat="1" outlineLevel="1" thickBot="1" x14ac:dyDescent="0.3">
      <c r="A3125" s="44"/>
      <c r="B3125" s="31" t="str">
        <f>IF(_xll.TM1RPTELISCONSOLIDATED($H$20,$H3125),IF(_xll.TM1RPTELLEV($H$20,$H3125)&lt;=5,_xll.TM1RPTELLEV($H$20,$H3125),"Default"),"Leaf")</f>
        <v>Leaf</v>
      </c>
      <c r="C3125" s="26" t="s">
        <v>26</v>
      </c>
      <c r="D3125" s="24" t="str">
        <f>_xll.DBRW("TM1-S1_DEV:}ElementAttributes_SP_SKU",$F3125,D$1)</f>
        <v>Primary</v>
      </c>
      <c r="E3125" s="24" t="str">
        <f>_xll.DBRW("TM1-S1_DEV:}ElementAttributes_SP_SKU",$F3125,E$1)</f>
        <v>CAKE</v>
      </c>
      <c r="F3125" s="26" t="s">
        <v>3138</v>
      </c>
      <c r="G3125" s="26" t="s">
        <v>2415</v>
      </c>
      <c r="H3125" s="26" t="s">
        <v>2680</v>
      </c>
      <c r="I3125" s="54">
        <f>_xll.DBRW($A$1,$F$14,$F$15,$C3125,$A$2,$F3125,$G3125,$H3125,I$1)</f>
        <v>3</v>
      </c>
      <c r="J3125" s="25">
        <f>_xll.DBRW($A$1,$F$14,$F$15,$C3125,$A$2,$F3125,$G3125,$H3125,J$19)</f>
        <v>2</v>
      </c>
    </row>
    <row r="3126" spans="1:10" s="23" customFormat="1" outlineLevel="1" thickBot="1" x14ac:dyDescent="0.3">
      <c r="A3126" s="44"/>
      <c r="B3126" s="31" t="str">
        <f>IF(_xll.TM1RPTELISCONSOLIDATED($H$20,$H3126),IF(_xll.TM1RPTELLEV($H$20,$H3126)&lt;=5,_xll.TM1RPTELLEV($H$20,$H3126),"Default"),"Leaf")</f>
        <v>Leaf</v>
      </c>
      <c r="C3126" s="26" t="s">
        <v>26</v>
      </c>
      <c r="D3126" s="24" t="str">
        <f>_xll.DBRW("TM1-S1_DEV:}ElementAttributes_SP_SKU",$F3126,D$1)</f>
        <v>Primary</v>
      </c>
      <c r="E3126" s="24" t="str">
        <f>_xll.DBRW("TM1-S1_DEV:}ElementAttributes_SP_SKU",$F3126,E$1)</f>
        <v>DESSERT</v>
      </c>
      <c r="F3126" s="26" t="s">
        <v>3139</v>
      </c>
      <c r="G3126" s="26" t="s">
        <v>2416</v>
      </c>
      <c r="H3126" s="26" t="s">
        <v>2681</v>
      </c>
      <c r="I3126" s="54">
        <f>_xll.DBRW($A$1,$F$14,$F$15,$C3126,$A$2,$F3126,$G3126,$H3126,I$1)</f>
        <v>18</v>
      </c>
      <c r="J3126" s="25">
        <f>_xll.DBRW($A$1,$F$14,$F$15,$C3126,$A$2,$F3126,$G3126,$H3126,J$19)</f>
        <v>5</v>
      </c>
    </row>
    <row r="3127" spans="1:10" s="23" customFormat="1" outlineLevel="1" thickBot="1" x14ac:dyDescent="0.3">
      <c r="A3127" s="44"/>
      <c r="B3127" s="31" t="str">
        <f>IF(_xll.TM1RPTELISCONSOLIDATED($H$20,$H3127),IF(_xll.TM1RPTELLEV($H$20,$H3127)&lt;=5,_xll.TM1RPTELLEV($H$20,$H3127),"Default"),"Leaf")</f>
        <v>Leaf</v>
      </c>
      <c r="C3127" s="26" t="s">
        <v>26</v>
      </c>
      <c r="D3127" s="24" t="str">
        <f>_xll.DBRW("TM1-S1_DEV:}ElementAttributes_SP_SKU",$F3127,D$1)</f>
        <v>Primary</v>
      </c>
      <c r="E3127" s="24" t="str">
        <f>_xll.DBRW("TM1-S1_DEV:}ElementAttributes_SP_SKU",$F3127,E$1)</f>
        <v>DESSERT</v>
      </c>
      <c r="F3127" s="26" t="s">
        <v>3140</v>
      </c>
      <c r="G3127" s="26" t="s">
        <v>2417</v>
      </c>
      <c r="H3127" s="26" t="s">
        <v>2681</v>
      </c>
      <c r="I3127" s="54">
        <f>_xll.DBRW($A$1,$F$14,$F$15,$C3127,$A$2,$F3127,$G3127,$H3127,I$1)</f>
        <v>14</v>
      </c>
      <c r="J3127" s="25">
        <f>_xll.DBRW($A$1,$F$14,$F$15,$C3127,$A$2,$F3127,$G3127,$H3127,J$19)</f>
        <v>3</v>
      </c>
    </row>
    <row r="3128" spans="1:10" s="23" customFormat="1" outlineLevel="1" thickBot="1" x14ac:dyDescent="0.3">
      <c r="A3128" s="44"/>
      <c r="B3128" s="31" t="str">
        <f>IF(_xll.TM1RPTELISCONSOLIDATED($H$20,$H3128),IF(_xll.TM1RPTELLEV($H$20,$H3128)&lt;=5,_xll.TM1RPTELLEV($H$20,$H3128),"Default"),"Leaf")</f>
        <v>Leaf</v>
      </c>
      <c r="C3128" s="26" t="s">
        <v>26</v>
      </c>
      <c r="D3128" s="24" t="str">
        <f>_xll.DBRW("TM1-S1_DEV:}ElementAttributes_SP_SKU",$F3128,D$1)</f>
        <v>Primary</v>
      </c>
      <c r="E3128" s="24" t="str">
        <f>_xll.DBRW("TM1-S1_DEV:}ElementAttributes_SP_SKU",$F3128,E$1)</f>
        <v>CAKE</v>
      </c>
      <c r="F3128" s="26" t="s">
        <v>3142</v>
      </c>
      <c r="G3128" s="26" t="s">
        <v>2418</v>
      </c>
      <c r="H3128" s="26" t="s">
        <v>2682</v>
      </c>
      <c r="I3128" s="54">
        <f>_xll.DBRW($A$1,$F$14,$F$15,$C3128,$A$2,$F3128,$G3128,$H3128,I$1)</f>
        <v>12</v>
      </c>
      <c r="J3128" s="25">
        <f>_xll.DBRW($A$1,$F$14,$F$15,$C3128,$A$2,$F3128,$G3128,$H3128,J$19)</f>
        <v>4</v>
      </c>
    </row>
    <row r="3129" spans="1:10" s="23" customFormat="1" outlineLevel="1" thickBot="1" x14ac:dyDescent="0.3">
      <c r="A3129" s="44"/>
      <c r="B3129" s="31" t="str">
        <f>IF(_xll.TM1RPTELISCONSOLIDATED($H$20,$H3129),IF(_xll.TM1RPTELLEV($H$20,$H3129)&lt;=5,_xll.TM1RPTELLEV($H$20,$H3129),"Default"),"Leaf")</f>
        <v>Leaf</v>
      </c>
      <c r="C3129" s="26" t="s">
        <v>26</v>
      </c>
      <c r="D3129" s="24" t="str">
        <f>_xll.DBRW("TM1-S1_DEV:}ElementAttributes_SP_SKU",$F3129,D$1)</f>
        <v>Primary</v>
      </c>
      <c r="E3129" s="24" t="str">
        <f>_xll.DBRW("TM1-S1_DEV:}ElementAttributes_SP_SKU",$F3129,E$1)</f>
        <v>CAKE</v>
      </c>
      <c r="F3129" s="26" t="s">
        <v>3143</v>
      </c>
      <c r="G3129" s="26" t="s">
        <v>2419</v>
      </c>
      <c r="H3129" s="26" t="s">
        <v>2682</v>
      </c>
      <c r="I3129" s="54">
        <f>_xll.DBRW($A$1,$F$14,$F$15,$C3129,$A$2,$F3129,$G3129,$H3129,I$1)</f>
        <v>15</v>
      </c>
      <c r="J3129" s="25">
        <f>_xll.DBRW($A$1,$F$14,$F$15,$C3129,$A$2,$F3129,$G3129,$H3129,J$19)</f>
        <v>7</v>
      </c>
    </row>
    <row r="3130" spans="1:10" s="23" customFormat="1" outlineLevel="1" thickBot="1" x14ac:dyDescent="0.3">
      <c r="A3130" s="44"/>
      <c r="B3130" s="31" t="str">
        <f>IF(_xll.TM1RPTELISCONSOLIDATED($H$20,$H3130),IF(_xll.TM1RPTELLEV($H$20,$H3130)&lt;=5,_xll.TM1RPTELLEV($H$20,$H3130),"Default"),"Leaf")</f>
        <v>Leaf</v>
      </c>
      <c r="C3130" s="26" t="s">
        <v>26</v>
      </c>
      <c r="D3130" s="24" t="str">
        <f>_xll.DBRW("TM1-S1_DEV:}ElementAttributes_SP_SKU",$F3130,D$1)</f>
        <v>Primary</v>
      </c>
      <c r="E3130" s="24" t="str">
        <f>_xll.DBRW("TM1-S1_DEV:}ElementAttributes_SP_SKU",$F3130,E$1)</f>
        <v>CAKE</v>
      </c>
      <c r="F3130" s="26" t="s">
        <v>3144</v>
      </c>
      <c r="G3130" s="26" t="s">
        <v>2420</v>
      </c>
      <c r="H3130" s="26" t="s">
        <v>2679</v>
      </c>
      <c r="I3130" s="54">
        <f>_xll.DBRW($A$1,$F$14,$F$15,$C3130,$A$2,$F3130,$G3130,$H3130,I$1)</f>
        <v>2</v>
      </c>
      <c r="J3130" s="25">
        <f>_xll.DBRW($A$1,$F$14,$F$15,$C3130,$A$2,$F3130,$G3130,$H3130,J$19)</f>
        <v>2</v>
      </c>
    </row>
    <row r="3131" spans="1:10" s="23" customFormat="1" outlineLevel="1" thickBot="1" x14ac:dyDescent="0.3">
      <c r="A3131" s="44"/>
      <c r="B3131" s="31" t="str">
        <f>IF(_xll.TM1RPTELISCONSOLIDATED($H$20,$H3131),IF(_xll.TM1RPTELLEV($H$20,$H3131)&lt;=5,_xll.TM1RPTELLEV($H$20,$H3131),"Default"),"Leaf")</f>
        <v>Leaf</v>
      </c>
      <c r="C3131" s="26" t="s">
        <v>26</v>
      </c>
      <c r="D3131" s="24" t="str">
        <f>_xll.DBRW("TM1-S1_DEV:}ElementAttributes_SP_SKU",$F3131,D$1)</f>
        <v>Primary</v>
      </c>
      <c r="E3131" s="24" t="str">
        <f>_xll.DBRW("TM1-S1_DEV:}ElementAttributes_SP_SKU",$F3131,E$1)</f>
        <v>CAKE</v>
      </c>
      <c r="F3131" s="26" t="s">
        <v>3145</v>
      </c>
      <c r="G3131" s="26" t="s">
        <v>2421</v>
      </c>
      <c r="H3131" s="26" t="s">
        <v>2680</v>
      </c>
      <c r="I3131" s="54">
        <f>_xll.DBRW($A$1,$F$14,$F$15,$C3131,$A$2,$F3131,$G3131,$H3131,I$1)</f>
        <v>2</v>
      </c>
      <c r="J3131" s="25">
        <f>_xll.DBRW($A$1,$F$14,$F$15,$C3131,$A$2,$F3131,$G3131,$H3131,J$19)</f>
        <v>2</v>
      </c>
    </row>
    <row r="3132" spans="1:10" s="23" customFormat="1" outlineLevel="1" thickBot="1" x14ac:dyDescent="0.3">
      <c r="A3132" s="44"/>
      <c r="B3132" s="31" t="str">
        <f>IF(_xll.TM1RPTELISCONSOLIDATED($H$20,$H3132),IF(_xll.TM1RPTELLEV($H$20,$H3132)&lt;=5,_xll.TM1RPTELLEV($H$20,$H3132),"Default"),"Leaf")</f>
        <v>Leaf</v>
      </c>
      <c r="C3132" s="26" t="s">
        <v>26</v>
      </c>
      <c r="D3132" s="24" t="str">
        <f>_xll.DBRW("TM1-S1_DEV:}ElementAttributes_SP_SKU",$F3132,D$1)</f>
        <v>Primary</v>
      </c>
      <c r="E3132" s="24" t="str">
        <f>_xll.DBRW("TM1-S1_DEV:}ElementAttributes_SP_SKU",$F3132,E$1)</f>
        <v>CAKE</v>
      </c>
      <c r="F3132" s="26" t="s">
        <v>3146</v>
      </c>
      <c r="G3132" s="26" t="s">
        <v>2422</v>
      </c>
      <c r="H3132" s="26" t="s">
        <v>2680</v>
      </c>
      <c r="I3132" s="54">
        <f>_xll.DBRW($A$1,$F$14,$F$15,$C3132,$A$2,$F3132,$G3132,$H3132,I$1)</f>
        <v>55</v>
      </c>
      <c r="J3132" s="25">
        <f>_xll.DBRW($A$1,$F$14,$F$15,$C3132,$A$2,$F3132,$G3132,$H3132,J$19)</f>
        <v>51</v>
      </c>
    </row>
    <row r="3133" spans="1:10" s="23" customFormat="1" outlineLevel="1" thickBot="1" x14ac:dyDescent="0.3">
      <c r="A3133" s="44"/>
      <c r="B3133" s="31" t="str">
        <f>IF(_xll.TM1RPTELISCONSOLIDATED($H$20,$H3133),IF(_xll.TM1RPTELLEV($H$20,$H3133)&lt;=5,_xll.TM1RPTELLEV($H$20,$H3133),"Default"),"Leaf")</f>
        <v>Leaf</v>
      </c>
      <c r="C3133" s="26" t="s">
        <v>26</v>
      </c>
      <c r="D3133" s="24" t="str">
        <f>_xll.DBRW("TM1-S1_DEV:}ElementAttributes_SP_SKU",$F3133,D$1)</f>
        <v>Primary</v>
      </c>
      <c r="E3133" s="24" t="str">
        <f>_xll.DBRW("TM1-S1_DEV:}ElementAttributes_SP_SKU",$F3133,E$1)</f>
        <v>CONDIMENT</v>
      </c>
      <c r="F3133" s="26" t="s">
        <v>3147</v>
      </c>
      <c r="G3133" s="26" t="s">
        <v>2423</v>
      </c>
      <c r="H3133" s="26" t="s">
        <v>2683</v>
      </c>
      <c r="I3133" s="54">
        <f>_xll.DBRW($A$1,$F$14,$F$15,$C3133,$A$2,$F3133,$G3133,$H3133,I$1)</f>
        <v>26</v>
      </c>
      <c r="J3133" s="25">
        <f>_xll.DBRW($A$1,$F$14,$F$15,$C3133,$A$2,$F3133,$G3133,$H3133,J$19)</f>
        <v>22</v>
      </c>
    </row>
    <row r="3134" spans="1:10" s="23" customFormat="1" outlineLevel="1" thickBot="1" x14ac:dyDescent="0.3">
      <c r="A3134" s="44"/>
      <c r="B3134" s="31" t="str">
        <f>IF(_xll.TM1RPTELISCONSOLIDATED($H$20,$H3134),IF(_xll.TM1RPTELLEV($H$20,$H3134)&lt;=5,_xll.TM1RPTELLEV($H$20,$H3134),"Default"),"Leaf")</f>
        <v>Leaf</v>
      </c>
      <c r="C3134" s="26" t="s">
        <v>26</v>
      </c>
      <c r="D3134" s="24" t="str">
        <f>_xll.DBRW("TM1-S1_DEV:}ElementAttributes_SP_SKU",$F3134,D$1)</f>
        <v>Primary</v>
      </c>
      <c r="E3134" s="24" t="str">
        <f>_xll.DBRW("TM1-S1_DEV:}ElementAttributes_SP_SKU",$F3134,E$1)</f>
        <v>CONDIMENT</v>
      </c>
      <c r="F3134" s="26" t="s">
        <v>3148</v>
      </c>
      <c r="G3134" s="26" t="s">
        <v>2424</v>
      </c>
      <c r="H3134" s="26" t="s">
        <v>2684</v>
      </c>
      <c r="I3134" s="54">
        <f>_xll.DBRW($A$1,$F$14,$F$15,$C3134,$A$2,$F3134,$G3134,$H3134,I$1)</f>
        <v>13</v>
      </c>
      <c r="J3134" s="25">
        <f>_xll.DBRW($A$1,$F$14,$F$15,$C3134,$A$2,$F3134,$G3134,$H3134,J$19)</f>
        <v>8</v>
      </c>
    </row>
    <row r="3135" spans="1:10" s="23" customFormat="1" outlineLevel="1" thickBot="1" x14ac:dyDescent="0.3">
      <c r="A3135" s="44"/>
      <c r="B3135" s="31" t="str">
        <f>IF(_xll.TM1RPTELISCONSOLIDATED($H$20,$H3135),IF(_xll.TM1RPTELLEV($H$20,$H3135)&lt;=5,_xll.TM1RPTELLEV($H$20,$H3135),"Default"),"Leaf")</f>
        <v>Leaf</v>
      </c>
      <c r="C3135" s="26" t="s">
        <v>26</v>
      </c>
      <c r="D3135" s="24" t="str">
        <f>_xll.DBRW("TM1-S1_DEV:}ElementAttributes_SP_SKU",$F3135,D$1)</f>
        <v>Primary</v>
      </c>
      <c r="E3135" s="24" t="str">
        <f>_xll.DBRW("TM1-S1_DEV:}ElementAttributes_SP_SKU",$F3135,E$1)</f>
        <v>CONDIMENT</v>
      </c>
      <c r="F3135" s="26" t="s">
        <v>3149</v>
      </c>
      <c r="G3135" s="26" t="s">
        <v>2425</v>
      </c>
      <c r="H3135" s="26" t="s">
        <v>2684</v>
      </c>
      <c r="I3135" s="54">
        <f>_xll.DBRW($A$1,$F$14,$F$15,$C3135,$A$2,$F3135,$G3135,$H3135,I$1)</f>
        <v>7</v>
      </c>
      <c r="J3135" s="25">
        <f>_xll.DBRW($A$1,$F$14,$F$15,$C3135,$A$2,$F3135,$G3135,$H3135,J$19)</f>
        <v>5</v>
      </c>
    </row>
    <row r="3136" spans="1:10" s="23" customFormat="1" outlineLevel="1" thickBot="1" x14ac:dyDescent="0.3">
      <c r="A3136" s="44"/>
      <c r="B3136" s="31" t="str">
        <f>IF(_xll.TM1RPTELISCONSOLIDATED($H$20,$H3136),IF(_xll.TM1RPTELLEV($H$20,$H3136)&lt;=5,_xll.TM1RPTELLEV($H$20,$H3136),"Default"),"Leaf")</f>
        <v>Leaf</v>
      </c>
      <c r="C3136" s="26" t="s">
        <v>26</v>
      </c>
      <c r="D3136" s="24" t="str">
        <f>_xll.DBRW("TM1-S1_DEV:}ElementAttributes_SP_SKU",$F3136,D$1)</f>
        <v>Primary</v>
      </c>
      <c r="E3136" s="24" t="str">
        <f>_xll.DBRW("TM1-S1_DEV:}ElementAttributes_SP_SKU",$F3136,E$1)</f>
        <v>CONDIMENT</v>
      </c>
      <c r="F3136" s="26" t="s">
        <v>3150</v>
      </c>
      <c r="G3136" s="26" t="s">
        <v>2426</v>
      </c>
      <c r="H3136" s="26" t="s">
        <v>2684</v>
      </c>
      <c r="I3136" s="54">
        <f>_xll.DBRW($A$1,$F$14,$F$15,$C3136,$A$2,$F3136,$G3136,$H3136,I$1)</f>
        <v>7</v>
      </c>
      <c r="J3136" s="25">
        <f>_xll.DBRW($A$1,$F$14,$F$15,$C3136,$A$2,$F3136,$G3136,$H3136,J$19)</f>
        <v>9</v>
      </c>
    </row>
    <row r="3137" spans="1:10" s="23" customFormat="1" outlineLevel="1" thickBot="1" x14ac:dyDescent="0.3">
      <c r="A3137" s="44"/>
      <c r="B3137" s="31" t="str">
        <f>IF(_xll.TM1RPTELISCONSOLIDATED($H$20,$H3137),IF(_xll.TM1RPTELLEV($H$20,$H3137)&lt;=5,_xll.TM1RPTELLEV($H$20,$H3137),"Default"),"Leaf")</f>
        <v>Leaf</v>
      </c>
      <c r="C3137" s="26" t="s">
        <v>26</v>
      </c>
      <c r="D3137" s="24" t="str">
        <f>_xll.DBRW("TM1-S1_DEV:}ElementAttributes_SP_SKU",$F3137,D$1)</f>
        <v>Primary</v>
      </c>
      <c r="E3137" s="24" t="str">
        <f>_xll.DBRW("TM1-S1_DEV:}ElementAttributes_SP_SKU",$F3137,E$1)</f>
        <v>CONDIMENT</v>
      </c>
      <c r="F3137" s="26" t="s">
        <v>3151</v>
      </c>
      <c r="G3137" s="26" t="s">
        <v>2427</v>
      </c>
      <c r="H3137" s="26" t="s">
        <v>2684</v>
      </c>
      <c r="I3137" s="54">
        <f>_xll.DBRW($A$1,$F$14,$F$15,$C3137,$A$2,$F3137,$G3137,$H3137,I$1)</f>
        <v>7</v>
      </c>
      <c r="J3137" s="25">
        <f>_xll.DBRW($A$1,$F$14,$F$15,$C3137,$A$2,$F3137,$G3137,$H3137,J$19)</f>
        <v>5</v>
      </c>
    </row>
    <row r="3138" spans="1:10" s="23" customFormat="1" outlineLevel="1" thickBot="1" x14ac:dyDescent="0.3">
      <c r="A3138" s="44"/>
      <c r="B3138" s="31" t="str">
        <f>IF(_xll.TM1RPTELISCONSOLIDATED($H$20,$H3138),IF(_xll.TM1RPTELLEV($H$20,$H3138)&lt;=5,_xll.TM1RPTELLEV($H$20,$H3138),"Default"),"Leaf")</f>
        <v>Leaf</v>
      </c>
      <c r="C3138" s="26" t="s">
        <v>26</v>
      </c>
      <c r="D3138" s="24" t="str">
        <f>_xll.DBRW("TM1-S1_DEV:}ElementAttributes_SP_SKU",$F3138,D$1)</f>
        <v>Primary</v>
      </c>
      <c r="E3138" s="24" t="str">
        <f>_xll.DBRW("TM1-S1_DEV:}ElementAttributes_SP_SKU",$F3138,E$1)</f>
        <v>CONDIMENT</v>
      </c>
      <c r="F3138" s="26" t="s">
        <v>3152</v>
      </c>
      <c r="G3138" s="26" t="s">
        <v>2428</v>
      </c>
      <c r="H3138" s="26" t="s">
        <v>2684</v>
      </c>
      <c r="I3138" s="54">
        <f>_xll.DBRW($A$1,$F$14,$F$15,$C3138,$A$2,$F3138,$G3138,$H3138,I$1)</f>
        <v>2</v>
      </c>
      <c r="J3138" s="25">
        <f>_xll.DBRW($A$1,$F$14,$F$15,$C3138,$A$2,$F3138,$G3138,$H3138,J$19)</f>
        <v>12</v>
      </c>
    </row>
    <row r="3139" spans="1:10" s="23" customFormat="1" outlineLevel="1" thickBot="1" x14ac:dyDescent="0.3">
      <c r="A3139" s="44"/>
      <c r="B3139" s="31" t="str">
        <f>IF(_xll.TM1RPTELISCONSOLIDATED($H$20,$H3139),IF(_xll.TM1RPTELLEV($H$20,$H3139)&lt;=5,_xll.TM1RPTELLEV($H$20,$H3139),"Default"),"Leaf")</f>
        <v>Leaf</v>
      </c>
      <c r="C3139" s="26" t="s">
        <v>26</v>
      </c>
      <c r="D3139" s="24" t="str">
        <f>_xll.DBRW("TM1-S1_DEV:}ElementAttributes_SP_SKU",$F3139,D$1)</f>
        <v>Primary</v>
      </c>
      <c r="E3139" s="24" t="str">
        <f>_xll.DBRW("TM1-S1_DEV:}ElementAttributes_SP_SKU",$F3139,E$1)</f>
        <v>CONDIMENT</v>
      </c>
      <c r="F3139" s="26" t="s">
        <v>3153</v>
      </c>
      <c r="G3139" s="26" t="s">
        <v>2429</v>
      </c>
      <c r="H3139" s="26" t="s">
        <v>2684</v>
      </c>
      <c r="I3139" s="54">
        <f>_xll.DBRW($A$1,$F$14,$F$15,$C3139,$A$2,$F3139,$G3139,$H3139,I$1)</f>
        <v>6</v>
      </c>
      <c r="J3139" s="25">
        <f>_xll.DBRW($A$1,$F$14,$F$15,$C3139,$A$2,$F3139,$G3139,$H3139,J$19)</f>
        <v>5</v>
      </c>
    </row>
    <row r="3140" spans="1:10" s="23" customFormat="1" outlineLevel="1" thickBot="1" x14ac:dyDescent="0.3">
      <c r="A3140" s="44"/>
      <c r="B3140" s="31" t="str">
        <f>IF(_xll.TM1RPTELISCONSOLIDATED($H$20,$H3140),IF(_xll.TM1RPTELLEV($H$20,$H3140)&lt;=5,_xll.TM1RPTELLEV($H$20,$H3140),"Default"),"Leaf")</f>
        <v>Leaf</v>
      </c>
      <c r="C3140" s="26" t="s">
        <v>26</v>
      </c>
      <c r="D3140" s="24" t="str">
        <f>_xll.DBRW("TM1-S1_DEV:}ElementAttributes_SP_SKU",$F3140,D$1)</f>
        <v>Primary</v>
      </c>
      <c r="E3140" s="24" t="str">
        <f>_xll.DBRW("TM1-S1_DEV:}ElementAttributes_SP_SKU",$F3140,E$1)</f>
        <v>CONDIMENT</v>
      </c>
      <c r="F3140" s="26" t="s">
        <v>3154</v>
      </c>
      <c r="G3140" s="26" t="s">
        <v>2430</v>
      </c>
      <c r="H3140" s="26" t="s">
        <v>2684</v>
      </c>
      <c r="I3140" s="54">
        <f>_xll.DBRW($A$1,$F$14,$F$15,$C3140,$A$2,$F3140,$G3140,$H3140,I$1)</f>
        <v>21</v>
      </c>
      <c r="J3140" s="25">
        <f>_xll.DBRW($A$1,$F$14,$F$15,$C3140,$A$2,$F3140,$G3140,$H3140,J$19)</f>
        <v>15</v>
      </c>
    </row>
    <row r="3141" spans="1:10" s="23" customFormat="1" outlineLevel="1" thickBot="1" x14ac:dyDescent="0.3">
      <c r="A3141" s="44"/>
      <c r="B3141" s="31" t="str">
        <f>IF(_xll.TM1RPTELISCONSOLIDATED($H$20,$H3141),IF(_xll.TM1RPTELLEV($H$20,$H3141)&lt;=5,_xll.TM1RPTELLEV($H$20,$H3141),"Default"),"Leaf")</f>
        <v>Leaf</v>
      </c>
      <c r="C3141" s="26" t="s">
        <v>26</v>
      </c>
      <c r="D3141" s="24" t="str">
        <f>_xll.DBRW("TM1-S1_DEV:}ElementAttributes_SP_SKU",$F3141,D$1)</f>
        <v>Primary</v>
      </c>
      <c r="E3141" s="24" t="str">
        <f>_xll.DBRW("TM1-S1_DEV:}ElementAttributes_SP_SKU",$F3141,E$1)</f>
        <v>DRESSING</v>
      </c>
      <c r="F3141" s="26" t="s">
        <v>3155</v>
      </c>
      <c r="G3141" s="26" t="s">
        <v>2431</v>
      </c>
      <c r="H3141" s="26" t="s">
        <v>2733</v>
      </c>
      <c r="I3141" s="54">
        <f>_xll.DBRW($A$1,$F$14,$F$15,$C3141,$A$2,$F3141,$G3141,$H3141,I$1)</f>
        <v>16</v>
      </c>
      <c r="J3141" s="25">
        <f>_xll.DBRW($A$1,$F$14,$F$15,$C3141,$A$2,$F3141,$G3141,$H3141,J$19)</f>
        <v>26</v>
      </c>
    </row>
    <row r="3142" spans="1:10" s="23" customFormat="1" outlineLevel="1" thickBot="1" x14ac:dyDescent="0.3">
      <c r="A3142" s="44"/>
      <c r="B3142" s="31" t="str">
        <f>IF(_xll.TM1RPTELISCONSOLIDATED($H$20,$H3142),IF(_xll.TM1RPTELLEV($H$20,$H3142)&lt;=5,_xll.TM1RPTELLEV($H$20,$H3142),"Default"),"Leaf")</f>
        <v>Leaf</v>
      </c>
      <c r="C3142" s="26" t="s">
        <v>26</v>
      </c>
      <c r="D3142" s="24" t="str">
        <f>_xll.DBRW("TM1-S1_DEV:}ElementAttributes_SP_SKU",$F3142,D$1)</f>
        <v>Primary</v>
      </c>
      <c r="E3142" s="24" t="str">
        <f>_xll.DBRW("TM1-S1_DEV:}ElementAttributes_SP_SKU",$F3142,E$1)</f>
        <v>DRESSING</v>
      </c>
      <c r="F3142" s="26" t="s">
        <v>3157</v>
      </c>
      <c r="G3142" s="26" t="s">
        <v>2572</v>
      </c>
      <c r="H3142" s="26" t="s">
        <v>2733</v>
      </c>
      <c r="I3142" s="54">
        <f>_xll.DBRW($A$1,$F$14,$F$15,$C3142,$A$2,$F3142,$G3142,$H3142,I$1)</f>
        <v>4</v>
      </c>
      <c r="J3142" s="25">
        <f>_xll.DBRW($A$1,$F$14,$F$15,$C3142,$A$2,$F3142,$G3142,$H3142,J$19)</f>
        <v>4</v>
      </c>
    </row>
    <row r="3143" spans="1:10" s="23" customFormat="1" outlineLevel="1" thickBot="1" x14ac:dyDescent="0.3">
      <c r="A3143" s="44"/>
      <c r="B3143" s="31" t="str">
        <f>IF(_xll.TM1RPTELISCONSOLIDATED($H$20,$H3143),IF(_xll.TM1RPTELLEV($H$20,$H3143)&lt;=5,_xll.TM1RPTELLEV($H$20,$H3143),"Default"),"Leaf")</f>
        <v>Leaf</v>
      </c>
      <c r="C3143" s="26" t="s">
        <v>26</v>
      </c>
      <c r="D3143" s="24" t="str">
        <f>_xll.DBRW("TM1-S1_DEV:}ElementAttributes_SP_SKU",$F3143,D$1)</f>
        <v>Primary</v>
      </c>
      <c r="E3143" s="24" t="str">
        <f>_xll.DBRW("TM1-S1_DEV:}ElementAttributes_SP_SKU",$F3143,E$1)</f>
        <v>DRESSING</v>
      </c>
      <c r="F3143" s="26" t="s">
        <v>3161</v>
      </c>
      <c r="G3143" s="26" t="s">
        <v>2432</v>
      </c>
      <c r="H3143" s="26" t="s">
        <v>2733</v>
      </c>
      <c r="I3143" s="54">
        <f>_xll.DBRW($A$1,$F$14,$F$15,$C3143,$A$2,$F3143,$G3143,$H3143,I$1)</f>
        <v>3</v>
      </c>
      <c r="J3143" s="25">
        <f>_xll.DBRW($A$1,$F$14,$F$15,$C3143,$A$2,$F3143,$G3143,$H3143,J$19)</f>
        <v>3</v>
      </c>
    </row>
    <row r="3144" spans="1:10" s="23" customFormat="1" outlineLevel="1" thickBot="1" x14ac:dyDescent="0.3">
      <c r="A3144" s="44"/>
      <c r="B3144" s="31" t="str">
        <f>IF(_xll.TM1RPTELISCONSOLIDATED($H$20,$H3144),IF(_xll.TM1RPTELLEV($H$20,$H3144)&lt;=5,_xll.TM1RPTELLEV($H$20,$H3144),"Default"),"Leaf")</f>
        <v>Leaf</v>
      </c>
      <c r="C3144" s="26" t="s">
        <v>26</v>
      </c>
      <c r="D3144" s="24" t="str">
        <f>_xll.DBRW("TM1-S1_DEV:}ElementAttributes_SP_SKU",$F3144,D$1)</f>
        <v>Primary</v>
      </c>
      <c r="E3144" s="24" t="str">
        <f>_xll.DBRW("TM1-S1_DEV:}ElementAttributes_SP_SKU",$F3144,E$1)</f>
        <v>BREAD</v>
      </c>
      <c r="F3144" s="26" t="s">
        <v>3163</v>
      </c>
      <c r="G3144" s="26" t="s">
        <v>2433</v>
      </c>
      <c r="H3144" s="26" t="s">
        <v>2687</v>
      </c>
      <c r="I3144" s="54">
        <f>_xll.DBRW($A$1,$F$14,$F$15,$C3144,$A$2,$F3144,$G3144,$H3144,I$1)</f>
        <v>50</v>
      </c>
      <c r="J3144" s="25">
        <f>_xll.DBRW($A$1,$F$14,$F$15,$C3144,$A$2,$F3144,$G3144,$H3144,J$19)</f>
        <v>45</v>
      </c>
    </row>
    <row r="3145" spans="1:10" s="23" customFormat="1" outlineLevel="1" thickBot="1" x14ac:dyDescent="0.3">
      <c r="A3145" s="44"/>
      <c r="B3145" s="31" t="str">
        <f>IF(_xll.TM1RPTELISCONSOLIDATED($H$20,$H3145),IF(_xll.TM1RPTELLEV($H$20,$H3145)&lt;=5,_xll.TM1RPTELLEV($H$20,$H3145),"Default"),"Leaf")</f>
        <v>Leaf</v>
      </c>
      <c r="C3145" s="26" t="s">
        <v>26</v>
      </c>
      <c r="D3145" s="24" t="str">
        <f>_xll.DBRW("TM1-S1_DEV:}ElementAttributes_SP_SKU",$F3145,D$1)</f>
        <v>Primary</v>
      </c>
      <c r="E3145" s="24" t="str">
        <f>_xll.DBRW("TM1-S1_DEV:}ElementAttributes_SP_SKU",$F3145,E$1)</f>
        <v>BREAD</v>
      </c>
      <c r="F3145" s="26" t="s">
        <v>3164</v>
      </c>
      <c r="G3145" s="26" t="s">
        <v>2434</v>
      </c>
      <c r="H3145" s="26" t="s">
        <v>2687</v>
      </c>
      <c r="I3145" s="54">
        <f>_xll.DBRW($A$1,$F$14,$F$15,$C3145,$A$2,$F3145,$G3145,$H3145,I$1)</f>
        <v>78</v>
      </c>
      <c r="J3145" s="25">
        <f>_xll.DBRW($A$1,$F$14,$F$15,$C3145,$A$2,$F3145,$G3145,$H3145,J$19)</f>
        <v>72</v>
      </c>
    </row>
    <row r="3146" spans="1:10" s="23" customFormat="1" outlineLevel="1" thickBot="1" x14ac:dyDescent="0.3">
      <c r="A3146" s="44"/>
      <c r="B3146" s="31" t="str">
        <f>IF(_xll.TM1RPTELISCONSOLIDATED($H$20,$H3146),IF(_xll.TM1RPTELLEV($H$20,$H3146)&lt;=5,_xll.TM1RPTELLEV($H$20,$H3146),"Default"),"Leaf")</f>
        <v>Leaf</v>
      </c>
      <c r="C3146" s="26" t="s">
        <v>26</v>
      </c>
      <c r="D3146" s="24" t="str">
        <f>_xll.DBRW("TM1-S1_DEV:}ElementAttributes_SP_SKU",$F3146,D$1)</f>
        <v>Primary</v>
      </c>
      <c r="E3146" s="24" t="str">
        <f>_xll.DBRW("TM1-S1_DEV:}ElementAttributes_SP_SKU",$F3146,E$1)</f>
        <v>BREAD</v>
      </c>
      <c r="F3146" s="26" t="s">
        <v>3165</v>
      </c>
      <c r="G3146" s="26" t="s">
        <v>2435</v>
      </c>
      <c r="H3146" s="26" t="s">
        <v>2688</v>
      </c>
      <c r="I3146" s="54">
        <f>_xll.DBRW($A$1,$F$14,$F$15,$C3146,$A$2,$F3146,$G3146,$H3146,I$1)</f>
        <v>94</v>
      </c>
      <c r="J3146" s="25">
        <f>_xll.DBRW($A$1,$F$14,$F$15,$C3146,$A$2,$F3146,$G3146,$H3146,J$19)</f>
        <v>61</v>
      </c>
    </row>
    <row r="3147" spans="1:10" s="23" customFormat="1" outlineLevel="1" thickBot="1" x14ac:dyDescent="0.3">
      <c r="A3147" s="44"/>
      <c r="B3147" s="31" t="str">
        <f>IF(_xll.TM1RPTELISCONSOLIDATED($H$20,$H3147),IF(_xll.TM1RPTELLEV($H$20,$H3147)&lt;=5,_xll.TM1RPTELLEV($H$20,$H3147),"Default"),"Leaf")</f>
        <v>Leaf</v>
      </c>
      <c r="C3147" s="26" t="s">
        <v>26</v>
      </c>
      <c r="D3147" s="24" t="str">
        <f>_xll.DBRW("TM1-S1_DEV:}ElementAttributes_SP_SKU",$F3147,D$1)</f>
        <v>Primary</v>
      </c>
      <c r="E3147" s="24" t="str">
        <f>_xll.DBRW("TM1-S1_DEV:}ElementAttributes_SP_SKU",$F3147,E$1)</f>
        <v>BREAD</v>
      </c>
      <c r="F3147" s="26" t="s">
        <v>3166</v>
      </c>
      <c r="G3147" s="26" t="s">
        <v>2436</v>
      </c>
      <c r="H3147" s="26" t="s">
        <v>2689</v>
      </c>
      <c r="I3147" s="54">
        <f>_xll.DBRW($A$1,$F$14,$F$15,$C3147,$A$2,$F3147,$G3147,$H3147,I$1)</f>
        <v>34</v>
      </c>
      <c r="J3147" s="25">
        <f>_xll.DBRW($A$1,$F$14,$F$15,$C3147,$A$2,$F3147,$G3147,$H3147,J$19)</f>
        <v>24</v>
      </c>
    </row>
    <row r="3148" spans="1:10" s="23" customFormat="1" outlineLevel="1" thickBot="1" x14ac:dyDescent="0.3">
      <c r="A3148" s="44"/>
      <c r="B3148" s="31" t="str">
        <f>IF(_xll.TM1RPTELISCONSOLIDATED($H$20,$H3148),IF(_xll.TM1RPTELLEV($H$20,$H3148)&lt;=5,_xll.TM1RPTELLEV($H$20,$H3148),"Default"),"Leaf")</f>
        <v>Leaf</v>
      </c>
      <c r="C3148" s="26" t="s">
        <v>26</v>
      </c>
      <c r="D3148" s="24" t="str">
        <f>_xll.DBRW("TM1-S1_DEV:}ElementAttributes_SP_SKU",$F3148,D$1)</f>
        <v>Primary</v>
      </c>
      <c r="E3148" s="24" t="str">
        <f>_xll.DBRW("TM1-S1_DEV:}ElementAttributes_SP_SKU",$F3148,E$1)</f>
        <v>BREAD</v>
      </c>
      <c r="F3148" s="26" t="s">
        <v>3167</v>
      </c>
      <c r="G3148" s="26" t="s">
        <v>2437</v>
      </c>
      <c r="H3148" s="26" t="s">
        <v>2688</v>
      </c>
      <c r="I3148" s="54">
        <f>_xll.DBRW($A$1,$F$14,$F$15,$C3148,$A$2,$F3148,$G3148,$H3148,I$1)</f>
        <v>25</v>
      </c>
      <c r="J3148" s="25">
        <f>_xll.DBRW($A$1,$F$14,$F$15,$C3148,$A$2,$F3148,$G3148,$H3148,J$19)</f>
        <v>14</v>
      </c>
    </row>
    <row r="3149" spans="1:10" s="23" customFormat="1" outlineLevel="1" thickBot="1" x14ac:dyDescent="0.3">
      <c r="A3149" s="44"/>
      <c r="B3149" s="31" t="str">
        <f>IF(_xll.TM1RPTELISCONSOLIDATED($H$20,$H3149),IF(_xll.TM1RPTELLEV($H$20,$H3149)&lt;=5,_xll.TM1RPTELLEV($H$20,$H3149),"Default"),"Leaf")</f>
        <v>Leaf</v>
      </c>
      <c r="C3149" s="26" t="s">
        <v>26</v>
      </c>
      <c r="D3149" s="24" t="str">
        <f>_xll.DBRW("TM1-S1_DEV:}ElementAttributes_SP_SKU",$F3149,D$1)</f>
        <v>Primary</v>
      </c>
      <c r="E3149" s="24" t="str">
        <f>_xll.DBRW("TM1-S1_DEV:}ElementAttributes_SP_SKU",$F3149,E$1)</f>
        <v>BREAD</v>
      </c>
      <c r="F3149" s="26" t="s">
        <v>3168</v>
      </c>
      <c r="G3149" s="26" t="s">
        <v>2438</v>
      </c>
      <c r="H3149" s="26" t="s">
        <v>2688</v>
      </c>
      <c r="I3149" s="54">
        <f>_xll.DBRW($A$1,$F$14,$F$15,$C3149,$A$2,$F3149,$G3149,$H3149,I$1)</f>
        <v>19</v>
      </c>
      <c r="J3149" s="25">
        <f>_xll.DBRW($A$1,$F$14,$F$15,$C3149,$A$2,$F3149,$G3149,$H3149,J$19)</f>
        <v>9</v>
      </c>
    </row>
    <row r="3150" spans="1:10" s="23" customFormat="1" outlineLevel="1" thickBot="1" x14ac:dyDescent="0.3">
      <c r="A3150" s="44"/>
      <c r="B3150" s="31" t="str">
        <f>IF(_xll.TM1RPTELISCONSOLIDATED($H$20,$H3150),IF(_xll.TM1RPTELLEV($H$20,$H3150)&lt;=5,_xll.TM1RPTELLEV($H$20,$H3150),"Default"),"Leaf")</f>
        <v>Leaf</v>
      </c>
      <c r="C3150" s="26" t="s">
        <v>26</v>
      </c>
      <c r="D3150" s="24" t="str">
        <f>_xll.DBRW("TM1-S1_DEV:}ElementAttributes_SP_SKU",$F3150,D$1)</f>
        <v>Primary</v>
      </c>
      <c r="E3150" s="24" t="str">
        <f>_xll.DBRW("TM1-S1_DEV:}ElementAttributes_SP_SKU",$F3150,E$1)</f>
        <v>BREAD</v>
      </c>
      <c r="F3150" s="26" t="s">
        <v>3169</v>
      </c>
      <c r="G3150" s="26" t="s">
        <v>2439</v>
      </c>
      <c r="H3150" s="26" t="s">
        <v>2690</v>
      </c>
      <c r="I3150" s="54">
        <f>_xll.DBRW($A$1,$F$14,$F$15,$C3150,$A$2,$F3150,$G3150,$H3150,I$1)</f>
        <v>38</v>
      </c>
      <c r="J3150" s="25">
        <f>_xll.DBRW($A$1,$F$14,$F$15,$C3150,$A$2,$F3150,$G3150,$H3150,J$19)</f>
        <v>49</v>
      </c>
    </row>
    <row r="3151" spans="1:10" s="23" customFormat="1" outlineLevel="1" thickBot="1" x14ac:dyDescent="0.3">
      <c r="A3151" s="44"/>
      <c r="B3151" s="31" t="str">
        <f>IF(_xll.TM1RPTELISCONSOLIDATED($H$20,$H3151),IF(_xll.TM1RPTELLEV($H$20,$H3151)&lt;=5,_xll.TM1RPTELLEV($H$20,$H3151),"Default"),"Leaf")</f>
        <v>Leaf</v>
      </c>
      <c r="C3151" s="26" t="s">
        <v>26</v>
      </c>
      <c r="D3151" s="24" t="str">
        <f>_xll.DBRW("TM1-S1_DEV:}ElementAttributes_SP_SKU",$F3151,D$1)</f>
        <v>Primary</v>
      </c>
      <c r="E3151" s="24" t="str">
        <f>_xll.DBRW("TM1-S1_DEV:}ElementAttributes_SP_SKU",$F3151,E$1)</f>
        <v>BREAD</v>
      </c>
      <c r="F3151" s="26" t="s">
        <v>3170</v>
      </c>
      <c r="G3151" s="26" t="s">
        <v>2573</v>
      </c>
      <c r="H3151" s="26" t="s">
        <v>2690</v>
      </c>
      <c r="I3151" s="54">
        <f>_xll.DBRW($A$1,$F$14,$F$15,$C3151,$A$2,$F3151,$G3151,$H3151,I$1)</f>
        <v>0</v>
      </c>
      <c r="J3151" s="25">
        <f>_xll.DBRW($A$1,$F$14,$F$15,$C3151,$A$2,$F3151,$G3151,$H3151,J$19)</f>
        <v>1</v>
      </c>
    </row>
    <row r="3152" spans="1:10" s="23" customFormat="1" outlineLevel="1" thickBot="1" x14ac:dyDescent="0.3">
      <c r="A3152" s="44"/>
      <c r="B3152" s="31" t="str">
        <f>IF(_xll.TM1RPTELISCONSOLIDATED($H$20,$H3152),IF(_xll.TM1RPTELLEV($H$20,$H3152)&lt;=5,_xll.TM1RPTELLEV($H$20,$H3152),"Default"),"Leaf")</f>
        <v>Leaf</v>
      </c>
      <c r="C3152" s="26" t="s">
        <v>26</v>
      </c>
      <c r="D3152" s="24" t="str">
        <f>_xll.DBRW("TM1-S1_DEV:}ElementAttributes_SP_SKU",$F3152,D$1)</f>
        <v>Primary</v>
      </c>
      <c r="E3152" s="24" t="str">
        <f>_xll.DBRW("TM1-S1_DEV:}ElementAttributes_SP_SKU",$F3152,E$1)</f>
        <v>BREAD</v>
      </c>
      <c r="F3152" s="26" t="s">
        <v>3171</v>
      </c>
      <c r="G3152" s="26" t="s">
        <v>2440</v>
      </c>
      <c r="H3152" s="26" t="s">
        <v>2690</v>
      </c>
      <c r="I3152" s="54">
        <f>_xll.DBRW($A$1,$F$14,$F$15,$C3152,$A$2,$F3152,$G3152,$H3152,I$1)</f>
        <v>1</v>
      </c>
      <c r="J3152" s="25">
        <f>_xll.DBRW($A$1,$F$14,$F$15,$C3152,$A$2,$F3152,$G3152,$H3152,J$19)</f>
        <v>0</v>
      </c>
    </row>
    <row r="3153" spans="1:10" s="23" customFormat="1" outlineLevel="1" thickBot="1" x14ac:dyDescent="0.3">
      <c r="A3153" s="44"/>
      <c r="B3153" s="31" t="str">
        <f>IF(_xll.TM1RPTELISCONSOLIDATED($H$20,$H3153),IF(_xll.TM1RPTELLEV($H$20,$H3153)&lt;=5,_xll.TM1RPTELLEV($H$20,$H3153),"Default"),"Leaf")</f>
        <v>Leaf</v>
      </c>
      <c r="C3153" s="26" t="s">
        <v>26</v>
      </c>
      <c r="D3153" s="24" t="str">
        <f>_xll.DBRW("TM1-S1_DEV:}ElementAttributes_SP_SKU",$F3153,D$1)</f>
        <v>Primary</v>
      </c>
      <c r="E3153" s="24" t="str">
        <f>_xll.DBRW("TM1-S1_DEV:}ElementAttributes_SP_SKU",$F3153,E$1)</f>
        <v>BREAD</v>
      </c>
      <c r="F3153" s="26" t="s">
        <v>3172</v>
      </c>
      <c r="G3153" s="26" t="s">
        <v>2574</v>
      </c>
      <c r="H3153" s="26" t="s">
        <v>2690</v>
      </c>
      <c r="I3153" s="54">
        <f>_xll.DBRW($A$1,$F$14,$F$15,$C3153,$A$2,$F3153,$G3153,$H3153,I$1)</f>
        <v>4</v>
      </c>
      <c r="J3153" s="25">
        <f>_xll.DBRW($A$1,$F$14,$F$15,$C3153,$A$2,$F3153,$G3153,$H3153,J$19)</f>
        <v>3</v>
      </c>
    </row>
    <row r="3154" spans="1:10" s="23" customFormat="1" outlineLevel="1" thickBot="1" x14ac:dyDescent="0.3">
      <c r="A3154" s="44"/>
      <c r="B3154" s="31" t="str">
        <f>IF(_xll.TM1RPTELISCONSOLIDATED($H$20,$H3154),IF(_xll.TM1RPTELLEV($H$20,$H3154)&lt;=5,_xll.TM1RPTELLEV($H$20,$H3154),"Default"),"Leaf")</f>
        <v>Leaf</v>
      </c>
      <c r="C3154" s="26" t="s">
        <v>26</v>
      </c>
      <c r="D3154" s="24" t="str">
        <f>_xll.DBRW("TM1-S1_DEV:}ElementAttributes_SP_SKU",$F3154,D$1)</f>
        <v>Primary</v>
      </c>
      <c r="E3154" s="24" t="str">
        <f>_xll.DBRW("TM1-S1_DEV:}ElementAttributes_SP_SKU",$F3154,E$1)</f>
        <v>BREAD</v>
      </c>
      <c r="F3154" s="26" t="s">
        <v>3252</v>
      </c>
      <c r="G3154" s="26" t="s">
        <v>2441</v>
      </c>
      <c r="H3154" s="26" t="s">
        <v>2691</v>
      </c>
      <c r="I3154" s="54">
        <f>_xll.DBRW($A$1,$F$14,$F$15,$C3154,$A$2,$F3154,$G3154,$H3154,I$1)</f>
        <v>2</v>
      </c>
      <c r="J3154" s="25">
        <f>_xll.DBRW($A$1,$F$14,$F$15,$C3154,$A$2,$F3154,$G3154,$H3154,J$19)</f>
        <v>2</v>
      </c>
    </row>
    <row r="3155" spans="1:10" s="23" customFormat="1" outlineLevel="1" thickBot="1" x14ac:dyDescent="0.3">
      <c r="A3155" s="44"/>
      <c r="B3155" s="31" t="str">
        <f>IF(_xll.TM1RPTELISCONSOLIDATED($H$20,$H3155),IF(_xll.TM1RPTELLEV($H$20,$H3155)&lt;=5,_xll.TM1RPTELLEV($H$20,$H3155),"Default"),"Leaf")</f>
        <v>Leaf</v>
      </c>
      <c r="C3155" s="26" t="s">
        <v>26</v>
      </c>
      <c r="D3155" s="24" t="str">
        <f>_xll.DBRW("TM1-S1_DEV:}ElementAttributes_SP_SKU",$F3155,D$1)</f>
        <v>Primary</v>
      </c>
      <c r="E3155" s="24" t="str">
        <f>_xll.DBRW("TM1-S1_DEV:}ElementAttributes_SP_SKU",$F3155,E$1)</f>
        <v>CONDIMENT</v>
      </c>
      <c r="F3155" s="26" t="s">
        <v>3174</v>
      </c>
      <c r="G3155" s="26" t="s">
        <v>2444</v>
      </c>
      <c r="H3155" s="26" t="s">
        <v>2684</v>
      </c>
      <c r="I3155" s="54">
        <f>_xll.DBRW($A$1,$F$14,$F$15,$C3155,$A$2,$F3155,$G3155,$H3155,I$1)</f>
        <v>2</v>
      </c>
      <c r="J3155" s="25">
        <f>_xll.DBRW($A$1,$F$14,$F$15,$C3155,$A$2,$F3155,$G3155,$H3155,J$19)</f>
        <v>10</v>
      </c>
    </row>
    <row r="3156" spans="1:10" s="23" customFormat="1" outlineLevel="1" thickBot="1" x14ac:dyDescent="0.3">
      <c r="A3156" s="44"/>
      <c r="B3156" s="31" t="str">
        <f>IF(_xll.TM1RPTELISCONSOLIDATED($H$20,$H3156),IF(_xll.TM1RPTELLEV($H$20,$H3156)&lt;=5,_xll.TM1RPTELLEV($H$20,$H3156),"Default"),"Leaf")</f>
        <v>Leaf</v>
      </c>
      <c r="C3156" s="26" t="s">
        <v>26</v>
      </c>
      <c r="D3156" s="24" t="str">
        <f>_xll.DBRW("TM1-S1_DEV:}ElementAttributes_SP_SKU",$F3156,D$1)</f>
        <v>Primary</v>
      </c>
      <c r="E3156" s="24" t="str">
        <f>_xll.DBRW("TM1-S1_DEV:}ElementAttributes_SP_SKU",$F3156,E$1)</f>
        <v>CONDIMENT</v>
      </c>
      <c r="F3156" s="26" t="s">
        <v>3176</v>
      </c>
      <c r="G3156" s="26" t="s">
        <v>2445</v>
      </c>
      <c r="H3156" s="26" t="s">
        <v>2684</v>
      </c>
      <c r="I3156" s="54">
        <f>_xll.DBRW($A$1,$F$14,$F$15,$C3156,$A$2,$F3156,$G3156,$H3156,I$1)</f>
        <v>5</v>
      </c>
      <c r="J3156" s="25">
        <f>_xll.DBRW($A$1,$F$14,$F$15,$C3156,$A$2,$F3156,$G3156,$H3156,J$19)</f>
        <v>3</v>
      </c>
    </row>
    <row r="3157" spans="1:10" s="23" customFormat="1" outlineLevel="1" thickBot="1" x14ac:dyDescent="0.3">
      <c r="A3157" s="44"/>
      <c r="B3157" s="31" t="str">
        <f>IF(_xll.TM1RPTELISCONSOLIDATED($H$20,$H3157),IF(_xll.TM1RPTELLEV($H$20,$H3157)&lt;=5,_xll.TM1RPTELLEV($H$20,$H3157),"Default"),"Leaf")</f>
        <v>Leaf</v>
      </c>
      <c r="C3157" s="26" t="s">
        <v>26</v>
      </c>
      <c r="D3157" s="24" t="str">
        <f>_xll.DBRW("TM1-S1_DEV:}ElementAttributes_SP_SKU",$F3157,D$1)</f>
        <v>Primary</v>
      </c>
      <c r="E3157" s="24" t="str">
        <f>_xll.DBRW("TM1-S1_DEV:}ElementAttributes_SP_SKU",$F3157,E$1)</f>
        <v>CONDIMENT</v>
      </c>
      <c r="F3157" s="26" t="s">
        <v>3253</v>
      </c>
      <c r="G3157" s="26" t="s">
        <v>2446</v>
      </c>
      <c r="H3157" s="26" t="s">
        <v>2686</v>
      </c>
      <c r="I3157" s="54">
        <f>_xll.DBRW($A$1,$F$14,$F$15,$C3157,$A$2,$F3157,$G3157,$H3157,I$1)</f>
        <v>12</v>
      </c>
      <c r="J3157" s="25">
        <f>_xll.DBRW($A$1,$F$14,$F$15,$C3157,$A$2,$F3157,$G3157,$H3157,J$19)</f>
        <v>11</v>
      </c>
    </row>
    <row r="3158" spans="1:10" s="23" customFormat="1" outlineLevel="1" thickBot="1" x14ac:dyDescent="0.3">
      <c r="A3158" s="44"/>
      <c r="B3158" s="31" t="str">
        <f>IF(_xll.TM1RPTELISCONSOLIDATED($H$20,$H3158),IF(_xll.TM1RPTELLEV($H$20,$H3158)&lt;=5,_xll.TM1RPTELLEV($H$20,$H3158),"Default"),"Leaf")</f>
        <v>Leaf</v>
      </c>
      <c r="C3158" s="26" t="s">
        <v>26</v>
      </c>
      <c r="D3158" s="24" t="str">
        <f>_xll.DBRW("TM1-S1_DEV:}ElementAttributes_SP_SKU",$F3158,D$1)</f>
        <v>Primary</v>
      </c>
      <c r="E3158" s="24" t="str">
        <f>_xll.DBRW("TM1-S1_DEV:}ElementAttributes_SP_SKU",$F3158,E$1)</f>
        <v>INGREDIENT</v>
      </c>
      <c r="F3158" s="26" t="s">
        <v>3177</v>
      </c>
      <c r="G3158" s="26" t="s">
        <v>2447</v>
      </c>
      <c r="H3158" s="26" t="s">
        <v>2686</v>
      </c>
      <c r="I3158" s="54">
        <f>_xll.DBRW($A$1,$F$14,$F$15,$C3158,$A$2,$F3158,$G3158,$H3158,I$1)</f>
        <v>9</v>
      </c>
      <c r="J3158" s="25">
        <f>_xll.DBRW($A$1,$F$14,$F$15,$C3158,$A$2,$F3158,$G3158,$H3158,J$19)</f>
        <v>7</v>
      </c>
    </row>
    <row r="3159" spans="1:10" s="23" customFormat="1" outlineLevel="1" thickBot="1" x14ac:dyDescent="0.3">
      <c r="A3159" s="44"/>
      <c r="B3159" s="31" t="str">
        <f>IF(_xll.TM1RPTELISCONSOLIDATED($H$20,$H3159),IF(_xll.TM1RPTELLEV($H$20,$H3159)&lt;=5,_xll.TM1RPTELLEV($H$20,$H3159),"Default"),"Leaf")</f>
        <v>Leaf</v>
      </c>
      <c r="C3159" s="26" t="s">
        <v>26</v>
      </c>
      <c r="D3159" s="24" t="str">
        <f>_xll.DBRW("TM1-S1_DEV:}ElementAttributes_SP_SKU",$F3159,D$1)</f>
        <v>Primary</v>
      </c>
      <c r="E3159" s="24" t="str">
        <f>_xll.DBRW("TM1-S1_DEV:}ElementAttributes_SP_SKU",$F3159,E$1)</f>
        <v>CONDIMENT</v>
      </c>
      <c r="F3159" s="26" t="s">
        <v>3178</v>
      </c>
      <c r="G3159" s="26" t="s">
        <v>2448</v>
      </c>
      <c r="H3159" s="26" t="s">
        <v>2684</v>
      </c>
      <c r="I3159" s="54">
        <f>_xll.DBRW($A$1,$F$14,$F$15,$C3159,$A$2,$F3159,$G3159,$H3159,I$1)</f>
        <v>5</v>
      </c>
      <c r="J3159" s="25">
        <f>_xll.DBRW($A$1,$F$14,$F$15,$C3159,$A$2,$F3159,$G3159,$H3159,J$19)</f>
        <v>4</v>
      </c>
    </row>
    <row r="3160" spans="1:10" s="23" customFormat="1" outlineLevel="1" thickBot="1" x14ac:dyDescent="0.3">
      <c r="A3160" s="44"/>
      <c r="B3160" s="31" t="str">
        <f>IF(_xll.TM1RPTELISCONSOLIDATED($H$20,$H3160),IF(_xll.TM1RPTELLEV($H$20,$H3160)&lt;=5,_xll.TM1RPTELLEV($H$20,$H3160),"Default"),"Leaf")</f>
        <v>Leaf</v>
      </c>
      <c r="C3160" s="26" t="s">
        <v>26</v>
      </c>
      <c r="D3160" s="24" t="str">
        <f>_xll.DBRW("TM1-S1_DEV:}ElementAttributes_SP_SKU",$F3160,D$1)</f>
        <v>Primary</v>
      </c>
      <c r="E3160" s="24" t="str">
        <f>_xll.DBRW("TM1-S1_DEV:}ElementAttributes_SP_SKU",$F3160,E$1)</f>
        <v>CONDIMENT</v>
      </c>
      <c r="F3160" s="26" t="s">
        <v>3179</v>
      </c>
      <c r="G3160" s="26" t="s">
        <v>2449</v>
      </c>
      <c r="H3160" s="26" t="s">
        <v>2684</v>
      </c>
      <c r="I3160" s="54">
        <f>_xll.DBRW($A$1,$F$14,$F$15,$C3160,$A$2,$F3160,$G3160,$H3160,I$1)</f>
        <v>5</v>
      </c>
      <c r="J3160" s="25">
        <f>_xll.DBRW($A$1,$F$14,$F$15,$C3160,$A$2,$F3160,$G3160,$H3160,J$19)</f>
        <v>10</v>
      </c>
    </row>
    <row r="3161" spans="1:10" s="23" customFormat="1" outlineLevel="1" thickBot="1" x14ac:dyDescent="0.3">
      <c r="A3161" s="44"/>
      <c r="B3161" s="31" t="str">
        <f>IF(_xll.TM1RPTELISCONSOLIDATED($H$20,$H3161),IF(_xll.TM1RPTELLEV($H$20,$H3161)&lt;=5,_xll.TM1RPTELLEV($H$20,$H3161),"Default"),"Leaf")</f>
        <v>Leaf</v>
      </c>
      <c r="C3161" s="26" t="s">
        <v>26</v>
      </c>
      <c r="D3161" s="24" t="str">
        <f>_xll.DBRW("TM1-S1_DEV:}ElementAttributes_SP_SKU",$F3161,D$1)</f>
        <v>Primary</v>
      </c>
      <c r="E3161" s="24" t="str">
        <f>_xll.DBRW("TM1-S1_DEV:}ElementAttributes_SP_SKU",$F3161,E$1)</f>
        <v>COOKIE</v>
      </c>
      <c r="F3161" s="26" t="s">
        <v>3180</v>
      </c>
      <c r="G3161" s="26" t="s">
        <v>2451</v>
      </c>
      <c r="H3161" s="26" t="s">
        <v>2691</v>
      </c>
      <c r="I3161" s="54">
        <f>_xll.DBRW($A$1,$F$14,$F$15,$C3161,$A$2,$F3161,$G3161,$H3161,I$1)</f>
        <v>23</v>
      </c>
      <c r="J3161" s="25">
        <f>_xll.DBRW($A$1,$F$14,$F$15,$C3161,$A$2,$F3161,$G3161,$H3161,J$19)</f>
        <v>21</v>
      </c>
    </row>
    <row r="3162" spans="1:10" s="23" customFormat="1" outlineLevel="1" thickBot="1" x14ac:dyDescent="0.3">
      <c r="A3162" s="44"/>
      <c r="B3162" s="31" t="str">
        <f>IF(_xll.TM1RPTELISCONSOLIDATED($H$20,$H3162),IF(_xll.TM1RPTELLEV($H$20,$H3162)&lt;=5,_xll.TM1RPTELLEV($H$20,$H3162),"Default"),"Leaf")</f>
        <v>Leaf</v>
      </c>
      <c r="C3162" s="26" t="s">
        <v>26</v>
      </c>
      <c r="D3162" s="24" t="str">
        <f>_xll.DBRW("TM1-S1_DEV:}ElementAttributes_SP_SKU",$F3162,D$1)</f>
        <v>Primary</v>
      </c>
      <c r="E3162" s="24" t="str">
        <f>_xll.DBRW("TM1-S1_DEV:}ElementAttributes_SP_SKU",$F3162,E$1)</f>
        <v>COOKIE</v>
      </c>
      <c r="F3162" s="26" t="s">
        <v>3181</v>
      </c>
      <c r="G3162" s="26" t="s">
        <v>2452</v>
      </c>
      <c r="H3162" s="26" t="s">
        <v>2691</v>
      </c>
      <c r="I3162" s="54">
        <f>_xll.DBRW($A$1,$F$14,$F$15,$C3162,$A$2,$F3162,$G3162,$H3162,I$1)</f>
        <v>15</v>
      </c>
      <c r="J3162" s="25">
        <f>_xll.DBRW($A$1,$F$14,$F$15,$C3162,$A$2,$F3162,$G3162,$H3162,J$19)</f>
        <v>29</v>
      </c>
    </row>
    <row r="3163" spans="1:10" s="23" customFormat="1" outlineLevel="1" thickBot="1" x14ac:dyDescent="0.3">
      <c r="A3163" s="44"/>
      <c r="B3163" s="31" t="str">
        <f>IF(_xll.TM1RPTELISCONSOLIDATED($H$20,$H3163),IF(_xll.TM1RPTELLEV($H$20,$H3163)&lt;=5,_xll.TM1RPTELLEV($H$20,$H3163),"Default"),"Leaf")</f>
        <v>Leaf</v>
      </c>
      <c r="C3163" s="26" t="s">
        <v>26</v>
      </c>
      <c r="D3163" s="24" t="str">
        <f>_xll.DBRW("TM1-S1_DEV:}ElementAttributes_SP_SKU",$F3163,D$1)</f>
        <v>Primary</v>
      </c>
      <c r="E3163" s="24" t="str">
        <f>_xll.DBRW("TM1-S1_DEV:}ElementAttributes_SP_SKU",$F3163,E$1)</f>
        <v>COOKIE</v>
      </c>
      <c r="F3163" s="26" t="s">
        <v>3182</v>
      </c>
      <c r="G3163" s="26" t="s">
        <v>2453</v>
      </c>
      <c r="H3163" s="26" t="s">
        <v>2691</v>
      </c>
      <c r="I3163" s="54">
        <f>_xll.DBRW($A$1,$F$14,$F$15,$C3163,$A$2,$F3163,$G3163,$H3163,I$1)</f>
        <v>21</v>
      </c>
      <c r="J3163" s="25">
        <f>_xll.DBRW($A$1,$F$14,$F$15,$C3163,$A$2,$F3163,$G3163,$H3163,J$19)</f>
        <v>35</v>
      </c>
    </row>
    <row r="3164" spans="1:10" s="23" customFormat="1" outlineLevel="1" thickBot="1" x14ac:dyDescent="0.3">
      <c r="A3164" s="44"/>
      <c r="B3164" s="31" t="str">
        <f>IF(_xll.TM1RPTELISCONSOLIDATED($H$20,$H3164),IF(_xll.TM1RPTELLEV($H$20,$H3164)&lt;=5,_xll.TM1RPTELLEV($H$20,$H3164),"Default"),"Leaf")</f>
        <v>Leaf</v>
      </c>
      <c r="C3164" s="26" t="s">
        <v>26</v>
      </c>
      <c r="D3164" s="24" t="str">
        <f>_xll.DBRW("TM1-S1_DEV:}ElementAttributes_SP_SKU",$F3164,D$1)</f>
        <v>Primary</v>
      </c>
      <c r="E3164" s="24" t="str">
        <f>_xll.DBRW("TM1-S1_DEV:}ElementAttributes_SP_SKU",$F3164,E$1)</f>
        <v>COOKIE</v>
      </c>
      <c r="F3164" s="26" t="s">
        <v>3183</v>
      </c>
      <c r="G3164" s="26" t="s">
        <v>2454</v>
      </c>
      <c r="H3164" s="26" t="s">
        <v>2691</v>
      </c>
      <c r="I3164" s="54">
        <f>_xll.DBRW($A$1,$F$14,$F$15,$C3164,$A$2,$F3164,$G3164,$H3164,I$1)</f>
        <v>23</v>
      </c>
      <c r="J3164" s="25">
        <f>_xll.DBRW($A$1,$F$14,$F$15,$C3164,$A$2,$F3164,$G3164,$H3164,J$19)</f>
        <v>31</v>
      </c>
    </row>
    <row r="3165" spans="1:10" s="23" customFormat="1" outlineLevel="1" thickBot="1" x14ac:dyDescent="0.3">
      <c r="A3165" s="44"/>
      <c r="B3165" s="31" t="str">
        <f>IF(_xll.TM1RPTELISCONSOLIDATED($H$20,$H3165),IF(_xll.TM1RPTELLEV($H$20,$H3165)&lt;=5,_xll.TM1RPTELLEV($H$20,$H3165),"Default"),"Leaf")</f>
        <v>Leaf</v>
      </c>
      <c r="C3165" s="26" t="s">
        <v>26</v>
      </c>
      <c r="D3165" s="24" t="str">
        <f>_xll.DBRW("TM1-S1_DEV:}ElementAttributes_SP_SKU",$F3165,D$1)</f>
        <v>Primary</v>
      </c>
      <c r="E3165" s="24" t="str">
        <f>_xll.DBRW("TM1-S1_DEV:}ElementAttributes_SP_SKU",$F3165,E$1)</f>
        <v>INGREDIENT</v>
      </c>
      <c r="F3165" s="26" t="s">
        <v>3185</v>
      </c>
      <c r="G3165" s="26" t="s">
        <v>2455</v>
      </c>
      <c r="H3165" s="26" t="s">
        <v>2693</v>
      </c>
      <c r="I3165" s="54">
        <f>_xll.DBRW($A$1,$F$14,$F$15,$C3165,$A$2,$F3165,$G3165,$H3165,I$1)</f>
        <v>17</v>
      </c>
      <c r="J3165" s="25">
        <f>_xll.DBRW($A$1,$F$14,$F$15,$C3165,$A$2,$F3165,$G3165,$H3165,J$19)</f>
        <v>14</v>
      </c>
    </row>
    <row r="3166" spans="1:10" s="23" customFormat="1" outlineLevel="1" thickBot="1" x14ac:dyDescent="0.3">
      <c r="A3166" s="44"/>
      <c r="B3166" s="31" t="str">
        <f>IF(_xll.TM1RPTELISCONSOLIDATED($H$20,$H3166),IF(_xll.TM1RPTELLEV($H$20,$H3166)&lt;=5,_xll.TM1RPTELLEV($H$20,$H3166),"Default"),"Leaf")</f>
        <v>Leaf</v>
      </c>
      <c r="C3166" s="26" t="s">
        <v>26</v>
      </c>
      <c r="D3166" s="24" t="str">
        <f>_xll.DBRW("TM1-S1_DEV:}ElementAttributes_SP_SKU",$F3166,D$1)</f>
        <v>Primary</v>
      </c>
      <c r="E3166" s="24" t="str">
        <f>_xll.DBRW("TM1-S1_DEV:}ElementAttributes_SP_SKU",$F3166,E$1)</f>
        <v>INGREDIENT</v>
      </c>
      <c r="F3166" s="26" t="s">
        <v>3186</v>
      </c>
      <c r="G3166" s="26" t="s">
        <v>2456</v>
      </c>
      <c r="H3166" s="26" t="s">
        <v>2694</v>
      </c>
      <c r="I3166" s="54">
        <f>_xll.DBRW($A$1,$F$14,$F$15,$C3166,$A$2,$F3166,$G3166,$H3166,I$1)</f>
        <v>3</v>
      </c>
      <c r="J3166" s="25">
        <f>_xll.DBRW($A$1,$F$14,$F$15,$C3166,$A$2,$F3166,$G3166,$H3166,J$19)</f>
        <v>3</v>
      </c>
    </row>
    <row r="3167" spans="1:10" s="23" customFormat="1" outlineLevel="1" thickBot="1" x14ac:dyDescent="0.3">
      <c r="A3167" s="44"/>
      <c r="B3167" s="31" t="str">
        <f>IF(_xll.TM1RPTELISCONSOLIDATED($H$20,$H3167),IF(_xll.TM1RPTELLEV($H$20,$H3167)&lt;=5,_xll.TM1RPTELLEV($H$20,$H3167),"Default"),"Leaf")</f>
        <v>Leaf</v>
      </c>
      <c r="C3167" s="26" t="s">
        <v>26</v>
      </c>
      <c r="D3167" s="24" t="str">
        <f>_xll.DBRW("TM1-S1_DEV:}ElementAttributes_SP_SKU",$F3167,D$1)</f>
        <v>Primary</v>
      </c>
      <c r="E3167" s="24" t="str">
        <f>_xll.DBRW("TM1-S1_DEV:}ElementAttributes_SP_SKU",$F3167,E$1)</f>
        <v>INGREDIENT</v>
      </c>
      <c r="F3167" s="26" t="s">
        <v>3187</v>
      </c>
      <c r="G3167" s="26" t="s">
        <v>2457</v>
      </c>
      <c r="H3167" s="26" t="s">
        <v>2695</v>
      </c>
      <c r="I3167" s="54">
        <f>_xll.DBRW($A$1,$F$14,$F$15,$C3167,$A$2,$F3167,$G3167,$H3167,I$1)</f>
        <v>18</v>
      </c>
      <c r="J3167" s="25">
        <f>_xll.DBRW($A$1,$F$14,$F$15,$C3167,$A$2,$F3167,$G3167,$H3167,J$19)</f>
        <v>16</v>
      </c>
    </row>
    <row r="3168" spans="1:10" s="23" customFormat="1" outlineLevel="1" thickBot="1" x14ac:dyDescent="0.3">
      <c r="A3168" s="44"/>
      <c r="B3168" s="31" t="str">
        <f>IF(_xll.TM1RPTELISCONSOLIDATED($H$20,$H3168),IF(_xll.TM1RPTELLEV($H$20,$H3168)&lt;=5,_xll.TM1RPTELLEV($H$20,$H3168),"Default"),"Leaf")</f>
        <v>Leaf</v>
      </c>
      <c r="C3168" s="26" t="s">
        <v>26</v>
      </c>
      <c r="D3168" s="24" t="str">
        <f>_xll.DBRW("TM1-S1_DEV:}ElementAttributes_SP_SKU",$F3168,D$1)</f>
        <v>Primary</v>
      </c>
      <c r="E3168" s="24" t="str">
        <f>_xll.DBRW("TM1-S1_DEV:}ElementAttributes_SP_SKU",$F3168,E$1)</f>
        <v>CHIPS</v>
      </c>
      <c r="F3168" s="26" t="s">
        <v>3255</v>
      </c>
      <c r="G3168" s="26" t="s">
        <v>2458</v>
      </c>
      <c r="H3168" s="26" t="s">
        <v>2736</v>
      </c>
      <c r="I3168" s="54">
        <f>_xll.DBRW($A$1,$F$14,$F$15,$C3168,$A$2,$F3168,$G3168,$H3168,I$1)</f>
        <v>31</v>
      </c>
      <c r="J3168" s="25">
        <f>_xll.DBRW($A$1,$F$14,$F$15,$C3168,$A$2,$F3168,$G3168,$H3168,J$19)</f>
        <v>60</v>
      </c>
    </row>
    <row r="3169" spans="1:10" s="23" customFormat="1" outlineLevel="1" thickBot="1" x14ac:dyDescent="0.3">
      <c r="A3169" s="44"/>
      <c r="B3169" s="31" t="str">
        <f>IF(_xll.TM1RPTELISCONSOLIDATED($H$20,$H3169),IF(_xll.TM1RPTELLEV($H$20,$H3169)&lt;=5,_xll.TM1RPTELLEV($H$20,$H3169),"Default"),"Leaf")</f>
        <v>Leaf</v>
      </c>
      <c r="C3169" s="26" t="s">
        <v>26</v>
      </c>
      <c r="D3169" s="24" t="str">
        <f>_xll.DBRW("TM1-S1_DEV:}ElementAttributes_SP_SKU",$F3169,D$1)</f>
        <v>Primary</v>
      </c>
      <c r="E3169" s="24" t="str">
        <f>_xll.DBRW("TM1-S1_DEV:}ElementAttributes_SP_SKU",$F3169,E$1)</f>
        <v>CHIPS</v>
      </c>
      <c r="F3169" s="26" t="s">
        <v>3256</v>
      </c>
      <c r="G3169" s="26" t="s">
        <v>2575</v>
      </c>
      <c r="H3169" s="26" t="s">
        <v>2736</v>
      </c>
      <c r="I3169" s="54">
        <f>_xll.DBRW($A$1,$F$14,$F$15,$C3169,$A$2,$F3169,$G3169,$H3169,I$1)</f>
        <v>18</v>
      </c>
      <c r="J3169" s="25">
        <f>_xll.DBRW($A$1,$F$14,$F$15,$C3169,$A$2,$F3169,$G3169,$H3169,J$19)</f>
        <v>37</v>
      </c>
    </row>
    <row r="3170" spans="1:10" s="23" customFormat="1" outlineLevel="1" thickBot="1" x14ac:dyDescent="0.3">
      <c r="A3170" s="44"/>
      <c r="B3170" s="31" t="str">
        <f>IF(_xll.TM1RPTELISCONSOLIDATED($H$20,$H3170),IF(_xll.TM1RPTELLEV($H$20,$H3170)&lt;=5,_xll.TM1RPTELLEV($H$20,$H3170),"Default"),"Leaf")</f>
        <v>Leaf</v>
      </c>
      <c r="C3170" s="26" t="s">
        <v>26</v>
      </c>
      <c r="D3170" s="24" t="str">
        <f>_xll.DBRW("TM1-S1_DEV:}ElementAttributes_SP_SKU",$F3170,D$1)</f>
        <v>Primary</v>
      </c>
      <c r="E3170" s="24" t="str">
        <f>_xll.DBRW("TM1-S1_DEV:}ElementAttributes_SP_SKU",$F3170,E$1)</f>
        <v>CHIPS</v>
      </c>
      <c r="F3170" s="26" t="s">
        <v>3257</v>
      </c>
      <c r="G3170" s="26" t="s">
        <v>2576</v>
      </c>
      <c r="H3170" s="26" t="s">
        <v>2736</v>
      </c>
      <c r="I3170" s="54">
        <f>_xll.DBRW($A$1,$F$14,$F$15,$C3170,$A$2,$F3170,$G3170,$H3170,I$1)</f>
        <v>17</v>
      </c>
      <c r="J3170" s="25">
        <f>_xll.DBRW($A$1,$F$14,$F$15,$C3170,$A$2,$F3170,$G3170,$H3170,J$19)</f>
        <v>46</v>
      </c>
    </row>
    <row r="3171" spans="1:10" s="23" customFormat="1" outlineLevel="1" thickBot="1" x14ac:dyDescent="0.3">
      <c r="A3171" s="44"/>
      <c r="B3171" s="31" t="str">
        <f>IF(_xll.TM1RPTELISCONSOLIDATED($H$20,$H3171),IF(_xll.TM1RPTELLEV($H$20,$H3171)&lt;=5,_xll.TM1RPTELLEV($H$20,$H3171),"Default"),"Leaf")</f>
        <v>Leaf</v>
      </c>
      <c r="C3171" s="26" t="s">
        <v>26</v>
      </c>
      <c r="D3171" s="24" t="str">
        <f>_xll.DBRW("TM1-S1_DEV:}ElementAttributes_SP_SKU",$F3171,D$1)</f>
        <v>Primary</v>
      </c>
      <c r="E3171" s="24" t="str">
        <f>_xll.DBRW("TM1-S1_DEV:}ElementAttributes_SP_SKU",$F3171,E$1)</f>
        <v>CHIPS</v>
      </c>
      <c r="F3171" s="26" t="s">
        <v>3258</v>
      </c>
      <c r="G3171" s="26" t="s">
        <v>2577</v>
      </c>
      <c r="H3171" s="26" t="s">
        <v>2736</v>
      </c>
      <c r="I3171" s="54">
        <f>_xll.DBRW($A$1,$F$14,$F$15,$C3171,$A$2,$F3171,$G3171,$H3171,I$1)</f>
        <v>10</v>
      </c>
      <c r="J3171" s="25">
        <f>_xll.DBRW($A$1,$F$14,$F$15,$C3171,$A$2,$F3171,$G3171,$H3171,J$19)</f>
        <v>39</v>
      </c>
    </row>
    <row r="3172" spans="1:10" s="23" customFormat="1" outlineLevel="1" thickBot="1" x14ac:dyDescent="0.3">
      <c r="A3172" s="44"/>
      <c r="B3172" s="31" t="str">
        <f>IF(_xll.TM1RPTELISCONSOLIDATED($H$20,$H3172),IF(_xll.TM1RPTELLEV($H$20,$H3172)&lt;=5,_xll.TM1RPTELLEV($H$20,$H3172),"Default"),"Leaf")</f>
        <v>Leaf</v>
      </c>
      <c r="C3172" s="26" t="s">
        <v>26</v>
      </c>
      <c r="D3172" s="24" t="str">
        <f>_xll.DBRW("TM1-S1_DEV:}ElementAttributes_SP_SKU",$F3172,D$1)</f>
        <v>Primary</v>
      </c>
      <c r="E3172" s="24" t="str">
        <f>_xll.DBRW("TM1-S1_DEV:}ElementAttributes_SP_SKU",$F3172,E$1)</f>
        <v>SIDES</v>
      </c>
      <c r="F3172" s="26" t="s">
        <v>3188</v>
      </c>
      <c r="G3172" s="26" t="s">
        <v>2459</v>
      </c>
      <c r="H3172" s="26" t="s">
        <v>2686</v>
      </c>
      <c r="I3172" s="54">
        <f>_xll.DBRW($A$1,$F$14,$F$15,$C3172,$A$2,$F3172,$G3172,$H3172,I$1)</f>
        <v>6</v>
      </c>
      <c r="J3172" s="25">
        <f>_xll.DBRW($A$1,$F$14,$F$15,$C3172,$A$2,$F3172,$G3172,$H3172,J$19)</f>
        <v>5</v>
      </c>
    </row>
    <row r="3173" spans="1:10" s="23" customFormat="1" outlineLevel="1" thickBot="1" x14ac:dyDescent="0.3">
      <c r="A3173" s="44"/>
      <c r="B3173" s="31" t="str">
        <f>IF(_xll.TM1RPTELISCONSOLIDATED($H$20,$H3173),IF(_xll.TM1RPTELLEV($H$20,$H3173)&lt;=5,_xll.TM1RPTELLEV($H$20,$H3173),"Default"),"Leaf")</f>
        <v>Leaf</v>
      </c>
      <c r="C3173" s="26" t="s">
        <v>26</v>
      </c>
      <c r="D3173" s="24" t="str">
        <f>_xll.DBRW("TM1-S1_DEV:}ElementAttributes_SP_SKU",$F3173,D$1)</f>
        <v>Primary</v>
      </c>
      <c r="E3173" s="24" t="str">
        <f>_xll.DBRW("TM1-S1_DEV:}ElementAttributes_SP_SKU",$F3173,E$1)</f>
        <v>CONDIMENT</v>
      </c>
      <c r="F3173" s="26" t="s">
        <v>3189</v>
      </c>
      <c r="G3173" s="26" t="s">
        <v>2460</v>
      </c>
      <c r="H3173" s="26" t="s">
        <v>2686</v>
      </c>
      <c r="I3173" s="54">
        <f>_xll.DBRW($A$1,$F$14,$F$15,$C3173,$A$2,$F3173,$G3173,$H3173,I$1)</f>
        <v>12</v>
      </c>
      <c r="J3173" s="25">
        <f>_xll.DBRW($A$1,$F$14,$F$15,$C3173,$A$2,$F3173,$G3173,$H3173,J$19)</f>
        <v>42</v>
      </c>
    </row>
    <row r="3174" spans="1:10" s="23" customFormat="1" outlineLevel="1" thickBot="1" x14ac:dyDescent="0.3">
      <c r="A3174" s="44"/>
      <c r="B3174" s="31" t="str">
        <f>IF(_xll.TM1RPTELISCONSOLIDATED($H$20,$H3174),IF(_xll.TM1RPTELLEV($H$20,$H3174)&lt;=5,_xll.TM1RPTELLEV($H$20,$H3174),"Default"),"Leaf")</f>
        <v>Leaf</v>
      </c>
      <c r="C3174" s="26" t="s">
        <v>26</v>
      </c>
      <c r="D3174" s="24" t="str">
        <f>_xll.DBRW("TM1-S1_DEV:}ElementAttributes_SP_SKU",$F3174,D$1)</f>
        <v>Primary</v>
      </c>
      <c r="E3174" s="24" t="str">
        <f>_xll.DBRW("TM1-S1_DEV:}ElementAttributes_SP_SKU",$F3174,E$1)</f>
        <v>INGREDIENT</v>
      </c>
      <c r="F3174" s="26" t="s">
        <v>3190</v>
      </c>
      <c r="G3174" s="26" t="s">
        <v>2461</v>
      </c>
      <c r="H3174" s="26" t="s">
        <v>2696</v>
      </c>
      <c r="I3174" s="54">
        <f>_xll.DBRW($A$1,$F$14,$F$15,$C3174,$A$2,$F3174,$G3174,$H3174,I$1)</f>
        <v>6</v>
      </c>
      <c r="J3174" s="25">
        <f>_xll.DBRW($A$1,$F$14,$F$15,$C3174,$A$2,$F3174,$G3174,$H3174,J$19)</f>
        <v>5</v>
      </c>
    </row>
    <row r="3175" spans="1:10" s="23" customFormat="1" outlineLevel="1" thickBot="1" x14ac:dyDescent="0.3">
      <c r="A3175" s="44"/>
      <c r="B3175" s="31" t="str">
        <f>IF(_xll.TM1RPTELISCONSOLIDATED($H$20,$H3175),IF(_xll.TM1RPTELLEV($H$20,$H3175)&lt;=5,_xll.TM1RPTELLEV($H$20,$H3175),"Default"),"Leaf")</f>
        <v>Leaf</v>
      </c>
      <c r="C3175" s="26" t="s">
        <v>26</v>
      </c>
      <c r="D3175" s="24" t="str">
        <f>_xll.DBRW("TM1-S1_DEV:}ElementAttributes_SP_SKU",$F3175,D$1)</f>
        <v>Primary</v>
      </c>
      <c r="E3175" s="24" t="str">
        <f>_xll.DBRW("TM1-S1_DEV:}ElementAttributes_SP_SKU",$F3175,E$1)</f>
        <v>INGREDIENT</v>
      </c>
      <c r="F3175" s="26" t="s">
        <v>3191</v>
      </c>
      <c r="G3175" s="26" t="s">
        <v>2462</v>
      </c>
      <c r="H3175" s="26" t="s">
        <v>2697</v>
      </c>
      <c r="I3175" s="54">
        <f>_xll.DBRW($A$1,$F$14,$F$15,$C3175,$A$2,$F3175,$G3175,$H3175,I$1)</f>
        <v>13</v>
      </c>
      <c r="J3175" s="25">
        <f>_xll.DBRW($A$1,$F$14,$F$15,$C3175,$A$2,$F3175,$G3175,$H3175,J$19)</f>
        <v>11</v>
      </c>
    </row>
    <row r="3176" spans="1:10" s="23" customFormat="1" outlineLevel="1" thickBot="1" x14ac:dyDescent="0.3">
      <c r="A3176" s="44"/>
      <c r="B3176" s="31" t="str">
        <f>IF(_xll.TM1RPTELISCONSOLIDATED($H$20,$H3176),IF(_xll.TM1RPTELLEV($H$20,$H3176)&lt;=5,_xll.TM1RPTELLEV($H$20,$H3176),"Default"),"Leaf")</f>
        <v>Leaf</v>
      </c>
      <c r="C3176" s="26" t="s">
        <v>26</v>
      </c>
      <c r="D3176" s="24" t="str">
        <f>_xll.DBRW("TM1-S1_DEV:}ElementAttributes_SP_SKU",$F3176,D$1)</f>
        <v>Primary</v>
      </c>
      <c r="E3176" s="24" t="str">
        <f>_xll.DBRW("TM1-S1_DEV:}ElementAttributes_SP_SKU",$F3176,E$1)</f>
        <v>INGREDIENT</v>
      </c>
      <c r="F3176" s="26" t="s">
        <v>3192</v>
      </c>
      <c r="G3176" s="26" t="s">
        <v>2463</v>
      </c>
      <c r="H3176" s="26" t="s">
        <v>2698</v>
      </c>
      <c r="I3176" s="54">
        <f>_xll.DBRW($A$1,$F$14,$F$15,$C3176,$A$2,$F3176,$G3176,$H3176,I$1)</f>
        <v>6</v>
      </c>
      <c r="J3176" s="25">
        <f>_xll.DBRW($A$1,$F$14,$F$15,$C3176,$A$2,$F3176,$G3176,$H3176,J$19)</f>
        <v>6</v>
      </c>
    </row>
    <row r="3177" spans="1:10" s="23" customFormat="1" outlineLevel="1" thickBot="1" x14ac:dyDescent="0.3">
      <c r="A3177" s="44"/>
      <c r="B3177" s="31" t="str">
        <f>IF(_xll.TM1RPTELISCONSOLIDATED($H$20,$H3177),IF(_xll.TM1RPTELLEV($H$20,$H3177)&lt;=5,_xll.TM1RPTELLEV($H$20,$H3177),"Default"),"Leaf")</f>
        <v>Leaf</v>
      </c>
      <c r="C3177" s="26" t="s">
        <v>26</v>
      </c>
      <c r="D3177" s="24" t="str">
        <f>_xll.DBRW("TM1-S1_DEV:}ElementAttributes_SP_SKU",$F3177,D$1)</f>
        <v>Primary</v>
      </c>
      <c r="E3177" s="24" t="str">
        <f>_xll.DBRW("TM1-S1_DEV:}ElementAttributes_SP_SKU",$F3177,E$1)</f>
        <v>INGREDIENT</v>
      </c>
      <c r="F3177" s="26" t="s">
        <v>3193</v>
      </c>
      <c r="G3177" s="26" t="s">
        <v>2464</v>
      </c>
      <c r="H3177" s="26" t="s">
        <v>2699</v>
      </c>
      <c r="I3177" s="54">
        <f>_xll.DBRW($A$1,$F$14,$F$15,$C3177,$A$2,$F3177,$G3177,$H3177,I$1)</f>
        <v>40</v>
      </c>
      <c r="J3177" s="25">
        <f>_xll.DBRW($A$1,$F$14,$F$15,$C3177,$A$2,$F3177,$G3177,$H3177,J$19)</f>
        <v>36</v>
      </c>
    </row>
    <row r="3178" spans="1:10" s="23" customFormat="1" outlineLevel="1" thickBot="1" x14ac:dyDescent="0.3">
      <c r="A3178" s="44"/>
      <c r="B3178" s="31" t="str">
        <f>IF(_xll.TM1RPTELISCONSOLIDATED($H$20,$H3178),IF(_xll.TM1RPTELLEV($H$20,$H3178)&lt;=5,_xll.TM1RPTELLEV($H$20,$H3178),"Default"),"Leaf")</f>
        <v>Leaf</v>
      </c>
      <c r="C3178" s="26" t="s">
        <v>26</v>
      </c>
      <c r="D3178" s="24" t="str">
        <f>_xll.DBRW("TM1-S1_DEV:}ElementAttributes_SP_SKU",$F3178,D$1)</f>
        <v>Primary</v>
      </c>
      <c r="E3178" s="24" t="str">
        <f>_xll.DBRW("TM1-S1_DEV:}ElementAttributes_SP_SKU",$F3178,E$1)</f>
        <v>COOKIE</v>
      </c>
      <c r="F3178" s="26" t="s">
        <v>3194</v>
      </c>
      <c r="G3178" s="26" t="s">
        <v>2578</v>
      </c>
      <c r="H3178" s="26" t="s">
        <v>2691</v>
      </c>
      <c r="I3178" s="54">
        <f>_xll.DBRW($A$1,$F$14,$F$15,$C3178,$A$2,$F3178,$G3178,$H3178,I$1)</f>
        <v>2</v>
      </c>
      <c r="J3178" s="25">
        <f>_xll.DBRW($A$1,$F$14,$F$15,$C3178,$A$2,$F3178,$G3178,$H3178,J$19)</f>
        <v>2</v>
      </c>
    </row>
    <row r="3179" spans="1:10" s="23" customFormat="1" outlineLevel="1" thickBot="1" x14ac:dyDescent="0.3">
      <c r="A3179" s="44"/>
      <c r="B3179" s="31" t="str">
        <f>IF(_xll.TM1RPTELISCONSOLIDATED($H$20,$H3179),IF(_xll.TM1RPTELLEV($H$20,$H3179)&lt;=5,_xll.TM1RPTELLEV($H$20,$H3179),"Default"),"Leaf")</f>
        <v>Leaf</v>
      </c>
      <c r="C3179" s="26" t="s">
        <v>26</v>
      </c>
      <c r="D3179" s="24" t="str">
        <f>_xll.DBRW("TM1-S1_DEV:}ElementAttributes_SP_SKU",$F3179,D$1)</f>
        <v>Primary</v>
      </c>
      <c r="E3179" s="24" t="str">
        <f>_xll.DBRW("TM1-S1_DEV:}ElementAttributes_SP_SKU",$F3179,E$1)</f>
        <v>INGREDIENT</v>
      </c>
      <c r="F3179" s="26" t="s">
        <v>3197</v>
      </c>
      <c r="G3179" s="26" t="s">
        <v>2465</v>
      </c>
      <c r="H3179" s="26" t="s">
        <v>2686</v>
      </c>
      <c r="I3179" s="54">
        <f>_xll.DBRW($A$1,$F$14,$F$15,$C3179,$A$2,$F3179,$G3179,$H3179,I$1)</f>
        <v>7</v>
      </c>
      <c r="J3179" s="25">
        <f>_xll.DBRW($A$1,$F$14,$F$15,$C3179,$A$2,$F3179,$G3179,$H3179,J$19)</f>
        <v>6</v>
      </c>
    </row>
    <row r="3180" spans="1:10" s="23" customFormat="1" outlineLevel="1" thickBot="1" x14ac:dyDescent="0.3">
      <c r="A3180" s="44"/>
      <c r="B3180" s="31" t="str">
        <f>IF(_xll.TM1RPTELISCONSOLIDATED($H$20,$H3180),IF(_xll.TM1RPTELLEV($H$20,$H3180)&lt;=5,_xll.TM1RPTELLEV($H$20,$H3180),"Default"),"Leaf")</f>
        <v>Leaf</v>
      </c>
      <c r="C3180" s="26" t="s">
        <v>26</v>
      </c>
      <c r="D3180" s="24" t="str">
        <f>_xll.DBRW("TM1-S1_DEV:}ElementAttributes_SP_SKU",$F3180,D$1)</f>
        <v>Primary</v>
      </c>
      <c r="E3180" s="24" t="str">
        <f>_xll.DBRW("TM1-S1_DEV:}ElementAttributes_SP_SKU",$F3180,E$1)</f>
        <v>INGREDIENT</v>
      </c>
      <c r="F3180" s="26" t="s">
        <v>30</v>
      </c>
      <c r="G3180" s="26" t="s">
        <v>2467</v>
      </c>
      <c r="H3180" s="26" t="s">
        <v>2700</v>
      </c>
      <c r="I3180" s="54">
        <f>_xll.DBRW($A$1,$F$14,$F$15,$C3180,$A$2,$F3180,$G3180,$H3180,I$1)</f>
        <v>21</v>
      </c>
      <c r="J3180" s="25">
        <f>_xll.DBRW($A$1,$F$14,$F$15,$C3180,$A$2,$F3180,$G3180,$H3180,J$19)</f>
        <v>21</v>
      </c>
    </row>
    <row r="3181" spans="1:10" s="23" customFormat="1" outlineLevel="1" thickBot="1" x14ac:dyDescent="0.3">
      <c r="A3181" s="44"/>
      <c r="B3181" s="31" t="str">
        <f>IF(_xll.TM1RPTELISCONSOLIDATED($H$20,$H3181),IF(_xll.TM1RPTELLEV($H$20,$H3181)&lt;=5,_xll.TM1RPTELLEV($H$20,$H3181),"Default"),"Leaf")</f>
        <v>Leaf</v>
      </c>
      <c r="C3181" s="26" t="s">
        <v>26</v>
      </c>
      <c r="D3181" s="24" t="str">
        <f>_xll.DBRW("TM1-S1_DEV:}ElementAttributes_SP_SKU",$F3181,D$1)</f>
        <v>Primary</v>
      </c>
      <c r="E3181" s="24" t="str">
        <f>_xll.DBRW("TM1-S1_DEV:}ElementAttributes_SP_SKU",$F3181,E$1)</f>
        <v>INGREDIENT</v>
      </c>
      <c r="F3181" s="26" t="s">
        <v>3198</v>
      </c>
      <c r="G3181" s="26" t="s">
        <v>2468</v>
      </c>
      <c r="H3181" s="26" t="s">
        <v>2701</v>
      </c>
      <c r="I3181" s="54">
        <f>_xll.DBRW($A$1,$F$14,$F$15,$C3181,$A$2,$F3181,$G3181,$H3181,I$1)</f>
        <v>13</v>
      </c>
      <c r="J3181" s="25">
        <f>_xll.DBRW($A$1,$F$14,$F$15,$C3181,$A$2,$F3181,$G3181,$H3181,J$19)</f>
        <v>11</v>
      </c>
    </row>
    <row r="3182" spans="1:10" s="23" customFormat="1" outlineLevel="1" thickBot="1" x14ac:dyDescent="0.3">
      <c r="A3182" s="44"/>
      <c r="B3182" s="31" t="str">
        <f>IF(_xll.TM1RPTELISCONSOLIDATED($H$20,$H3182),IF(_xll.TM1RPTELLEV($H$20,$H3182)&lt;=5,_xll.TM1RPTELLEV($H$20,$H3182),"Default"),"Leaf")</f>
        <v>Leaf</v>
      </c>
      <c r="C3182" s="26" t="s">
        <v>26</v>
      </c>
      <c r="D3182" s="24" t="str">
        <f>_xll.DBRW("TM1-S1_DEV:}ElementAttributes_SP_SKU",$F3182,D$1)</f>
        <v>Primary</v>
      </c>
      <c r="E3182" s="24" t="str">
        <f>_xll.DBRW("TM1-S1_DEV:}ElementAttributes_SP_SKU",$F3182,E$1)</f>
        <v>BOX</v>
      </c>
      <c r="F3182" s="26" t="s">
        <v>3199</v>
      </c>
      <c r="G3182" s="26" t="s">
        <v>2469</v>
      </c>
      <c r="H3182" s="26" t="s">
        <v>2702</v>
      </c>
      <c r="I3182" s="54">
        <f>_xll.DBRW($A$1,$F$14,$F$15,$C3182,$A$2,$F3182,$G3182,$H3182,I$1)</f>
        <v>8</v>
      </c>
      <c r="J3182" s="25">
        <f>_xll.DBRW($A$1,$F$14,$F$15,$C3182,$A$2,$F3182,$G3182,$H3182,J$19)</f>
        <v>7</v>
      </c>
    </row>
    <row r="3183" spans="1:10" s="23" customFormat="1" outlineLevel="1" thickBot="1" x14ac:dyDescent="0.3">
      <c r="A3183" s="44"/>
      <c r="B3183" s="31" t="str">
        <f>IF(_xll.TM1RPTELISCONSOLIDATED($H$20,$H3183),IF(_xll.TM1RPTELLEV($H$20,$H3183)&lt;=5,_xll.TM1RPTELLEV($H$20,$H3183),"Default"),"Leaf")</f>
        <v>Leaf</v>
      </c>
      <c r="C3183" s="26" t="s">
        <v>26</v>
      </c>
      <c r="D3183" s="24" t="str">
        <f>_xll.DBRW("TM1-S1_DEV:}ElementAttributes_SP_SKU",$F3183,D$1)</f>
        <v>Primary</v>
      </c>
      <c r="E3183" s="24" t="str">
        <f>_xll.DBRW("TM1-S1_DEV:}ElementAttributes_SP_SKU",$F3183,E$1)</f>
        <v>TRAY</v>
      </c>
      <c r="F3183" s="26" t="s">
        <v>3200</v>
      </c>
      <c r="G3183" s="26" t="s">
        <v>2470</v>
      </c>
      <c r="H3183" s="26" t="s">
        <v>2703</v>
      </c>
      <c r="I3183" s="54">
        <f>_xll.DBRW($A$1,$F$14,$F$15,$C3183,$A$2,$F3183,$G3183,$H3183,I$1)</f>
        <v>7</v>
      </c>
      <c r="J3183" s="25">
        <f>_xll.DBRW($A$1,$F$14,$F$15,$C3183,$A$2,$F3183,$G3183,$H3183,J$19)</f>
        <v>6</v>
      </c>
    </row>
    <row r="3184" spans="1:10" s="23" customFormat="1" outlineLevel="1" thickBot="1" x14ac:dyDescent="0.3">
      <c r="A3184" s="44"/>
      <c r="B3184" s="31" t="str">
        <f>IF(_xll.TM1RPTELISCONSOLIDATED($H$20,$H3184),IF(_xll.TM1RPTELLEV($H$20,$H3184)&lt;=5,_xll.TM1RPTELLEV($H$20,$H3184),"Default"),"Leaf")</f>
        <v>Leaf</v>
      </c>
      <c r="C3184" s="26" t="s">
        <v>26</v>
      </c>
      <c r="D3184" s="24" t="str">
        <f>_xll.DBRW("TM1-S1_DEV:}ElementAttributes_SP_SKU",$F3184,D$1)</f>
        <v>Primary</v>
      </c>
      <c r="E3184" s="24" t="str">
        <f>_xll.DBRW("TM1-S1_DEV:}ElementAttributes_SP_SKU",$F3184,E$1)</f>
        <v>TRAY</v>
      </c>
      <c r="F3184" s="26" t="s">
        <v>3201</v>
      </c>
      <c r="G3184" s="26" t="s">
        <v>2471</v>
      </c>
      <c r="H3184" s="26" t="s">
        <v>2703</v>
      </c>
      <c r="I3184" s="54">
        <f>_xll.DBRW($A$1,$F$14,$F$15,$C3184,$A$2,$F3184,$G3184,$H3184,I$1)</f>
        <v>7</v>
      </c>
      <c r="J3184" s="25">
        <f>_xll.DBRW($A$1,$F$14,$F$15,$C3184,$A$2,$F3184,$G3184,$H3184,J$19)</f>
        <v>6</v>
      </c>
    </row>
    <row r="3185" spans="1:10" s="23" customFormat="1" outlineLevel="1" thickBot="1" x14ac:dyDescent="0.3">
      <c r="A3185" s="44"/>
      <c r="B3185" s="31" t="str">
        <f>IF(_xll.TM1RPTELISCONSOLIDATED($H$20,$H3185),IF(_xll.TM1RPTELLEV($H$20,$H3185)&lt;=5,_xll.TM1RPTELLEV($H$20,$H3185),"Default"),"Leaf")</f>
        <v>Leaf</v>
      </c>
      <c r="C3185" s="26" t="s">
        <v>26</v>
      </c>
      <c r="D3185" s="24" t="str">
        <f>_xll.DBRW("TM1-S1_DEV:}ElementAttributes_SP_SKU",$F3185,D$1)</f>
        <v>Primary</v>
      </c>
      <c r="E3185" s="24" t="str">
        <f>_xll.DBRW("TM1-S1_DEV:}ElementAttributes_SP_SKU",$F3185,E$1)</f>
        <v>TRAY</v>
      </c>
      <c r="F3185" s="26" t="s">
        <v>3202</v>
      </c>
      <c r="G3185" s="26" t="s">
        <v>2472</v>
      </c>
      <c r="H3185" s="26" t="s">
        <v>2703</v>
      </c>
      <c r="I3185" s="54">
        <f>_xll.DBRW($A$1,$F$14,$F$15,$C3185,$A$2,$F3185,$G3185,$H3185,I$1)</f>
        <v>8</v>
      </c>
      <c r="J3185" s="25">
        <f>_xll.DBRW($A$1,$F$14,$F$15,$C3185,$A$2,$F3185,$G3185,$H3185,J$19)</f>
        <v>7</v>
      </c>
    </row>
    <row r="3186" spans="1:10" s="23" customFormat="1" outlineLevel="1" thickBot="1" x14ac:dyDescent="0.3">
      <c r="A3186" s="44"/>
      <c r="B3186" s="31" t="str">
        <f>IF(_xll.TM1RPTELISCONSOLIDATED($H$20,$H3186),IF(_xll.TM1RPTELLEV($H$20,$H3186)&lt;=5,_xll.TM1RPTELLEV($H$20,$H3186),"Default"),"Leaf")</f>
        <v>Leaf</v>
      </c>
      <c r="C3186" s="26" t="s">
        <v>26</v>
      </c>
      <c r="D3186" s="24" t="str">
        <f>_xll.DBRW("TM1-S1_DEV:}ElementAttributes_SP_SKU",$F3186,D$1)</f>
        <v>Primary</v>
      </c>
      <c r="E3186" s="24" t="str">
        <f>_xll.DBRW("TM1-S1_DEV:}ElementAttributes_SP_SKU",$F3186,E$1)</f>
        <v>TRAY</v>
      </c>
      <c r="F3186" s="26" t="s">
        <v>3203</v>
      </c>
      <c r="G3186" s="26" t="s">
        <v>2473</v>
      </c>
      <c r="H3186" s="26" t="s">
        <v>2703</v>
      </c>
      <c r="I3186" s="54">
        <f>_xll.DBRW($A$1,$F$14,$F$15,$C3186,$A$2,$F3186,$G3186,$H3186,I$1)</f>
        <v>8</v>
      </c>
      <c r="J3186" s="25">
        <f>_xll.DBRW($A$1,$F$14,$F$15,$C3186,$A$2,$F3186,$G3186,$H3186,J$19)</f>
        <v>7</v>
      </c>
    </row>
    <row r="3187" spans="1:10" s="23" customFormat="1" outlineLevel="1" thickBot="1" x14ac:dyDescent="0.3">
      <c r="A3187" s="44"/>
      <c r="B3187" s="31" t="str">
        <f>IF(_xll.TM1RPTELISCONSOLIDATED($H$20,$H3187),IF(_xll.TM1RPTELLEV($H$20,$H3187)&lt;=5,_xll.TM1RPTELLEV($H$20,$H3187),"Default"),"Leaf")</f>
        <v>Leaf</v>
      </c>
      <c r="C3187" s="26" t="s">
        <v>26</v>
      </c>
      <c r="D3187" s="24" t="str">
        <f>_xll.DBRW("TM1-S1_DEV:}ElementAttributes_SP_SKU",$F3187,D$1)</f>
        <v>Primary</v>
      </c>
      <c r="E3187" s="24" t="str">
        <f>_xll.DBRW("TM1-S1_DEV:}ElementAttributes_SP_SKU",$F3187,E$1)</f>
        <v>FOIL</v>
      </c>
      <c r="F3187" s="26" t="s">
        <v>3204</v>
      </c>
      <c r="G3187" s="26" t="s">
        <v>2474</v>
      </c>
      <c r="H3187" s="26" t="s">
        <v>2704</v>
      </c>
      <c r="I3187" s="54">
        <f>_xll.DBRW($A$1,$F$14,$F$15,$C3187,$A$2,$F3187,$G3187,$H3187,I$1)</f>
        <v>14</v>
      </c>
      <c r="J3187" s="25">
        <f>_xll.DBRW($A$1,$F$14,$F$15,$C3187,$A$2,$F3187,$G3187,$H3187,J$19)</f>
        <v>11</v>
      </c>
    </row>
    <row r="3188" spans="1:10" s="23" customFormat="1" outlineLevel="1" thickBot="1" x14ac:dyDescent="0.3">
      <c r="A3188" s="44"/>
      <c r="B3188" s="31" t="str">
        <f>IF(_xll.TM1RPTELISCONSOLIDATED($H$20,$H3188),IF(_xll.TM1RPTELLEV($H$20,$H3188)&lt;=5,_xll.TM1RPTELLEV($H$20,$H3188),"Default"),"Leaf")</f>
        <v>Leaf</v>
      </c>
      <c r="C3188" s="26" t="s">
        <v>26</v>
      </c>
      <c r="D3188" s="24" t="str">
        <f>_xll.DBRW("TM1-S1_DEV:}ElementAttributes_SP_SKU",$F3188,D$1)</f>
        <v>Primary</v>
      </c>
      <c r="E3188" s="24" t="str">
        <f>_xll.DBRW("TM1-S1_DEV:}ElementAttributes_SP_SKU",$F3188,E$1)</f>
        <v>BAG</v>
      </c>
      <c r="F3188" s="26" t="s">
        <v>3205</v>
      </c>
      <c r="G3188" s="26" t="s">
        <v>2475</v>
      </c>
      <c r="H3188" s="26" t="s">
        <v>2705</v>
      </c>
      <c r="I3188" s="54">
        <f>_xll.DBRW($A$1,$F$14,$F$15,$C3188,$A$2,$F3188,$G3188,$H3188,I$1)</f>
        <v>4</v>
      </c>
      <c r="J3188" s="25">
        <f>_xll.DBRW($A$1,$F$14,$F$15,$C3188,$A$2,$F3188,$G3188,$H3188,J$19)</f>
        <v>3</v>
      </c>
    </row>
    <row r="3189" spans="1:10" s="23" customFormat="1" outlineLevel="1" thickBot="1" x14ac:dyDescent="0.3">
      <c r="A3189" s="44"/>
      <c r="B3189" s="31" t="str">
        <f>IF(_xll.TM1RPTELISCONSOLIDATED($H$20,$H3189),IF(_xll.TM1RPTELLEV($H$20,$H3189)&lt;=5,_xll.TM1RPTELLEV($H$20,$H3189),"Default"),"Leaf")</f>
        <v>Leaf</v>
      </c>
      <c r="C3189" s="26" t="s">
        <v>26</v>
      </c>
      <c r="D3189" s="24" t="str">
        <f>_xll.DBRW("TM1-S1_DEV:}ElementAttributes_SP_SKU",$F3189,D$1)</f>
        <v>Primary</v>
      </c>
      <c r="E3189" s="24" t="str">
        <f>_xll.DBRW("TM1-S1_DEV:}ElementAttributes_SP_SKU",$F3189,E$1)</f>
        <v>FOIL</v>
      </c>
      <c r="F3189" s="26" t="s">
        <v>3206</v>
      </c>
      <c r="G3189" s="26" t="s">
        <v>2476</v>
      </c>
      <c r="H3189" s="26" t="s">
        <v>2704</v>
      </c>
      <c r="I3189" s="54">
        <f>_xll.DBRW($A$1,$F$14,$F$15,$C3189,$A$2,$F3189,$G3189,$H3189,I$1)</f>
        <v>14</v>
      </c>
      <c r="J3189" s="25">
        <f>_xll.DBRW($A$1,$F$14,$F$15,$C3189,$A$2,$F3189,$G3189,$H3189,J$19)</f>
        <v>13</v>
      </c>
    </row>
    <row r="3190" spans="1:10" s="23" customFormat="1" outlineLevel="1" thickBot="1" x14ac:dyDescent="0.3">
      <c r="A3190" s="44"/>
      <c r="B3190" s="31" t="str">
        <f>IF(_xll.TM1RPTELISCONSOLIDATED($H$20,$H3190),IF(_xll.TM1RPTELLEV($H$20,$H3190)&lt;=5,_xll.TM1RPTELLEV($H$20,$H3190),"Default"),"Leaf")</f>
        <v>Leaf</v>
      </c>
      <c r="C3190" s="26" t="s">
        <v>26</v>
      </c>
      <c r="D3190" s="24" t="str">
        <f>_xll.DBRW("TM1-S1_DEV:}ElementAttributes_SP_SKU",$F3190,D$1)</f>
        <v>Primary</v>
      </c>
      <c r="E3190" s="24" t="str">
        <f>_xll.DBRW("TM1-S1_DEV:}ElementAttributes_SP_SKU",$F3190,E$1)</f>
        <v>FOIL</v>
      </c>
      <c r="F3190" s="26" t="s">
        <v>3207</v>
      </c>
      <c r="G3190" s="26" t="s">
        <v>2477</v>
      </c>
      <c r="H3190" s="26" t="s">
        <v>2704</v>
      </c>
      <c r="I3190" s="54">
        <f>_xll.DBRW($A$1,$F$14,$F$15,$C3190,$A$2,$F3190,$G3190,$H3190,I$1)</f>
        <v>10</v>
      </c>
      <c r="J3190" s="25">
        <f>_xll.DBRW($A$1,$F$14,$F$15,$C3190,$A$2,$F3190,$G3190,$H3190,J$19)</f>
        <v>10</v>
      </c>
    </row>
    <row r="3191" spans="1:10" s="23" customFormat="1" outlineLevel="1" thickBot="1" x14ac:dyDescent="0.3">
      <c r="A3191" s="44"/>
      <c r="B3191" s="31" t="str">
        <f>IF(_xll.TM1RPTELISCONSOLIDATED($H$20,$H3191),IF(_xll.TM1RPTELLEV($H$20,$H3191)&lt;=5,_xll.TM1RPTELLEV($H$20,$H3191),"Default"),"Leaf")</f>
        <v>Leaf</v>
      </c>
      <c r="C3191" s="26" t="s">
        <v>26</v>
      </c>
      <c r="D3191" s="24" t="str">
        <f>_xll.DBRW("TM1-S1_DEV:}ElementAttributes_SP_SKU",$F3191,D$1)</f>
        <v>Primary</v>
      </c>
      <c r="E3191" s="24" t="str">
        <f>_xll.DBRW("TM1-S1_DEV:}ElementAttributes_SP_SKU",$F3191,E$1)</f>
        <v>BAG</v>
      </c>
      <c r="F3191" s="26" t="s">
        <v>3208</v>
      </c>
      <c r="G3191" s="26" t="s">
        <v>2478</v>
      </c>
      <c r="H3191" s="26" t="s">
        <v>2705</v>
      </c>
      <c r="I3191" s="54">
        <f>_xll.DBRW($A$1,$F$14,$F$15,$C3191,$A$2,$F3191,$G3191,$H3191,I$1)</f>
        <v>9</v>
      </c>
      <c r="J3191" s="25">
        <f>_xll.DBRW($A$1,$F$14,$F$15,$C3191,$A$2,$F3191,$G3191,$H3191,J$19)</f>
        <v>8</v>
      </c>
    </row>
    <row r="3192" spans="1:10" s="23" customFormat="1" outlineLevel="1" thickBot="1" x14ac:dyDescent="0.3">
      <c r="A3192" s="44"/>
      <c r="B3192" s="31" t="str">
        <f>IF(_xll.TM1RPTELISCONSOLIDATED($H$20,$H3192),IF(_xll.TM1RPTELLEV($H$20,$H3192)&lt;=5,_xll.TM1RPTELLEV($H$20,$H3192),"Default"),"Leaf")</f>
        <v>Leaf</v>
      </c>
      <c r="C3192" s="26" t="s">
        <v>26</v>
      </c>
      <c r="D3192" s="24" t="str">
        <f>_xll.DBRW("TM1-S1_DEV:}ElementAttributes_SP_SKU",$F3192,D$1)</f>
        <v>Primary</v>
      </c>
      <c r="E3192" s="24" t="str">
        <f>_xll.DBRW("TM1-S1_DEV:}ElementAttributes_SP_SKU",$F3192,E$1)</f>
        <v>BAG</v>
      </c>
      <c r="F3192" s="26" t="s">
        <v>3209</v>
      </c>
      <c r="G3192" s="26" t="s">
        <v>2479</v>
      </c>
      <c r="H3192" s="26" t="s">
        <v>2705</v>
      </c>
      <c r="I3192" s="54">
        <f>_xll.DBRW($A$1,$F$14,$F$15,$C3192,$A$2,$F3192,$G3192,$H3192,I$1)</f>
        <v>20</v>
      </c>
      <c r="J3192" s="25">
        <f>_xll.DBRW($A$1,$F$14,$F$15,$C3192,$A$2,$F3192,$G3192,$H3192,J$19)</f>
        <v>11</v>
      </c>
    </row>
    <row r="3193" spans="1:10" s="23" customFormat="1" outlineLevel="1" thickBot="1" x14ac:dyDescent="0.3">
      <c r="A3193" s="44"/>
      <c r="B3193" s="31" t="str">
        <f>IF(_xll.TM1RPTELISCONSOLIDATED($H$20,$H3193),IF(_xll.TM1RPTELLEV($H$20,$H3193)&lt;=5,_xll.TM1RPTELLEV($H$20,$H3193),"Default"),"Leaf")</f>
        <v>Leaf</v>
      </c>
      <c r="C3193" s="26" t="s">
        <v>26</v>
      </c>
      <c r="D3193" s="24" t="str">
        <f>_xll.DBRW("TM1-S1_DEV:}ElementAttributes_SP_SKU",$F3193,D$1)</f>
        <v>Primary</v>
      </c>
      <c r="E3193" s="24" t="str">
        <f>_xll.DBRW("TM1-S1_DEV:}ElementAttributes_SP_SKU",$F3193,E$1)</f>
        <v>BAG</v>
      </c>
      <c r="F3193" s="26" t="s">
        <v>3210</v>
      </c>
      <c r="G3193" s="26" t="s">
        <v>2480</v>
      </c>
      <c r="H3193" s="26" t="s">
        <v>2705</v>
      </c>
      <c r="I3193" s="54">
        <f>_xll.DBRW($A$1,$F$14,$F$15,$C3193,$A$2,$F3193,$G3193,$H3193,I$1)</f>
        <v>5</v>
      </c>
      <c r="J3193" s="25">
        <f>_xll.DBRW($A$1,$F$14,$F$15,$C3193,$A$2,$F3193,$G3193,$H3193,J$19)</f>
        <v>9</v>
      </c>
    </row>
    <row r="3194" spans="1:10" s="23" customFormat="1" outlineLevel="1" thickBot="1" x14ac:dyDescent="0.3">
      <c r="A3194" s="44"/>
      <c r="B3194" s="31" t="str">
        <f>IF(_xll.TM1RPTELISCONSOLIDATED($H$20,$H3194),IF(_xll.TM1RPTELLEV($H$20,$H3194)&lt;=5,_xll.TM1RPTELLEV($H$20,$H3194),"Default"),"Leaf")</f>
        <v>Leaf</v>
      </c>
      <c r="C3194" s="26" t="s">
        <v>26</v>
      </c>
      <c r="D3194" s="24" t="str">
        <f>_xll.DBRW("TM1-S1_DEV:}ElementAttributes_SP_SKU",$F3194,D$1)</f>
        <v>Primary</v>
      </c>
      <c r="E3194" s="24" t="str">
        <f>_xll.DBRW("TM1-S1_DEV:}ElementAttributes_SP_SKU",$F3194,E$1)</f>
        <v>BOX</v>
      </c>
      <c r="F3194" s="26" t="s">
        <v>3211</v>
      </c>
      <c r="G3194" s="26" t="s">
        <v>2481</v>
      </c>
      <c r="H3194" s="26" t="s">
        <v>2706</v>
      </c>
      <c r="I3194" s="54">
        <f>_xll.DBRW($A$1,$F$14,$F$15,$C3194,$A$2,$F3194,$G3194,$H3194,I$1)</f>
        <v>18</v>
      </c>
      <c r="J3194" s="25">
        <f>_xll.DBRW($A$1,$F$14,$F$15,$C3194,$A$2,$F3194,$G3194,$H3194,J$19)</f>
        <v>34</v>
      </c>
    </row>
    <row r="3195" spans="1:10" s="23" customFormat="1" outlineLevel="1" thickBot="1" x14ac:dyDescent="0.3">
      <c r="A3195" s="44"/>
      <c r="B3195" s="31" t="str">
        <f>IF(_xll.TM1RPTELISCONSOLIDATED($H$20,$H3195),IF(_xll.TM1RPTELLEV($H$20,$H3195)&lt;=5,_xll.TM1RPTELLEV($H$20,$H3195),"Default"),"Leaf")</f>
        <v>Leaf</v>
      </c>
      <c r="C3195" s="26" t="s">
        <v>26</v>
      </c>
      <c r="D3195" s="24" t="str">
        <f>_xll.DBRW("TM1-S1_DEV:}ElementAttributes_SP_SKU",$F3195,D$1)</f>
        <v>Primary</v>
      </c>
      <c r="E3195" s="24" t="str">
        <f>_xll.DBRW("TM1-S1_DEV:}ElementAttributes_SP_SKU",$F3195,E$1)</f>
        <v>FOIL</v>
      </c>
      <c r="F3195" s="26" t="s">
        <v>3212</v>
      </c>
      <c r="G3195" s="26" t="s">
        <v>2482</v>
      </c>
      <c r="H3195" s="26" t="s">
        <v>2704</v>
      </c>
      <c r="I3195" s="54">
        <f>_xll.DBRW($A$1,$F$14,$F$15,$C3195,$A$2,$F3195,$G3195,$H3195,I$1)</f>
        <v>21</v>
      </c>
      <c r="J3195" s="25">
        <f>_xll.DBRW($A$1,$F$14,$F$15,$C3195,$A$2,$F3195,$G3195,$H3195,J$19)</f>
        <v>18</v>
      </c>
    </row>
    <row r="3196" spans="1:10" s="23" customFormat="1" outlineLevel="1" thickBot="1" x14ac:dyDescent="0.3">
      <c r="A3196" s="44"/>
      <c r="B3196" s="31" t="str">
        <f>IF(_xll.TM1RPTELISCONSOLIDATED($H$20,$H3196),IF(_xll.TM1RPTELLEV($H$20,$H3196)&lt;=5,_xll.TM1RPTELLEV($H$20,$H3196),"Default"),"Leaf")</f>
        <v>Leaf</v>
      </c>
      <c r="C3196" s="26" t="s">
        <v>26</v>
      </c>
      <c r="D3196" s="24" t="str">
        <f>_xll.DBRW("TM1-S1_DEV:}ElementAttributes_SP_SKU",$F3196,D$1)</f>
        <v>Primary</v>
      </c>
      <c r="E3196" s="24" t="str">
        <f>_xll.DBRW("TM1-S1_DEV:}ElementAttributes_SP_SKU",$F3196,E$1)</f>
        <v>TRAY</v>
      </c>
      <c r="F3196" s="26" t="s">
        <v>3213</v>
      </c>
      <c r="G3196" s="26" t="s">
        <v>2483</v>
      </c>
      <c r="H3196" s="26" t="s">
        <v>2703</v>
      </c>
      <c r="I3196" s="54">
        <f>_xll.DBRW($A$1,$F$14,$F$15,$C3196,$A$2,$F3196,$G3196,$H3196,I$1)</f>
        <v>10</v>
      </c>
      <c r="J3196" s="25">
        <f>_xll.DBRW($A$1,$F$14,$F$15,$C3196,$A$2,$F3196,$G3196,$H3196,J$19)</f>
        <v>9</v>
      </c>
    </row>
    <row r="3197" spans="1:10" s="23" customFormat="1" outlineLevel="1" thickBot="1" x14ac:dyDescent="0.3">
      <c r="A3197" s="44"/>
      <c r="B3197" s="31" t="str">
        <f>IF(_xll.TM1RPTELISCONSOLIDATED($H$20,$H3197),IF(_xll.TM1RPTELLEV($H$20,$H3197)&lt;=5,_xll.TM1RPTELLEV($H$20,$H3197),"Default"),"Leaf")</f>
        <v>Leaf</v>
      </c>
      <c r="C3197" s="26" t="s">
        <v>26</v>
      </c>
      <c r="D3197" s="24" t="str">
        <f>_xll.DBRW("TM1-S1_DEV:}ElementAttributes_SP_SKU",$F3197,D$1)</f>
        <v>Primary</v>
      </c>
      <c r="E3197" s="24" t="str">
        <f>_xll.DBRW("TM1-S1_DEV:}ElementAttributes_SP_SKU",$F3197,E$1)</f>
        <v>TRAY</v>
      </c>
      <c r="F3197" s="26" t="s">
        <v>3214</v>
      </c>
      <c r="G3197" s="26" t="s">
        <v>2484</v>
      </c>
      <c r="H3197" s="26" t="s">
        <v>2703</v>
      </c>
      <c r="I3197" s="54">
        <f>_xll.DBRW($A$1,$F$14,$F$15,$C3197,$A$2,$F3197,$G3197,$H3197,I$1)</f>
        <v>9</v>
      </c>
      <c r="J3197" s="25">
        <f>_xll.DBRW($A$1,$F$14,$F$15,$C3197,$A$2,$F3197,$G3197,$H3197,J$19)</f>
        <v>8</v>
      </c>
    </row>
    <row r="3198" spans="1:10" s="23" customFormat="1" outlineLevel="1" thickBot="1" x14ac:dyDescent="0.3">
      <c r="A3198" s="44"/>
      <c r="B3198" s="31" t="str">
        <f>IF(_xll.TM1RPTELISCONSOLIDATED($H$20,$H3198),IF(_xll.TM1RPTELLEV($H$20,$H3198)&lt;=5,_xll.TM1RPTELLEV($H$20,$H3198),"Default"),"Leaf")</f>
        <v>Leaf</v>
      </c>
      <c r="C3198" s="26" t="s">
        <v>26</v>
      </c>
      <c r="D3198" s="24" t="str">
        <f>_xll.DBRW("TM1-S1_DEV:}ElementAttributes_SP_SKU",$F3198,D$1)</f>
        <v>Primary</v>
      </c>
      <c r="E3198" s="24" t="str">
        <f>_xll.DBRW("TM1-S1_DEV:}ElementAttributes_SP_SKU",$F3198,E$1)</f>
        <v>BOWL</v>
      </c>
      <c r="F3198" s="26" t="s">
        <v>3215</v>
      </c>
      <c r="G3198" s="26" t="s">
        <v>2485</v>
      </c>
      <c r="H3198" s="26" t="s">
        <v>2703</v>
      </c>
      <c r="I3198" s="54">
        <f>_xll.DBRW($A$1,$F$14,$F$15,$C3198,$A$2,$F3198,$G3198,$H3198,I$1)</f>
        <v>7</v>
      </c>
      <c r="J3198" s="25">
        <f>_xll.DBRW($A$1,$F$14,$F$15,$C3198,$A$2,$F3198,$G3198,$H3198,J$19)</f>
        <v>6</v>
      </c>
    </row>
    <row r="3199" spans="1:10" s="23" customFormat="1" outlineLevel="1" thickBot="1" x14ac:dyDescent="0.3">
      <c r="A3199" s="44"/>
      <c r="B3199" s="31" t="str">
        <f>IF(_xll.TM1RPTELISCONSOLIDATED($H$20,$H3199),IF(_xll.TM1RPTELLEV($H$20,$H3199)&lt;=5,_xll.TM1RPTELLEV($H$20,$H3199),"Default"),"Leaf")</f>
        <v>Leaf</v>
      </c>
      <c r="C3199" s="26" t="s">
        <v>26</v>
      </c>
      <c r="D3199" s="24" t="str">
        <f>_xll.DBRW("TM1-S1_DEV:}ElementAttributes_SP_SKU",$F3199,D$1)</f>
        <v>Primary</v>
      </c>
      <c r="E3199" s="24" t="str">
        <f>_xll.DBRW("TM1-S1_DEV:}ElementAttributes_SP_SKU",$F3199,E$1)</f>
        <v>BOWL</v>
      </c>
      <c r="F3199" s="26" t="s">
        <v>3216</v>
      </c>
      <c r="G3199" s="26" t="s">
        <v>2486</v>
      </c>
      <c r="H3199" s="26" t="s">
        <v>2703</v>
      </c>
      <c r="I3199" s="54">
        <f>_xll.DBRW($A$1,$F$14,$F$15,$C3199,$A$2,$F3199,$G3199,$H3199,I$1)</f>
        <v>10</v>
      </c>
      <c r="J3199" s="25">
        <f>_xll.DBRW($A$1,$F$14,$F$15,$C3199,$A$2,$F3199,$G3199,$H3199,J$19)</f>
        <v>9</v>
      </c>
    </row>
    <row r="3200" spans="1:10" s="23" customFormat="1" outlineLevel="1" thickBot="1" x14ac:dyDescent="0.3">
      <c r="A3200" s="44"/>
      <c r="B3200" s="31" t="str">
        <f>IF(_xll.TM1RPTELISCONSOLIDATED($H$20,$H3200),IF(_xll.TM1RPTELLEV($H$20,$H3200)&lt;=5,_xll.TM1RPTELLEV($H$20,$H3200),"Default"),"Leaf")</f>
        <v>Leaf</v>
      </c>
      <c r="C3200" s="26" t="s">
        <v>26</v>
      </c>
      <c r="D3200" s="24" t="str">
        <f>_xll.DBRW("TM1-S1_DEV:}ElementAttributes_SP_SKU",$F3200,D$1)</f>
        <v>Primary</v>
      </c>
      <c r="E3200" s="24" t="str">
        <f>_xll.DBRW("TM1-S1_DEV:}ElementAttributes_SP_SKU",$F3200,E$1)</f>
        <v>UTENSIL</v>
      </c>
      <c r="F3200" s="26" t="s">
        <v>3217</v>
      </c>
      <c r="G3200" s="26" t="s">
        <v>2487</v>
      </c>
      <c r="H3200" s="26" t="s">
        <v>2703</v>
      </c>
      <c r="I3200" s="54">
        <f>_xll.DBRW($A$1,$F$14,$F$15,$C3200,$A$2,$F3200,$G3200,$H3200,I$1)</f>
        <v>29</v>
      </c>
      <c r="J3200" s="25">
        <f>_xll.DBRW($A$1,$F$14,$F$15,$C3200,$A$2,$F3200,$G3200,$H3200,J$19)</f>
        <v>29</v>
      </c>
    </row>
    <row r="3201" spans="1:10" s="23" customFormat="1" outlineLevel="1" thickBot="1" x14ac:dyDescent="0.3">
      <c r="A3201" s="44"/>
      <c r="B3201" s="31" t="str">
        <f>IF(_xll.TM1RPTELISCONSOLIDATED($H$20,$H3201),IF(_xll.TM1RPTELLEV($H$20,$H3201)&lt;=5,_xll.TM1RPTELLEV($H$20,$H3201),"Default"),"Leaf")</f>
        <v>Leaf</v>
      </c>
      <c r="C3201" s="26" t="s">
        <v>26</v>
      </c>
      <c r="D3201" s="24" t="str">
        <f>_xll.DBRW("TM1-S1_DEV:}ElementAttributes_SP_SKU",$F3201,D$1)</f>
        <v>Primary</v>
      </c>
      <c r="E3201" s="24" t="str">
        <f>_xll.DBRW("TM1-S1_DEV:}ElementAttributes_SP_SKU",$F3201,E$1)</f>
        <v>UTENSIL</v>
      </c>
      <c r="F3201" s="26" t="s">
        <v>3218</v>
      </c>
      <c r="G3201" s="26" t="s">
        <v>2488</v>
      </c>
      <c r="H3201" s="26" t="s">
        <v>2703</v>
      </c>
      <c r="I3201" s="54">
        <f>_xll.DBRW($A$1,$F$14,$F$15,$C3201,$A$2,$F3201,$G3201,$H3201,I$1)</f>
        <v>8</v>
      </c>
      <c r="J3201" s="25">
        <f>_xll.DBRW($A$1,$F$14,$F$15,$C3201,$A$2,$F3201,$G3201,$H3201,J$19)</f>
        <v>7</v>
      </c>
    </row>
    <row r="3202" spans="1:10" s="23" customFormat="1" outlineLevel="1" thickBot="1" x14ac:dyDescent="0.3">
      <c r="A3202" s="44"/>
      <c r="B3202" s="31" t="str">
        <f>IF(_xll.TM1RPTELISCONSOLIDATED($H$20,$H3202),IF(_xll.TM1RPTELLEV($H$20,$H3202)&lt;=5,_xll.TM1RPTELLEV($H$20,$H3202),"Default"),"Leaf")</f>
        <v>Leaf</v>
      </c>
      <c r="C3202" s="26" t="s">
        <v>26</v>
      </c>
      <c r="D3202" s="24" t="str">
        <f>_xll.DBRW("TM1-S1_DEV:}ElementAttributes_SP_SKU",$F3202,D$1)</f>
        <v>Primary</v>
      </c>
      <c r="E3202" s="24" t="str">
        <f>_xll.DBRW("TM1-S1_DEV:}ElementAttributes_SP_SKU",$F3202,E$1)</f>
        <v>BAG</v>
      </c>
      <c r="F3202" s="26" t="s">
        <v>3219</v>
      </c>
      <c r="G3202" s="26" t="s">
        <v>2489</v>
      </c>
      <c r="H3202" s="26" t="s">
        <v>2705</v>
      </c>
      <c r="I3202" s="54">
        <f>_xll.DBRW($A$1,$F$14,$F$15,$C3202,$A$2,$F3202,$G3202,$H3202,I$1)</f>
        <v>3</v>
      </c>
      <c r="J3202" s="25">
        <f>_xll.DBRW($A$1,$F$14,$F$15,$C3202,$A$2,$F3202,$G3202,$H3202,J$19)</f>
        <v>3</v>
      </c>
    </row>
    <row r="3203" spans="1:10" s="23" customFormat="1" outlineLevel="1" thickBot="1" x14ac:dyDescent="0.3">
      <c r="A3203" s="44"/>
      <c r="B3203" s="31" t="str">
        <f>IF(_xll.TM1RPTELISCONSOLIDATED($H$20,$H3203),IF(_xll.TM1RPTELLEV($H$20,$H3203)&lt;=5,_xll.TM1RPTELLEV($H$20,$H3203),"Default"),"Leaf")</f>
        <v>Leaf</v>
      </c>
      <c r="C3203" s="26" t="s">
        <v>26</v>
      </c>
      <c r="D3203" s="24" t="str">
        <f>_xll.DBRW("TM1-S1_DEV:}ElementAttributes_SP_SKU",$F3203,D$1)</f>
        <v>Primary</v>
      </c>
      <c r="E3203" s="24" t="str">
        <f>_xll.DBRW("TM1-S1_DEV:}ElementAttributes_SP_SKU",$F3203,E$1)</f>
        <v>BOX</v>
      </c>
      <c r="F3203" s="26" t="s">
        <v>3220</v>
      </c>
      <c r="G3203" s="26" t="s">
        <v>2490</v>
      </c>
      <c r="H3203" s="26" t="s">
        <v>2702</v>
      </c>
      <c r="I3203" s="54">
        <f>_xll.DBRW($A$1,$F$14,$F$15,$C3203,$A$2,$F3203,$G3203,$H3203,I$1)</f>
        <v>7</v>
      </c>
      <c r="J3203" s="25">
        <f>_xll.DBRW($A$1,$F$14,$F$15,$C3203,$A$2,$F3203,$G3203,$H3203,J$19)</f>
        <v>7</v>
      </c>
    </row>
    <row r="3204" spans="1:10" s="23" customFormat="1" outlineLevel="1" thickBot="1" x14ac:dyDescent="0.3">
      <c r="A3204" s="44"/>
      <c r="B3204" s="31" t="str">
        <f>IF(_xll.TM1RPTELISCONSOLIDATED($H$20,$H3204),IF(_xll.TM1RPTELLEV($H$20,$H3204)&lt;=5,_xll.TM1RPTELLEV($H$20,$H3204),"Default"),"Leaf")</f>
        <v>Leaf</v>
      </c>
      <c r="C3204" s="26" t="s">
        <v>26</v>
      </c>
      <c r="D3204" s="24" t="str">
        <f>_xll.DBRW("TM1-S1_DEV:}ElementAttributes_SP_SKU",$F3204,D$1)</f>
        <v>Primary</v>
      </c>
      <c r="E3204" s="24" t="str">
        <f>_xll.DBRW("TM1-S1_DEV:}ElementAttributes_SP_SKU",$F3204,E$1)</f>
        <v>BOX</v>
      </c>
      <c r="F3204" s="26" t="s">
        <v>3221</v>
      </c>
      <c r="G3204" s="26" t="s">
        <v>2491</v>
      </c>
      <c r="H3204" s="26" t="s">
        <v>2702</v>
      </c>
      <c r="I3204" s="54">
        <f>_xll.DBRW($A$1,$F$14,$F$15,$C3204,$A$2,$F3204,$G3204,$H3204,I$1)</f>
        <v>1</v>
      </c>
      <c r="J3204" s="25">
        <f>_xll.DBRW($A$1,$F$14,$F$15,$C3204,$A$2,$F3204,$G3204,$H3204,J$19)</f>
        <v>1</v>
      </c>
    </row>
    <row r="3205" spans="1:10" s="23" customFormat="1" outlineLevel="1" thickBot="1" x14ac:dyDescent="0.3">
      <c r="A3205" s="44"/>
      <c r="B3205" s="31" t="str">
        <f>IF(_xll.TM1RPTELISCONSOLIDATED($H$20,$H3205),IF(_xll.TM1RPTELLEV($H$20,$H3205)&lt;=5,_xll.TM1RPTELLEV($H$20,$H3205),"Default"),"Leaf")</f>
        <v>Leaf</v>
      </c>
      <c r="C3205" s="26" t="s">
        <v>26</v>
      </c>
      <c r="D3205" s="24" t="str">
        <f>_xll.DBRW("TM1-S1_DEV:}ElementAttributes_SP_SKU",$F3205,D$1)</f>
        <v>Primary</v>
      </c>
      <c r="E3205" s="24" t="str">
        <f>_xll.DBRW("TM1-S1_DEV:}ElementAttributes_SP_SKU",$F3205,E$1)</f>
        <v>BOX</v>
      </c>
      <c r="F3205" s="26" t="s">
        <v>3222</v>
      </c>
      <c r="G3205" s="26" t="s">
        <v>2492</v>
      </c>
      <c r="H3205" s="26" t="s">
        <v>2702</v>
      </c>
      <c r="I3205" s="54">
        <f>_xll.DBRW($A$1,$F$14,$F$15,$C3205,$A$2,$F3205,$G3205,$H3205,I$1)</f>
        <v>4</v>
      </c>
      <c r="J3205" s="25">
        <f>_xll.DBRW($A$1,$F$14,$F$15,$C3205,$A$2,$F3205,$G3205,$H3205,J$19)</f>
        <v>4</v>
      </c>
    </row>
    <row r="3206" spans="1:10" s="23" customFormat="1" outlineLevel="1" thickBot="1" x14ac:dyDescent="0.3">
      <c r="A3206" s="44"/>
      <c r="B3206" s="31" t="str">
        <f>IF(_xll.TM1RPTELISCONSOLIDATED($H$20,$H3206),IF(_xll.TM1RPTELLEV($H$20,$H3206)&lt;=5,_xll.TM1RPTELLEV($H$20,$H3206),"Default"),"Leaf")</f>
        <v>Leaf</v>
      </c>
      <c r="C3206" s="26" t="s">
        <v>26</v>
      </c>
      <c r="D3206" s="24" t="str">
        <f>_xll.DBRW("TM1-S1_DEV:}ElementAttributes_SP_SKU",$F3206,D$1)</f>
        <v>Primary</v>
      </c>
      <c r="E3206" s="24" t="str">
        <f>_xll.DBRW("TM1-S1_DEV:}ElementAttributes_SP_SKU",$F3206,E$1)</f>
        <v>BOWL</v>
      </c>
      <c r="F3206" s="26" t="s">
        <v>3223</v>
      </c>
      <c r="G3206" s="26" t="s">
        <v>2493</v>
      </c>
      <c r="H3206" s="26" t="s">
        <v>2703</v>
      </c>
      <c r="I3206" s="54">
        <f>_xll.DBRW($A$1,$F$14,$F$15,$C3206,$A$2,$F3206,$G3206,$H3206,I$1)</f>
        <v>5</v>
      </c>
      <c r="J3206" s="25">
        <f>_xll.DBRW($A$1,$F$14,$F$15,$C3206,$A$2,$F3206,$G3206,$H3206,J$19)</f>
        <v>5</v>
      </c>
    </row>
    <row r="3207" spans="1:10" s="23" customFormat="1" outlineLevel="1" thickBot="1" x14ac:dyDescent="0.3">
      <c r="A3207" s="44"/>
      <c r="B3207" s="31" t="str">
        <f>IF(_xll.TM1RPTELISCONSOLIDATED($H$20,$H3207),IF(_xll.TM1RPTELLEV($H$20,$H3207)&lt;=5,_xll.TM1RPTELLEV($H$20,$H3207),"Default"),"Leaf")</f>
        <v>Leaf</v>
      </c>
      <c r="C3207" s="26" t="s">
        <v>26</v>
      </c>
      <c r="D3207" s="24" t="str">
        <f>_xll.DBRW("TM1-S1_DEV:}ElementAttributes_SP_SKU",$F3207,D$1)</f>
        <v>Unassigned PSP</v>
      </c>
      <c r="E3207" s="24" t="str">
        <f>_xll.DBRW("TM1-S1_DEV:}ElementAttributes_SP_SKU",$F3207,E$1)</f>
        <v>BOWL</v>
      </c>
      <c r="F3207" s="26" t="s">
        <v>75</v>
      </c>
      <c r="G3207" s="26" t="s">
        <v>2579</v>
      </c>
      <c r="H3207" s="26" t="s">
        <v>2745</v>
      </c>
      <c r="I3207" s="54">
        <f>_xll.DBRW($A$1,$F$14,$F$15,$C3207,$A$2,$F3207,$G3207,$H3207,I$1)</f>
        <v>5</v>
      </c>
      <c r="J3207" s="25">
        <f>_xll.DBRW($A$1,$F$14,$F$15,$C3207,$A$2,$F3207,$G3207,$H3207,J$19)</f>
        <v>5</v>
      </c>
    </row>
    <row r="3208" spans="1:10" s="23" customFormat="1" outlineLevel="1" thickBot="1" x14ac:dyDescent="0.3">
      <c r="A3208" s="44"/>
      <c r="B3208" s="31" t="str">
        <f>IF(_xll.TM1RPTELISCONSOLIDATED($H$20,$H3208),IF(_xll.TM1RPTELLEV($H$20,$H3208)&lt;=5,_xll.TM1RPTELLEV($H$20,$H3208),"Default"),"Leaf")</f>
        <v>Leaf</v>
      </c>
      <c r="C3208" s="26" t="s">
        <v>26</v>
      </c>
      <c r="D3208" s="24" t="str">
        <f>_xll.DBRW("TM1-S1_DEV:}ElementAttributes_SP_SKU",$F3208,D$1)</f>
        <v>Unassigned PSP</v>
      </c>
      <c r="E3208" s="24" t="str">
        <f>_xll.DBRW("TM1-S1_DEV:}ElementAttributes_SP_SKU",$F3208,E$1)</f>
        <v>LID</v>
      </c>
      <c r="F3208" s="26" t="s">
        <v>76</v>
      </c>
      <c r="G3208" s="26" t="s">
        <v>2580</v>
      </c>
      <c r="H3208" s="26" t="s">
        <v>2745</v>
      </c>
      <c r="I3208" s="54">
        <f>_xll.DBRW($A$1,$F$14,$F$15,$C3208,$A$2,$F3208,$G3208,$H3208,I$1)</f>
        <v>7</v>
      </c>
      <c r="J3208" s="25">
        <f>_xll.DBRW($A$1,$F$14,$F$15,$C3208,$A$2,$F3208,$G3208,$H3208,J$19)</f>
        <v>7</v>
      </c>
    </row>
    <row r="3209" spans="1:10" s="23" customFormat="1" outlineLevel="1" thickBot="1" x14ac:dyDescent="0.3">
      <c r="A3209" s="44"/>
      <c r="B3209" s="31" t="str">
        <f>IF(_xll.TM1RPTELISCONSOLIDATED($H$20,$H3209),IF(_xll.TM1RPTELLEV($H$20,$H3209)&lt;=5,_xll.TM1RPTELLEV($H$20,$H3209),"Default"),"Leaf")</f>
        <v>Leaf</v>
      </c>
      <c r="C3209" s="26" t="s">
        <v>26</v>
      </c>
      <c r="D3209" s="24" t="str">
        <f>_xll.DBRW("TM1-S1_DEV:}ElementAttributes_SP_SKU",$F3209,D$1)</f>
        <v>Primary</v>
      </c>
      <c r="E3209" s="24" t="str">
        <f>_xll.DBRW("TM1-S1_DEV:}ElementAttributes_SP_SKU",$F3209,E$1)</f>
        <v>BAG</v>
      </c>
      <c r="F3209" s="26" t="s">
        <v>3224</v>
      </c>
      <c r="G3209" s="26" t="s">
        <v>2494</v>
      </c>
      <c r="H3209" s="26" t="s">
        <v>2705</v>
      </c>
      <c r="I3209" s="54">
        <f>_xll.DBRW($A$1,$F$14,$F$15,$C3209,$A$2,$F3209,$G3209,$H3209,I$1)</f>
        <v>7</v>
      </c>
      <c r="J3209" s="25">
        <f>_xll.DBRW($A$1,$F$14,$F$15,$C3209,$A$2,$F3209,$G3209,$H3209,J$19)</f>
        <v>5</v>
      </c>
    </row>
    <row r="3210" spans="1:10" s="23" customFormat="1" outlineLevel="1" thickBot="1" x14ac:dyDescent="0.3">
      <c r="A3210" s="44"/>
      <c r="B3210" s="31" t="str">
        <f>IF(_xll.TM1RPTELISCONSOLIDATED($H$20,$H3210),IF(_xll.TM1RPTELLEV($H$20,$H3210)&lt;=5,_xll.TM1RPTELLEV($H$20,$H3210),"Default"),"Leaf")</f>
        <v>Leaf</v>
      </c>
      <c r="C3210" s="26" t="s">
        <v>26</v>
      </c>
      <c r="D3210" s="24" t="str">
        <f>_xll.DBRW("TM1-S1_DEV:}ElementAttributes_SP_SKU",$F3210,D$1)</f>
        <v>Primary</v>
      </c>
      <c r="E3210" s="24" t="str">
        <f>_xll.DBRW("TM1-S1_DEV:}ElementAttributes_SP_SKU",$F3210,E$1)</f>
        <v>CUP</v>
      </c>
      <c r="F3210" s="26" t="s">
        <v>3225</v>
      </c>
      <c r="G3210" s="26" t="s">
        <v>2495</v>
      </c>
      <c r="H3210" s="26" t="s">
        <v>2707</v>
      </c>
      <c r="I3210" s="54">
        <f>_xll.DBRW($A$1,$F$14,$F$15,$C3210,$A$2,$F3210,$G3210,$H3210,I$1)</f>
        <v>3</v>
      </c>
      <c r="J3210" s="25">
        <f>_xll.DBRW($A$1,$F$14,$F$15,$C3210,$A$2,$F3210,$G3210,$H3210,J$19)</f>
        <v>3</v>
      </c>
    </row>
    <row r="3211" spans="1:10" s="23" customFormat="1" outlineLevel="1" thickBot="1" x14ac:dyDescent="0.3">
      <c r="A3211" s="44"/>
      <c r="B3211" s="31" t="str">
        <f>IF(_xll.TM1RPTELISCONSOLIDATED($H$20,$H3211),IF(_xll.TM1RPTELLEV($H$20,$H3211)&lt;=5,_xll.TM1RPTELLEV($H$20,$H3211),"Default"),"Leaf")</f>
        <v>Leaf</v>
      </c>
      <c r="C3211" s="26" t="s">
        <v>26</v>
      </c>
      <c r="D3211" s="24" t="str">
        <f>_xll.DBRW("TM1-S1_DEV:}ElementAttributes_SP_SKU",$F3211,D$1)</f>
        <v>Primary</v>
      </c>
      <c r="E3211" s="24" t="str">
        <f>_xll.DBRW("TM1-S1_DEV:}ElementAttributes_SP_SKU",$F3211,E$1)</f>
        <v>CUP</v>
      </c>
      <c r="F3211" s="26" t="s">
        <v>3226</v>
      </c>
      <c r="G3211" s="26" t="s">
        <v>2496</v>
      </c>
      <c r="H3211" s="26" t="s">
        <v>2707</v>
      </c>
      <c r="I3211" s="54">
        <f>_xll.DBRW($A$1,$F$14,$F$15,$C3211,$A$2,$F3211,$G3211,$H3211,I$1)</f>
        <v>3</v>
      </c>
      <c r="J3211" s="25">
        <f>_xll.DBRW($A$1,$F$14,$F$15,$C3211,$A$2,$F3211,$G3211,$H3211,J$19)</f>
        <v>3</v>
      </c>
    </row>
    <row r="3212" spans="1:10" s="23" customFormat="1" outlineLevel="1" thickBot="1" x14ac:dyDescent="0.3">
      <c r="A3212" s="44"/>
      <c r="B3212" s="31" t="str">
        <f>IF(_xll.TM1RPTELISCONSOLIDATED($H$20,$H3212),IF(_xll.TM1RPTELLEV($H$20,$H3212)&lt;=5,_xll.TM1RPTELLEV($H$20,$H3212),"Default"),"Leaf")</f>
        <v>Leaf</v>
      </c>
      <c r="C3212" s="26" t="s">
        <v>26</v>
      </c>
      <c r="D3212" s="24" t="str">
        <f>_xll.DBRW("TM1-S1_DEV:}ElementAttributes_SP_SKU",$F3212,D$1)</f>
        <v>Primary</v>
      </c>
      <c r="E3212" s="24" t="str">
        <f>_xll.DBRW("TM1-S1_DEV:}ElementAttributes_SP_SKU",$F3212,E$1)</f>
        <v>PROTEIN</v>
      </c>
      <c r="F3212" s="26" t="s">
        <v>3227</v>
      </c>
      <c r="G3212" s="26" t="s">
        <v>2497</v>
      </c>
      <c r="H3212" s="26" t="s">
        <v>2673</v>
      </c>
      <c r="I3212" s="54">
        <f>_xll.DBRW($A$1,$F$14,$F$15,$C3212,$A$2,$F3212,$G3212,$H3212,I$1)</f>
        <v>33</v>
      </c>
      <c r="J3212" s="25">
        <f>_xll.DBRW($A$1,$F$14,$F$15,$C3212,$A$2,$F3212,$G3212,$H3212,J$19)</f>
        <v>30</v>
      </c>
    </row>
    <row r="3213" spans="1:10" s="23" customFormat="1" outlineLevel="1" thickBot="1" x14ac:dyDescent="0.3">
      <c r="A3213" s="44"/>
      <c r="B3213" s="31" t="str">
        <f>IF(_xll.TM1RPTELISCONSOLIDATED($H$20,$H3213),IF(_xll.TM1RPTELLEV($H$20,$H3213)&lt;=5,_xll.TM1RPTELLEV($H$20,$H3213),"Default"),"Leaf")</f>
        <v>Leaf</v>
      </c>
      <c r="C3213" s="26" t="s">
        <v>26</v>
      </c>
      <c r="D3213" s="24" t="str">
        <f>_xll.DBRW("TM1-S1_DEV:}ElementAttributes_SP_SKU",$F3213,D$1)</f>
        <v>Primary</v>
      </c>
      <c r="E3213" s="24" t="str">
        <f>_xll.DBRW("TM1-S1_DEV:}ElementAttributes_SP_SKU",$F3213,E$1)</f>
        <v>GLOVES</v>
      </c>
      <c r="F3213" s="26" t="s">
        <v>3275</v>
      </c>
      <c r="G3213" s="26" t="s">
        <v>2498</v>
      </c>
      <c r="H3213" s="26" t="s">
        <v>2712</v>
      </c>
      <c r="I3213" s="54">
        <f>_xll.DBRW($A$1,$F$14,$F$15,$C3213,$A$2,$F3213,$G3213,$H3213,I$1)</f>
        <v>19</v>
      </c>
      <c r="J3213" s="25">
        <f>_xll.DBRW($A$1,$F$14,$F$15,$C3213,$A$2,$F3213,$G3213,$H3213,J$19)</f>
        <v>19</v>
      </c>
    </row>
    <row r="3214" spans="1:10" s="23" customFormat="1" outlineLevel="1" thickBot="1" x14ac:dyDescent="0.3">
      <c r="A3214" s="44"/>
      <c r="B3214" s="31" t="str">
        <f>IF(_xll.TM1RPTELISCONSOLIDATED($H$20,$H3214),IF(_xll.TM1RPTELLEV($H$20,$H3214)&lt;=5,_xll.TM1RPTELLEV($H$20,$H3214),"Default"),"Leaf")</f>
        <v>Leaf</v>
      </c>
      <c r="C3214" s="26" t="s">
        <v>26</v>
      </c>
      <c r="D3214" s="24" t="str">
        <f>_xll.DBRW("TM1-S1_DEV:}ElementAttributes_SP_SKU",$F3214,D$1)</f>
        <v>Primary</v>
      </c>
      <c r="E3214" s="24" t="str">
        <f>_xll.DBRW("TM1-S1_DEV:}ElementAttributes_SP_SKU",$F3214,E$1)</f>
        <v>TRAY</v>
      </c>
      <c r="F3214" s="26" t="s">
        <v>3228</v>
      </c>
      <c r="G3214" s="26" t="s">
        <v>2499</v>
      </c>
      <c r="H3214" s="26" t="s">
        <v>2708</v>
      </c>
      <c r="I3214" s="54">
        <f>_xll.DBRW($A$1,$F$14,$F$15,$C3214,$A$2,$F3214,$G3214,$H3214,I$1)</f>
        <v>6</v>
      </c>
      <c r="J3214" s="25">
        <f>_xll.DBRW($A$1,$F$14,$F$15,$C3214,$A$2,$F3214,$G3214,$H3214,J$19)</f>
        <v>5</v>
      </c>
    </row>
    <row r="3215" spans="1:10" s="23" customFormat="1" outlineLevel="1" thickBot="1" x14ac:dyDescent="0.3">
      <c r="A3215" s="44"/>
      <c r="B3215" s="31" t="str">
        <f>IF(_xll.TM1RPTELISCONSOLIDATED($H$20,$H3215),IF(_xll.TM1RPTELLEV($H$20,$H3215)&lt;=5,_xll.TM1RPTELLEV($H$20,$H3215),"Default"),"Leaf")</f>
        <v>Leaf</v>
      </c>
      <c r="C3215" s="26" t="s">
        <v>26</v>
      </c>
      <c r="D3215" s="24" t="str">
        <f>_xll.DBRW("TM1-S1_DEV:}ElementAttributes_SP_SKU",$F3215,D$1)</f>
        <v>Primary</v>
      </c>
      <c r="E3215" s="24" t="str">
        <f>_xll.DBRW("TM1-S1_DEV:}ElementAttributes_SP_SKU",$F3215,E$1)</f>
        <v>TRAY</v>
      </c>
      <c r="F3215" s="26" t="s">
        <v>3229</v>
      </c>
      <c r="G3215" s="26" t="s">
        <v>2500</v>
      </c>
      <c r="H3215" s="26" t="s">
        <v>2708</v>
      </c>
      <c r="I3215" s="54">
        <f>_xll.DBRW($A$1,$F$14,$F$15,$C3215,$A$2,$F3215,$G3215,$H3215,I$1)</f>
        <v>5</v>
      </c>
      <c r="J3215" s="25">
        <f>_xll.DBRW($A$1,$F$14,$F$15,$C3215,$A$2,$F3215,$G3215,$H3215,J$19)</f>
        <v>4</v>
      </c>
    </row>
    <row r="3216" spans="1:10" s="23" customFormat="1" outlineLevel="1" thickBot="1" x14ac:dyDescent="0.3">
      <c r="A3216" s="44"/>
      <c r="B3216" s="31" t="str">
        <f>IF(_xll.TM1RPTELISCONSOLIDATED($H$20,$H3216),IF(_xll.TM1RPTELLEV($H$20,$H3216)&lt;=5,_xll.TM1RPTELLEV($H$20,$H3216),"Default"),"Leaf")</f>
        <v>Leaf</v>
      </c>
      <c r="C3216" s="26" t="s">
        <v>26</v>
      </c>
      <c r="D3216" s="24" t="str">
        <f>_xll.DBRW("TM1-S1_DEV:}ElementAttributes_SP_SKU",$F3216,D$1)</f>
        <v>Primary</v>
      </c>
      <c r="E3216" s="24" t="str">
        <f>_xll.DBRW("TM1-S1_DEV:}ElementAttributes_SP_SKU",$F3216,E$1)</f>
        <v>BOWL</v>
      </c>
      <c r="F3216" s="26" t="s">
        <v>3230</v>
      </c>
      <c r="G3216" s="26" t="s">
        <v>2501</v>
      </c>
      <c r="H3216" s="26" t="s">
        <v>2703</v>
      </c>
      <c r="I3216" s="54">
        <f>_xll.DBRW($A$1,$F$14,$F$15,$C3216,$A$2,$F3216,$G3216,$H3216,I$1)</f>
        <v>1</v>
      </c>
      <c r="J3216" s="25">
        <f>_xll.DBRW($A$1,$F$14,$F$15,$C3216,$A$2,$F3216,$G3216,$H3216,J$19)</f>
        <v>1</v>
      </c>
    </row>
    <row r="3217" spans="1:10" s="23" customFormat="1" outlineLevel="1" thickBot="1" x14ac:dyDescent="0.3">
      <c r="A3217" s="44"/>
      <c r="B3217" s="31" t="str">
        <f>IF(_xll.TM1RPTELISCONSOLIDATED($H$20,$H3217),IF(_xll.TM1RPTELLEV($H$20,$H3217)&lt;=5,_xll.TM1RPTELLEV($H$20,$H3217),"Default"),"Leaf")</f>
        <v>Leaf</v>
      </c>
      <c r="C3217" s="26" t="s">
        <v>26</v>
      </c>
      <c r="D3217" s="24" t="str">
        <f>_xll.DBRW("TM1-S1_DEV:}ElementAttributes_SP_SKU",$F3217,D$1)</f>
        <v>Primary</v>
      </c>
      <c r="E3217" s="24" t="str">
        <f>_xll.DBRW("TM1-S1_DEV:}ElementAttributes_SP_SKU",$F3217,E$1)</f>
        <v>BREAD</v>
      </c>
      <c r="F3217" s="26" t="s">
        <v>3260</v>
      </c>
      <c r="G3217" s="26" t="s">
        <v>2503</v>
      </c>
      <c r="H3217" s="26" t="s">
        <v>2710</v>
      </c>
      <c r="I3217" s="54">
        <f>_xll.DBRW($A$1,$F$14,$F$15,$C3217,$A$2,$F3217,$G3217,$H3217,I$1)</f>
        <v>17</v>
      </c>
      <c r="J3217" s="25">
        <f>_xll.DBRW($A$1,$F$14,$F$15,$C3217,$A$2,$F3217,$G3217,$H3217,J$19)</f>
        <v>13</v>
      </c>
    </row>
    <row r="3218" spans="1:10" s="23" customFormat="1" outlineLevel="1" thickBot="1" x14ac:dyDescent="0.3">
      <c r="A3218" s="44"/>
      <c r="B3218" s="31" t="str">
        <f>IF(_xll.TM1RPTELISCONSOLIDATED($H$20,$H3218),IF(_xll.TM1RPTELLEV($H$20,$H3218)&lt;=5,_xll.TM1RPTELLEV($H$20,$H3218),"Default"),"Leaf")</f>
        <v>Leaf</v>
      </c>
      <c r="C3218" s="26" t="s">
        <v>26</v>
      </c>
      <c r="D3218" s="24" t="str">
        <f>_xll.DBRW("TM1-S1_DEV:}ElementAttributes_SP_SKU",$F3218,D$1)</f>
        <v>Primary</v>
      </c>
      <c r="E3218" s="24" t="str">
        <f>_xll.DBRW("TM1-S1_DEV:}ElementAttributes_SP_SKU",$F3218,E$1)</f>
        <v>TRAY</v>
      </c>
      <c r="F3218" s="26" t="s">
        <v>3231</v>
      </c>
      <c r="G3218" s="26" t="s">
        <v>2504</v>
      </c>
      <c r="H3218" s="26" t="s">
        <v>2711</v>
      </c>
      <c r="I3218" s="54">
        <f>_xll.DBRW($A$1,$F$14,$F$15,$C3218,$A$2,$F3218,$G3218,$H3218,I$1)</f>
        <v>11</v>
      </c>
      <c r="J3218" s="25">
        <f>_xll.DBRW($A$1,$F$14,$F$15,$C3218,$A$2,$F3218,$G3218,$H3218,J$19)</f>
        <v>15</v>
      </c>
    </row>
    <row r="3219" spans="1:10" s="23" customFormat="1" outlineLevel="1" thickBot="1" x14ac:dyDescent="0.3">
      <c r="A3219" s="44"/>
      <c r="B3219" s="31" t="str">
        <f>IF(_xll.TM1RPTELISCONSOLIDATED($H$20,$H3219),IF(_xll.TM1RPTELLEV($H$20,$H3219)&lt;=5,_xll.TM1RPTELLEV($H$20,$H3219),"Default"),"Leaf")</f>
        <v>Leaf</v>
      </c>
      <c r="C3219" s="26" t="s">
        <v>26</v>
      </c>
      <c r="D3219" s="24" t="str">
        <f>_xll.DBRW("TM1-S1_DEV:}ElementAttributes_SP_SKU",$F3219,D$1)</f>
        <v>Primary</v>
      </c>
      <c r="E3219" s="24" t="str">
        <f>_xll.DBRW("TM1-S1_DEV:}ElementAttributes_SP_SKU",$F3219,E$1)</f>
        <v>PAPER</v>
      </c>
      <c r="F3219" s="26" t="s">
        <v>3261</v>
      </c>
      <c r="G3219" s="26" t="s">
        <v>2505</v>
      </c>
      <c r="H3219" s="26" t="s">
        <v>2716</v>
      </c>
      <c r="I3219" s="54">
        <f>_xll.DBRW($A$1,$F$14,$F$15,$C3219,$A$2,$F3219,$G3219,$H3219,I$1)</f>
        <v>1</v>
      </c>
      <c r="J3219" s="25">
        <f>_xll.DBRW($A$1,$F$14,$F$15,$C3219,$A$2,$F3219,$G3219,$H3219,J$19)</f>
        <v>1</v>
      </c>
    </row>
    <row r="3220" spans="1:10" s="23" customFormat="1" outlineLevel="1" thickBot="1" x14ac:dyDescent="0.3">
      <c r="A3220" s="44"/>
      <c r="B3220" s="31" t="str">
        <f>IF(_xll.TM1RPTELISCONSOLIDATED($H$20,$H3220),IF(_xll.TM1RPTELLEV($H$20,$H3220)&lt;=5,_xll.TM1RPTELLEV($H$20,$H3220),"Default"),"Leaf")</f>
        <v>Leaf</v>
      </c>
      <c r="C3220" s="26" t="s">
        <v>26</v>
      </c>
      <c r="D3220" s="24" t="str">
        <f>_xll.DBRW("TM1-S1_DEV:}ElementAttributes_SP_SKU",$F3220,D$1)</f>
        <v>Primary</v>
      </c>
      <c r="E3220" s="24" t="str">
        <f>_xll.DBRW("TM1-S1_DEV:}ElementAttributes_SP_SKU",$F3220,E$1)</f>
        <v>BOWL</v>
      </c>
      <c r="F3220" s="26" t="s">
        <v>3237</v>
      </c>
      <c r="G3220" s="26" t="s">
        <v>2506</v>
      </c>
      <c r="H3220" s="26" t="s">
        <v>2703</v>
      </c>
      <c r="I3220" s="54">
        <f>_xll.DBRW($A$1,$F$14,$F$15,$C3220,$A$2,$F3220,$G3220,$H3220,I$1)</f>
        <v>5</v>
      </c>
      <c r="J3220" s="25">
        <f>_xll.DBRW($A$1,$F$14,$F$15,$C3220,$A$2,$F3220,$G3220,$H3220,J$19)</f>
        <v>5</v>
      </c>
    </row>
    <row r="3221" spans="1:10" s="23" customFormat="1" outlineLevel="1" thickBot="1" x14ac:dyDescent="0.3">
      <c r="A3221" s="44"/>
      <c r="B3221" s="31" t="str">
        <f>IF(_xll.TM1RPTELISCONSOLIDATED($H$20,$H3221),IF(_xll.TM1RPTELLEV($H$20,$H3221)&lt;=5,_xll.TM1RPTELLEV($H$20,$H3221),"Default"),"Leaf")</f>
        <v>Leaf</v>
      </c>
      <c r="C3221" s="26" t="s">
        <v>26</v>
      </c>
      <c r="D3221" s="24" t="str">
        <f>_xll.DBRW("TM1-S1_DEV:}ElementAttributes_SP_SKU",$F3221,D$1)</f>
        <v>Primary</v>
      </c>
      <c r="E3221" s="24" t="str">
        <f>_xll.DBRW("TM1-S1_DEV:}ElementAttributes_SP_SKU",$F3221,E$1)</f>
        <v>BOWL</v>
      </c>
      <c r="F3221" s="26" t="s">
        <v>3238</v>
      </c>
      <c r="G3221" s="26" t="s">
        <v>2507</v>
      </c>
      <c r="H3221" s="26" t="s">
        <v>2703</v>
      </c>
      <c r="I3221" s="54">
        <f>_xll.DBRW($A$1,$F$14,$F$15,$C3221,$A$2,$F3221,$G3221,$H3221,I$1)</f>
        <v>4</v>
      </c>
      <c r="J3221" s="25">
        <f>_xll.DBRW($A$1,$F$14,$F$15,$C3221,$A$2,$F3221,$G3221,$H3221,J$19)</f>
        <v>4</v>
      </c>
    </row>
    <row r="3222" spans="1:10" s="23" customFormat="1" outlineLevel="1" thickBot="1" x14ac:dyDescent="0.3">
      <c r="A3222" s="44"/>
      <c r="B3222" s="31" t="str">
        <f>IF(_xll.TM1RPTELISCONSOLIDATED($H$20,$H3222),IF(_xll.TM1RPTELLEV($H$20,$H3222)&lt;=5,_xll.TM1RPTELLEV($H$20,$H3222),"Default"),"Leaf")</f>
        <v>Leaf</v>
      </c>
      <c r="C3222" s="26" t="s">
        <v>26</v>
      </c>
      <c r="D3222" s="24" t="str">
        <f>_xll.DBRW("TM1-S1_DEV:}ElementAttributes_SP_SKU",$F3222,D$1)</f>
        <v>Primary</v>
      </c>
      <c r="E3222" s="24" t="str">
        <f>_xll.DBRW("TM1-S1_DEV:}ElementAttributes_SP_SKU",$F3222,E$1)</f>
        <v>PAPER</v>
      </c>
      <c r="F3222" s="26" t="s">
        <v>3239</v>
      </c>
      <c r="G3222" s="26" t="s">
        <v>2508</v>
      </c>
      <c r="H3222" s="26" t="s">
        <v>2715</v>
      </c>
      <c r="I3222" s="54">
        <f>_xll.DBRW($A$1,$F$14,$F$15,$C3222,$A$2,$F3222,$G3222,$H3222,I$1)</f>
        <v>5</v>
      </c>
      <c r="J3222" s="25">
        <f>_xll.DBRW($A$1,$F$14,$F$15,$C3222,$A$2,$F3222,$G3222,$H3222,J$19)</f>
        <v>5</v>
      </c>
    </row>
    <row r="3223" spans="1:10" s="23" customFormat="1" outlineLevel="1" thickBot="1" x14ac:dyDescent="0.3">
      <c r="A3223" s="44"/>
      <c r="B3223" s="31" t="str">
        <f>IF(_xll.TM1RPTELISCONSOLIDATED($H$20,$H3223),IF(_xll.TM1RPTELLEV($H$20,$H3223)&lt;=5,_xll.TM1RPTELLEV($H$20,$H3223),"Default"),"Leaf")</f>
        <v>Leaf</v>
      </c>
      <c r="C3223" s="26" t="s">
        <v>26</v>
      </c>
      <c r="D3223" s="24" t="str">
        <f>_xll.DBRW("TM1-S1_DEV:}ElementAttributes_SP_SKU",$F3223,D$1)</f>
        <v>Primary</v>
      </c>
      <c r="E3223" s="24" t="str">
        <f>_xll.DBRW("TM1-S1_DEV:}ElementAttributes_SP_SKU",$F3223,E$1)</f>
        <v>BOWL</v>
      </c>
      <c r="F3223" s="26" t="s">
        <v>32</v>
      </c>
      <c r="G3223" s="26" t="s">
        <v>2509</v>
      </c>
      <c r="H3223" s="26" t="s">
        <v>2708</v>
      </c>
      <c r="I3223" s="54">
        <f>_xll.DBRW($A$1,$F$14,$F$15,$C3223,$A$2,$F3223,$G3223,$H3223,I$1)</f>
        <v>1</v>
      </c>
      <c r="J3223" s="25">
        <f>_xll.DBRW($A$1,$F$14,$F$15,$C3223,$A$2,$F3223,$G3223,$H3223,J$19)</f>
        <v>1</v>
      </c>
    </row>
    <row r="3224" spans="1:10" s="23" customFormat="1" outlineLevel="1" thickBot="1" x14ac:dyDescent="0.3">
      <c r="A3224" s="44"/>
      <c r="B3224" s="31" t="str">
        <f>IF(_xll.TM1RPTELISCONSOLIDATED($H$20,$H3224),IF(_xll.TM1RPTELLEV($H$20,$H3224)&lt;=5,_xll.TM1RPTELLEV($H$20,$H3224),"Default"),"Leaf")</f>
        <v>Leaf</v>
      </c>
      <c r="C3224" s="26" t="s">
        <v>26</v>
      </c>
      <c r="D3224" s="24" t="str">
        <f>_xll.DBRW("TM1-S1_DEV:}ElementAttributes_SP_SKU",$F3224,D$1)</f>
        <v>Primary</v>
      </c>
      <c r="E3224" s="24" t="str">
        <f>_xll.DBRW("TM1-S1_DEV:}ElementAttributes_SP_SKU",$F3224,E$1)</f>
        <v>CONDIMENT</v>
      </c>
      <c r="F3224" s="26" t="s">
        <v>542</v>
      </c>
      <c r="G3224" s="26" t="s">
        <v>2581</v>
      </c>
      <c r="H3224" s="26" t="s">
        <v>2718</v>
      </c>
      <c r="I3224" s="54">
        <f>_xll.DBRW($A$1,$F$14,$F$15,$C3224,$A$2,$F3224,$G3224,$H3224,I$1)</f>
        <v>21</v>
      </c>
      <c r="J3224" s="25">
        <f>_xll.DBRW($A$1,$F$14,$F$15,$C3224,$A$2,$F3224,$G3224,$H3224,J$19)</f>
        <v>21</v>
      </c>
    </row>
    <row r="3225" spans="1:10" s="23" customFormat="1" outlineLevel="1" thickBot="1" x14ac:dyDescent="0.3">
      <c r="A3225" s="44"/>
      <c r="B3225" s="31" t="str">
        <f>IF(_xll.TM1RPTELISCONSOLIDATED($H$20,$H3225),IF(_xll.TM1RPTELLEV($H$20,$H3225)&lt;=5,_xll.TM1RPTELLEV($H$20,$H3225),"Default"),"Leaf")</f>
        <v>Leaf</v>
      </c>
      <c r="C3225" s="26" t="s">
        <v>26</v>
      </c>
      <c r="D3225" s="24" t="str">
        <f>_xll.DBRW("TM1-S1_DEV:}ElementAttributes_SP_SKU",$F3225,D$1)</f>
        <v>Primary</v>
      </c>
      <c r="E3225" s="24" t="str">
        <f>_xll.DBRW("TM1-S1_DEV:}ElementAttributes_SP_SKU",$F3225,E$1)</f>
        <v>FILM</v>
      </c>
      <c r="F3225" s="26" t="s">
        <v>492</v>
      </c>
      <c r="G3225" s="26" t="s">
        <v>2512</v>
      </c>
      <c r="H3225" s="26" t="s">
        <v>2902</v>
      </c>
      <c r="I3225" s="54">
        <f>_xll.DBRW($A$1,$F$14,$F$15,$C3225,$A$2,$F3225,$G3225,$H3225,I$1)</f>
        <v>79</v>
      </c>
      <c r="J3225" s="25">
        <f>_xll.DBRW($A$1,$F$14,$F$15,$C3225,$A$2,$F3225,$G3225,$H3225,J$19)</f>
        <v>79</v>
      </c>
    </row>
    <row r="3226" spans="1:10" s="23" customFormat="1" outlineLevel="1" thickBot="1" x14ac:dyDescent="0.3">
      <c r="A3226" s="44"/>
      <c r="B3226" s="31" t="str">
        <f>IF(_xll.TM1RPTELISCONSOLIDATED($H$20,$H3226),IF(_xll.TM1RPTELLEV($H$20,$H3226)&lt;=5,_xll.TM1RPTELLEV($H$20,$H3226),"Default"),"Leaf")</f>
        <v>Leaf</v>
      </c>
      <c r="C3226" s="26" t="s">
        <v>26</v>
      </c>
      <c r="D3226" s="24" t="str">
        <f>_xll.DBRW("TM1-S1_DEV:}ElementAttributes_SP_SKU",$F3226,D$1)</f>
        <v>Primary</v>
      </c>
      <c r="E3226" s="24" t="str">
        <f>_xll.DBRW("TM1-S1_DEV:}ElementAttributes_SP_SKU",$F3226,E$1)</f>
        <v>BOWL</v>
      </c>
      <c r="F3226" s="26" t="s">
        <v>543</v>
      </c>
      <c r="G3226" s="26" t="s">
        <v>2579</v>
      </c>
      <c r="H3226" s="26" t="s">
        <v>2745</v>
      </c>
      <c r="I3226" s="54">
        <f>_xll.DBRW($A$1,$F$14,$F$15,$C3226,$A$2,$F3226,$G3226,$H3226,I$1)</f>
        <v>5</v>
      </c>
      <c r="J3226" s="25">
        <f>_xll.DBRW($A$1,$F$14,$F$15,$C3226,$A$2,$F3226,$G3226,$H3226,J$19)</f>
        <v>5</v>
      </c>
    </row>
    <row r="3227" spans="1:10" s="23" customFormat="1" outlineLevel="1" thickBot="1" x14ac:dyDescent="0.3">
      <c r="A3227" s="44"/>
      <c r="B3227" s="31" t="str">
        <f>IF(_xll.TM1RPTELISCONSOLIDATED($H$20,$H3227),IF(_xll.TM1RPTELLEV($H$20,$H3227)&lt;=5,_xll.TM1RPTELLEV($H$20,$H3227),"Default"),"Leaf")</f>
        <v>Leaf</v>
      </c>
      <c r="C3227" s="26" t="s">
        <v>26</v>
      </c>
      <c r="D3227" s="24" t="str">
        <f>_xll.DBRW("TM1-S1_DEV:}ElementAttributes_SP_SKU",$F3227,D$1)</f>
        <v>Primary</v>
      </c>
      <c r="E3227" s="24" t="str">
        <f>_xll.DBRW("TM1-S1_DEV:}ElementAttributes_SP_SKU",$F3227,E$1)</f>
        <v>CHEESE</v>
      </c>
      <c r="F3227" s="26" t="s">
        <v>3016</v>
      </c>
      <c r="G3227" s="26" t="s">
        <v>3075</v>
      </c>
      <c r="H3227" s="26" t="s">
        <v>2903</v>
      </c>
      <c r="I3227" s="54">
        <f>_xll.DBRW($A$1,$F$14,$F$15,$C3227,$A$2,$F3227,$G3227,$H3227,I$1)</f>
        <v>0</v>
      </c>
      <c r="J3227" s="25">
        <f>_xll.DBRW($A$1,$F$14,$F$15,$C3227,$A$2,$F3227,$G3227,$H3227,J$19)</f>
        <v>-2</v>
      </c>
    </row>
    <row r="3228" spans="1:10" s="23" customFormat="1" outlineLevel="1" thickBot="1" x14ac:dyDescent="0.3">
      <c r="A3228" s="44"/>
      <c r="B3228" s="31" t="str">
        <f>IF(_xll.TM1RPTELISCONSOLIDATED($H$20,$H3228),IF(_xll.TM1RPTELLEV($H$20,$H3228)&lt;=5,_xll.TM1RPTELLEV($H$20,$H3228),"Default"),"Leaf")</f>
        <v>Leaf</v>
      </c>
      <c r="C3228" s="26" t="s">
        <v>26</v>
      </c>
      <c r="D3228" s="24" t="str">
        <f>_xll.DBRW("TM1-S1_DEV:}ElementAttributes_SP_SKU",$F3228,D$1)</f>
        <v>Primary</v>
      </c>
      <c r="E3228" s="24" t="str">
        <f>_xll.DBRW("TM1-S1_DEV:}ElementAttributes_SP_SKU",$F3228,E$1)</f>
        <v>CHEESE</v>
      </c>
      <c r="F3228" s="26" t="s">
        <v>493</v>
      </c>
      <c r="G3228" s="26" t="s">
        <v>2513</v>
      </c>
      <c r="H3228" s="26" t="s">
        <v>2903</v>
      </c>
      <c r="I3228" s="54">
        <f>_xll.DBRW($A$1,$F$14,$F$15,$C3228,$A$2,$F3228,$G3228,$H3228,I$1)</f>
        <v>41</v>
      </c>
      <c r="J3228" s="25">
        <f>_xll.DBRW($A$1,$F$14,$F$15,$C3228,$A$2,$F3228,$G3228,$H3228,J$19)</f>
        <v>39</v>
      </c>
    </row>
    <row r="3229" spans="1:10" s="23" customFormat="1" outlineLevel="1" thickBot="1" x14ac:dyDescent="0.3">
      <c r="A3229" s="44"/>
      <c r="B3229" s="31" t="str">
        <f>IF(_xll.TM1RPTELISCONSOLIDATED($H$20,$H3229),IF(_xll.TM1RPTELLEV($H$20,$H3229)&lt;=5,_xll.TM1RPTELLEV($H$20,$H3229),"Default"),"Leaf")</f>
        <v>Leaf</v>
      </c>
      <c r="C3229" s="26" t="s">
        <v>26</v>
      </c>
      <c r="D3229" s="24" t="str">
        <f>_xll.DBRW("TM1-S1_DEV:}ElementAttributes_SP_SKU",$F3229,D$1)</f>
        <v>Primary</v>
      </c>
      <c r="E3229" s="24" t="str">
        <f>_xll.DBRW("TM1-S1_DEV:}ElementAttributes_SP_SKU",$F3229,E$1)</f>
        <v>UTENSIL</v>
      </c>
      <c r="F3229" s="26" t="s">
        <v>544</v>
      </c>
      <c r="G3229" s="26" t="s">
        <v>2582</v>
      </c>
      <c r="H3229" s="26" t="s">
        <v>2931</v>
      </c>
      <c r="I3229" s="54">
        <f>_xll.DBRW($A$1,$F$14,$F$15,$C3229,$A$2,$F3229,$G3229,$H3229,I$1)</f>
        <v>12</v>
      </c>
      <c r="J3229" s="25">
        <f>_xll.DBRW($A$1,$F$14,$F$15,$C3229,$A$2,$F3229,$G3229,$H3229,J$19)</f>
        <v>12</v>
      </c>
    </row>
    <row r="3230" spans="1:10" s="23" customFormat="1" outlineLevel="1" thickBot="1" x14ac:dyDescent="0.3">
      <c r="A3230" s="44"/>
      <c r="B3230" s="31" t="str">
        <f>IF(_xll.TM1RPTELISCONSOLIDATED($H$20,$H3230),IF(_xll.TM1RPTELLEV($H$20,$H3230)&lt;=5,_xll.TM1RPTELLEV($H$20,$H3230),"Default"),"Leaf")</f>
        <v>Leaf</v>
      </c>
      <c r="C3230" s="26" t="s">
        <v>26</v>
      </c>
      <c r="D3230" s="24" t="str">
        <f>_xll.DBRW("TM1-S1_DEV:}ElementAttributes_SP_SKU",$F3230,D$1)</f>
        <v>Primary</v>
      </c>
      <c r="E3230" s="24" t="str">
        <f>_xll.DBRW("TM1-S1_DEV:}ElementAttributes_SP_SKU",$F3230,E$1)</f>
        <v>BAG</v>
      </c>
      <c r="F3230" s="26" t="s">
        <v>545</v>
      </c>
      <c r="G3230" s="26" t="s">
        <v>2583</v>
      </c>
      <c r="H3230" s="26" t="s">
        <v>2862</v>
      </c>
      <c r="I3230" s="54">
        <f>_xll.DBRW($A$1,$F$14,$F$15,$C3230,$A$2,$F3230,$G3230,$H3230,I$1)</f>
        <v>2</v>
      </c>
      <c r="J3230" s="25">
        <f>_xll.DBRW($A$1,$F$14,$F$15,$C3230,$A$2,$F3230,$G3230,$H3230,J$19)</f>
        <v>2</v>
      </c>
    </row>
    <row r="3231" spans="1:10" s="23" customFormat="1" outlineLevel="1" thickBot="1" x14ac:dyDescent="0.3">
      <c r="A3231" s="44"/>
      <c r="B3231" s="31" t="str">
        <f>IF(_xll.TM1RPTELISCONSOLIDATED($H$20,$H3231),IF(_xll.TM1RPTELLEV($H$20,$H3231)&lt;=5,_xll.TM1RPTELLEV($H$20,$H3231),"Default"),"Leaf")</f>
        <v>Leaf</v>
      </c>
      <c r="C3231" s="26" t="s">
        <v>26</v>
      </c>
      <c r="D3231" s="24" t="str">
        <f>_xll.DBRW("TM1-S1_DEV:}ElementAttributes_SP_SKU",$F3231,D$1)</f>
        <v>Primary</v>
      </c>
      <c r="E3231" s="24" t="str">
        <f>_xll.DBRW("TM1-S1_DEV:}ElementAttributes_SP_SKU",$F3231,E$1)</f>
        <v>GLOVES</v>
      </c>
      <c r="F3231" s="26" t="s">
        <v>546</v>
      </c>
      <c r="G3231" s="26" t="s">
        <v>2584</v>
      </c>
      <c r="H3231" s="26" t="s">
        <v>2932</v>
      </c>
      <c r="I3231" s="54">
        <f>_xll.DBRW($A$1,$F$14,$F$15,$C3231,$A$2,$F3231,$G3231,$H3231,I$1)</f>
        <v>59</v>
      </c>
      <c r="J3231" s="25">
        <f>_xll.DBRW($A$1,$F$14,$F$15,$C3231,$A$2,$F3231,$G3231,$H3231,J$19)</f>
        <v>58</v>
      </c>
    </row>
    <row r="3232" spans="1:10" s="23" customFormat="1" outlineLevel="1" thickBot="1" x14ac:dyDescent="0.3">
      <c r="A3232" s="44"/>
      <c r="B3232" s="31" t="str">
        <f>IF(_xll.TM1RPTELISCONSOLIDATED($H$20,$H3232),IF(_xll.TM1RPTELLEV($H$20,$H3232)&lt;=5,_xll.TM1RPTELLEV($H$20,$H3232),"Default"),"Leaf")</f>
        <v>Leaf</v>
      </c>
      <c r="C3232" s="26" t="s">
        <v>26</v>
      </c>
      <c r="D3232" s="24" t="str">
        <f>_xll.DBRW("TM1-S1_DEV:}ElementAttributes_SP_SKU",$F3232,D$1)</f>
        <v>Primary</v>
      </c>
      <c r="E3232" s="24" t="str">
        <f>_xll.DBRW("TM1-S1_DEV:}ElementAttributes_SP_SKU",$F3232,E$1)</f>
        <v>PRODUCE</v>
      </c>
      <c r="F3232" s="26" t="s">
        <v>547</v>
      </c>
      <c r="G3232" s="26" t="s">
        <v>2585</v>
      </c>
      <c r="H3232" s="26" t="s">
        <v>2933</v>
      </c>
      <c r="I3232" s="54">
        <f>_xll.DBRW($A$1,$F$14,$F$15,$C3232,$A$2,$F3232,$G3232,$H3232,I$1)</f>
        <v>323</v>
      </c>
      <c r="J3232" s="25">
        <f>_xll.DBRW($A$1,$F$14,$F$15,$C3232,$A$2,$F3232,$G3232,$H3232,J$19)</f>
        <v>323</v>
      </c>
    </row>
    <row r="3233" spans="1:10" s="23" customFormat="1" outlineLevel="1" thickBot="1" x14ac:dyDescent="0.3">
      <c r="A3233" s="44"/>
      <c r="B3233" s="31" t="str">
        <f>IF(_xll.TM1RPTELISCONSOLIDATED($H$20,$H3233),IF(_xll.TM1RPTELLEV($H$20,$H3233)&lt;=5,_xll.TM1RPTELLEV($H$20,$H3233),"Default"),"Leaf")</f>
        <v>Leaf</v>
      </c>
      <c r="C3233" s="26" t="s">
        <v>26</v>
      </c>
      <c r="D3233" s="24" t="str">
        <f>_xll.DBRW("TM1-S1_DEV:}ElementAttributes_SP_SKU",$F3233,D$1)</f>
        <v>Primary</v>
      </c>
      <c r="E3233" s="24" t="str">
        <f>_xll.DBRW("TM1-S1_DEV:}ElementAttributes_SP_SKU",$F3233,E$1)</f>
        <v>CONTAINER</v>
      </c>
      <c r="F3233" s="26" t="s">
        <v>548</v>
      </c>
      <c r="G3233" s="26" t="s">
        <v>2586</v>
      </c>
      <c r="H3233" s="26" t="s">
        <v>2934</v>
      </c>
      <c r="I3233" s="54">
        <f>_xll.DBRW($A$1,$F$14,$F$15,$C3233,$A$2,$F3233,$G3233,$H3233,I$1)</f>
        <v>4</v>
      </c>
      <c r="J3233" s="25">
        <f>_xll.DBRW($A$1,$F$14,$F$15,$C3233,$A$2,$F3233,$G3233,$H3233,J$19)</f>
        <v>4</v>
      </c>
    </row>
    <row r="3234" spans="1:10" s="23" customFormat="1" outlineLevel="1" thickBot="1" x14ac:dyDescent="0.3">
      <c r="A3234" s="44"/>
      <c r="B3234" s="31" t="str">
        <f>IF(_xll.TM1RPTELISCONSOLIDATED($H$20,$H3234),IF(_xll.TM1RPTELLEV($H$20,$H3234)&lt;=5,_xll.TM1RPTELLEV($H$20,$H3234),"Default"),"Leaf")</f>
        <v>Leaf</v>
      </c>
      <c r="C3234" s="26" t="s">
        <v>26</v>
      </c>
      <c r="D3234" s="24" t="str">
        <f>_xll.DBRW("TM1-S1_DEV:}ElementAttributes_SP_SKU",$F3234,D$1)</f>
        <v>Primary</v>
      </c>
      <c r="E3234" s="24" t="str">
        <f>_xll.DBRW("TM1-S1_DEV:}ElementAttributes_SP_SKU",$F3234,E$1)</f>
        <v>DRESSING</v>
      </c>
      <c r="F3234" s="26" t="s">
        <v>549</v>
      </c>
      <c r="G3234" s="26" t="s">
        <v>2587</v>
      </c>
      <c r="H3234" s="26" t="s">
        <v>2685</v>
      </c>
      <c r="I3234" s="54">
        <f>_xll.DBRW($A$1,$F$14,$F$15,$C3234,$A$2,$F3234,$G3234,$H3234,I$1)</f>
        <v>6</v>
      </c>
      <c r="J3234" s="25">
        <f>_xll.DBRW($A$1,$F$14,$F$15,$C3234,$A$2,$F3234,$G3234,$H3234,J$19)</f>
        <v>6</v>
      </c>
    </row>
    <row r="3235" spans="1:10" s="23" customFormat="1" outlineLevel="1" thickBot="1" x14ac:dyDescent="0.3">
      <c r="A3235" s="44"/>
      <c r="B3235" s="31" t="str">
        <f>IF(_xll.TM1RPTELISCONSOLIDATED($H$20,$H3235),IF(_xll.TM1RPTELLEV($H$20,$H3235)&lt;=5,_xll.TM1RPTELLEV($H$20,$H3235),"Default"),"Leaf")</f>
        <v>Leaf</v>
      </c>
      <c r="C3235" s="26" t="s">
        <v>26</v>
      </c>
      <c r="D3235" s="24" t="str">
        <f>_xll.DBRW("TM1-S1_DEV:}ElementAttributes_SP_SKU",$F3235,D$1)</f>
        <v>Primary</v>
      </c>
      <c r="E3235" s="24" t="str">
        <f>_xll.DBRW("TM1-S1_DEV:}ElementAttributes_SP_SKU",$F3235,E$1)</f>
        <v>GLOVES</v>
      </c>
      <c r="F3235" s="26" t="s">
        <v>496</v>
      </c>
      <c r="G3235" s="26" t="s">
        <v>2516</v>
      </c>
      <c r="H3235" s="26" t="s">
        <v>2905</v>
      </c>
      <c r="I3235" s="54">
        <f>_xll.DBRW($A$1,$F$14,$F$15,$C3235,$A$2,$F3235,$G3235,$H3235,I$1)</f>
        <v>24</v>
      </c>
      <c r="J3235" s="25">
        <f>_xll.DBRW($A$1,$F$14,$F$15,$C3235,$A$2,$F3235,$G3235,$H3235,J$19)</f>
        <v>23</v>
      </c>
    </row>
    <row r="3236" spans="1:10" s="23" customFormat="1" outlineLevel="1" thickBot="1" x14ac:dyDescent="0.3">
      <c r="A3236" s="44"/>
      <c r="B3236" s="31" t="str">
        <f>IF(_xll.TM1RPTELISCONSOLIDATED($H$20,$H3236),IF(_xll.TM1RPTELLEV($H$20,$H3236)&lt;=5,_xll.TM1RPTELLEV($H$20,$H3236),"Default"),"Leaf")</f>
        <v>Leaf</v>
      </c>
      <c r="C3236" s="26" t="s">
        <v>26</v>
      </c>
      <c r="D3236" s="24" t="str">
        <f>_xll.DBRW("TM1-S1_DEV:}ElementAttributes_SP_SKU",$F3236,D$1)</f>
        <v>Primary</v>
      </c>
      <c r="E3236" s="24" t="str">
        <f>_xll.DBRW("TM1-S1_DEV:}ElementAttributes_SP_SKU",$F3236,E$1)</f>
        <v>UTENSIL</v>
      </c>
      <c r="F3236" s="26" t="s">
        <v>550</v>
      </c>
      <c r="G3236" s="26" t="s">
        <v>2588</v>
      </c>
      <c r="H3236" s="26" t="s">
        <v>2906</v>
      </c>
      <c r="I3236" s="54">
        <f>_xll.DBRW($A$1,$F$14,$F$15,$C3236,$A$2,$F3236,$G3236,$H3236,I$1)</f>
        <v>205</v>
      </c>
      <c r="J3236" s="25">
        <f>_xll.DBRW($A$1,$F$14,$F$15,$C3236,$A$2,$F3236,$G3236,$H3236,J$19)</f>
        <v>205</v>
      </c>
    </row>
    <row r="3237" spans="1:10" s="23" customFormat="1" outlineLevel="1" thickBot="1" x14ac:dyDescent="0.3">
      <c r="A3237" s="44"/>
      <c r="B3237" s="31" t="str">
        <f>IF(_xll.TM1RPTELISCONSOLIDATED($H$20,$H3237),IF(_xll.TM1RPTELLEV($H$20,$H3237)&lt;=5,_xll.TM1RPTELLEV($H$20,$H3237),"Default"),"Leaf")</f>
        <v>Leaf</v>
      </c>
      <c r="C3237" s="26" t="s">
        <v>26</v>
      </c>
      <c r="D3237" s="24" t="str">
        <f>_xll.DBRW("TM1-S1_DEV:}ElementAttributes_SP_SKU",$F3237,D$1)</f>
        <v>Primary</v>
      </c>
      <c r="E3237" s="24" t="str">
        <f>_xll.DBRW("TM1-S1_DEV:}ElementAttributes_SP_SKU",$F3237,E$1)</f>
        <v>UTENSIL</v>
      </c>
      <c r="F3237" s="26" t="s">
        <v>498</v>
      </c>
      <c r="G3237" s="26" t="s">
        <v>2518</v>
      </c>
      <c r="H3237" s="26" t="s">
        <v>2906</v>
      </c>
      <c r="I3237" s="54">
        <f>_xll.DBRW($A$1,$F$14,$F$15,$C3237,$A$2,$F3237,$G3237,$H3237,I$1)</f>
        <v>28</v>
      </c>
      <c r="J3237" s="25">
        <f>_xll.DBRW($A$1,$F$14,$F$15,$C3237,$A$2,$F3237,$G3237,$H3237,J$19)</f>
        <v>28</v>
      </c>
    </row>
    <row r="3238" spans="1:10" s="23" customFormat="1" outlineLevel="1" thickBot="1" x14ac:dyDescent="0.3">
      <c r="A3238" s="44"/>
      <c r="B3238" s="31" t="str">
        <f>IF(_xll.TM1RPTELISCONSOLIDATED($H$20,$H3238),IF(_xll.TM1RPTELLEV($H$20,$H3238)&lt;=5,_xll.TM1RPTELLEV($H$20,$H3238),"Default"),"Leaf")</f>
        <v>Leaf</v>
      </c>
      <c r="C3238" s="26" t="s">
        <v>26</v>
      </c>
      <c r="D3238" s="24" t="str">
        <f>_xll.DBRW("TM1-S1_DEV:}ElementAttributes_SP_SKU",$F3238,D$1)</f>
        <v>Primary</v>
      </c>
      <c r="E3238" s="24" t="str">
        <f>_xll.DBRW("TM1-S1_DEV:}ElementAttributes_SP_SKU",$F3238,E$1)</f>
        <v>PAPER</v>
      </c>
      <c r="F3238" s="26" t="s">
        <v>3311</v>
      </c>
      <c r="G3238" s="26" t="s">
        <v>3337</v>
      </c>
      <c r="H3238" s="26" t="s">
        <v>3343</v>
      </c>
      <c r="I3238" s="54">
        <f>_xll.DBRW($A$1,$F$14,$F$15,$C3238,$A$2,$F3238,$G3238,$H3238,I$1)</f>
        <v>0</v>
      </c>
      <c r="J3238" s="25">
        <f>_xll.DBRW($A$1,$F$14,$F$15,$C3238,$A$2,$F3238,$G3238,$H3238,J$19)</f>
        <v>-1</v>
      </c>
    </row>
    <row r="3239" spans="1:10" s="23" customFormat="1" outlineLevel="1" thickBot="1" x14ac:dyDescent="0.3">
      <c r="A3239" s="44"/>
      <c r="B3239" s="31" t="str">
        <f>IF(_xll.TM1RPTELISCONSOLIDATED($H$20,$H3239),IF(_xll.TM1RPTELLEV($H$20,$H3239)&lt;=5,_xll.TM1RPTELLEV($H$20,$H3239),"Default"),"Leaf")</f>
        <v>Leaf</v>
      </c>
      <c r="C3239" s="26" t="s">
        <v>26</v>
      </c>
      <c r="D3239" s="24" t="str">
        <f>_xll.DBRW("TM1-S1_DEV:}ElementAttributes_SP_SKU",$F3239,D$1)</f>
        <v>Primary</v>
      </c>
      <c r="E3239" s="24" t="str">
        <f>_xll.DBRW("TM1-S1_DEV:}ElementAttributes_SP_SKU",$F3239,E$1)</f>
        <v>PAPER</v>
      </c>
      <c r="F3239" s="26" t="s">
        <v>501</v>
      </c>
      <c r="G3239" s="26" t="s">
        <v>2520</v>
      </c>
      <c r="H3239" s="26" t="s">
        <v>2909</v>
      </c>
      <c r="I3239" s="54">
        <f>_xll.DBRW($A$1,$F$14,$F$15,$C3239,$A$2,$F3239,$G3239,$H3239,I$1)</f>
        <v>10</v>
      </c>
      <c r="J3239" s="25">
        <f>_xll.DBRW($A$1,$F$14,$F$15,$C3239,$A$2,$F3239,$G3239,$H3239,J$19)</f>
        <v>10</v>
      </c>
    </row>
    <row r="3240" spans="1:10" s="23" customFormat="1" outlineLevel="1" thickBot="1" x14ac:dyDescent="0.3">
      <c r="A3240" s="44"/>
      <c r="B3240" s="31" t="str">
        <f>IF(_xll.TM1RPTELISCONSOLIDATED($H$20,$H3240),IF(_xll.TM1RPTELLEV($H$20,$H3240)&lt;=5,_xll.TM1RPTELLEV($H$20,$H3240),"Default"),"Leaf")</f>
        <v>Leaf</v>
      </c>
      <c r="C3240" s="26" t="s">
        <v>26</v>
      </c>
      <c r="D3240" s="24" t="str">
        <f>_xll.DBRW("TM1-S1_DEV:}ElementAttributes_SP_SKU",$F3240,D$1)</f>
        <v>Primary</v>
      </c>
      <c r="E3240" s="24" t="str">
        <f>_xll.DBRW("TM1-S1_DEV:}ElementAttributes_SP_SKU",$F3240,E$1)</f>
        <v>PAPER</v>
      </c>
      <c r="F3240" s="26" t="s">
        <v>551</v>
      </c>
      <c r="G3240" s="26" t="s">
        <v>2589</v>
      </c>
      <c r="H3240" s="26" t="s">
        <v>2935</v>
      </c>
      <c r="I3240" s="54">
        <f>_xll.DBRW($A$1,$F$14,$F$15,$C3240,$A$2,$F3240,$G3240,$H3240,I$1)</f>
        <v>6</v>
      </c>
      <c r="J3240" s="25">
        <f>_xll.DBRW($A$1,$F$14,$F$15,$C3240,$A$2,$F3240,$G3240,$H3240,J$19)</f>
        <v>5</v>
      </c>
    </row>
    <row r="3241" spans="1:10" s="23" customFormat="1" outlineLevel="1" thickBot="1" x14ac:dyDescent="0.3">
      <c r="A3241" s="44"/>
      <c r="B3241" s="31" t="str">
        <f>IF(_xll.TM1RPTELISCONSOLIDATED($H$20,$H3241),IF(_xll.TM1RPTELLEV($H$20,$H3241)&lt;=5,_xll.TM1RPTELLEV($H$20,$H3241),"Default"),"Leaf")</f>
        <v>Leaf</v>
      </c>
      <c r="C3241" s="26" t="s">
        <v>26</v>
      </c>
      <c r="D3241" s="24" t="str">
        <f>_xll.DBRW("TM1-S1_DEV:}ElementAttributes_SP_SKU",$F3241,D$1)</f>
        <v>Primary</v>
      </c>
      <c r="E3241" s="24" t="str">
        <f>_xll.DBRW("TM1-S1_DEV:}ElementAttributes_SP_SKU",$F3241,E$1)</f>
        <v>GLOVES</v>
      </c>
      <c r="F3241" s="26" t="s">
        <v>552</v>
      </c>
      <c r="G3241" s="26" t="s">
        <v>2590</v>
      </c>
      <c r="H3241" s="26" t="s">
        <v>2911</v>
      </c>
      <c r="I3241" s="54">
        <f>_xll.DBRW($A$1,$F$14,$F$15,$C3241,$A$2,$F3241,$G3241,$H3241,I$1)</f>
        <v>19</v>
      </c>
      <c r="J3241" s="25">
        <f>_xll.DBRW($A$1,$F$14,$F$15,$C3241,$A$2,$F3241,$G3241,$H3241,J$19)</f>
        <v>18</v>
      </c>
    </row>
    <row r="3242" spans="1:10" s="23" customFormat="1" outlineLevel="1" thickBot="1" x14ac:dyDescent="0.3">
      <c r="A3242" s="44"/>
      <c r="B3242" s="31" t="str">
        <f>IF(_xll.TM1RPTELISCONSOLIDATED($H$20,$H3242),IF(_xll.TM1RPTELLEV($H$20,$H3242)&lt;=5,_xll.TM1RPTELLEV($H$20,$H3242),"Default"),"Leaf")</f>
        <v>Leaf</v>
      </c>
      <c r="C3242" s="26" t="s">
        <v>26</v>
      </c>
      <c r="D3242" s="24" t="str">
        <f>_xll.DBRW("TM1-S1_DEV:}ElementAttributes_SP_SKU",$F3242,D$1)</f>
        <v>Primary</v>
      </c>
      <c r="E3242" s="24" t="str">
        <f>_xll.DBRW("TM1-S1_DEV:}ElementAttributes_SP_SKU",$F3242,E$1)</f>
        <v>PAPER</v>
      </c>
      <c r="F3242" s="26" t="s">
        <v>553</v>
      </c>
      <c r="G3242" s="26" t="s">
        <v>2591</v>
      </c>
      <c r="H3242" s="26" t="s">
        <v>2912</v>
      </c>
      <c r="I3242" s="54">
        <f>_xll.DBRW($A$1,$F$14,$F$15,$C3242,$A$2,$F3242,$G3242,$H3242,I$1)</f>
        <v>19</v>
      </c>
      <c r="J3242" s="25">
        <f>_xll.DBRW($A$1,$F$14,$F$15,$C3242,$A$2,$F3242,$G3242,$H3242,J$19)</f>
        <v>19</v>
      </c>
    </row>
    <row r="3243" spans="1:10" s="23" customFormat="1" outlineLevel="1" thickBot="1" x14ac:dyDescent="0.3">
      <c r="A3243" s="44"/>
      <c r="B3243" s="31" t="str">
        <f>IF(_xll.TM1RPTELISCONSOLIDATED($H$20,$H3243),IF(_xll.TM1RPTELLEV($H$20,$H3243)&lt;=5,_xll.TM1RPTELLEV($H$20,$H3243),"Default"),"Leaf")</f>
        <v>Leaf</v>
      </c>
      <c r="C3243" s="26" t="s">
        <v>26</v>
      </c>
      <c r="D3243" s="24" t="str">
        <f>_xll.DBRW("TM1-S1_DEV:}ElementAttributes_SP_SKU",$F3243,D$1)</f>
        <v>Primary</v>
      </c>
      <c r="E3243" s="24" t="str">
        <f>_xll.DBRW("TM1-S1_DEV:}ElementAttributes_SP_SKU",$F3243,E$1)</f>
        <v>INGREDIENT</v>
      </c>
      <c r="F3243" s="26" t="s">
        <v>506</v>
      </c>
      <c r="G3243" s="26" t="s">
        <v>2525</v>
      </c>
      <c r="H3243" s="26" t="s">
        <v>2913</v>
      </c>
      <c r="I3243" s="54">
        <f>_xll.DBRW($A$1,$F$14,$F$15,$C3243,$A$2,$F3243,$G3243,$H3243,I$1)</f>
        <v>3</v>
      </c>
      <c r="J3243" s="25">
        <f>_xll.DBRW($A$1,$F$14,$F$15,$C3243,$A$2,$F3243,$G3243,$H3243,J$19)</f>
        <v>3</v>
      </c>
    </row>
    <row r="3244" spans="1:10" s="23" customFormat="1" outlineLevel="1" thickBot="1" x14ac:dyDescent="0.3">
      <c r="A3244" s="44"/>
      <c r="B3244" s="31" t="str">
        <f>IF(_xll.TM1RPTELISCONSOLIDATED($H$20,$H3244),IF(_xll.TM1RPTELLEV($H$20,$H3244)&lt;=5,_xll.TM1RPTELLEV($H$20,$H3244),"Default"),"Leaf")</f>
        <v>Leaf</v>
      </c>
      <c r="C3244" s="26" t="s">
        <v>26</v>
      </c>
      <c r="D3244" s="24" t="str">
        <f>_xll.DBRW("TM1-S1_DEV:}ElementAttributes_SP_SKU",$F3244,D$1)</f>
        <v>Primary</v>
      </c>
      <c r="E3244" s="24" t="str">
        <f>_xll.DBRW("TM1-S1_DEV:}ElementAttributes_SP_SKU",$F3244,E$1)</f>
        <v>BAG</v>
      </c>
      <c r="F3244" s="26" t="s">
        <v>508</v>
      </c>
      <c r="G3244" s="26" t="s">
        <v>2527</v>
      </c>
      <c r="H3244" s="26" t="s">
        <v>2915</v>
      </c>
      <c r="I3244" s="54">
        <f>_xll.DBRW($A$1,$F$14,$F$15,$C3244,$A$2,$F3244,$G3244,$H3244,I$1)</f>
        <v>145</v>
      </c>
      <c r="J3244" s="25">
        <f>_xll.DBRW($A$1,$F$14,$F$15,$C3244,$A$2,$F3244,$G3244,$H3244,J$19)</f>
        <v>143</v>
      </c>
    </row>
    <row r="3245" spans="1:10" s="23" customFormat="1" outlineLevel="1" thickBot="1" x14ac:dyDescent="0.3">
      <c r="A3245" s="44"/>
      <c r="B3245" s="31" t="str">
        <f>IF(_xll.TM1RPTELISCONSOLIDATED($H$20,$H3245),IF(_xll.TM1RPTELLEV($H$20,$H3245)&lt;=5,_xll.TM1RPTELLEV($H$20,$H3245),"Default"),"Leaf")</f>
        <v>Leaf</v>
      </c>
      <c r="C3245" s="26" t="s">
        <v>26</v>
      </c>
      <c r="D3245" s="24" t="str">
        <f>_xll.DBRW("TM1-S1_DEV:}ElementAttributes_SP_SKU",$F3245,D$1)</f>
        <v>Primary</v>
      </c>
      <c r="E3245" s="24" t="str">
        <f>_xll.DBRW("TM1-S1_DEV:}ElementAttributes_SP_SKU",$F3245,E$1)</f>
        <v>FOIL</v>
      </c>
      <c r="F3245" s="26" t="s">
        <v>34</v>
      </c>
      <c r="G3245" s="26" t="s">
        <v>2592</v>
      </c>
      <c r="H3245" s="26" t="s">
        <v>2716</v>
      </c>
      <c r="I3245" s="54">
        <f>_xll.DBRW($A$1,$F$14,$F$15,$C3245,$A$2,$F3245,$G3245,$H3245,I$1)</f>
        <v>8</v>
      </c>
      <c r="J3245" s="25">
        <f>_xll.DBRW($A$1,$F$14,$F$15,$C3245,$A$2,$F3245,$G3245,$H3245,J$19)</f>
        <v>8</v>
      </c>
    </row>
    <row r="3246" spans="1:10" s="23" customFormat="1" outlineLevel="1" thickBot="1" x14ac:dyDescent="0.3">
      <c r="A3246" s="44"/>
      <c r="B3246" s="31" t="str">
        <f>IF(_xll.TM1RPTELISCONSOLIDATED($H$20,$H3246),IF(_xll.TM1RPTELLEV($H$20,$H3246)&lt;=5,_xll.TM1RPTELLEV($H$20,$H3246),"Default"),"Leaf")</f>
        <v>Leaf</v>
      </c>
      <c r="C3246" s="26" t="s">
        <v>26</v>
      </c>
      <c r="D3246" s="24" t="str">
        <f>_xll.DBRW("TM1-S1_DEV:}ElementAttributes_SP_SKU",$F3246,D$1)</f>
        <v>Secondary</v>
      </c>
      <c r="E3246" s="24" t="str">
        <f>_xll.DBRW("TM1-S1_DEV:}ElementAttributes_SP_SKU",$F3246,E$1)</f>
        <v>CONDIMENT</v>
      </c>
      <c r="F3246" s="26" t="s">
        <v>519</v>
      </c>
      <c r="G3246" s="26" t="s">
        <v>2539</v>
      </c>
      <c r="H3246" s="26" t="s">
        <v>2921</v>
      </c>
      <c r="I3246" s="54">
        <f>_xll.DBRW($A$1,$F$14,$F$15,$C3246,$A$2,$F3246,$G3246,$H3246,I$1)</f>
        <v>14</v>
      </c>
      <c r="J3246" s="25">
        <f>_xll.DBRW($A$1,$F$14,$F$15,$C3246,$A$2,$F3246,$G3246,$H3246,J$19)</f>
        <v>14</v>
      </c>
    </row>
    <row r="3247" spans="1:10" s="23" customFormat="1" outlineLevel="1" thickBot="1" x14ac:dyDescent="0.3">
      <c r="A3247" s="44"/>
      <c r="B3247" s="31" t="str">
        <f>IF(_xll.TM1RPTELISCONSOLIDATED($H$20,$H3247),IF(_xll.TM1RPTELLEV($H$20,$H3247)&lt;=5,_xll.TM1RPTELLEV($H$20,$H3247),"Default"),"Leaf")</f>
        <v>Leaf</v>
      </c>
      <c r="C3247" s="26" t="s">
        <v>26</v>
      </c>
      <c r="D3247" s="24" t="str">
        <f>_xll.DBRW("TM1-S1_DEV:}ElementAttributes_SP_SKU",$F3247,D$1)</f>
        <v>Secondary</v>
      </c>
      <c r="E3247" s="24" t="str">
        <f>_xll.DBRW("TM1-S1_DEV:}ElementAttributes_SP_SKU",$F3247,E$1)</f>
        <v>CLEANING</v>
      </c>
      <c r="F3247" s="26" t="s">
        <v>521</v>
      </c>
      <c r="G3247" s="26" t="s">
        <v>2541</v>
      </c>
      <c r="H3247" s="26" t="s">
        <v>2922</v>
      </c>
      <c r="I3247" s="54">
        <f>_xll.DBRW($A$1,$F$14,$F$15,$C3247,$A$2,$F3247,$G3247,$H3247,I$1)</f>
        <v>17</v>
      </c>
      <c r="J3247" s="25">
        <f>_xll.DBRW($A$1,$F$14,$F$15,$C3247,$A$2,$F3247,$G3247,$H3247,J$19)</f>
        <v>17</v>
      </c>
    </row>
    <row r="3248" spans="1:10" s="23" customFormat="1" outlineLevel="1" thickBot="1" x14ac:dyDescent="0.3">
      <c r="A3248" s="44"/>
      <c r="B3248" s="31" t="str">
        <f>IF(_xll.TM1RPTELISCONSOLIDATED($H$20,$H3248),IF(_xll.TM1RPTELLEV($H$20,$H3248)&lt;=5,_xll.TM1RPTELLEV($H$20,$H3248),"Default"),"Leaf")</f>
        <v>Leaf</v>
      </c>
      <c r="C3248" s="26" t="s">
        <v>26</v>
      </c>
      <c r="D3248" s="24" t="str">
        <f>_xll.DBRW("TM1-S1_DEV:}ElementAttributes_SP_SKU",$F3248,D$1)</f>
        <v>Secondary</v>
      </c>
      <c r="E3248" s="24" t="str">
        <f>_xll.DBRW("TM1-S1_DEV:}ElementAttributes_SP_SKU",$F3248,E$1)</f>
        <v>CLEANING</v>
      </c>
      <c r="F3248" s="26" t="s">
        <v>554</v>
      </c>
      <c r="G3248" s="26" t="s">
        <v>2593</v>
      </c>
      <c r="H3248" s="26" t="s">
        <v>2918</v>
      </c>
      <c r="I3248" s="54">
        <f>_xll.DBRW($A$1,$F$14,$F$15,$C3248,$A$2,$F3248,$G3248,$H3248,I$1)</f>
        <v>40</v>
      </c>
      <c r="J3248" s="25">
        <f>_xll.DBRW($A$1,$F$14,$F$15,$C3248,$A$2,$F3248,$G3248,$H3248,J$19)</f>
        <v>40</v>
      </c>
    </row>
    <row r="3249" spans="1:10" s="23" customFormat="1" outlineLevel="1" thickBot="1" x14ac:dyDescent="0.3">
      <c r="A3249" s="44"/>
      <c r="B3249" s="31" t="str">
        <f>IF(_xll.TM1RPTELISCONSOLIDATED($H$20,$H3249),IF(_xll.TM1RPTELLEV($H$20,$H3249)&lt;=5,_xll.TM1RPTELLEV($H$20,$H3249),"Default"),"Leaf")</f>
        <v>Leaf</v>
      </c>
      <c r="C3249" s="26" t="s">
        <v>26</v>
      </c>
      <c r="D3249" s="24" t="str">
        <f>_xll.DBRW("TM1-S1_DEV:}ElementAttributes_SP_SKU",$F3249,D$1)</f>
        <v>Secondary</v>
      </c>
      <c r="E3249" s="24" t="str">
        <f>_xll.DBRW("TM1-S1_DEV:}ElementAttributes_SP_SKU",$F3249,E$1)</f>
        <v>CONTAINER</v>
      </c>
      <c r="F3249" s="26" t="s">
        <v>555</v>
      </c>
      <c r="G3249" s="26" t="s">
        <v>2594</v>
      </c>
      <c r="H3249" s="26" t="s">
        <v>2758</v>
      </c>
      <c r="I3249" s="54">
        <f>_xll.DBRW($A$1,$F$14,$F$15,$C3249,$A$2,$F3249,$G3249,$H3249,I$1)</f>
        <v>2</v>
      </c>
      <c r="J3249" s="25">
        <f>_xll.DBRW($A$1,$F$14,$F$15,$C3249,$A$2,$F3249,$G3249,$H3249,J$19)</f>
        <v>2</v>
      </c>
    </row>
    <row r="3250" spans="1:10" s="23" customFormat="1" outlineLevel="1" thickBot="1" x14ac:dyDescent="0.3">
      <c r="A3250" s="44"/>
      <c r="B3250" s="31" t="str">
        <f>IF(_xll.TM1RPTELISCONSOLIDATED($H$20,$H3250),IF(_xll.TM1RPTELLEV($H$20,$H3250)&lt;=5,_xll.TM1RPTELLEV($H$20,$H3250),"Default"),"Leaf")</f>
        <v>Leaf</v>
      </c>
      <c r="C3250" s="26" t="s">
        <v>26</v>
      </c>
      <c r="D3250" s="24" t="str">
        <f>_xll.DBRW("TM1-S1_DEV:}ElementAttributes_SP_SKU",$F3250,D$1)</f>
        <v>Secondary</v>
      </c>
      <c r="E3250" s="24" t="str">
        <f>_xll.DBRW("TM1-S1_DEV:}ElementAttributes_SP_SKU",$F3250,E$1)</f>
        <v>UTENSIL</v>
      </c>
      <c r="F3250" s="26" t="s">
        <v>556</v>
      </c>
      <c r="G3250" s="26" t="s">
        <v>2595</v>
      </c>
      <c r="H3250" s="26" t="s">
        <v>2936</v>
      </c>
      <c r="I3250" s="54">
        <f>_xll.DBRW($A$1,$F$14,$F$15,$C3250,$A$2,$F3250,$G3250,$H3250,I$1)</f>
        <v>2</v>
      </c>
      <c r="J3250" s="25">
        <f>_xll.DBRW($A$1,$F$14,$F$15,$C3250,$A$2,$F3250,$G3250,$H3250,J$19)</f>
        <v>2</v>
      </c>
    </row>
    <row r="3251" spans="1:10" s="23" customFormat="1" outlineLevel="1" thickBot="1" x14ac:dyDescent="0.3">
      <c r="A3251" s="44"/>
      <c r="B3251" s="31" t="str">
        <f>IF(_xll.TM1RPTELISCONSOLIDATED($H$20,$H3251),IF(_xll.TM1RPTELLEV($H$20,$H3251)&lt;=5,_xll.TM1RPTELLEV($H$20,$H3251),"Default"),"Leaf")</f>
        <v>Leaf</v>
      </c>
      <c r="C3251" s="26" t="s">
        <v>26</v>
      </c>
      <c r="D3251" s="24" t="str">
        <f>_xll.DBRW("TM1-S1_DEV:}ElementAttributes_SP_SKU",$F3251,D$1)</f>
        <v>Secondary</v>
      </c>
      <c r="E3251" s="24" t="str">
        <f>_xll.DBRW("TM1-S1_DEV:}ElementAttributes_SP_SKU",$F3251,E$1)</f>
        <v>DRINKS</v>
      </c>
      <c r="F3251" s="26" t="s">
        <v>557</v>
      </c>
      <c r="G3251" s="26" t="s">
        <v>2596</v>
      </c>
      <c r="H3251" s="26" t="s">
        <v>2746</v>
      </c>
      <c r="I3251" s="54">
        <f>_xll.DBRW($A$1,$F$14,$F$15,$C3251,$A$2,$F3251,$G3251,$H3251,I$1)</f>
        <v>86</v>
      </c>
      <c r="J3251" s="25">
        <f>_xll.DBRW($A$1,$F$14,$F$15,$C3251,$A$2,$F3251,$G3251,$H3251,J$19)</f>
        <v>86</v>
      </c>
    </row>
    <row r="3252" spans="1:10" s="23" customFormat="1" outlineLevel="1" thickBot="1" x14ac:dyDescent="0.3">
      <c r="A3252" s="44"/>
      <c r="B3252" s="31" t="str">
        <f>IF(_xll.TM1RPTELISCONSOLIDATED($H$20,$H3252),IF(_xll.TM1RPTELLEV($H$20,$H3252)&lt;=5,_xll.TM1RPTELLEV($H$20,$H3252),"Default"),"Leaf")</f>
        <v>Leaf</v>
      </c>
      <c r="C3252" s="26" t="s">
        <v>26</v>
      </c>
      <c r="D3252" s="24" t="str">
        <f>_xll.DBRW("TM1-S1_DEV:}ElementAttributes_SP_SKU",$F3252,D$1)</f>
        <v>Secondary</v>
      </c>
      <c r="E3252" s="24" t="str">
        <f>_xll.DBRW("TM1-S1_DEV:}ElementAttributes_SP_SKU",$F3252,E$1)</f>
        <v>CLEANING</v>
      </c>
      <c r="F3252" s="26" t="s">
        <v>558</v>
      </c>
      <c r="G3252" s="26" t="s">
        <v>2597</v>
      </c>
      <c r="H3252" s="26" t="s">
        <v>2800</v>
      </c>
      <c r="I3252" s="54">
        <f>_xll.DBRW($A$1,$F$14,$F$15,$C3252,$A$2,$F3252,$G3252,$H3252,I$1)</f>
        <v>69</v>
      </c>
      <c r="J3252" s="25">
        <f>_xll.DBRW($A$1,$F$14,$F$15,$C3252,$A$2,$F3252,$G3252,$H3252,J$19)</f>
        <v>69</v>
      </c>
    </row>
    <row r="3253" spans="1:10" s="23" customFormat="1" outlineLevel="1" thickBot="1" x14ac:dyDescent="0.3">
      <c r="A3253" s="44"/>
      <c r="B3253" s="31" t="str">
        <f>IF(_xll.TM1RPTELISCONSOLIDATED($H$20,$H3253),IF(_xll.TM1RPTELLEV($H$20,$H3253)&lt;=5,_xll.TM1RPTELLEV($H$20,$H3253),"Default"),"Leaf")</f>
        <v>Leaf</v>
      </c>
      <c r="C3253" s="26" t="s">
        <v>26</v>
      </c>
      <c r="D3253" s="24" t="str">
        <f>_xll.DBRW("TM1-S1_DEV:}ElementAttributes_SP_SKU",$F3253,D$1)</f>
        <v>Secondary</v>
      </c>
      <c r="E3253" s="24" t="str">
        <f>_xll.DBRW("TM1-S1_DEV:}ElementAttributes_SP_SKU",$F3253,E$1)</f>
        <v>GLOVES</v>
      </c>
      <c r="F3253" s="26" t="s">
        <v>559</v>
      </c>
      <c r="G3253" s="26" t="s">
        <v>2598</v>
      </c>
      <c r="H3253" s="26" t="s">
        <v>2937</v>
      </c>
      <c r="I3253" s="54">
        <f>_xll.DBRW($A$1,$F$14,$F$15,$C3253,$A$2,$F3253,$G3253,$H3253,I$1)</f>
        <v>43</v>
      </c>
      <c r="J3253" s="25">
        <f>_xll.DBRW($A$1,$F$14,$F$15,$C3253,$A$2,$F3253,$G3253,$H3253,J$19)</f>
        <v>43</v>
      </c>
    </row>
    <row r="3254" spans="1:10" s="23" customFormat="1" outlineLevel="1" thickBot="1" x14ac:dyDescent="0.3">
      <c r="A3254" s="44"/>
      <c r="B3254" s="31" t="str">
        <f>IF(_xll.TM1RPTELISCONSOLIDATED($H$20,$H3254),IF(_xll.TM1RPTELLEV($H$20,$H3254)&lt;=5,_xll.TM1RPTELLEV($H$20,$H3254),"Default"),"Leaf")</f>
        <v>Leaf</v>
      </c>
      <c r="C3254" s="26" t="s">
        <v>26</v>
      </c>
      <c r="D3254" s="24" t="str">
        <f>_xll.DBRW("TM1-S1_DEV:}ElementAttributes_SP_SKU",$F3254,D$1)</f>
        <v>Secondary</v>
      </c>
      <c r="E3254" s="24" t="str">
        <f>_xll.DBRW("TM1-S1_DEV:}ElementAttributes_SP_SKU",$F3254,E$1)</f>
        <v>PAPER</v>
      </c>
      <c r="F3254" s="26" t="s">
        <v>560</v>
      </c>
      <c r="G3254" s="26" t="s">
        <v>2599</v>
      </c>
      <c r="H3254" s="26" t="s">
        <v>2938</v>
      </c>
      <c r="I3254" s="54">
        <f>_xll.DBRW($A$1,$F$14,$F$15,$C3254,$A$2,$F3254,$G3254,$H3254,I$1)</f>
        <v>114</v>
      </c>
      <c r="J3254" s="25">
        <f>_xll.DBRW($A$1,$F$14,$F$15,$C3254,$A$2,$F3254,$G3254,$H3254,J$19)</f>
        <v>114</v>
      </c>
    </row>
    <row r="3255" spans="1:10" s="23" customFormat="1" outlineLevel="1" thickBot="1" x14ac:dyDescent="0.3">
      <c r="A3255" s="44"/>
      <c r="B3255" s="31" t="str">
        <f>IF(_xll.TM1RPTELISCONSOLIDATED($H$20,$H3255),IF(_xll.TM1RPTELLEV($H$20,$H3255)&lt;=5,_xll.TM1RPTELLEV($H$20,$H3255),"Default"),"Leaf")</f>
        <v>Leaf</v>
      </c>
      <c r="C3255" s="26" t="s">
        <v>26</v>
      </c>
      <c r="D3255" s="24" t="str">
        <f>_xll.DBRW("TM1-S1_DEV:}ElementAttributes_SP_SKU",$F3255,D$1)</f>
        <v>Primary</v>
      </c>
      <c r="E3255" s="24" t="str">
        <f>_xll.DBRW("TM1-S1_DEV:}ElementAttributes_SP_SKU",$F3255,E$1)</f>
        <v>INGREDIENT</v>
      </c>
      <c r="F3255" s="26" t="s">
        <v>3240</v>
      </c>
      <c r="G3255" s="26" t="s">
        <v>2546</v>
      </c>
      <c r="H3255" s="26" t="s">
        <v>2728</v>
      </c>
      <c r="I3255" s="54">
        <f>_xll.DBRW($A$1,$F$14,$F$15,$C3255,$A$2,$F3255,$G3255,$H3255,I$1)</f>
        <v>14</v>
      </c>
      <c r="J3255" s="25">
        <f>_xll.DBRW($A$1,$F$14,$F$15,$C3255,$A$2,$F3255,$G3255,$H3255,J$19)</f>
        <v>11</v>
      </c>
    </row>
    <row r="3256" spans="1:10" s="23" customFormat="1" outlineLevel="1" thickBot="1" x14ac:dyDescent="0.3">
      <c r="A3256" s="44"/>
      <c r="B3256" s="31" t="str">
        <f>IF(_xll.TM1RPTELISCONSOLIDATED($H$20,$H3256),IF(_xll.TM1RPTELLEV($H$20,$H3256)&lt;=5,_xll.TM1RPTELLEV($H$20,$H3256),"Default"),"Leaf")</f>
        <v>Leaf</v>
      </c>
      <c r="C3256" s="26" t="s">
        <v>26</v>
      </c>
      <c r="D3256" s="24" t="str">
        <f>_xll.DBRW("TM1-S1_DEV:}ElementAttributes_SP_SKU",$F3256,D$1)</f>
        <v>Primary</v>
      </c>
      <c r="E3256" s="24" t="str">
        <f>_xll.DBRW("TM1-S1_DEV:}ElementAttributes_SP_SKU",$F3256,E$1)</f>
        <v>INGREDIENT</v>
      </c>
      <c r="F3256" s="26" t="s">
        <v>3241</v>
      </c>
      <c r="G3256" s="26" t="s">
        <v>2547</v>
      </c>
      <c r="H3256" s="26" t="s">
        <v>2729</v>
      </c>
      <c r="I3256" s="54">
        <f>_xll.DBRW($A$1,$F$14,$F$15,$C3256,$A$2,$F3256,$G3256,$H3256,I$1)</f>
        <v>298</v>
      </c>
      <c r="J3256" s="25">
        <f>_xll.DBRW($A$1,$F$14,$F$15,$C3256,$A$2,$F3256,$G3256,$H3256,J$19)</f>
        <v>275</v>
      </c>
    </row>
    <row r="3257" spans="1:10" s="23" customFormat="1" outlineLevel="1" thickBot="1" x14ac:dyDescent="0.3">
      <c r="A3257" s="44"/>
      <c r="B3257" s="31" t="str">
        <f>IF(_xll.TM1RPTELISCONSOLIDATED($H$20,$H3257),IF(_xll.TM1RPTELLEV($H$20,$H3257)&lt;=5,_xll.TM1RPTELLEV($H$20,$H3257),"Default"),"Leaf")</f>
        <v>Leaf</v>
      </c>
      <c r="C3257" s="26" t="s">
        <v>26</v>
      </c>
      <c r="D3257" s="24" t="str">
        <f>_xll.DBRW("TM1-S1_DEV:}ElementAttributes_SP_SKU",$F3257,D$1)</f>
        <v>Primary</v>
      </c>
      <c r="E3257" s="24" t="str">
        <f>_xll.DBRW("TM1-S1_DEV:}ElementAttributes_SP_SKU",$F3257,E$1)</f>
        <v>INGREDIENT</v>
      </c>
      <c r="F3257" s="26" t="s">
        <v>3241</v>
      </c>
      <c r="G3257" s="26" t="s">
        <v>2548</v>
      </c>
      <c r="H3257" s="26" t="s">
        <v>2734</v>
      </c>
      <c r="I3257" s="54">
        <f>_xll.DBRW($A$1,$F$14,$F$15,$C3257,$A$2,$F3257,$G3257,$H3257,I$1)</f>
        <v>976</v>
      </c>
      <c r="J3257" s="25">
        <f>_xll.DBRW($A$1,$F$14,$F$15,$C3257,$A$2,$F3257,$G3257,$H3257,J$19)</f>
        <v>976</v>
      </c>
    </row>
    <row r="3258" spans="1:10" s="23" customFormat="1" outlineLevel="1" thickBot="1" x14ac:dyDescent="0.3">
      <c r="A3258" s="44"/>
      <c r="B3258" s="31" t="str">
        <f>IF(_xll.TM1RPTELISCONSOLIDATED($H$20,$H3258),IF(_xll.TM1RPTELLEV($H$20,$H3258)&lt;=5,_xll.TM1RPTELLEV($H$20,$H3258),"Default"),"Leaf")</f>
        <v>Leaf</v>
      </c>
      <c r="C3258" s="26" t="s">
        <v>26</v>
      </c>
      <c r="D3258" s="24" t="str">
        <f>_xll.DBRW("TM1-S1_DEV:}ElementAttributes_SP_SKU",$F3258,D$1)</f>
        <v>Primary</v>
      </c>
      <c r="E3258" s="24" t="str">
        <f>_xll.DBRW("TM1-S1_DEV:}ElementAttributes_SP_SKU",$F3258,E$1)</f>
        <v>DRINKS</v>
      </c>
      <c r="F3258" s="26" t="s">
        <v>3267</v>
      </c>
      <c r="G3258" s="26" t="s">
        <v>2600</v>
      </c>
      <c r="H3258" s="26" t="s">
        <v>2764</v>
      </c>
      <c r="I3258" s="54">
        <f>_xll.DBRW($A$1,$F$14,$F$15,$C3258,$A$2,$F3258,$G3258,$H3258,I$1)</f>
        <v>1</v>
      </c>
      <c r="J3258" s="25">
        <f>_xll.DBRW($A$1,$F$14,$F$15,$C3258,$A$2,$F3258,$G3258,$H3258,J$19)</f>
        <v>1</v>
      </c>
    </row>
    <row r="3259" spans="1:10" s="23" customFormat="1" outlineLevel="1" thickBot="1" x14ac:dyDescent="0.3">
      <c r="A3259" s="44"/>
      <c r="B3259" s="31" t="str">
        <f>IF(_xll.TM1RPTELISCONSOLIDATED($H$20,$H3259),IF(_xll.TM1RPTELLEV($H$20,$H3259)&lt;=5,_xll.TM1RPTELLEV($H$20,$H3259),"Default"),"Leaf")</f>
        <v>Leaf</v>
      </c>
      <c r="C3259" s="26" t="s">
        <v>26</v>
      </c>
      <c r="D3259" s="24" t="str">
        <f>_xll.DBRW("TM1-S1_DEV:}ElementAttributes_SP_SKU",$F3259,D$1)</f>
        <v>Primary</v>
      </c>
      <c r="E3259" s="24" t="str">
        <f>_xll.DBRW("TM1-S1_DEV:}ElementAttributes_SP_SKU",$F3259,E$1)</f>
        <v>CONTAINER</v>
      </c>
      <c r="F3259" s="26" t="s">
        <v>3242</v>
      </c>
      <c r="G3259" s="26" t="s">
        <v>2564</v>
      </c>
      <c r="H3259" s="26" t="s">
        <v>2708</v>
      </c>
      <c r="I3259" s="54">
        <f>_xll.DBRW($A$1,$F$14,$F$15,$C3259,$A$2,$F3259,$G3259,$H3259,I$1)</f>
        <v>23</v>
      </c>
      <c r="J3259" s="25">
        <f>_xll.DBRW($A$1,$F$14,$F$15,$C3259,$A$2,$F3259,$G3259,$H3259,J$19)</f>
        <v>19</v>
      </c>
    </row>
    <row r="3260" spans="1:10" s="23" customFormat="1" outlineLevel="1" thickBot="1" x14ac:dyDescent="0.3">
      <c r="A3260" s="44"/>
      <c r="B3260" s="31" t="str">
        <f>IF(_xll.TM1RPTELISCONSOLIDATED($H$20,$H3260),IF(_xll.TM1RPTELLEV($H$20,$H3260)&lt;=5,_xll.TM1RPTELLEV($H$20,$H3260),"Default"),"Leaf")</f>
        <v>Leaf</v>
      </c>
      <c r="C3260" s="26" t="s">
        <v>26</v>
      </c>
      <c r="D3260" s="24" t="str">
        <f>_xll.DBRW("TM1-S1_DEV:}ElementAttributes_SP_SKU",$F3260,D$1)</f>
        <v>Primary</v>
      </c>
      <c r="E3260" s="24" t="str">
        <f>_xll.DBRW("TM1-S1_DEV:}ElementAttributes_SP_SKU",$F3260,E$1)</f>
        <v>PAPER</v>
      </c>
      <c r="F3260" s="26" t="s">
        <v>3243</v>
      </c>
      <c r="G3260" s="26" t="s">
        <v>2565</v>
      </c>
      <c r="H3260" s="26" t="s">
        <v>2730</v>
      </c>
      <c r="I3260" s="54">
        <f>_xll.DBRW($A$1,$F$14,$F$15,$C3260,$A$2,$F3260,$G3260,$H3260,I$1)</f>
        <v>5</v>
      </c>
      <c r="J3260" s="25">
        <f>_xll.DBRW($A$1,$F$14,$F$15,$C3260,$A$2,$F3260,$G3260,$H3260,J$19)</f>
        <v>4</v>
      </c>
    </row>
    <row r="3261" spans="1:10" s="23" customFormat="1" outlineLevel="1" thickBot="1" x14ac:dyDescent="0.3">
      <c r="A3261" s="44"/>
      <c r="B3261" s="31" t="str">
        <f>IF(_xll.TM1RPTELISCONSOLIDATED($H$20,$H3261),IF(_xll.TM1RPTELLEV($H$20,$H3261)&lt;=5,_xll.TM1RPTELLEV($H$20,$H3261),"Default"),"Leaf")</f>
        <v>Leaf</v>
      </c>
      <c r="C3261" s="26" t="s">
        <v>26</v>
      </c>
      <c r="D3261" s="24" t="str">
        <f>_xll.DBRW("TM1-S1_DEV:}ElementAttributes_SP_SKU",$F3261,D$1)</f>
        <v>Primary</v>
      </c>
      <c r="E3261" s="24" t="str">
        <f>_xll.DBRW("TM1-S1_DEV:}ElementAttributes_SP_SKU",$F3261,E$1)</f>
        <v>PROTEIN</v>
      </c>
      <c r="F3261" s="26" t="s">
        <v>3244</v>
      </c>
      <c r="G3261" s="26" t="s">
        <v>2566</v>
      </c>
      <c r="H3261" s="26" t="s">
        <v>2670</v>
      </c>
      <c r="I3261" s="54">
        <f>_xll.DBRW($A$1,$F$14,$F$15,$C3261,$A$2,$F3261,$G3261,$H3261,I$1)</f>
        <v>34</v>
      </c>
      <c r="J3261" s="25">
        <f>_xll.DBRW($A$1,$F$14,$F$15,$C3261,$A$2,$F3261,$G3261,$H3261,J$19)</f>
        <v>33</v>
      </c>
    </row>
    <row r="3262" spans="1:10" s="23" customFormat="1" outlineLevel="1" thickBot="1" x14ac:dyDescent="0.3">
      <c r="A3262" s="44"/>
      <c r="B3262" s="31" t="str">
        <f>IF(_xll.TM1RPTELISCONSOLIDATED($H$20,$H3262),IF(_xll.TM1RPTELLEV($H$20,$H3262)&lt;=5,_xll.TM1RPTELLEV($H$20,$H3262),"Default"),"Leaf")</f>
        <v>Leaf</v>
      </c>
      <c r="C3262" s="26" t="s">
        <v>26</v>
      </c>
      <c r="D3262" s="24" t="str">
        <f>_xll.DBRW("TM1-S1_DEV:}ElementAttributes_SP_SKU",$F3262,D$1)</f>
        <v>Primary</v>
      </c>
      <c r="E3262" s="24" t="str">
        <f>_xll.DBRW("TM1-S1_DEV:}ElementAttributes_SP_SKU",$F3262,E$1)</f>
        <v>PAD</v>
      </c>
      <c r="F3262" s="26" t="s">
        <v>3245</v>
      </c>
      <c r="G3262" s="26" t="s">
        <v>2567</v>
      </c>
      <c r="H3262" s="26" t="s">
        <v>2731</v>
      </c>
      <c r="I3262" s="54">
        <f>_xll.DBRW($A$1,$F$14,$F$15,$C3262,$A$2,$F3262,$G3262,$H3262,I$1)</f>
        <v>23</v>
      </c>
      <c r="J3262" s="25">
        <f>_xll.DBRW($A$1,$F$14,$F$15,$C3262,$A$2,$F3262,$G3262,$H3262,J$19)</f>
        <v>20</v>
      </c>
    </row>
    <row r="3263" spans="1:10" s="23" customFormat="1" outlineLevel="1" thickBot="1" x14ac:dyDescent="0.3">
      <c r="A3263" s="44"/>
      <c r="B3263" s="31" t="str">
        <f>IF(_xll.TM1RPTELISCONSOLIDATED($H$20,$H3263),IF(_xll.TM1RPTELLEV($H$20,$H3263)&lt;=5,_xll.TM1RPTELLEV($H$20,$H3263),"Default"),"Leaf")</f>
        <v>Leaf</v>
      </c>
      <c r="C3263" s="26" t="s">
        <v>27</v>
      </c>
      <c r="D3263" s="24" t="str">
        <f>_xll.DBRW("TM1-S1_DEV:}ElementAttributes_SP_SKU",$F3263,D$1)</f>
        <v>Primary</v>
      </c>
      <c r="E3263" s="24" t="str">
        <f>_xll.DBRW("TM1-S1_DEV:}ElementAttributes_SP_SKU",$F3263,E$1)</f>
        <v>HAM</v>
      </c>
      <c r="F3263" s="26" t="s">
        <v>3246</v>
      </c>
      <c r="G3263" s="26" t="s">
        <v>2382</v>
      </c>
      <c r="H3263" s="26" t="s">
        <v>2673</v>
      </c>
      <c r="I3263" s="54">
        <f>_xll.DBRW($A$1,$F$14,$F$15,$C3263,$A$2,$F3263,$G3263,$H3263,I$1)</f>
        <v>1093</v>
      </c>
      <c r="J3263" s="25">
        <f>_xll.DBRW($A$1,$F$14,$F$15,$C3263,$A$2,$F3263,$G3263,$H3263,J$19)</f>
        <v>2</v>
      </c>
    </row>
    <row r="3264" spans="1:10" s="23" customFormat="1" outlineLevel="1" thickBot="1" x14ac:dyDescent="0.3">
      <c r="A3264" s="44"/>
      <c r="B3264" s="31" t="str">
        <f>IF(_xll.TM1RPTELISCONSOLIDATED($H$20,$H3264),IF(_xll.TM1RPTELLEV($H$20,$H3264)&lt;=5,_xll.TM1RPTELLEV($H$20,$H3264),"Default"),"Leaf")</f>
        <v>Leaf</v>
      </c>
      <c r="C3264" s="26" t="s">
        <v>27</v>
      </c>
      <c r="D3264" s="24" t="str">
        <f>_xll.DBRW("TM1-S1_DEV:}ElementAttributes_SP_SKU",$F3264,D$1)</f>
        <v>Primary</v>
      </c>
      <c r="E3264" s="24" t="str">
        <f>_xll.DBRW("TM1-S1_DEV:}ElementAttributes_SP_SKU",$F3264,E$1)</f>
        <v>HAM</v>
      </c>
      <c r="F3264" s="26" t="s">
        <v>3247</v>
      </c>
      <c r="G3264" s="26" t="s">
        <v>2383</v>
      </c>
      <c r="H3264" s="26" t="s">
        <v>2673</v>
      </c>
      <c r="I3264" s="54">
        <f>_xll.DBRW($A$1,$F$14,$F$15,$C3264,$A$2,$F3264,$G3264,$H3264,I$1)</f>
        <v>1218</v>
      </c>
      <c r="J3264" s="25">
        <f>_xll.DBRW($A$1,$F$14,$F$15,$C3264,$A$2,$F3264,$G3264,$H3264,J$19)</f>
        <v>4</v>
      </c>
    </row>
    <row r="3265" spans="1:10" s="23" customFormat="1" outlineLevel="1" thickBot="1" x14ac:dyDescent="0.3">
      <c r="A3265" s="44"/>
      <c r="B3265" s="31" t="str">
        <f>IF(_xll.TM1RPTELISCONSOLIDATED($H$20,$H3265),IF(_xll.TM1RPTELLEV($H$20,$H3265)&lt;=5,_xll.TM1RPTELLEV($H$20,$H3265),"Default"),"Leaf")</f>
        <v>Leaf</v>
      </c>
      <c r="C3265" s="26" t="s">
        <v>27</v>
      </c>
      <c r="D3265" s="24" t="str">
        <f>_xll.DBRW("TM1-S1_DEV:}ElementAttributes_SP_SKU",$F3265,D$1)</f>
        <v>Primary</v>
      </c>
      <c r="E3265" s="24" t="str">
        <f>_xll.DBRW("TM1-S1_DEV:}ElementAttributes_SP_SKU",$F3265,E$1)</f>
        <v>HAM</v>
      </c>
      <c r="F3265" s="26" t="s">
        <v>3248</v>
      </c>
      <c r="G3265" s="26" t="s">
        <v>2384</v>
      </c>
      <c r="H3265" s="26" t="s">
        <v>2673</v>
      </c>
      <c r="I3265" s="54">
        <f>_xll.DBRW($A$1,$F$14,$F$15,$C3265,$A$2,$F3265,$G3265,$H3265,I$1)</f>
        <v>756</v>
      </c>
      <c r="J3265" s="25">
        <f>_xll.DBRW($A$1,$F$14,$F$15,$C3265,$A$2,$F3265,$G3265,$H3265,J$19)</f>
        <v>0</v>
      </c>
    </row>
    <row r="3266" spans="1:10" s="23" customFormat="1" outlineLevel="1" thickBot="1" x14ac:dyDescent="0.3">
      <c r="A3266" s="44"/>
      <c r="B3266" s="31" t="str">
        <f>IF(_xll.TM1RPTELISCONSOLIDATED($H$20,$H3266),IF(_xll.TM1RPTELLEV($H$20,$H3266)&lt;=5,_xll.TM1RPTELLEV($H$20,$H3266),"Default"),"Leaf")</f>
        <v>Leaf</v>
      </c>
      <c r="C3266" s="26" t="s">
        <v>27</v>
      </c>
      <c r="D3266" s="24" t="str">
        <f>_xll.DBRW("TM1-S1_DEV:}ElementAttributes_SP_SKU",$F3266,D$1)</f>
        <v>Primary</v>
      </c>
      <c r="E3266" s="24" t="str">
        <f>_xll.DBRW("TM1-S1_DEV:}ElementAttributes_SP_SKU",$F3266,E$1)</f>
        <v>HAM</v>
      </c>
      <c r="F3266" s="26" t="s">
        <v>3249</v>
      </c>
      <c r="G3266" s="26" t="s">
        <v>2385</v>
      </c>
      <c r="H3266" s="26" t="s">
        <v>2673</v>
      </c>
      <c r="I3266" s="54">
        <f>_xll.DBRW($A$1,$F$14,$F$15,$C3266,$A$2,$F3266,$G3266,$H3266,I$1)</f>
        <v>505</v>
      </c>
      <c r="J3266" s="25">
        <f>_xll.DBRW($A$1,$F$14,$F$15,$C3266,$A$2,$F3266,$G3266,$H3266,J$19)</f>
        <v>0</v>
      </c>
    </row>
    <row r="3267" spans="1:10" s="23" customFormat="1" outlineLevel="1" thickBot="1" x14ac:dyDescent="0.3">
      <c r="A3267" s="44"/>
      <c r="B3267" s="31" t="str">
        <f>IF(_xll.TM1RPTELISCONSOLIDATED($H$20,$H3267),IF(_xll.TM1RPTELLEV($H$20,$H3267)&lt;=5,_xll.TM1RPTELLEV($H$20,$H3267),"Default"),"Leaf")</f>
        <v>Leaf</v>
      </c>
      <c r="C3267" s="26" t="s">
        <v>27</v>
      </c>
      <c r="D3267" s="24" t="str">
        <f>_xll.DBRW("TM1-S1_DEV:}ElementAttributes_SP_SKU",$F3267,D$1)</f>
        <v>Primary</v>
      </c>
      <c r="E3267" s="24" t="str">
        <f>_xll.DBRW("TM1-S1_DEV:}ElementAttributes_SP_SKU",$F3267,E$1)</f>
        <v>HAM</v>
      </c>
      <c r="F3267" s="26" t="s">
        <v>3250</v>
      </c>
      <c r="G3267" s="26" t="s">
        <v>2386</v>
      </c>
      <c r="H3267" s="26" t="s">
        <v>2673</v>
      </c>
      <c r="I3267" s="54">
        <f>_xll.DBRW($A$1,$F$14,$F$15,$C3267,$A$2,$F3267,$G3267,$H3267,I$1)</f>
        <v>290</v>
      </c>
      <c r="J3267" s="25">
        <f>_xll.DBRW($A$1,$F$14,$F$15,$C3267,$A$2,$F3267,$G3267,$H3267,J$19)</f>
        <v>0</v>
      </c>
    </row>
    <row r="3268" spans="1:10" s="23" customFormat="1" outlineLevel="1" thickBot="1" x14ac:dyDescent="0.3">
      <c r="A3268" s="44"/>
      <c r="B3268" s="31" t="str">
        <f>IF(_xll.TM1RPTELISCONSOLIDATED($H$20,$H3268),IF(_xll.TM1RPTELLEV($H$20,$H3268)&lt;=5,_xll.TM1RPTELLEV($H$20,$H3268),"Default"),"Leaf")</f>
        <v>Leaf</v>
      </c>
      <c r="C3268" s="26" t="s">
        <v>27</v>
      </c>
      <c r="D3268" s="24" t="str">
        <f>_xll.DBRW("TM1-S1_DEV:}ElementAttributes_SP_SKU",$F3268,D$1)</f>
        <v>Primary</v>
      </c>
      <c r="E3268" s="24" t="str">
        <f>_xll.DBRW("TM1-S1_DEV:}ElementAttributes_SP_SKU",$F3268,E$1)</f>
        <v>HAM</v>
      </c>
      <c r="F3268" s="26" t="s">
        <v>3251</v>
      </c>
      <c r="G3268" s="26" t="s">
        <v>2387</v>
      </c>
      <c r="H3268" s="26" t="s">
        <v>2673</v>
      </c>
      <c r="I3268" s="54">
        <f>_xll.DBRW($A$1,$F$14,$F$15,$C3268,$A$2,$F3268,$G3268,$H3268,I$1)</f>
        <v>349</v>
      </c>
      <c r="J3268" s="25">
        <f>_xll.DBRW($A$1,$F$14,$F$15,$C3268,$A$2,$F3268,$G3268,$H3268,J$19)</f>
        <v>0</v>
      </c>
    </row>
    <row r="3269" spans="1:10" s="23" customFormat="1" outlineLevel="1" thickBot="1" x14ac:dyDescent="0.3">
      <c r="A3269" s="44"/>
      <c r="B3269" s="31" t="str">
        <f>IF(_xll.TM1RPTELISCONSOLIDATED($H$20,$H3269),IF(_xll.TM1RPTELLEV($H$20,$H3269)&lt;=5,_xll.TM1RPTELLEV($H$20,$H3269),"Default"),"Leaf")</f>
        <v>Leaf</v>
      </c>
      <c r="C3269" s="26" t="s">
        <v>27</v>
      </c>
      <c r="D3269" s="24" t="str">
        <f>_xll.DBRW("TM1-S1_DEV:}ElementAttributes_SP_SKU",$F3269,D$1)</f>
        <v>Primary</v>
      </c>
      <c r="E3269" s="24" t="str">
        <f>_xll.DBRW("TM1-S1_DEV:}ElementAttributes_SP_SKU",$F3269,E$1)</f>
        <v>TURKEY</v>
      </c>
      <c r="F3269" s="26" t="s">
        <v>3281</v>
      </c>
      <c r="G3269" s="26" t="s">
        <v>2389</v>
      </c>
      <c r="H3269" s="26" t="s">
        <v>2671</v>
      </c>
      <c r="I3269" s="54">
        <f>_xll.DBRW($A$1,$F$14,$F$15,$C3269,$A$2,$F3269,$G3269,$H3269,I$1)</f>
        <v>1</v>
      </c>
      <c r="J3269" s="25">
        <f>_xll.DBRW($A$1,$F$14,$F$15,$C3269,$A$2,$F3269,$G3269,$H3269,J$19)</f>
        <v>1</v>
      </c>
    </row>
    <row r="3270" spans="1:10" s="23" customFormat="1" outlineLevel="1" thickBot="1" x14ac:dyDescent="0.3">
      <c r="A3270" s="44"/>
      <c r="B3270" s="31" t="str">
        <f>IF(_xll.TM1RPTELISCONSOLIDATED($H$20,$H3270),IF(_xll.TM1RPTELLEV($H$20,$H3270)&lt;=5,_xll.TM1RPTELLEV($H$20,$H3270),"Default"),"Leaf")</f>
        <v>Leaf</v>
      </c>
      <c r="C3270" s="26" t="s">
        <v>27</v>
      </c>
      <c r="D3270" s="24" t="str">
        <f>_xll.DBRW("TM1-S1_DEV:}ElementAttributes_SP_SKU",$F3270,D$1)</f>
        <v>Primary</v>
      </c>
      <c r="E3270" s="24" t="str">
        <f>_xll.DBRW("TM1-S1_DEV:}ElementAttributes_SP_SKU",$F3270,E$1)</f>
        <v>TURKEY</v>
      </c>
      <c r="F3270" s="26" t="s">
        <v>3110</v>
      </c>
      <c r="G3270" s="26" t="s">
        <v>2390</v>
      </c>
      <c r="H3270" s="26" t="s">
        <v>2671</v>
      </c>
      <c r="I3270" s="54">
        <f>_xll.DBRW($A$1,$F$14,$F$15,$C3270,$A$2,$F3270,$G3270,$H3270,I$1)</f>
        <v>278</v>
      </c>
      <c r="J3270" s="25">
        <f>_xll.DBRW($A$1,$F$14,$F$15,$C3270,$A$2,$F3270,$G3270,$H3270,J$19)</f>
        <v>96</v>
      </c>
    </row>
    <row r="3271" spans="1:10" s="23" customFormat="1" outlineLevel="1" thickBot="1" x14ac:dyDescent="0.3">
      <c r="A3271" s="44"/>
      <c r="B3271" s="31" t="str">
        <f>IF(_xll.TM1RPTELISCONSOLIDATED($H$20,$H3271),IF(_xll.TM1RPTELLEV($H$20,$H3271)&lt;=5,_xll.TM1RPTELLEV($H$20,$H3271),"Default"),"Leaf")</f>
        <v>Leaf</v>
      </c>
      <c r="C3271" s="26" t="s">
        <v>27</v>
      </c>
      <c r="D3271" s="24" t="str">
        <f>_xll.DBRW("TM1-S1_DEV:}ElementAttributes_SP_SKU",$F3271,D$1)</f>
        <v>Primary</v>
      </c>
      <c r="E3271" s="24" t="str">
        <f>_xll.DBRW("TM1-S1_DEV:}ElementAttributes_SP_SKU",$F3271,E$1)</f>
        <v>TURKEY</v>
      </c>
      <c r="F3271" s="26" t="s">
        <v>3111</v>
      </c>
      <c r="G3271" s="26" t="s">
        <v>2391</v>
      </c>
      <c r="H3271" s="26" t="s">
        <v>2671</v>
      </c>
      <c r="I3271" s="54">
        <f>_xll.DBRW($A$1,$F$14,$F$15,$C3271,$A$2,$F3271,$G3271,$H3271,I$1)</f>
        <v>329</v>
      </c>
      <c r="J3271" s="25">
        <f>_xll.DBRW($A$1,$F$14,$F$15,$C3271,$A$2,$F3271,$G3271,$H3271,J$19)</f>
        <v>84</v>
      </c>
    </row>
    <row r="3272" spans="1:10" s="23" customFormat="1" outlineLevel="1" thickBot="1" x14ac:dyDescent="0.3">
      <c r="A3272" s="44"/>
      <c r="B3272" s="31" t="str">
        <f>IF(_xll.TM1RPTELISCONSOLIDATED($H$20,$H3272),IF(_xll.TM1RPTELLEV($H$20,$H3272)&lt;=5,_xll.TM1RPTELLEV($H$20,$H3272),"Default"),"Leaf")</f>
        <v>Leaf</v>
      </c>
      <c r="C3272" s="26" t="s">
        <v>27</v>
      </c>
      <c r="D3272" s="24" t="str">
        <f>_xll.DBRW("TM1-S1_DEV:}ElementAttributes_SP_SKU",$F3272,D$1)</f>
        <v>Primary</v>
      </c>
      <c r="E3272" s="24" t="str">
        <f>_xll.DBRW("TM1-S1_DEV:}ElementAttributes_SP_SKU",$F3272,E$1)</f>
        <v>PROTEIN</v>
      </c>
      <c r="F3272" s="26" t="s">
        <v>3112</v>
      </c>
      <c r="G3272" s="26" t="s">
        <v>2392</v>
      </c>
      <c r="H3272" s="26" t="s">
        <v>2672</v>
      </c>
      <c r="I3272" s="54">
        <f>_xll.DBRW($A$1,$F$14,$F$15,$C3272,$A$2,$F3272,$G3272,$H3272,I$1)</f>
        <v>37</v>
      </c>
      <c r="J3272" s="25">
        <f>_xll.DBRW($A$1,$F$14,$F$15,$C3272,$A$2,$F3272,$G3272,$H3272,J$19)</f>
        <v>12</v>
      </c>
    </row>
    <row r="3273" spans="1:10" s="23" customFormat="1" outlineLevel="1" thickBot="1" x14ac:dyDescent="0.3">
      <c r="A3273" s="44"/>
      <c r="B3273" s="31" t="str">
        <f>IF(_xll.TM1RPTELISCONSOLIDATED($H$20,$H3273),IF(_xll.TM1RPTELLEV($H$20,$H3273)&lt;=5,_xll.TM1RPTELLEV($H$20,$H3273),"Default"),"Leaf")</f>
        <v>Leaf</v>
      </c>
      <c r="C3273" s="26" t="s">
        <v>27</v>
      </c>
      <c r="D3273" s="24" t="str">
        <f>_xll.DBRW("TM1-S1_DEV:}ElementAttributes_SP_SKU",$F3273,D$1)</f>
        <v>Primary</v>
      </c>
      <c r="E3273" s="24" t="str">
        <f>_xll.DBRW("TM1-S1_DEV:}ElementAttributes_SP_SKU",$F3273,E$1)</f>
        <v>PROTEIN</v>
      </c>
      <c r="F3273" s="26" t="s">
        <v>3113</v>
      </c>
      <c r="G3273" s="26" t="s">
        <v>2393</v>
      </c>
      <c r="H3273" s="26" t="s">
        <v>2673</v>
      </c>
      <c r="I3273" s="54">
        <f>_xll.DBRW($A$1,$F$14,$F$15,$C3273,$A$2,$F3273,$G3273,$H3273,I$1)</f>
        <v>7</v>
      </c>
      <c r="J3273" s="25">
        <f>_xll.DBRW($A$1,$F$14,$F$15,$C3273,$A$2,$F3273,$G3273,$H3273,J$19)</f>
        <v>7</v>
      </c>
    </row>
    <row r="3274" spans="1:10" s="23" customFormat="1" outlineLevel="1" thickBot="1" x14ac:dyDescent="0.3">
      <c r="A3274" s="44"/>
      <c r="B3274" s="31" t="str">
        <f>IF(_xll.TM1RPTELISCONSOLIDATED($H$20,$H3274),IF(_xll.TM1RPTELLEV($H$20,$H3274)&lt;=5,_xll.TM1RPTELLEV($H$20,$H3274),"Default"),"Leaf")</f>
        <v>Leaf</v>
      </c>
      <c r="C3274" s="26" t="s">
        <v>27</v>
      </c>
      <c r="D3274" s="24" t="str">
        <f>_xll.DBRW("TM1-S1_DEV:}ElementAttributes_SP_SKU",$F3274,D$1)</f>
        <v>Primary</v>
      </c>
      <c r="E3274" s="24" t="str">
        <f>_xll.DBRW("TM1-S1_DEV:}ElementAttributes_SP_SKU",$F3274,E$1)</f>
        <v>PROTEIN</v>
      </c>
      <c r="F3274" s="26" t="s">
        <v>3114</v>
      </c>
      <c r="G3274" s="26" t="s">
        <v>2394</v>
      </c>
      <c r="H3274" s="26" t="s">
        <v>2672</v>
      </c>
      <c r="I3274" s="54">
        <f>_xll.DBRW($A$1,$F$14,$F$15,$C3274,$A$2,$F3274,$G3274,$H3274,I$1)</f>
        <v>23</v>
      </c>
      <c r="J3274" s="25">
        <f>_xll.DBRW($A$1,$F$14,$F$15,$C3274,$A$2,$F3274,$G3274,$H3274,J$19)</f>
        <v>15</v>
      </c>
    </row>
    <row r="3275" spans="1:10" s="23" customFormat="1" outlineLevel="1" thickBot="1" x14ac:dyDescent="0.3">
      <c r="A3275" s="44"/>
      <c r="B3275" s="31" t="str">
        <f>IF(_xll.TM1RPTELISCONSOLIDATED($H$20,$H3275),IF(_xll.TM1RPTELLEV($H$20,$H3275)&lt;=5,_xll.TM1RPTELLEV($H$20,$H3275),"Default"),"Leaf")</f>
        <v>Leaf</v>
      </c>
      <c r="C3275" s="26" t="s">
        <v>27</v>
      </c>
      <c r="D3275" s="24" t="str">
        <f>_xll.DBRW("TM1-S1_DEV:}ElementAttributes_SP_SKU",$F3275,D$1)</f>
        <v>Primary</v>
      </c>
      <c r="E3275" s="24" t="str">
        <f>_xll.DBRW("TM1-S1_DEV:}ElementAttributes_SP_SKU",$F3275,E$1)</f>
        <v>PROTEIN</v>
      </c>
      <c r="F3275" s="26" t="s">
        <v>3115</v>
      </c>
      <c r="G3275" s="26" t="s">
        <v>2395</v>
      </c>
      <c r="H3275" s="26" t="s">
        <v>2672</v>
      </c>
      <c r="I3275" s="54">
        <f>_xll.DBRW($A$1,$F$14,$F$15,$C3275,$A$2,$F3275,$G3275,$H3275,I$1)</f>
        <v>32</v>
      </c>
      <c r="J3275" s="25">
        <f>_xll.DBRW($A$1,$F$14,$F$15,$C3275,$A$2,$F3275,$G3275,$H3275,J$19)</f>
        <v>16</v>
      </c>
    </row>
    <row r="3276" spans="1:10" s="23" customFormat="1" outlineLevel="1" thickBot="1" x14ac:dyDescent="0.3">
      <c r="A3276" s="44"/>
      <c r="B3276" s="31" t="str">
        <f>IF(_xll.TM1RPTELISCONSOLIDATED($H$20,$H3276),IF(_xll.TM1RPTELLEV($H$20,$H3276)&lt;=5,_xll.TM1RPTELLEV($H$20,$H3276),"Default"),"Leaf")</f>
        <v>Leaf</v>
      </c>
      <c r="C3276" s="26" t="s">
        <v>27</v>
      </c>
      <c r="D3276" s="24" t="str">
        <f>_xll.DBRW("TM1-S1_DEV:}ElementAttributes_SP_SKU",$F3276,D$1)</f>
        <v>Primary</v>
      </c>
      <c r="E3276" s="24" t="str">
        <f>_xll.DBRW("TM1-S1_DEV:}ElementAttributes_SP_SKU",$F3276,E$1)</f>
        <v>SOUP</v>
      </c>
      <c r="F3276" s="26" t="s">
        <v>3116</v>
      </c>
      <c r="G3276" s="26" t="s">
        <v>2396</v>
      </c>
      <c r="H3276" s="26" t="s">
        <v>2674</v>
      </c>
      <c r="I3276" s="54">
        <f>_xll.DBRW($A$1,$F$14,$F$15,$C3276,$A$2,$F3276,$G3276,$H3276,I$1)</f>
        <v>31</v>
      </c>
      <c r="J3276" s="25">
        <f>_xll.DBRW($A$1,$F$14,$F$15,$C3276,$A$2,$F3276,$G3276,$H3276,J$19)</f>
        <v>18</v>
      </c>
    </row>
    <row r="3277" spans="1:10" s="23" customFormat="1" outlineLevel="1" thickBot="1" x14ac:dyDescent="0.3">
      <c r="A3277" s="44"/>
      <c r="B3277" s="31" t="str">
        <f>IF(_xll.TM1RPTELISCONSOLIDATED($H$20,$H3277),IF(_xll.TM1RPTELLEV($H$20,$H3277)&lt;=5,_xll.TM1RPTELLEV($H$20,$H3277),"Default"),"Leaf")</f>
        <v>Leaf</v>
      </c>
      <c r="C3277" s="26" t="s">
        <v>27</v>
      </c>
      <c r="D3277" s="24" t="str">
        <f>_xll.DBRW("TM1-S1_DEV:}ElementAttributes_SP_SKU",$F3277,D$1)</f>
        <v>Primary</v>
      </c>
      <c r="E3277" s="24" t="str">
        <f>_xll.DBRW("TM1-S1_DEV:}ElementAttributes_SP_SKU",$F3277,E$1)</f>
        <v>SOUP</v>
      </c>
      <c r="F3277" s="26" t="s">
        <v>3117</v>
      </c>
      <c r="G3277" s="26" t="s">
        <v>2397</v>
      </c>
      <c r="H3277" s="26" t="s">
        <v>2674</v>
      </c>
      <c r="I3277" s="54">
        <f>_xll.DBRW($A$1,$F$14,$F$15,$C3277,$A$2,$F3277,$G3277,$H3277,I$1)</f>
        <v>33</v>
      </c>
      <c r="J3277" s="25">
        <f>_xll.DBRW($A$1,$F$14,$F$15,$C3277,$A$2,$F3277,$G3277,$H3277,J$19)</f>
        <v>25</v>
      </c>
    </row>
    <row r="3278" spans="1:10" s="23" customFormat="1" outlineLevel="1" thickBot="1" x14ac:dyDescent="0.3">
      <c r="A3278" s="44"/>
      <c r="B3278" s="31" t="str">
        <f>IF(_xll.TM1RPTELISCONSOLIDATED($H$20,$H3278),IF(_xll.TM1RPTELLEV($H$20,$H3278)&lt;=5,_xll.TM1RPTELLEV($H$20,$H3278),"Default"),"Leaf")</f>
        <v>Leaf</v>
      </c>
      <c r="C3278" s="26" t="s">
        <v>27</v>
      </c>
      <c r="D3278" s="24" t="str">
        <f>_xll.DBRW("TM1-S1_DEV:}ElementAttributes_SP_SKU",$F3278,D$1)</f>
        <v>Primary</v>
      </c>
      <c r="E3278" s="24" t="str">
        <f>_xll.DBRW("TM1-S1_DEV:}ElementAttributes_SP_SKU",$F3278,E$1)</f>
        <v>SOUP</v>
      </c>
      <c r="F3278" s="26" t="s">
        <v>3118</v>
      </c>
      <c r="G3278" s="26" t="s">
        <v>2398</v>
      </c>
      <c r="H3278" s="26" t="s">
        <v>2674</v>
      </c>
      <c r="I3278" s="54">
        <f>_xll.DBRW($A$1,$F$14,$F$15,$C3278,$A$2,$F3278,$G3278,$H3278,I$1)</f>
        <v>41</v>
      </c>
      <c r="J3278" s="25">
        <f>_xll.DBRW($A$1,$F$14,$F$15,$C3278,$A$2,$F3278,$G3278,$H3278,J$19)</f>
        <v>29</v>
      </c>
    </row>
    <row r="3279" spans="1:10" s="23" customFormat="1" outlineLevel="1" thickBot="1" x14ac:dyDescent="0.3">
      <c r="A3279" s="44"/>
      <c r="B3279" s="31" t="str">
        <f>IF(_xll.TM1RPTELISCONSOLIDATED($H$20,$H3279),IF(_xll.TM1RPTELLEV($H$20,$H3279)&lt;=5,_xll.TM1RPTELLEV($H$20,$H3279),"Default"),"Leaf")</f>
        <v>Leaf</v>
      </c>
      <c r="C3279" s="26" t="s">
        <v>27</v>
      </c>
      <c r="D3279" s="24" t="str">
        <f>_xll.DBRW("TM1-S1_DEV:}ElementAttributes_SP_SKU",$F3279,D$1)</f>
        <v>Primary</v>
      </c>
      <c r="E3279" s="24" t="str">
        <f>_xll.DBRW("TM1-S1_DEV:}ElementAttributes_SP_SKU",$F3279,E$1)</f>
        <v>SOUP</v>
      </c>
      <c r="F3279" s="26" t="s">
        <v>3121</v>
      </c>
      <c r="G3279" s="26" t="s">
        <v>2570</v>
      </c>
      <c r="H3279" s="26" t="s">
        <v>2675</v>
      </c>
      <c r="I3279" s="54">
        <f>_xll.DBRW($A$1,$F$14,$F$15,$C3279,$A$2,$F3279,$G3279,$H3279,I$1)</f>
        <v>9</v>
      </c>
      <c r="J3279" s="25">
        <f>_xll.DBRW($A$1,$F$14,$F$15,$C3279,$A$2,$F3279,$G3279,$H3279,J$19)</f>
        <v>12</v>
      </c>
    </row>
    <row r="3280" spans="1:10" s="23" customFormat="1" outlineLevel="1" thickBot="1" x14ac:dyDescent="0.3">
      <c r="A3280" s="44"/>
      <c r="B3280" s="31" t="str">
        <f>IF(_xll.TM1RPTELISCONSOLIDATED($H$20,$H3280),IF(_xll.TM1RPTELLEV($H$20,$H3280)&lt;=5,_xll.TM1RPTELLEV($H$20,$H3280),"Default"),"Leaf")</f>
        <v>Leaf</v>
      </c>
      <c r="C3280" s="26" t="s">
        <v>27</v>
      </c>
      <c r="D3280" s="24" t="str">
        <f>_xll.DBRW("TM1-S1_DEV:}ElementAttributes_SP_SKU",$F3280,D$1)</f>
        <v>Primary</v>
      </c>
      <c r="E3280" s="24" t="str">
        <f>_xll.DBRW("TM1-S1_DEV:}ElementAttributes_SP_SKU",$F3280,E$1)</f>
        <v>SOUP</v>
      </c>
      <c r="F3280" s="26" t="s">
        <v>3122</v>
      </c>
      <c r="G3280" s="26" t="s">
        <v>2571</v>
      </c>
      <c r="H3280" s="26" t="s">
        <v>2675</v>
      </c>
      <c r="I3280" s="54">
        <f>_xll.DBRW($A$1,$F$14,$F$15,$C3280,$A$2,$F3280,$G3280,$H3280,I$1)</f>
        <v>14</v>
      </c>
      <c r="J3280" s="25">
        <f>_xll.DBRW($A$1,$F$14,$F$15,$C3280,$A$2,$F3280,$G3280,$H3280,J$19)</f>
        <v>14</v>
      </c>
    </row>
    <row r="3281" spans="1:10" s="23" customFormat="1" outlineLevel="1" thickBot="1" x14ac:dyDescent="0.3">
      <c r="A3281" s="44"/>
      <c r="B3281" s="31" t="str">
        <f>IF(_xll.TM1RPTELISCONSOLIDATED($H$20,$H3281),IF(_xll.TM1RPTELLEV($H$20,$H3281)&lt;=5,_xll.TM1RPTELLEV($H$20,$H3281),"Default"),"Leaf")</f>
        <v>Leaf</v>
      </c>
      <c r="C3281" s="26" t="s">
        <v>27</v>
      </c>
      <c r="D3281" s="24" t="str">
        <f>_xll.DBRW("TM1-S1_DEV:}ElementAttributes_SP_SKU",$F3281,D$1)</f>
        <v>Primary</v>
      </c>
      <c r="E3281" s="24" t="str">
        <f>_xll.DBRW("TM1-S1_DEV:}ElementAttributes_SP_SKU",$F3281,E$1)</f>
        <v>SIDES</v>
      </c>
      <c r="F3281" s="26" t="s">
        <v>3123</v>
      </c>
      <c r="G3281" s="26" t="s">
        <v>2399</v>
      </c>
      <c r="H3281" s="26" t="s">
        <v>2676</v>
      </c>
      <c r="I3281" s="54">
        <f>_xll.DBRW($A$1,$F$14,$F$15,$C3281,$A$2,$F3281,$G3281,$H3281,I$1)</f>
        <v>97</v>
      </c>
      <c r="J3281" s="25">
        <f>_xll.DBRW($A$1,$F$14,$F$15,$C3281,$A$2,$F3281,$G3281,$H3281,J$19)</f>
        <v>35</v>
      </c>
    </row>
    <row r="3282" spans="1:10" s="23" customFormat="1" outlineLevel="1" thickBot="1" x14ac:dyDescent="0.3">
      <c r="A3282" s="44"/>
      <c r="B3282" s="31" t="str">
        <f>IF(_xll.TM1RPTELISCONSOLIDATED($H$20,$H3282),IF(_xll.TM1RPTELLEV($H$20,$H3282)&lt;=5,_xll.TM1RPTELLEV($H$20,$H3282),"Default"),"Leaf")</f>
        <v>Leaf</v>
      </c>
      <c r="C3282" s="26" t="s">
        <v>27</v>
      </c>
      <c r="D3282" s="24" t="str">
        <f>_xll.DBRW("TM1-S1_DEV:}ElementAttributes_SP_SKU",$F3282,D$1)</f>
        <v>Primary</v>
      </c>
      <c r="E3282" s="24" t="str">
        <f>_xll.DBRW("TM1-S1_DEV:}ElementAttributes_SP_SKU",$F3282,E$1)</f>
        <v>SIDES</v>
      </c>
      <c r="F3282" s="26" t="s">
        <v>3124</v>
      </c>
      <c r="G3282" s="26" t="s">
        <v>2400</v>
      </c>
      <c r="H3282" s="26" t="s">
        <v>2676</v>
      </c>
      <c r="I3282" s="54">
        <f>_xll.DBRW($A$1,$F$14,$F$15,$C3282,$A$2,$F3282,$G3282,$H3282,I$1)</f>
        <v>78</v>
      </c>
      <c r="J3282" s="25">
        <f>_xll.DBRW($A$1,$F$14,$F$15,$C3282,$A$2,$F3282,$G3282,$H3282,J$19)</f>
        <v>25</v>
      </c>
    </row>
    <row r="3283" spans="1:10" s="23" customFormat="1" outlineLevel="1" thickBot="1" x14ac:dyDescent="0.3">
      <c r="A3283" s="44"/>
      <c r="B3283" s="31" t="str">
        <f>IF(_xll.TM1RPTELISCONSOLIDATED($H$20,$H3283),IF(_xll.TM1RPTELLEV($H$20,$H3283)&lt;=5,_xll.TM1RPTELLEV($H$20,$H3283),"Default"),"Leaf")</f>
        <v>Leaf</v>
      </c>
      <c r="C3283" s="26" t="s">
        <v>27</v>
      </c>
      <c r="D3283" s="24" t="str">
        <f>_xll.DBRW("TM1-S1_DEV:}ElementAttributes_SP_SKU",$F3283,D$1)</f>
        <v>Primary</v>
      </c>
      <c r="E3283" s="24" t="str">
        <f>_xll.DBRW("TM1-S1_DEV:}ElementAttributes_SP_SKU",$F3283,E$1)</f>
        <v>SIDES</v>
      </c>
      <c r="F3283" s="26" t="s">
        <v>3125</v>
      </c>
      <c r="G3283" s="26" t="s">
        <v>2401</v>
      </c>
      <c r="H3283" s="26" t="s">
        <v>2676</v>
      </c>
      <c r="I3283" s="54">
        <f>_xll.DBRW($A$1,$F$14,$F$15,$C3283,$A$2,$F3283,$G3283,$H3283,I$1)</f>
        <v>96</v>
      </c>
      <c r="J3283" s="25">
        <f>_xll.DBRW($A$1,$F$14,$F$15,$C3283,$A$2,$F3283,$G3283,$H3283,J$19)</f>
        <v>33</v>
      </c>
    </row>
    <row r="3284" spans="1:10" s="23" customFormat="1" outlineLevel="1" thickBot="1" x14ac:dyDescent="0.3">
      <c r="A3284" s="44"/>
      <c r="B3284" s="31" t="str">
        <f>IF(_xll.TM1RPTELISCONSOLIDATED($H$20,$H3284),IF(_xll.TM1RPTELLEV($H$20,$H3284)&lt;=5,_xll.TM1RPTELLEV($H$20,$H3284),"Default"),"Leaf")</f>
        <v>Leaf</v>
      </c>
      <c r="C3284" s="26" t="s">
        <v>27</v>
      </c>
      <c r="D3284" s="24" t="str">
        <f>_xll.DBRW("TM1-S1_DEV:}ElementAttributes_SP_SKU",$F3284,D$1)</f>
        <v>Primary</v>
      </c>
      <c r="E3284" s="24" t="str">
        <f>_xll.DBRW("TM1-S1_DEV:}ElementAttributes_SP_SKU",$F3284,E$1)</f>
        <v>SIDES</v>
      </c>
      <c r="F3284" s="26" t="s">
        <v>3126</v>
      </c>
      <c r="G3284" s="26" t="s">
        <v>2402</v>
      </c>
      <c r="H3284" s="26" t="s">
        <v>2676</v>
      </c>
      <c r="I3284" s="54">
        <f>_xll.DBRW($A$1,$F$14,$F$15,$C3284,$A$2,$F3284,$G3284,$H3284,I$1)</f>
        <v>177</v>
      </c>
      <c r="J3284" s="25">
        <f>_xll.DBRW($A$1,$F$14,$F$15,$C3284,$A$2,$F3284,$G3284,$H3284,J$19)</f>
        <v>55</v>
      </c>
    </row>
    <row r="3285" spans="1:10" s="23" customFormat="1" outlineLevel="1" thickBot="1" x14ac:dyDescent="0.3">
      <c r="A3285" s="44"/>
      <c r="B3285" s="31" t="str">
        <f>IF(_xll.TM1RPTELISCONSOLIDATED($H$20,$H3285),IF(_xll.TM1RPTELLEV($H$20,$H3285)&lt;=5,_xll.TM1RPTELLEV($H$20,$H3285),"Default"),"Leaf")</f>
        <v>Leaf</v>
      </c>
      <c r="C3285" s="26" t="s">
        <v>27</v>
      </c>
      <c r="D3285" s="24" t="str">
        <f>_xll.DBRW("TM1-S1_DEV:}ElementAttributes_SP_SKU",$F3285,D$1)</f>
        <v>Primary</v>
      </c>
      <c r="E3285" s="24" t="str">
        <f>_xll.DBRW("TM1-S1_DEV:}ElementAttributes_SP_SKU",$F3285,E$1)</f>
        <v>SIDES</v>
      </c>
      <c r="F3285" s="26" t="s">
        <v>3127</v>
      </c>
      <c r="G3285" s="26" t="s">
        <v>2403</v>
      </c>
      <c r="H3285" s="26" t="s">
        <v>2676</v>
      </c>
      <c r="I3285" s="54">
        <f>_xll.DBRW($A$1,$F$14,$F$15,$C3285,$A$2,$F3285,$G3285,$H3285,I$1)</f>
        <v>139</v>
      </c>
      <c r="J3285" s="25">
        <f>_xll.DBRW($A$1,$F$14,$F$15,$C3285,$A$2,$F3285,$G3285,$H3285,J$19)</f>
        <v>44</v>
      </c>
    </row>
    <row r="3286" spans="1:10" s="23" customFormat="1" outlineLevel="1" thickBot="1" x14ac:dyDescent="0.3">
      <c r="A3286" s="44"/>
      <c r="B3286" s="31" t="str">
        <f>IF(_xll.TM1RPTELISCONSOLIDATED($H$20,$H3286),IF(_xll.TM1RPTELLEV($H$20,$H3286)&lt;=5,_xll.TM1RPTELLEV($H$20,$H3286),"Default"),"Leaf")</f>
        <v>Leaf</v>
      </c>
      <c r="C3286" s="26" t="s">
        <v>27</v>
      </c>
      <c r="D3286" s="24" t="str">
        <f>_xll.DBRW("TM1-S1_DEV:}ElementAttributes_SP_SKU",$F3286,D$1)</f>
        <v>Primary</v>
      </c>
      <c r="E3286" s="24" t="str">
        <f>_xll.DBRW("TM1-S1_DEV:}ElementAttributes_SP_SKU",$F3286,E$1)</f>
        <v>SIDES</v>
      </c>
      <c r="F3286" s="26" t="s">
        <v>3128</v>
      </c>
      <c r="G3286" s="26" t="s">
        <v>2404</v>
      </c>
      <c r="H3286" s="26" t="s">
        <v>2676</v>
      </c>
      <c r="I3286" s="54">
        <f>_xll.DBRW($A$1,$F$14,$F$15,$C3286,$A$2,$F3286,$G3286,$H3286,I$1)</f>
        <v>248</v>
      </c>
      <c r="J3286" s="25">
        <f>_xll.DBRW($A$1,$F$14,$F$15,$C3286,$A$2,$F3286,$G3286,$H3286,J$19)</f>
        <v>47</v>
      </c>
    </row>
    <row r="3287" spans="1:10" s="23" customFormat="1" outlineLevel="1" thickBot="1" x14ac:dyDescent="0.3">
      <c r="A3287" s="44"/>
      <c r="B3287" s="31" t="str">
        <f>IF(_xll.TM1RPTELISCONSOLIDATED($H$20,$H3287),IF(_xll.TM1RPTELLEV($H$20,$H3287)&lt;=5,_xll.TM1RPTELLEV($H$20,$H3287),"Default"),"Leaf")</f>
        <v>Leaf</v>
      </c>
      <c r="C3287" s="26" t="s">
        <v>27</v>
      </c>
      <c r="D3287" s="24" t="str">
        <f>_xll.DBRW("TM1-S1_DEV:}ElementAttributes_SP_SKU",$F3287,D$1)</f>
        <v>Primary</v>
      </c>
      <c r="E3287" s="24" t="str">
        <f>_xll.DBRW("TM1-S1_DEV:}ElementAttributes_SP_SKU",$F3287,E$1)</f>
        <v>SIDES</v>
      </c>
      <c r="F3287" s="26" t="s">
        <v>3129</v>
      </c>
      <c r="G3287" s="26" t="s">
        <v>2405</v>
      </c>
      <c r="H3287" s="26" t="s">
        <v>2676</v>
      </c>
      <c r="I3287" s="54">
        <f>_xll.DBRW($A$1,$F$14,$F$15,$C3287,$A$2,$F3287,$G3287,$H3287,I$1)</f>
        <v>139</v>
      </c>
      <c r="J3287" s="25">
        <f>_xll.DBRW($A$1,$F$14,$F$15,$C3287,$A$2,$F3287,$G3287,$H3287,J$19)</f>
        <v>48</v>
      </c>
    </row>
    <row r="3288" spans="1:10" s="23" customFormat="1" outlineLevel="1" thickBot="1" x14ac:dyDescent="0.3">
      <c r="A3288" s="44"/>
      <c r="B3288" s="31" t="str">
        <f>IF(_xll.TM1RPTELISCONSOLIDATED($H$20,$H3288),IF(_xll.TM1RPTELLEV($H$20,$H3288)&lt;=5,_xll.TM1RPTELLEV($H$20,$H3288),"Default"),"Leaf")</f>
        <v>Leaf</v>
      </c>
      <c r="C3288" s="26" t="s">
        <v>27</v>
      </c>
      <c r="D3288" s="24" t="str">
        <f>_xll.DBRW("TM1-S1_DEV:}ElementAttributes_SP_SKU",$F3288,D$1)</f>
        <v>Primary</v>
      </c>
      <c r="E3288" s="24" t="str">
        <f>_xll.DBRW("TM1-S1_DEV:}ElementAttributes_SP_SKU",$F3288,E$1)</f>
        <v>SIDES</v>
      </c>
      <c r="F3288" s="26" t="s">
        <v>3130</v>
      </c>
      <c r="G3288" s="26" t="s">
        <v>2406</v>
      </c>
      <c r="H3288" s="26" t="s">
        <v>2676</v>
      </c>
      <c r="I3288" s="54">
        <f>_xll.DBRW($A$1,$F$14,$F$15,$C3288,$A$2,$F3288,$G3288,$H3288,I$1)</f>
        <v>49</v>
      </c>
      <c r="J3288" s="25">
        <f>_xll.DBRW($A$1,$F$14,$F$15,$C3288,$A$2,$F3288,$G3288,$H3288,J$19)</f>
        <v>36</v>
      </c>
    </row>
    <row r="3289" spans="1:10" s="23" customFormat="1" outlineLevel="1" thickBot="1" x14ac:dyDescent="0.3">
      <c r="A3289" s="44"/>
      <c r="B3289" s="31" t="str">
        <f>IF(_xll.TM1RPTELISCONSOLIDATED($H$20,$H3289),IF(_xll.TM1RPTELLEV($H$20,$H3289)&lt;=5,_xll.TM1RPTELLEV($H$20,$H3289),"Default"),"Leaf")</f>
        <v>Leaf</v>
      </c>
      <c r="C3289" s="26" t="s">
        <v>27</v>
      </c>
      <c r="D3289" s="24" t="str">
        <f>_xll.DBRW("TM1-S1_DEV:}ElementAttributes_SP_SKU",$F3289,D$1)</f>
        <v>Primary</v>
      </c>
      <c r="E3289" s="24" t="str">
        <f>_xll.DBRW("TM1-S1_DEV:}ElementAttributes_SP_SKU",$F3289,E$1)</f>
        <v>SIDES</v>
      </c>
      <c r="F3289" s="26" t="s">
        <v>3131</v>
      </c>
      <c r="G3289" s="26" t="s">
        <v>2407</v>
      </c>
      <c r="H3289" s="26" t="s">
        <v>2676</v>
      </c>
      <c r="I3289" s="54">
        <f>_xll.DBRW($A$1,$F$14,$F$15,$C3289,$A$2,$F3289,$G3289,$H3289,I$1)</f>
        <v>87</v>
      </c>
      <c r="J3289" s="25">
        <f>_xll.DBRW($A$1,$F$14,$F$15,$C3289,$A$2,$F3289,$G3289,$H3289,J$19)</f>
        <v>34</v>
      </c>
    </row>
    <row r="3290" spans="1:10" s="23" customFormat="1" outlineLevel="1" thickBot="1" x14ac:dyDescent="0.3">
      <c r="A3290" s="44"/>
      <c r="B3290" s="31" t="str">
        <f>IF(_xll.TM1RPTELISCONSOLIDATED($H$20,$H3290),IF(_xll.TM1RPTELLEV($H$20,$H3290)&lt;=5,_xll.TM1RPTELLEV($H$20,$H3290),"Default"),"Leaf")</f>
        <v>Leaf</v>
      </c>
      <c r="C3290" s="26" t="s">
        <v>27</v>
      </c>
      <c r="D3290" s="24" t="str">
        <f>_xll.DBRW("TM1-S1_DEV:}ElementAttributes_SP_SKU",$F3290,D$1)</f>
        <v>Primary</v>
      </c>
      <c r="E3290" s="24" t="str">
        <f>_xll.DBRW("TM1-S1_DEV:}ElementAttributes_SP_SKU",$F3290,E$1)</f>
        <v>SIDES</v>
      </c>
      <c r="F3290" s="26" t="s">
        <v>3132</v>
      </c>
      <c r="G3290" s="26" t="s">
        <v>2408</v>
      </c>
      <c r="H3290" s="26" t="s">
        <v>2676</v>
      </c>
      <c r="I3290" s="54">
        <f>_xll.DBRW($A$1,$F$14,$F$15,$C3290,$A$2,$F3290,$G3290,$H3290,I$1)</f>
        <v>278</v>
      </c>
      <c r="J3290" s="25">
        <f>_xll.DBRW($A$1,$F$14,$F$15,$C3290,$A$2,$F3290,$G3290,$H3290,J$19)</f>
        <v>65</v>
      </c>
    </row>
    <row r="3291" spans="1:10" s="23" customFormat="1" outlineLevel="1" thickBot="1" x14ac:dyDescent="0.3">
      <c r="A3291" s="44"/>
      <c r="B3291" s="31" t="str">
        <f>IF(_xll.TM1RPTELISCONSOLIDATED($H$20,$H3291),IF(_xll.TM1RPTELLEV($H$20,$H3291)&lt;=5,_xll.TM1RPTELLEV($H$20,$H3291),"Default"),"Leaf")</f>
        <v>Leaf</v>
      </c>
      <c r="C3291" s="26" t="s">
        <v>27</v>
      </c>
      <c r="D3291" s="24" t="str">
        <f>_xll.DBRW("TM1-S1_DEV:}ElementAttributes_SP_SKU",$F3291,D$1)</f>
        <v>Primary</v>
      </c>
      <c r="E3291" s="24" t="str">
        <f>_xll.DBRW("TM1-S1_DEV:}ElementAttributes_SP_SKU",$F3291,E$1)</f>
        <v>DESSERT</v>
      </c>
      <c r="F3291" s="26" t="s">
        <v>29</v>
      </c>
      <c r="G3291" s="26" t="s">
        <v>2409</v>
      </c>
      <c r="H3291" s="26" t="s">
        <v>2677</v>
      </c>
      <c r="I3291" s="54">
        <f>_xll.DBRW($A$1,$F$14,$F$15,$C3291,$A$2,$F3291,$G3291,$H3291,I$1)</f>
        <v>19</v>
      </c>
      <c r="J3291" s="25">
        <f>_xll.DBRW($A$1,$F$14,$F$15,$C3291,$A$2,$F3291,$G3291,$H3291,J$19)</f>
        <v>19</v>
      </c>
    </row>
    <row r="3292" spans="1:10" s="23" customFormat="1" outlineLevel="1" thickBot="1" x14ac:dyDescent="0.3">
      <c r="A3292" s="44"/>
      <c r="B3292" s="31" t="str">
        <f>IF(_xll.TM1RPTELISCONSOLIDATED($H$20,$H3292),IF(_xll.TM1RPTELLEV($H$20,$H3292)&lt;=5,_xll.TM1RPTELLEV($H$20,$H3292),"Default"),"Leaf")</f>
        <v>Leaf</v>
      </c>
      <c r="C3292" s="26" t="s">
        <v>27</v>
      </c>
      <c r="D3292" s="24" t="str">
        <f>_xll.DBRW("TM1-S1_DEV:}ElementAttributes_SP_SKU",$F3292,D$1)</f>
        <v>Primary</v>
      </c>
      <c r="E3292" s="24" t="str">
        <f>_xll.DBRW("TM1-S1_DEV:}ElementAttributes_SP_SKU",$F3292,E$1)</f>
        <v>PIE</v>
      </c>
      <c r="F3292" s="26" t="s">
        <v>3133</v>
      </c>
      <c r="G3292" s="26" t="s">
        <v>2410</v>
      </c>
      <c r="H3292" s="26" t="s">
        <v>2678</v>
      </c>
      <c r="I3292" s="54">
        <f>_xll.DBRW($A$1,$F$14,$F$15,$C3292,$A$2,$F3292,$G3292,$H3292,I$1)</f>
        <v>26</v>
      </c>
      <c r="J3292" s="25">
        <f>_xll.DBRW($A$1,$F$14,$F$15,$C3292,$A$2,$F3292,$G3292,$H3292,J$19)</f>
        <v>15</v>
      </c>
    </row>
    <row r="3293" spans="1:10" s="23" customFormat="1" outlineLevel="1" thickBot="1" x14ac:dyDescent="0.3">
      <c r="A3293" s="44"/>
      <c r="B3293" s="31" t="str">
        <f>IF(_xll.TM1RPTELISCONSOLIDATED($H$20,$H3293),IF(_xll.TM1RPTELLEV($H$20,$H3293)&lt;=5,_xll.TM1RPTELLEV($H$20,$H3293),"Default"),"Leaf")</f>
        <v>Leaf</v>
      </c>
      <c r="C3293" s="26" t="s">
        <v>27</v>
      </c>
      <c r="D3293" s="24" t="str">
        <f>_xll.DBRW("TM1-S1_DEV:}ElementAttributes_SP_SKU",$F3293,D$1)</f>
        <v>Primary</v>
      </c>
      <c r="E3293" s="24" t="str">
        <f>_xll.DBRW("TM1-S1_DEV:}ElementAttributes_SP_SKU",$F3293,E$1)</f>
        <v>PIE</v>
      </c>
      <c r="F3293" s="26" t="s">
        <v>3134</v>
      </c>
      <c r="G3293" s="26" t="s">
        <v>2411</v>
      </c>
      <c r="H3293" s="26" t="s">
        <v>2678</v>
      </c>
      <c r="I3293" s="54">
        <f>_xll.DBRW($A$1,$F$14,$F$15,$C3293,$A$2,$F3293,$G3293,$H3293,I$1)</f>
        <v>38</v>
      </c>
      <c r="J3293" s="25">
        <f>_xll.DBRW($A$1,$F$14,$F$15,$C3293,$A$2,$F3293,$G3293,$H3293,J$19)</f>
        <v>14</v>
      </c>
    </row>
    <row r="3294" spans="1:10" s="23" customFormat="1" outlineLevel="1" thickBot="1" x14ac:dyDescent="0.3">
      <c r="A3294" s="44"/>
      <c r="B3294" s="31" t="str">
        <f>IF(_xll.TM1RPTELISCONSOLIDATED($H$20,$H3294),IF(_xll.TM1RPTELLEV($H$20,$H3294)&lt;=5,_xll.TM1RPTELLEV($H$20,$H3294),"Default"),"Leaf")</f>
        <v>Leaf</v>
      </c>
      <c r="C3294" s="26" t="s">
        <v>27</v>
      </c>
      <c r="D3294" s="24" t="str">
        <f>_xll.DBRW("TM1-S1_DEV:}ElementAttributes_SP_SKU",$F3294,D$1)</f>
        <v>Primary</v>
      </c>
      <c r="E3294" s="24" t="str">
        <f>_xll.DBRW("TM1-S1_DEV:}ElementAttributes_SP_SKU",$F3294,E$1)</f>
        <v>CAKE</v>
      </c>
      <c r="F3294" s="26" t="s">
        <v>3135</v>
      </c>
      <c r="G3294" s="26" t="s">
        <v>2412</v>
      </c>
      <c r="H3294" s="26" t="s">
        <v>2679</v>
      </c>
      <c r="I3294" s="54">
        <f>_xll.DBRW($A$1,$F$14,$F$15,$C3294,$A$2,$F3294,$G3294,$H3294,I$1)</f>
        <v>52</v>
      </c>
      <c r="J3294" s="25">
        <f>_xll.DBRW($A$1,$F$14,$F$15,$C3294,$A$2,$F3294,$G3294,$H3294,J$19)</f>
        <v>20</v>
      </c>
    </row>
    <row r="3295" spans="1:10" s="23" customFormat="1" outlineLevel="1" thickBot="1" x14ac:dyDescent="0.3">
      <c r="A3295" s="44"/>
      <c r="B3295" s="31" t="str">
        <f>IF(_xll.TM1RPTELISCONSOLIDATED($H$20,$H3295),IF(_xll.TM1RPTELLEV($H$20,$H3295)&lt;=5,_xll.TM1RPTELLEV($H$20,$H3295),"Default"),"Leaf")</f>
        <v>Leaf</v>
      </c>
      <c r="C3295" s="26" t="s">
        <v>27</v>
      </c>
      <c r="D3295" s="24" t="str">
        <f>_xll.DBRW("TM1-S1_DEV:}ElementAttributes_SP_SKU",$F3295,D$1)</f>
        <v>Primary</v>
      </c>
      <c r="E3295" s="24" t="str">
        <f>_xll.DBRW("TM1-S1_DEV:}ElementAttributes_SP_SKU",$F3295,E$1)</f>
        <v>CAKE</v>
      </c>
      <c r="F3295" s="26" t="s">
        <v>3136</v>
      </c>
      <c r="G3295" s="26" t="s">
        <v>2413</v>
      </c>
      <c r="H3295" s="26" t="s">
        <v>2679</v>
      </c>
      <c r="I3295" s="54">
        <f>_xll.DBRW($A$1,$F$14,$F$15,$C3295,$A$2,$F3295,$G3295,$H3295,I$1)</f>
        <v>34</v>
      </c>
      <c r="J3295" s="25">
        <f>_xll.DBRW($A$1,$F$14,$F$15,$C3295,$A$2,$F3295,$G3295,$H3295,J$19)</f>
        <v>20</v>
      </c>
    </row>
    <row r="3296" spans="1:10" s="23" customFormat="1" outlineLevel="1" thickBot="1" x14ac:dyDescent="0.3">
      <c r="A3296" s="44"/>
      <c r="B3296" s="31" t="str">
        <f>IF(_xll.TM1RPTELISCONSOLIDATED($H$20,$H3296),IF(_xll.TM1RPTELLEV($H$20,$H3296)&lt;=5,_xll.TM1RPTELLEV($H$20,$H3296),"Default"),"Leaf")</f>
        <v>Leaf</v>
      </c>
      <c r="C3296" s="26" t="s">
        <v>27</v>
      </c>
      <c r="D3296" s="24" t="str">
        <f>_xll.DBRW("TM1-S1_DEV:}ElementAttributes_SP_SKU",$F3296,D$1)</f>
        <v>Primary</v>
      </c>
      <c r="E3296" s="24" t="str">
        <f>_xll.DBRW("TM1-S1_DEV:}ElementAttributes_SP_SKU",$F3296,E$1)</f>
        <v>CAKE</v>
      </c>
      <c r="F3296" s="26" t="s">
        <v>3137</v>
      </c>
      <c r="G3296" s="26" t="s">
        <v>2414</v>
      </c>
      <c r="H3296" s="26" t="s">
        <v>2679</v>
      </c>
      <c r="I3296" s="54">
        <f>_xll.DBRW($A$1,$F$14,$F$15,$C3296,$A$2,$F3296,$G3296,$H3296,I$1)</f>
        <v>51</v>
      </c>
      <c r="J3296" s="25">
        <f>_xll.DBRW($A$1,$F$14,$F$15,$C3296,$A$2,$F3296,$G3296,$H3296,J$19)</f>
        <v>11</v>
      </c>
    </row>
    <row r="3297" spans="1:10" s="23" customFormat="1" outlineLevel="1" thickBot="1" x14ac:dyDescent="0.3">
      <c r="A3297" s="44"/>
      <c r="B3297" s="31" t="str">
        <f>IF(_xll.TM1RPTELISCONSOLIDATED($H$20,$H3297),IF(_xll.TM1RPTELLEV($H$20,$H3297)&lt;=5,_xll.TM1RPTELLEV($H$20,$H3297),"Default"),"Leaf")</f>
        <v>Leaf</v>
      </c>
      <c r="C3297" s="26" t="s">
        <v>27</v>
      </c>
      <c r="D3297" s="24" t="str">
        <f>_xll.DBRW("TM1-S1_DEV:}ElementAttributes_SP_SKU",$F3297,D$1)</f>
        <v>Primary</v>
      </c>
      <c r="E3297" s="24" t="str">
        <f>_xll.DBRW("TM1-S1_DEV:}ElementAttributes_SP_SKU",$F3297,E$1)</f>
        <v>CAKE</v>
      </c>
      <c r="F3297" s="26" t="s">
        <v>3138</v>
      </c>
      <c r="G3297" s="26" t="s">
        <v>2415</v>
      </c>
      <c r="H3297" s="26" t="s">
        <v>2680</v>
      </c>
      <c r="I3297" s="54">
        <f>_xll.DBRW($A$1,$F$14,$F$15,$C3297,$A$2,$F3297,$G3297,$H3297,I$1)</f>
        <v>12</v>
      </c>
      <c r="J3297" s="25">
        <f>_xll.DBRW($A$1,$F$14,$F$15,$C3297,$A$2,$F3297,$G3297,$H3297,J$19)</f>
        <v>8</v>
      </c>
    </row>
    <row r="3298" spans="1:10" s="23" customFormat="1" outlineLevel="1" thickBot="1" x14ac:dyDescent="0.3">
      <c r="A3298" s="44"/>
      <c r="B3298" s="31" t="str">
        <f>IF(_xll.TM1RPTELISCONSOLIDATED($H$20,$H3298),IF(_xll.TM1RPTELLEV($H$20,$H3298)&lt;=5,_xll.TM1RPTELLEV($H$20,$H3298),"Default"),"Leaf")</f>
        <v>Leaf</v>
      </c>
      <c r="C3298" s="26" t="s">
        <v>27</v>
      </c>
      <c r="D3298" s="24" t="str">
        <f>_xll.DBRW("TM1-S1_DEV:}ElementAttributes_SP_SKU",$F3298,D$1)</f>
        <v>Primary</v>
      </c>
      <c r="E3298" s="24" t="str">
        <f>_xll.DBRW("TM1-S1_DEV:}ElementAttributes_SP_SKU",$F3298,E$1)</f>
        <v>DESSERT</v>
      </c>
      <c r="F3298" s="26" t="s">
        <v>3139</v>
      </c>
      <c r="G3298" s="26" t="s">
        <v>2416</v>
      </c>
      <c r="H3298" s="26" t="s">
        <v>2681</v>
      </c>
      <c r="I3298" s="54">
        <f>_xll.DBRW($A$1,$F$14,$F$15,$C3298,$A$2,$F3298,$G3298,$H3298,I$1)</f>
        <v>29</v>
      </c>
      <c r="J3298" s="25">
        <f>_xll.DBRW($A$1,$F$14,$F$15,$C3298,$A$2,$F3298,$G3298,$H3298,J$19)</f>
        <v>11</v>
      </c>
    </row>
    <row r="3299" spans="1:10" s="23" customFormat="1" outlineLevel="1" thickBot="1" x14ac:dyDescent="0.3">
      <c r="A3299" s="44"/>
      <c r="B3299" s="31" t="str">
        <f>IF(_xll.TM1RPTELISCONSOLIDATED($H$20,$H3299),IF(_xll.TM1RPTELLEV($H$20,$H3299)&lt;=5,_xll.TM1RPTELLEV($H$20,$H3299),"Default"),"Leaf")</f>
        <v>Leaf</v>
      </c>
      <c r="C3299" s="26" t="s">
        <v>27</v>
      </c>
      <c r="D3299" s="24" t="str">
        <f>_xll.DBRW("TM1-S1_DEV:}ElementAttributes_SP_SKU",$F3299,D$1)</f>
        <v>Primary</v>
      </c>
      <c r="E3299" s="24" t="str">
        <f>_xll.DBRW("TM1-S1_DEV:}ElementAttributes_SP_SKU",$F3299,E$1)</f>
        <v>DESSERT</v>
      </c>
      <c r="F3299" s="26" t="s">
        <v>3140</v>
      </c>
      <c r="G3299" s="26" t="s">
        <v>2417</v>
      </c>
      <c r="H3299" s="26" t="s">
        <v>2681</v>
      </c>
      <c r="I3299" s="54">
        <f>_xll.DBRW($A$1,$F$14,$F$15,$C3299,$A$2,$F3299,$G3299,$H3299,I$1)</f>
        <v>32</v>
      </c>
      <c r="J3299" s="25">
        <f>_xll.DBRW($A$1,$F$14,$F$15,$C3299,$A$2,$F3299,$G3299,$H3299,J$19)</f>
        <v>9</v>
      </c>
    </row>
    <row r="3300" spans="1:10" s="23" customFormat="1" outlineLevel="1" thickBot="1" x14ac:dyDescent="0.3">
      <c r="A3300" s="44"/>
      <c r="B3300" s="31" t="str">
        <f>IF(_xll.TM1RPTELISCONSOLIDATED($H$20,$H3300),IF(_xll.TM1RPTELLEV($H$20,$H3300)&lt;=5,_xll.TM1RPTELLEV($H$20,$H3300),"Default"),"Leaf")</f>
        <v>Leaf</v>
      </c>
      <c r="C3300" s="26" t="s">
        <v>27</v>
      </c>
      <c r="D3300" s="24" t="str">
        <f>_xll.DBRW("TM1-S1_DEV:}ElementAttributes_SP_SKU",$F3300,D$1)</f>
        <v>Primary</v>
      </c>
      <c r="E3300" s="24" t="str">
        <f>_xll.DBRW("TM1-S1_DEV:}ElementAttributes_SP_SKU",$F3300,E$1)</f>
        <v>CAKE</v>
      </c>
      <c r="F3300" s="26" t="s">
        <v>3142</v>
      </c>
      <c r="G3300" s="26" t="s">
        <v>2418</v>
      </c>
      <c r="H3300" s="26" t="s">
        <v>2682</v>
      </c>
      <c r="I3300" s="54">
        <f>_xll.DBRW($A$1,$F$14,$F$15,$C3300,$A$2,$F3300,$G3300,$H3300,I$1)</f>
        <v>17</v>
      </c>
      <c r="J3300" s="25">
        <f>_xll.DBRW($A$1,$F$14,$F$15,$C3300,$A$2,$F3300,$G3300,$H3300,J$19)</f>
        <v>11</v>
      </c>
    </row>
    <row r="3301" spans="1:10" s="23" customFormat="1" outlineLevel="1" thickBot="1" x14ac:dyDescent="0.3">
      <c r="A3301" s="44"/>
      <c r="B3301" s="31" t="str">
        <f>IF(_xll.TM1RPTELISCONSOLIDATED($H$20,$H3301),IF(_xll.TM1RPTELLEV($H$20,$H3301)&lt;=5,_xll.TM1RPTELLEV($H$20,$H3301),"Default"),"Leaf")</f>
        <v>Leaf</v>
      </c>
      <c r="C3301" s="26" t="s">
        <v>27</v>
      </c>
      <c r="D3301" s="24" t="str">
        <f>_xll.DBRW("TM1-S1_DEV:}ElementAttributes_SP_SKU",$F3301,D$1)</f>
        <v>Primary</v>
      </c>
      <c r="E3301" s="24" t="str">
        <f>_xll.DBRW("TM1-S1_DEV:}ElementAttributes_SP_SKU",$F3301,E$1)</f>
        <v>CAKE</v>
      </c>
      <c r="F3301" s="26" t="s">
        <v>3143</v>
      </c>
      <c r="G3301" s="26" t="s">
        <v>2419</v>
      </c>
      <c r="H3301" s="26" t="s">
        <v>2682</v>
      </c>
      <c r="I3301" s="54">
        <f>_xll.DBRW($A$1,$F$14,$F$15,$C3301,$A$2,$F3301,$G3301,$H3301,I$1)</f>
        <v>26</v>
      </c>
      <c r="J3301" s="25">
        <f>_xll.DBRW($A$1,$F$14,$F$15,$C3301,$A$2,$F3301,$G3301,$H3301,J$19)</f>
        <v>19</v>
      </c>
    </row>
    <row r="3302" spans="1:10" s="23" customFormat="1" outlineLevel="1" thickBot="1" x14ac:dyDescent="0.3">
      <c r="A3302" s="44"/>
      <c r="B3302" s="31" t="str">
        <f>IF(_xll.TM1RPTELISCONSOLIDATED($H$20,$H3302),IF(_xll.TM1RPTELLEV($H$20,$H3302)&lt;=5,_xll.TM1RPTELLEV($H$20,$H3302),"Default"),"Leaf")</f>
        <v>Leaf</v>
      </c>
      <c r="C3302" s="26" t="s">
        <v>27</v>
      </c>
      <c r="D3302" s="24" t="str">
        <f>_xll.DBRW("TM1-S1_DEV:}ElementAttributes_SP_SKU",$F3302,D$1)</f>
        <v>Primary</v>
      </c>
      <c r="E3302" s="24" t="str">
        <f>_xll.DBRW("TM1-S1_DEV:}ElementAttributes_SP_SKU",$F3302,E$1)</f>
        <v>CAKE</v>
      </c>
      <c r="F3302" s="26" t="s">
        <v>3144</v>
      </c>
      <c r="G3302" s="26" t="s">
        <v>2420</v>
      </c>
      <c r="H3302" s="26" t="s">
        <v>2679</v>
      </c>
      <c r="I3302" s="54">
        <f>_xll.DBRW($A$1,$F$14,$F$15,$C3302,$A$2,$F3302,$G3302,$H3302,I$1)</f>
        <v>4</v>
      </c>
      <c r="J3302" s="25">
        <f>_xll.DBRW($A$1,$F$14,$F$15,$C3302,$A$2,$F3302,$G3302,$H3302,J$19)</f>
        <v>4</v>
      </c>
    </row>
    <row r="3303" spans="1:10" s="23" customFormat="1" outlineLevel="1" thickBot="1" x14ac:dyDescent="0.3">
      <c r="A3303" s="44"/>
      <c r="B3303" s="31" t="str">
        <f>IF(_xll.TM1RPTELISCONSOLIDATED($H$20,$H3303),IF(_xll.TM1RPTELLEV($H$20,$H3303)&lt;=5,_xll.TM1RPTELLEV($H$20,$H3303),"Default"),"Leaf")</f>
        <v>Leaf</v>
      </c>
      <c r="C3303" s="26" t="s">
        <v>27</v>
      </c>
      <c r="D3303" s="24" t="str">
        <f>_xll.DBRW("TM1-S1_DEV:}ElementAttributes_SP_SKU",$F3303,D$1)</f>
        <v>Primary</v>
      </c>
      <c r="E3303" s="24" t="str">
        <f>_xll.DBRW("TM1-S1_DEV:}ElementAttributes_SP_SKU",$F3303,E$1)</f>
        <v>CAKE</v>
      </c>
      <c r="F3303" s="26" t="s">
        <v>3145</v>
      </c>
      <c r="G3303" s="26" t="s">
        <v>2421</v>
      </c>
      <c r="H3303" s="26" t="s">
        <v>2680</v>
      </c>
      <c r="I3303" s="54">
        <f>_xll.DBRW($A$1,$F$14,$F$15,$C3303,$A$2,$F3303,$G3303,$H3303,I$1)</f>
        <v>3</v>
      </c>
      <c r="J3303" s="25">
        <f>_xll.DBRW($A$1,$F$14,$F$15,$C3303,$A$2,$F3303,$G3303,$H3303,J$19)</f>
        <v>2</v>
      </c>
    </row>
    <row r="3304" spans="1:10" s="23" customFormat="1" outlineLevel="1" thickBot="1" x14ac:dyDescent="0.3">
      <c r="A3304" s="44"/>
      <c r="B3304" s="31" t="str">
        <f>IF(_xll.TM1RPTELISCONSOLIDATED($H$20,$H3304),IF(_xll.TM1RPTELLEV($H$20,$H3304)&lt;=5,_xll.TM1RPTELLEV($H$20,$H3304),"Default"),"Leaf")</f>
        <v>Leaf</v>
      </c>
      <c r="C3304" s="26" t="s">
        <v>27</v>
      </c>
      <c r="D3304" s="24" t="str">
        <f>_xll.DBRW("TM1-S1_DEV:}ElementAttributes_SP_SKU",$F3304,D$1)</f>
        <v>Primary</v>
      </c>
      <c r="E3304" s="24" t="str">
        <f>_xll.DBRW("TM1-S1_DEV:}ElementAttributes_SP_SKU",$F3304,E$1)</f>
        <v>CAKE</v>
      </c>
      <c r="F3304" s="26" t="s">
        <v>3146</v>
      </c>
      <c r="G3304" s="26" t="s">
        <v>2422</v>
      </c>
      <c r="H3304" s="26" t="s">
        <v>2680</v>
      </c>
      <c r="I3304" s="54">
        <f>_xll.DBRW($A$1,$F$14,$F$15,$C3304,$A$2,$F3304,$G3304,$H3304,I$1)</f>
        <v>34</v>
      </c>
      <c r="J3304" s="25">
        <f>_xll.DBRW($A$1,$F$14,$F$15,$C3304,$A$2,$F3304,$G3304,$H3304,J$19)</f>
        <v>28</v>
      </c>
    </row>
    <row r="3305" spans="1:10" s="23" customFormat="1" outlineLevel="1" thickBot="1" x14ac:dyDescent="0.3">
      <c r="A3305" s="44"/>
      <c r="B3305" s="31" t="str">
        <f>IF(_xll.TM1RPTELISCONSOLIDATED($H$20,$H3305),IF(_xll.TM1RPTELLEV($H$20,$H3305)&lt;=5,_xll.TM1RPTELLEV($H$20,$H3305),"Default"),"Leaf")</f>
        <v>Leaf</v>
      </c>
      <c r="C3305" s="26" t="s">
        <v>27</v>
      </c>
      <c r="D3305" s="24" t="str">
        <f>_xll.DBRW("TM1-S1_DEV:}ElementAttributes_SP_SKU",$F3305,D$1)</f>
        <v>Primary</v>
      </c>
      <c r="E3305" s="24" t="str">
        <f>_xll.DBRW("TM1-S1_DEV:}ElementAttributes_SP_SKU",$F3305,E$1)</f>
        <v>CONDIMENT</v>
      </c>
      <c r="F3305" s="26" t="s">
        <v>3147</v>
      </c>
      <c r="G3305" s="26" t="s">
        <v>2423</v>
      </c>
      <c r="H3305" s="26" t="s">
        <v>2683</v>
      </c>
      <c r="I3305" s="54">
        <f>_xll.DBRW($A$1,$F$14,$F$15,$C3305,$A$2,$F3305,$G3305,$H3305,I$1)</f>
        <v>38</v>
      </c>
      <c r="J3305" s="25">
        <f>_xll.DBRW($A$1,$F$14,$F$15,$C3305,$A$2,$F3305,$G3305,$H3305,J$19)</f>
        <v>29</v>
      </c>
    </row>
    <row r="3306" spans="1:10" s="23" customFormat="1" outlineLevel="1" thickBot="1" x14ac:dyDescent="0.3">
      <c r="A3306" s="44"/>
      <c r="B3306" s="31" t="str">
        <f>IF(_xll.TM1RPTELISCONSOLIDATED($H$20,$H3306),IF(_xll.TM1RPTELLEV($H$20,$H3306)&lt;=5,_xll.TM1RPTELLEV($H$20,$H3306),"Default"),"Leaf")</f>
        <v>Leaf</v>
      </c>
      <c r="C3306" s="26" t="s">
        <v>27</v>
      </c>
      <c r="D3306" s="24" t="str">
        <f>_xll.DBRW("TM1-S1_DEV:}ElementAttributes_SP_SKU",$F3306,D$1)</f>
        <v>Primary</v>
      </c>
      <c r="E3306" s="24" t="str">
        <f>_xll.DBRW("TM1-S1_DEV:}ElementAttributes_SP_SKU",$F3306,E$1)</f>
        <v>CONDIMENT</v>
      </c>
      <c r="F3306" s="26" t="s">
        <v>3148</v>
      </c>
      <c r="G3306" s="26" t="s">
        <v>2424</v>
      </c>
      <c r="H3306" s="26" t="s">
        <v>2684</v>
      </c>
      <c r="I3306" s="54">
        <f>_xll.DBRW($A$1,$F$14,$F$15,$C3306,$A$2,$F3306,$G3306,$H3306,I$1)</f>
        <v>72</v>
      </c>
      <c r="J3306" s="25">
        <f>_xll.DBRW($A$1,$F$14,$F$15,$C3306,$A$2,$F3306,$G3306,$H3306,J$19)</f>
        <v>38</v>
      </c>
    </row>
    <row r="3307" spans="1:10" s="23" customFormat="1" outlineLevel="1" thickBot="1" x14ac:dyDescent="0.3">
      <c r="A3307" s="44"/>
      <c r="B3307" s="31" t="str">
        <f>IF(_xll.TM1RPTELISCONSOLIDATED($H$20,$H3307),IF(_xll.TM1RPTELLEV($H$20,$H3307)&lt;=5,_xll.TM1RPTELLEV($H$20,$H3307),"Default"),"Leaf")</f>
        <v>Leaf</v>
      </c>
      <c r="C3307" s="26" t="s">
        <v>27</v>
      </c>
      <c r="D3307" s="24" t="str">
        <f>_xll.DBRW("TM1-S1_DEV:}ElementAttributes_SP_SKU",$F3307,D$1)</f>
        <v>Primary</v>
      </c>
      <c r="E3307" s="24" t="str">
        <f>_xll.DBRW("TM1-S1_DEV:}ElementAttributes_SP_SKU",$F3307,E$1)</f>
        <v>CONDIMENT</v>
      </c>
      <c r="F3307" s="26" t="s">
        <v>3149</v>
      </c>
      <c r="G3307" s="26" t="s">
        <v>2425</v>
      </c>
      <c r="H3307" s="26" t="s">
        <v>2684</v>
      </c>
      <c r="I3307" s="54">
        <f>_xll.DBRW($A$1,$F$14,$F$15,$C3307,$A$2,$F3307,$G3307,$H3307,I$1)</f>
        <v>29</v>
      </c>
      <c r="J3307" s="25">
        <f>_xll.DBRW($A$1,$F$14,$F$15,$C3307,$A$2,$F3307,$G3307,$H3307,J$19)</f>
        <v>35</v>
      </c>
    </row>
    <row r="3308" spans="1:10" s="23" customFormat="1" outlineLevel="1" thickBot="1" x14ac:dyDescent="0.3">
      <c r="A3308" s="44"/>
      <c r="B3308" s="31" t="str">
        <f>IF(_xll.TM1RPTELISCONSOLIDATED($H$20,$H3308),IF(_xll.TM1RPTELLEV($H$20,$H3308)&lt;=5,_xll.TM1RPTELLEV($H$20,$H3308),"Default"),"Leaf")</f>
        <v>Leaf</v>
      </c>
      <c r="C3308" s="26" t="s">
        <v>27</v>
      </c>
      <c r="D3308" s="24" t="str">
        <f>_xll.DBRW("TM1-S1_DEV:}ElementAttributes_SP_SKU",$F3308,D$1)</f>
        <v>Primary</v>
      </c>
      <c r="E3308" s="24" t="str">
        <f>_xll.DBRW("TM1-S1_DEV:}ElementAttributes_SP_SKU",$F3308,E$1)</f>
        <v>CONDIMENT</v>
      </c>
      <c r="F3308" s="26" t="s">
        <v>3150</v>
      </c>
      <c r="G3308" s="26" t="s">
        <v>2426</v>
      </c>
      <c r="H3308" s="26" t="s">
        <v>2684</v>
      </c>
      <c r="I3308" s="54">
        <f>_xll.DBRW($A$1,$F$14,$F$15,$C3308,$A$2,$F3308,$G3308,$H3308,I$1)</f>
        <v>46</v>
      </c>
      <c r="J3308" s="25">
        <f>_xll.DBRW($A$1,$F$14,$F$15,$C3308,$A$2,$F3308,$G3308,$H3308,J$19)</f>
        <v>37</v>
      </c>
    </row>
    <row r="3309" spans="1:10" s="23" customFormat="1" outlineLevel="1" thickBot="1" x14ac:dyDescent="0.3">
      <c r="A3309" s="44"/>
      <c r="B3309" s="31" t="str">
        <f>IF(_xll.TM1RPTELISCONSOLIDATED($H$20,$H3309),IF(_xll.TM1RPTELLEV($H$20,$H3309)&lt;=5,_xll.TM1RPTELLEV($H$20,$H3309),"Default"),"Leaf")</f>
        <v>Leaf</v>
      </c>
      <c r="C3309" s="26" t="s">
        <v>27</v>
      </c>
      <c r="D3309" s="24" t="str">
        <f>_xll.DBRW("TM1-S1_DEV:}ElementAttributes_SP_SKU",$F3309,D$1)</f>
        <v>Primary</v>
      </c>
      <c r="E3309" s="24" t="str">
        <f>_xll.DBRW("TM1-S1_DEV:}ElementAttributes_SP_SKU",$F3309,E$1)</f>
        <v>CONDIMENT</v>
      </c>
      <c r="F3309" s="26" t="s">
        <v>3151</v>
      </c>
      <c r="G3309" s="26" t="s">
        <v>2427</v>
      </c>
      <c r="H3309" s="26" t="s">
        <v>2684</v>
      </c>
      <c r="I3309" s="54">
        <f>_xll.DBRW($A$1,$F$14,$F$15,$C3309,$A$2,$F3309,$G3309,$H3309,I$1)</f>
        <v>50</v>
      </c>
      <c r="J3309" s="25">
        <f>_xll.DBRW($A$1,$F$14,$F$15,$C3309,$A$2,$F3309,$G3309,$H3309,J$19)</f>
        <v>14</v>
      </c>
    </row>
    <row r="3310" spans="1:10" s="23" customFormat="1" outlineLevel="1" thickBot="1" x14ac:dyDescent="0.3">
      <c r="A3310" s="44"/>
      <c r="B3310" s="31" t="str">
        <f>IF(_xll.TM1RPTELISCONSOLIDATED($H$20,$H3310),IF(_xll.TM1RPTELLEV($H$20,$H3310)&lt;=5,_xll.TM1RPTELLEV($H$20,$H3310),"Default"),"Leaf")</f>
        <v>Leaf</v>
      </c>
      <c r="C3310" s="26" t="s">
        <v>27</v>
      </c>
      <c r="D3310" s="24" t="str">
        <f>_xll.DBRW("TM1-S1_DEV:}ElementAttributes_SP_SKU",$F3310,D$1)</f>
        <v>Primary</v>
      </c>
      <c r="E3310" s="24" t="str">
        <f>_xll.DBRW("TM1-S1_DEV:}ElementAttributes_SP_SKU",$F3310,E$1)</f>
        <v>CONDIMENT</v>
      </c>
      <c r="F3310" s="26" t="s">
        <v>3152</v>
      </c>
      <c r="G3310" s="26" t="s">
        <v>2428</v>
      </c>
      <c r="H3310" s="26" t="s">
        <v>2684</v>
      </c>
      <c r="I3310" s="54">
        <f>_xll.DBRW($A$1,$F$14,$F$15,$C3310,$A$2,$F3310,$G3310,$H3310,I$1)</f>
        <v>17</v>
      </c>
      <c r="J3310" s="25">
        <f>_xll.DBRW($A$1,$F$14,$F$15,$C3310,$A$2,$F3310,$G3310,$H3310,J$19)</f>
        <v>25</v>
      </c>
    </row>
    <row r="3311" spans="1:10" s="23" customFormat="1" outlineLevel="1" thickBot="1" x14ac:dyDescent="0.3">
      <c r="A3311" s="44"/>
      <c r="B3311" s="31" t="str">
        <f>IF(_xll.TM1RPTELISCONSOLIDATED($H$20,$H3311),IF(_xll.TM1RPTELLEV($H$20,$H3311)&lt;=5,_xll.TM1RPTELLEV($H$20,$H3311),"Default"),"Leaf")</f>
        <v>Leaf</v>
      </c>
      <c r="C3311" s="26" t="s">
        <v>27</v>
      </c>
      <c r="D3311" s="24" t="str">
        <f>_xll.DBRW("TM1-S1_DEV:}ElementAttributes_SP_SKU",$F3311,D$1)</f>
        <v>Primary</v>
      </c>
      <c r="E3311" s="24" t="str">
        <f>_xll.DBRW("TM1-S1_DEV:}ElementAttributes_SP_SKU",$F3311,E$1)</f>
        <v>CONDIMENT</v>
      </c>
      <c r="F3311" s="26" t="s">
        <v>3153</v>
      </c>
      <c r="G3311" s="26" t="s">
        <v>2429</v>
      </c>
      <c r="H3311" s="26" t="s">
        <v>2684</v>
      </c>
      <c r="I3311" s="54">
        <f>_xll.DBRW($A$1,$F$14,$F$15,$C3311,$A$2,$F3311,$G3311,$H3311,I$1)</f>
        <v>15</v>
      </c>
      <c r="J3311" s="25">
        <f>_xll.DBRW($A$1,$F$14,$F$15,$C3311,$A$2,$F3311,$G3311,$H3311,J$19)</f>
        <v>14</v>
      </c>
    </row>
    <row r="3312" spans="1:10" s="23" customFormat="1" outlineLevel="1" thickBot="1" x14ac:dyDescent="0.3">
      <c r="A3312" s="44"/>
      <c r="B3312" s="31" t="str">
        <f>IF(_xll.TM1RPTELISCONSOLIDATED($H$20,$H3312),IF(_xll.TM1RPTELLEV($H$20,$H3312)&lt;=5,_xll.TM1RPTELLEV($H$20,$H3312),"Default"),"Leaf")</f>
        <v>Leaf</v>
      </c>
      <c r="C3312" s="26" t="s">
        <v>27</v>
      </c>
      <c r="D3312" s="24" t="str">
        <f>_xll.DBRW("TM1-S1_DEV:}ElementAttributes_SP_SKU",$F3312,D$1)</f>
        <v>Primary</v>
      </c>
      <c r="E3312" s="24" t="str">
        <f>_xll.DBRW("TM1-S1_DEV:}ElementAttributes_SP_SKU",$F3312,E$1)</f>
        <v>CONDIMENT</v>
      </c>
      <c r="F3312" s="26" t="s">
        <v>3154</v>
      </c>
      <c r="G3312" s="26" t="s">
        <v>2430</v>
      </c>
      <c r="H3312" s="26" t="s">
        <v>2684</v>
      </c>
      <c r="I3312" s="54">
        <f>_xll.DBRW($A$1,$F$14,$F$15,$C3312,$A$2,$F3312,$G3312,$H3312,I$1)</f>
        <v>85</v>
      </c>
      <c r="J3312" s="25">
        <f>_xll.DBRW($A$1,$F$14,$F$15,$C3312,$A$2,$F3312,$G3312,$H3312,J$19)</f>
        <v>36</v>
      </c>
    </row>
    <row r="3313" spans="1:10" s="23" customFormat="1" outlineLevel="1" thickBot="1" x14ac:dyDescent="0.3">
      <c r="A3313" s="44"/>
      <c r="B3313" s="31" t="str">
        <f>IF(_xll.TM1RPTELISCONSOLIDATED($H$20,$H3313),IF(_xll.TM1RPTELLEV($H$20,$H3313)&lt;=5,_xll.TM1RPTELLEV($H$20,$H3313),"Default"),"Leaf")</f>
        <v>Leaf</v>
      </c>
      <c r="C3313" s="26" t="s">
        <v>27</v>
      </c>
      <c r="D3313" s="24" t="str">
        <f>_xll.DBRW("TM1-S1_DEV:}ElementAttributes_SP_SKU",$F3313,D$1)</f>
        <v>Primary</v>
      </c>
      <c r="E3313" s="24" t="str">
        <f>_xll.DBRW("TM1-S1_DEV:}ElementAttributes_SP_SKU",$F3313,E$1)</f>
        <v>DRESSING</v>
      </c>
      <c r="F3313" s="26" t="s">
        <v>3155</v>
      </c>
      <c r="G3313" s="26" t="s">
        <v>2431</v>
      </c>
      <c r="H3313" s="26" t="s">
        <v>2733</v>
      </c>
      <c r="I3313" s="54">
        <f>_xll.DBRW($A$1,$F$14,$F$15,$C3313,$A$2,$F3313,$G3313,$H3313,I$1)</f>
        <v>18</v>
      </c>
      <c r="J3313" s="25">
        <f>_xll.DBRW($A$1,$F$14,$F$15,$C3313,$A$2,$F3313,$G3313,$H3313,J$19)</f>
        <v>18</v>
      </c>
    </row>
    <row r="3314" spans="1:10" s="23" customFormat="1" outlineLevel="1" thickBot="1" x14ac:dyDescent="0.3">
      <c r="A3314" s="44"/>
      <c r="B3314" s="31" t="str">
        <f>IF(_xll.TM1RPTELISCONSOLIDATED($H$20,$H3314),IF(_xll.TM1RPTELLEV($H$20,$H3314)&lt;=5,_xll.TM1RPTELLEV($H$20,$H3314),"Default"),"Leaf")</f>
        <v>Leaf</v>
      </c>
      <c r="C3314" s="26" t="s">
        <v>27</v>
      </c>
      <c r="D3314" s="24" t="str">
        <f>_xll.DBRW("TM1-S1_DEV:}ElementAttributes_SP_SKU",$F3314,D$1)</f>
        <v>Primary</v>
      </c>
      <c r="E3314" s="24" t="str">
        <f>_xll.DBRW("TM1-S1_DEV:}ElementAttributes_SP_SKU",$F3314,E$1)</f>
        <v>DRESSING</v>
      </c>
      <c r="F3314" s="26" t="s">
        <v>3157</v>
      </c>
      <c r="G3314" s="26" t="s">
        <v>2572</v>
      </c>
      <c r="H3314" s="26" t="s">
        <v>2733</v>
      </c>
      <c r="I3314" s="54">
        <f>_xll.DBRW($A$1,$F$14,$F$15,$C3314,$A$2,$F3314,$G3314,$H3314,I$1)</f>
        <v>8</v>
      </c>
      <c r="J3314" s="25">
        <f>_xll.DBRW($A$1,$F$14,$F$15,$C3314,$A$2,$F3314,$G3314,$H3314,J$19)</f>
        <v>8</v>
      </c>
    </row>
    <row r="3315" spans="1:10" s="23" customFormat="1" outlineLevel="1" thickBot="1" x14ac:dyDescent="0.3">
      <c r="A3315" s="44"/>
      <c r="B3315" s="31" t="str">
        <f>IF(_xll.TM1RPTELISCONSOLIDATED($H$20,$H3315),IF(_xll.TM1RPTELLEV($H$20,$H3315)&lt;=5,_xll.TM1RPTELLEV($H$20,$H3315),"Default"),"Leaf")</f>
        <v>Leaf</v>
      </c>
      <c r="C3315" s="26" t="s">
        <v>27</v>
      </c>
      <c r="D3315" s="24" t="str">
        <f>_xll.DBRW("TM1-S1_DEV:}ElementAttributes_SP_SKU",$F3315,D$1)</f>
        <v>Primary</v>
      </c>
      <c r="E3315" s="24" t="str">
        <f>_xll.DBRW("TM1-S1_DEV:}ElementAttributes_SP_SKU",$F3315,E$1)</f>
        <v>DRESSING</v>
      </c>
      <c r="F3315" s="26" t="s">
        <v>3161</v>
      </c>
      <c r="G3315" s="26" t="s">
        <v>2432</v>
      </c>
      <c r="H3315" s="26" t="s">
        <v>2733</v>
      </c>
      <c r="I3315" s="54">
        <f>_xll.DBRW($A$1,$F$14,$F$15,$C3315,$A$2,$F3315,$G3315,$H3315,I$1)</f>
        <v>6</v>
      </c>
      <c r="J3315" s="25">
        <f>_xll.DBRW($A$1,$F$14,$F$15,$C3315,$A$2,$F3315,$G3315,$H3315,J$19)</f>
        <v>9</v>
      </c>
    </row>
    <row r="3316" spans="1:10" s="23" customFormat="1" outlineLevel="1" thickBot="1" x14ac:dyDescent="0.3">
      <c r="A3316" s="44"/>
      <c r="B3316" s="31" t="str">
        <f>IF(_xll.TM1RPTELISCONSOLIDATED($H$20,$H3316),IF(_xll.TM1RPTELLEV($H$20,$H3316)&lt;=5,_xll.TM1RPTELLEV($H$20,$H3316),"Default"),"Leaf")</f>
        <v>Leaf</v>
      </c>
      <c r="C3316" s="26" t="s">
        <v>27</v>
      </c>
      <c r="D3316" s="24" t="str">
        <f>_xll.DBRW("TM1-S1_DEV:}ElementAttributes_SP_SKU",$F3316,D$1)</f>
        <v>Primary</v>
      </c>
      <c r="E3316" s="24" t="str">
        <f>_xll.DBRW("TM1-S1_DEV:}ElementAttributes_SP_SKU",$F3316,E$1)</f>
        <v>BREAD</v>
      </c>
      <c r="F3316" s="26" t="s">
        <v>3163</v>
      </c>
      <c r="G3316" s="26" t="s">
        <v>2433</v>
      </c>
      <c r="H3316" s="26" t="s">
        <v>2687</v>
      </c>
      <c r="I3316" s="54">
        <f>_xll.DBRW($A$1,$F$14,$F$15,$C3316,$A$2,$F3316,$G3316,$H3316,I$1)</f>
        <v>71</v>
      </c>
      <c r="J3316" s="25">
        <f>_xll.DBRW($A$1,$F$14,$F$15,$C3316,$A$2,$F3316,$G3316,$H3316,J$19)</f>
        <v>64</v>
      </c>
    </row>
    <row r="3317" spans="1:10" s="23" customFormat="1" outlineLevel="1" thickBot="1" x14ac:dyDescent="0.3">
      <c r="A3317" s="44"/>
      <c r="B3317" s="31" t="str">
        <f>IF(_xll.TM1RPTELISCONSOLIDATED($H$20,$H3317),IF(_xll.TM1RPTELLEV($H$20,$H3317)&lt;=5,_xll.TM1RPTELLEV($H$20,$H3317),"Default"),"Leaf")</f>
        <v>Leaf</v>
      </c>
      <c r="C3317" s="26" t="s">
        <v>27</v>
      </c>
      <c r="D3317" s="24" t="str">
        <f>_xll.DBRW("TM1-S1_DEV:}ElementAttributes_SP_SKU",$F3317,D$1)</f>
        <v>Primary</v>
      </c>
      <c r="E3317" s="24" t="str">
        <f>_xll.DBRW("TM1-S1_DEV:}ElementAttributes_SP_SKU",$F3317,E$1)</f>
        <v>BREAD</v>
      </c>
      <c r="F3317" s="26" t="s">
        <v>3164</v>
      </c>
      <c r="G3317" s="26" t="s">
        <v>2434</v>
      </c>
      <c r="H3317" s="26" t="s">
        <v>2687</v>
      </c>
      <c r="I3317" s="54">
        <f>_xll.DBRW($A$1,$F$14,$F$15,$C3317,$A$2,$F3317,$G3317,$H3317,I$1)</f>
        <v>62</v>
      </c>
      <c r="J3317" s="25">
        <f>_xll.DBRW($A$1,$F$14,$F$15,$C3317,$A$2,$F3317,$G3317,$H3317,J$19)</f>
        <v>47</v>
      </c>
    </row>
    <row r="3318" spans="1:10" s="23" customFormat="1" outlineLevel="1" thickBot="1" x14ac:dyDescent="0.3">
      <c r="A3318" s="44"/>
      <c r="B3318" s="31" t="str">
        <f>IF(_xll.TM1RPTELISCONSOLIDATED($H$20,$H3318),IF(_xll.TM1RPTELLEV($H$20,$H3318)&lt;=5,_xll.TM1RPTELLEV($H$20,$H3318),"Default"),"Leaf")</f>
        <v>Leaf</v>
      </c>
      <c r="C3318" s="26" t="s">
        <v>27</v>
      </c>
      <c r="D3318" s="24" t="str">
        <f>_xll.DBRW("TM1-S1_DEV:}ElementAttributes_SP_SKU",$F3318,D$1)</f>
        <v>Primary</v>
      </c>
      <c r="E3318" s="24" t="str">
        <f>_xll.DBRW("TM1-S1_DEV:}ElementAttributes_SP_SKU",$F3318,E$1)</f>
        <v>BREAD</v>
      </c>
      <c r="F3318" s="26" t="s">
        <v>3164</v>
      </c>
      <c r="G3318" s="26" t="s">
        <v>2601</v>
      </c>
      <c r="H3318" s="26" t="s">
        <v>2939</v>
      </c>
      <c r="I3318" s="54">
        <f>_xll.DBRW($A$1,$F$14,$F$15,$C3318,$A$2,$F3318,$G3318,$H3318,I$1)</f>
        <v>40</v>
      </c>
      <c r="J3318" s="25">
        <f>_xll.DBRW($A$1,$F$14,$F$15,$C3318,$A$2,$F3318,$G3318,$H3318,J$19)</f>
        <v>40</v>
      </c>
    </row>
    <row r="3319" spans="1:10" s="23" customFormat="1" outlineLevel="1" thickBot="1" x14ac:dyDescent="0.3">
      <c r="A3319" s="44"/>
      <c r="B3319" s="31" t="str">
        <f>IF(_xll.TM1RPTELISCONSOLIDATED($H$20,$H3319),IF(_xll.TM1RPTELLEV($H$20,$H3319)&lt;=5,_xll.TM1RPTELLEV($H$20,$H3319),"Default"),"Leaf")</f>
        <v>Leaf</v>
      </c>
      <c r="C3319" s="26" t="s">
        <v>27</v>
      </c>
      <c r="D3319" s="24" t="str">
        <f>_xll.DBRW("TM1-S1_DEV:}ElementAttributes_SP_SKU",$F3319,D$1)</f>
        <v>Primary</v>
      </c>
      <c r="E3319" s="24" t="str">
        <f>_xll.DBRW("TM1-S1_DEV:}ElementAttributes_SP_SKU",$F3319,E$1)</f>
        <v>BREAD</v>
      </c>
      <c r="F3319" s="26" t="s">
        <v>3165</v>
      </c>
      <c r="G3319" s="26" t="s">
        <v>2435</v>
      </c>
      <c r="H3319" s="26" t="s">
        <v>2688</v>
      </c>
      <c r="I3319" s="54">
        <f>_xll.DBRW($A$1,$F$14,$F$15,$C3319,$A$2,$F3319,$G3319,$H3319,I$1)</f>
        <v>266</v>
      </c>
      <c r="J3319" s="25">
        <f>_xll.DBRW($A$1,$F$14,$F$15,$C3319,$A$2,$F3319,$G3319,$H3319,J$19)</f>
        <v>91</v>
      </c>
    </row>
    <row r="3320" spans="1:10" s="23" customFormat="1" outlineLevel="1" thickBot="1" x14ac:dyDescent="0.3">
      <c r="A3320" s="44"/>
      <c r="B3320" s="31" t="str">
        <f>IF(_xll.TM1RPTELISCONSOLIDATED($H$20,$H3320),IF(_xll.TM1RPTELLEV($H$20,$H3320)&lt;=5,_xll.TM1RPTELLEV($H$20,$H3320),"Default"),"Leaf")</f>
        <v>Leaf</v>
      </c>
      <c r="C3320" s="26" t="s">
        <v>27</v>
      </c>
      <c r="D3320" s="24" t="str">
        <f>_xll.DBRW("TM1-S1_DEV:}ElementAttributes_SP_SKU",$F3320,D$1)</f>
        <v>Primary</v>
      </c>
      <c r="E3320" s="24" t="str">
        <f>_xll.DBRW("TM1-S1_DEV:}ElementAttributes_SP_SKU",$F3320,E$1)</f>
        <v>BREAD</v>
      </c>
      <c r="F3320" s="26" t="s">
        <v>3166</v>
      </c>
      <c r="G3320" s="26" t="s">
        <v>2436</v>
      </c>
      <c r="H3320" s="26" t="s">
        <v>2689</v>
      </c>
      <c r="I3320" s="54">
        <f>_xll.DBRW($A$1,$F$14,$F$15,$C3320,$A$2,$F3320,$G3320,$H3320,I$1)</f>
        <v>78</v>
      </c>
      <c r="J3320" s="25">
        <f>_xll.DBRW($A$1,$F$14,$F$15,$C3320,$A$2,$F3320,$G3320,$H3320,J$19)</f>
        <v>51</v>
      </c>
    </row>
    <row r="3321" spans="1:10" s="23" customFormat="1" outlineLevel="1" thickBot="1" x14ac:dyDescent="0.3">
      <c r="A3321" s="44"/>
      <c r="B3321" s="31" t="str">
        <f>IF(_xll.TM1RPTELISCONSOLIDATED($H$20,$H3321),IF(_xll.TM1RPTELLEV($H$20,$H3321)&lt;=5,_xll.TM1RPTELLEV($H$20,$H3321),"Default"),"Leaf")</f>
        <v>Leaf</v>
      </c>
      <c r="C3321" s="26" t="s">
        <v>27</v>
      </c>
      <c r="D3321" s="24" t="str">
        <f>_xll.DBRW("TM1-S1_DEV:}ElementAttributes_SP_SKU",$F3321,D$1)</f>
        <v>Primary</v>
      </c>
      <c r="E3321" s="24" t="str">
        <f>_xll.DBRW("TM1-S1_DEV:}ElementAttributes_SP_SKU",$F3321,E$1)</f>
        <v>BREAD</v>
      </c>
      <c r="F3321" s="26" t="s">
        <v>3167</v>
      </c>
      <c r="G3321" s="26" t="s">
        <v>2437</v>
      </c>
      <c r="H3321" s="26" t="s">
        <v>2688</v>
      </c>
      <c r="I3321" s="54">
        <f>_xll.DBRW($A$1,$F$14,$F$15,$C3321,$A$2,$F3321,$G3321,$H3321,I$1)</f>
        <v>78</v>
      </c>
      <c r="J3321" s="25">
        <f>_xll.DBRW($A$1,$F$14,$F$15,$C3321,$A$2,$F3321,$G3321,$H3321,J$19)</f>
        <v>55</v>
      </c>
    </row>
    <row r="3322" spans="1:10" s="23" customFormat="1" outlineLevel="1" thickBot="1" x14ac:dyDescent="0.3">
      <c r="A3322" s="44"/>
      <c r="B3322" s="31" t="str">
        <f>IF(_xll.TM1RPTELISCONSOLIDATED($H$20,$H3322),IF(_xll.TM1RPTELLEV($H$20,$H3322)&lt;=5,_xll.TM1RPTELLEV($H$20,$H3322),"Default"),"Leaf")</f>
        <v>Leaf</v>
      </c>
      <c r="C3322" s="26" t="s">
        <v>27</v>
      </c>
      <c r="D3322" s="24" t="str">
        <f>_xll.DBRW("TM1-S1_DEV:}ElementAttributes_SP_SKU",$F3322,D$1)</f>
        <v>Primary</v>
      </c>
      <c r="E3322" s="24" t="str">
        <f>_xll.DBRW("TM1-S1_DEV:}ElementAttributes_SP_SKU",$F3322,E$1)</f>
        <v>BREAD</v>
      </c>
      <c r="F3322" s="26" t="s">
        <v>3168</v>
      </c>
      <c r="G3322" s="26" t="s">
        <v>2438</v>
      </c>
      <c r="H3322" s="26" t="s">
        <v>2688</v>
      </c>
      <c r="I3322" s="54">
        <f>_xll.DBRW($A$1,$F$14,$F$15,$C3322,$A$2,$F3322,$G3322,$H3322,I$1)</f>
        <v>120</v>
      </c>
      <c r="J3322" s="25">
        <f>_xll.DBRW($A$1,$F$14,$F$15,$C3322,$A$2,$F3322,$G3322,$H3322,J$19)</f>
        <v>99</v>
      </c>
    </row>
    <row r="3323" spans="1:10" s="23" customFormat="1" outlineLevel="1" thickBot="1" x14ac:dyDescent="0.3">
      <c r="A3323" s="44"/>
      <c r="B3323" s="31" t="str">
        <f>IF(_xll.TM1RPTELISCONSOLIDATED($H$20,$H3323),IF(_xll.TM1RPTELLEV($H$20,$H3323)&lt;=5,_xll.TM1RPTELLEV($H$20,$H3323),"Default"),"Leaf")</f>
        <v>Leaf</v>
      </c>
      <c r="C3323" s="26" t="s">
        <v>27</v>
      </c>
      <c r="D3323" s="24" t="str">
        <f>_xll.DBRW("TM1-S1_DEV:}ElementAttributes_SP_SKU",$F3323,D$1)</f>
        <v>Primary</v>
      </c>
      <c r="E3323" s="24" t="str">
        <f>_xll.DBRW("TM1-S1_DEV:}ElementAttributes_SP_SKU",$F3323,E$1)</f>
        <v>BREAD</v>
      </c>
      <c r="F3323" s="26" t="s">
        <v>3169</v>
      </c>
      <c r="G3323" s="26" t="s">
        <v>2439</v>
      </c>
      <c r="H3323" s="26" t="s">
        <v>2690</v>
      </c>
      <c r="I3323" s="54">
        <f>_xll.DBRW($A$1,$F$14,$F$15,$C3323,$A$2,$F3323,$G3323,$H3323,I$1)</f>
        <v>64</v>
      </c>
      <c r="J3323" s="25">
        <f>_xll.DBRW($A$1,$F$14,$F$15,$C3323,$A$2,$F3323,$G3323,$H3323,J$19)</f>
        <v>40</v>
      </c>
    </row>
    <row r="3324" spans="1:10" s="23" customFormat="1" outlineLevel="1" thickBot="1" x14ac:dyDescent="0.3">
      <c r="A3324" s="44"/>
      <c r="B3324" s="31" t="str">
        <f>IF(_xll.TM1RPTELISCONSOLIDATED($H$20,$H3324),IF(_xll.TM1RPTELLEV($H$20,$H3324)&lt;=5,_xll.TM1RPTELLEV($H$20,$H3324),"Default"),"Leaf")</f>
        <v>Leaf</v>
      </c>
      <c r="C3324" s="26" t="s">
        <v>27</v>
      </c>
      <c r="D3324" s="24" t="str">
        <f>_xll.DBRW("TM1-S1_DEV:}ElementAttributes_SP_SKU",$F3324,D$1)</f>
        <v>Primary</v>
      </c>
      <c r="E3324" s="24" t="str">
        <f>_xll.DBRW("TM1-S1_DEV:}ElementAttributes_SP_SKU",$F3324,E$1)</f>
        <v>BREAD</v>
      </c>
      <c r="F3324" s="26" t="s">
        <v>3170</v>
      </c>
      <c r="G3324" s="26" t="s">
        <v>2573</v>
      </c>
      <c r="H3324" s="26" t="s">
        <v>2690</v>
      </c>
      <c r="I3324" s="54">
        <f>_xll.DBRW($A$1,$F$14,$F$15,$C3324,$A$2,$F3324,$G3324,$H3324,I$1)</f>
        <v>18</v>
      </c>
      <c r="J3324" s="25">
        <f>_xll.DBRW($A$1,$F$14,$F$15,$C3324,$A$2,$F3324,$G3324,$H3324,J$19)</f>
        <v>14</v>
      </c>
    </row>
    <row r="3325" spans="1:10" s="23" customFormat="1" outlineLevel="1" thickBot="1" x14ac:dyDescent="0.3">
      <c r="A3325" s="44"/>
      <c r="B3325" s="31" t="str">
        <f>IF(_xll.TM1RPTELISCONSOLIDATED($H$20,$H3325),IF(_xll.TM1RPTELLEV($H$20,$H3325)&lt;=5,_xll.TM1RPTELLEV($H$20,$H3325),"Default"),"Leaf")</f>
        <v>Leaf</v>
      </c>
      <c r="C3325" s="26" t="s">
        <v>27</v>
      </c>
      <c r="D3325" s="24" t="str">
        <f>_xll.DBRW("TM1-S1_DEV:}ElementAttributes_SP_SKU",$F3325,D$1)</f>
        <v>Primary</v>
      </c>
      <c r="E3325" s="24" t="str">
        <f>_xll.DBRW("TM1-S1_DEV:}ElementAttributes_SP_SKU",$F3325,E$1)</f>
        <v>BREAD</v>
      </c>
      <c r="F3325" s="26" t="s">
        <v>3171</v>
      </c>
      <c r="G3325" s="26" t="s">
        <v>2440</v>
      </c>
      <c r="H3325" s="26" t="s">
        <v>2690</v>
      </c>
      <c r="I3325" s="54">
        <f>_xll.DBRW($A$1,$F$14,$F$15,$C3325,$A$2,$F3325,$G3325,$H3325,I$1)</f>
        <v>17</v>
      </c>
      <c r="J3325" s="25">
        <f>_xll.DBRW($A$1,$F$14,$F$15,$C3325,$A$2,$F3325,$G3325,$H3325,J$19)</f>
        <v>12</v>
      </c>
    </row>
    <row r="3326" spans="1:10" s="23" customFormat="1" outlineLevel="1" thickBot="1" x14ac:dyDescent="0.3">
      <c r="A3326" s="44"/>
      <c r="B3326" s="31" t="str">
        <f>IF(_xll.TM1RPTELISCONSOLIDATED($H$20,$H3326),IF(_xll.TM1RPTELLEV($H$20,$H3326)&lt;=5,_xll.TM1RPTELLEV($H$20,$H3326),"Default"),"Leaf")</f>
        <v>Leaf</v>
      </c>
      <c r="C3326" s="26" t="s">
        <v>27</v>
      </c>
      <c r="D3326" s="24" t="str">
        <f>_xll.DBRW("TM1-S1_DEV:}ElementAttributes_SP_SKU",$F3326,D$1)</f>
        <v>Primary</v>
      </c>
      <c r="E3326" s="24" t="str">
        <f>_xll.DBRW("TM1-S1_DEV:}ElementAttributes_SP_SKU",$F3326,E$1)</f>
        <v>BREAD</v>
      </c>
      <c r="F3326" s="26" t="s">
        <v>3172</v>
      </c>
      <c r="G3326" s="26" t="s">
        <v>2574</v>
      </c>
      <c r="H3326" s="26" t="s">
        <v>2690</v>
      </c>
      <c r="I3326" s="54">
        <f>_xll.DBRW($A$1,$F$14,$F$15,$C3326,$A$2,$F3326,$G3326,$H3326,I$1)</f>
        <v>18</v>
      </c>
      <c r="J3326" s="25">
        <f>_xll.DBRW($A$1,$F$14,$F$15,$C3326,$A$2,$F3326,$G3326,$H3326,J$19)</f>
        <v>15</v>
      </c>
    </row>
    <row r="3327" spans="1:10" s="23" customFormat="1" outlineLevel="1" thickBot="1" x14ac:dyDescent="0.3">
      <c r="A3327" s="44"/>
      <c r="B3327" s="31" t="str">
        <f>IF(_xll.TM1RPTELISCONSOLIDATED($H$20,$H3327),IF(_xll.TM1RPTELLEV($H$20,$H3327)&lt;=5,_xll.TM1RPTELLEV($H$20,$H3327),"Default"),"Leaf")</f>
        <v>Leaf</v>
      </c>
      <c r="C3327" s="26" t="s">
        <v>27</v>
      </c>
      <c r="D3327" s="24" t="str">
        <f>_xll.DBRW("TM1-S1_DEV:}ElementAttributes_SP_SKU",$F3327,D$1)</f>
        <v>Primary</v>
      </c>
      <c r="E3327" s="24" t="str">
        <f>_xll.DBRW("TM1-S1_DEV:}ElementAttributes_SP_SKU",$F3327,E$1)</f>
        <v>BREAD</v>
      </c>
      <c r="F3327" s="26" t="s">
        <v>3252</v>
      </c>
      <c r="G3327" s="26" t="s">
        <v>2441</v>
      </c>
      <c r="H3327" s="26" t="s">
        <v>2691</v>
      </c>
      <c r="I3327" s="54">
        <f>_xll.DBRW($A$1,$F$14,$F$15,$C3327,$A$2,$F3327,$G3327,$H3327,I$1)</f>
        <v>22</v>
      </c>
      <c r="J3327" s="25">
        <f>_xll.DBRW($A$1,$F$14,$F$15,$C3327,$A$2,$F3327,$G3327,$H3327,J$19)</f>
        <v>22</v>
      </c>
    </row>
    <row r="3328" spans="1:10" s="23" customFormat="1" outlineLevel="1" thickBot="1" x14ac:dyDescent="0.3">
      <c r="A3328" s="44"/>
      <c r="B3328" s="31" t="str">
        <f>IF(_xll.TM1RPTELISCONSOLIDATED($H$20,$H3328),IF(_xll.TM1RPTELLEV($H$20,$H3328)&lt;=5,_xll.TM1RPTELLEV($H$20,$H3328),"Default"),"Leaf")</f>
        <v>Leaf</v>
      </c>
      <c r="C3328" s="26" t="s">
        <v>27</v>
      </c>
      <c r="D3328" s="24" t="str">
        <f>_xll.DBRW("TM1-S1_DEV:}ElementAttributes_SP_SKU",$F3328,D$1)</f>
        <v>Primary</v>
      </c>
      <c r="E3328" s="24" t="str">
        <f>_xll.DBRW("TM1-S1_DEV:}ElementAttributes_SP_SKU",$F3328,E$1)</f>
        <v>CHIPS</v>
      </c>
      <c r="F3328" s="26" t="s">
        <v>301</v>
      </c>
      <c r="G3328" s="26" t="s">
        <v>2442</v>
      </c>
      <c r="H3328" s="26" t="s">
        <v>2717</v>
      </c>
      <c r="I3328" s="54">
        <f>_xll.DBRW($A$1,$F$14,$F$15,$C3328,$A$2,$F3328,$G3328,$H3328,I$1)</f>
        <v>43</v>
      </c>
      <c r="J3328" s="25">
        <f>_xll.DBRW($A$1,$F$14,$F$15,$C3328,$A$2,$F3328,$G3328,$H3328,J$19)</f>
        <v>43</v>
      </c>
    </row>
    <row r="3329" spans="1:10" s="23" customFormat="1" outlineLevel="1" thickBot="1" x14ac:dyDescent="0.3">
      <c r="A3329" s="44"/>
      <c r="B3329" s="31" t="str">
        <f>IF(_xll.TM1RPTELISCONSOLIDATED($H$20,$H3329),IF(_xll.TM1RPTELLEV($H$20,$H3329)&lt;=5,_xll.TM1RPTELLEV($H$20,$H3329),"Default"),"Leaf")</f>
        <v>Leaf</v>
      </c>
      <c r="C3329" s="26" t="s">
        <v>27</v>
      </c>
      <c r="D3329" s="24" t="str">
        <f>_xll.DBRW("TM1-S1_DEV:}ElementAttributes_SP_SKU",$F3329,D$1)</f>
        <v>Primary</v>
      </c>
      <c r="E3329" s="24" t="str">
        <f>_xll.DBRW("TM1-S1_DEV:}ElementAttributes_SP_SKU",$F3329,E$1)</f>
        <v>CHIPS</v>
      </c>
      <c r="F3329" s="26" t="s">
        <v>3292</v>
      </c>
      <c r="G3329" s="26" t="s">
        <v>2443</v>
      </c>
      <c r="H3329" s="26" t="s">
        <v>2717</v>
      </c>
      <c r="I3329" s="54">
        <f>_xll.DBRW($A$1,$F$14,$F$15,$C3329,$A$2,$F3329,$G3329,$H3329,I$1)</f>
        <v>35</v>
      </c>
      <c r="J3329" s="25">
        <f>_xll.DBRW($A$1,$F$14,$F$15,$C3329,$A$2,$F3329,$G3329,$H3329,J$19)</f>
        <v>31</v>
      </c>
    </row>
    <row r="3330" spans="1:10" s="23" customFormat="1" outlineLevel="1" thickBot="1" x14ac:dyDescent="0.3">
      <c r="A3330" s="44"/>
      <c r="B3330" s="31" t="str">
        <f>IF(_xll.TM1RPTELISCONSOLIDATED($H$20,$H3330),IF(_xll.TM1RPTELLEV($H$20,$H3330)&lt;=5,_xll.TM1RPTELLEV($H$20,$H3330),"Default"),"Leaf")</f>
        <v>Leaf</v>
      </c>
      <c r="C3330" s="26" t="s">
        <v>27</v>
      </c>
      <c r="D3330" s="24" t="str">
        <f>_xll.DBRW("TM1-S1_DEV:}ElementAttributes_SP_SKU",$F3330,D$1)</f>
        <v>Primary</v>
      </c>
      <c r="E3330" s="24" t="str">
        <f>_xll.DBRW("TM1-S1_DEV:}ElementAttributes_SP_SKU",$F3330,E$1)</f>
        <v>CONDIMENT</v>
      </c>
      <c r="F3330" s="26" t="s">
        <v>3174</v>
      </c>
      <c r="G3330" s="26" t="s">
        <v>2444</v>
      </c>
      <c r="H3330" s="26" t="s">
        <v>2684</v>
      </c>
      <c r="I3330" s="54">
        <f>_xll.DBRW($A$1,$F$14,$F$15,$C3330,$A$2,$F3330,$G3330,$H3330,I$1)</f>
        <v>19</v>
      </c>
      <c r="J3330" s="25">
        <f>_xll.DBRW($A$1,$F$14,$F$15,$C3330,$A$2,$F3330,$G3330,$H3330,J$19)</f>
        <v>22</v>
      </c>
    </row>
    <row r="3331" spans="1:10" s="23" customFormat="1" outlineLevel="1" thickBot="1" x14ac:dyDescent="0.3">
      <c r="A3331" s="44"/>
      <c r="B3331" s="31" t="str">
        <f>IF(_xll.TM1RPTELISCONSOLIDATED($H$20,$H3331),IF(_xll.TM1RPTELLEV($H$20,$H3331)&lt;=5,_xll.TM1RPTELLEV($H$20,$H3331),"Default"),"Leaf")</f>
        <v>Leaf</v>
      </c>
      <c r="C3331" s="26" t="s">
        <v>27</v>
      </c>
      <c r="D3331" s="24" t="str">
        <f>_xll.DBRW("TM1-S1_DEV:}ElementAttributes_SP_SKU",$F3331,D$1)</f>
        <v>Primary</v>
      </c>
      <c r="E3331" s="24" t="str">
        <f>_xll.DBRW("TM1-S1_DEV:}ElementAttributes_SP_SKU",$F3331,E$1)</f>
        <v>CONDIMENT</v>
      </c>
      <c r="F3331" s="26" t="s">
        <v>3176</v>
      </c>
      <c r="G3331" s="26" t="s">
        <v>2445</v>
      </c>
      <c r="H3331" s="26" t="s">
        <v>2684</v>
      </c>
      <c r="I3331" s="54">
        <f>_xll.DBRW($A$1,$F$14,$F$15,$C3331,$A$2,$F3331,$G3331,$H3331,I$1)</f>
        <v>12</v>
      </c>
      <c r="J3331" s="25">
        <f>_xll.DBRW($A$1,$F$14,$F$15,$C3331,$A$2,$F3331,$G3331,$H3331,J$19)</f>
        <v>15</v>
      </c>
    </row>
    <row r="3332" spans="1:10" s="23" customFormat="1" outlineLevel="1" thickBot="1" x14ac:dyDescent="0.3">
      <c r="A3332" s="44"/>
      <c r="B3332" s="31" t="str">
        <f>IF(_xll.TM1RPTELISCONSOLIDATED($H$20,$H3332),IF(_xll.TM1RPTELLEV($H$20,$H3332)&lt;=5,_xll.TM1RPTELLEV($H$20,$H3332),"Default"),"Leaf")</f>
        <v>Leaf</v>
      </c>
      <c r="C3332" s="26" t="s">
        <v>27</v>
      </c>
      <c r="D3332" s="24" t="str">
        <f>_xll.DBRW("TM1-S1_DEV:}ElementAttributes_SP_SKU",$F3332,D$1)</f>
        <v>Primary</v>
      </c>
      <c r="E3332" s="24" t="str">
        <f>_xll.DBRW("TM1-S1_DEV:}ElementAttributes_SP_SKU",$F3332,E$1)</f>
        <v>CONDIMENT</v>
      </c>
      <c r="F3332" s="26" t="s">
        <v>3253</v>
      </c>
      <c r="G3332" s="26" t="s">
        <v>2446</v>
      </c>
      <c r="H3332" s="26" t="s">
        <v>2686</v>
      </c>
      <c r="I3332" s="54">
        <f>_xll.DBRW($A$1,$F$14,$F$15,$C3332,$A$2,$F3332,$G3332,$H3332,I$1)</f>
        <v>19</v>
      </c>
      <c r="J3332" s="25">
        <f>_xll.DBRW($A$1,$F$14,$F$15,$C3332,$A$2,$F3332,$G3332,$H3332,J$19)</f>
        <v>27</v>
      </c>
    </row>
    <row r="3333" spans="1:10" s="23" customFormat="1" outlineLevel="1" thickBot="1" x14ac:dyDescent="0.3">
      <c r="A3333" s="44"/>
      <c r="B3333" s="31" t="str">
        <f>IF(_xll.TM1RPTELISCONSOLIDATED($H$20,$H3333),IF(_xll.TM1RPTELLEV($H$20,$H3333)&lt;=5,_xll.TM1RPTELLEV($H$20,$H3333),"Default"),"Leaf")</f>
        <v>Leaf</v>
      </c>
      <c r="C3333" s="26" t="s">
        <v>27</v>
      </c>
      <c r="D3333" s="24" t="str">
        <f>_xll.DBRW("TM1-S1_DEV:}ElementAttributes_SP_SKU",$F3333,D$1)</f>
        <v>Primary</v>
      </c>
      <c r="E3333" s="24" t="str">
        <f>_xll.DBRW("TM1-S1_DEV:}ElementAttributes_SP_SKU",$F3333,E$1)</f>
        <v>INGREDIENT</v>
      </c>
      <c r="F3333" s="26" t="s">
        <v>3177</v>
      </c>
      <c r="G3333" s="26" t="s">
        <v>2447</v>
      </c>
      <c r="H3333" s="26" t="s">
        <v>2686</v>
      </c>
      <c r="I3333" s="54">
        <f>_xll.DBRW($A$1,$F$14,$F$15,$C3333,$A$2,$F3333,$G3333,$H3333,I$1)</f>
        <v>10</v>
      </c>
      <c r="J3333" s="25">
        <f>_xll.DBRW($A$1,$F$14,$F$15,$C3333,$A$2,$F3333,$G3333,$H3333,J$19)</f>
        <v>15</v>
      </c>
    </row>
    <row r="3334" spans="1:10" s="23" customFormat="1" outlineLevel="1" thickBot="1" x14ac:dyDescent="0.3">
      <c r="A3334" s="44"/>
      <c r="B3334" s="31" t="str">
        <f>IF(_xll.TM1RPTELISCONSOLIDATED($H$20,$H3334),IF(_xll.TM1RPTELLEV($H$20,$H3334)&lt;=5,_xll.TM1RPTELLEV($H$20,$H3334),"Default"),"Leaf")</f>
        <v>Leaf</v>
      </c>
      <c r="C3334" s="26" t="s">
        <v>27</v>
      </c>
      <c r="D3334" s="24" t="str">
        <f>_xll.DBRW("TM1-S1_DEV:}ElementAttributes_SP_SKU",$F3334,D$1)</f>
        <v>Primary</v>
      </c>
      <c r="E3334" s="24" t="str">
        <f>_xll.DBRW("TM1-S1_DEV:}ElementAttributes_SP_SKU",$F3334,E$1)</f>
        <v>CONDIMENT</v>
      </c>
      <c r="F3334" s="26" t="s">
        <v>3178</v>
      </c>
      <c r="G3334" s="26" t="s">
        <v>2448</v>
      </c>
      <c r="H3334" s="26" t="s">
        <v>2684</v>
      </c>
      <c r="I3334" s="54">
        <f>_xll.DBRW($A$1,$F$14,$F$15,$C3334,$A$2,$F3334,$G3334,$H3334,I$1)</f>
        <v>11</v>
      </c>
      <c r="J3334" s="25">
        <f>_xll.DBRW($A$1,$F$14,$F$15,$C3334,$A$2,$F3334,$G3334,$H3334,J$19)</f>
        <v>11</v>
      </c>
    </row>
    <row r="3335" spans="1:10" s="23" customFormat="1" outlineLevel="1" thickBot="1" x14ac:dyDescent="0.3">
      <c r="A3335" s="44"/>
      <c r="B3335" s="31" t="str">
        <f>IF(_xll.TM1RPTELISCONSOLIDATED($H$20,$H3335),IF(_xll.TM1RPTELLEV($H$20,$H3335)&lt;=5,_xll.TM1RPTELLEV($H$20,$H3335),"Default"),"Leaf")</f>
        <v>Leaf</v>
      </c>
      <c r="C3335" s="26" t="s">
        <v>27</v>
      </c>
      <c r="D3335" s="24" t="str">
        <f>_xll.DBRW("TM1-S1_DEV:}ElementAttributes_SP_SKU",$F3335,D$1)</f>
        <v>Primary</v>
      </c>
      <c r="E3335" s="24" t="str">
        <f>_xll.DBRW("TM1-S1_DEV:}ElementAttributes_SP_SKU",$F3335,E$1)</f>
        <v>CONDIMENT</v>
      </c>
      <c r="F3335" s="26" t="s">
        <v>3179</v>
      </c>
      <c r="G3335" s="26" t="s">
        <v>2449</v>
      </c>
      <c r="H3335" s="26" t="s">
        <v>2684</v>
      </c>
      <c r="I3335" s="54">
        <f>_xll.DBRW($A$1,$F$14,$F$15,$C3335,$A$2,$F3335,$G3335,$H3335,I$1)</f>
        <v>24</v>
      </c>
      <c r="J3335" s="25">
        <f>_xll.DBRW($A$1,$F$14,$F$15,$C3335,$A$2,$F3335,$G3335,$H3335,J$19)</f>
        <v>24</v>
      </c>
    </row>
    <row r="3336" spans="1:10" s="23" customFormat="1" outlineLevel="1" thickBot="1" x14ac:dyDescent="0.3">
      <c r="A3336" s="44"/>
      <c r="B3336" s="31" t="str">
        <f>IF(_xll.TM1RPTELISCONSOLIDATED($H$20,$H3336),IF(_xll.TM1RPTELLEV($H$20,$H3336)&lt;=5,_xll.TM1RPTELLEV($H$20,$H3336),"Default"),"Leaf")</f>
        <v>Leaf</v>
      </c>
      <c r="C3336" s="26" t="s">
        <v>27</v>
      </c>
      <c r="D3336" s="24" t="str">
        <f>_xll.DBRW("TM1-S1_DEV:}ElementAttributes_SP_SKU",$F3336,D$1)</f>
        <v>Primary</v>
      </c>
      <c r="E3336" s="24" t="str">
        <f>_xll.DBRW("TM1-S1_DEV:}ElementAttributes_SP_SKU",$F3336,E$1)</f>
        <v>CHIPS</v>
      </c>
      <c r="F3336" s="26" t="s">
        <v>3308</v>
      </c>
      <c r="G3336" s="26" t="s">
        <v>2450</v>
      </c>
      <c r="H3336" s="26" t="s">
        <v>2717</v>
      </c>
      <c r="I3336" s="54">
        <f>_xll.DBRW($A$1,$F$14,$F$15,$C3336,$A$2,$F3336,$G3336,$H3336,I$1)</f>
        <v>32</v>
      </c>
      <c r="J3336" s="25">
        <f>_xll.DBRW($A$1,$F$14,$F$15,$C3336,$A$2,$F3336,$G3336,$H3336,J$19)</f>
        <v>28</v>
      </c>
    </row>
    <row r="3337" spans="1:10" s="23" customFormat="1" outlineLevel="1" thickBot="1" x14ac:dyDescent="0.3">
      <c r="A3337" s="44"/>
      <c r="B3337" s="31" t="str">
        <f>IF(_xll.TM1RPTELISCONSOLIDATED($H$20,$H3337),IF(_xll.TM1RPTELLEV($H$20,$H3337)&lt;=5,_xll.TM1RPTELLEV($H$20,$H3337),"Default"),"Leaf")</f>
        <v>Leaf</v>
      </c>
      <c r="C3337" s="26" t="s">
        <v>27</v>
      </c>
      <c r="D3337" s="24" t="str">
        <f>_xll.DBRW("TM1-S1_DEV:}ElementAttributes_SP_SKU",$F3337,D$1)</f>
        <v>Primary</v>
      </c>
      <c r="E3337" s="24" t="str">
        <f>_xll.DBRW("TM1-S1_DEV:}ElementAttributes_SP_SKU",$F3337,E$1)</f>
        <v>COOKIE</v>
      </c>
      <c r="F3337" s="26" t="s">
        <v>3180</v>
      </c>
      <c r="G3337" s="26" t="s">
        <v>2451</v>
      </c>
      <c r="H3337" s="26" t="s">
        <v>2691</v>
      </c>
      <c r="I3337" s="54">
        <f>_xll.DBRW($A$1,$F$14,$F$15,$C3337,$A$2,$F3337,$G3337,$H3337,I$1)</f>
        <v>22</v>
      </c>
      <c r="J3337" s="25">
        <f>_xll.DBRW($A$1,$F$14,$F$15,$C3337,$A$2,$F3337,$G3337,$H3337,J$19)</f>
        <v>36</v>
      </c>
    </row>
    <row r="3338" spans="1:10" s="23" customFormat="1" outlineLevel="1" thickBot="1" x14ac:dyDescent="0.3">
      <c r="A3338" s="44"/>
      <c r="B3338" s="31" t="str">
        <f>IF(_xll.TM1RPTELISCONSOLIDATED($H$20,$H3338),IF(_xll.TM1RPTELLEV($H$20,$H3338)&lt;=5,_xll.TM1RPTELLEV($H$20,$H3338),"Default"),"Leaf")</f>
        <v>Leaf</v>
      </c>
      <c r="C3338" s="26" t="s">
        <v>27</v>
      </c>
      <c r="D3338" s="24" t="str">
        <f>_xll.DBRW("TM1-S1_DEV:}ElementAttributes_SP_SKU",$F3338,D$1)</f>
        <v>Primary</v>
      </c>
      <c r="E3338" s="24" t="str">
        <f>_xll.DBRW("TM1-S1_DEV:}ElementAttributes_SP_SKU",$F3338,E$1)</f>
        <v>COOKIE</v>
      </c>
      <c r="F3338" s="26" t="s">
        <v>3181</v>
      </c>
      <c r="G3338" s="26" t="s">
        <v>2452</v>
      </c>
      <c r="H3338" s="26" t="s">
        <v>2691</v>
      </c>
      <c r="I3338" s="54">
        <f>_xll.DBRW($A$1,$F$14,$F$15,$C3338,$A$2,$F3338,$G3338,$H3338,I$1)</f>
        <v>24</v>
      </c>
      <c r="J3338" s="25">
        <f>_xll.DBRW($A$1,$F$14,$F$15,$C3338,$A$2,$F3338,$G3338,$H3338,J$19)</f>
        <v>38</v>
      </c>
    </row>
    <row r="3339" spans="1:10" s="23" customFormat="1" outlineLevel="1" thickBot="1" x14ac:dyDescent="0.3">
      <c r="A3339" s="44"/>
      <c r="B3339" s="31" t="str">
        <f>IF(_xll.TM1RPTELISCONSOLIDATED($H$20,$H3339),IF(_xll.TM1RPTELLEV($H$20,$H3339)&lt;=5,_xll.TM1RPTELLEV($H$20,$H3339),"Default"),"Leaf")</f>
        <v>Leaf</v>
      </c>
      <c r="C3339" s="26" t="s">
        <v>27</v>
      </c>
      <c r="D3339" s="24" t="str">
        <f>_xll.DBRW("TM1-S1_DEV:}ElementAttributes_SP_SKU",$F3339,D$1)</f>
        <v>Primary</v>
      </c>
      <c r="E3339" s="24" t="str">
        <f>_xll.DBRW("TM1-S1_DEV:}ElementAttributes_SP_SKU",$F3339,E$1)</f>
        <v>COOKIE</v>
      </c>
      <c r="F3339" s="26" t="s">
        <v>3182</v>
      </c>
      <c r="G3339" s="26" t="s">
        <v>2453</v>
      </c>
      <c r="H3339" s="26" t="s">
        <v>2691</v>
      </c>
      <c r="I3339" s="54">
        <f>_xll.DBRW($A$1,$F$14,$F$15,$C3339,$A$2,$F3339,$G3339,$H3339,I$1)</f>
        <v>16</v>
      </c>
      <c r="J3339" s="25">
        <f>_xll.DBRW($A$1,$F$14,$F$15,$C3339,$A$2,$F3339,$G3339,$H3339,J$19)</f>
        <v>24</v>
      </c>
    </row>
    <row r="3340" spans="1:10" s="23" customFormat="1" outlineLevel="1" thickBot="1" x14ac:dyDescent="0.3">
      <c r="A3340" s="44"/>
      <c r="B3340" s="31" t="str">
        <f>IF(_xll.TM1RPTELISCONSOLIDATED($H$20,$H3340),IF(_xll.TM1RPTELLEV($H$20,$H3340)&lt;=5,_xll.TM1RPTELLEV($H$20,$H3340),"Default"),"Leaf")</f>
        <v>Leaf</v>
      </c>
      <c r="C3340" s="26" t="s">
        <v>27</v>
      </c>
      <c r="D3340" s="24" t="str">
        <f>_xll.DBRW("TM1-S1_DEV:}ElementAttributes_SP_SKU",$F3340,D$1)</f>
        <v>Primary</v>
      </c>
      <c r="E3340" s="24" t="str">
        <f>_xll.DBRW("TM1-S1_DEV:}ElementAttributes_SP_SKU",$F3340,E$1)</f>
        <v>COOKIE</v>
      </c>
      <c r="F3340" s="26" t="s">
        <v>3183</v>
      </c>
      <c r="G3340" s="26" t="s">
        <v>2454</v>
      </c>
      <c r="H3340" s="26" t="s">
        <v>2691</v>
      </c>
      <c r="I3340" s="54">
        <f>_xll.DBRW($A$1,$F$14,$F$15,$C3340,$A$2,$F3340,$G3340,$H3340,I$1)</f>
        <v>37</v>
      </c>
      <c r="J3340" s="25">
        <f>_xll.DBRW($A$1,$F$14,$F$15,$C3340,$A$2,$F3340,$G3340,$H3340,J$19)</f>
        <v>30</v>
      </c>
    </row>
    <row r="3341" spans="1:10" s="23" customFormat="1" outlineLevel="1" thickBot="1" x14ac:dyDescent="0.3">
      <c r="A3341" s="44"/>
      <c r="B3341" s="31" t="str">
        <f>IF(_xll.TM1RPTELISCONSOLIDATED($H$20,$H3341),IF(_xll.TM1RPTELLEV($H$20,$H3341)&lt;=5,_xll.TM1RPTELLEV($H$20,$H3341),"Default"),"Leaf")</f>
        <v>Leaf</v>
      </c>
      <c r="C3341" s="26" t="s">
        <v>27</v>
      </c>
      <c r="D3341" s="24" t="str">
        <f>_xll.DBRW("TM1-S1_DEV:}ElementAttributes_SP_SKU",$F3341,D$1)</f>
        <v>Primary</v>
      </c>
      <c r="E3341" s="24" t="str">
        <f>_xll.DBRW("TM1-S1_DEV:}ElementAttributes_SP_SKU",$F3341,E$1)</f>
        <v>SOUP</v>
      </c>
      <c r="F3341" s="26" t="s">
        <v>3184</v>
      </c>
      <c r="G3341" s="26" t="s">
        <v>2602</v>
      </c>
      <c r="H3341" s="26" t="s">
        <v>2675</v>
      </c>
      <c r="I3341" s="54">
        <f>_xll.DBRW($A$1,$F$14,$F$15,$C3341,$A$2,$F3341,$G3341,$H3341,I$1)</f>
        <v>7</v>
      </c>
      <c r="J3341" s="25">
        <f>_xll.DBRW($A$1,$F$14,$F$15,$C3341,$A$2,$F3341,$G3341,$H3341,J$19)</f>
        <v>7</v>
      </c>
    </row>
    <row r="3342" spans="1:10" s="23" customFormat="1" outlineLevel="1" thickBot="1" x14ac:dyDescent="0.3">
      <c r="A3342" s="44"/>
      <c r="B3342" s="31" t="str">
        <f>IF(_xll.TM1RPTELISCONSOLIDATED($H$20,$H3342),IF(_xll.TM1RPTELLEV($H$20,$H3342)&lt;=5,_xll.TM1RPTELLEV($H$20,$H3342),"Default"),"Leaf")</f>
        <v>Leaf</v>
      </c>
      <c r="C3342" s="26" t="s">
        <v>27</v>
      </c>
      <c r="D3342" s="24" t="str">
        <f>_xll.DBRW("TM1-S1_DEV:}ElementAttributes_SP_SKU",$F3342,D$1)</f>
        <v>Primary</v>
      </c>
      <c r="E3342" s="24" t="str">
        <f>_xll.DBRW("TM1-S1_DEV:}ElementAttributes_SP_SKU",$F3342,E$1)</f>
        <v>INGREDIENT</v>
      </c>
      <c r="F3342" s="26" t="s">
        <v>3185</v>
      </c>
      <c r="G3342" s="26" t="s">
        <v>2455</v>
      </c>
      <c r="H3342" s="26" t="s">
        <v>2693</v>
      </c>
      <c r="I3342" s="54">
        <f>_xll.DBRW($A$1,$F$14,$F$15,$C3342,$A$2,$F3342,$G3342,$H3342,I$1)</f>
        <v>12</v>
      </c>
      <c r="J3342" s="25">
        <f>_xll.DBRW($A$1,$F$14,$F$15,$C3342,$A$2,$F3342,$G3342,$H3342,J$19)</f>
        <v>38</v>
      </c>
    </row>
    <row r="3343" spans="1:10" s="23" customFormat="1" outlineLevel="1" thickBot="1" x14ac:dyDescent="0.3">
      <c r="A3343" s="44"/>
      <c r="B3343" s="31" t="str">
        <f>IF(_xll.TM1RPTELISCONSOLIDATED($H$20,$H3343),IF(_xll.TM1RPTELLEV($H$20,$H3343)&lt;=5,_xll.TM1RPTELLEV($H$20,$H3343),"Default"),"Leaf")</f>
        <v>Leaf</v>
      </c>
      <c r="C3343" s="26" t="s">
        <v>27</v>
      </c>
      <c r="D3343" s="24" t="str">
        <f>_xll.DBRW("TM1-S1_DEV:}ElementAttributes_SP_SKU",$F3343,D$1)</f>
        <v>Primary</v>
      </c>
      <c r="E3343" s="24" t="str">
        <f>_xll.DBRW("TM1-S1_DEV:}ElementAttributes_SP_SKU",$F3343,E$1)</f>
        <v>INGREDIENT</v>
      </c>
      <c r="F3343" s="26" t="s">
        <v>3186</v>
      </c>
      <c r="G3343" s="26" t="s">
        <v>2456</v>
      </c>
      <c r="H3343" s="26" t="s">
        <v>2694</v>
      </c>
      <c r="I3343" s="54">
        <f>_xll.DBRW($A$1,$F$14,$F$15,$C3343,$A$2,$F3343,$G3343,$H3343,I$1)</f>
        <v>4</v>
      </c>
      <c r="J3343" s="25">
        <f>_xll.DBRW($A$1,$F$14,$F$15,$C3343,$A$2,$F3343,$G3343,$H3343,J$19)</f>
        <v>4</v>
      </c>
    </row>
    <row r="3344" spans="1:10" s="23" customFormat="1" outlineLevel="1" thickBot="1" x14ac:dyDescent="0.3">
      <c r="A3344" s="44"/>
      <c r="B3344" s="31" t="str">
        <f>IF(_xll.TM1RPTELISCONSOLIDATED($H$20,$H3344),IF(_xll.TM1RPTELLEV($H$20,$H3344)&lt;=5,_xll.TM1RPTELLEV($H$20,$H3344),"Default"),"Leaf")</f>
        <v>Leaf</v>
      </c>
      <c r="C3344" s="26" t="s">
        <v>27</v>
      </c>
      <c r="D3344" s="24" t="str">
        <f>_xll.DBRW("TM1-S1_DEV:}ElementAttributes_SP_SKU",$F3344,D$1)</f>
        <v>Primary</v>
      </c>
      <c r="E3344" s="24" t="str">
        <f>_xll.DBRW("TM1-S1_DEV:}ElementAttributes_SP_SKU",$F3344,E$1)</f>
        <v>INGREDIENT</v>
      </c>
      <c r="F3344" s="26" t="s">
        <v>3187</v>
      </c>
      <c r="G3344" s="26" t="s">
        <v>2457</v>
      </c>
      <c r="H3344" s="26" t="s">
        <v>2695</v>
      </c>
      <c r="I3344" s="54">
        <f>_xll.DBRW($A$1,$F$14,$F$15,$C3344,$A$2,$F3344,$G3344,$H3344,I$1)</f>
        <v>18</v>
      </c>
      <c r="J3344" s="25">
        <f>_xll.DBRW($A$1,$F$14,$F$15,$C3344,$A$2,$F3344,$G3344,$H3344,J$19)</f>
        <v>33</v>
      </c>
    </row>
    <row r="3345" spans="1:10" s="23" customFormat="1" outlineLevel="1" thickBot="1" x14ac:dyDescent="0.3">
      <c r="A3345" s="44"/>
      <c r="B3345" s="31" t="str">
        <f>IF(_xll.TM1RPTELISCONSOLIDATED($H$20,$H3345),IF(_xll.TM1RPTELLEV($H$20,$H3345)&lt;=5,_xll.TM1RPTELLEV($H$20,$H3345),"Default"),"Leaf")</f>
        <v>Leaf</v>
      </c>
      <c r="C3345" s="26" t="s">
        <v>27</v>
      </c>
      <c r="D3345" s="24" t="str">
        <f>_xll.DBRW("TM1-S1_DEV:}ElementAttributes_SP_SKU",$F3345,D$1)</f>
        <v>Primary</v>
      </c>
      <c r="E3345" s="24" t="str">
        <f>_xll.DBRW("TM1-S1_DEV:}ElementAttributes_SP_SKU",$F3345,E$1)</f>
        <v>SIDES</v>
      </c>
      <c r="F3345" s="26" t="s">
        <v>3188</v>
      </c>
      <c r="G3345" s="26" t="s">
        <v>2459</v>
      </c>
      <c r="H3345" s="26" t="s">
        <v>2686</v>
      </c>
      <c r="I3345" s="54">
        <f>_xll.DBRW($A$1,$F$14,$F$15,$C3345,$A$2,$F3345,$G3345,$H3345,I$1)</f>
        <v>13</v>
      </c>
      <c r="J3345" s="25">
        <f>_xll.DBRW($A$1,$F$14,$F$15,$C3345,$A$2,$F3345,$G3345,$H3345,J$19)</f>
        <v>25</v>
      </c>
    </row>
    <row r="3346" spans="1:10" s="23" customFormat="1" outlineLevel="1" thickBot="1" x14ac:dyDescent="0.3">
      <c r="A3346" s="44"/>
      <c r="B3346" s="31" t="str">
        <f>IF(_xll.TM1RPTELISCONSOLIDATED($H$20,$H3346),IF(_xll.TM1RPTELLEV($H$20,$H3346)&lt;=5,_xll.TM1RPTELLEV($H$20,$H3346),"Default"),"Leaf")</f>
        <v>Leaf</v>
      </c>
      <c r="C3346" s="26" t="s">
        <v>27</v>
      </c>
      <c r="D3346" s="24" t="str">
        <f>_xll.DBRW("TM1-S1_DEV:}ElementAttributes_SP_SKU",$F3346,D$1)</f>
        <v>Primary</v>
      </c>
      <c r="E3346" s="24" t="str">
        <f>_xll.DBRW("TM1-S1_DEV:}ElementAttributes_SP_SKU",$F3346,E$1)</f>
        <v>CONDIMENT</v>
      </c>
      <c r="F3346" s="26" t="s">
        <v>3189</v>
      </c>
      <c r="G3346" s="26" t="s">
        <v>2460</v>
      </c>
      <c r="H3346" s="26" t="s">
        <v>2686</v>
      </c>
      <c r="I3346" s="54">
        <f>_xll.DBRW($A$1,$F$14,$F$15,$C3346,$A$2,$F3346,$G3346,$H3346,I$1)</f>
        <v>15</v>
      </c>
      <c r="J3346" s="25">
        <f>_xll.DBRW($A$1,$F$14,$F$15,$C3346,$A$2,$F3346,$G3346,$H3346,J$19)</f>
        <v>23</v>
      </c>
    </row>
    <row r="3347" spans="1:10" s="23" customFormat="1" outlineLevel="1" thickBot="1" x14ac:dyDescent="0.3">
      <c r="A3347" s="44"/>
      <c r="B3347" s="31" t="str">
        <f>IF(_xll.TM1RPTELISCONSOLIDATED($H$20,$H3347),IF(_xll.TM1RPTELLEV($H$20,$H3347)&lt;=5,_xll.TM1RPTELLEV($H$20,$H3347),"Default"),"Leaf")</f>
        <v>Leaf</v>
      </c>
      <c r="C3347" s="26" t="s">
        <v>27</v>
      </c>
      <c r="D3347" s="24" t="str">
        <f>_xll.DBRW("TM1-S1_DEV:}ElementAttributes_SP_SKU",$F3347,D$1)</f>
        <v>Primary</v>
      </c>
      <c r="E3347" s="24" t="str">
        <f>_xll.DBRW("TM1-S1_DEV:}ElementAttributes_SP_SKU",$F3347,E$1)</f>
        <v>INGREDIENT</v>
      </c>
      <c r="F3347" s="26" t="s">
        <v>3190</v>
      </c>
      <c r="G3347" s="26" t="s">
        <v>2461</v>
      </c>
      <c r="H3347" s="26" t="s">
        <v>2696</v>
      </c>
      <c r="I3347" s="54">
        <f>_xll.DBRW($A$1,$F$14,$F$15,$C3347,$A$2,$F3347,$G3347,$H3347,I$1)</f>
        <v>13</v>
      </c>
      <c r="J3347" s="25">
        <f>_xll.DBRW($A$1,$F$14,$F$15,$C3347,$A$2,$F3347,$G3347,$H3347,J$19)</f>
        <v>12</v>
      </c>
    </row>
    <row r="3348" spans="1:10" s="23" customFormat="1" outlineLevel="1" thickBot="1" x14ac:dyDescent="0.3">
      <c r="A3348" s="44"/>
      <c r="B3348" s="31" t="str">
        <f>IF(_xll.TM1RPTELISCONSOLIDATED($H$20,$H3348),IF(_xll.TM1RPTELLEV($H$20,$H3348)&lt;=5,_xll.TM1RPTELLEV($H$20,$H3348),"Default"),"Leaf")</f>
        <v>Leaf</v>
      </c>
      <c r="C3348" s="26" t="s">
        <v>27</v>
      </c>
      <c r="D3348" s="24" t="str">
        <f>_xll.DBRW("TM1-S1_DEV:}ElementAttributes_SP_SKU",$F3348,D$1)</f>
        <v>Primary</v>
      </c>
      <c r="E3348" s="24" t="str">
        <f>_xll.DBRW("TM1-S1_DEV:}ElementAttributes_SP_SKU",$F3348,E$1)</f>
        <v>INGREDIENT</v>
      </c>
      <c r="F3348" s="26" t="s">
        <v>3191</v>
      </c>
      <c r="G3348" s="26" t="s">
        <v>2462</v>
      </c>
      <c r="H3348" s="26" t="s">
        <v>2697</v>
      </c>
      <c r="I3348" s="54">
        <f>_xll.DBRW($A$1,$F$14,$F$15,$C3348,$A$2,$F3348,$G3348,$H3348,I$1)</f>
        <v>16</v>
      </c>
      <c r="J3348" s="25">
        <f>_xll.DBRW($A$1,$F$14,$F$15,$C3348,$A$2,$F3348,$G3348,$H3348,J$19)</f>
        <v>22</v>
      </c>
    </row>
    <row r="3349" spans="1:10" s="23" customFormat="1" outlineLevel="1" thickBot="1" x14ac:dyDescent="0.3">
      <c r="A3349" s="44"/>
      <c r="B3349" s="31" t="str">
        <f>IF(_xll.TM1RPTELISCONSOLIDATED($H$20,$H3349),IF(_xll.TM1RPTELLEV($H$20,$H3349)&lt;=5,_xll.TM1RPTELLEV($H$20,$H3349),"Default"),"Leaf")</f>
        <v>Leaf</v>
      </c>
      <c r="C3349" s="26" t="s">
        <v>27</v>
      </c>
      <c r="D3349" s="24" t="str">
        <f>_xll.DBRW("TM1-S1_DEV:}ElementAttributes_SP_SKU",$F3349,D$1)</f>
        <v>Primary</v>
      </c>
      <c r="E3349" s="24" t="str">
        <f>_xll.DBRW("TM1-S1_DEV:}ElementAttributes_SP_SKU",$F3349,E$1)</f>
        <v>INGREDIENT</v>
      </c>
      <c r="F3349" s="26" t="s">
        <v>3192</v>
      </c>
      <c r="G3349" s="26" t="s">
        <v>2463</v>
      </c>
      <c r="H3349" s="26" t="s">
        <v>2698</v>
      </c>
      <c r="I3349" s="54">
        <f>_xll.DBRW($A$1,$F$14,$F$15,$C3349,$A$2,$F3349,$G3349,$H3349,I$1)</f>
        <v>9</v>
      </c>
      <c r="J3349" s="25">
        <f>_xll.DBRW($A$1,$F$14,$F$15,$C3349,$A$2,$F3349,$G3349,$H3349,J$19)</f>
        <v>9</v>
      </c>
    </row>
    <row r="3350" spans="1:10" s="23" customFormat="1" outlineLevel="1" thickBot="1" x14ac:dyDescent="0.3">
      <c r="A3350" s="44"/>
      <c r="B3350" s="31" t="str">
        <f>IF(_xll.TM1RPTELISCONSOLIDATED($H$20,$H3350),IF(_xll.TM1RPTELLEV($H$20,$H3350)&lt;=5,_xll.TM1RPTELLEV($H$20,$H3350),"Default"),"Leaf")</f>
        <v>Leaf</v>
      </c>
      <c r="C3350" s="26" t="s">
        <v>27</v>
      </c>
      <c r="D3350" s="24" t="str">
        <f>_xll.DBRW("TM1-S1_DEV:}ElementAttributes_SP_SKU",$F3350,D$1)</f>
        <v>Primary</v>
      </c>
      <c r="E3350" s="24" t="str">
        <f>_xll.DBRW("TM1-S1_DEV:}ElementAttributes_SP_SKU",$F3350,E$1)</f>
        <v>INGREDIENT</v>
      </c>
      <c r="F3350" s="26" t="s">
        <v>3193</v>
      </c>
      <c r="G3350" s="26" t="s">
        <v>2464</v>
      </c>
      <c r="H3350" s="26" t="s">
        <v>2699</v>
      </c>
      <c r="I3350" s="54">
        <f>_xll.DBRW($A$1,$F$14,$F$15,$C3350,$A$2,$F3350,$G3350,$H3350,I$1)</f>
        <v>49</v>
      </c>
      <c r="J3350" s="25">
        <f>_xll.DBRW($A$1,$F$14,$F$15,$C3350,$A$2,$F3350,$G3350,$H3350,J$19)</f>
        <v>46</v>
      </c>
    </row>
    <row r="3351" spans="1:10" s="23" customFormat="1" outlineLevel="1" thickBot="1" x14ac:dyDescent="0.3">
      <c r="A3351" s="44"/>
      <c r="B3351" s="31" t="str">
        <f>IF(_xll.TM1RPTELISCONSOLIDATED($H$20,$H3351),IF(_xll.TM1RPTELLEV($H$20,$H3351)&lt;=5,_xll.TM1RPTELLEV($H$20,$H3351),"Default"),"Leaf")</f>
        <v>Leaf</v>
      </c>
      <c r="C3351" s="26" t="s">
        <v>27</v>
      </c>
      <c r="D3351" s="24" t="str">
        <f>_xll.DBRW("TM1-S1_DEV:}ElementAttributes_SP_SKU",$F3351,D$1)</f>
        <v>Primary</v>
      </c>
      <c r="E3351" s="24" t="str">
        <f>_xll.DBRW("TM1-S1_DEV:}ElementAttributes_SP_SKU",$F3351,E$1)</f>
        <v>COOKIE</v>
      </c>
      <c r="F3351" s="26" t="s">
        <v>3194</v>
      </c>
      <c r="G3351" s="26" t="s">
        <v>2578</v>
      </c>
      <c r="H3351" s="26" t="s">
        <v>2691</v>
      </c>
      <c r="I3351" s="54">
        <f>_xll.DBRW($A$1,$F$14,$F$15,$C3351,$A$2,$F3351,$G3351,$H3351,I$1)</f>
        <v>12</v>
      </c>
      <c r="J3351" s="25">
        <f>_xll.DBRW($A$1,$F$14,$F$15,$C3351,$A$2,$F3351,$G3351,$H3351,J$19)</f>
        <v>12</v>
      </c>
    </row>
    <row r="3352" spans="1:10" s="23" customFormat="1" outlineLevel="1" thickBot="1" x14ac:dyDescent="0.3">
      <c r="A3352" s="44"/>
      <c r="B3352" s="31" t="str">
        <f>IF(_xll.TM1RPTELISCONSOLIDATED($H$20,$H3352),IF(_xll.TM1RPTELLEV($H$20,$H3352)&lt;=5,_xll.TM1RPTELLEV($H$20,$H3352),"Default"),"Leaf")</f>
        <v>Leaf</v>
      </c>
      <c r="C3352" s="26" t="s">
        <v>27</v>
      </c>
      <c r="D3352" s="24" t="str">
        <f>_xll.DBRW("TM1-S1_DEV:}ElementAttributes_SP_SKU",$F3352,D$1)</f>
        <v>Primary</v>
      </c>
      <c r="E3352" s="24" t="str">
        <f>_xll.DBRW("TM1-S1_DEV:}ElementAttributes_SP_SKU",$F3352,E$1)</f>
        <v>COOKIE</v>
      </c>
      <c r="F3352" s="26" t="s">
        <v>3196</v>
      </c>
      <c r="G3352" s="26" t="s">
        <v>2603</v>
      </c>
      <c r="H3352" s="26" t="s">
        <v>2691</v>
      </c>
      <c r="I3352" s="54">
        <f>_xll.DBRW($A$1,$F$14,$F$15,$C3352,$A$2,$F3352,$G3352,$H3352,I$1)</f>
        <v>10</v>
      </c>
      <c r="J3352" s="25">
        <f>_xll.DBRW($A$1,$F$14,$F$15,$C3352,$A$2,$F3352,$G3352,$H3352,J$19)</f>
        <v>10</v>
      </c>
    </row>
    <row r="3353" spans="1:10" s="23" customFormat="1" outlineLevel="1" thickBot="1" x14ac:dyDescent="0.3">
      <c r="A3353" s="44"/>
      <c r="B3353" s="31" t="str">
        <f>IF(_xll.TM1RPTELISCONSOLIDATED($H$20,$H3353),IF(_xll.TM1RPTELLEV($H$20,$H3353)&lt;=5,_xll.TM1RPTELLEV($H$20,$H3353),"Default"),"Leaf")</f>
        <v>Leaf</v>
      </c>
      <c r="C3353" s="26" t="s">
        <v>27</v>
      </c>
      <c r="D3353" s="24" t="str">
        <f>_xll.DBRW("TM1-S1_DEV:}ElementAttributes_SP_SKU",$F3353,D$1)</f>
        <v>Primary</v>
      </c>
      <c r="E3353" s="24" t="str">
        <f>_xll.DBRW("TM1-S1_DEV:}ElementAttributes_SP_SKU",$F3353,E$1)</f>
        <v>INGREDIENT</v>
      </c>
      <c r="F3353" s="26" t="s">
        <v>3197</v>
      </c>
      <c r="G3353" s="26" t="s">
        <v>2465</v>
      </c>
      <c r="H3353" s="26" t="s">
        <v>2686</v>
      </c>
      <c r="I3353" s="54">
        <f>_xll.DBRW($A$1,$F$14,$F$15,$C3353,$A$2,$F3353,$G3353,$H3353,I$1)</f>
        <v>23</v>
      </c>
      <c r="J3353" s="25">
        <f>_xll.DBRW($A$1,$F$14,$F$15,$C3353,$A$2,$F3353,$G3353,$H3353,J$19)</f>
        <v>22</v>
      </c>
    </row>
    <row r="3354" spans="1:10" s="23" customFormat="1" outlineLevel="1" thickBot="1" x14ac:dyDescent="0.3">
      <c r="A3354" s="44"/>
      <c r="B3354" s="31" t="str">
        <f>IF(_xll.TM1RPTELISCONSOLIDATED($H$20,$H3354),IF(_xll.TM1RPTELLEV($H$20,$H3354)&lt;=5,_xll.TM1RPTELLEV($H$20,$H3354),"Default"),"Leaf")</f>
        <v>Leaf</v>
      </c>
      <c r="C3354" s="26" t="s">
        <v>27</v>
      </c>
      <c r="D3354" s="24" t="str">
        <f>_xll.DBRW("TM1-S1_DEV:}ElementAttributes_SP_SKU",$F3354,D$1)</f>
        <v>Primary</v>
      </c>
      <c r="E3354" s="24" t="str">
        <f>_xll.DBRW("TM1-S1_DEV:}ElementAttributes_SP_SKU",$F3354,E$1)</f>
        <v>DRINKS</v>
      </c>
      <c r="F3354" s="26" t="s">
        <v>3269</v>
      </c>
      <c r="G3354" s="26" t="s">
        <v>2466</v>
      </c>
      <c r="H3354" s="26" t="s">
        <v>2764</v>
      </c>
      <c r="I3354" s="54">
        <f>_xll.DBRW($A$1,$F$14,$F$15,$C3354,$A$2,$F3354,$G3354,$H3354,I$1)</f>
        <v>25</v>
      </c>
      <c r="J3354" s="25">
        <f>_xll.DBRW($A$1,$F$14,$F$15,$C3354,$A$2,$F3354,$G3354,$H3354,J$19)</f>
        <v>121</v>
      </c>
    </row>
    <row r="3355" spans="1:10" s="23" customFormat="1" outlineLevel="1" thickBot="1" x14ac:dyDescent="0.3">
      <c r="A3355" s="44"/>
      <c r="B3355" s="31" t="str">
        <f>IF(_xll.TM1RPTELISCONSOLIDATED($H$20,$H3355),IF(_xll.TM1RPTELLEV($H$20,$H3355)&lt;=5,_xll.TM1RPTELLEV($H$20,$H3355),"Default"),"Leaf")</f>
        <v>Leaf</v>
      </c>
      <c r="C3355" s="26" t="s">
        <v>27</v>
      </c>
      <c r="D3355" s="24" t="str">
        <f>_xll.DBRW("TM1-S1_DEV:}ElementAttributes_SP_SKU",$F3355,D$1)</f>
        <v>Primary</v>
      </c>
      <c r="E3355" s="24" t="str">
        <f>_xll.DBRW("TM1-S1_DEV:}ElementAttributes_SP_SKU",$F3355,E$1)</f>
        <v>INGREDIENT</v>
      </c>
      <c r="F3355" s="26" t="s">
        <v>30</v>
      </c>
      <c r="G3355" s="26" t="s">
        <v>2467</v>
      </c>
      <c r="H3355" s="26" t="s">
        <v>2700</v>
      </c>
      <c r="I3355" s="54">
        <f>_xll.DBRW($A$1,$F$14,$F$15,$C3355,$A$2,$F3355,$G3355,$H3355,I$1)</f>
        <v>37</v>
      </c>
      <c r="J3355" s="25">
        <f>_xll.DBRW($A$1,$F$14,$F$15,$C3355,$A$2,$F3355,$G3355,$H3355,J$19)</f>
        <v>37</v>
      </c>
    </row>
    <row r="3356" spans="1:10" s="23" customFormat="1" outlineLevel="1" thickBot="1" x14ac:dyDescent="0.3">
      <c r="A3356" s="44"/>
      <c r="B3356" s="31" t="str">
        <f>IF(_xll.TM1RPTELISCONSOLIDATED($H$20,$H3356),IF(_xll.TM1RPTELLEV($H$20,$H3356)&lt;=5,_xll.TM1RPTELLEV($H$20,$H3356),"Default"),"Leaf")</f>
        <v>Leaf</v>
      </c>
      <c r="C3356" s="26" t="s">
        <v>27</v>
      </c>
      <c r="D3356" s="24" t="str">
        <f>_xll.DBRW("TM1-S1_DEV:}ElementAttributes_SP_SKU",$F3356,D$1)</f>
        <v>Primary</v>
      </c>
      <c r="E3356" s="24" t="str">
        <f>_xll.DBRW("TM1-S1_DEV:}ElementAttributes_SP_SKU",$F3356,E$1)</f>
        <v>INGREDIENT</v>
      </c>
      <c r="F3356" s="26" t="s">
        <v>3198</v>
      </c>
      <c r="G3356" s="26" t="s">
        <v>2468</v>
      </c>
      <c r="H3356" s="26" t="s">
        <v>2701</v>
      </c>
      <c r="I3356" s="54">
        <f>_xll.DBRW($A$1,$F$14,$F$15,$C3356,$A$2,$F3356,$G3356,$H3356,I$1)</f>
        <v>12</v>
      </c>
      <c r="J3356" s="25">
        <f>_xll.DBRW($A$1,$F$14,$F$15,$C3356,$A$2,$F3356,$G3356,$H3356,J$19)</f>
        <v>7</v>
      </c>
    </row>
    <row r="3357" spans="1:10" s="23" customFormat="1" outlineLevel="1" thickBot="1" x14ac:dyDescent="0.3">
      <c r="A3357" s="44"/>
      <c r="B3357" s="31" t="str">
        <f>IF(_xll.TM1RPTELISCONSOLIDATED($H$20,$H3357),IF(_xll.TM1RPTELLEV($H$20,$H3357)&lt;=5,_xll.TM1RPTELLEV($H$20,$H3357),"Default"),"Leaf")</f>
        <v>Leaf</v>
      </c>
      <c r="C3357" s="26" t="s">
        <v>27</v>
      </c>
      <c r="D3357" s="24" t="str">
        <f>_xll.DBRW("TM1-S1_DEV:}ElementAttributes_SP_SKU",$F3357,D$1)</f>
        <v>Primary</v>
      </c>
      <c r="E3357" s="24" t="str">
        <f>_xll.DBRW("TM1-S1_DEV:}ElementAttributes_SP_SKU",$F3357,E$1)</f>
        <v>BOX</v>
      </c>
      <c r="F3357" s="26" t="s">
        <v>3199</v>
      </c>
      <c r="G3357" s="26" t="s">
        <v>2469</v>
      </c>
      <c r="H3357" s="26" t="s">
        <v>2702</v>
      </c>
      <c r="I3357" s="54">
        <f>_xll.DBRW($A$1,$F$14,$F$15,$C3357,$A$2,$F3357,$G3357,$H3357,I$1)</f>
        <v>16</v>
      </c>
      <c r="J3357" s="25">
        <f>_xll.DBRW($A$1,$F$14,$F$15,$C3357,$A$2,$F3357,$G3357,$H3357,J$19)</f>
        <v>16</v>
      </c>
    </row>
    <row r="3358" spans="1:10" s="23" customFormat="1" outlineLevel="1" thickBot="1" x14ac:dyDescent="0.3">
      <c r="A3358" s="44"/>
      <c r="B3358" s="31" t="str">
        <f>IF(_xll.TM1RPTELISCONSOLIDATED($H$20,$H3358),IF(_xll.TM1RPTELLEV($H$20,$H3358)&lt;=5,_xll.TM1RPTELLEV($H$20,$H3358),"Default"),"Leaf")</f>
        <v>Leaf</v>
      </c>
      <c r="C3358" s="26" t="s">
        <v>27</v>
      </c>
      <c r="D3358" s="24" t="str">
        <f>_xll.DBRW("TM1-S1_DEV:}ElementAttributes_SP_SKU",$F3358,D$1)</f>
        <v>Primary</v>
      </c>
      <c r="E3358" s="24" t="str">
        <f>_xll.DBRW("TM1-S1_DEV:}ElementAttributes_SP_SKU",$F3358,E$1)</f>
        <v>TRAY</v>
      </c>
      <c r="F3358" s="26" t="s">
        <v>3200</v>
      </c>
      <c r="G3358" s="26" t="s">
        <v>2470</v>
      </c>
      <c r="H3358" s="26" t="s">
        <v>2703</v>
      </c>
      <c r="I3358" s="54">
        <f>_xll.DBRW($A$1,$F$14,$F$15,$C3358,$A$2,$F3358,$G3358,$H3358,I$1)</f>
        <v>18</v>
      </c>
      <c r="J3358" s="25">
        <f>_xll.DBRW($A$1,$F$14,$F$15,$C3358,$A$2,$F3358,$G3358,$H3358,J$19)</f>
        <v>16</v>
      </c>
    </row>
    <row r="3359" spans="1:10" s="23" customFormat="1" outlineLevel="1" thickBot="1" x14ac:dyDescent="0.3">
      <c r="A3359" s="44"/>
      <c r="B3359" s="31" t="str">
        <f>IF(_xll.TM1RPTELISCONSOLIDATED($H$20,$H3359),IF(_xll.TM1RPTELLEV($H$20,$H3359)&lt;=5,_xll.TM1RPTELLEV($H$20,$H3359),"Default"),"Leaf")</f>
        <v>Leaf</v>
      </c>
      <c r="C3359" s="26" t="s">
        <v>27</v>
      </c>
      <c r="D3359" s="24" t="str">
        <f>_xll.DBRW("TM1-S1_DEV:}ElementAttributes_SP_SKU",$F3359,D$1)</f>
        <v>Primary</v>
      </c>
      <c r="E3359" s="24" t="str">
        <f>_xll.DBRW("TM1-S1_DEV:}ElementAttributes_SP_SKU",$F3359,E$1)</f>
        <v>TRAY</v>
      </c>
      <c r="F3359" s="26" t="s">
        <v>3201</v>
      </c>
      <c r="G3359" s="26" t="s">
        <v>2471</v>
      </c>
      <c r="H3359" s="26" t="s">
        <v>2703</v>
      </c>
      <c r="I3359" s="54">
        <f>_xll.DBRW($A$1,$F$14,$F$15,$C3359,$A$2,$F3359,$G3359,$H3359,I$1)</f>
        <v>19</v>
      </c>
      <c r="J3359" s="25">
        <f>_xll.DBRW($A$1,$F$14,$F$15,$C3359,$A$2,$F3359,$G3359,$H3359,J$19)</f>
        <v>16</v>
      </c>
    </row>
    <row r="3360" spans="1:10" s="23" customFormat="1" outlineLevel="1" thickBot="1" x14ac:dyDescent="0.3">
      <c r="A3360" s="44"/>
      <c r="B3360" s="31" t="str">
        <f>IF(_xll.TM1RPTELISCONSOLIDATED($H$20,$H3360),IF(_xll.TM1RPTELLEV($H$20,$H3360)&lt;=5,_xll.TM1RPTELLEV($H$20,$H3360),"Default"),"Leaf")</f>
        <v>Leaf</v>
      </c>
      <c r="C3360" s="26" t="s">
        <v>27</v>
      </c>
      <c r="D3360" s="24" t="str">
        <f>_xll.DBRW("TM1-S1_DEV:}ElementAttributes_SP_SKU",$F3360,D$1)</f>
        <v>Primary</v>
      </c>
      <c r="E3360" s="24" t="str">
        <f>_xll.DBRW("TM1-S1_DEV:}ElementAttributes_SP_SKU",$F3360,E$1)</f>
        <v>TRAY</v>
      </c>
      <c r="F3360" s="26" t="s">
        <v>3202</v>
      </c>
      <c r="G3360" s="26" t="s">
        <v>2472</v>
      </c>
      <c r="H3360" s="26" t="s">
        <v>2703</v>
      </c>
      <c r="I3360" s="54">
        <f>_xll.DBRW($A$1,$F$14,$F$15,$C3360,$A$2,$F3360,$G3360,$H3360,I$1)</f>
        <v>23</v>
      </c>
      <c r="J3360" s="25">
        <f>_xll.DBRW($A$1,$F$14,$F$15,$C3360,$A$2,$F3360,$G3360,$H3360,J$19)</f>
        <v>22</v>
      </c>
    </row>
    <row r="3361" spans="1:10" s="23" customFormat="1" outlineLevel="1" thickBot="1" x14ac:dyDescent="0.3">
      <c r="A3361" s="44"/>
      <c r="B3361" s="31" t="str">
        <f>IF(_xll.TM1RPTELISCONSOLIDATED($H$20,$H3361),IF(_xll.TM1RPTELLEV($H$20,$H3361)&lt;=5,_xll.TM1RPTELLEV($H$20,$H3361),"Default"),"Leaf")</f>
        <v>Leaf</v>
      </c>
      <c r="C3361" s="26" t="s">
        <v>27</v>
      </c>
      <c r="D3361" s="24" t="str">
        <f>_xll.DBRW("TM1-S1_DEV:}ElementAttributes_SP_SKU",$F3361,D$1)</f>
        <v>Primary</v>
      </c>
      <c r="E3361" s="24" t="str">
        <f>_xll.DBRW("TM1-S1_DEV:}ElementAttributes_SP_SKU",$F3361,E$1)</f>
        <v>TRAY</v>
      </c>
      <c r="F3361" s="26" t="s">
        <v>3203</v>
      </c>
      <c r="G3361" s="26" t="s">
        <v>2473</v>
      </c>
      <c r="H3361" s="26" t="s">
        <v>2703</v>
      </c>
      <c r="I3361" s="54">
        <f>_xll.DBRW($A$1,$F$14,$F$15,$C3361,$A$2,$F3361,$G3361,$H3361,I$1)</f>
        <v>23</v>
      </c>
      <c r="J3361" s="25">
        <f>_xll.DBRW($A$1,$F$14,$F$15,$C3361,$A$2,$F3361,$G3361,$H3361,J$19)</f>
        <v>22</v>
      </c>
    </row>
    <row r="3362" spans="1:10" s="23" customFormat="1" outlineLevel="1" thickBot="1" x14ac:dyDescent="0.3">
      <c r="A3362" s="44"/>
      <c r="B3362" s="31" t="str">
        <f>IF(_xll.TM1RPTELISCONSOLIDATED($H$20,$H3362),IF(_xll.TM1RPTELLEV($H$20,$H3362)&lt;=5,_xll.TM1RPTELLEV($H$20,$H3362),"Default"),"Leaf")</f>
        <v>Leaf</v>
      </c>
      <c r="C3362" s="26" t="s">
        <v>27</v>
      </c>
      <c r="D3362" s="24" t="str">
        <f>_xll.DBRW("TM1-S1_DEV:}ElementAttributes_SP_SKU",$F3362,D$1)</f>
        <v>Primary</v>
      </c>
      <c r="E3362" s="24" t="str">
        <f>_xll.DBRW("TM1-S1_DEV:}ElementAttributes_SP_SKU",$F3362,E$1)</f>
        <v>FOIL</v>
      </c>
      <c r="F3362" s="26" t="s">
        <v>3204</v>
      </c>
      <c r="G3362" s="26" t="s">
        <v>2474</v>
      </c>
      <c r="H3362" s="26" t="s">
        <v>2704</v>
      </c>
      <c r="I3362" s="54">
        <f>_xll.DBRW($A$1,$F$14,$F$15,$C3362,$A$2,$F3362,$G3362,$H3362,I$1)</f>
        <v>79</v>
      </c>
      <c r="J3362" s="25">
        <f>_xll.DBRW($A$1,$F$14,$F$15,$C3362,$A$2,$F3362,$G3362,$H3362,J$19)</f>
        <v>65</v>
      </c>
    </row>
    <row r="3363" spans="1:10" s="23" customFormat="1" outlineLevel="1" thickBot="1" x14ac:dyDescent="0.3">
      <c r="A3363" s="44"/>
      <c r="B3363" s="31" t="str">
        <f>IF(_xll.TM1RPTELISCONSOLIDATED($H$20,$H3363),IF(_xll.TM1RPTELLEV($H$20,$H3363)&lt;=5,_xll.TM1RPTELLEV($H$20,$H3363),"Default"),"Leaf")</f>
        <v>Leaf</v>
      </c>
      <c r="C3363" s="26" t="s">
        <v>27</v>
      </c>
      <c r="D3363" s="24" t="str">
        <f>_xll.DBRW("TM1-S1_DEV:}ElementAttributes_SP_SKU",$F3363,D$1)</f>
        <v>Primary</v>
      </c>
      <c r="E3363" s="24" t="str">
        <f>_xll.DBRW("TM1-S1_DEV:}ElementAttributes_SP_SKU",$F3363,E$1)</f>
        <v>BAG</v>
      </c>
      <c r="F3363" s="26" t="s">
        <v>3205</v>
      </c>
      <c r="G3363" s="26" t="s">
        <v>2475</v>
      </c>
      <c r="H3363" s="26" t="s">
        <v>2705</v>
      </c>
      <c r="I3363" s="54">
        <f>_xll.DBRW($A$1,$F$14,$F$15,$C3363,$A$2,$F3363,$G3363,$H3363,I$1)</f>
        <v>6</v>
      </c>
      <c r="J3363" s="25">
        <f>_xll.DBRW($A$1,$F$14,$F$15,$C3363,$A$2,$F3363,$G3363,$H3363,J$19)</f>
        <v>4</v>
      </c>
    </row>
    <row r="3364" spans="1:10" s="23" customFormat="1" outlineLevel="1" thickBot="1" x14ac:dyDescent="0.3">
      <c r="A3364" s="44"/>
      <c r="B3364" s="31" t="str">
        <f>IF(_xll.TM1RPTELISCONSOLIDATED($H$20,$H3364),IF(_xll.TM1RPTELLEV($H$20,$H3364)&lt;=5,_xll.TM1RPTELLEV($H$20,$H3364),"Default"),"Leaf")</f>
        <v>Leaf</v>
      </c>
      <c r="C3364" s="26" t="s">
        <v>27</v>
      </c>
      <c r="D3364" s="24" t="str">
        <f>_xll.DBRW("TM1-S1_DEV:}ElementAttributes_SP_SKU",$F3364,D$1)</f>
        <v>Primary</v>
      </c>
      <c r="E3364" s="24" t="str">
        <f>_xll.DBRW("TM1-S1_DEV:}ElementAttributes_SP_SKU",$F3364,E$1)</f>
        <v>FOIL</v>
      </c>
      <c r="F3364" s="26" t="s">
        <v>3206</v>
      </c>
      <c r="G3364" s="26" t="s">
        <v>2476</v>
      </c>
      <c r="H3364" s="26" t="s">
        <v>2704</v>
      </c>
      <c r="I3364" s="54">
        <f>_xll.DBRW($A$1,$F$14,$F$15,$C3364,$A$2,$F3364,$G3364,$H3364,I$1)</f>
        <v>47</v>
      </c>
      <c r="J3364" s="25">
        <f>_xll.DBRW($A$1,$F$14,$F$15,$C3364,$A$2,$F3364,$G3364,$H3364,J$19)</f>
        <v>42</v>
      </c>
    </row>
    <row r="3365" spans="1:10" s="23" customFormat="1" outlineLevel="1" thickBot="1" x14ac:dyDescent="0.3">
      <c r="A3365" s="44"/>
      <c r="B3365" s="31" t="str">
        <f>IF(_xll.TM1RPTELISCONSOLIDATED($H$20,$H3365),IF(_xll.TM1RPTELLEV($H$20,$H3365)&lt;=5,_xll.TM1RPTELLEV($H$20,$H3365),"Default"),"Leaf")</f>
        <v>Leaf</v>
      </c>
      <c r="C3365" s="26" t="s">
        <v>27</v>
      </c>
      <c r="D3365" s="24" t="str">
        <f>_xll.DBRW("TM1-S1_DEV:}ElementAttributes_SP_SKU",$F3365,D$1)</f>
        <v>Primary</v>
      </c>
      <c r="E3365" s="24" t="str">
        <f>_xll.DBRW("TM1-S1_DEV:}ElementAttributes_SP_SKU",$F3365,E$1)</f>
        <v>FOIL</v>
      </c>
      <c r="F3365" s="26" t="s">
        <v>3207</v>
      </c>
      <c r="G3365" s="26" t="s">
        <v>2477</v>
      </c>
      <c r="H3365" s="26" t="s">
        <v>2704</v>
      </c>
      <c r="I3365" s="54">
        <f>_xll.DBRW($A$1,$F$14,$F$15,$C3365,$A$2,$F3365,$G3365,$H3365,I$1)</f>
        <v>31</v>
      </c>
      <c r="J3365" s="25">
        <f>_xll.DBRW($A$1,$F$14,$F$15,$C3365,$A$2,$F3365,$G3365,$H3365,J$19)</f>
        <v>31</v>
      </c>
    </row>
    <row r="3366" spans="1:10" s="23" customFormat="1" outlineLevel="1" thickBot="1" x14ac:dyDescent="0.3">
      <c r="A3366" s="44"/>
      <c r="B3366" s="31" t="str">
        <f>IF(_xll.TM1RPTELISCONSOLIDATED($H$20,$H3366),IF(_xll.TM1RPTELLEV($H$20,$H3366)&lt;=5,_xll.TM1RPTELLEV($H$20,$H3366),"Default"),"Leaf")</f>
        <v>Leaf</v>
      </c>
      <c r="C3366" s="26" t="s">
        <v>27</v>
      </c>
      <c r="D3366" s="24" t="str">
        <f>_xll.DBRW("TM1-S1_DEV:}ElementAttributes_SP_SKU",$F3366,D$1)</f>
        <v>Primary</v>
      </c>
      <c r="E3366" s="24" t="str">
        <f>_xll.DBRW("TM1-S1_DEV:}ElementAttributes_SP_SKU",$F3366,E$1)</f>
        <v>BAG</v>
      </c>
      <c r="F3366" s="26" t="s">
        <v>3208</v>
      </c>
      <c r="G3366" s="26" t="s">
        <v>2478</v>
      </c>
      <c r="H3366" s="26" t="s">
        <v>2705</v>
      </c>
      <c r="I3366" s="54">
        <f>_xll.DBRW($A$1,$F$14,$F$15,$C3366,$A$2,$F3366,$G3366,$H3366,I$1)</f>
        <v>16</v>
      </c>
      <c r="J3366" s="25">
        <f>_xll.DBRW($A$1,$F$14,$F$15,$C3366,$A$2,$F3366,$G3366,$H3366,J$19)</f>
        <v>14</v>
      </c>
    </row>
    <row r="3367" spans="1:10" s="23" customFormat="1" outlineLevel="1" thickBot="1" x14ac:dyDescent="0.3">
      <c r="A3367" s="44"/>
      <c r="B3367" s="31" t="str">
        <f>IF(_xll.TM1RPTELISCONSOLIDATED($H$20,$H3367),IF(_xll.TM1RPTELLEV($H$20,$H3367)&lt;=5,_xll.TM1RPTELLEV($H$20,$H3367),"Default"),"Leaf")</f>
        <v>Leaf</v>
      </c>
      <c r="C3367" s="26" t="s">
        <v>27</v>
      </c>
      <c r="D3367" s="24" t="str">
        <f>_xll.DBRW("TM1-S1_DEV:}ElementAttributes_SP_SKU",$F3367,D$1)</f>
        <v>Primary</v>
      </c>
      <c r="E3367" s="24" t="str">
        <f>_xll.DBRW("TM1-S1_DEV:}ElementAttributes_SP_SKU",$F3367,E$1)</f>
        <v>BAG</v>
      </c>
      <c r="F3367" s="26" t="s">
        <v>3209</v>
      </c>
      <c r="G3367" s="26" t="s">
        <v>2479</v>
      </c>
      <c r="H3367" s="26" t="s">
        <v>2705</v>
      </c>
      <c r="I3367" s="54">
        <f>_xll.DBRW($A$1,$F$14,$F$15,$C3367,$A$2,$F3367,$G3367,$H3367,I$1)</f>
        <v>33</v>
      </c>
      <c r="J3367" s="25">
        <f>_xll.DBRW($A$1,$F$14,$F$15,$C3367,$A$2,$F3367,$G3367,$H3367,J$19)</f>
        <v>29</v>
      </c>
    </row>
    <row r="3368" spans="1:10" s="23" customFormat="1" outlineLevel="1" thickBot="1" x14ac:dyDescent="0.3">
      <c r="A3368" s="44"/>
      <c r="B3368" s="31" t="str">
        <f>IF(_xll.TM1RPTELISCONSOLIDATED($H$20,$H3368),IF(_xll.TM1RPTELLEV($H$20,$H3368)&lt;=5,_xll.TM1RPTELLEV($H$20,$H3368),"Default"),"Leaf")</f>
        <v>Leaf</v>
      </c>
      <c r="C3368" s="26" t="s">
        <v>27</v>
      </c>
      <c r="D3368" s="24" t="str">
        <f>_xll.DBRW("TM1-S1_DEV:}ElementAttributes_SP_SKU",$F3368,D$1)</f>
        <v>Primary</v>
      </c>
      <c r="E3368" s="24" t="str">
        <f>_xll.DBRW("TM1-S1_DEV:}ElementAttributes_SP_SKU",$F3368,E$1)</f>
        <v>BAG</v>
      </c>
      <c r="F3368" s="26" t="s">
        <v>3210</v>
      </c>
      <c r="G3368" s="26" t="s">
        <v>2480</v>
      </c>
      <c r="H3368" s="26" t="s">
        <v>2705</v>
      </c>
      <c r="I3368" s="54">
        <f>_xll.DBRW($A$1,$F$14,$F$15,$C3368,$A$2,$F3368,$G3368,$H3368,I$1)</f>
        <v>42</v>
      </c>
      <c r="J3368" s="25">
        <f>_xll.DBRW($A$1,$F$14,$F$15,$C3368,$A$2,$F3368,$G3368,$H3368,J$19)</f>
        <v>39</v>
      </c>
    </row>
    <row r="3369" spans="1:10" s="23" customFormat="1" outlineLevel="1" thickBot="1" x14ac:dyDescent="0.3">
      <c r="A3369" s="44"/>
      <c r="B3369" s="31" t="str">
        <f>IF(_xll.TM1RPTELISCONSOLIDATED($H$20,$H3369),IF(_xll.TM1RPTELLEV($H$20,$H3369)&lt;=5,_xll.TM1RPTELLEV($H$20,$H3369),"Default"),"Leaf")</f>
        <v>Leaf</v>
      </c>
      <c r="C3369" s="26" t="s">
        <v>27</v>
      </c>
      <c r="D3369" s="24" t="str">
        <f>_xll.DBRW("TM1-S1_DEV:}ElementAttributes_SP_SKU",$F3369,D$1)</f>
        <v>Primary</v>
      </c>
      <c r="E3369" s="24" t="str">
        <f>_xll.DBRW("TM1-S1_DEV:}ElementAttributes_SP_SKU",$F3369,E$1)</f>
        <v>BOX</v>
      </c>
      <c r="F3369" s="26" t="s">
        <v>3211</v>
      </c>
      <c r="G3369" s="26" t="s">
        <v>2481</v>
      </c>
      <c r="H3369" s="26" t="s">
        <v>2706</v>
      </c>
      <c r="I3369" s="54">
        <f>_xll.DBRW($A$1,$F$14,$F$15,$C3369,$A$2,$F3369,$G3369,$H3369,I$1)</f>
        <v>13</v>
      </c>
      <c r="J3369" s="25">
        <f>_xll.DBRW($A$1,$F$14,$F$15,$C3369,$A$2,$F3369,$G3369,$H3369,J$19)</f>
        <v>21</v>
      </c>
    </row>
    <row r="3370" spans="1:10" s="23" customFormat="1" outlineLevel="1" thickBot="1" x14ac:dyDescent="0.3">
      <c r="A3370" s="44"/>
      <c r="B3370" s="31" t="str">
        <f>IF(_xll.TM1RPTELISCONSOLIDATED($H$20,$H3370),IF(_xll.TM1RPTELLEV($H$20,$H3370)&lt;=5,_xll.TM1RPTELLEV($H$20,$H3370),"Default"),"Leaf")</f>
        <v>Leaf</v>
      </c>
      <c r="C3370" s="26" t="s">
        <v>27</v>
      </c>
      <c r="D3370" s="24" t="str">
        <f>_xll.DBRW("TM1-S1_DEV:}ElementAttributes_SP_SKU",$F3370,D$1)</f>
        <v>Primary</v>
      </c>
      <c r="E3370" s="24" t="str">
        <f>_xll.DBRW("TM1-S1_DEV:}ElementAttributes_SP_SKU",$F3370,E$1)</f>
        <v>FOIL</v>
      </c>
      <c r="F3370" s="26" t="s">
        <v>3212</v>
      </c>
      <c r="G3370" s="26" t="s">
        <v>2482</v>
      </c>
      <c r="H3370" s="26" t="s">
        <v>2704</v>
      </c>
      <c r="I3370" s="54">
        <f>_xll.DBRW($A$1,$F$14,$F$15,$C3370,$A$2,$F3370,$G3370,$H3370,I$1)</f>
        <v>33</v>
      </c>
      <c r="J3370" s="25">
        <f>_xll.DBRW($A$1,$F$14,$F$15,$C3370,$A$2,$F3370,$G3370,$H3370,J$19)</f>
        <v>30</v>
      </c>
    </row>
    <row r="3371" spans="1:10" s="23" customFormat="1" outlineLevel="1" thickBot="1" x14ac:dyDescent="0.3">
      <c r="A3371" s="44"/>
      <c r="B3371" s="31" t="str">
        <f>IF(_xll.TM1RPTELISCONSOLIDATED($H$20,$H3371),IF(_xll.TM1RPTELLEV($H$20,$H3371)&lt;=5,_xll.TM1RPTELLEV($H$20,$H3371),"Default"),"Leaf")</f>
        <v>Leaf</v>
      </c>
      <c r="C3371" s="26" t="s">
        <v>27</v>
      </c>
      <c r="D3371" s="24" t="str">
        <f>_xll.DBRW("TM1-S1_DEV:}ElementAttributes_SP_SKU",$F3371,D$1)</f>
        <v>Primary</v>
      </c>
      <c r="E3371" s="24" t="str">
        <f>_xll.DBRW("TM1-S1_DEV:}ElementAttributes_SP_SKU",$F3371,E$1)</f>
        <v>TRAY</v>
      </c>
      <c r="F3371" s="26" t="s">
        <v>3213</v>
      </c>
      <c r="G3371" s="26" t="s">
        <v>2483</v>
      </c>
      <c r="H3371" s="26" t="s">
        <v>2703</v>
      </c>
      <c r="I3371" s="54">
        <f>_xll.DBRW($A$1,$F$14,$F$15,$C3371,$A$2,$F3371,$G3371,$H3371,I$1)</f>
        <v>25</v>
      </c>
      <c r="J3371" s="25">
        <f>_xll.DBRW($A$1,$F$14,$F$15,$C3371,$A$2,$F3371,$G3371,$H3371,J$19)</f>
        <v>23</v>
      </c>
    </row>
    <row r="3372" spans="1:10" s="23" customFormat="1" outlineLevel="1" thickBot="1" x14ac:dyDescent="0.3">
      <c r="A3372" s="44"/>
      <c r="B3372" s="31" t="str">
        <f>IF(_xll.TM1RPTELISCONSOLIDATED($H$20,$H3372),IF(_xll.TM1RPTELLEV($H$20,$H3372)&lt;=5,_xll.TM1RPTELLEV($H$20,$H3372),"Default"),"Leaf")</f>
        <v>Leaf</v>
      </c>
      <c r="C3372" s="26" t="s">
        <v>27</v>
      </c>
      <c r="D3372" s="24" t="str">
        <f>_xll.DBRW("TM1-S1_DEV:}ElementAttributes_SP_SKU",$F3372,D$1)</f>
        <v>Primary</v>
      </c>
      <c r="E3372" s="24" t="str">
        <f>_xll.DBRW("TM1-S1_DEV:}ElementAttributes_SP_SKU",$F3372,E$1)</f>
        <v>TRAY</v>
      </c>
      <c r="F3372" s="26" t="s">
        <v>3214</v>
      </c>
      <c r="G3372" s="26" t="s">
        <v>2484</v>
      </c>
      <c r="H3372" s="26" t="s">
        <v>2703</v>
      </c>
      <c r="I3372" s="54">
        <f>_xll.DBRW($A$1,$F$14,$F$15,$C3372,$A$2,$F3372,$G3372,$H3372,I$1)</f>
        <v>26</v>
      </c>
      <c r="J3372" s="25">
        <f>_xll.DBRW($A$1,$F$14,$F$15,$C3372,$A$2,$F3372,$G3372,$H3372,J$19)</f>
        <v>24</v>
      </c>
    </row>
    <row r="3373" spans="1:10" s="23" customFormat="1" outlineLevel="1" thickBot="1" x14ac:dyDescent="0.3">
      <c r="A3373" s="44"/>
      <c r="B3373" s="31" t="str">
        <f>IF(_xll.TM1RPTELISCONSOLIDATED($H$20,$H3373),IF(_xll.TM1RPTELLEV($H$20,$H3373)&lt;=5,_xll.TM1RPTELLEV($H$20,$H3373),"Default"),"Leaf")</f>
        <v>Leaf</v>
      </c>
      <c r="C3373" s="26" t="s">
        <v>27</v>
      </c>
      <c r="D3373" s="24" t="str">
        <f>_xll.DBRW("TM1-S1_DEV:}ElementAttributes_SP_SKU",$F3373,D$1)</f>
        <v>Primary</v>
      </c>
      <c r="E3373" s="24" t="str">
        <f>_xll.DBRW("TM1-S1_DEV:}ElementAttributes_SP_SKU",$F3373,E$1)</f>
        <v>BOWL</v>
      </c>
      <c r="F3373" s="26" t="s">
        <v>3215</v>
      </c>
      <c r="G3373" s="26" t="s">
        <v>2485</v>
      </c>
      <c r="H3373" s="26" t="s">
        <v>2703</v>
      </c>
      <c r="I3373" s="54">
        <f>_xll.DBRW($A$1,$F$14,$F$15,$C3373,$A$2,$F3373,$G3373,$H3373,I$1)</f>
        <v>10</v>
      </c>
      <c r="J3373" s="25">
        <f>_xll.DBRW($A$1,$F$14,$F$15,$C3373,$A$2,$F3373,$G3373,$H3373,J$19)</f>
        <v>10</v>
      </c>
    </row>
    <row r="3374" spans="1:10" s="23" customFormat="1" outlineLevel="1" thickBot="1" x14ac:dyDescent="0.3">
      <c r="A3374" s="44"/>
      <c r="B3374" s="31" t="str">
        <f>IF(_xll.TM1RPTELISCONSOLIDATED($H$20,$H3374),IF(_xll.TM1RPTELLEV($H$20,$H3374)&lt;=5,_xll.TM1RPTELLEV($H$20,$H3374),"Default"),"Leaf")</f>
        <v>Leaf</v>
      </c>
      <c r="C3374" s="26" t="s">
        <v>27</v>
      </c>
      <c r="D3374" s="24" t="str">
        <f>_xll.DBRW("TM1-S1_DEV:}ElementAttributes_SP_SKU",$F3374,D$1)</f>
        <v>Primary</v>
      </c>
      <c r="E3374" s="24" t="str">
        <f>_xll.DBRW("TM1-S1_DEV:}ElementAttributes_SP_SKU",$F3374,E$1)</f>
        <v>BOWL</v>
      </c>
      <c r="F3374" s="26" t="s">
        <v>3216</v>
      </c>
      <c r="G3374" s="26" t="s">
        <v>2486</v>
      </c>
      <c r="H3374" s="26" t="s">
        <v>2703</v>
      </c>
      <c r="I3374" s="54">
        <f>_xll.DBRW($A$1,$F$14,$F$15,$C3374,$A$2,$F3374,$G3374,$H3374,I$1)</f>
        <v>10</v>
      </c>
      <c r="J3374" s="25">
        <f>_xll.DBRW($A$1,$F$14,$F$15,$C3374,$A$2,$F3374,$G3374,$H3374,J$19)</f>
        <v>10</v>
      </c>
    </row>
    <row r="3375" spans="1:10" s="23" customFormat="1" outlineLevel="1" thickBot="1" x14ac:dyDescent="0.3">
      <c r="A3375" s="44"/>
      <c r="B3375" s="31" t="str">
        <f>IF(_xll.TM1RPTELISCONSOLIDATED($H$20,$H3375),IF(_xll.TM1RPTELLEV($H$20,$H3375)&lt;=5,_xll.TM1RPTELLEV($H$20,$H3375),"Default"),"Leaf")</f>
        <v>Leaf</v>
      </c>
      <c r="C3375" s="26" t="s">
        <v>27</v>
      </c>
      <c r="D3375" s="24" t="str">
        <f>_xll.DBRW("TM1-S1_DEV:}ElementAttributes_SP_SKU",$F3375,D$1)</f>
        <v>Primary</v>
      </c>
      <c r="E3375" s="24" t="str">
        <f>_xll.DBRW("TM1-S1_DEV:}ElementAttributes_SP_SKU",$F3375,E$1)</f>
        <v>UTENSIL</v>
      </c>
      <c r="F3375" s="26" t="s">
        <v>3218</v>
      </c>
      <c r="G3375" s="26" t="s">
        <v>2488</v>
      </c>
      <c r="H3375" s="26" t="s">
        <v>2703</v>
      </c>
      <c r="I3375" s="54">
        <f>_xll.DBRW($A$1,$F$14,$F$15,$C3375,$A$2,$F3375,$G3375,$H3375,I$1)</f>
        <v>18</v>
      </c>
      <c r="J3375" s="25">
        <f>_xll.DBRW($A$1,$F$14,$F$15,$C3375,$A$2,$F3375,$G3375,$H3375,J$19)</f>
        <v>23</v>
      </c>
    </row>
    <row r="3376" spans="1:10" s="23" customFormat="1" outlineLevel="1" thickBot="1" x14ac:dyDescent="0.3">
      <c r="A3376" s="44"/>
      <c r="B3376" s="31" t="str">
        <f>IF(_xll.TM1RPTELISCONSOLIDATED($H$20,$H3376),IF(_xll.TM1RPTELLEV($H$20,$H3376)&lt;=5,_xll.TM1RPTELLEV($H$20,$H3376),"Default"),"Leaf")</f>
        <v>Leaf</v>
      </c>
      <c r="C3376" s="26" t="s">
        <v>27</v>
      </c>
      <c r="D3376" s="24" t="str">
        <f>_xll.DBRW("TM1-S1_DEV:}ElementAttributes_SP_SKU",$F3376,D$1)</f>
        <v>Primary</v>
      </c>
      <c r="E3376" s="24" t="str">
        <f>_xll.DBRW("TM1-S1_DEV:}ElementAttributes_SP_SKU",$F3376,E$1)</f>
        <v>BAG</v>
      </c>
      <c r="F3376" s="26" t="s">
        <v>3219</v>
      </c>
      <c r="G3376" s="26" t="s">
        <v>2489</v>
      </c>
      <c r="H3376" s="26" t="s">
        <v>2705</v>
      </c>
      <c r="I3376" s="54">
        <f>_xll.DBRW($A$1,$F$14,$F$15,$C3376,$A$2,$F3376,$G3376,$H3376,I$1)</f>
        <v>13</v>
      </c>
      <c r="J3376" s="25">
        <f>_xll.DBRW($A$1,$F$14,$F$15,$C3376,$A$2,$F3376,$G3376,$H3376,J$19)</f>
        <v>13</v>
      </c>
    </row>
    <row r="3377" spans="1:10" s="23" customFormat="1" outlineLevel="1" thickBot="1" x14ac:dyDescent="0.3">
      <c r="A3377" s="44"/>
      <c r="B3377" s="31" t="str">
        <f>IF(_xll.TM1RPTELISCONSOLIDATED($H$20,$H3377),IF(_xll.TM1RPTELLEV($H$20,$H3377)&lt;=5,_xll.TM1RPTELLEV($H$20,$H3377),"Default"),"Leaf")</f>
        <v>Leaf</v>
      </c>
      <c r="C3377" s="26" t="s">
        <v>27</v>
      </c>
      <c r="D3377" s="24" t="str">
        <f>_xll.DBRW("TM1-S1_DEV:}ElementAttributes_SP_SKU",$F3377,D$1)</f>
        <v>Primary</v>
      </c>
      <c r="E3377" s="24" t="str">
        <f>_xll.DBRW("TM1-S1_DEV:}ElementAttributes_SP_SKU",$F3377,E$1)</f>
        <v>BOX</v>
      </c>
      <c r="F3377" s="26" t="s">
        <v>3220</v>
      </c>
      <c r="G3377" s="26" t="s">
        <v>2490</v>
      </c>
      <c r="H3377" s="26" t="s">
        <v>2702</v>
      </c>
      <c r="I3377" s="54">
        <f>_xll.DBRW($A$1,$F$14,$F$15,$C3377,$A$2,$F3377,$G3377,$H3377,I$1)</f>
        <v>68</v>
      </c>
      <c r="J3377" s="25">
        <f>_xll.DBRW($A$1,$F$14,$F$15,$C3377,$A$2,$F3377,$G3377,$H3377,J$19)</f>
        <v>68</v>
      </c>
    </row>
    <row r="3378" spans="1:10" s="23" customFormat="1" outlineLevel="1" thickBot="1" x14ac:dyDescent="0.3">
      <c r="A3378" s="44"/>
      <c r="B3378" s="31" t="str">
        <f>IF(_xll.TM1RPTELISCONSOLIDATED($H$20,$H3378),IF(_xll.TM1RPTELLEV($H$20,$H3378)&lt;=5,_xll.TM1RPTELLEV($H$20,$H3378),"Default"),"Leaf")</f>
        <v>Leaf</v>
      </c>
      <c r="C3378" s="26" t="s">
        <v>27</v>
      </c>
      <c r="D3378" s="24" t="str">
        <f>_xll.DBRW("TM1-S1_DEV:}ElementAttributes_SP_SKU",$F3378,D$1)</f>
        <v>Primary</v>
      </c>
      <c r="E3378" s="24" t="str">
        <f>_xll.DBRW("TM1-S1_DEV:}ElementAttributes_SP_SKU",$F3378,E$1)</f>
        <v>BOX</v>
      </c>
      <c r="F3378" s="26" t="s">
        <v>3221</v>
      </c>
      <c r="G3378" s="26" t="s">
        <v>2491</v>
      </c>
      <c r="H3378" s="26" t="s">
        <v>2702</v>
      </c>
      <c r="I3378" s="54">
        <f>_xll.DBRW($A$1,$F$14,$F$15,$C3378,$A$2,$F3378,$G3378,$H3378,I$1)</f>
        <v>55</v>
      </c>
      <c r="J3378" s="25">
        <f>_xll.DBRW($A$1,$F$14,$F$15,$C3378,$A$2,$F3378,$G3378,$H3378,J$19)</f>
        <v>55</v>
      </c>
    </row>
    <row r="3379" spans="1:10" s="23" customFormat="1" outlineLevel="1" thickBot="1" x14ac:dyDescent="0.3">
      <c r="A3379" s="44"/>
      <c r="B3379" s="31" t="str">
        <f>IF(_xll.TM1RPTELISCONSOLIDATED($H$20,$H3379),IF(_xll.TM1RPTELLEV($H$20,$H3379)&lt;=5,_xll.TM1RPTELLEV($H$20,$H3379),"Default"),"Leaf")</f>
        <v>Leaf</v>
      </c>
      <c r="C3379" s="26" t="s">
        <v>27</v>
      </c>
      <c r="D3379" s="24" t="str">
        <f>_xll.DBRW("TM1-S1_DEV:}ElementAttributes_SP_SKU",$F3379,D$1)</f>
        <v>Primary</v>
      </c>
      <c r="E3379" s="24" t="str">
        <f>_xll.DBRW("TM1-S1_DEV:}ElementAttributes_SP_SKU",$F3379,E$1)</f>
        <v>BOX</v>
      </c>
      <c r="F3379" s="26" t="s">
        <v>3222</v>
      </c>
      <c r="G3379" s="26" t="s">
        <v>2492</v>
      </c>
      <c r="H3379" s="26" t="s">
        <v>2702</v>
      </c>
      <c r="I3379" s="54">
        <f>_xll.DBRW($A$1,$F$14,$F$15,$C3379,$A$2,$F3379,$G3379,$H3379,I$1)</f>
        <v>0</v>
      </c>
      <c r="J3379" s="25">
        <f>_xll.DBRW($A$1,$F$14,$F$15,$C3379,$A$2,$F3379,$G3379,$H3379,J$19)</f>
        <v>2</v>
      </c>
    </row>
    <row r="3380" spans="1:10" s="23" customFormat="1" outlineLevel="1" thickBot="1" x14ac:dyDescent="0.3">
      <c r="A3380" s="44"/>
      <c r="B3380" s="31" t="str">
        <f>IF(_xll.TM1RPTELISCONSOLIDATED($H$20,$H3380),IF(_xll.TM1RPTELLEV($H$20,$H3380)&lt;=5,_xll.TM1RPTELLEV($H$20,$H3380),"Default"),"Leaf")</f>
        <v>Leaf</v>
      </c>
      <c r="C3380" s="26" t="s">
        <v>27</v>
      </c>
      <c r="D3380" s="24" t="str">
        <f>_xll.DBRW("TM1-S1_DEV:}ElementAttributes_SP_SKU",$F3380,D$1)</f>
        <v>Primary</v>
      </c>
      <c r="E3380" s="24" t="str">
        <f>_xll.DBRW("TM1-S1_DEV:}ElementAttributes_SP_SKU",$F3380,E$1)</f>
        <v>BOWL</v>
      </c>
      <c r="F3380" s="26" t="s">
        <v>3223</v>
      </c>
      <c r="G3380" s="26" t="s">
        <v>2493</v>
      </c>
      <c r="H3380" s="26" t="s">
        <v>2703</v>
      </c>
      <c r="I3380" s="54">
        <f>_xll.DBRW($A$1,$F$14,$F$15,$C3380,$A$2,$F3380,$G3380,$H3380,I$1)</f>
        <v>10</v>
      </c>
      <c r="J3380" s="25">
        <f>_xll.DBRW($A$1,$F$14,$F$15,$C3380,$A$2,$F3380,$G3380,$H3380,J$19)</f>
        <v>10</v>
      </c>
    </row>
    <row r="3381" spans="1:10" s="23" customFormat="1" outlineLevel="1" thickBot="1" x14ac:dyDescent="0.3">
      <c r="A3381" s="44"/>
      <c r="B3381" s="31" t="str">
        <f>IF(_xll.TM1RPTELISCONSOLIDATED($H$20,$H3381),IF(_xll.TM1RPTELLEV($H$20,$H3381)&lt;=5,_xll.TM1RPTELLEV($H$20,$H3381),"Default"),"Leaf")</f>
        <v>Leaf</v>
      </c>
      <c r="C3381" s="26" t="s">
        <v>27</v>
      </c>
      <c r="D3381" s="24" t="str">
        <f>_xll.DBRW("TM1-S1_DEV:}ElementAttributes_SP_SKU",$F3381,D$1)</f>
        <v>Primary</v>
      </c>
      <c r="E3381" s="24" t="str">
        <f>_xll.DBRW("TM1-S1_DEV:}ElementAttributes_SP_SKU",$F3381,E$1)</f>
        <v>BAG</v>
      </c>
      <c r="F3381" s="26" t="s">
        <v>3224</v>
      </c>
      <c r="G3381" s="26" t="s">
        <v>2494</v>
      </c>
      <c r="H3381" s="26" t="s">
        <v>2705</v>
      </c>
      <c r="I3381" s="54">
        <f>_xll.DBRW($A$1,$F$14,$F$15,$C3381,$A$2,$F3381,$G3381,$H3381,I$1)</f>
        <v>10</v>
      </c>
      <c r="J3381" s="25">
        <f>_xll.DBRW($A$1,$F$14,$F$15,$C3381,$A$2,$F3381,$G3381,$H3381,J$19)</f>
        <v>8</v>
      </c>
    </row>
    <row r="3382" spans="1:10" s="23" customFormat="1" outlineLevel="1" thickBot="1" x14ac:dyDescent="0.3">
      <c r="A3382" s="44"/>
      <c r="B3382" s="31" t="str">
        <f>IF(_xll.TM1RPTELISCONSOLIDATED($H$20,$H3382),IF(_xll.TM1RPTELLEV($H$20,$H3382)&lt;=5,_xll.TM1RPTELLEV($H$20,$H3382),"Default"),"Leaf")</f>
        <v>Leaf</v>
      </c>
      <c r="C3382" s="26" t="s">
        <v>27</v>
      </c>
      <c r="D3382" s="24" t="str">
        <f>_xll.DBRW("TM1-S1_DEV:}ElementAttributes_SP_SKU",$F3382,D$1)</f>
        <v>Primary</v>
      </c>
      <c r="E3382" s="24" t="str">
        <f>_xll.DBRW("TM1-S1_DEV:}ElementAttributes_SP_SKU",$F3382,E$1)</f>
        <v>CUP</v>
      </c>
      <c r="F3382" s="26" t="s">
        <v>3225</v>
      </c>
      <c r="G3382" s="26" t="s">
        <v>2495</v>
      </c>
      <c r="H3382" s="26" t="s">
        <v>2707</v>
      </c>
      <c r="I3382" s="54">
        <f>_xll.DBRW($A$1,$F$14,$F$15,$C3382,$A$2,$F3382,$G3382,$H3382,I$1)</f>
        <v>23</v>
      </c>
      <c r="J3382" s="25">
        <f>_xll.DBRW($A$1,$F$14,$F$15,$C3382,$A$2,$F3382,$G3382,$H3382,J$19)</f>
        <v>22</v>
      </c>
    </row>
    <row r="3383" spans="1:10" s="23" customFormat="1" outlineLevel="1" thickBot="1" x14ac:dyDescent="0.3">
      <c r="A3383" s="44"/>
      <c r="B3383" s="31" t="str">
        <f>IF(_xll.TM1RPTELISCONSOLIDATED($H$20,$H3383),IF(_xll.TM1RPTELLEV($H$20,$H3383)&lt;=5,_xll.TM1RPTELLEV($H$20,$H3383),"Default"),"Leaf")</f>
        <v>Leaf</v>
      </c>
      <c r="C3383" s="26" t="s">
        <v>27</v>
      </c>
      <c r="D3383" s="24" t="str">
        <f>_xll.DBRW("TM1-S1_DEV:}ElementAttributes_SP_SKU",$F3383,D$1)</f>
        <v>Primary</v>
      </c>
      <c r="E3383" s="24" t="str">
        <f>_xll.DBRW("TM1-S1_DEV:}ElementAttributes_SP_SKU",$F3383,E$1)</f>
        <v>CUP</v>
      </c>
      <c r="F3383" s="26" t="s">
        <v>3226</v>
      </c>
      <c r="G3383" s="26" t="s">
        <v>2496</v>
      </c>
      <c r="H3383" s="26" t="s">
        <v>2707</v>
      </c>
      <c r="I3383" s="54">
        <f>_xll.DBRW($A$1,$F$14,$F$15,$C3383,$A$2,$F3383,$G3383,$H3383,I$1)</f>
        <v>12</v>
      </c>
      <c r="J3383" s="25">
        <f>_xll.DBRW($A$1,$F$14,$F$15,$C3383,$A$2,$F3383,$G3383,$H3383,J$19)</f>
        <v>11</v>
      </c>
    </row>
    <row r="3384" spans="1:10" s="23" customFormat="1" outlineLevel="1" thickBot="1" x14ac:dyDescent="0.3">
      <c r="A3384" s="44"/>
      <c r="B3384" s="31" t="str">
        <f>IF(_xll.TM1RPTELISCONSOLIDATED($H$20,$H3384),IF(_xll.TM1RPTELLEV($H$20,$H3384)&lt;=5,_xll.TM1RPTELLEV($H$20,$H3384),"Default"),"Leaf")</f>
        <v>Leaf</v>
      </c>
      <c r="C3384" s="26" t="s">
        <v>27</v>
      </c>
      <c r="D3384" s="24" t="str">
        <f>_xll.DBRW("TM1-S1_DEV:}ElementAttributes_SP_SKU",$F3384,D$1)</f>
        <v>Primary</v>
      </c>
      <c r="E3384" s="24" t="str">
        <f>_xll.DBRW("TM1-S1_DEV:}ElementAttributes_SP_SKU",$F3384,E$1)</f>
        <v>PROTEIN</v>
      </c>
      <c r="F3384" s="26" t="s">
        <v>3227</v>
      </c>
      <c r="G3384" s="26" t="s">
        <v>2497</v>
      </c>
      <c r="H3384" s="26" t="s">
        <v>2673</v>
      </c>
      <c r="I3384" s="54">
        <f>_xll.DBRW($A$1,$F$14,$F$15,$C3384,$A$2,$F3384,$G3384,$H3384,I$1)</f>
        <v>37</v>
      </c>
      <c r="J3384" s="25">
        <f>_xll.DBRW($A$1,$F$14,$F$15,$C3384,$A$2,$F3384,$G3384,$H3384,J$19)</f>
        <v>19</v>
      </c>
    </row>
    <row r="3385" spans="1:10" s="23" customFormat="1" outlineLevel="1" thickBot="1" x14ac:dyDescent="0.3">
      <c r="A3385" s="44"/>
      <c r="B3385" s="31" t="str">
        <f>IF(_xll.TM1RPTELISCONSOLIDATED($H$20,$H3385),IF(_xll.TM1RPTELLEV($H$20,$H3385)&lt;=5,_xll.TM1RPTELLEV($H$20,$H3385),"Default"),"Leaf")</f>
        <v>Leaf</v>
      </c>
      <c r="C3385" s="26" t="s">
        <v>27</v>
      </c>
      <c r="D3385" s="24" t="str">
        <f>_xll.DBRW("TM1-S1_DEV:}ElementAttributes_SP_SKU",$F3385,D$1)</f>
        <v>Primary</v>
      </c>
      <c r="E3385" s="24" t="str">
        <f>_xll.DBRW("TM1-S1_DEV:}ElementAttributes_SP_SKU",$F3385,E$1)</f>
        <v>GLOVES</v>
      </c>
      <c r="F3385" s="26" t="s">
        <v>3274</v>
      </c>
      <c r="G3385" s="26" t="s">
        <v>2604</v>
      </c>
      <c r="H3385" s="26" t="s">
        <v>2712</v>
      </c>
      <c r="I3385" s="54">
        <f>_xll.DBRW($A$1,$F$14,$F$15,$C3385,$A$2,$F3385,$G3385,$H3385,I$1)</f>
        <v>6</v>
      </c>
      <c r="J3385" s="25">
        <f>_xll.DBRW($A$1,$F$14,$F$15,$C3385,$A$2,$F3385,$G3385,$H3385,J$19)</f>
        <v>6</v>
      </c>
    </row>
    <row r="3386" spans="1:10" s="23" customFormat="1" outlineLevel="1" thickBot="1" x14ac:dyDescent="0.3">
      <c r="A3386" s="44"/>
      <c r="B3386" s="31" t="str">
        <f>IF(_xll.TM1RPTELISCONSOLIDATED($H$20,$H3386),IF(_xll.TM1RPTELLEV($H$20,$H3386)&lt;=5,_xll.TM1RPTELLEV($H$20,$H3386),"Default"),"Leaf")</f>
        <v>Leaf</v>
      </c>
      <c r="C3386" s="26" t="s">
        <v>27</v>
      </c>
      <c r="D3386" s="24" t="str">
        <f>_xll.DBRW("TM1-S1_DEV:}ElementAttributes_SP_SKU",$F3386,D$1)</f>
        <v>Primary</v>
      </c>
      <c r="E3386" s="24" t="str">
        <f>_xll.DBRW("TM1-S1_DEV:}ElementAttributes_SP_SKU",$F3386,E$1)</f>
        <v>GLOVES</v>
      </c>
      <c r="F3386" s="26" t="s">
        <v>3275</v>
      </c>
      <c r="G3386" s="26" t="s">
        <v>2498</v>
      </c>
      <c r="H3386" s="26" t="s">
        <v>2712</v>
      </c>
      <c r="I3386" s="54">
        <f>_xll.DBRW($A$1,$F$14,$F$15,$C3386,$A$2,$F3386,$G3386,$H3386,I$1)</f>
        <v>9</v>
      </c>
      <c r="J3386" s="25">
        <f>_xll.DBRW($A$1,$F$14,$F$15,$C3386,$A$2,$F3386,$G3386,$H3386,J$19)</f>
        <v>9</v>
      </c>
    </row>
    <row r="3387" spans="1:10" s="23" customFormat="1" outlineLevel="1" thickBot="1" x14ac:dyDescent="0.3">
      <c r="A3387" s="44"/>
      <c r="B3387" s="31" t="str">
        <f>IF(_xll.TM1RPTELISCONSOLIDATED($H$20,$H3387),IF(_xll.TM1RPTELLEV($H$20,$H3387)&lt;=5,_xll.TM1RPTELLEV($H$20,$H3387),"Default"),"Leaf")</f>
        <v>Leaf</v>
      </c>
      <c r="C3387" s="26" t="s">
        <v>27</v>
      </c>
      <c r="D3387" s="24" t="str">
        <f>_xll.DBRW("TM1-S1_DEV:}ElementAttributes_SP_SKU",$F3387,D$1)</f>
        <v>Primary</v>
      </c>
      <c r="E3387" s="24" t="str">
        <f>_xll.DBRW("TM1-S1_DEV:}ElementAttributes_SP_SKU",$F3387,E$1)</f>
        <v>GLOVES</v>
      </c>
      <c r="F3387" s="26" t="s">
        <v>3276</v>
      </c>
      <c r="G3387" s="26" t="s">
        <v>2605</v>
      </c>
      <c r="H3387" s="26" t="s">
        <v>2712</v>
      </c>
      <c r="I3387" s="54">
        <f>_xll.DBRW($A$1,$F$14,$F$15,$C3387,$A$2,$F3387,$G3387,$H3387,I$1)</f>
        <v>2</v>
      </c>
      <c r="J3387" s="25">
        <f>_xll.DBRW($A$1,$F$14,$F$15,$C3387,$A$2,$F3387,$G3387,$H3387,J$19)</f>
        <v>2</v>
      </c>
    </row>
    <row r="3388" spans="1:10" s="23" customFormat="1" outlineLevel="1" thickBot="1" x14ac:dyDescent="0.3">
      <c r="A3388" s="44"/>
      <c r="B3388" s="31" t="str">
        <f>IF(_xll.TM1RPTELISCONSOLIDATED($H$20,$H3388),IF(_xll.TM1RPTELLEV($H$20,$H3388)&lt;=5,_xll.TM1RPTELLEV($H$20,$H3388),"Default"),"Leaf")</f>
        <v>Leaf</v>
      </c>
      <c r="C3388" s="26" t="s">
        <v>27</v>
      </c>
      <c r="D3388" s="24" t="str">
        <f>_xll.DBRW("TM1-S1_DEV:}ElementAttributes_SP_SKU",$F3388,D$1)</f>
        <v>Primary</v>
      </c>
      <c r="E3388" s="24" t="str">
        <f>_xll.DBRW("TM1-S1_DEV:}ElementAttributes_SP_SKU",$F3388,E$1)</f>
        <v>TRAY</v>
      </c>
      <c r="F3388" s="26" t="s">
        <v>3228</v>
      </c>
      <c r="G3388" s="26" t="s">
        <v>2499</v>
      </c>
      <c r="H3388" s="26" t="s">
        <v>2708</v>
      </c>
      <c r="I3388" s="54">
        <f>_xll.DBRW($A$1,$F$14,$F$15,$C3388,$A$2,$F3388,$G3388,$H3388,I$1)</f>
        <v>18</v>
      </c>
      <c r="J3388" s="25">
        <f>_xll.DBRW($A$1,$F$14,$F$15,$C3388,$A$2,$F3388,$G3388,$H3388,J$19)</f>
        <v>16</v>
      </c>
    </row>
    <row r="3389" spans="1:10" s="23" customFormat="1" outlineLevel="1" thickBot="1" x14ac:dyDescent="0.3">
      <c r="A3389" s="44"/>
      <c r="B3389" s="31" t="str">
        <f>IF(_xll.TM1RPTELISCONSOLIDATED($H$20,$H3389),IF(_xll.TM1RPTELLEV($H$20,$H3389)&lt;=5,_xll.TM1RPTELLEV($H$20,$H3389),"Default"),"Leaf")</f>
        <v>Leaf</v>
      </c>
      <c r="C3389" s="26" t="s">
        <v>27</v>
      </c>
      <c r="D3389" s="24" t="str">
        <f>_xll.DBRW("TM1-S1_DEV:}ElementAttributes_SP_SKU",$F3389,D$1)</f>
        <v>Primary</v>
      </c>
      <c r="E3389" s="24" t="str">
        <f>_xll.DBRW("TM1-S1_DEV:}ElementAttributes_SP_SKU",$F3389,E$1)</f>
        <v>TRAY</v>
      </c>
      <c r="F3389" s="26" t="s">
        <v>3229</v>
      </c>
      <c r="G3389" s="26" t="s">
        <v>2500</v>
      </c>
      <c r="H3389" s="26" t="s">
        <v>2708</v>
      </c>
      <c r="I3389" s="54">
        <f>_xll.DBRW($A$1,$F$14,$F$15,$C3389,$A$2,$F3389,$G3389,$H3389,I$1)</f>
        <v>18</v>
      </c>
      <c r="J3389" s="25">
        <f>_xll.DBRW($A$1,$F$14,$F$15,$C3389,$A$2,$F3389,$G3389,$H3389,J$19)</f>
        <v>16</v>
      </c>
    </row>
    <row r="3390" spans="1:10" s="23" customFormat="1" outlineLevel="1" thickBot="1" x14ac:dyDescent="0.3">
      <c r="A3390" s="44"/>
      <c r="B3390" s="31" t="str">
        <f>IF(_xll.TM1RPTELISCONSOLIDATED($H$20,$H3390),IF(_xll.TM1RPTELLEV($H$20,$H3390)&lt;=5,_xll.TM1RPTELLEV($H$20,$H3390),"Default"),"Leaf")</f>
        <v>Leaf</v>
      </c>
      <c r="C3390" s="26" t="s">
        <v>27</v>
      </c>
      <c r="D3390" s="24" t="str">
        <f>_xll.DBRW("TM1-S1_DEV:}ElementAttributes_SP_SKU",$F3390,D$1)</f>
        <v>Primary</v>
      </c>
      <c r="E3390" s="24" t="str">
        <f>_xll.DBRW("TM1-S1_DEV:}ElementAttributes_SP_SKU",$F3390,E$1)</f>
        <v>BOWL</v>
      </c>
      <c r="F3390" s="26" t="s">
        <v>3230</v>
      </c>
      <c r="G3390" s="26" t="s">
        <v>2501</v>
      </c>
      <c r="H3390" s="26" t="s">
        <v>2703</v>
      </c>
      <c r="I3390" s="54">
        <f>_xll.DBRW($A$1,$F$14,$F$15,$C3390,$A$2,$F3390,$G3390,$H3390,I$1)</f>
        <v>6</v>
      </c>
      <c r="J3390" s="25">
        <f>_xll.DBRW($A$1,$F$14,$F$15,$C3390,$A$2,$F3390,$G3390,$H3390,J$19)</f>
        <v>6</v>
      </c>
    </row>
    <row r="3391" spans="1:10" s="23" customFormat="1" outlineLevel="1" thickBot="1" x14ac:dyDescent="0.3">
      <c r="A3391" s="44"/>
      <c r="B3391" s="31" t="str">
        <f>IF(_xll.TM1RPTELISCONSOLIDATED($H$20,$H3391),IF(_xll.TM1RPTELLEV($H$20,$H3391)&lt;=5,_xll.TM1RPTELLEV($H$20,$H3391),"Default"),"Leaf")</f>
        <v>Leaf</v>
      </c>
      <c r="C3391" s="26" t="s">
        <v>27</v>
      </c>
      <c r="D3391" s="24" t="str">
        <f>_xll.DBRW("TM1-S1_DEV:}ElementAttributes_SP_SKU",$F3391,D$1)</f>
        <v>Primary</v>
      </c>
      <c r="E3391" s="24" t="str">
        <f>_xll.DBRW("TM1-S1_DEV:}ElementAttributes_SP_SKU",$F3391,E$1)</f>
        <v>BREAD</v>
      </c>
      <c r="F3391" s="26" t="s">
        <v>3260</v>
      </c>
      <c r="G3391" s="26" t="s">
        <v>2503</v>
      </c>
      <c r="H3391" s="26" t="s">
        <v>2710</v>
      </c>
      <c r="I3391" s="54">
        <f>_xll.DBRW($A$1,$F$14,$F$15,$C3391,$A$2,$F3391,$G3391,$H3391,I$1)</f>
        <v>30</v>
      </c>
      <c r="J3391" s="25">
        <f>_xll.DBRW($A$1,$F$14,$F$15,$C3391,$A$2,$F3391,$G3391,$H3391,J$19)</f>
        <v>20</v>
      </c>
    </row>
    <row r="3392" spans="1:10" s="23" customFormat="1" outlineLevel="1" thickBot="1" x14ac:dyDescent="0.3">
      <c r="A3392" s="44"/>
      <c r="B3392" s="31" t="str">
        <f>IF(_xll.TM1RPTELISCONSOLIDATED($H$20,$H3392),IF(_xll.TM1RPTELLEV($H$20,$H3392)&lt;=5,_xll.TM1RPTELLEV($H$20,$H3392),"Default"),"Leaf")</f>
        <v>Leaf</v>
      </c>
      <c r="C3392" s="26" t="s">
        <v>27</v>
      </c>
      <c r="D3392" s="24" t="str">
        <f>_xll.DBRW("TM1-S1_DEV:}ElementAttributes_SP_SKU",$F3392,D$1)</f>
        <v>Primary</v>
      </c>
      <c r="E3392" s="24" t="str">
        <f>_xll.DBRW("TM1-S1_DEV:}ElementAttributes_SP_SKU",$F3392,E$1)</f>
        <v>TRAY</v>
      </c>
      <c r="F3392" s="26" t="s">
        <v>3231</v>
      </c>
      <c r="G3392" s="26" t="s">
        <v>2504</v>
      </c>
      <c r="H3392" s="26" t="s">
        <v>2711</v>
      </c>
      <c r="I3392" s="54">
        <f>_xll.DBRW($A$1,$F$14,$F$15,$C3392,$A$2,$F3392,$G3392,$H3392,I$1)</f>
        <v>23</v>
      </c>
      <c r="J3392" s="25">
        <f>_xll.DBRW($A$1,$F$14,$F$15,$C3392,$A$2,$F3392,$G3392,$H3392,J$19)</f>
        <v>19</v>
      </c>
    </row>
    <row r="3393" spans="1:10" s="23" customFormat="1" outlineLevel="1" thickBot="1" x14ac:dyDescent="0.3">
      <c r="A3393" s="44"/>
      <c r="B3393" s="31" t="str">
        <f>IF(_xll.TM1RPTELISCONSOLIDATED($H$20,$H3393),IF(_xll.TM1RPTELLEV($H$20,$H3393)&lt;=5,_xll.TM1RPTELLEV($H$20,$H3393),"Default"),"Leaf")</f>
        <v>Leaf</v>
      </c>
      <c r="C3393" s="26" t="s">
        <v>27</v>
      </c>
      <c r="D3393" s="24" t="str">
        <f>_xll.DBRW("TM1-S1_DEV:}ElementAttributes_SP_SKU",$F3393,D$1)</f>
        <v>Primary</v>
      </c>
      <c r="E3393" s="24" t="str">
        <f>_xll.DBRW("TM1-S1_DEV:}ElementAttributes_SP_SKU",$F3393,E$1)</f>
        <v>PAPER</v>
      </c>
      <c r="F3393" s="26" t="s">
        <v>3261</v>
      </c>
      <c r="G3393" s="26" t="s">
        <v>2505</v>
      </c>
      <c r="H3393" s="26" t="s">
        <v>2716</v>
      </c>
      <c r="I3393" s="54">
        <f>_xll.DBRW($A$1,$F$14,$F$15,$C3393,$A$2,$F3393,$G3393,$H3393,I$1)</f>
        <v>8</v>
      </c>
      <c r="J3393" s="25">
        <f>_xll.DBRW($A$1,$F$14,$F$15,$C3393,$A$2,$F3393,$G3393,$H3393,J$19)</f>
        <v>11</v>
      </c>
    </row>
    <row r="3394" spans="1:10" s="23" customFormat="1" outlineLevel="1" thickBot="1" x14ac:dyDescent="0.3">
      <c r="A3394" s="44"/>
      <c r="B3394" s="31" t="str">
        <f>IF(_xll.TM1RPTELISCONSOLIDATED($H$20,$H3394),IF(_xll.TM1RPTELLEV($H$20,$H3394)&lt;=5,_xll.TM1RPTELLEV($H$20,$H3394),"Default"),"Leaf")</f>
        <v>Leaf</v>
      </c>
      <c r="C3394" s="26" t="s">
        <v>27</v>
      </c>
      <c r="D3394" s="24" t="str">
        <f>_xll.DBRW("TM1-S1_DEV:}ElementAttributes_SP_SKU",$F3394,D$1)</f>
        <v>Primary</v>
      </c>
      <c r="E3394" s="24" t="str">
        <f>_xll.DBRW("TM1-S1_DEV:}ElementAttributes_SP_SKU",$F3394,E$1)</f>
        <v>BOWL</v>
      </c>
      <c r="F3394" s="26" t="s">
        <v>3237</v>
      </c>
      <c r="G3394" s="26" t="s">
        <v>2506</v>
      </c>
      <c r="H3394" s="26" t="s">
        <v>2703</v>
      </c>
      <c r="I3394" s="54">
        <f>_xll.DBRW($A$1,$F$14,$F$15,$C3394,$A$2,$F3394,$G3394,$H3394,I$1)</f>
        <v>7</v>
      </c>
      <c r="J3394" s="25">
        <f>_xll.DBRW($A$1,$F$14,$F$15,$C3394,$A$2,$F3394,$G3394,$H3394,J$19)</f>
        <v>7</v>
      </c>
    </row>
    <row r="3395" spans="1:10" s="23" customFormat="1" outlineLevel="1" thickBot="1" x14ac:dyDescent="0.3">
      <c r="A3395" s="44"/>
      <c r="B3395" s="31" t="str">
        <f>IF(_xll.TM1RPTELISCONSOLIDATED($H$20,$H3395),IF(_xll.TM1RPTELLEV($H$20,$H3395)&lt;=5,_xll.TM1RPTELLEV($H$20,$H3395),"Default"),"Leaf")</f>
        <v>Leaf</v>
      </c>
      <c r="C3395" s="26" t="s">
        <v>27</v>
      </c>
      <c r="D3395" s="24" t="str">
        <f>_xll.DBRW("TM1-S1_DEV:}ElementAttributes_SP_SKU",$F3395,D$1)</f>
        <v>Primary</v>
      </c>
      <c r="E3395" s="24" t="str">
        <f>_xll.DBRW("TM1-S1_DEV:}ElementAttributes_SP_SKU",$F3395,E$1)</f>
        <v>BOWL</v>
      </c>
      <c r="F3395" s="26" t="s">
        <v>3238</v>
      </c>
      <c r="G3395" s="26" t="s">
        <v>2507</v>
      </c>
      <c r="H3395" s="26" t="s">
        <v>2703</v>
      </c>
      <c r="I3395" s="54">
        <f>_xll.DBRW($A$1,$F$14,$F$15,$C3395,$A$2,$F3395,$G3395,$H3395,I$1)</f>
        <v>6</v>
      </c>
      <c r="J3395" s="25">
        <f>_xll.DBRW($A$1,$F$14,$F$15,$C3395,$A$2,$F3395,$G3395,$H3395,J$19)</f>
        <v>6</v>
      </c>
    </row>
    <row r="3396" spans="1:10" s="23" customFormat="1" outlineLevel="1" thickBot="1" x14ac:dyDescent="0.3">
      <c r="A3396" s="44"/>
      <c r="B3396" s="31" t="str">
        <f>IF(_xll.TM1RPTELISCONSOLIDATED($H$20,$H3396),IF(_xll.TM1RPTELLEV($H$20,$H3396)&lt;=5,_xll.TM1RPTELLEV($H$20,$H3396),"Default"),"Leaf")</f>
        <v>Leaf</v>
      </c>
      <c r="C3396" s="26" t="s">
        <v>27</v>
      </c>
      <c r="D3396" s="24" t="str">
        <f>_xll.DBRW("TM1-S1_DEV:}ElementAttributes_SP_SKU",$F3396,D$1)</f>
        <v>Primary</v>
      </c>
      <c r="E3396" s="24" t="str">
        <f>_xll.DBRW("TM1-S1_DEV:}ElementAttributes_SP_SKU",$F3396,E$1)</f>
        <v>PAPER</v>
      </c>
      <c r="F3396" s="26" t="s">
        <v>3239</v>
      </c>
      <c r="G3396" s="26" t="s">
        <v>2508</v>
      </c>
      <c r="H3396" s="26" t="s">
        <v>2715</v>
      </c>
      <c r="I3396" s="54">
        <f>_xll.DBRW($A$1,$F$14,$F$15,$C3396,$A$2,$F3396,$G3396,$H3396,I$1)</f>
        <v>27</v>
      </c>
      <c r="J3396" s="25">
        <f>_xll.DBRW($A$1,$F$14,$F$15,$C3396,$A$2,$F3396,$G3396,$H3396,J$19)</f>
        <v>26</v>
      </c>
    </row>
    <row r="3397" spans="1:10" s="23" customFormat="1" outlineLevel="1" thickBot="1" x14ac:dyDescent="0.3">
      <c r="A3397" s="44"/>
      <c r="B3397" s="31" t="str">
        <f>IF(_xll.TM1RPTELISCONSOLIDATED($H$20,$H3397),IF(_xll.TM1RPTELLEV($H$20,$H3397)&lt;=5,_xll.TM1RPTELLEV($H$20,$H3397),"Default"),"Leaf")</f>
        <v>Leaf</v>
      </c>
      <c r="C3397" s="26" t="s">
        <v>27</v>
      </c>
      <c r="D3397" s="24" t="str">
        <f>_xll.DBRW("TM1-S1_DEV:}ElementAttributes_SP_SKU",$F3397,D$1)</f>
        <v>Primary</v>
      </c>
      <c r="E3397" s="24" t="str">
        <f>_xll.DBRW("TM1-S1_DEV:}ElementAttributes_SP_SKU",$F3397,E$1)</f>
        <v>BOWL</v>
      </c>
      <c r="F3397" s="26" t="s">
        <v>32</v>
      </c>
      <c r="G3397" s="26" t="s">
        <v>2509</v>
      </c>
      <c r="H3397" s="26" t="s">
        <v>2708</v>
      </c>
      <c r="I3397" s="54">
        <f>_xll.DBRW($A$1,$F$14,$F$15,$C3397,$A$2,$F3397,$G3397,$H3397,I$1)</f>
        <v>11</v>
      </c>
      <c r="J3397" s="25">
        <f>_xll.DBRW($A$1,$F$14,$F$15,$C3397,$A$2,$F3397,$G3397,$H3397,J$19)</f>
        <v>11</v>
      </c>
    </row>
    <row r="3398" spans="1:10" s="23" customFormat="1" outlineLevel="1" thickBot="1" x14ac:dyDescent="0.3">
      <c r="A3398" s="44"/>
      <c r="B3398" s="31" t="str">
        <f>IF(_xll.TM1RPTELISCONSOLIDATED($H$20,$H3398),IF(_xll.TM1RPTELLEV($H$20,$H3398)&lt;=5,_xll.TM1RPTELLEV($H$20,$H3398),"Default"),"Leaf")</f>
        <v>Leaf</v>
      </c>
      <c r="C3398" s="26" t="s">
        <v>27</v>
      </c>
      <c r="D3398" s="24" t="str">
        <f>_xll.DBRW("TM1-S1_DEV:}ElementAttributes_SP_SKU",$F3398,D$1)</f>
        <v>Primary</v>
      </c>
      <c r="E3398" s="24" t="str">
        <f>_xll.DBRW("TM1-S1_DEV:}ElementAttributes_SP_SKU",$F3398,E$1)</f>
        <v>BOWL</v>
      </c>
      <c r="F3398" s="26" t="s">
        <v>33</v>
      </c>
      <c r="G3398" s="26" t="s">
        <v>2510</v>
      </c>
      <c r="H3398" s="26" t="s">
        <v>2708</v>
      </c>
      <c r="I3398" s="54">
        <f>_xll.DBRW($A$1,$F$14,$F$15,$C3398,$A$2,$F3398,$G3398,$H3398,I$1)</f>
        <v>9</v>
      </c>
      <c r="J3398" s="25">
        <f>_xll.DBRW($A$1,$F$14,$F$15,$C3398,$A$2,$F3398,$G3398,$H3398,J$19)</f>
        <v>9</v>
      </c>
    </row>
    <row r="3399" spans="1:10" s="23" customFormat="1" outlineLevel="1" thickBot="1" x14ac:dyDescent="0.3">
      <c r="A3399" s="44"/>
      <c r="B3399" s="31" t="str">
        <f>IF(_xll.TM1RPTELISCONSOLIDATED($H$20,$H3399),IF(_xll.TM1RPTELLEV($H$20,$H3399)&lt;=5,_xll.TM1RPTELLEV($H$20,$H3399),"Default"),"Leaf")</f>
        <v>Leaf</v>
      </c>
      <c r="C3399" s="26" t="s">
        <v>27</v>
      </c>
      <c r="D3399" s="24" t="str">
        <f>_xll.DBRW("TM1-S1_DEV:}ElementAttributes_SP_SKU",$F3399,D$1)</f>
        <v>Primary</v>
      </c>
      <c r="E3399" s="24" t="str">
        <f>_xll.DBRW("TM1-S1_DEV:}ElementAttributes_SP_SKU",$F3399,E$1)</f>
        <v>CONDIMENT</v>
      </c>
      <c r="F3399" s="26" t="s">
        <v>542</v>
      </c>
      <c r="G3399" s="26" t="s">
        <v>2581</v>
      </c>
      <c r="H3399" s="26" t="s">
        <v>2718</v>
      </c>
      <c r="I3399" s="54">
        <f>_xll.DBRW($A$1,$F$14,$F$15,$C3399,$A$2,$F3399,$G3399,$H3399,I$1)</f>
        <v>6</v>
      </c>
      <c r="J3399" s="25">
        <f>_xll.DBRW($A$1,$F$14,$F$15,$C3399,$A$2,$F3399,$G3399,$H3399,J$19)</f>
        <v>6</v>
      </c>
    </row>
    <row r="3400" spans="1:10" s="23" customFormat="1" outlineLevel="1" thickBot="1" x14ac:dyDescent="0.3">
      <c r="A3400" s="44"/>
      <c r="B3400" s="31" t="str">
        <f>IF(_xll.TM1RPTELISCONSOLIDATED($H$20,$H3400),IF(_xll.TM1RPTELLEV($H$20,$H3400)&lt;=5,_xll.TM1RPTELLEV($H$20,$H3400),"Default"),"Leaf")</f>
        <v>Leaf</v>
      </c>
      <c r="C3400" s="26" t="s">
        <v>27</v>
      </c>
      <c r="D3400" s="24" t="str">
        <f>_xll.DBRW("TM1-S1_DEV:}ElementAttributes_SP_SKU",$F3400,D$1)</f>
        <v>Primary</v>
      </c>
      <c r="E3400" s="24" t="str">
        <f>_xll.DBRW("TM1-S1_DEV:}ElementAttributes_SP_SKU",$F3400,E$1)</f>
        <v>DRESSING</v>
      </c>
      <c r="F3400" s="26" t="s">
        <v>491</v>
      </c>
      <c r="G3400" s="26" t="s">
        <v>2511</v>
      </c>
      <c r="H3400" s="26" t="s">
        <v>2743</v>
      </c>
      <c r="I3400" s="54">
        <f>_xll.DBRW($A$1,$F$14,$F$15,$C3400,$A$2,$F3400,$G3400,$H3400,I$1)</f>
        <v>20</v>
      </c>
      <c r="J3400" s="25">
        <f>_xll.DBRW($A$1,$F$14,$F$15,$C3400,$A$2,$F3400,$G3400,$H3400,J$19)</f>
        <v>20</v>
      </c>
    </row>
    <row r="3401" spans="1:10" s="23" customFormat="1" outlineLevel="1" thickBot="1" x14ac:dyDescent="0.3">
      <c r="A3401" s="44"/>
      <c r="B3401" s="31" t="str">
        <f>IF(_xll.TM1RPTELISCONSOLIDATED($H$20,$H3401),IF(_xll.TM1RPTELLEV($H$20,$H3401)&lt;=5,_xll.TM1RPTELLEV($H$20,$H3401),"Default"),"Leaf")</f>
        <v>Leaf</v>
      </c>
      <c r="C3401" s="26" t="s">
        <v>27</v>
      </c>
      <c r="D3401" s="24" t="str">
        <f>_xll.DBRW("TM1-S1_DEV:}ElementAttributes_SP_SKU",$F3401,D$1)</f>
        <v>Primary</v>
      </c>
      <c r="E3401" s="24" t="str">
        <f>_xll.DBRW("TM1-S1_DEV:}ElementAttributes_SP_SKU",$F3401,E$1)</f>
        <v>FILM</v>
      </c>
      <c r="F3401" s="26" t="s">
        <v>492</v>
      </c>
      <c r="G3401" s="26" t="s">
        <v>2512</v>
      </c>
      <c r="H3401" s="26" t="s">
        <v>2902</v>
      </c>
      <c r="I3401" s="54">
        <f>_xll.DBRW($A$1,$F$14,$F$15,$C3401,$A$2,$F3401,$G3401,$H3401,I$1)</f>
        <v>424</v>
      </c>
      <c r="J3401" s="25">
        <f>_xll.DBRW($A$1,$F$14,$F$15,$C3401,$A$2,$F3401,$G3401,$H3401,J$19)</f>
        <v>712</v>
      </c>
    </row>
    <row r="3402" spans="1:10" s="23" customFormat="1" outlineLevel="1" thickBot="1" x14ac:dyDescent="0.3">
      <c r="A3402" s="44"/>
      <c r="B3402" s="31" t="str">
        <f>IF(_xll.TM1RPTELISCONSOLIDATED($H$20,$H3402),IF(_xll.TM1RPTELLEV($H$20,$H3402)&lt;=5,_xll.TM1RPTELLEV($H$20,$H3402),"Default"),"Leaf")</f>
        <v>Leaf</v>
      </c>
      <c r="C3402" s="26" t="s">
        <v>27</v>
      </c>
      <c r="D3402" s="24" t="str">
        <f>_xll.DBRW("TM1-S1_DEV:}ElementAttributes_SP_SKU",$F3402,D$1)</f>
        <v>Primary</v>
      </c>
      <c r="E3402" s="24" t="str">
        <f>_xll.DBRW("TM1-S1_DEV:}ElementAttributes_SP_SKU",$F3402,E$1)</f>
        <v>BOWL</v>
      </c>
      <c r="F3402" s="26" t="s">
        <v>561</v>
      </c>
      <c r="G3402" s="26" t="s">
        <v>2606</v>
      </c>
      <c r="H3402" s="26" t="s">
        <v>2685</v>
      </c>
      <c r="I3402" s="54">
        <f>_xll.DBRW($A$1,$F$14,$F$15,$C3402,$A$2,$F3402,$G3402,$H3402,I$1)</f>
        <v>10</v>
      </c>
      <c r="J3402" s="25">
        <f>_xll.DBRW($A$1,$F$14,$F$15,$C3402,$A$2,$F3402,$G3402,$H3402,J$19)</f>
        <v>10</v>
      </c>
    </row>
    <row r="3403" spans="1:10" s="23" customFormat="1" outlineLevel="1" thickBot="1" x14ac:dyDescent="0.3">
      <c r="A3403" s="44"/>
      <c r="B3403" s="31" t="str">
        <f>IF(_xll.TM1RPTELISCONSOLIDATED($H$20,$H3403),IF(_xll.TM1RPTELLEV($H$20,$H3403)&lt;=5,_xll.TM1RPTELLEV($H$20,$H3403),"Default"),"Leaf")</f>
        <v>Leaf</v>
      </c>
      <c r="C3403" s="26" t="s">
        <v>27</v>
      </c>
      <c r="D3403" s="24" t="str">
        <f>_xll.DBRW("TM1-S1_DEV:}ElementAttributes_SP_SKU",$F3403,D$1)</f>
        <v>Primary</v>
      </c>
      <c r="E3403" s="24" t="str">
        <f>_xll.DBRW("TM1-S1_DEV:}ElementAttributes_SP_SKU",$F3403,E$1)</f>
        <v>CHEESE</v>
      </c>
      <c r="F3403" s="26" t="s">
        <v>3016</v>
      </c>
      <c r="G3403" s="26" t="s">
        <v>3075</v>
      </c>
      <c r="H3403" s="26" t="s">
        <v>2903</v>
      </c>
      <c r="I3403" s="54">
        <f>_xll.DBRW($A$1,$F$14,$F$15,$C3403,$A$2,$F3403,$G3403,$H3403,I$1)</f>
        <v>0</v>
      </c>
      <c r="J3403" s="25">
        <f>_xll.DBRW($A$1,$F$14,$F$15,$C3403,$A$2,$F3403,$G3403,$H3403,J$19)</f>
        <v>-1</v>
      </c>
    </row>
    <row r="3404" spans="1:10" s="23" customFormat="1" outlineLevel="1" thickBot="1" x14ac:dyDescent="0.3">
      <c r="A3404" s="44"/>
      <c r="B3404" s="31" t="str">
        <f>IF(_xll.TM1RPTELISCONSOLIDATED($H$20,$H3404),IF(_xll.TM1RPTELLEV($H$20,$H3404)&lt;=5,_xll.TM1RPTELLEV($H$20,$H3404),"Default"),"Leaf")</f>
        <v>Leaf</v>
      </c>
      <c r="C3404" s="26" t="s">
        <v>27</v>
      </c>
      <c r="D3404" s="24" t="str">
        <f>_xll.DBRW("TM1-S1_DEV:}ElementAttributes_SP_SKU",$F3404,D$1)</f>
        <v>Primary</v>
      </c>
      <c r="E3404" s="24" t="str">
        <f>_xll.DBRW("TM1-S1_DEV:}ElementAttributes_SP_SKU",$F3404,E$1)</f>
        <v>CHEESE</v>
      </c>
      <c r="F3404" s="26" t="s">
        <v>493</v>
      </c>
      <c r="G3404" s="26" t="s">
        <v>2513</v>
      </c>
      <c r="H3404" s="26" t="s">
        <v>2903</v>
      </c>
      <c r="I3404" s="54">
        <f>_xll.DBRW($A$1,$F$14,$F$15,$C3404,$A$2,$F3404,$G3404,$H3404,I$1)</f>
        <v>95</v>
      </c>
      <c r="J3404" s="25">
        <f>_xll.DBRW($A$1,$F$14,$F$15,$C3404,$A$2,$F3404,$G3404,$H3404,J$19)</f>
        <v>94</v>
      </c>
    </row>
    <row r="3405" spans="1:10" s="23" customFormat="1" outlineLevel="1" thickBot="1" x14ac:dyDescent="0.3">
      <c r="A3405" s="44"/>
      <c r="B3405" s="31" t="str">
        <f>IF(_xll.TM1RPTELISCONSOLIDATED($H$20,$H3405),IF(_xll.TM1RPTELLEV($H$20,$H3405)&lt;=5,_xll.TM1RPTELLEV($H$20,$H3405),"Default"),"Leaf")</f>
        <v>Leaf</v>
      </c>
      <c r="C3405" s="26" t="s">
        <v>27</v>
      </c>
      <c r="D3405" s="24" t="str">
        <f>_xll.DBRW("TM1-S1_DEV:}ElementAttributes_SP_SKU",$F3405,D$1)</f>
        <v>Primary</v>
      </c>
      <c r="E3405" s="24" t="str">
        <f>_xll.DBRW("TM1-S1_DEV:}ElementAttributes_SP_SKU",$F3405,E$1)</f>
        <v>UTENSIL</v>
      </c>
      <c r="F3405" s="26" t="s">
        <v>562</v>
      </c>
      <c r="G3405" s="26" t="s">
        <v>2607</v>
      </c>
      <c r="H3405" s="26" t="s">
        <v>2940</v>
      </c>
      <c r="I3405" s="54">
        <f>_xll.DBRW($A$1,$F$14,$F$15,$C3405,$A$2,$F3405,$G3405,$H3405,I$1)</f>
        <v>23</v>
      </c>
      <c r="J3405" s="25">
        <f>_xll.DBRW($A$1,$F$14,$F$15,$C3405,$A$2,$F3405,$G3405,$H3405,J$19)</f>
        <v>23</v>
      </c>
    </row>
    <row r="3406" spans="1:10" s="23" customFormat="1" outlineLevel="1" thickBot="1" x14ac:dyDescent="0.3">
      <c r="A3406" s="44"/>
      <c r="B3406" s="31" t="str">
        <f>IF(_xll.TM1RPTELISCONSOLIDATED($H$20,$H3406),IF(_xll.TM1RPTELLEV($H$20,$H3406)&lt;=5,_xll.TM1RPTELLEV($H$20,$H3406),"Default"),"Leaf")</f>
        <v>Leaf</v>
      </c>
      <c r="C3406" s="26" t="s">
        <v>27</v>
      </c>
      <c r="D3406" s="24" t="str">
        <f>_xll.DBRW("TM1-S1_DEV:}ElementAttributes_SP_SKU",$F3406,D$1)</f>
        <v>Primary</v>
      </c>
      <c r="E3406" s="24" t="str">
        <f>_xll.DBRW("TM1-S1_DEV:}ElementAttributes_SP_SKU",$F3406,E$1)</f>
        <v>UTENSIL</v>
      </c>
      <c r="F3406" s="26" t="s">
        <v>563</v>
      </c>
      <c r="G3406" s="26" t="s">
        <v>2608</v>
      </c>
      <c r="H3406" s="26" t="s">
        <v>2941</v>
      </c>
      <c r="I3406" s="54">
        <f>_xll.DBRW($A$1,$F$14,$F$15,$C3406,$A$2,$F3406,$G3406,$H3406,I$1)</f>
        <v>14</v>
      </c>
      <c r="J3406" s="25">
        <f>_xll.DBRW($A$1,$F$14,$F$15,$C3406,$A$2,$F3406,$G3406,$H3406,J$19)</f>
        <v>14</v>
      </c>
    </row>
    <row r="3407" spans="1:10" s="23" customFormat="1" outlineLevel="1" thickBot="1" x14ac:dyDescent="0.3">
      <c r="A3407" s="44"/>
      <c r="B3407" s="31" t="str">
        <f>IF(_xll.TM1RPTELISCONSOLIDATED($H$20,$H3407),IF(_xll.TM1RPTELLEV($H$20,$H3407)&lt;=5,_xll.TM1RPTELLEV($H$20,$H3407),"Default"),"Leaf")</f>
        <v>Leaf</v>
      </c>
      <c r="C3407" s="26" t="s">
        <v>27</v>
      </c>
      <c r="D3407" s="24" t="str">
        <f>_xll.DBRW("TM1-S1_DEV:}ElementAttributes_SP_SKU",$F3407,D$1)</f>
        <v>Primary</v>
      </c>
      <c r="E3407" s="24" t="str">
        <f>_xll.DBRW("TM1-S1_DEV:}ElementAttributes_SP_SKU",$F3407,E$1)</f>
        <v>PRODUCE</v>
      </c>
      <c r="F3407" s="26" t="s">
        <v>3018</v>
      </c>
      <c r="G3407" s="26" t="s">
        <v>3077</v>
      </c>
      <c r="H3407" s="26" t="s">
        <v>2933</v>
      </c>
      <c r="I3407" s="54">
        <f>_xll.DBRW($A$1,$F$14,$F$15,$C3407,$A$2,$F3407,$G3407,$H3407,I$1)</f>
        <v>400</v>
      </c>
      <c r="J3407" s="25">
        <f>_xll.DBRW($A$1,$F$14,$F$15,$C3407,$A$2,$F3407,$G3407,$H3407,J$19)</f>
        <v>400</v>
      </c>
    </row>
    <row r="3408" spans="1:10" s="23" customFormat="1" outlineLevel="1" thickBot="1" x14ac:dyDescent="0.3">
      <c r="A3408" s="44"/>
      <c r="B3408" s="31" t="str">
        <f>IF(_xll.TM1RPTELISCONSOLIDATED($H$20,$H3408),IF(_xll.TM1RPTELLEV($H$20,$H3408)&lt;=5,_xll.TM1RPTELLEV($H$20,$H3408),"Default"),"Leaf")</f>
        <v>Leaf</v>
      </c>
      <c r="C3408" s="26" t="s">
        <v>27</v>
      </c>
      <c r="D3408" s="24" t="str">
        <f>_xll.DBRW("TM1-S1_DEV:}ElementAttributes_SP_SKU",$F3408,D$1)</f>
        <v>Primary</v>
      </c>
      <c r="E3408" s="24" t="str">
        <f>_xll.DBRW("TM1-S1_DEV:}ElementAttributes_SP_SKU",$F3408,E$1)</f>
        <v>PRODUCE</v>
      </c>
      <c r="F3408" s="26" t="s">
        <v>494</v>
      </c>
      <c r="G3408" s="26" t="s">
        <v>2514</v>
      </c>
      <c r="H3408" s="26" t="s">
        <v>2904</v>
      </c>
      <c r="I3408" s="54">
        <f>_xll.DBRW($A$1,$F$14,$F$15,$C3408,$A$2,$F3408,$G3408,$H3408,I$1)</f>
        <v>101</v>
      </c>
      <c r="J3408" s="25">
        <f>_xll.DBRW($A$1,$F$14,$F$15,$C3408,$A$2,$F3408,$G3408,$H3408,J$19)</f>
        <v>101</v>
      </c>
    </row>
    <row r="3409" spans="1:10" s="23" customFormat="1" outlineLevel="1" thickBot="1" x14ac:dyDescent="0.3">
      <c r="A3409" s="44"/>
      <c r="B3409" s="31" t="str">
        <f>IF(_xll.TM1RPTELISCONSOLIDATED($H$20,$H3409),IF(_xll.TM1RPTELLEV($H$20,$H3409)&lt;=5,_xll.TM1RPTELLEV($H$20,$H3409),"Default"),"Leaf")</f>
        <v>Leaf</v>
      </c>
      <c r="C3409" s="26" t="s">
        <v>27</v>
      </c>
      <c r="D3409" s="24" t="str">
        <f>_xll.DBRW("TM1-S1_DEV:}ElementAttributes_SP_SKU",$F3409,D$1)</f>
        <v>Primary</v>
      </c>
      <c r="E3409" s="24" t="str">
        <f>_xll.DBRW("TM1-S1_DEV:}ElementAttributes_SP_SKU",$F3409,E$1)</f>
        <v>PRODUCE</v>
      </c>
      <c r="F3409" s="26" t="s">
        <v>565</v>
      </c>
      <c r="G3409" s="26" t="s">
        <v>2610</v>
      </c>
      <c r="H3409" s="26" t="s">
        <v>2943</v>
      </c>
      <c r="I3409" s="54">
        <f>_xll.DBRW($A$1,$F$14,$F$15,$C3409,$A$2,$F3409,$G3409,$H3409,I$1)</f>
        <v>5</v>
      </c>
      <c r="J3409" s="25">
        <f>_xll.DBRW($A$1,$F$14,$F$15,$C3409,$A$2,$F3409,$G3409,$H3409,J$19)</f>
        <v>12</v>
      </c>
    </row>
    <row r="3410" spans="1:10" s="23" customFormat="1" outlineLevel="1" thickBot="1" x14ac:dyDescent="0.3">
      <c r="A3410" s="44"/>
      <c r="B3410" s="31" t="str">
        <f>IF(_xll.TM1RPTELISCONSOLIDATED($H$20,$H3410),IF(_xll.TM1RPTELLEV($H$20,$H3410)&lt;=5,_xll.TM1RPTELLEV($H$20,$H3410),"Default"),"Leaf")</f>
        <v>Leaf</v>
      </c>
      <c r="C3410" s="26" t="s">
        <v>27</v>
      </c>
      <c r="D3410" s="24" t="str">
        <f>_xll.DBRW("TM1-S1_DEV:}ElementAttributes_SP_SKU",$F3410,D$1)</f>
        <v>Primary</v>
      </c>
      <c r="E3410" s="24" t="str">
        <f>_xll.DBRW("TM1-S1_DEV:}ElementAttributes_SP_SKU",$F3410,E$1)</f>
        <v>DRESSING</v>
      </c>
      <c r="F3410" s="26" t="s">
        <v>566</v>
      </c>
      <c r="G3410" s="26" t="s">
        <v>2606</v>
      </c>
      <c r="H3410" s="26" t="s">
        <v>2685</v>
      </c>
      <c r="I3410" s="54">
        <f>_xll.DBRW($A$1,$F$14,$F$15,$C3410,$A$2,$F3410,$G3410,$H3410,I$1)</f>
        <v>10</v>
      </c>
      <c r="J3410" s="25">
        <f>_xll.DBRW($A$1,$F$14,$F$15,$C3410,$A$2,$F3410,$G3410,$H3410,J$19)</f>
        <v>10</v>
      </c>
    </row>
    <row r="3411" spans="1:10" s="23" customFormat="1" outlineLevel="1" thickBot="1" x14ac:dyDescent="0.3">
      <c r="A3411" s="44"/>
      <c r="B3411" s="31" t="str">
        <f>IF(_xll.TM1RPTELISCONSOLIDATED($H$20,$H3411),IF(_xll.TM1RPTELLEV($H$20,$H3411)&lt;=5,_xll.TM1RPTELLEV($H$20,$H3411),"Default"),"Leaf")</f>
        <v>Leaf</v>
      </c>
      <c r="C3411" s="26" t="s">
        <v>27</v>
      </c>
      <c r="D3411" s="24" t="str">
        <f>_xll.DBRW("TM1-S1_DEV:}ElementAttributes_SP_SKU",$F3411,D$1)</f>
        <v>Primary</v>
      </c>
      <c r="E3411" s="24" t="str">
        <f>_xll.DBRW("TM1-S1_DEV:}ElementAttributes_SP_SKU",$F3411,E$1)</f>
        <v>GLOVES</v>
      </c>
      <c r="F3411" s="26" t="s">
        <v>496</v>
      </c>
      <c r="G3411" s="26" t="s">
        <v>2516</v>
      </c>
      <c r="H3411" s="26" t="s">
        <v>2905</v>
      </c>
      <c r="I3411" s="54">
        <f>_xll.DBRW($A$1,$F$14,$F$15,$C3411,$A$2,$F3411,$G3411,$H3411,I$1)</f>
        <v>168</v>
      </c>
      <c r="J3411" s="25">
        <f>_xll.DBRW($A$1,$F$14,$F$15,$C3411,$A$2,$F3411,$G3411,$H3411,J$19)</f>
        <v>168</v>
      </c>
    </row>
    <row r="3412" spans="1:10" s="23" customFormat="1" outlineLevel="1" thickBot="1" x14ac:dyDescent="0.3">
      <c r="A3412" s="44"/>
      <c r="B3412" s="31" t="str">
        <f>IF(_xll.TM1RPTELISCONSOLIDATED($H$20,$H3412),IF(_xll.TM1RPTELLEV($H$20,$H3412)&lt;=5,_xll.TM1RPTELLEV($H$20,$H3412),"Default"),"Leaf")</f>
        <v>Leaf</v>
      </c>
      <c r="C3412" s="26" t="s">
        <v>27</v>
      </c>
      <c r="D3412" s="24" t="str">
        <f>_xll.DBRW("TM1-S1_DEV:}ElementAttributes_SP_SKU",$F3412,D$1)</f>
        <v>Primary</v>
      </c>
      <c r="E3412" s="24" t="str">
        <f>_xll.DBRW("TM1-S1_DEV:}ElementAttributes_SP_SKU",$F3412,E$1)</f>
        <v>CHIPS</v>
      </c>
      <c r="F3412" s="26" t="s">
        <v>499</v>
      </c>
      <c r="G3412" s="26" t="s">
        <v>2442</v>
      </c>
      <c r="H3412" s="26" t="s">
        <v>2907</v>
      </c>
      <c r="I3412" s="54">
        <f>_xll.DBRW($A$1,$F$14,$F$15,$C3412,$A$2,$F3412,$G3412,$H3412,I$1)</f>
        <v>43</v>
      </c>
      <c r="J3412" s="25">
        <f>_xll.DBRW($A$1,$F$14,$F$15,$C3412,$A$2,$F3412,$G3412,$H3412,J$19)</f>
        <v>39</v>
      </c>
    </row>
    <row r="3413" spans="1:10" s="23" customFormat="1" outlineLevel="1" thickBot="1" x14ac:dyDescent="0.3">
      <c r="A3413" s="44"/>
      <c r="B3413" s="31" t="str">
        <f>IF(_xll.TM1RPTELISCONSOLIDATED($H$20,$H3413),IF(_xll.TM1RPTELLEV($H$20,$H3413)&lt;=5,_xll.TM1RPTELLEV($H$20,$H3413),"Default"),"Leaf")</f>
        <v>Leaf</v>
      </c>
      <c r="C3413" s="26" t="s">
        <v>27</v>
      </c>
      <c r="D3413" s="24" t="str">
        <f>_xll.DBRW("TM1-S1_DEV:}ElementAttributes_SP_SKU",$F3413,D$1)</f>
        <v>Primary</v>
      </c>
      <c r="E3413" s="24" t="str">
        <f>_xll.DBRW("TM1-S1_DEV:}ElementAttributes_SP_SKU",$F3413,E$1)</f>
        <v>CONTAINER</v>
      </c>
      <c r="F3413" s="26" t="s">
        <v>500</v>
      </c>
      <c r="G3413" s="26" t="s">
        <v>2519</v>
      </c>
      <c r="H3413" s="26" t="s">
        <v>2908</v>
      </c>
      <c r="I3413" s="54">
        <f>_xll.DBRW($A$1,$F$14,$F$15,$C3413,$A$2,$F3413,$G3413,$H3413,I$1)</f>
        <v>95</v>
      </c>
      <c r="J3413" s="25">
        <f>_xll.DBRW($A$1,$F$14,$F$15,$C3413,$A$2,$F3413,$G3413,$H3413,J$19)</f>
        <v>131</v>
      </c>
    </row>
    <row r="3414" spans="1:10" s="23" customFormat="1" outlineLevel="1" thickBot="1" x14ac:dyDescent="0.3">
      <c r="A3414" s="44"/>
      <c r="B3414" s="31" t="str">
        <f>IF(_xll.TM1RPTELISCONSOLIDATED($H$20,$H3414),IF(_xll.TM1RPTELLEV($H$20,$H3414)&lt;=5,_xll.TM1RPTELLEV($H$20,$H3414),"Default"),"Leaf")</f>
        <v>Leaf</v>
      </c>
      <c r="C3414" s="26" t="s">
        <v>27</v>
      </c>
      <c r="D3414" s="24" t="str">
        <f>_xll.DBRW("TM1-S1_DEV:}ElementAttributes_SP_SKU",$F3414,D$1)</f>
        <v>Primary</v>
      </c>
      <c r="E3414" s="24" t="str">
        <f>_xll.DBRW("TM1-S1_DEV:}ElementAttributes_SP_SKU",$F3414,E$1)</f>
        <v>PAPER</v>
      </c>
      <c r="F3414" s="26" t="s">
        <v>501</v>
      </c>
      <c r="G3414" s="26" t="s">
        <v>2520</v>
      </c>
      <c r="H3414" s="26" t="s">
        <v>2909</v>
      </c>
      <c r="I3414" s="54">
        <f>_xll.DBRW($A$1,$F$14,$F$15,$C3414,$A$2,$F3414,$G3414,$H3414,I$1)</f>
        <v>26</v>
      </c>
      <c r="J3414" s="25">
        <f>_xll.DBRW($A$1,$F$14,$F$15,$C3414,$A$2,$F3414,$G3414,$H3414,J$19)</f>
        <v>62</v>
      </c>
    </row>
    <row r="3415" spans="1:10" s="23" customFormat="1" outlineLevel="1" thickBot="1" x14ac:dyDescent="0.3">
      <c r="A3415" s="44"/>
      <c r="B3415" s="31" t="str">
        <f>IF(_xll.TM1RPTELISCONSOLIDATED($H$20,$H3415),IF(_xll.TM1RPTELLEV($H$20,$H3415)&lt;=5,_xll.TM1RPTELLEV($H$20,$H3415),"Default"),"Leaf")</f>
        <v>Leaf</v>
      </c>
      <c r="C3415" s="26" t="s">
        <v>27</v>
      </c>
      <c r="D3415" s="24" t="str">
        <f>_xll.DBRW("TM1-S1_DEV:}ElementAttributes_SP_SKU",$F3415,D$1)</f>
        <v>Primary</v>
      </c>
      <c r="E3415" s="24" t="str">
        <f>_xll.DBRW("TM1-S1_DEV:}ElementAttributes_SP_SKU",$F3415,E$1)</f>
        <v>BAG</v>
      </c>
      <c r="F3415" s="26" t="s">
        <v>502</v>
      </c>
      <c r="G3415" s="26" t="s">
        <v>2521</v>
      </c>
      <c r="H3415" s="26" t="s">
        <v>2910</v>
      </c>
      <c r="I3415" s="54">
        <f>_xll.DBRW($A$1,$F$14,$F$15,$C3415,$A$2,$F3415,$G3415,$H3415,I$1)</f>
        <v>123</v>
      </c>
      <c r="J3415" s="25">
        <f>_xll.DBRW($A$1,$F$14,$F$15,$C3415,$A$2,$F3415,$G3415,$H3415,J$19)</f>
        <v>123</v>
      </c>
    </row>
    <row r="3416" spans="1:10" s="23" customFormat="1" outlineLevel="1" thickBot="1" x14ac:dyDescent="0.3">
      <c r="A3416" s="44"/>
      <c r="B3416" s="31" t="str">
        <f>IF(_xll.TM1RPTELISCONSOLIDATED($H$20,$H3416),IF(_xll.TM1RPTELLEV($H$20,$H3416)&lt;=5,_xll.TM1RPTELLEV($H$20,$H3416),"Default"),"Leaf")</f>
        <v>Leaf</v>
      </c>
      <c r="C3416" s="26" t="s">
        <v>27</v>
      </c>
      <c r="D3416" s="24" t="str">
        <f>_xll.DBRW("TM1-S1_DEV:}ElementAttributes_SP_SKU",$F3416,D$1)</f>
        <v>Primary</v>
      </c>
      <c r="E3416" s="24" t="str">
        <f>_xll.DBRW("TM1-S1_DEV:}ElementAttributes_SP_SKU",$F3416,E$1)</f>
        <v>GLOVES</v>
      </c>
      <c r="F3416" s="26" t="s">
        <v>552</v>
      </c>
      <c r="G3416" s="26" t="s">
        <v>2590</v>
      </c>
      <c r="H3416" s="26" t="s">
        <v>2911</v>
      </c>
      <c r="I3416" s="54">
        <f>_xll.DBRW($A$1,$F$14,$F$15,$C3416,$A$2,$F3416,$G3416,$H3416,I$1)</f>
        <v>104</v>
      </c>
      <c r="J3416" s="25">
        <f>_xll.DBRW($A$1,$F$14,$F$15,$C3416,$A$2,$F3416,$G3416,$H3416,J$19)</f>
        <v>102</v>
      </c>
    </row>
    <row r="3417" spans="1:10" s="23" customFormat="1" outlineLevel="1" thickBot="1" x14ac:dyDescent="0.3">
      <c r="A3417" s="44"/>
      <c r="B3417" s="31" t="str">
        <f>IF(_xll.TM1RPTELISCONSOLIDATED($H$20,$H3417),IF(_xll.TM1RPTELLEV($H$20,$H3417)&lt;=5,_xll.TM1RPTELLEV($H$20,$H3417),"Default"),"Leaf")</f>
        <v>Leaf</v>
      </c>
      <c r="C3417" s="26" t="s">
        <v>27</v>
      </c>
      <c r="D3417" s="24" t="str">
        <f>_xll.DBRW("TM1-S1_DEV:}ElementAttributes_SP_SKU",$F3417,D$1)</f>
        <v>Primary</v>
      </c>
      <c r="E3417" s="24" t="str">
        <f>_xll.DBRW("TM1-S1_DEV:}ElementAttributes_SP_SKU",$F3417,E$1)</f>
        <v>GLOVES</v>
      </c>
      <c r="F3417" s="26" t="s">
        <v>567</v>
      </c>
      <c r="G3417" s="26" t="s">
        <v>2611</v>
      </c>
      <c r="H3417" s="26" t="s">
        <v>2911</v>
      </c>
      <c r="I3417" s="54">
        <f>_xll.DBRW($A$1,$F$14,$F$15,$C3417,$A$2,$F3417,$G3417,$H3417,I$1)</f>
        <v>168</v>
      </c>
      <c r="J3417" s="25">
        <f>_xll.DBRW($A$1,$F$14,$F$15,$C3417,$A$2,$F3417,$G3417,$H3417,J$19)</f>
        <v>166</v>
      </c>
    </row>
    <row r="3418" spans="1:10" s="23" customFormat="1" outlineLevel="1" thickBot="1" x14ac:dyDescent="0.3">
      <c r="A3418" s="44"/>
      <c r="B3418" s="31" t="str">
        <f>IF(_xll.TM1RPTELISCONSOLIDATED($H$20,$H3418),IF(_xll.TM1RPTELLEV($H$20,$H3418)&lt;=5,_xll.TM1RPTELLEV($H$20,$H3418),"Default"),"Leaf")</f>
        <v>Leaf</v>
      </c>
      <c r="C3418" s="26" t="s">
        <v>27</v>
      </c>
      <c r="D3418" s="24" t="str">
        <f>_xll.DBRW("TM1-S1_DEV:}ElementAttributes_SP_SKU",$F3418,D$1)</f>
        <v>Primary</v>
      </c>
      <c r="E3418" s="24" t="str">
        <f>_xll.DBRW("TM1-S1_DEV:}ElementAttributes_SP_SKU",$F3418,E$1)</f>
        <v>PAPER</v>
      </c>
      <c r="F3418" s="26" t="s">
        <v>553</v>
      </c>
      <c r="G3418" s="26" t="s">
        <v>2591</v>
      </c>
      <c r="H3418" s="26" t="s">
        <v>2912</v>
      </c>
      <c r="I3418" s="54">
        <f>_xll.DBRW($A$1,$F$14,$F$15,$C3418,$A$2,$F3418,$G3418,$H3418,I$1)</f>
        <v>16</v>
      </c>
      <c r="J3418" s="25">
        <f>_xll.DBRW($A$1,$F$14,$F$15,$C3418,$A$2,$F3418,$G3418,$H3418,J$19)</f>
        <v>16</v>
      </c>
    </row>
    <row r="3419" spans="1:10" s="23" customFormat="1" outlineLevel="1" thickBot="1" x14ac:dyDescent="0.3">
      <c r="A3419" s="44"/>
      <c r="B3419" s="31" t="str">
        <f>IF(_xll.TM1RPTELISCONSOLIDATED($H$20,$H3419),IF(_xll.TM1RPTELLEV($H$20,$H3419)&lt;=5,_xll.TM1RPTELLEV($H$20,$H3419),"Default"),"Leaf")</f>
        <v>Leaf</v>
      </c>
      <c r="C3419" s="26" t="s">
        <v>27</v>
      </c>
      <c r="D3419" s="24" t="str">
        <f>_xll.DBRW("TM1-S1_DEV:}ElementAttributes_SP_SKU",$F3419,D$1)</f>
        <v>Primary</v>
      </c>
      <c r="E3419" s="24" t="str">
        <f>_xll.DBRW("TM1-S1_DEV:}ElementAttributes_SP_SKU",$F3419,E$1)</f>
        <v>PAPER</v>
      </c>
      <c r="F3419" s="26" t="s">
        <v>504</v>
      </c>
      <c r="G3419" s="26" t="s">
        <v>2523</v>
      </c>
      <c r="H3419" s="26" t="s">
        <v>2912</v>
      </c>
      <c r="I3419" s="54">
        <f>_xll.DBRW($A$1,$F$14,$F$15,$C3419,$A$2,$F3419,$G3419,$H3419,I$1)</f>
        <v>12</v>
      </c>
      <c r="J3419" s="25">
        <f>_xll.DBRW($A$1,$F$14,$F$15,$C3419,$A$2,$F3419,$G3419,$H3419,J$19)</f>
        <v>12</v>
      </c>
    </row>
    <row r="3420" spans="1:10" s="23" customFormat="1" outlineLevel="1" thickBot="1" x14ac:dyDescent="0.3">
      <c r="A3420" s="44"/>
      <c r="B3420" s="31" t="str">
        <f>IF(_xll.TM1RPTELISCONSOLIDATED($H$20,$H3420),IF(_xll.TM1RPTELLEV($H$20,$H3420)&lt;=5,_xll.TM1RPTELLEV($H$20,$H3420),"Default"),"Leaf")</f>
        <v>Leaf</v>
      </c>
      <c r="C3420" s="26" t="s">
        <v>27</v>
      </c>
      <c r="D3420" s="24" t="str">
        <f>_xll.DBRW("TM1-S1_DEV:}ElementAttributes_SP_SKU",$F3420,D$1)</f>
        <v>Primary</v>
      </c>
      <c r="E3420" s="24" t="str">
        <f>_xll.DBRW("TM1-S1_DEV:}ElementAttributes_SP_SKU",$F3420,E$1)</f>
        <v>PAPER</v>
      </c>
      <c r="F3420" s="26" t="s">
        <v>568</v>
      </c>
      <c r="G3420" s="26" t="s">
        <v>2612</v>
      </c>
      <c r="H3420" s="26" t="s">
        <v>2944</v>
      </c>
      <c r="I3420" s="54">
        <f>_xll.DBRW($A$1,$F$14,$F$15,$C3420,$A$2,$F3420,$G3420,$H3420,I$1)</f>
        <v>97</v>
      </c>
      <c r="J3420" s="25">
        <f>_xll.DBRW($A$1,$F$14,$F$15,$C3420,$A$2,$F3420,$G3420,$H3420,J$19)</f>
        <v>97</v>
      </c>
    </row>
    <row r="3421" spans="1:10" s="23" customFormat="1" outlineLevel="1" thickBot="1" x14ac:dyDescent="0.3">
      <c r="A3421" s="44"/>
      <c r="B3421" s="31" t="str">
        <f>IF(_xll.TM1RPTELISCONSOLIDATED($H$20,$H3421),IF(_xll.TM1RPTELLEV($H$20,$H3421)&lt;=5,_xll.TM1RPTELLEV($H$20,$H3421),"Default"),"Leaf")</f>
        <v>Leaf</v>
      </c>
      <c r="C3421" s="26" t="s">
        <v>27</v>
      </c>
      <c r="D3421" s="24" t="str">
        <f>_xll.DBRW("TM1-S1_DEV:}ElementAttributes_SP_SKU",$F3421,D$1)</f>
        <v>Unassigned PSP</v>
      </c>
      <c r="E3421" s="24" t="str">
        <f>_xll.DBRW("TM1-S1_DEV:}ElementAttributes_SP_SKU",$F3421,E$1)</f>
        <v>CHEESE</v>
      </c>
      <c r="F3421" s="26" t="s">
        <v>505</v>
      </c>
      <c r="G3421" s="26" t="s">
        <v>2524</v>
      </c>
      <c r="H3421" s="26" t="s">
        <v>2700</v>
      </c>
      <c r="I3421" s="54">
        <f>_xll.DBRW($A$1,$F$14,$F$15,$C3421,$A$2,$F3421,$G3421,$H3421,I$1)</f>
        <v>20</v>
      </c>
      <c r="J3421" s="25">
        <f>_xll.DBRW($A$1,$F$14,$F$15,$C3421,$A$2,$F3421,$G3421,$H3421,J$19)</f>
        <v>20</v>
      </c>
    </row>
    <row r="3422" spans="1:10" s="23" customFormat="1" outlineLevel="1" thickBot="1" x14ac:dyDescent="0.3">
      <c r="A3422" s="44"/>
      <c r="B3422" s="31" t="str">
        <f>IF(_xll.TM1RPTELISCONSOLIDATED($H$20,$H3422),IF(_xll.TM1RPTELLEV($H$20,$H3422)&lt;=5,_xll.TM1RPTELLEV($H$20,$H3422),"Default"),"Leaf")</f>
        <v>Leaf</v>
      </c>
      <c r="C3422" s="26" t="s">
        <v>27</v>
      </c>
      <c r="D3422" s="24" t="str">
        <f>_xll.DBRW("TM1-S1_DEV:}ElementAttributes_SP_SKU",$F3422,D$1)</f>
        <v>Primary</v>
      </c>
      <c r="E3422" s="24" t="str">
        <f>_xll.DBRW("TM1-S1_DEV:}ElementAttributes_SP_SKU",$F3422,E$1)</f>
        <v>PLATE</v>
      </c>
      <c r="F3422" s="26" t="s">
        <v>507</v>
      </c>
      <c r="G3422" s="26" t="s">
        <v>2526</v>
      </c>
      <c r="H3422" s="26" t="s">
        <v>2914</v>
      </c>
      <c r="I3422" s="54">
        <f>_xll.DBRW($A$1,$F$14,$F$15,$C3422,$A$2,$F3422,$G3422,$H3422,I$1)</f>
        <v>89</v>
      </c>
      <c r="J3422" s="25">
        <f>_xll.DBRW($A$1,$F$14,$F$15,$C3422,$A$2,$F3422,$G3422,$H3422,J$19)</f>
        <v>89</v>
      </c>
    </row>
    <row r="3423" spans="1:10" s="23" customFormat="1" outlineLevel="1" thickBot="1" x14ac:dyDescent="0.3">
      <c r="A3423" s="44"/>
      <c r="B3423" s="31" t="str">
        <f>IF(_xll.TM1RPTELISCONSOLIDATED($H$20,$H3423),IF(_xll.TM1RPTELLEV($H$20,$H3423)&lt;=5,_xll.TM1RPTELLEV($H$20,$H3423),"Default"),"Leaf")</f>
        <v>Leaf</v>
      </c>
      <c r="C3423" s="26" t="s">
        <v>27</v>
      </c>
      <c r="D3423" s="24" t="str">
        <f>_xll.DBRW("TM1-S1_DEV:}ElementAttributes_SP_SKU",$F3423,D$1)</f>
        <v>Primary</v>
      </c>
      <c r="E3423" s="24" t="str">
        <f>_xll.DBRW("TM1-S1_DEV:}ElementAttributes_SP_SKU",$F3423,E$1)</f>
        <v>BAG</v>
      </c>
      <c r="F3423" s="26" t="s">
        <v>508</v>
      </c>
      <c r="G3423" s="26" t="s">
        <v>2527</v>
      </c>
      <c r="H3423" s="26" t="s">
        <v>2915</v>
      </c>
      <c r="I3423" s="54">
        <f>_xll.DBRW($A$1,$F$14,$F$15,$C3423,$A$2,$F3423,$G3423,$H3423,I$1)</f>
        <v>369</v>
      </c>
      <c r="J3423" s="25">
        <f>_xll.DBRW($A$1,$F$14,$F$15,$C3423,$A$2,$F3423,$G3423,$H3423,J$19)</f>
        <v>657</v>
      </c>
    </row>
    <row r="3424" spans="1:10" s="23" customFormat="1" outlineLevel="1" thickBot="1" x14ac:dyDescent="0.3">
      <c r="A3424" s="44"/>
      <c r="B3424" s="31" t="str">
        <f>IF(_xll.TM1RPTELISCONSOLIDATED($H$20,$H3424),IF(_xll.TM1RPTELLEV($H$20,$H3424)&lt;=5,_xll.TM1RPTELLEV($H$20,$H3424),"Default"),"Leaf")</f>
        <v>Leaf</v>
      </c>
      <c r="C3424" s="26" t="s">
        <v>27</v>
      </c>
      <c r="D3424" s="24" t="str">
        <f>_xll.DBRW("TM1-S1_DEV:}ElementAttributes_SP_SKU",$F3424,D$1)</f>
        <v>Secondary</v>
      </c>
      <c r="E3424" s="24" t="str">
        <f>_xll.DBRW("TM1-S1_DEV:}ElementAttributes_SP_SKU",$F3424,E$1)</f>
        <v>BREAD</v>
      </c>
      <c r="F3424" s="26" t="s">
        <v>354</v>
      </c>
      <c r="G3424" s="26" t="s">
        <v>2528</v>
      </c>
      <c r="H3424" s="26" t="s">
        <v>2689</v>
      </c>
      <c r="I3424" s="54">
        <f>_xll.DBRW($A$1,$F$14,$F$15,$C3424,$A$2,$F3424,$G3424,$H3424,I$1)</f>
        <v>21</v>
      </c>
      <c r="J3424" s="25">
        <f>_xll.DBRW($A$1,$F$14,$F$15,$C3424,$A$2,$F3424,$G3424,$H3424,J$19)</f>
        <v>31</v>
      </c>
    </row>
    <row r="3425" spans="1:10" s="23" customFormat="1" outlineLevel="1" thickBot="1" x14ac:dyDescent="0.3">
      <c r="A3425" s="44"/>
      <c r="B3425" s="31" t="str">
        <f>IF(_xll.TM1RPTELISCONSOLIDATED($H$20,$H3425),IF(_xll.TM1RPTELLEV($H$20,$H3425)&lt;=5,_xll.TM1RPTELLEV($H$20,$H3425),"Default"),"Leaf")</f>
        <v>Leaf</v>
      </c>
      <c r="C3425" s="26" t="s">
        <v>27</v>
      </c>
      <c r="D3425" s="24" t="str">
        <f>_xll.DBRW("TM1-S1_DEV:}ElementAttributes_SP_SKU",$F3425,D$1)</f>
        <v>Secondary</v>
      </c>
      <c r="E3425" s="24" t="str">
        <f>_xll.DBRW("TM1-S1_DEV:}ElementAttributes_SP_SKU",$F3425,E$1)</f>
        <v>INGREDIENT</v>
      </c>
      <c r="F3425" s="26" t="s">
        <v>569</v>
      </c>
      <c r="G3425" s="26" t="s">
        <v>2613</v>
      </c>
      <c r="H3425" s="26" t="s">
        <v>2924</v>
      </c>
      <c r="I3425" s="54">
        <f>_xll.DBRW($A$1,$F$14,$F$15,$C3425,$A$2,$F3425,$G3425,$H3425,I$1)</f>
        <v>13</v>
      </c>
      <c r="J3425" s="25">
        <f>_xll.DBRW($A$1,$F$14,$F$15,$C3425,$A$2,$F3425,$G3425,$H3425,J$19)</f>
        <v>13</v>
      </c>
    </row>
    <row r="3426" spans="1:10" s="23" customFormat="1" outlineLevel="1" thickBot="1" x14ac:dyDescent="0.3">
      <c r="A3426" s="44"/>
      <c r="B3426" s="31" t="str">
        <f>IF(_xll.TM1RPTELISCONSOLIDATED($H$20,$H3426),IF(_xll.TM1RPTELLEV($H$20,$H3426)&lt;=5,_xll.TM1RPTELLEV($H$20,$H3426),"Default"),"Leaf")</f>
        <v>Leaf</v>
      </c>
      <c r="C3426" s="26" t="s">
        <v>27</v>
      </c>
      <c r="D3426" s="24" t="str">
        <f>_xll.DBRW("TM1-S1_DEV:}ElementAttributes_SP_SKU",$F3426,D$1)</f>
        <v>Secondary</v>
      </c>
      <c r="E3426" s="24" t="str">
        <f>_xll.DBRW("TM1-S1_DEV:}ElementAttributes_SP_SKU",$F3426,E$1)</f>
        <v>DRINKS</v>
      </c>
      <c r="F3426" s="26" t="s">
        <v>570</v>
      </c>
      <c r="G3426" s="26" t="s">
        <v>2614</v>
      </c>
      <c r="H3426" s="26" t="s">
        <v>2746</v>
      </c>
      <c r="I3426" s="54">
        <f>_xll.DBRW($A$1,$F$14,$F$15,$C3426,$A$2,$F3426,$G3426,$H3426,I$1)</f>
        <v>53</v>
      </c>
      <c r="J3426" s="25">
        <f>_xll.DBRW($A$1,$F$14,$F$15,$C3426,$A$2,$F3426,$G3426,$H3426,J$19)</f>
        <v>53</v>
      </c>
    </row>
    <row r="3427" spans="1:10" s="23" customFormat="1" outlineLevel="1" thickBot="1" x14ac:dyDescent="0.3">
      <c r="A3427" s="44"/>
      <c r="B3427" s="31" t="str">
        <f>IF(_xll.TM1RPTELISCONSOLIDATED($H$20,$H3427),IF(_xll.TM1RPTELLEV($H$20,$H3427)&lt;=5,_xll.TM1RPTELLEV($H$20,$H3427),"Default"),"Leaf")</f>
        <v>Leaf</v>
      </c>
      <c r="C3427" s="26" t="s">
        <v>27</v>
      </c>
      <c r="D3427" s="24" t="str">
        <f>_xll.DBRW("TM1-S1_DEV:}ElementAttributes_SP_SKU",$F3427,D$1)</f>
        <v>Secondary</v>
      </c>
      <c r="E3427" s="24" t="str">
        <f>_xll.DBRW("TM1-S1_DEV:}ElementAttributes_SP_SKU",$F3427,E$1)</f>
        <v>INGREDIENT</v>
      </c>
      <c r="F3427" s="26" t="s">
        <v>510</v>
      </c>
      <c r="G3427" s="26" t="s">
        <v>2530</v>
      </c>
      <c r="H3427" s="26" t="s">
        <v>2916</v>
      </c>
      <c r="I3427" s="54">
        <f>_xll.DBRW($A$1,$F$14,$F$15,$C3427,$A$2,$F3427,$G3427,$H3427,I$1)</f>
        <v>17</v>
      </c>
      <c r="J3427" s="25">
        <f>_xll.DBRW($A$1,$F$14,$F$15,$C3427,$A$2,$F3427,$G3427,$H3427,J$19)</f>
        <v>31</v>
      </c>
    </row>
    <row r="3428" spans="1:10" s="23" customFormat="1" outlineLevel="1" thickBot="1" x14ac:dyDescent="0.3">
      <c r="A3428" s="44"/>
      <c r="B3428" s="31" t="str">
        <f>IF(_xll.TM1RPTELISCONSOLIDATED($H$20,$H3428),IF(_xll.TM1RPTELLEV($H$20,$H3428)&lt;=5,_xll.TM1RPTELLEV($H$20,$H3428),"Default"),"Leaf")</f>
        <v>Leaf</v>
      </c>
      <c r="C3428" s="26" t="s">
        <v>27</v>
      </c>
      <c r="D3428" s="24" t="str">
        <f>_xll.DBRW("TM1-S1_DEV:}ElementAttributes_SP_SKU",$F3428,D$1)</f>
        <v>Secondary</v>
      </c>
      <c r="E3428" s="24" t="str">
        <f>_xll.DBRW("TM1-S1_DEV:}ElementAttributes_SP_SKU",$F3428,E$1)</f>
        <v>PROTEIN</v>
      </c>
      <c r="F3428" s="26" t="s">
        <v>511</v>
      </c>
      <c r="G3428" s="26" t="s">
        <v>2531</v>
      </c>
      <c r="H3428" s="26" t="s">
        <v>2917</v>
      </c>
      <c r="I3428" s="54">
        <f>_xll.DBRW($A$1,$F$14,$F$15,$C3428,$A$2,$F3428,$G3428,$H3428,I$1)</f>
        <v>82</v>
      </c>
      <c r="J3428" s="25">
        <f>_xll.DBRW($A$1,$F$14,$F$15,$C3428,$A$2,$F3428,$G3428,$H3428,J$19)</f>
        <v>82</v>
      </c>
    </row>
    <row r="3429" spans="1:10" s="23" customFormat="1" outlineLevel="1" thickBot="1" x14ac:dyDescent="0.3">
      <c r="A3429" s="44"/>
      <c r="B3429" s="31" t="str">
        <f>IF(_xll.TM1RPTELISCONSOLIDATED($H$20,$H3429),IF(_xll.TM1RPTELLEV($H$20,$H3429)&lt;=5,_xll.TM1RPTELLEV($H$20,$H3429),"Default"),"Leaf")</f>
        <v>Leaf</v>
      </c>
      <c r="C3429" s="26" t="s">
        <v>27</v>
      </c>
      <c r="D3429" s="24" t="str">
        <f>_xll.DBRW("TM1-S1_DEV:}ElementAttributes_SP_SKU",$F3429,D$1)</f>
        <v>Secondary</v>
      </c>
      <c r="E3429" s="24" t="str">
        <f>_xll.DBRW("TM1-S1_DEV:}ElementAttributes_SP_SKU",$F3429,E$1)</f>
        <v>CHEMICAL</v>
      </c>
      <c r="F3429" s="26" t="s">
        <v>571</v>
      </c>
      <c r="G3429" s="26" t="s">
        <v>2615</v>
      </c>
      <c r="H3429" s="26" t="s">
        <v>2787</v>
      </c>
      <c r="I3429" s="54">
        <f>_xll.DBRW($A$1,$F$14,$F$15,$C3429,$A$2,$F3429,$G3429,$H3429,I$1)</f>
        <v>6</v>
      </c>
      <c r="J3429" s="25">
        <f>_xll.DBRW($A$1,$F$14,$F$15,$C3429,$A$2,$F3429,$G3429,$H3429,J$19)</f>
        <v>6</v>
      </c>
    </row>
    <row r="3430" spans="1:10" s="23" customFormat="1" outlineLevel="1" thickBot="1" x14ac:dyDescent="0.3">
      <c r="A3430" s="44"/>
      <c r="B3430" s="31" t="str">
        <f>IF(_xll.TM1RPTELISCONSOLIDATED($H$20,$H3430),IF(_xll.TM1RPTELLEV($H$20,$H3430)&lt;=5,_xll.TM1RPTELLEV($H$20,$H3430),"Default"),"Leaf")</f>
        <v>Leaf</v>
      </c>
      <c r="C3430" s="26" t="s">
        <v>27</v>
      </c>
      <c r="D3430" s="24" t="str">
        <f>_xll.DBRW("TM1-S1_DEV:}ElementAttributes_SP_SKU",$F3430,D$1)</f>
        <v>Secondary</v>
      </c>
      <c r="E3430" s="24" t="str">
        <f>_xll.DBRW("TM1-S1_DEV:}ElementAttributes_SP_SKU",$F3430,E$1)</f>
        <v>CHEMICAL</v>
      </c>
      <c r="F3430" s="26" t="s">
        <v>512</v>
      </c>
      <c r="G3430" s="26" t="s">
        <v>2532</v>
      </c>
      <c r="H3430" s="26" t="s">
        <v>2918</v>
      </c>
      <c r="I3430" s="54">
        <f>_xll.DBRW($A$1,$F$14,$F$15,$C3430,$A$2,$F3430,$G3430,$H3430,I$1)</f>
        <v>2</v>
      </c>
      <c r="J3430" s="25">
        <f>_xll.DBRW($A$1,$F$14,$F$15,$C3430,$A$2,$F3430,$G3430,$H3430,J$19)</f>
        <v>2</v>
      </c>
    </row>
    <row r="3431" spans="1:10" s="23" customFormat="1" outlineLevel="1" thickBot="1" x14ac:dyDescent="0.3">
      <c r="A3431" s="44"/>
      <c r="B3431" s="31" t="str">
        <f>IF(_xll.TM1RPTELISCONSOLIDATED($H$20,$H3431),IF(_xll.TM1RPTELLEV($H$20,$H3431)&lt;=5,_xll.TM1RPTELLEV($H$20,$H3431),"Default"),"Leaf")</f>
        <v>Leaf</v>
      </c>
      <c r="C3431" s="26" t="s">
        <v>27</v>
      </c>
      <c r="D3431" s="24" t="str">
        <f>_xll.DBRW("TM1-S1_DEV:}ElementAttributes_SP_SKU",$F3431,D$1)</f>
        <v>Secondary</v>
      </c>
      <c r="E3431" s="24" t="str">
        <f>_xll.DBRW("TM1-S1_DEV:}ElementAttributes_SP_SKU",$F3431,E$1)</f>
        <v>PROTEIN</v>
      </c>
      <c r="F3431" s="26" t="s">
        <v>572</v>
      </c>
      <c r="G3431" s="26" t="s">
        <v>2616</v>
      </c>
      <c r="H3431" s="26" t="s">
        <v>2945</v>
      </c>
      <c r="I3431" s="54">
        <f>_xll.DBRW($A$1,$F$14,$F$15,$C3431,$A$2,$F3431,$G3431,$H3431,I$1)</f>
        <v>191</v>
      </c>
      <c r="J3431" s="25">
        <f>_xll.DBRW($A$1,$F$14,$F$15,$C3431,$A$2,$F3431,$G3431,$H3431,J$19)</f>
        <v>191</v>
      </c>
    </row>
    <row r="3432" spans="1:10" s="23" customFormat="1" outlineLevel="1" thickBot="1" x14ac:dyDescent="0.3">
      <c r="A3432" s="44"/>
      <c r="B3432" s="31" t="str">
        <f>IF(_xll.TM1RPTELISCONSOLIDATED($H$20,$H3432),IF(_xll.TM1RPTELLEV($H$20,$H3432)&lt;=5,_xll.TM1RPTELLEV($H$20,$H3432),"Default"),"Leaf")</f>
        <v>Leaf</v>
      </c>
      <c r="C3432" s="26" t="s">
        <v>27</v>
      </c>
      <c r="D3432" s="24" t="str">
        <f>_xll.DBRW("TM1-S1_DEV:}ElementAttributes_SP_SKU",$F3432,D$1)</f>
        <v>Secondary</v>
      </c>
      <c r="E3432" s="24" t="str">
        <f>_xll.DBRW("TM1-S1_DEV:}ElementAttributes_SP_SKU",$F3432,E$1)</f>
        <v>BREAD</v>
      </c>
      <c r="F3432" s="26" t="s">
        <v>573</v>
      </c>
      <c r="G3432" s="26" t="s">
        <v>2617</v>
      </c>
      <c r="H3432" s="26" t="s">
        <v>2946</v>
      </c>
      <c r="I3432" s="54">
        <f>_xll.DBRW($A$1,$F$14,$F$15,$C3432,$A$2,$F3432,$G3432,$H3432,I$1)</f>
        <v>7</v>
      </c>
      <c r="J3432" s="25">
        <f>_xll.DBRW($A$1,$F$14,$F$15,$C3432,$A$2,$F3432,$G3432,$H3432,J$19)</f>
        <v>7</v>
      </c>
    </row>
    <row r="3433" spans="1:10" s="23" customFormat="1" outlineLevel="1" thickBot="1" x14ac:dyDescent="0.3">
      <c r="A3433" s="44"/>
      <c r="B3433" s="31" t="str">
        <f>IF(_xll.TM1RPTELISCONSOLIDATED($H$20,$H3433),IF(_xll.TM1RPTELLEV($H$20,$H3433)&lt;=5,_xll.TM1RPTELLEV($H$20,$H3433),"Default"),"Leaf")</f>
        <v>Leaf</v>
      </c>
      <c r="C3433" s="26" t="s">
        <v>27</v>
      </c>
      <c r="D3433" s="24" t="str">
        <f>_xll.DBRW("TM1-S1_DEV:}ElementAttributes_SP_SKU",$F3433,D$1)</f>
        <v>Secondary</v>
      </c>
      <c r="E3433" s="24" t="str">
        <f>_xll.DBRW("TM1-S1_DEV:}ElementAttributes_SP_SKU",$F3433,E$1)</f>
        <v>CHEMICAL</v>
      </c>
      <c r="F3433" s="26" t="s">
        <v>574</v>
      </c>
      <c r="G3433" s="26" t="s">
        <v>2618</v>
      </c>
      <c r="H3433" s="26" t="s">
        <v>2918</v>
      </c>
      <c r="I3433" s="54">
        <f>_xll.DBRW($A$1,$F$14,$F$15,$C3433,$A$2,$F3433,$G3433,$H3433,I$1)</f>
        <v>2</v>
      </c>
      <c r="J3433" s="25">
        <f>_xll.DBRW($A$1,$F$14,$F$15,$C3433,$A$2,$F3433,$G3433,$H3433,J$19)</f>
        <v>2</v>
      </c>
    </row>
    <row r="3434" spans="1:10" s="23" customFormat="1" outlineLevel="1" thickBot="1" x14ac:dyDescent="0.3">
      <c r="A3434" s="44"/>
      <c r="B3434" s="31" t="str">
        <f>IF(_xll.TM1RPTELISCONSOLIDATED($H$20,$H3434),IF(_xll.TM1RPTELLEV($H$20,$H3434)&lt;=5,_xll.TM1RPTELLEV($H$20,$H3434),"Default"),"Leaf")</f>
        <v>Leaf</v>
      </c>
      <c r="C3434" s="26" t="s">
        <v>27</v>
      </c>
      <c r="D3434" s="24" t="str">
        <f>_xll.DBRW("TM1-S1_DEV:}ElementAttributes_SP_SKU",$F3434,D$1)</f>
        <v>Secondary</v>
      </c>
      <c r="E3434" s="24" t="str">
        <f>_xll.DBRW("TM1-S1_DEV:}ElementAttributes_SP_SKU",$F3434,E$1)</f>
        <v>INGREDIENT</v>
      </c>
      <c r="F3434" s="26" t="s">
        <v>514</v>
      </c>
      <c r="G3434" s="26" t="s">
        <v>2534</v>
      </c>
      <c r="H3434" s="26" t="s">
        <v>2919</v>
      </c>
      <c r="I3434" s="54">
        <f>_xll.DBRW($A$1,$F$14,$F$15,$C3434,$A$2,$F3434,$G3434,$H3434,I$1)</f>
        <v>7</v>
      </c>
      <c r="J3434" s="25">
        <f>_xll.DBRW($A$1,$F$14,$F$15,$C3434,$A$2,$F3434,$G3434,$H3434,J$19)</f>
        <v>7</v>
      </c>
    </row>
    <row r="3435" spans="1:10" s="23" customFormat="1" outlineLevel="1" thickBot="1" x14ac:dyDescent="0.3">
      <c r="A3435" s="44"/>
      <c r="B3435" s="31" t="str">
        <f>IF(_xll.TM1RPTELISCONSOLIDATED($H$20,$H3435),IF(_xll.TM1RPTELLEV($H$20,$H3435)&lt;=5,_xll.TM1RPTELLEV($H$20,$H3435),"Default"),"Leaf")</f>
        <v>Leaf</v>
      </c>
      <c r="C3435" s="26" t="s">
        <v>27</v>
      </c>
      <c r="D3435" s="24" t="str">
        <f>_xll.DBRW("TM1-S1_DEV:}ElementAttributes_SP_SKU",$F3435,D$1)</f>
        <v>Secondary</v>
      </c>
      <c r="E3435" s="24" t="str">
        <f>_xll.DBRW("TM1-S1_DEV:}ElementAttributes_SP_SKU",$F3435,E$1)</f>
        <v>DRESSING</v>
      </c>
      <c r="F3435" s="26" t="s">
        <v>515</v>
      </c>
      <c r="G3435" s="26" t="s">
        <v>2535</v>
      </c>
      <c r="H3435" s="26" t="s">
        <v>2720</v>
      </c>
      <c r="I3435" s="54">
        <f>_xll.DBRW($A$1,$F$14,$F$15,$C3435,$A$2,$F3435,$G3435,$H3435,I$1)</f>
        <v>24</v>
      </c>
      <c r="J3435" s="25">
        <f>_xll.DBRW($A$1,$F$14,$F$15,$C3435,$A$2,$F3435,$G3435,$H3435,J$19)</f>
        <v>24</v>
      </c>
    </row>
    <row r="3436" spans="1:10" s="23" customFormat="1" outlineLevel="1" thickBot="1" x14ac:dyDescent="0.3">
      <c r="A3436" s="44"/>
      <c r="B3436" s="31" t="str">
        <f>IF(_xll.TM1RPTELISCONSOLIDATED($H$20,$H3436),IF(_xll.TM1RPTELLEV($H$20,$H3436)&lt;=5,_xll.TM1RPTELLEV($H$20,$H3436),"Default"),"Leaf")</f>
        <v>Leaf</v>
      </c>
      <c r="C3436" s="26" t="s">
        <v>27</v>
      </c>
      <c r="D3436" s="24" t="str">
        <f>_xll.DBRW("TM1-S1_DEV:}ElementAttributes_SP_SKU",$F3436,D$1)</f>
        <v>Secondary</v>
      </c>
      <c r="E3436" s="24" t="str">
        <f>_xll.DBRW("TM1-S1_DEV:}ElementAttributes_SP_SKU",$F3436,E$1)</f>
        <v>CHEESE</v>
      </c>
      <c r="F3436" s="26" t="s">
        <v>575</v>
      </c>
      <c r="G3436" s="26" t="s">
        <v>2619</v>
      </c>
      <c r="H3436" s="26" t="s">
        <v>2947</v>
      </c>
      <c r="I3436" s="54">
        <f>_xll.DBRW($A$1,$F$14,$F$15,$C3436,$A$2,$F3436,$G3436,$H3436,I$1)</f>
        <v>8</v>
      </c>
      <c r="J3436" s="25">
        <f>_xll.DBRW($A$1,$F$14,$F$15,$C3436,$A$2,$F3436,$G3436,$H3436,J$19)</f>
        <v>8</v>
      </c>
    </row>
    <row r="3437" spans="1:10" s="23" customFormat="1" outlineLevel="1" thickBot="1" x14ac:dyDescent="0.3">
      <c r="A3437" s="44"/>
      <c r="B3437" s="31" t="str">
        <f>IF(_xll.TM1RPTELISCONSOLIDATED($H$20,$H3437),IF(_xll.TM1RPTELLEV($H$20,$H3437)&lt;=5,_xll.TM1RPTELLEV($H$20,$H3437),"Default"),"Leaf")</f>
        <v>Leaf</v>
      </c>
      <c r="C3437" s="26" t="s">
        <v>27</v>
      </c>
      <c r="D3437" s="24" t="str">
        <f>_xll.DBRW("TM1-S1_DEV:}ElementAttributes_SP_SKU",$F3437,D$1)</f>
        <v>Unassigned PSP</v>
      </c>
      <c r="E3437" s="24" t="str">
        <f>_xll.DBRW("TM1-S1_DEV:}ElementAttributes_SP_SKU",$F3437,E$1)</f>
        <v>DRINKS</v>
      </c>
      <c r="F3437" s="26" t="s">
        <v>516</v>
      </c>
      <c r="G3437" s="26" t="s">
        <v>2536</v>
      </c>
      <c r="H3437" s="26" t="s">
        <v>2920</v>
      </c>
      <c r="I3437" s="54">
        <f>_xll.DBRW($A$1,$F$14,$F$15,$C3437,$A$2,$F3437,$G3437,$H3437,I$1)</f>
        <v>15</v>
      </c>
      <c r="J3437" s="25">
        <f>_xll.DBRW($A$1,$F$14,$F$15,$C3437,$A$2,$F3437,$G3437,$H3437,J$19)</f>
        <v>15</v>
      </c>
    </row>
    <row r="3438" spans="1:10" s="23" customFormat="1" outlineLevel="1" thickBot="1" x14ac:dyDescent="0.3">
      <c r="A3438" s="44"/>
      <c r="B3438" s="31" t="str">
        <f>IF(_xll.TM1RPTELISCONSOLIDATED($H$20,$H3438),IF(_xll.TM1RPTELLEV($H$20,$H3438)&lt;=5,_xll.TM1RPTELLEV($H$20,$H3438),"Default"),"Leaf")</f>
        <v>Leaf</v>
      </c>
      <c r="C3438" s="26" t="s">
        <v>27</v>
      </c>
      <c r="D3438" s="24" t="str">
        <f>_xll.DBRW("TM1-S1_DEV:}ElementAttributes_SP_SKU",$F3438,D$1)</f>
        <v>Unassigned PSP</v>
      </c>
      <c r="E3438" s="24" t="str">
        <f>_xll.DBRW("TM1-S1_DEV:}ElementAttributes_SP_SKU",$F3438,E$1)</f>
        <v>DRINKS</v>
      </c>
      <c r="F3438" s="26" t="s">
        <v>517</v>
      </c>
      <c r="G3438" s="26" t="s">
        <v>2537</v>
      </c>
      <c r="H3438" s="26" t="s">
        <v>2920</v>
      </c>
      <c r="I3438" s="54">
        <f>_xll.DBRW($A$1,$F$14,$F$15,$C3438,$A$2,$F3438,$G3438,$H3438,I$1)</f>
        <v>14</v>
      </c>
      <c r="J3438" s="25">
        <f>_xll.DBRW($A$1,$F$14,$F$15,$C3438,$A$2,$F3438,$G3438,$H3438,J$19)</f>
        <v>14</v>
      </c>
    </row>
    <row r="3439" spans="1:10" s="23" customFormat="1" outlineLevel="1" thickBot="1" x14ac:dyDescent="0.3">
      <c r="A3439" s="44"/>
      <c r="B3439" s="31" t="str">
        <f>IF(_xll.TM1RPTELISCONSOLIDATED($H$20,$H3439),IF(_xll.TM1RPTELLEV($H$20,$H3439)&lt;=5,_xll.TM1RPTELLEV($H$20,$H3439),"Default"),"Leaf")</f>
        <v>Leaf</v>
      </c>
      <c r="C3439" s="26" t="s">
        <v>27</v>
      </c>
      <c r="D3439" s="24" t="str">
        <f>_xll.DBRW("TM1-S1_DEV:}ElementAttributes_SP_SKU",$F3439,D$1)</f>
        <v>Secondary</v>
      </c>
      <c r="E3439" s="24" t="str">
        <f>_xll.DBRW("TM1-S1_DEV:}ElementAttributes_SP_SKU",$F3439,E$1)</f>
        <v>DRESSING</v>
      </c>
      <c r="F3439" s="26" t="s">
        <v>518</v>
      </c>
      <c r="G3439" s="26" t="s">
        <v>2538</v>
      </c>
      <c r="H3439" s="26" t="s">
        <v>2720</v>
      </c>
      <c r="I3439" s="54">
        <f>_xll.DBRW($A$1,$F$14,$F$15,$C3439,$A$2,$F3439,$G3439,$H3439,I$1)</f>
        <v>129</v>
      </c>
      <c r="J3439" s="25">
        <f>_xll.DBRW($A$1,$F$14,$F$15,$C3439,$A$2,$F3439,$G3439,$H3439,J$19)</f>
        <v>129</v>
      </c>
    </row>
    <row r="3440" spans="1:10" s="23" customFormat="1" outlineLevel="1" thickBot="1" x14ac:dyDescent="0.3">
      <c r="A3440" s="44"/>
      <c r="B3440" s="31" t="str">
        <f>IF(_xll.TM1RPTELISCONSOLIDATED($H$20,$H3440),IF(_xll.TM1RPTELLEV($H$20,$H3440)&lt;=5,_xll.TM1RPTELLEV($H$20,$H3440),"Default"),"Leaf")</f>
        <v>Leaf</v>
      </c>
      <c r="C3440" s="26" t="s">
        <v>27</v>
      </c>
      <c r="D3440" s="24" t="str">
        <f>_xll.DBRW("TM1-S1_DEV:}ElementAttributes_SP_SKU",$F3440,D$1)</f>
        <v>Secondary</v>
      </c>
      <c r="E3440" s="24" t="str">
        <f>_xll.DBRW("TM1-S1_DEV:}ElementAttributes_SP_SKU",$F3440,E$1)</f>
        <v>CONDIMENT</v>
      </c>
      <c r="F3440" s="26" t="s">
        <v>519</v>
      </c>
      <c r="G3440" s="26" t="s">
        <v>2539</v>
      </c>
      <c r="H3440" s="26" t="s">
        <v>2921</v>
      </c>
      <c r="I3440" s="54">
        <f>_xll.DBRW($A$1,$F$14,$F$15,$C3440,$A$2,$F3440,$G3440,$H3440,I$1)</f>
        <v>201</v>
      </c>
      <c r="J3440" s="25">
        <f>_xll.DBRW($A$1,$F$14,$F$15,$C3440,$A$2,$F3440,$G3440,$H3440,J$19)</f>
        <v>321</v>
      </c>
    </row>
    <row r="3441" spans="1:10" s="23" customFormat="1" outlineLevel="1" thickBot="1" x14ac:dyDescent="0.3">
      <c r="A3441" s="44"/>
      <c r="B3441" s="31" t="str">
        <f>IF(_xll.TM1RPTELISCONSOLIDATED($H$20,$H3441),IF(_xll.TM1RPTELLEV($H$20,$H3441)&lt;=5,_xll.TM1RPTELLEV($H$20,$H3441),"Default"),"Leaf")</f>
        <v>Leaf</v>
      </c>
      <c r="C3441" s="26" t="s">
        <v>27</v>
      </c>
      <c r="D3441" s="24" t="str">
        <f>_xll.DBRW("TM1-S1_DEV:}ElementAttributes_SP_SKU",$F3441,D$1)</f>
        <v>Secondary</v>
      </c>
      <c r="E3441" s="24" t="str">
        <f>_xll.DBRW("TM1-S1_DEV:}ElementAttributes_SP_SKU",$F3441,E$1)</f>
        <v>DRINKS</v>
      </c>
      <c r="F3441" s="26" t="s">
        <v>520</v>
      </c>
      <c r="G3441" s="26" t="s">
        <v>2540</v>
      </c>
      <c r="H3441" s="26" t="s">
        <v>2746</v>
      </c>
      <c r="I3441" s="54">
        <f>_xll.DBRW($A$1,$F$14,$F$15,$C3441,$A$2,$F3441,$G3441,$H3441,I$1)</f>
        <v>64</v>
      </c>
      <c r="J3441" s="25">
        <f>_xll.DBRW($A$1,$F$14,$F$15,$C3441,$A$2,$F3441,$G3441,$H3441,J$19)</f>
        <v>134</v>
      </c>
    </row>
    <row r="3442" spans="1:10" s="23" customFormat="1" outlineLevel="1" thickBot="1" x14ac:dyDescent="0.3">
      <c r="A3442" s="44"/>
      <c r="B3442" s="31" t="str">
        <f>IF(_xll.TM1RPTELISCONSOLIDATED($H$20,$H3442),IF(_xll.TM1RPTELLEV($H$20,$H3442)&lt;=5,_xll.TM1RPTELLEV($H$20,$H3442),"Default"),"Leaf")</f>
        <v>Leaf</v>
      </c>
      <c r="C3442" s="26" t="s">
        <v>27</v>
      </c>
      <c r="D3442" s="24" t="str">
        <f>_xll.DBRW("TM1-S1_DEV:}ElementAttributes_SP_SKU",$F3442,D$1)</f>
        <v>Secondary</v>
      </c>
      <c r="E3442" s="24" t="str">
        <f>_xll.DBRW("TM1-S1_DEV:}ElementAttributes_SP_SKU",$F3442,E$1)</f>
        <v>CHEMICAL</v>
      </c>
      <c r="F3442" s="26" t="s">
        <v>576</v>
      </c>
      <c r="G3442" s="26" t="s">
        <v>2620</v>
      </c>
      <c r="H3442" s="26" t="s">
        <v>2918</v>
      </c>
      <c r="I3442" s="54">
        <f>_xll.DBRW($A$1,$F$14,$F$15,$C3442,$A$2,$F3442,$G3442,$H3442,I$1)</f>
        <v>5</v>
      </c>
      <c r="J3442" s="25">
        <f>_xll.DBRW($A$1,$F$14,$F$15,$C3442,$A$2,$F3442,$G3442,$H3442,J$19)</f>
        <v>5</v>
      </c>
    </row>
    <row r="3443" spans="1:10" s="23" customFormat="1" outlineLevel="1" thickBot="1" x14ac:dyDescent="0.3">
      <c r="A3443" s="44"/>
      <c r="B3443" s="31" t="str">
        <f>IF(_xll.TM1RPTELISCONSOLIDATED($H$20,$H3443),IF(_xll.TM1RPTELLEV($H$20,$H3443)&lt;=5,_xll.TM1RPTELLEV($H$20,$H3443),"Default"),"Leaf")</f>
        <v>Leaf</v>
      </c>
      <c r="C3443" s="26" t="s">
        <v>27</v>
      </c>
      <c r="D3443" s="24" t="str">
        <f>_xll.DBRW("TM1-S1_DEV:}ElementAttributes_SP_SKU",$F3443,D$1)</f>
        <v>Secondary</v>
      </c>
      <c r="E3443" s="24" t="str">
        <f>_xll.DBRW("TM1-S1_DEV:}ElementAttributes_SP_SKU",$F3443,E$1)</f>
        <v>CLEANING</v>
      </c>
      <c r="F3443" s="26" t="s">
        <v>521</v>
      </c>
      <c r="G3443" s="26" t="s">
        <v>2541</v>
      </c>
      <c r="H3443" s="26" t="s">
        <v>2922</v>
      </c>
      <c r="I3443" s="54">
        <f>_xll.DBRW($A$1,$F$14,$F$15,$C3443,$A$2,$F3443,$G3443,$H3443,I$1)</f>
        <v>105</v>
      </c>
      <c r="J3443" s="25">
        <f>_xll.DBRW($A$1,$F$14,$F$15,$C3443,$A$2,$F3443,$G3443,$H3443,J$19)</f>
        <v>105</v>
      </c>
    </row>
    <row r="3444" spans="1:10" s="23" customFormat="1" outlineLevel="1" thickBot="1" x14ac:dyDescent="0.3">
      <c r="A3444" s="44"/>
      <c r="B3444" s="31" t="str">
        <f>IF(_xll.TM1RPTELISCONSOLIDATED($H$20,$H3444),IF(_xll.TM1RPTELLEV($H$20,$H3444)&lt;=5,_xll.TM1RPTELLEV($H$20,$H3444),"Default"),"Leaf")</f>
        <v>Leaf</v>
      </c>
      <c r="C3444" s="26" t="s">
        <v>27</v>
      </c>
      <c r="D3444" s="24" t="str">
        <f>_xll.DBRW("TM1-S1_DEV:}ElementAttributes_SP_SKU",$F3444,D$1)</f>
        <v>Secondary</v>
      </c>
      <c r="E3444" s="24" t="str">
        <f>_xll.DBRW("TM1-S1_DEV:}ElementAttributes_SP_SKU",$F3444,E$1)</f>
        <v>CHEESE</v>
      </c>
      <c r="F3444" s="26" t="s">
        <v>577</v>
      </c>
      <c r="G3444" s="26" t="s">
        <v>2621</v>
      </c>
      <c r="H3444" s="26" t="s">
        <v>2947</v>
      </c>
      <c r="I3444" s="54">
        <f>_xll.DBRW($A$1,$F$14,$F$15,$C3444,$A$2,$F3444,$G3444,$H3444,I$1)</f>
        <v>7</v>
      </c>
      <c r="J3444" s="25">
        <f>_xll.DBRW($A$1,$F$14,$F$15,$C3444,$A$2,$F3444,$G3444,$H3444,J$19)</f>
        <v>7</v>
      </c>
    </row>
    <row r="3445" spans="1:10" s="23" customFormat="1" outlineLevel="1" thickBot="1" x14ac:dyDescent="0.3">
      <c r="A3445" s="44"/>
      <c r="B3445" s="31" t="str">
        <f>IF(_xll.TM1RPTELISCONSOLIDATED($H$20,$H3445),IF(_xll.TM1RPTELLEV($H$20,$H3445)&lt;=5,_xll.TM1RPTELLEV($H$20,$H3445),"Default"),"Leaf")</f>
        <v>Leaf</v>
      </c>
      <c r="C3445" s="26" t="s">
        <v>27</v>
      </c>
      <c r="D3445" s="24" t="str">
        <f>_xll.DBRW("TM1-S1_DEV:}ElementAttributes_SP_SKU",$F3445,D$1)</f>
        <v>Secondary</v>
      </c>
      <c r="E3445" s="24" t="str">
        <f>_xll.DBRW("TM1-S1_DEV:}ElementAttributes_SP_SKU",$F3445,E$1)</f>
        <v>BREAD</v>
      </c>
      <c r="F3445" s="26" t="s">
        <v>578</v>
      </c>
      <c r="G3445" s="26" t="s">
        <v>2622</v>
      </c>
      <c r="H3445" s="26" t="s">
        <v>2939</v>
      </c>
      <c r="I3445" s="54">
        <f>_xll.DBRW($A$1,$F$14,$F$15,$C3445,$A$2,$F3445,$G3445,$H3445,I$1)</f>
        <v>23</v>
      </c>
      <c r="J3445" s="25">
        <f>_xll.DBRW($A$1,$F$14,$F$15,$C3445,$A$2,$F3445,$G3445,$H3445,J$19)</f>
        <v>23</v>
      </c>
    </row>
    <row r="3446" spans="1:10" s="23" customFormat="1" outlineLevel="1" thickBot="1" x14ac:dyDescent="0.3">
      <c r="A3446" s="44"/>
      <c r="B3446" s="31" t="str">
        <f>IF(_xll.TM1RPTELISCONSOLIDATED($H$20,$H3446),IF(_xll.TM1RPTELLEV($H$20,$H3446)&lt;=5,_xll.TM1RPTELLEV($H$20,$H3446),"Default"),"Leaf")</f>
        <v>Leaf</v>
      </c>
      <c r="C3446" s="26" t="s">
        <v>27</v>
      </c>
      <c r="D3446" s="24" t="str">
        <f>_xll.DBRW("TM1-S1_DEV:}ElementAttributes_SP_SKU",$F3446,D$1)</f>
        <v>Secondary</v>
      </c>
      <c r="E3446" s="24" t="str">
        <f>_xll.DBRW("TM1-S1_DEV:}ElementAttributes_SP_SKU",$F3446,E$1)</f>
        <v>BAG</v>
      </c>
      <c r="F3446" s="26" t="s">
        <v>522</v>
      </c>
      <c r="G3446" s="26" t="s">
        <v>2542</v>
      </c>
      <c r="H3446" s="26" t="s">
        <v>2923</v>
      </c>
      <c r="I3446" s="54">
        <f>_xll.DBRW($A$1,$F$14,$F$15,$C3446,$A$2,$F3446,$G3446,$H3446,I$1)</f>
        <v>200</v>
      </c>
      <c r="J3446" s="25">
        <f>_xll.DBRW($A$1,$F$14,$F$15,$C3446,$A$2,$F3446,$G3446,$H3446,J$19)</f>
        <v>296</v>
      </c>
    </row>
    <row r="3447" spans="1:10" s="23" customFormat="1" outlineLevel="1" thickBot="1" x14ac:dyDescent="0.3">
      <c r="A3447" s="44"/>
      <c r="B3447" s="31" t="str">
        <f>IF(_xll.TM1RPTELISCONSOLIDATED($H$20,$H3447),IF(_xll.TM1RPTELLEV($H$20,$H3447)&lt;=5,_xll.TM1RPTELLEV($H$20,$H3447),"Default"),"Leaf")</f>
        <v>Leaf</v>
      </c>
      <c r="C3447" s="26" t="s">
        <v>27</v>
      </c>
      <c r="D3447" s="24" t="str">
        <f>_xll.DBRW("TM1-S1_DEV:}ElementAttributes_SP_SKU",$F3447,D$1)</f>
        <v>Secondary</v>
      </c>
      <c r="E3447" s="24" t="str">
        <f>_xll.DBRW("TM1-S1_DEV:}ElementAttributes_SP_SKU",$F3447,E$1)</f>
        <v>SIDES</v>
      </c>
      <c r="F3447" s="26" t="s">
        <v>523</v>
      </c>
      <c r="G3447" s="26" t="s">
        <v>2543</v>
      </c>
      <c r="H3447" s="26" t="s">
        <v>2924</v>
      </c>
      <c r="I3447" s="54">
        <f>_xll.DBRW($A$1,$F$14,$F$15,$C3447,$A$2,$F3447,$G3447,$H3447,I$1)</f>
        <v>24</v>
      </c>
      <c r="J3447" s="25">
        <f>_xll.DBRW($A$1,$F$14,$F$15,$C3447,$A$2,$F3447,$G3447,$H3447,J$19)</f>
        <v>24</v>
      </c>
    </row>
    <row r="3448" spans="1:10" s="23" customFormat="1" outlineLevel="1" thickBot="1" x14ac:dyDescent="0.3">
      <c r="A3448" s="44"/>
      <c r="B3448" s="31" t="str">
        <f>IF(_xll.TM1RPTELISCONSOLIDATED($H$20,$H3448),IF(_xll.TM1RPTELLEV($H$20,$H3448)&lt;=5,_xll.TM1RPTELLEV($H$20,$H3448),"Default"),"Leaf")</f>
        <v>Leaf</v>
      </c>
      <c r="C3448" s="26" t="s">
        <v>27</v>
      </c>
      <c r="D3448" s="24" t="str">
        <f>_xll.DBRW("TM1-S1_DEV:}ElementAttributes_SP_SKU",$F3448,D$1)</f>
        <v>Unassigned PSP</v>
      </c>
      <c r="E3448" s="24" t="str">
        <f>_xll.DBRW("TM1-S1_DEV:}ElementAttributes_SP_SKU",$F3448,E$1)</f>
        <v>DRINKS</v>
      </c>
      <c r="F3448" s="26" t="s">
        <v>524</v>
      </c>
      <c r="G3448" s="26" t="s">
        <v>2544</v>
      </c>
      <c r="H3448" s="26" t="s">
        <v>2920</v>
      </c>
      <c r="I3448" s="54">
        <f>_xll.DBRW($A$1,$F$14,$F$15,$C3448,$A$2,$F3448,$G3448,$H3448,I$1)</f>
        <v>16</v>
      </c>
      <c r="J3448" s="25">
        <f>_xll.DBRW($A$1,$F$14,$F$15,$C3448,$A$2,$F3448,$G3448,$H3448,J$19)</f>
        <v>16</v>
      </c>
    </row>
    <row r="3449" spans="1:10" s="23" customFormat="1" outlineLevel="1" thickBot="1" x14ac:dyDescent="0.3">
      <c r="A3449" s="44"/>
      <c r="B3449" s="31" t="str">
        <f>IF(_xll.TM1RPTELISCONSOLIDATED($H$20,$H3449),IF(_xll.TM1RPTELLEV($H$20,$H3449)&lt;=5,_xll.TM1RPTELLEV($H$20,$H3449),"Default"),"Leaf")</f>
        <v>Leaf</v>
      </c>
      <c r="C3449" s="26" t="s">
        <v>27</v>
      </c>
      <c r="D3449" s="24" t="str">
        <f>_xll.DBRW("TM1-S1_DEV:}ElementAttributes_SP_SKU",$F3449,D$1)</f>
        <v>Secondary</v>
      </c>
      <c r="E3449" s="24" t="str">
        <f>_xll.DBRW("TM1-S1_DEV:}ElementAttributes_SP_SKU",$F3449,E$1)</f>
        <v>CLEANING</v>
      </c>
      <c r="F3449" s="26" t="s">
        <v>554</v>
      </c>
      <c r="G3449" s="26" t="s">
        <v>2593</v>
      </c>
      <c r="H3449" s="26" t="s">
        <v>2918</v>
      </c>
      <c r="I3449" s="54">
        <f>_xll.DBRW($A$1,$F$14,$F$15,$C3449,$A$2,$F3449,$G3449,$H3449,I$1)</f>
        <v>79</v>
      </c>
      <c r="J3449" s="25">
        <f>_xll.DBRW($A$1,$F$14,$F$15,$C3449,$A$2,$F3449,$G3449,$H3449,J$19)</f>
        <v>127</v>
      </c>
    </row>
    <row r="3450" spans="1:10" s="23" customFormat="1" outlineLevel="1" thickBot="1" x14ac:dyDescent="0.3">
      <c r="A3450" s="44"/>
      <c r="B3450" s="31" t="str">
        <f>IF(_xll.TM1RPTELISCONSOLIDATED($H$20,$H3450),IF(_xll.TM1RPTELLEV($H$20,$H3450)&lt;=5,_xll.TM1RPTELLEV($H$20,$H3450),"Default"),"Leaf")</f>
        <v>Leaf</v>
      </c>
      <c r="C3450" s="26" t="s">
        <v>27</v>
      </c>
      <c r="D3450" s="24" t="str">
        <f>_xll.DBRW("TM1-S1_DEV:}ElementAttributes_SP_SKU",$F3450,D$1)</f>
        <v>Secondary</v>
      </c>
      <c r="E3450" s="24" t="str">
        <f>_xll.DBRW("TM1-S1_DEV:}ElementAttributes_SP_SKU",$F3450,E$1)</f>
        <v>CONTAINER</v>
      </c>
      <c r="F3450" s="26" t="s">
        <v>555</v>
      </c>
      <c r="G3450" s="26" t="s">
        <v>2594</v>
      </c>
      <c r="H3450" s="26" t="s">
        <v>2758</v>
      </c>
      <c r="I3450" s="54">
        <f>_xll.DBRW($A$1,$F$14,$F$15,$C3450,$A$2,$F3450,$G3450,$H3450,I$1)</f>
        <v>18</v>
      </c>
      <c r="J3450" s="25">
        <f>_xll.DBRW($A$1,$F$14,$F$15,$C3450,$A$2,$F3450,$G3450,$H3450,J$19)</f>
        <v>36</v>
      </c>
    </row>
    <row r="3451" spans="1:10" s="23" customFormat="1" outlineLevel="1" thickBot="1" x14ac:dyDescent="0.3">
      <c r="A3451" s="44"/>
      <c r="B3451" s="31" t="str">
        <f>IF(_xll.TM1RPTELISCONSOLIDATED($H$20,$H3451),IF(_xll.TM1RPTELLEV($H$20,$H3451)&lt;=5,_xll.TM1RPTELLEV($H$20,$H3451),"Default"),"Leaf")</f>
        <v>Leaf</v>
      </c>
      <c r="C3451" s="26" t="s">
        <v>27</v>
      </c>
      <c r="D3451" s="24" t="str">
        <f>_xll.DBRW("TM1-S1_DEV:}ElementAttributes_SP_SKU",$F3451,D$1)</f>
        <v>Secondary</v>
      </c>
      <c r="E3451" s="24" t="str">
        <f>_xll.DBRW("TM1-S1_DEV:}ElementAttributes_SP_SKU",$F3451,E$1)</f>
        <v>UTENSIL</v>
      </c>
      <c r="F3451" s="26" t="s">
        <v>556</v>
      </c>
      <c r="G3451" s="26" t="s">
        <v>2595</v>
      </c>
      <c r="H3451" s="26" t="s">
        <v>2936</v>
      </c>
      <c r="I3451" s="54">
        <f>_xll.DBRW($A$1,$F$14,$F$15,$C3451,$A$2,$F3451,$G3451,$H3451,I$1)</f>
        <v>6</v>
      </c>
      <c r="J3451" s="25">
        <f>_xll.DBRW($A$1,$F$14,$F$15,$C3451,$A$2,$F3451,$G3451,$H3451,J$19)</f>
        <v>18</v>
      </c>
    </row>
    <row r="3452" spans="1:10" s="23" customFormat="1" outlineLevel="1" thickBot="1" x14ac:dyDescent="0.3">
      <c r="A3452" s="44"/>
      <c r="B3452" s="31" t="str">
        <f>IF(_xll.TM1RPTELISCONSOLIDATED($H$20,$H3452),IF(_xll.TM1RPTELLEV($H$20,$H3452)&lt;=5,_xll.TM1RPTELLEV($H$20,$H3452),"Default"),"Leaf")</f>
        <v>Leaf</v>
      </c>
      <c r="C3452" s="26" t="s">
        <v>27</v>
      </c>
      <c r="D3452" s="24" t="str">
        <f>_xll.DBRW("TM1-S1_DEV:}ElementAttributes_SP_SKU",$F3452,D$1)</f>
        <v>Secondary</v>
      </c>
      <c r="E3452" s="24" t="str">
        <f>_xll.DBRW("TM1-S1_DEV:}ElementAttributes_SP_SKU",$F3452,E$1)</f>
        <v>DRINKS</v>
      </c>
      <c r="F3452" s="26" t="s">
        <v>557</v>
      </c>
      <c r="G3452" s="26" t="s">
        <v>2596</v>
      </c>
      <c r="H3452" s="26" t="s">
        <v>2746</v>
      </c>
      <c r="I3452" s="54">
        <f>_xll.DBRW($A$1,$F$14,$F$15,$C3452,$A$2,$F3452,$G3452,$H3452,I$1)</f>
        <v>173</v>
      </c>
      <c r="J3452" s="25">
        <f>_xll.DBRW($A$1,$F$14,$F$15,$C3452,$A$2,$F3452,$G3452,$H3452,J$19)</f>
        <v>463</v>
      </c>
    </row>
    <row r="3453" spans="1:10" s="23" customFormat="1" outlineLevel="1" thickBot="1" x14ac:dyDescent="0.3">
      <c r="A3453" s="44"/>
      <c r="B3453" s="31" t="str">
        <f>IF(_xll.TM1RPTELISCONSOLIDATED($H$20,$H3453),IF(_xll.TM1RPTELLEV($H$20,$H3453)&lt;=5,_xll.TM1RPTELLEV($H$20,$H3453),"Default"),"Leaf")</f>
        <v>Leaf</v>
      </c>
      <c r="C3453" s="26" t="s">
        <v>27</v>
      </c>
      <c r="D3453" s="24" t="str">
        <f>_xll.DBRW("TM1-S1_DEV:}ElementAttributes_SP_SKU",$F3453,D$1)</f>
        <v>Secondary</v>
      </c>
      <c r="E3453" s="24" t="str">
        <f>_xll.DBRW("TM1-S1_DEV:}ElementAttributes_SP_SKU",$F3453,E$1)</f>
        <v>CLEANING</v>
      </c>
      <c r="F3453" s="26" t="s">
        <v>558</v>
      </c>
      <c r="G3453" s="26" t="s">
        <v>2597</v>
      </c>
      <c r="H3453" s="26" t="s">
        <v>2800</v>
      </c>
      <c r="I3453" s="54">
        <f>_xll.DBRW($A$1,$F$14,$F$15,$C3453,$A$2,$F3453,$G3453,$H3453,I$1)</f>
        <v>483</v>
      </c>
      <c r="J3453" s="25">
        <f>_xll.DBRW($A$1,$F$14,$F$15,$C3453,$A$2,$F3453,$G3453,$H3453,J$19)</f>
        <v>483</v>
      </c>
    </row>
    <row r="3454" spans="1:10" s="23" customFormat="1" outlineLevel="1" thickBot="1" x14ac:dyDescent="0.3">
      <c r="A3454" s="44"/>
      <c r="B3454" s="31" t="str">
        <f>IF(_xll.TM1RPTELISCONSOLIDATED($H$20,$H3454),IF(_xll.TM1RPTELLEV($H$20,$H3454)&lt;=5,_xll.TM1RPTELLEV($H$20,$H3454),"Default"),"Leaf")</f>
        <v>Leaf</v>
      </c>
      <c r="C3454" s="26" t="s">
        <v>27</v>
      </c>
      <c r="D3454" s="24" t="str">
        <f>_xll.DBRW("TM1-S1_DEV:}ElementAttributes_SP_SKU",$F3454,D$1)</f>
        <v>Secondary</v>
      </c>
      <c r="E3454" s="24" t="str">
        <f>_xll.DBRW("TM1-S1_DEV:}ElementAttributes_SP_SKU",$F3454,E$1)</f>
        <v>GLOVES</v>
      </c>
      <c r="F3454" s="26" t="s">
        <v>559</v>
      </c>
      <c r="G3454" s="26" t="s">
        <v>2598</v>
      </c>
      <c r="H3454" s="26" t="s">
        <v>2937</v>
      </c>
      <c r="I3454" s="54">
        <f>_xll.DBRW($A$1,$F$14,$F$15,$C3454,$A$2,$F3454,$G3454,$H3454,I$1)</f>
        <v>139</v>
      </c>
      <c r="J3454" s="25">
        <f>_xll.DBRW($A$1,$F$14,$F$15,$C3454,$A$2,$F3454,$G3454,$H3454,J$19)</f>
        <v>139</v>
      </c>
    </row>
    <row r="3455" spans="1:10" s="23" customFormat="1" outlineLevel="1" thickBot="1" x14ac:dyDescent="0.3">
      <c r="A3455" s="44"/>
      <c r="B3455" s="31" t="str">
        <f>IF(_xll.TM1RPTELISCONSOLIDATED($H$20,$H3455),IF(_xll.TM1RPTELLEV($H$20,$H3455)&lt;=5,_xll.TM1RPTELLEV($H$20,$H3455),"Default"),"Leaf")</f>
        <v>Leaf</v>
      </c>
      <c r="C3455" s="26" t="s">
        <v>27</v>
      </c>
      <c r="D3455" s="24" t="str">
        <f>_xll.DBRW("TM1-S1_DEV:}ElementAttributes_SP_SKU",$F3455,D$1)</f>
        <v>Secondary</v>
      </c>
      <c r="E3455" s="24" t="str">
        <f>_xll.DBRW("TM1-S1_DEV:}ElementAttributes_SP_SKU",$F3455,E$1)</f>
        <v>PAPER</v>
      </c>
      <c r="F3455" s="26" t="s">
        <v>560</v>
      </c>
      <c r="G3455" s="26" t="s">
        <v>2599</v>
      </c>
      <c r="H3455" s="26" t="s">
        <v>2938</v>
      </c>
      <c r="I3455" s="54">
        <f>_xll.DBRW($A$1,$F$14,$F$15,$C3455,$A$2,$F3455,$G3455,$H3455,I$1)</f>
        <v>126</v>
      </c>
      <c r="J3455" s="25">
        <f>_xll.DBRW($A$1,$F$14,$F$15,$C3455,$A$2,$F3455,$G3455,$H3455,J$19)</f>
        <v>222</v>
      </c>
    </row>
    <row r="3456" spans="1:10" s="23" customFormat="1" outlineLevel="1" thickBot="1" x14ac:dyDescent="0.3">
      <c r="A3456" s="44"/>
      <c r="B3456" s="31" t="str">
        <f>IF(_xll.TM1RPTELISCONSOLIDATED($H$20,$H3456),IF(_xll.TM1RPTELLEV($H$20,$H3456)&lt;=5,_xll.TM1RPTELLEV($H$20,$H3456),"Default"),"Leaf")</f>
        <v>Leaf</v>
      </c>
      <c r="C3456" s="26" t="s">
        <v>27</v>
      </c>
      <c r="D3456" s="24" t="str">
        <f>_xll.DBRW("TM1-S1_DEV:}ElementAttributes_SP_SKU",$F3456,D$1)</f>
        <v>Secondary</v>
      </c>
      <c r="E3456" s="24" t="str">
        <f>_xll.DBRW("TM1-S1_DEV:}ElementAttributes_SP_SKU",$F3456,E$1)</f>
        <v>DRESSING</v>
      </c>
      <c r="F3456" s="26" t="s">
        <v>579</v>
      </c>
      <c r="G3456" s="26" t="s">
        <v>2623</v>
      </c>
      <c r="H3456" s="26" t="s">
        <v>2733</v>
      </c>
      <c r="I3456" s="54">
        <f>_xll.DBRW($A$1,$F$14,$F$15,$C3456,$A$2,$F3456,$G3456,$H3456,I$1)</f>
        <v>2</v>
      </c>
      <c r="J3456" s="25">
        <f>_xll.DBRW($A$1,$F$14,$F$15,$C3456,$A$2,$F3456,$G3456,$H3456,J$19)</f>
        <v>2</v>
      </c>
    </row>
    <row r="3457" spans="1:10" s="23" customFormat="1" outlineLevel="1" thickBot="1" x14ac:dyDescent="0.3">
      <c r="A3457" s="44"/>
      <c r="B3457" s="31" t="str">
        <f>IF(_xll.TM1RPTELISCONSOLIDATED($H$20,$H3457),IF(_xll.TM1RPTELLEV($H$20,$H3457)&lt;=5,_xll.TM1RPTELLEV($H$20,$H3457),"Default"),"Leaf")</f>
        <v>Leaf</v>
      </c>
      <c r="C3457" s="26" t="s">
        <v>27</v>
      </c>
      <c r="D3457" s="24" t="str">
        <f>_xll.DBRW("TM1-S1_DEV:}ElementAttributes_SP_SKU",$F3457,D$1)</f>
        <v>Secondary</v>
      </c>
      <c r="E3457" s="24" t="str">
        <f>_xll.DBRW("TM1-S1_DEV:}ElementAttributes_SP_SKU",$F3457,E$1)</f>
        <v>INGREDIENT</v>
      </c>
      <c r="F3457" s="26" t="s">
        <v>580</v>
      </c>
      <c r="G3457" s="26" t="s">
        <v>2624</v>
      </c>
      <c r="H3457" s="26" t="s">
        <v>2948</v>
      </c>
      <c r="I3457" s="54">
        <f>_xll.DBRW($A$1,$F$14,$F$15,$C3457,$A$2,$F3457,$G3457,$H3457,I$1)</f>
        <v>1</v>
      </c>
      <c r="J3457" s="25">
        <f>_xll.DBRW($A$1,$F$14,$F$15,$C3457,$A$2,$F3457,$G3457,$H3457,J$19)</f>
        <v>1</v>
      </c>
    </row>
    <row r="3458" spans="1:10" s="23" customFormat="1" outlineLevel="1" thickBot="1" x14ac:dyDescent="0.3">
      <c r="A3458" s="44"/>
      <c r="B3458" s="31" t="str">
        <f>IF(_xll.TM1RPTELISCONSOLIDATED($H$20,$H3458),IF(_xll.TM1RPTELLEV($H$20,$H3458)&lt;=5,_xll.TM1RPTELLEV($H$20,$H3458),"Default"),"Leaf")</f>
        <v>Leaf</v>
      </c>
      <c r="C3458" s="26" t="s">
        <v>27</v>
      </c>
      <c r="D3458" s="24" t="str">
        <f>_xll.DBRW("TM1-S1_DEV:}ElementAttributes_SP_SKU",$F3458,D$1)</f>
        <v>Secondary</v>
      </c>
      <c r="E3458" s="24" t="str">
        <f>_xll.DBRW("TM1-S1_DEV:}ElementAttributes_SP_SKU",$F3458,E$1)</f>
        <v>COOKIE</v>
      </c>
      <c r="F3458" s="26" t="s">
        <v>581</v>
      </c>
      <c r="G3458" s="26" t="s">
        <v>2625</v>
      </c>
      <c r="H3458" s="26" t="s">
        <v>2889</v>
      </c>
      <c r="I3458" s="54">
        <f>_xll.DBRW($A$1,$F$14,$F$15,$C3458,$A$2,$F3458,$G3458,$H3458,I$1)</f>
        <v>8</v>
      </c>
      <c r="J3458" s="25">
        <f>_xll.DBRW($A$1,$F$14,$F$15,$C3458,$A$2,$F3458,$G3458,$H3458,J$19)</f>
        <v>8</v>
      </c>
    </row>
    <row r="3459" spans="1:10" s="23" customFormat="1" outlineLevel="1" thickBot="1" x14ac:dyDescent="0.3">
      <c r="A3459" s="44"/>
      <c r="B3459" s="31" t="str">
        <f>IF(_xll.TM1RPTELISCONSOLIDATED($H$20,$H3459),IF(_xll.TM1RPTELLEV($H$20,$H3459)&lt;=5,_xll.TM1RPTELLEV($H$20,$H3459),"Default"),"Leaf")</f>
        <v>Leaf</v>
      </c>
      <c r="C3459" s="26" t="s">
        <v>27</v>
      </c>
      <c r="D3459" s="24" t="str">
        <f>_xll.DBRW("TM1-S1_DEV:}ElementAttributes_SP_SKU",$F3459,D$1)</f>
        <v>Secondary</v>
      </c>
      <c r="E3459" s="24" t="str">
        <f>_xll.DBRW("TM1-S1_DEV:}ElementAttributes_SP_SKU",$F3459,E$1)</f>
        <v>INGREDIENT</v>
      </c>
      <c r="F3459" s="26" t="s">
        <v>582</v>
      </c>
      <c r="G3459" s="26" t="s">
        <v>2626</v>
      </c>
      <c r="H3459" s="26" t="s">
        <v>2949</v>
      </c>
      <c r="I3459" s="54">
        <f>_xll.DBRW($A$1,$F$14,$F$15,$C3459,$A$2,$F3459,$G3459,$H3459,I$1)</f>
        <v>15</v>
      </c>
      <c r="J3459" s="25">
        <f>_xll.DBRW($A$1,$F$14,$F$15,$C3459,$A$2,$F3459,$G3459,$H3459,J$19)</f>
        <v>15</v>
      </c>
    </row>
    <row r="3460" spans="1:10" s="23" customFormat="1" outlineLevel="1" thickBot="1" x14ac:dyDescent="0.3">
      <c r="A3460" s="44"/>
      <c r="B3460" s="31" t="str">
        <f>IF(_xll.TM1RPTELISCONSOLIDATED($H$20,$H3460),IF(_xll.TM1RPTELLEV($H$20,$H3460)&lt;=5,_xll.TM1RPTELLEV($H$20,$H3460),"Default"),"Leaf")</f>
        <v>Leaf</v>
      </c>
      <c r="C3460" s="26" t="s">
        <v>27</v>
      </c>
      <c r="D3460" s="24" t="str">
        <f>_xll.DBRW("TM1-S1_DEV:}ElementAttributes_SP_SKU",$F3460,D$1)</f>
        <v>Secondary</v>
      </c>
      <c r="E3460" s="24" t="str">
        <f>_xll.DBRW("TM1-S1_DEV:}ElementAttributes_SP_SKU",$F3460,E$1)</f>
        <v>INGREDIENT</v>
      </c>
      <c r="F3460" s="26" t="s">
        <v>583</v>
      </c>
      <c r="G3460" s="26" t="s">
        <v>2627</v>
      </c>
      <c r="H3460" s="26" t="s">
        <v>2949</v>
      </c>
      <c r="I3460" s="54">
        <f>_xll.DBRW($A$1,$F$14,$F$15,$C3460,$A$2,$F3460,$G3460,$H3460,I$1)</f>
        <v>19</v>
      </c>
      <c r="J3460" s="25">
        <f>_xll.DBRW($A$1,$F$14,$F$15,$C3460,$A$2,$F3460,$G3460,$H3460,J$19)</f>
        <v>19</v>
      </c>
    </row>
    <row r="3461" spans="1:10" s="23" customFormat="1" outlineLevel="1" thickBot="1" x14ac:dyDescent="0.3">
      <c r="A3461" s="44"/>
      <c r="B3461" s="31" t="str">
        <f>IF(_xll.TM1RPTELISCONSOLIDATED($H$20,$H3461),IF(_xll.TM1RPTELLEV($H$20,$H3461)&lt;=5,_xll.TM1RPTELLEV($H$20,$H3461),"Default"),"Leaf")</f>
        <v>Leaf</v>
      </c>
      <c r="C3461" s="26" t="s">
        <v>27</v>
      </c>
      <c r="D3461" s="24" t="str">
        <f>_xll.DBRW("TM1-S1_DEV:}ElementAttributes_SP_SKU",$F3461,D$1)</f>
        <v>Secondary</v>
      </c>
      <c r="E3461" s="24" t="str">
        <f>_xll.DBRW("TM1-S1_DEV:}ElementAttributes_SP_SKU",$F3461,E$1)</f>
        <v>DESSERT</v>
      </c>
      <c r="F3461" s="26" t="s">
        <v>584</v>
      </c>
      <c r="G3461" s="26" t="s">
        <v>2628</v>
      </c>
      <c r="H3461" s="26" t="s">
        <v>2889</v>
      </c>
      <c r="I3461" s="54">
        <f>_xll.DBRW($A$1,$F$14,$F$15,$C3461,$A$2,$F3461,$G3461,$H3461,I$1)</f>
        <v>1</v>
      </c>
      <c r="J3461" s="25">
        <f>_xll.DBRW($A$1,$F$14,$F$15,$C3461,$A$2,$F3461,$G3461,$H3461,J$19)</f>
        <v>1</v>
      </c>
    </row>
    <row r="3462" spans="1:10" s="23" customFormat="1" outlineLevel="1" thickBot="1" x14ac:dyDescent="0.3">
      <c r="A3462" s="44"/>
      <c r="B3462" s="31" t="str">
        <f>IF(_xll.TM1RPTELISCONSOLIDATED($H$20,$H3462),IF(_xll.TM1RPTELLEV($H$20,$H3462)&lt;=5,_xll.TM1RPTELLEV($H$20,$H3462),"Default"),"Leaf")</f>
        <v>Leaf</v>
      </c>
      <c r="C3462" s="26" t="s">
        <v>27</v>
      </c>
      <c r="D3462" s="24" t="str">
        <f>_xll.DBRW("TM1-S1_DEV:}ElementAttributes_SP_SKU",$F3462,D$1)</f>
        <v>Secondary</v>
      </c>
      <c r="E3462" s="24" t="str">
        <f>_xll.DBRW("TM1-S1_DEV:}ElementAttributes_SP_SKU",$F3462,E$1)</f>
        <v>CONDIMENT</v>
      </c>
      <c r="F3462" s="26" t="s">
        <v>585</v>
      </c>
      <c r="G3462" s="26" t="s">
        <v>2629</v>
      </c>
      <c r="H3462" s="26" t="s">
        <v>2720</v>
      </c>
      <c r="I3462" s="54">
        <f>_xll.DBRW($A$1,$F$14,$F$15,$C3462,$A$2,$F3462,$G3462,$H3462,I$1)</f>
        <v>33</v>
      </c>
      <c r="J3462" s="25">
        <f>_xll.DBRW($A$1,$F$14,$F$15,$C3462,$A$2,$F3462,$G3462,$H3462,J$19)</f>
        <v>33</v>
      </c>
    </row>
    <row r="3463" spans="1:10" s="23" customFormat="1" outlineLevel="1" thickBot="1" x14ac:dyDescent="0.3">
      <c r="A3463" s="44"/>
      <c r="B3463" s="31" t="str">
        <f>IF(_xll.TM1RPTELISCONSOLIDATED($H$20,$H3463),IF(_xll.TM1RPTELLEV($H$20,$H3463)&lt;=5,_xll.TM1RPTELLEV($H$20,$H3463),"Default"),"Leaf")</f>
        <v>Leaf</v>
      </c>
      <c r="C3463" s="26" t="s">
        <v>27</v>
      </c>
      <c r="D3463" s="24" t="str">
        <f>_xll.DBRW("TM1-S1_DEV:}ElementAttributes_SP_SKU",$F3463,D$1)</f>
        <v>Secondary</v>
      </c>
      <c r="E3463" s="24" t="str">
        <f>_xll.DBRW("TM1-S1_DEV:}ElementAttributes_SP_SKU",$F3463,E$1)</f>
        <v>CONTAINER</v>
      </c>
      <c r="F3463" s="26" t="s">
        <v>586</v>
      </c>
      <c r="G3463" s="26" t="s">
        <v>2630</v>
      </c>
      <c r="H3463" s="26" t="s">
        <v>2950</v>
      </c>
      <c r="I3463" s="54">
        <f>_xll.DBRW($A$1,$F$14,$F$15,$C3463,$A$2,$F3463,$G3463,$H3463,I$1)</f>
        <v>65</v>
      </c>
      <c r="J3463" s="25">
        <f>_xll.DBRW($A$1,$F$14,$F$15,$C3463,$A$2,$F3463,$G3463,$H3463,J$19)</f>
        <v>137</v>
      </c>
    </row>
    <row r="3464" spans="1:10" s="23" customFormat="1" outlineLevel="1" thickBot="1" x14ac:dyDescent="0.3">
      <c r="A3464" s="44"/>
      <c r="B3464" s="31" t="str">
        <f>IF(_xll.TM1RPTELISCONSOLIDATED($H$20,$H3464),IF(_xll.TM1RPTELLEV($H$20,$H3464)&lt;=5,_xll.TM1RPTELLEV($H$20,$H3464),"Default"),"Leaf")</f>
        <v>Leaf</v>
      </c>
      <c r="C3464" s="26" t="s">
        <v>27</v>
      </c>
      <c r="D3464" s="24" t="str">
        <f>_xll.DBRW("TM1-S1_DEV:}ElementAttributes_SP_SKU",$F3464,D$1)</f>
        <v>Secondary</v>
      </c>
      <c r="E3464" s="24" t="str">
        <f>_xll.DBRW("TM1-S1_DEV:}ElementAttributes_SP_SKU",$F3464,E$1)</f>
        <v>PAPER</v>
      </c>
      <c r="F3464" s="26" t="s">
        <v>490</v>
      </c>
      <c r="G3464" s="26" t="s">
        <v>2631</v>
      </c>
      <c r="H3464" s="26" t="s">
        <v>2951</v>
      </c>
      <c r="I3464" s="54">
        <f>_xll.DBRW($A$1,$F$14,$F$15,$C3464,$A$2,$F3464,$G3464,$H3464,I$1)</f>
        <v>104</v>
      </c>
      <c r="J3464" s="25">
        <f>_xll.DBRW($A$1,$F$14,$F$15,$C3464,$A$2,$F3464,$G3464,$H3464,J$19)</f>
        <v>104</v>
      </c>
    </row>
    <row r="3465" spans="1:10" s="23" customFormat="1" outlineLevel="1" thickBot="1" x14ac:dyDescent="0.3">
      <c r="A3465" s="44"/>
      <c r="B3465" s="31" t="str">
        <f>IF(_xll.TM1RPTELISCONSOLIDATED($H$20,$H3465),IF(_xll.TM1RPTELLEV($H$20,$H3465)&lt;=5,_xll.TM1RPTELLEV($H$20,$H3465),"Default"),"Leaf")</f>
        <v>Leaf</v>
      </c>
      <c r="C3465" s="26" t="s">
        <v>27</v>
      </c>
      <c r="D3465" s="24" t="str">
        <f>_xll.DBRW("TM1-S1_DEV:}ElementAttributes_SP_SKU",$F3465,D$1)</f>
        <v>Secondary</v>
      </c>
      <c r="E3465" s="24" t="str">
        <f>_xll.DBRW("TM1-S1_DEV:}ElementAttributes_SP_SKU",$F3465,E$1)</f>
        <v>PLATE</v>
      </c>
      <c r="F3465" s="26" t="s">
        <v>587</v>
      </c>
      <c r="G3465" s="26" t="s">
        <v>2632</v>
      </c>
      <c r="H3465" s="26" t="s">
        <v>2950</v>
      </c>
      <c r="I3465" s="54">
        <f>_xll.DBRW($A$1,$F$14,$F$15,$C3465,$A$2,$F3465,$G3465,$H3465,I$1)</f>
        <v>20</v>
      </c>
      <c r="J3465" s="25">
        <f>_xll.DBRW($A$1,$F$14,$F$15,$C3465,$A$2,$F3465,$G3465,$H3465,J$19)</f>
        <v>25</v>
      </c>
    </row>
    <row r="3466" spans="1:10" s="23" customFormat="1" outlineLevel="1" thickBot="1" x14ac:dyDescent="0.3">
      <c r="A3466" s="44"/>
      <c r="B3466" s="31" t="str">
        <f>IF(_xll.TM1RPTELISCONSOLIDATED($H$20,$H3466),IF(_xll.TM1RPTELLEV($H$20,$H3466)&lt;=5,_xll.TM1RPTELLEV($H$20,$H3466),"Default"),"Leaf")</f>
        <v>Leaf</v>
      </c>
      <c r="C3466" s="26" t="s">
        <v>27</v>
      </c>
      <c r="D3466" s="24" t="str">
        <f>_xll.DBRW("TM1-S1_DEV:}ElementAttributes_SP_SKU",$F3466,D$1)</f>
        <v>Secondary</v>
      </c>
      <c r="E3466" s="24" t="str">
        <f>_xll.DBRW("TM1-S1_DEV:}ElementAttributes_SP_SKU",$F3466,E$1)</f>
        <v>PROTEIN</v>
      </c>
      <c r="F3466" s="26" t="s">
        <v>588</v>
      </c>
      <c r="G3466" s="26" t="s">
        <v>2524</v>
      </c>
      <c r="H3466" s="26" t="s">
        <v>2891</v>
      </c>
      <c r="I3466" s="54">
        <f>_xll.DBRW($A$1,$F$14,$F$15,$C3466,$A$2,$F3466,$G3466,$H3466,I$1)</f>
        <v>20</v>
      </c>
      <c r="J3466" s="25">
        <f>_xll.DBRW($A$1,$F$14,$F$15,$C3466,$A$2,$F3466,$G3466,$H3466,J$19)</f>
        <v>20</v>
      </c>
    </row>
    <row r="3467" spans="1:10" s="23" customFormat="1" outlineLevel="1" thickBot="1" x14ac:dyDescent="0.3">
      <c r="A3467" s="44"/>
      <c r="B3467" s="31" t="str">
        <f>IF(_xll.TM1RPTELISCONSOLIDATED($H$20,$H3467),IF(_xll.TM1RPTELLEV($H$20,$H3467)&lt;=5,_xll.TM1RPTELLEV($H$20,$H3467),"Default"),"Leaf")</f>
        <v>Leaf</v>
      </c>
      <c r="C3467" s="26" t="s">
        <v>27</v>
      </c>
      <c r="D3467" s="24" t="str">
        <f>_xll.DBRW("TM1-S1_DEV:}ElementAttributes_SP_SKU",$F3467,D$1)</f>
        <v>Secondary</v>
      </c>
      <c r="E3467" s="24" t="str">
        <f>_xll.DBRW("TM1-S1_DEV:}ElementAttributes_SP_SKU",$F3467,E$1)</f>
        <v>CLEANING</v>
      </c>
      <c r="F3467" s="26" t="s">
        <v>589</v>
      </c>
      <c r="G3467" s="26" t="s">
        <v>2633</v>
      </c>
      <c r="H3467" s="26" t="s">
        <v>2808</v>
      </c>
      <c r="I3467" s="54">
        <f>_xll.DBRW($A$1,$F$14,$F$15,$C3467,$A$2,$F3467,$G3467,$H3467,I$1)</f>
        <v>27</v>
      </c>
      <c r="J3467" s="25">
        <f>_xll.DBRW($A$1,$F$14,$F$15,$C3467,$A$2,$F3467,$G3467,$H3467,J$19)</f>
        <v>27</v>
      </c>
    </row>
    <row r="3468" spans="1:10" s="23" customFormat="1" outlineLevel="1" thickBot="1" x14ac:dyDescent="0.3">
      <c r="A3468" s="44"/>
      <c r="B3468" s="31" t="str">
        <f>IF(_xll.TM1RPTELISCONSOLIDATED($H$20,$H3468),IF(_xll.TM1RPTELLEV($H$20,$H3468)&lt;=5,_xll.TM1RPTELLEV($H$20,$H3468),"Default"),"Leaf")</f>
        <v>Leaf</v>
      </c>
      <c r="C3468" s="26" t="s">
        <v>27</v>
      </c>
      <c r="D3468" s="24" t="str">
        <f>_xll.DBRW("TM1-S1_DEV:}ElementAttributes_SP_SKU",$F3468,D$1)</f>
        <v>Secondary</v>
      </c>
      <c r="E3468" s="24" t="str">
        <f>_xll.DBRW("TM1-S1_DEV:}ElementAttributes_SP_SKU",$F3468,E$1)</f>
        <v>DRINKS</v>
      </c>
      <c r="F3468" s="26" t="s">
        <v>590</v>
      </c>
      <c r="G3468" s="26" t="s">
        <v>2634</v>
      </c>
      <c r="H3468" s="26" t="s">
        <v>2746</v>
      </c>
      <c r="I3468" s="54">
        <f>_xll.DBRW($A$1,$F$14,$F$15,$C3468,$A$2,$F3468,$G3468,$H3468,I$1)</f>
        <v>10</v>
      </c>
      <c r="J3468" s="25">
        <f>_xll.DBRW($A$1,$F$14,$F$15,$C3468,$A$2,$F3468,$G3468,$H3468,J$19)</f>
        <v>10</v>
      </c>
    </row>
    <row r="3469" spans="1:10" s="23" customFormat="1" outlineLevel="1" thickBot="1" x14ac:dyDescent="0.3">
      <c r="A3469" s="44"/>
      <c r="B3469" s="31" t="str">
        <f>IF(_xll.TM1RPTELISCONSOLIDATED($H$20,$H3469),IF(_xll.TM1RPTELLEV($H$20,$H3469)&lt;=5,_xll.TM1RPTELLEV($H$20,$H3469),"Default"),"Leaf")</f>
        <v>Leaf</v>
      </c>
      <c r="C3469" s="26" t="s">
        <v>27</v>
      </c>
      <c r="D3469" s="24" t="str">
        <f>_xll.DBRW("TM1-S1_DEV:}ElementAttributes_SP_SKU",$F3469,D$1)</f>
        <v>Unassigned PSP</v>
      </c>
      <c r="E3469" s="24" t="str">
        <f>_xll.DBRW("TM1-S1_DEV:}ElementAttributes_SP_SKU",$F3469,E$1)</f>
        <v>DRINKS</v>
      </c>
      <c r="F3469" s="26" t="s">
        <v>591</v>
      </c>
      <c r="G3469" s="26" t="s">
        <v>2635</v>
      </c>
      <c r="H3469" s="26" t="s">
        <v>2920</v>
      </c>
      <c r="I3469" s="54">
        <f>_xll.DBRW($A$1,$F$14,$F$15,$C3469,$A$2,$F3469,$G3469,$H3469,I$1)</f>
        <v>11</v>
      </c>
      <c r="J3469" s="25">
        <f>_xll.DBRW($A$1,$F$14,$F$15,$C3469,$A$2,$F3469,$G3469,$H3469,J$19)</f>
        <v>11</v>
      </c>
    </row>
    <row r="3470" spans="1:10" s="23" customFormat="1" outlineLevel="1" thickBot="1" x14ac:dyDescent="0.3">
      <c r="A3470" s="44"/>
      <c r="B3470" s="31" t="str">
        <f>IF(_xll.TM1RPTELISCONSOLIDATED($H$20,$H3470),IF(_xll.TM1RPTELLEV($H$20,$H3470)&lt;=5,_xll.TM1RPTELLEV($H$20,$H3470),"Default"),"Leaf")</f>
        <v>Leaf</v>
      </c>
      <c r="C3470" s="26" t="s">
        <v>27</v>
      </c>
      <c r="D3470" s="24" t="str">
        <f>_xll.DBRW("TM1-S1_DEV:}ElementAttributes_SP_SKU",$F3470,D$1)</f>
        <v>Unassigned PSP</v>
      </c>
      <c r="E3470" s="24" t="str">
        <f>_xll.DBRW("TM1-S1_DEV:}ElementAttributes_SP_SKU",$F3470,E$1)</f>
        <v>DRINKS</v>
      </c>
      <c r="F3470" s="26" t="s">
        <v>592</v>
      </c>
      <c r="G3470" s="26" t="s">
        <v>2636</v>
      </c>
      <c r="H3470" s="26" t="s">
        <v>2920</v>
      </c>
      <c r="I3470" s="54">
        <f>_xll.DBRW($A$1,$F$14,$F$15,$C3470,$A$2,$F3470,$G3470,$H3470,I$1)</f>
        <v>10</v>
      </c>
      <c r="J3470" s="25">
        <f>_xll.DBRW($A$1,$F$14,$F$15,$C3470,$A$2,$F3470,$G3470,$H3470,J$19)</f>
        <v>10</v>
      </c>
    </row>
    <row r="3471" spans="1:10" s="23" customFormat="1" outlineLevel="1" thickBot="1" x14ac:dyDescent="0.3">
      <c r="A3471" s="44"/>
      <c r="B3471" s="31" t="str">
        <f>IF(_xll.TM1RPTELISCONSOLIDATED($H$20,$H3471),IF(_xll.TM1RPTELLEV($H$20,$H3471)&lt;=5,_xll.TM1RPTELLEV($H$20,$H3471),"Default"),"Leaf")</f>
        <v>Leaf</v>
      </c>
      <c r="C3471" s="26" t="s">
        <v>27</v>
      </c>
      <c r="D3471" s="24" t="str">
        <f>_xll.DBRW("TM1-S1_DEV:}ElementAttributes_SP_SKU",$F3471,D$1)</f>
        <v>Secondary</v>
      </c>
      <c r="E3471" s="24" t="str">
        <f>_xll.DBRW("TM1-S1_DEV:}ElementAttributes_SP_SKU",$F3471,E$1)</f>
        <v>CHEMICAL</v>
      </c>
      <c r="F3471" s="26" t="s">
        <v>593</v>
      </c>
      <c r="G3471" s="26" t="s">
        <v>2637</v>
      </c>
      <c r="H3471" s="26" t="s">
        <v>2918</v>
      </c>
      <c r="I3471" s="54">
        <f>_xll.DBRW($A$1,$F$14,$F$15,$C3471,$A$2,$F3471,$G3471,$H3471,I$1)</f>
        <v>14</v>
      </c>
      <c r="J3471" s="25">
        <f>_xll.DBRW($A$1,$F$14,$F$15,$C3471,$A$2,$F3471,$G3471,$H3471,J$19)</f>
        <v>14</v>
      </c>
    </row>
    <row r="3472" spans="1:10" s="23" customFormat="1" outlineLevel="1" thickBot="1" x14ac:dyDescent="0.3">
      <c r="A3472" s="44"/>
      <c r="B3472" s="31" t="str">
        <f>IF(_xll.TM1RPTELISCONSOLIDATED($H$20,$H3472),IF(_xll.TM1RPTELLEV($H$20,$H3472)&lt;=5,_xll.TM1RPTELLEV($H$20,$H3472),"Default"),"Leaf")</f>
        <v>Leaf</v>
      </c>
      <c r="C3472" s="26" t="s">
        <v>27</v>
      </c>
      <c r="D3472" s="24" t="str">
        <f>_xll.DBRW("TM1-S1_DEV:}ElementAttributes_SP_SKU",$F3472,D$1)</f>
        <v>Secondary</v>
      </c>
      <c r="E3472" s="24" t="str">
        <f>_xll.DBRW("TM1-S1_DEV:}ElementAttributes_SP_SKU",$F3472,E$1)</f>
        <v>BREAD</v>
      </c>
      <c r="F3472" s="26" t="s">
        <v>594</v>
      </c>
      <c r="G3472" s="26" t="s">
        <v>2638</v>
      </c>
      <c r="H3472" s="26" t="s">
        <v>2946</v>
      </c>
      <c r="I3472" s="54">
        <f>_xll.DBRW($A$1,$F$14,$F$15,$C3472,$A$2,$F3472,$G3472,$H3472,I$1)</f>
        <v>13</v>
      </c>
      <c r="J3472" s="25">
        <f>_xll.DBRW($A$1,$F$14,$F$15,$C3472,$A$2,$F3472,$G3472,$H3472,J$19)</f>
        <v>13</v>
      </c>
    </row>
    <row r="3473" spans="1:10" s="23" customFormat="1" outlineLevel="1" thickBot="1" x14ac:dyDescent="0.3">
      <c r="A3473" s="44"/>
      <c r="B3473" s="31" t="str">
        <f>IF(_xll.TM1RPTELISCONSOLIDATED($H$20,$H3473),IF(_xll.TM1RPTELLEV($H$20,$H3473)&lt;=5,_xll.TM1RPTELLEV($H$20,$H3473),"Default"),"Leaf")</f>
        <v>Leaf</v>
      </c>
      <c r="C3473" s="26" t="s">
        <v>27</v>
      </c>
      <c r="D3473" s="24" t="str">
        <f>_xll.DBRW("TM1-S1_DEV:}ElementAttributes_SP_SKU",$F3473,D$1)</f>
        <v>Secondary</v>
      </c>
      <c r="E3473" s="24" t="str">
        <f>_xll.DBRW("TM1-S1_DEV:}ElementAttributes_SP_SKU",$F3473,E$1)</f>
        <v>DRINKS</v>
      </c>
      <c r="F3473" s="26" t="s">
        <v>595</v>
      </c>
      <c r="G3473" s="26" t="s">
        <v>2639</v>
      </c>
      <c r="H3473" s="26" t="s">
        <v>2746</v>
      </c>
      <c r="I3473" s="54">
        <f>_xll.DBRW($A$1,$F$14,$F$15,$C3473,$A$2,$F3473,$G3473,$H3473,I$1)</f>
        <v>134</v>
      </c>
      <c r="J3473" s="25">
        <f>_xll.DBRW($A$1,$F$14,$F$15,$C3473,$A$2,$F3473,$G3473,$H3473,J$19)</f>
        <v>194</v>
      </c>
    </row>
    <row r="3474" spans="1:10" s="23" customFormat="1" outlineLevel="1" thickBot="1" x14ac:dyDescent="0.3">
      <c r="A3474" s="44"/>
      <c r="B3474" s="31" t="str">
        <f>IF(_xll.TM1RPTELISCONSOLIDATED($H$20,$H3474),IF(_xll.TM1RPTELLEV($H$20,$H3474)&lt;=5,_xll.TM1RPTELLEV($H$20,$H3474),"Default"),"Leaf")</f>
        <v>Leaf</v>
      </c>
      <c r="C3474" s="26" t="s">
        <v>27</v>
      </c>
      <c r="D3474" s="24" t="str">
        <f>_xll.DBRW("TM1-S1_DEV:}ElementAttributes_SP_SKU",$F3474,D$1)</f>
        <v>Secondary</v>
      </c>
      <c r="E3474" s="24" t="str">
        <f>_xll.DBRW("TM1-S1_DEV:}ElementAttributes_SP_SKU",$F3474,E$1)</f>
        <v>DRINKS</v>
      </c>
      <c r="F3474" s="26" t="s">
        <v>596</v>
      </c>
      <c r="G3474" s="26" t="s">
        <v>2640</v>
      </c>
      <c r="H3474" s="26" t="s">
        <v>2746</v>
      </c>
      <c r="I3474" s="54">
        <f>_xll.DBRW($A$1,$F$14,$F$15,$C3474,$A$2,$F3474,$G3474,$H3474,I$1)</f>
        <v>8</v>
      </c>
      <c r="J3474" s="25">
        <f>_xll.DBRW($A$1,$F$14,$F$15,$C3474,$A$2,$F3474,$G3474,$H3474,J$19)</f>
        <v>68</v>
      </c>
    </row>
    <row r="3475" spans="1:10" s="23" customFormat="1" outlineLevel="1" thickBot="1" x14ac:dyDescent="0.3">
      <c r="A3475" s="44"/>
      <c r="B3475" s="31" t="str">
        <f>IF(_xll.TM1RPTELISCONSOLIDATED($H$20,$H3475),IF(_xll.TM1RPTELLEV($H$20,$H3475)&lt;=5,_xll.TM1RPTELLEV($H$20,$H3475),"Default"),"Leaf")</f>
        <v>Leaf</v>
      </c>
      <c r="C3475" s="26" t="s">
        <v>27</v>
      </c>
      <c r="D3475" s="24" t="str">
        <f>_xll.DBRW("TM1-S1_DEV:}ElementAttributes_SP_SKU",$F3475,D$1)</f>
        <v>Secondary</v>
      </c>
      <c r="E3475" s="24" t="str">
        <f>_xll.DBRW("TM1-S1_DEV:}ElementAttributes_SP_SKU",$F3475,E$1)</f>
        <v>PROTEIN</v>
      </c>
      <c r="F3475" s="26" t="s">
        <v>597</v>
      </c>
      <c r="G3475" s="26" t="s">
        <v>2641</v>
      </c>
      <c r="H3475" s="26" t="s">
        <v>2891</v>
      </c>
      <c r="I3475" s="54">
        <f>_xll.DBRW($A$1,$F$14,$F$15,$C3475,$A$2,$F3475,$G3475,$H3475,I$1)</f>
        <v>3</v>
      </c>
      <c r="J3475" s="25">
        <f>_xll.DBRW($A$1,$F$14,$F$15,$C3475,$A$2,$F3475,$G3475,$H3475,J$19)</f>
        <v>3</v>
      </c>
    </row>
    <row r="3476" spans="1:10" s="23" customFormat="1" outlineLevel="1" thickBot="1" x14ac:dyDescent="0.3">
      <c r="A3476" s="44"/>
      <c r="B3476" s="31" t="str">
        <f>IF(_xll.TM1RPTELISCONSOLIDATED($H$20,$H3476),IF(_xll.TM1RPTELLEV($H$20,$H3476)&lt;=5,_xll.TM1RPTELLEV($H$20,$H3476),"Default"),"Leaf")</f>
        <v>Leaf</v>
      </c>
      <c r="C3476" s="26" t="s">
        <v>27</v>
      </c>
      <c r="D3476" s="24" t="str">
        <f>_xll.DBRW("TM1-S1_DEV:}ElementAttributes_SP_SKU",$F3476,D$1)</f>
        <v>Secondary</v>
      </c>
      <c r="E3476" s="24" t="str">
        <f>_xll.DBRW("TM1-S1_DEV:}ElementAttributes_SP_SKU",$F3476,E$1)</f>
        <v>COOKIE</v>
      </c>
      <c r="F3476" s="26" t="s">
        <v>598</v>
      </c>
      <c r="G3476" s="26" t="s">
        <v>2642</v>
      </c>
      <c r="H3476" s="26" t="s">
        <v>2889</v>
      </c>
      <c r="I3476" s="54">
        <f>_xll.DBRW($A$1,$F$14,$F$15,$C3476,$A$2,$F3476,$G3476,$H3476,I$1)</f>
        <v>10</v>
      </c>
      <c r="J3476" s="25">
        <f>_xll.DBRW($A$1,$F$14,$F$15,$C3476,$A$2,$F3476,$G3476,$H3476,J$19)</f>
        <v>10</v>
      </c>
    </row>
    <row r="3477" spans="1:10" s="23" customFormat="1" outlineLevel="1" thickBot="1" x14ac:dyDescent="0.3">
      <c r="A3477" s="44"/>
      <c r="B3477" s="31" t="str">
        <f>IF(_xll.TM1RPTELISCONSOLIDATED($H$20,$H3477),IF(_xll.TM1RPTELLEV($H$20,$H3477)&lt;=5,_xll.TM1RPTELLEV($H$20,$H3477),"Default"),"Leaf")</f>
        <v>Leaf</v>
      </c>
      <c r="C3477" s="26" t="s">
        <v>27</v>
      </c>
      <c r="D3477" s="24" t="str">
        <f>_xll.DBRW("TM1-S1_DEV:}ElementAttributes_SP_SKU",$F3477,D$1)</f>
        <v>Secondary</v>
      </c>
      <c r="E3477" s="24" t="str">
        <f>_xll.DBRW("TM1-S1_DEV:}ElementAttributes_SP_SKU",$F3477,E$1)</f>
        <v>PRODUCE</v>
      </c>
      <c r="F3477" s="26" t="s">
        <v>599</v>
      </c>
      <c r="G3477" s="26" t="s">
        <v>2643</v>
      </c>
      <c r="H3477" s="26" t="s">
        <v>2952</v>
      </c>
      <c r="I3477" s="54">
        <f>_xll.DBRW($A$1,$F$14,$F$15,$C3477,$A$2,$F3477,$G3477,$H3477,I$1)</f>
        <v>104</v>
      </c>
      <c r="J3477" s="25">
        <f>_xll.DBRW($A$1,$F$14,$F$15,$C3477,$A$2,$F3477,$G3477,$H3477,J$19)</f>
        <v>104</v>
      </c>
    </row>
    <row r="3478" spans="1:10" s="23" customFormat="1" outlineLevel="1" thickBot="1" x14ac:dyDescent="0.3">
      <c r="A3478" s="44"/>
      <c r="B3478" s="31" t="str">
        <f>IF(_xll.TM1RPTELISCONSOLIDATED($H$20,$H3478),IF(_xll.TM1RPTELLEV($H$20,$H3478)&lt;=5,_xll.TM1RPTELLEV($H$20,$H3478),"Default"),"Leaf")</f>
        <v>Leaf</v>
      </c>
      <c r="C3478" s="26" t="s">
        <v>27</v>
      </c>
      <c r="D3478" s="24" t="str">
        <f>_xll.DBRW("TM1-S1_DEV:}ElementAttributes_SP_SKU",$F3478,D$1)</f>
        <v>Secondary</v>
      </c>
      <c r="E3478" s="24" t="str">
        <f>_xll.DBRW("TM1-S1_DEV:}ElementAttributes_SP_SKU",$F3478,E$1)</f>
        <v>PAPER</v>
      </c>
      <c r="F3478" s="26" t="s">
        <v>600</v>
      </c>
      <c r="G3478" s="26" t="s">
        <v>2508</v>
      </c>
      <c r="H3478" s="26" t="s">
        <v>2759</v>
      </c>
      <c r="I3478" s="54">
        <f>_xll.DBRW($A$1,$F$14,$F$15,$C3478,$A$2,$F3478,$G3478,$H3478,I$1)</f>
        <v>27</v>
      </c>
      <c r="J3478" s="25">
        <f>_xll.DBRW($A$1,$F$14,$F$15,$C3478,$A$2,$F3478,$G3478,$H3478,J$19)</f>
        <v>27</v>
      </c>
    </row>
    <row r="3479" spans="1:10" s="23" customFormat="1" outlineLevel="1" thickBot="1" x14ac:dyDescent="0.3">
      <c r="A3479" s="44"/>
      <c r="B3479" s="31" t="str">
        <f>IF(_xll.TM1RPTELISCONSOLIDATED($H$20,$H3479),IF(_xll.TM1RPTELLEV($H$20,$H3479)&lt;=5,_xll.TM1RPTELLEV($H$20,$H3479),"Default"),"Leaf")</f>
        <v>Leaf</v>
      </c>
      <c r="C3479" s="26" t="s">
        <v>27</v>
      </c>
      <c r="D3479" s="24" t="str">
        <f>_xll.DBRW("TM1-S1_DEV:}ElementAttributes_SP_SKU",$F3479,D$1)</f>
        <v>Secondary</v>
      </c>
      <c r="E3479" s="24" t="str">
        <f>_xll.DBRW("TM1-S1_DEV:}ElementAttributes_SP_SKU",$F3479,E$1)</f>
        <v>CHEESE</v>
      </c>
      <c r="F3479" s="26" t="s">
        <v>601</v>
      </c>
      <c r="G3479" s="26" t="s">
        <v>2644</v>
      </c>
      <c r="H3479" s="26" t="s">
        <v>2947</v>
      </c>
      <c r="I3479" s="54">
        <f>_xll.DBRW($A$1,$F$14,$F$15,$C3479,$A$2,$F3479,$G3479,$H3479,I$1)</f>
        <v>11</v>
      </c>
      <c r="J3479" s="25">
        <f>_xll.DBRW($A$1,$F$14,$F$15,$C3479,$A$2,$F3479,$G3479,$H3479,J$19)</f>
        <v>11</v>
      </c>
    </row>
    <row r="3480" spans="1:10" s="23" customFormat="1" outlineLevel="1" thickBot="1" x14ac:dyDescent="0.3">
      <c r="A3480" s="44"/>
      <c r="B3480" s="31" t="str">
        <f>IF(_xll.TM1RPTELISCONSOLIDATED($H$20,$H3480),IF(_xll.TM1RPTELLEV($H$20,$H3480)&lt;=5,_xll.TM1RPTELLEV($H$20,$H3480),"Default"),"Leaf")</f>
        <v>Leaf</v>
      </c>
      <c r="C3480" s="26" t="s">
        <v>27</v>
      </c>
      <c r="D3480" s="24" t="str">
        <f>_xll.DBRW("TM1-S1_DEV:}ElementAttributes_SP_SKU",$F3480,D$1)</f>
        <v>Secondary</v>
      </c>
      <c r="E3480" s="24" t="str">
        <f>_xll.DBRW("TM1-S1_DEV:}ElementAttributes_SP_SKU",$F3480,E$1)</f>
        <v>PROTEIN</v>
      </c>
      <c r="F3480" s="26" t="s">
        <v>602</v>
      </c>
      <c r="G3480" s="26" t="s">
        <v>2645</v>
      </c>
      <c r="H3480" s="26" t="s">
        <v>2891</v>
      </c>
      <c r="I3480" s="54">
        <f>_xll.DBRW($A$1,$F$14,$F$15,$C3480,$A$2,$F3480,$G3480,$H3480,I$1)</f>
        <v>12</v>
      </c>
      <c r="J3480" s="25">
        <f>_xll.DBRW($A$1,$F$14,$F$15,$C3480,$A$2,$F3480,$G3480,$H3480,J$19)</f>
        <v>12</v>
      </c>
    </row>
    <row r="3481" spans="1:10" s="23" customFormat="1" outlineLevel="1" thickBot="1" x14ac:dyDescent="0.3">
      <c r="A3481" s="44"/>
      <c r="B3481" s="31" t="str">
        <f>IF(_xll.TM1RPTELISCONSOLIDATED($H$20,$H3481),IF(_xll.TM1RPTELLEV($H$20,$H3481)&lt;=5,_xll.TM1RPTELLEV($H$20,$H3481),"Default"),"Leaf")</f>
        <v>Leaf</v>
      </c>
      <c r="C3481" s="26" t="s">
        <v>27</v>
      </c>
      <c r="D3481" s="24" t="str">
        <f>_xll.DBRW("TM1-S1_DEV:}ElementAttributes_SP_SKU",$F3481,D$1)</f>
        <v>Secondary</v>
      </c>
      <c r="E3481" s="24" t="str">
        <f>_xll.DBRW("TM1-S1_DEV:}ElementAttributes_SP_SKU",$F3481,E$1)</f>
        <v>PAPER</v>
      </c>
      <c r="F3481" s="26" t="s">
        <v>603</v>
      </c>
      <c r="G3481" s="26" t="s">
        <v>2646</v>
      </c>
      <c r="H3481" s="26" t="s">
        <v>2951</v>
      </c>
      <c r="I3481" s="54">
        <f>_xll.DBRW($A$1,$F$14,$F$15,$C3481,$A$2,$F3481,$G3481,$H3481,I$1)</f>
        <v>41</v>
      </c>
      <c r="J3481" s="25">
        <f>_xll.DBRW($A$1,$F$14,$F$15,$C3481,$A$2,$F3481,$G3481,$H3481,J$19)</f>
        <v>41</v>
      </c>
    </row>
    <row r="3482" spans="1:10" s="23" customFormat="1" outlineLevel="1" thickBot="1" x14ac:dyDescent="0.3">
      <c r="A3482" s="44"/>
      <c r="B3482" s="31" t="str">
        <f>IF(_xll.TM1RPTELISCONSOLIDATED($H$20,$H3482),IF(_xll.TM1RPTELLEV($H$20,$H3482)&lt;=5,_xll.TM1RPTELLEV($H$20,$H3482),"Default"),"Leaf")</f>
        <v>Leaf</v>
      </c>
      <c r="C3482" s="26" t="s">
        <v>27</v>
      </c>
      <c r="D3482" s="24" t="str">
        <f>_xll.DBRW("TM1-S1_DEV:}ElementAttributes_SP_SKU",$F3482,D$1)</f>
        <v>Unassigned PSP</v>
      </c>
      <c r="E3482" s="24" t="str">
        <f>_xll.DBRW("TM1-S1_DEV:}ElementAttributes_SP_SKU",$F3482,E$1)</f>
        <v>DRINKS</v>
      </c>
      <c r="F3482" s="26" t="s">
        <v>604</v>
      </c>
      <c r="G3482" s="26" t="s">
        <v>2647</v>
      </c>
      <c r="H3482" s="26" t="s">
        <v>2920</v>
      </c>
      <c r="I3482" s="54">
        <f>_xll.DBRW($A$1,$F$14,$F$15,$C3482,$A$2,$F3482,$G3482,$H3482,I$1)</f>
        <v>9</v>
      </c>
      <c r="J3482" s="25">
        <f>_xll.DBRW($A$1,$F$14,$F$15,$C3482,$A$2,$F3482,$G3482,$H3482,J$19)</f>
        <v>9</v>
      </c>
    </row>
    <row r="3483" spans="1:10" s="23" customFormat="1" outlineLevel="1" thickBot="1" x14ac:dyDescent="0.3">
      <c r="A3483" s="44"/>
      <c r="B3483" s="31" t="str">
        <f>IF(_xll.TM1RPTELISCONSOLIDATED($H$20,$H3483),IF(_xll.TM1RPTELLEV($H$20,$H3483)&lt;=5,_xll.TM1RPTELLEV($H$20,$H3483),"Default"),"Leaf")</f>
        <v>Leaf</v>
      </c>
      <c r="C3483" s="26" t="s">
        <v>27</v>
      </c>
      <c r="D3483" s="24" t="str">
        <f>_xll.DBRW("TM1-S1_DEV:}ElementAttributes_SP_SKU",$F3483,D$1)</f>
        <v>Secondary</v>
      </c>
      <c r="E3483" s="24" t="str">
        <f>_xll.DBRW("TM1-S1_DEV:}ElementAttributes_SP_SKU",$F3483,E$1)</f>
        <v>SIDES</v>
      </c>
      <c r="F3483" s="26" t="s">
        <v>605</v>
      </c>
      <c r="G3483" s="26" t="s">
        <v>2648</v>
      </c>
      <c r="H3483" s="26" t="s">
        <v>2733</v>
      </c>
      <c r="I3483" s="54">
        <f>_xll.DBRW($A$1,$F$14,$F$15,$C3483,$A$2,$F3483,$G3483,$H3483,I$1)</f>
        <v>8</v>
      </c>
      <c r="J3483" s="25">
        <f>_xll.DBRW($A$1,$F$14,$F$15,$C3483,$A$2,$F3483,$G3483,$H3483,J$19)</f>
        <v>8</v>
      </c>
    </row>
    <row r="3484" spans="1:10" s="23" customFormat="1" outlineLevel="1" thickBot="1" x14ac:dyDescent="0.3">
      <c r="A3484" s="44"/>
      <c r="B3484" s="31" t="str">
        <f>IF(_xll.TM1RPTELISCONSOLIDATED($H$20,$H3484),IF(_xll.TM1RPTELLEV($H$20,$H3484)&lt;=5,_xll.TM1RPTELLEV($H$20,$H3484),"Default"),"Leaf")</f>
        <v>Leaf</v>
      </c>
      <c r="C3484" s="26" t="s">
        <v>27</v>
      </c>
      <c r="D3484" s="24" t="str">
        <f>_xll.DBRW("TM1-S1_DEV:}ElementAttributes_SP_SKU",$F3484,D$1)</f>
        <v>Secondary</v>
      </c>
      <c r="E3484" s="24" t="str">
        <f>_xll.DBRW("TM1-S1_DEV:}ElementAttributes_SP_SKU",$F3484,E$1)</f>
        <v>SIDES</v>
      </c>
      <c r="F3484" s="26" t="s">
        <v>606</v>
      </c>
      <c r="G3484" s="26" t="s">
        <v>2649</v>
      </c>
      <c r="H3484" s="26" t="s">
        <v>2953</v>
      </c>
      <c r="I3484" s="54">
        <f>_xll.DBRW($A$1,$F$14,$F$15,$C3484,$A$2,$F3484,$G3484,$H3484,I$1)</f>
        <v>13</v>
      </c>
      <c r="J3484" s="25">
        <f>_xll.DBRW($A$1,$F$14,$F$15,$C3484,$A$2,$F3484,$G3484,$H3484,J$19)</f>
        <v>13</v>
      </c>
    </row>
    <row r="3485" spans="1:10" s="23" customFormat="1" outlineLevel="1" thickBot="1" x14ac:dyDescent="0.3">
      <c r="A3485" s="44"/>
      <c r="B3485" s="31" t="str">
        <f>IF(_xll.TM1RPTELISCONSOLIDATED($H$20,$H3485),IF(_xll.TM1RPTELLEV($H$20,$H3485)&lt;=5,_xll.TM1RPTELLEV($H$20,$H3485),"Default"),"Leaf")</f>
        <v>Leaf</v>
      </c>
      <c r="C3485" s="26" t="s">
        <v>27</v>
      </c>
      <c r="D3485" s="24" t="str">
        <f>_xll.DBRW("TM1-S1_DEV:}ElementAttributes_SP_SKU",$F3485,D$1)</f>
        <v>Secondary</v>
      </c>
      <c r="E3485" s="24" t="str">
        <f>_xll.DBRW("TM1-S1_DEV:}ElementAttributes_SP_SKU",$F3485,E$1)</f>
        <v>PAPER</v>
      </c>
      <c r="F3485" s="26" t="s">
        <v>607</v>
      </c>
      <c r="G3485" s="26" t="s">
        <v>2650</v>
      </c>
      <c r="H3485" s="26" t="s">
        <v>2938</v>
      </c>
      <c r="I3485" s="54">
        <f>_xll.DBRW($A$1,$F$14,$F$15,$C3485,$A$2,$F3485,$G3485,$H3485,I$1)</f>
        <v>97</v>
      </c>
      <c r="J3485" s="25">
        <f>_xll.DBRW($A$1,$F$14,$F$15,$C3485,$A$2,$F3485,$G3485,$H3485,J$19)</f>
        <v>157</v>
      </c>
    </row>
    <row r="3486" spans="1:10" s="23" customFormat="1" outlineLevel="1" thickBot="1" x14ac:dyDescent="0.3">
      <c r="A3486" s="44"/>
      <c r="B3486" s="31" t="str">
        <f>IF(_xll.TM1RPTELISCONSOLIDATED($H$20,$H3486),IF(_xll.TM1RPTELLEV($H$20,$H3486)&lt;=5,_xll.TM1RPTELLEV($H$20,$H3486),"Default"),"Leaf")</f>
        <v>Leaf</v>
      </c>
      <c r="C3486" s="26" t="s">
        <v>27</v>
      </c>
      <c r="D3486" s="24" t="str">
        <f>_xll.DBRW("TM1-S1_DEV:}ElementAttributes_SP_SKU",$F3486,D$1)</f>
        <v>Secondary</v>
      </c>
      <c r="E3486" s="24" t="str">
        <f>_xll.DBRW("TM1-S1_DEV:}ElementAttributes_SP_SKU",$F3486,E$1)</f>
        <v>BREAD</v>
      </c>
      <c r="F3486" s="26" t="s">
        <v>608</v>
      </c>
      <c r="G3486" s="26" t="s">
        <v>2651</v>
      </c>
      <c r="H3486" s="26" t="s">
        <v>2939</v>
      </c>
      <c r="I3486" s="54">
        <f>_xll.DBRW($A$1,$F$14,$F$15,$C3486,$A$2,$F3486,$G3486,$H3486,I$1)</f>
        <v>14</v>
      </c>
      <c r="J3486" s="25">
        <f>_xll.DBRW($A$1,$F$14,$F$15,$C3486,$A$2,$F3486,$G3486,$H3486,J$19)</f>
        <v>14</v>
      </c>
    </row>
    <row r="3487" spans="1:10" s="23" customFormat="1" outlineLevel="1" thickBot="1" x14ac:dyDescent="0.3">
      <c r="A3487" s="44"/>
      <c r="B3487" s="31" t="str">
        <f>IF(_xll.TM1RPTELISCONSOLIDATED($H$20,$H3487),IF(_xll.TM1RPTELLEV($H$20,$H3487)&lt;=5,_xll.TM1RPTELLEV($H$20,$H3487),"Default"),"Leaf")</f>
        <v>Leaf</v>
      </c>
      <c r="C3487" s="26" t="s">
        <v>27</v>
      </c>
      <c r="D3487" s="24" t="str">
        <f>_xll.DBRW("TM1-S1_DEV:}ElementAttributes_SP_SKU",$F3487,D$1)</f>
        <v>Secondary</v>
      </c>
      <c r="E3487" s="24" t="str">
        <f>_xll.DBRW("TM1-S1_DEV:}ElementAttributes_SP_SKU",$F3487,E$1)</f>
        <v>INGREDIENT</v>
      </c>
      <c r="F3487" s="26" t="s">
        <v>609</v>
      </c>
      <c r="G3487" s="26" t="s">
        <v>2652</v>
      </c>
      <c r="H3487" s="26" t="s">
        <v>2954</v>
      </c>
      <c r="I3487" s="54">
        <f>_xll.DBRW($A$1,$F$14,$F$15,$C3487,$A$2,$F3487,$G3487,$H3487,I$1)</f>
        <v>299</v>
      </c>
      <c r="J3487" s="25">
        <f>_xll.DBRW($A$1,$F$14,$F$15,$C3487,$A$2,$F3487,$G3487,$H3487,J$19)</f>
        <v>479</v>
      </c>
    </row>
    <row r="3488" spans="1:10" s="23" customFormat="1" outlineLevel="1" thickBot="1" x14ac:dyDescent="0.3">
      <c r="A3488" s="44"/>
      <c r="B3488" s="31" t="str">
        <f>IF(_xll.TM1RPTELISCONSOLIDATED($H$20,$H3488),IF(_xll.TM1RPTELLEV($H$20,$H3488)&lt;=5,_xll.TM1RPTELLEV($H$20,$H3488),"Default"),"Leaf")</f>
        <v>Leaf</v>
      </c>
      <c r="C3488" s="26" t="s">
        <v>27</v>
      </c>
      <c r="D3488" s="24" t="str">
        <f>_xll.DBRW("TM1-S1_DEV:}ElementAttributes_SP_SKU",$F3488,D$1)</f>
        <v>Secondary</v>
      </c>
      <c r="E3488" s="24" t="str">
        <f>_xll.DBRW("TM1-S1_DEV:}ElementAttributes_SP_SKU",$F3488,E$1)</f>
        <v>FOIL</v>
      </c>
      <c r="F3488" s="26" t="s">
        <v>610</v>
      </c>
      <c r="G3488" s="26" t="s">
        <v>2653</v>
      </c>
      <c r="H3488" s="26" t="s">
        <v>2918</v>
      </c>
      <c r="I3488" s="54">
        <f>_xll.DBRW($A$1,$F$14,$F$15,$C3488,$A$2,$F3488,$G3488,$H3488,I$1)</f>
        <v>134</v>
      </c>
      <c r="J3488" s="25">
        <f>_xll.DBRW($A$1,$F$14,$F$15,$C3488,$A$2,$F3488,$G3488,$H3488,J$19)</f>
        <v>170</v>
      </c>
    </row>
    <row r="3489" spans="1:10" s="23" customFormat="1" outlineLevel="1" thickBot="1" x14ac:dyDescent="0.3">
      <c r="A3489" s="44"/>
      <c r="B3489" s="31" t="str">
        <f>IF(_xll.TM1RPTELISCONSOLIDATED($H$20,$H3489),IF(_xll.TM1RPTELLEV($H$20,$H3489)&lt;=5,_xll.TM1RPTELLEV($H$20,$H3489),"Default"),"Leaf")</f>
        <v>Leaf</v>
      </c>
      <c r="C3489" s="26" t="s">
        <v>27</v>
      </c>
      <c r="D3489" s="24" t="str">
        <f>_xll.DBRW("TM1-S1_DEV:}ElementAttributes_SP_SKU",$F3489,D$1)</f>
        <v>Primary</v>
      </c>
      <c r="E3489" s="24" t="str">
        <f>_xll.DBRW("TM1-S1_DEV:}ElementAttributes_SP_SKU",$F3489,E$1)</f>
        <v>INGREDIENT</v>
      </c>
      <c r="F3489" s="26" t="s">
        <v>3240</v>
      </c>
      <c r="G3489" s="26" t="s">
        <v>2546</v>
      </c>
      <c r="H3489" s="26" t="s">
        <v>2728</v>
      </c>
      <c r="I3489" s="54">
        <f>_xll.DBRW($A$1,$F$14,$F$15,$C3489,$A$2,$F3489,$G3489,$H3489,I$1)</f>
        <v>37</v>
      </c>
      <c r="J3489" s="25">
        <f>_xll.DBRW($A$1,$F$14,$F$15,$C3489,$A$2,$F3489,$G3489,$H3489,J$19)</f>
        <v>31</v>
      </c>
    </row>
    <row r="3490" spans="1:10" s="23" customFormat="1" outlineLevel="1" thickBot="1" x14ac:dyDescent="0.3">
      <c r="A3490" s="44"/>
      <c r="B3490" s="31" t="str">
        <f>IF(_xll.TM1RPTELISCONSOLIDATED($H$20,$H3490),IF(_xll.TM1RPTELLEV($H$20,$H3490)&lt;=5,_xll.TM1RPTELLEV($H$20,$H3490),"Default"),"Leaf")</f>
        <v>Leaf</v>
      </c>
      <c r="C3490" s="26" t="s">
        <v>27</v>
      </c>
      <c r="D3490" s="24" t="str">
        <f>_xll.DBRW("TM1-S1_DEV:}ElementAttributes_SP_SKU",$F3490,D$1)</f>
        <v>Primary</v>
      </c>
      <c r="E3490" s="24" t="str">
        <f>_xll.DBRW("TM1-S1_DEV:}ElementAttributes_SP_SKU",$F3490,E$1)</f>
        <v>INGREDIENT</v>
      </c>
      <c r="F3490" s="26" t="s">
        <v>3241</v>
      </c>
      <c r="G3490" s="26" t="s">
        <v>2547</v>
      </c>
      <c r="H3490" s="26" t="s">
        <v>2729</v>
      </c>
      <c r="I3490" s="54">
        <f>_xll.DBRW($A$1,$F$14,$F$15,$C3490,$A$2,$F3490,$G3490,$H3490,I$1)</f>
        <v>303</v>
      </c>
      <c r="J3490" s="25">
        <f>_xll.DBRW($A$1,$F$14,$F$15,$C3490,$A$2,$F3490,$G3490,$H3490,J$19)</f>
        <v>303</v>
      </c>
    </row>
    <row r="3491" spans="1:10" s="23" customFormat="1" outlineLevel="1" thickBot="1" x14ac:dyDescent="0.3">
      <c r="A3491" s="44"/>
      <c r="B3491" s="31" t="str">
        <f>IF(_xll.TM1RPTELISCONSOLIDATED($H$20,$H3491),IF(_xll.TM1RPTELLEV($H$20,$H3491)&lt;=5,_xll.TM1RPTELLEV($H$20,$H3491),"Default"),"Leaf")</f>
        <v>Leaf</v>
      </c>
      <c r="C3491" s="26" t="s">
        <v>27</v>
      </c>
      <c r="D3491" s="24" t="str">
        <f>_xll.DBRW("TM1-S1_DEV:}ElementAttributes_SP_SKU",$F3491,D$1)</f>
        <v>Primary</v>
      </c>
      <c r="E3491" s="24" t="str">
        <f>_xll.DBRW("TM1-S1_DEV:}ElementAttributes_SP_SKU",$F3491,E$1)</f>
        <v>INGREDIENT</v>
      </c>
      <c r="F3491" s="26" t="s">
        <v>3241</v>
      </c>
      <c r="G3491" s="26" t="s">
        <v>2548</v>
      </c>
      <c r="H3491" s="26" t="s">
        <v>2734</v>
      </c>
      <c r="I3491" s="54">
        <f>_xll.DBRW($A$1,$F$14,$F$15,$C3491,$A$2,$F3491,$G3491,$H3491,I$1)</f>
        <v>717</v>
      </c>
      <c r="J3491" s="25">
        <f>_xll.DBRW($A$1,$F$14,$F$15,$C3491,$A$2,$F3491,$G3491,$H3491,J$19)</f>
        <v>717</v>
      </c>
    </row>
    <row r="3492" spans="1:10" s="23" customFormat="1" outlineLevel="1" thickBot="1" x14ac:dyDescent="0.3">
      <c r="A3492" s="44"/>
      <c r="B3492" s="31" t="str">
        <f>IF(_xll.TM1RPTELISCONSOLIDATED($H$20,$H3492),IF(_xll.TM1RPTELLEV($H$20,$H3492)&lt;=5,_xll.TM1RPTELLEV($H$20,$H3492),"Default"),"Leaf")</f>
        <v>Leaf</v>
      </c>
      <c r="C3492" s="26" t="s">
        <v>27</v>
      </c>
      <c r="D3492" s="24" t="str">
        <f>_xll.DBRW("TM1-S1_DEV:}ElementAttributes_SP_SKU",$F3492,D$1)</f>
        <v>Unassigned PSP</v>
      </c>
      <c r="E3492" s="24" t="str">
        <f>_xll.DBRW("TM1-S1_DEV:}ElementAttributes_SP_SKU",$F3492,E$1)</f>
        <v>SUGAR</v>
      </c>
      <c r="F3492" s="26" t="s">
        <v>611</v>
      </c>
      <c r="G3492" s="26" t="s">
        <v>2654</v>
      </c>
      <c r="H3492" s="26" t="s">
        <v>2955</v>
      </c>
      <c r="I3492" s="54">
        <f>_xll.DBRW($A$1,$F$14,$F$15,$C3492,$A$2,$F3492,$G3492,$H3492,I$1)</f>
        <v>239</v>
      </c>
      <c r="J3492" s="25">
        <f>_xll.DBRW($A$1,$F$14,$F$15,$C3492,$A$2,$F3492,$G3492,$H3492,J$19)</f>
        <v>239</v>
      </c>
    </row>
    <row r="3493" spans="1:10" s="23" customFormat="1" outlineLevel="1" thickBot="1" x14ac:dyDescent="0.3">
      <c r="A3493" s="44"/>
      <c r="B3493" s="31" t="str">
        <f>IF(_xll.TM1RPTELISCONSOLIDATED($H$20,$H3493),IF(_xll.TM1RPTELLEV($H$20,$H3493)&lt;=5,_xll.TM1RPTELLEV($H$20,$H3493),"Default"),"Leaf")</f>
        <v>Leaf</v>
      </c>
      <c r="C3493" s="26" t="s">
        <v>27</v>
      </c>
      <c r="D3493" s="24" t="str">
        <f>_xll.DBRW("TM1-S1_DEV:}ElementAttributes_SP_SKU",$F3493,D$1)</f>
        <v>Primary</v>
      </c>
      <c r="E3493" s="24" t="str">
        <f>_xll.DBRW("TM1-S1_DEV:}ElementAttributes_SP_SKU",$F3493,E$1)</f>
        <v>GEL</v>
      </c>
      <c r="F3493" s="26" t="s">
        <v>98</v>
      </c>
      <c r="G3493" s="26" t="s">
        <v>2549</v>
      </c>
      <c r="H3493" s="26" t="s">
        <v>2762</v>
      </c>
      <c r="I3493" s="54">
        <f>_xll.DBRW($A$1,$F$14,$F$15,$C3493,$A$2,$F3493,$G3493,$H3493,I$1)</f>
        <v>16</v>
      </c>
      <c r="J3493" s="25">
        <f>_xll.DBRW($A$1,$F$14,$F$15,$C3493,$A$2,$F3493,$G3493,$H3493,J$19)</f>
        <v>16</v>
      </c>
    </row>
    <row r="3494" spans="1:10" s="23" customFormat="1" outlineLevel="1" thickBot="1" x14ac:dyDescent="0.3">
      <c r="A3494" s="44"/>
      <c r="B3494" s="31" t="str">
        <f>IF(_xll.TM1RPTELISCONSOLIDATED($H$20,$H3494),IF(_xll.TM1RPTELLEV($H$20,$H3494)&lt;=5,_xll.TM1RPTELLEV($H$20,$H3494),"Default"),"Leaf")</f>
        <v>Leaf</v>
      </c>
      <c r="C3494" s="26" t="s">
        <v>27</v>
      </c>
      <c r="D3494" s="24" t="str">
        <f>_xll.DBRW("TM1-S1_DEV:}ElementAttributes_SP_SKU",$F3494,D$1)</f>
        <v>Unassigned PSP</v>
      </c>
      <c r="E3494" s="24" t="str">
        <f>_xll.DBRW("TM1-S1_DEV:}ElementAttributes_SP_SKU",$F3494,E$1)</f>
        <v>PAPER</v>
      </c>
      <c r="F3494" s="26" t="s">
        <v>99</v>
      </c>
      <c r="G3494" s="26" t="s">
        <v>2550</v>
      </c>
      <c r="H3494" s="26" t="s">
        <v>2763</v>
      </c>
      <c r="I3494" s="54">
        <f>_xll.DBRW($A$1,$F$14,$F$15,$C3494,$A$2,$F3494,$G3494,$H3494,I$1)</f>
        <v>19</v>
      </c>
      <c r="J3494" s="25">
        <f>_xll.DBRW($A$1,$F$14,$F$15,$C3494,$A$2,$F3494,$G3494,$H3494,J$19)</f>
        <v>19</v>
      </c>
    </row>
    <row r="3495" spans="1:10" s="23" customFormat="1" outlineLevel="1" thickBot="1" x14ac:dyDescent="0.3">
      <c r="A3495" s="44"/>
      <c r="B3495" s="31" t="str">
        <f>IF(_xll.TM1RPTELISCONSOLIDATED($H$20,$H3495),IF(_xll.TM1RPTELLEV($H$20,$H3495)&lt;=5,_xll.TM1RPTELLEV($H$20,$H3495),"Default"),"Leaf")</f>
        <v>Leaf</v>
      </c>
      <c r="C3495" s="26" t="s">
        <v>27</v>
      </c>
      <c r="D3495" s="24" t="str">
        <f>_xll.DBRW("TM1-S1_DEV:}ElementAttributes_SP_SKU",$F3495,D$1)</f>
        <v>Unassigned PSP</v>
      </c>
      <c r="E3495" s="24" t="str">
        <f>_xll.DBRW("TM1-S1_DEV:}ElementAttributes_SP_SKU",$F3495,E$1)</f>
        <v>INGREDIENT</v>
      </c>
      <c r="F3495" s="26" t="s">
        <v>526</v>
      </c>
      <c r="G3495" s="26" t="s">
        <v>2551</v>
      </c>
      <c r="H3495" s="26" t="s">
        <v>2925</v>
      </c>
      <c r="I3495" s="54">
        <f>_xll.DBRW($A$1,$F$14,$F$15,$C3495,$A$2,$F3495,$G3495,$H3495,I$1)</f>
        <v>57</v>
      </c>
      <c r="J3495" s="25">
        <f>_xll.DBRW($A$1,$F$14,$F$15,$C3495,$A$2,$F3495,$G3495,$H3495,J$19)</f>
        <v>57</v>
      </c>
    </row>
    <row r="3496" spans="1:10" s="23" customFormat="1" outlineLevel="1" thickBot="1" x14ac:dyDescent="0.3">
      <c r="A3496" s="44"/>
      <c r="B3496" s="31" t="str">
        <f>IF(_xll.TM1RPTELISCONSOLIDATED($H$20,$H3496),IF(_xll.TM1RPTELLEV($H$20,$H3496)&lt;=5,_xll.TM1RPTELLEV($H$20,$H3496),"Default"),"Leaf")</f>
        <v>Leaf</v>
      </c>
      <c r="C3496" s="26" t="s">
        <v>27</v>
      </c>
      <c r="D3496" s="24" t="str">
        <f>_xll.DBRW("TM1-S1_DEV:}ElementAttributes_SP_SKU",$F3496,D$1)</f>
        <v>Unassigned PSP</v>
      </c>
      <c r="E3496" s="24" t="str">
        <f>_xll.DBRW("TM1-S1_DEV:}ElementAttributes_SP_SKU",$F3496,E$1)</f>
        <v>INGREDIENT</v>
      </c>
      <c r="F3496" s="26" t="s">
        <v>612</v>
      </c>
      <c r="G3496" s="26" t="s">
        <v>2655</v>
      </c>
      <c r="H3496" s="26" t="s">
        <v>2956</v>
      </c>
      <c r="I3496" s="54">
        <f>_xll.DBRW($A$1,$F$14,$F$15,$C3496,$A$2,$F3496,$G3496,$H3496,I$1)</f>
        <v>5</v>
      </c>
      <c r="J3496" s="25">
        <f>_xll.DBRW($A$1,$F$14,$F$15,$C3496,$A$2,$F3496,$G3496,$H3496,J$19)</f>
        <v>5</v>
      </c>
    </row>
    <row r="3497" spans="1:10" s="23" customFormat="1" outlineLevel="1" thickBot="1" x14ac:dyDescent="0.3">
      <c r="A3497" s="44"/>
      <c r="B3497" s="31" t="str">
        <f>IF(_xll.TM1RPTELISCONSOLIDATED($H$20,$H3497),IF(_xll.TM1RPTELLEV($H$20,$H3497)&lt;=5,_xll.TM1RPTELLEV($H$20,$H3497),"Default"),"Leaf")</f>
        <v>Leaf</v>
      </c>
      <c r="C3497" s="26" t="s">
        <v>27</v>
      </c>
      <c r="D3497" s="24" t="str">
        <f>_xll.DBRW("TM1-S1_DEV:}ElementAttributes_SP_SKU",$F3497,D$1)</f>
        <v>Unassigned PSP</v>
      </c>
      <c r="E3497" s="24" t="str">
        <f>_xll.DBRW("TM1-S1_DEV:}ElementAttributes_SP_SKU",$F3497,E$1)</f>
        <v>PROTEIN</v>
      </c>
      <c r="F3497" s="26" t="s">
        <v>613</v>
      </c>
      <c r="G3497" s="26" t="s">
        <v>2656</v>
      </c>
      <c r="H3497" s="26" t="s">
        <v>2734</v>
      </c>
      <c r="I3497" s="54">
        <f>_xll.DBRW($A$1,$F$14,$F$15,$C3497,$A$2,$F3497,$G3497,$H3497,I$1)</f>
        <v>17</v>
      </c>
      <c r="J3497" s="25">
        <f>_xll.DBRW($A$1,$F$14,$F$15,$C3497,$A$2,$F3497,$G3497,$H3497,J$19)</f>
        <v>17</v>
      </c>
    </row>
    <row r="3498" spans="1:10" s="23" customFormat="1" outlineLevel="1" thickBot="1" x14ac:dyDescent="0.3">
      <c r="A3498" s="44"/>
      <c r="B3498" s="31" t="str">
        <f>IF(_xll.TM1RPTELISCONSOLIDATED($H$20,$H3498),IF(_xll.TM1RPTELLEV($H$20,$H3498)&lt;=5,_xll.TM1RPTELLEV($H$20,$H3498),"Default"),"Leaf")</f>
        <v>Leaf</v>
      </c>
      <c r="C3498" s="26" t="s">
        <v>27</v>
      </c>
      <c r="D3498" s="24" t="str">
        <f>_xll.DBRW("TM1-S1_DEV:}ElementAttributes_SP_SKU",$F3498,D$1)</f>
        <v>Unassigned PSP</v>
      </c>
      <c r="E3498" s="24" t="str">
        <f>_xll.DBRW("TM1-S1_DEV:}ElementAttributes_SP_SKU",$F3498,E$1)</f>
        <v>INGREDIENT</v>
      </c>
      <c r="F3498" s="26" t="s">
        <v>614</v>
      </c>
      <c r="G3498" s="26" t="s">
        <v>2657</v>
      </c>
      <c r="H3498" s="26" t="s">
        <v>2734</v>
      </c>
      <c r="I3498" s="54">
        <f>_xll.DBRW($A$1,$F$14,$F$15,$C3498,$A$2,$F3498,$G3498,$H3498,I$1)</f>
        <v>7</v>
      </c>
      <c r="J3498" s="25">
        <f>_xll.DBRW($A$1,$F$14,$F$15,$C3498,$A$2,$F3498,$G3498,$H3498,J$19)</f>
        <v>17</v>
      </c>
    </row>
    <row r="3499" spans="1:10" s="23" customFormat="1" outlineLevel="1" thickBot="1" x14ac:dyDescent="0.3">
      <c r="A3499" s="44"/>
      <c r="B3499" s="31" t="str">
        <f>IF(_xll.TM1RPTELISCONSOLIDATED($H$20,$H3499),IF(_xll.TM1RPTELLEV($H$20,$H3499)&lt;=5,_xll.TM1RPTELLEV($H$20,$H3499),"Default"),"Leaf")</f>
        <v>Leaf</v>
      </c>
      <c r="C3499" s="26" t="s">
        <v>27</v>
      </c>
      <c r="D3499" s="24" t="str">
        <f>_xll.DBRW("TM1-S1_DEV:}ElementAttributes_SP_SKU",$F3499,D$1)</f>
        <v>Unassigned PSP</v>
      </c>
      <c r="E3499" s="24" t="str">
        <f>_xll.DBRW("TM1-S1_DEV:}ElementAttributes_SP_SKU",$F3499,E$1)</f>
        <v>PROTEIN</v>
      </c>
      <c r="F3499" s="26" t="s">
        <v>615</v>
      </c>
      <c r="G3499" s="26" t="s">
        <v>2616</v>
      </c>
      <c r="H3499" s="26" t="s">
        <v>2672</v>
      </c>
      <c r="I3499" s="54">
        <f>_xll.DBRW($A$1,$F$14,$F$15,$C3499,$A$2,$F3499,$G3499,$H3499,I$1)</f>
        <v>191</v>
      </c>
      <c r="J3499" s="25">
        <f>_xll.DBRW($A$1,$F$14,$F$15,$C3499,$A$2,$F3499,$G3499,$H3499,J$19)</f>
        <v>191</v>
      </c>
    </row>
    <row r="3500" spans="1:10" s="23" customFormat="1" outlineLevel="1" thickBot="1" x14ac:dyDescent="0.3">
      <c r="A3500" s="44"/>
      <c r="B3500" s="31" t="str">
        <f>IF(_xll.TM1RPTELISCONSOLIDATED($H$20,$H3500),IF(_xll.TM1RPTELLEV($H$20,$H3500)&lt;=5,_xll.TM1RPTELLEV($H$20,$H3500),"Default"),"Leaf")</f>
        <v>Leaf</v>
      </c>
      <c r="C3500" s="26" t="s">
        <v>27</v>
      </c>
      <c r="D3500" s="24" t="str">
        <f>_xll.DBRW("TM1-S1_DEV:}ElementAttributes_SP_SKU",$F3500,D$1)</f>
        <v>Unassigned PSP</v>
      </c>
      <c r="E3500" s="24" t="str">
        <f>_xll.DBRW("TM1-S1_DEV:}ElementAttributes_SP_SKU",$F3500,E$1)</f>
        <v>PROTEIN</v>
      </c>
      <c r="F3500" s="26" t="s">
        <v>527</v>
      </c>
      <c r="G3500" s="26" t="s">
        <v>2552</v>
      </c>
      <c r="H3500" s="26" t="s">
        <v>2926</v>
      </c>
      <c r="I3500" s="54">
        <f>_xll.DBRW($A$1,$F$14,$F$15,$C3500,$A$2,$F3500,$G3500,$H3500,I$1)</f>
        <v>205</v>
      </c>
      <c r="J3500" s="25">
        <f>_xll.DBRW($A$1,$F$14,$F$15,$C3500,$A$2,$F3500,$G3500,$H3500,J$19)</f>
        <v>205</v>
      </c>
    </row>
    <row r="3501" spans="1:10" s="23" customFormat="1" outlineLevel="1" thickBot="1" x14ac:dyDescent="0.3">
      <c r="A3501" s="44"/>
      <c r="B3501" s="31" t="str">
        <f>IF(_xll.TM1RPTELISCONSOLIDATED($H$20,$H3501),IF(_xll.TM1RPTELLEV($H$20,$H3501)&lt;=5,_xll.TM1RPTELLEV($H$20,$H3501),"Default"),"Leaf")</f>
        <v>Leaf</v>
      </c>
      <c r="C3501" s="26" t="s">
        <v>27</v>
      </c>
      <c r="D3501" s="24" t="str">
        <f>_xll.DBRW("TM1-S1_DEV:}ElementAttributes_SP_SKU",$F3501,D$1)</f>
        <v>Unassigned PSP</v>
      </c>
      <c r="E3501" s="24" t="str">
        <f>_xll.DBRW("TM1-S1_DEV:}ElementAttributes_SP_SKU",$F3501,E$1)</f>
        <v>CONDIMENT</v>
      </c>
      <c r="F3501" s="26" t="s">
        <v>616</v>
      </c>
      <c r="G3501" s="26" t="s">
        <v>2658</v>
      </c>
      <c r="H3501" s="26" t="s">
        <v>2734</v>
      </c>
      <c r="I3501" s="54">
        <f>_xll.DBRW($A$1,$F$14,$F$15,$C3501,$A$2,$F3501,$G3501,$H3501,I$1)</f>
        <v>27</v>
      </c>
      <c r="J3501" s="25">
        <f>_xll.DBRW($A$1,$F$14,$F$15,$C3501,$A$2,$F3501,$G3501,$H3501,J$19)</f>
        <v>27</v>
      </c>
    </row>
    <row r="3502" spans="1:10" s="23" customFormat="1" outlineLevel="1" thickBot="1" x14ac:dyDescent="0.3">
      <c r="A3502" s="44"/>
      <c r="B3502" s="31" t="str">
        <f>IF(_xll.TM1RPTELISCONSOLIDATED($H$20,$H3502),IF(_xll.TM1RPTELLEV($H$20,$H3502)&lt;=5,_xll.TM1RPTELLEV($H$20,$H3502),"Default"),"Leaf")</f>
        <v>Leaf</v>
      </c>
      <c r="C3502" s="26" t="s">
        <v>27</v>
      </c>
      <c r="D3502" s="24" t="str">
        <f>_xll.DBRW("TM1-S1_DEV:}ElementAttributes_SP_SKU",$F3502,D$1)</f>
        <v>Unassigned PSP</v>
      </c>
      <c r="E3502" s="24" t="str">
        <f>_xll.DBRW("TM1-S1_DEV:}ElementAttributes_SP_SKU",$F3502,E$1)</f>
        <v>INGREDIENT</v>
      </c>
      <c r="F3502" s="26" t="s">
        <v>617</v>
      </c>
      <c r="G3502" s="26" t="s">
        <v>2525</v>
      </c>
      <c r="H3502" s="26" t="s">
        <v>2734</v>
      </c>
      <c r="I3502" s="54">
        <f>_xll.DBRW($A$1,$F$14,$F$15,$C3502,$A$2,$F3502,$G3502,$H3502,I$1)</f>
        <v>42</v>
      </c>
      <c r="J3502" s="25">
        <f>_xll.DBRW($A$1,$F$14,$F$15,$C3502,$A$2,$F3502,$G3502,$H3502,J$19)</f>
        <v>54</v>
      </c>
    </row>
    <row r="3503" spans="1:10" s="23" customFormat="1" outlineLevel="1" thickBot="1" x14ac:dyDescent="0.3">
      <c r="A3503" s="44"/>
      <c r="B3503" s="31" t="str">
        <f>IF(_xll.TM1RPTELISCONSOLIDATED($H$20,$H3503),IF(_xll.TM1RPTELLEV($H$20,$H3503)&lt;=5,_xll.TM1RPTELLEV($H$20,$H3503),"Default"),"Leaf")</f>
        <v>Leaf</v>
      </c>
      <c r="C3503" s="26" t="s">
        <v>27</v>
      </c>
      <c r="D3503" s="24" t="str">
        <f>_xll.DBRW("TM1-S1_DEV:}ElementAttributes_SP_SKU",$F3503,D$1)</f>
        <v>Unassigned PSP</v>
      </c>
      <c r="E3503" s="24" t="str">
        <f>_xll.DBRW("TM1-S1_DEV:}ElementAttributes_SP_SKU",$F3503,E$1)</f>
        <v>CONDIMENT</v>
      </c>
      <c r="F3503" s="26" t="s">
        <v>618</v>
      </c>
      <c r="G3503" s="26" t="s">
        <v>2659</v>
      </c>
      <c r="H3503" s="26" t="s">
        <v>2734</v>
      </c>
      <c r="I3503" s="54">
        <f>_xll.DBRW($A$1,$F$14,$F$15,$C3503,$A$2,$F3503,$G3503,$H3503,I$1)</f>
        <v>22</v>
      </c>
      <c r="J3503" s="25">
        <f>_xll.DBRW($A$1,$F$14,$F$15,$C3503,$A$2,$F3503,$G3503,$H3503,J$19)</f>
        <v>22</v>
      </c>
    </row>
    <row r="3504" spans="1:10" s="23" customFormat="1" outlineLevel="1" thickBot="1" x14ac:dyDescent="0.3">
      <c r="A3504" s="44"/>
      <c r="B3504" s="31" t="str">
        <f>IF(_xll.TM1RPTELISCONSOLIDATED($H$20,$H3504),IF(_xll.TM1RPTELLEV($H$20,$H3504)&lt;=5,_xll.TM1RPTELLEV($H$20,$H3504),"Default"),"Leaf")</f>
        <v>Leaf</v>
      </c>
      <c r="C3504" s="26" t="s">
        <v>27</v>
      </c>
      <c r="D3504" s="24" t="str">
        <f>_xll.DBRW("TM1-S1_DEV:}ElementAttributes_SP_SKU",$F3504,D$1)</f>
        <v>Unassigned PSP</v>
      </c>
      <c r="E3504" s="24" t="str">
        <f>_xll.DBRW("TM1-S1_DEV:}ElementAttributes_SP_SKU",$F3504,E$1)</f>
        <v>INGREDIENT</v>
      </c>
      <c r="F3504" s="26" t="s">
        <v>619</v>
      </c>
      <c r="G3504" s="26" t="s">
        <v>2660</v>
      </c>
      <c r="H3504" s="26" t="s">
        <v>2734</v>
      </c>
      <c r="I3504" s="54">
        <f>_xll.DBRW($A$1,$F$14,$F$15,$C3504,$A$2,$F3504,$G3504,$H3504,I$1)</f>
        <v>18</v>
      </c>
      <c r="J3504" s="25">
        <f>_xll.DBRW($A$1,$F$14,$F$15,$C3504,$A$2,$F3504,$G3504,$H3504,J$19)</f>
        <v>18</v>
      </c>
    </row>
    <row r="3505" spans="1:10" s="23" customFormat="1" outlineLevel="1" thickBot="1" x14ac:dyDescent="0.3">
      <c r="A3505" s="44"/>
      <c r="B3505" s="31" t="str">
        <f>IF(_xll.TM1RPTELISCONSOLIDATED($H$20,$H3505),IF(_xll.TM1RPTELLEV($H$20,$H3505)&lt;=5,_xll.TM1RPTELLEV($H$20,$H3505),"Default"),"Leaf")</f>
        <v>Leaf</v>
      </c>
      <c r="C3505" s="26" t="s">
        <v>27</v>
      </c>
      <c r="D3505" s="24" t="str">
        <f>_xll.DBRW("TM1-S1_DEV:}ElementAttributes_SP_SKU",$F3505,D$1)</f>
        <v>Unassigned PSP</v>
      </c>
      <c r="E3505" s="24" t="str">
        <f>_xll.DBRW("TM1-S1_DEV:}ElementAttributes_SP_SKU",$F3505,E$1)</f>
        <v>INGREDIENT</v>
      </c>
      <c r="F3505" s="26" t="s">
        <v>620</v>
      </c>
      <c r="G3505" s="26" t="s">
        <v>2626</v>
      </c>
      <c r="H3505" s="26" t="s">
        <v>2734</v>
      </c>
      <c r="I3505" s="54">
        <f>_xll.DBRW($A$1,$F$14,$F$15,$C3505,$A$2,$F3505,$G3505,$H3505,I$1)</f>
        <v>15</v>
      </c>
      <c r="J3505" s="25">
        <f>_xll.DBRW($A$1,$F$14,$F$15,$C3505,$A$2,$F3505,$G3505,$H3505,J$19)</f>
        <v>15</v>
      </c>
    </row>
    <row r="3506" spans="1:10" s="23" customFormat="1" outlineLevel="1" thickBot="1" x14ac:dyDescent="0.3">
      <c r="A3506" s="44"/>
      <c r="B3506" s="31" t="str">
        <f>IF(_xll.TM1RPTELISCONSOLIDATED($H$20,$H3506),IF(_xll.TM1RPTELLEV($H$20,$H3506)&lt;=5,_xll.TM1RPTELLEV($H$20,$H3506),"Default"),"Leaf")</f>
        <v>Leaf</v>
      </c>
      <c r="C3506" s="26" t="s">
        <v>27</v>
      </c>
      <c r="D3506" s="24" t="str">
        <f>_xll.DBRW("TM1-S1_DEV:}ElementAttributes_SP_SKU",$F3506,D$1)</f>
        <v>Primary</v>
      </c>
      <c r="E3506" s="24" t="str">
        <f>_xll.DBRW("TM1-S1_DEV:}ElementAttributes_SP_SKU",$F3506,E$1)</f>
        <v>INGREDIENT</v>
      </c>
      <c r="F3506" s="26" t="s">
        <v>528</v>
      </c>
      <c r="G3506" s="26" t="s">
        <v>2553</v>
      </c>
      <c r="H3506" s="26" t="s">
        <v>2927</v>
      </c>
      <c r="I3506" s="54">
        <f>_xll.DBRW($A$1,$F$14,$F$15,$C3506,$A$2,$F3506,$G3506,$H3506,I$1)</f>
        <v>20</v>
      </c>
      <c r="J3506" s="25">
        <f>_xll.DBRW($A$1,$F$14,$F$15,$C3506,$A$2,$F3506,$G3506,$H3506,J$19)</f>
        <v>20</v>
      </c>
    </row>
    <row r="3507" spans="1:10" s="23" customFormat="1" outlineLevel="1" thickBot="1" x14ac:dyDescent="0.3">
      <c r="A3507" s="44"/>
      <c r="B3507" s="31" t="str">
        <f>IF(_xll.TM1RPTELISCONSOLIDATED($H$20,$H3507),IF(_xll.TM1RPTELLEV($H$20,$H3507)&lt;=5,_xll.TM1RPTELLEV($H$20,$H3507),"Default"),"Leaf")</f>
        <v>Leaf</v>
      </c>
      <c r="C3507" s="26" t="s">
        <v>27</v>
      </c>
      <c r="D3507" s="24" t="str">
        <f>_xll.DBRW("TM1-S1_DEV:}ElementAttributes_SP_SKU",$F3507,D$1)</f>
        <v>Primary</v>
      </c>
      <c r="E3507" s="24" t="str">
        <f>_xll.DBRW("TM1-S1_DEV:}ElementAttributes_SP_SKU",$F3507,E$1)</f>
        <v>INGREDIENT</v>
      </c>
      <c r="F3507" s="26" t="s">
        <v>530</v>
      </c>
      <c r="G3507" s="26" t="s">
        <v>2555</v>
      </c>
      <c r="H3507" s="26" t="s">
        <v>2928</v>
      </c>
      <c r="I3507" s="54">
        <f>_xll.DBRW($A$1,$F$14,$F$15,$C3507,$A$2,$F3507,$G3507,$H3507,I$1)</f>
        <v>5</v>
      </c>
      <c r="J3507" s="25">
        <f>_xll.DBRW($A$1,$F$14,$F$15,$C3507,$A$2,$F3507,$G3507,$H3507,J$19)</f>
        <v>5</v>
      </c>
    </row>
    <row r="3508" spans="1:10" s="23" customFormat="1" outlineLevel="1" thickBot="1" x14ac:dyDescent="0.3">
      <c r="A3508" s="44"/>
      <c r="B3508" s="31" t="str">
        <f>IF(_xll.TM1RPTELISCONSOLIDATED($H$20,$H3508),IF(_xll.TM1RPTELLEV($H$20,$H3508)&lt;=5,_xll.TM1RPTELLEV($H$20,$H3508),"Default"),"Leaf")</f>
        <v>Leaf</v>
      </c>
      <c r="C3508" s="26" t="s">
        <v>27</v>
      </c>
      <c r="D3508" s="24" t="str">
        <f>_xll.DBRW("TM1-S1_DEV:}ElementAttributes_SP_SKU",$F3508,D$1)</f>
        <v>Primary</v>
      </c>
      <c r="E3508" s="24" t="str">
        <f>_xll.DBRW("TM1-S1_DEV:}ElementAttributes_SP_SKU",$F3508,E$1)</f>
        <v>SIDES</v>
      </c>
      <c r="F3508" s="26" t="s">
        <v>531</v>
      </c>
      <c r="G3508" s="26" t="s">
        <v>2556</v>
      </c>
      <c r="H3508" s="26" t="s">
        <v>2732</v>
      </c>
      <c r="I3508" s="54">
        <f>_xll.DBRW($A$1,$F$14,$F$15,$C3508,$A$2,$F3508,$G3508,$H3508,I$1)</f>
        <v>2</v>
      </c>
      <c r="J3508" s="25">
        <f>_xll.DBRW($A$1,$F$14,$F$15,$C3508,$A$2,$F3508,$G3508,$H3508,J$19)</f>
        <v>2</v>
      </c>
    </row>
    <row r="3509" spans="1:10" s="23" customFormat="1" outlineLevel="1" thickBot="1" x14ac:dyDescent="0.3">
      <c r="A3509" s="44"/>
      <c r="B3509" s="31" t="str">
        <f>IF(_xll.TM1RPTELISCONSOLIDATED($H$20,$H3509),IF(_xll.TM1RPTELLEV($H$20,$H3509)&lt;=5,_xll.TM1RPTELLEV($H$20,$H3509),"Default"),"Leaf")</f>
        <v>Leaf</v>
      </c>
      <c r="C3509" s="26" t="s">
        <v>27</v>
      </c>
      <c r="D3509" s="24" t="str">
        <f>_xll.DBRW("TM1-S1_DEV:}ElementAttributes_SP_SKU",$F3509,D$1)</f>
        <v>Primary</v>
      </c>
      <c r="E3509" s="24" t="str">
        <f>_xll.DBRW("TM1-S1_DEV:}ElementAttributes_SP_SKU",$F3509,E$1)</f>
        <v>INGREDIENT</v>
      </c>
      <c r="F3509" s="26" t="s">
        <v>532</v>
      </c>
      <c r="G3509" s="26" t="s">
        <v>2557</v>
      </c>
      <c r="H3509" s="26" t="s">
        <v>2710</v>
      </c>
      <c r="I3509" s="54">
        <f>_xll.DBRW($A$1,$F$14,$F$15,$C3509,$A$2,$F3509,$G3509,$H3509,I$1)</f>
        <v>21</v>
      </c>
      <c r="J3509" s="25">
        <f>_xll.DBRW($A$1,$F$14,$F$15,$C3509,$A$2,$F3509,$G3509,$H3509,J$19)</f>
        <v>21</v>
      </c>
    </row>
    <row r="3510" spans="1:10" s="23" customFormat="1" outlineLevel="1" thickBot="1" x14ac:dyDescent="0.3">
      <c r="A3510" s="44"/>
      <c r="B3510" s="31" t="str">
        <f>IF(_xll.TM1RPTELISCONSOLIDATED($H$20,$H3510),IF(_xll.TM1RPTELLEV($H$20,$H3510)&lt;=5,_xll.TM1RPTELLEV($H$20,$H3510),"Default"),"Leaf")</f>
        <v>Leaf</v>
      </c>
      <c r="C3510" s="26" t="s">
        <v>27</v>
      </c>
      <c r="D3510" s="24" t="str">
        <f>_xll.DBRW("TM1-S1_DEV:}ElementAttributes_SP_SKU",$F3510,D$1)</f>
        <v>Primary</v>
      </c>
      <c r="E3510" s="24" t="str">
        <f>_xll.DBRW("TM1-S1_DEV:}ElementAttributes_SP_SKU",$F3510,E$1)</f>
        <v>CHEESE</v>
      </c>
      <c r="F3510" s="26" t="s">
        <v>533</v>
      </c>
      <c r="G3510" s="26" t="s">
        <v>2558</v>
      </c>
      <c r="H3510" s="26" t="s">
        <v>2734</v>
      </c>
      <c r="I3510" s="54">
        <f>_xll.DBRW($A$1,$F$14,$F$15,$C3510,$A$2,$F3510,$G3510,$H3510,I$1)</f>
        <v>21</v>
      </c>
      <c r="J3510" s="25">
        <f>_xll.DBRW($A$1,$F$14,$F$15,$C3510,$A$2,$F3510,$G3510,$H3510,J$19)</f>
        <v>31</v>
      </c>
    </row>
    <row r="3511" spans="1:10" s="23" customFormat="1" outlineLevel="1" thickBot="1" x14ac:dyDescent="0.3">
      <c r="A3511" s="44"/>
      <c r="B3511" s="31" t="str">
        <f>IF(_xll.TM1RPTELISCONSOLIDATED($H$20,$H3511),IF(_xll.TM1RPTELLEV($H$20,$H3511)&lt;=5,_xll.TM1RPTELLEV($H$20,$H3511),"Default"),"Leaf")</f>
        <v>Leaf</v>
      </c>
      <c r="C3511" s="26" t="s">
        <v>27</v>
      </c>
      <c r="D3511" s="24" t="str">
        <f>_xll.DBRW("TM1-S1_DEV:}ElementAttributes_SP_SKU",$F3511,D$1)</f>
        <v>Unassigned PSP</v>
      </c>
      <c r="E3511" s="24" t="str">
        <f>_xll.DBRW("TM1-S1_DEV:}ElementAttributes_SP_SKU",$F3511,E$1)</f>
        <v>INGREDIENT</v>
      </c>
      <c r="F3511" s="26" t="s">
        <v>621</v>
      </c>
      <c r="G3511" s="26" t="s">
        <v>2613</v>
      </c>
      <c r="H3511" s="26" t="s">
        <v>2930</v>
      </c>
      <c r="I3511" s="54">
        <f>_xll.DBRW($A$1,$F$14,$F$15,$C3511,$A$2,$F3511,$G3511,$H3511,I$1)</f>
        <v>13</v>
      </c>
      <c r="J3511" s="25">
        <f>_xll.DBRW($A$1,$F$14,$F$15,$C3511,$A$2,$F3511,$G3511,$H3511,J$19)</f>
        <v>13</v>
      </c>
    </row>
    <row r="3512" spans="1:10" s="23" customFormat="1" outlineLevel="1" thickBot="1" x14ac:dyDescent="0.3">
      <c r="A3512" s="44"/>
      <c r="B3512" s="31" t="str">
        <f>IF(_xll.TM1RPTELISCONSOLIDATED($H$20,$H3512),IF(_xll.TM1RPTELLEV($H$20,$H3512)&lt;=5,_xll.TM1RPTELLEV($H$20,$H3512),"Default"),"Leaf")</f>
        <v>Leaf</v>
      </c>
      <c r="C3512" s="26" t="s">
        <v>27</v>
      </c>
      <c r="D3512" s="24" t="str">
        <f>_xll.DBRW("TM1-S1_DEV:}ElementAttributes_SP_SKU",$F3512,D$1)</f>
        <v>Primary</v>
      </c>
      <c r="E3512" s="24" t="str">
        <f>_xll.DBRW("TM1-S1_DEV:}ElementAttributes_SP_SKU",$F3512,E$1)</f>
        <v>PRODUCE</v>
      </c>
      <c r="F3512" s="26" t="s">
        <v>622</v>
      </c>
      <c r="G3512" s="26" t="s">
        <v>2661</v>
      </c>
      <c r="H3512" s="26" t="s">
        <v>2734</v>
      </c>
      <c r="I3512" s="54">
        <f>_xll.DBRW($A$1,$F$14,$F$15,$C3512,$A$2,$F3512,$G3512,$H3512,I$1)</f>
        <v>3</v>
      </c>
      <c r="J3512" s="25">
        <f>_xll.DBRW($A$1,$F$14,$F$15,$C3512,$A$2,$F3512,$G3512,$H3512,J$19)</f>
        <v>3</v>
      </c>
    </row>
    <row r="3513" spans="1:10" s="23" customFormat="1" outlineLevel="1" thickBot="1" x14ac:dyDescent="0.3">
      <c r="A3513" s="44"/>
      <c r="B3513" s="31" t="str">
        <f>IF(_xll.TM1RPTELISCONSOLIDATED($H$20,$H3513),IF(_xll.TM1RPTELLEV($H$20,$H3513)&lt;=5,_xll.TM1RPTELLEV($H$20,$H3513),"Default"),"Leaf")</f>
        <v>Leaf</v>
      </c>
      <c r="C3513" s="26" t="s">
        <v>27</v>
      </c>
      <c r="D3513" s="24" t="str">
        <f>_xll.DBRW("TM1-S1_DEV:}ElementAttributes_SP_SKU",$F3513,D$1)</f>
        <v>Primary</v>
      </c>
      <c r="E3513" s="24" t="str">
        <f>_xll.DBRW("TM1-S1_DEV:}ElementAttributes_SP_SKU",$F3513,E$1)</f>
        <v>CLEANING</v>
      </c>
      <c r="F3513" s="26" t="s">
        <v>534</v>
      </c>
      <c r="G3513" s="26" t="s">
        <v>2559</v>
      </c>
      <c r="H3513" s="26" t="s">
        <v>2820</v>
      </c>
      <c r="I3513" s="54">
        <f>_xll.DBRW($A$1,$F$14,$F$15,$C3513,$A$2,$F3513,$G3513,$H3513,I$1)</f>
        <v>10</v>
      </c>
      <c r="J3513" s="25">
        <f>_xll.DBRW($A$1,$F$14,$F$15,$C3513,$A$2,$F3513,$G3513,$H3513,J$19)</f>
        <v>10</v>
      </c>
    </row>
    <row r="3514" spans="1:10" s="23" customFormat="1" outlineLevel="1" thickBot="1" x14ac:dyDescent="0.3">
      <c r="A3514" s="44"/>
      <c r="B3514" s="31" t="str">
        <f>IF(_xll.TM1RPTELISCONSOLIDATED($H$20,$H3514),IF(_xll.TM1RPTELLEV($H$20,$H3514)&lt;=5,_xll.TM1RPTELLEV($H$20,$H3514),"Default"),"Leaf")</f>
        <v>Leaf</v>
      </c>
      <c r="C3514" s="26" t="s">
        <v>27</v>
      </c>
      <c r="D3514" s="24" t="str">
        <f>_xll.DBRW("TM1-S1_DEV:}ElementAttributes_SP_SKU",$F3514,D$1)</f>
        <v>Primary</v>
      </c>
      <c r="E3514" s="24" t="str">
        <f>_xll.DBRW("TM1-S1_DEV:}ElementAttributes_SP_SKU",$F3514,E$1)</f>
        <v>INGREDIENT</v>
      </c>
      <c r="F3514" s="26" t="s">
        <v>535</v>
      </c>
      <c r="G3514" s="26" t="s">
        <v>2560</v>
      </c>
      <c r="H3514" s="26" t="s">
        <v>2685</v>
      </c>
      <c r="I3514" s="54">
        <f>_xll.DBRW($A$1,$F$14,$F$15,$C3514,$A$2,$F3514,$G3514,$H3514,I$1)</f>
        <v>6</v>
      </c>
      <c r="J3514" s="25">
        <f>_xll.DBRW($A$1,$F$14,$F$15,$C3514,$A$2,$F3514,$G3514,$H3514,J$19)</f>
        <v>6</v>
      </c>
    </row>
    <row r="3515" spans="1:10" s="23" customFormat="1" outlineLevel="1" thickBot="1" x14ac:dyDescent="0.3">
      <c r="A3515" s="44"/>
      <c r="B3515" s="31" t="str">
        <f>IF(_xll.TM1RPTELISCONSOLIDATED($H$20,$H3515),IF(_xll.TM1RPTELLEV($H$20,$H3515)&lt;=5,_xll.TM1RPTELLEV($H$20,$H3515),"Default"),"Leaf")</f>
        <v>Leaf</v>
      </c>
      <c r="C3515" s="26" t="s">
        <v>27</v>
      </c>
      <c r="D3515" s="24" t="str">
        <f>_xll.DBRW("TM1-S1_DEV:}ElementAttributes_SP_SKU",$F3515,D$1)</f>
        <v>Primary</v>
      </c>
      <c r="E3515" s="24" t="str">
        <f>_xll.DBRW("TM1-S1_DEV:}ElementAttributes_SP_SKU",$F3515,E$1)</f>
        <v>SIDES</v>
      </c>
      <c r="F3515" s="26" t="s">
        <v>623</v>
      </c>
      <c r="G3515" s="26" t="s">
        <v>2662</v>
      </c>
      <c r="H3515" s="26" t="s">
        <v>2732</v>
      </c>
      <c r="I3515" s="54">
        <f>_xll.DBRW($A$1,$F$14,$F$15,$C3515,$A$2,$F3515,$G3515,$H3515,I$1)</f>
        <v>25</v>
      </c>
      <c r="J3515" s="25">
        <f>_xll.DBRW($A$1,$F$14,$F$15,$C3515,$A$2,$F3515,$G3515,$H3515,J$19)</f>
        <v>25</v>
      </c>
    </row>
    <row r="3516" spans="1:10" s="23" customFormat="1" outlineLevel="1" thickBot="1" x14ac:dyDescent="0.3">
      <c r="A3516" s="44"/>
      <c r="B3516" s="31" t="str">
        <f>IF(_xll.TM1RPTELISCONSOLIDATED($H$20,$H3516),IF(_xll.TM1RPTELLEV($H$20,$H3516)&lt;=5,_xll.TM1RPTELLEV($H$20,$H3516),"Default"),"Leaf")</f>
        <v>Leaf</v>
      </c>
      <c r="C3516" s="26" t="s">
        <v>27</v>
      </c>
      <c r="D3516" s="24" t="str">
        <f>_xll.DBRW("TM1-S1_DEV:}ElementAttributes_SP_SKU",$F3516,D$1)</f>
        <v>Primary</v>
      </c>
      <c r="E3516" s="24" t="str">
        <f>_xll.DBRW("TM1-S1_DEV:}ElementAttributes_SP_SKU",$F3516,E$1)</f>
        <v>INGREDIENT</v>
      </c>
      <c r="F3516" s="26" t="s">
        <v>536</v>
      </c>
      <c r="G3516" s="26" t="s">
        <v>2561</v>
      </c>
      <c r="H3516" s="26" t="s">
        <v>2867</v>
      </c>
      <c r="I3516" s="54">
        <f>_xll.DBRW($A$1,$F$14,$F$15,$C3516,$A$2,$F3516,$G3516,$H3516,I$1)</f>
        <v>44</v>
      </c>
      <c r="J3516" s="25">
        <f>_xll.DBRW($A$1,$F$14,$F$15,$C3516,$A$2,$F3516,$G3516,$H3516,J$19)</f>
        <v>44</v>
      </c>
    </row>
    <row r="3517" spans="1:10" s="23" customFormat="1" outlineLevel="1" thickBot="1" x14ac:dyDescent="0.3">
      <c r="A3517" s="44"/>
      <c r="B3517" s="31" t="str">
        <f>IF(_xll.TM1RPTELISCONSOLIDATED($H$20,$H3517),IF(_xll.TM1RPTELLEV($H$20,$H3517)&lt;=5,_xll.TM1RPTELLEV($H$20,$H3517),"Default"),"Leaf")</f>
        <v>Leaf</v>
      </c>
      <c r="C3517" s="26" t="s">
        <v>27</v>
      </c>
      <c r="D3517" s="24" t="str">
        <f>_xll.DBRW("TM1-S1_DEV:}ElementAttributes_SP_SKU",$F3517,D$1)</f>
        <v>Primary</v>
      </c>
      <c r="E3517" s="24" t="str">
        <f>_xll.DBRW("TM1-S1_DEV:}ElementAttributes_SP_SKU",$F3517,E$1)</f>
        <v>INGREDIENT</v>
      </c>
      <c r="F3517" s="26" t="s">
        <v>624</v>
      </c>
      <c r="G3517" s="26" t="s">
        <v>2663</v>
      </c>
      <c r="H3517" s="26" t="s">
        <v>2734</v>
      </c>
      <c r="I3517" s="54">
        <f>_xll.DBRW($A$1,$F$14,$F$15,$C3517,$A$2,$F3517,$G3517,$H3517,I$1)</f>
        <v>20</v>
      </c>
      <c r="J3517" s="25">
        <f>_xll.DBRW($A$1,$F$14,$F$15,$C3517,$A$2,$F3517,$G3517,$H3517,J$19)</f>
        <v>20</v>
      </c>
    </row>
    <row r="3518" spans="1:10" s="23" customFormat="1" outlineLevel="1" thickBot="1" x14ac:dyDescent="0.3">
      <c r="A3518" s="44"/>
      <c r="B3518" s="31" t="str">
        <f>IF(_xll.TM1RPTELISCONSOLIDATED($H$20,$H3518),IF(_xll.TM1RPTELLEV($H$20,$H3518)&lt;=5,_xll.TM1RPTELLEV($H$20,$H3518),"Default"),"Leaf")</f>
        <v>Leaf</v>
      </c>
      <c r="C3518" s="26" t="s">
        <v>27</v>
      </c>
      <c r="D3518" s="24" t="str">
        <f>_xll.DBRW("TM1-S1_DEV:}ElementAttributes_SP_SKU",$F3518,D$1)</f>
        <v>Primary</v>
      </c>
      <c r="E3518" s="24" t="str">
        <f>_xll.DBRW("TM1-S1_DEV:}ElementAttributes_SP_SKU",$F3518,E$1)</f>
        <v>SIDES</v>
      </c>
      <c r="F3518" s="26" t="s">
        <v>537</v>
      </c>
      <c r="G3518" s="26" t="s">
        <v>2562</v>
      </c>
      <c r="H3518" s="26" t="s">
        <v>2698</v>
      </c>
      <c r="I3518" s="54">
        <f>_xll.DBRW($A$1,$F$14,$F$15,$C3518,$A$2,$F3518,$G3518,$H3518,I$1)</f>
        <v>5</v>
      </c>
      <c r="J3518" s="25">
        <f>_xll.DBRW($A$1,$F$14,$F$15,$C3518,$A$2,$F3518,$G3518,$H3518,J$19)</f>
        <v>8</v>
      </c>
    </row>
    <row r="3519" spans="1:10" s="23" customFormat="1" outlineLevel="1" thickBot="1" x14ac:dyDescent="0.3">
      <c r="A3519" s="44"/>
      <c r="B3519" s="31" t="str">
        <f>IF(_xll.TM1RPTELISCONSOLIDATED($H$20,$H3519),IF(_xll.TM1RPTELLEV($H$20,$H3519)&lt;=5,_xll.TM1RPTELLEV($H$20,$H3519),"Default"),"Leaf")</f>
        <v>Leaf</v>
      </c>
      <c r="C3519" s="26" t="s">
        <v>27</v>
      </c>
      <c r="D3519" s="24" t="str">
        <f>_xll.DBRW("TM1-S1_DEV:}ElementAttributes_SP_SKU",$F3519,D$1)</f>
        <v>Unassigned PSP</v>
      </c>
      <c r="E3519" s="24" t="str">
        <f>_xll.DBRW("TM1-S1_DEV:}ElementAttributes_SP_SKU",$F3519,E$1)</f>
        <v>SIDES</v>
      </c>
      <c r="F3519" s="26" t="s">
        <v>538</v>
      </c>
      <c r="G3519" s="26" t="s">
        <v>2543</v>
      </c>
      <c r="H3519" s="26" t="s">
        <v>2734</v>
      </c>
      <c r="I3519" s="54">
        <f>_xll.DBRW($A$1,$F$14,$F$15,$C3519,$A$2,$F3519,$G3519,$H3519,I$1)</f>
        <v>24</v>
      </c>
      <c r="J3519" s="25">
        <f>_xll.DBRW($A$1,$F$14,$F$15,$C3519,$A$2,$F3519,$G3519,$H3519,J$19)</f>
        <v>24</v>
      </c>
    </row>
    <row r="3520" spans="1:10" s="23" customFormat="1" outlineLevel="1" thickBot="1" x14ac:dyDescent="0.3">
      <c r="A3520" s="44"/>
      <c r="B3520" s="31" t="str">
        <f>IF(_xll.TM1RPTELISCONSOLIDATED($H$20,$H3520),IF(_xll.TM1RPTELLEV($H$20,$H3520)&lt;=5,_xll.TM1RPTELLEV($H$20,$H3520),"Default"),"Leaf")</f>
        <v>Leaf</v>
      </c>
      <c r="C3520" s="26" t="s">
        <v>27</v>
      </c>
      <c r="D3520" s="24" t="str">
        <f>_xll.DBRW("TM1-S1_DEV:}ElementAttributes_SP_SKU",$F3520,D$1)</f>
        <v>Unassigned PSP</v>
      </c>
      <c r="E3520" s="24" t="str">
        <f>_xll.DBRW("TM1-S1_DEV:}ElementAttributes_SP_SKU",$F3520,E$1)</f>
        <v>INGREDIENT</v>
      </c>
      <c r="F3520" s="26" t="s">
        <v>539</v>
      </c>
      <c r="G3520" s="26" t="s">
        <v>2563</v>
      </c>
      <c r="H3520" s="26" t="s">
        <v>2734</v>
      </c>
      <c r="I3520" s="54">
        <f>_xll.DBRW($A$1,$F$14,$F$15,$C3520,$A$2,$F3520,$G3520,$H3520,I$1)</f>
        <v>18</v>
      </c>
      <c r="J3520" s="25">
        <f>_xll.DBRW($A$1,$F$14,$F$15,$C3520,$A$2,$F3520,$G3520,$H3520,J$19)</f>
        <v>43</v>
      </c>
    </row>
    <row r="3521" spans="1:10" s="23" customFormat="1" outlineLevel="1" thickBot="1" x14ac:dyDescent="0.3">
      <c r="A3521" s="44"/>
      <c r="B3521" s="31" t="str">
        <f>IF(_xll.TM1RPTELISCONSOLIDATED($H$20,$H3521),IF(_xll.TM1RPTELLEV($H$20,$H3521)&lt;=5,_xll.TM1RPTELLEV($H$20,$H3521),"Default"),"Leaf")</f>
        <v>Leaf</v>
      </c>
      <c r="C3521" s="26" t="s">
        <v>27</v>
      </c>
      <c r="D3521" s="24" t="str">
        <f>_xll.DBRW("TM1-S1_DEV:}ElementAttributes_SP_SKU",$F3521,D$1)</f>
        <v>Unassigned PSP</v>
      </c>
      <c r="E3521" s="24" t="str">
        <f>_xll.DBRW("TM1-S1_DEV:}ElementAttributes_SP_SKU",$F3521,E$1)</f>
        <v>INGREDIENT</v>
      </c>
      <c r="F3521" s="26" t="s">
        <v>540</v>
      </c>
      <c r="G3521" s="26" t="s">
        <v>2530</v>
      </c>
      <c r="H3521" s="26" t="s">
        <v>2929</v>
      </c>
      <c r="I3521" s="54">
        <f>_xll.DBRW($A$1,$F$14,$F$15,$C3521,$A$2,$F3521,$G3521,$H3521,I$1)</f>
        <v>17</v>
      </c>
      <c r="J3521" s="25">
        <f>_xll.DBRW($A$1,$F$14,$F$15,$C3521,$A$2,$F3521,$G3521,$H3521,J$19)</f>
        <v>31</v>
      </c>
    </row>
    <row r="3522" spans="1:10" s="23" customFormat="1" outlineLevel="1" thickBot="1" x14ac:dyDescent="0.3">
      <c r="A3522" s="44"/>
      <c r="B3522" s="31" t="str">
        <f>IF(_xll.TM1RPTELISCONSOLIDATED($H$20,$H3522),IF(_xll.TM1RPTELLEV($H$20,$H3522)&lt;=5,_xll.TM1RPTELLEV($H$20,$H3522),"Default"),"Leaf")</f>
        <v>Leaf</v>
      </c>
      <c r="C3522" s="26" t="s">
        <v>27</v>
      </c>
      <c r="D3522" s="24" t="str">
        <f>_xll.DBRW("TM1-S1_DEV:}ElementAttributes_SP_SKU",$F3522,D$1)</f>
        <v>Unassigned PSP</v>
      </c>
      <c r="E3522" s="24" t="str">
        <f>_xll.DBRW("TM1-S1_DEV:}ElementAttributes_SP_SKU",$F3522,E$1)</f>
        <v>SIDES</v>
      </c>
      <c r="F3522" s="26" t="s">
        <v>541</v>
      </c>
      <c r="G3522" s="26" t="s">
        <v>2543</v>
      </c>
      <c r="H3522" s="26" t="s">
        <v>2930</v>
      </c>
      <c r="I3522" s="54">
        <f>_xll.DBRW($A$1,$F$14,$F$15,$C3522,$A$2,$F3522,$G3522,$H3522,I$1)</f>
        <v>24</v>
      </c>
      <c r="J3522" s="25">
        <f>_xll.DBRW($A$1,$F$14,$F$15,$C3522,$A$2,$F3522,$G3522,$H3522,J$19)</f>
        <v>24</v>
      </c>
    </row>
    <row r="3523" spans="1:10" s="23" customFormat="1" outlineLevel="1" thickBot="1" x14ac:dyDescent="0.3">
      <c r="A3523" s="44"/>
      <c r="B3523" s="31" t="str">
        <f>IF(_xll.TM1RPTELISCONSOLIDATED($H$20,$H3523),IF(_xll.TM1RPTELLEV($H$20,$H3523)&lt;=5,_xll.TM1RPTELLEV($H$20,$H3523),"Default"),"Leaf")</f>
        <v>Leaf</v>
      </c>
      <c r="C3523" s="26" t="s">
        <v>27</v>
      </c>
      <c r="D3523" s="24" t="str">
        <f>_xll.DBRW("TM1-S1_DEV:}ElementAttributes_SP_SKU",$F3523,D$1)</f>
        <v>Primary</v>
      </c>
      <c r="E3523" s="24" t="str">
        <f>_xll.DBRW("TM1-S1_DEV:}ElementAttributes_SP_SKU",$F3523,E$1)</f>
        <v>CONTAINER</v>
      </c>
      <c r="F3523" s="26" t="s">
        <v>3242</v>
      </c>
      <c r="G3523" s="26" t="s">
        <v>2564</v>
      </c>
      <c r="H3523" s="26" t="s">
        <v>2708</v>
      </c>
      <c r="I3523" s="54">
        <f>_xll.DBRW($A$1,$F$14,$F$15,$C3523,$A$2,$F3523,$G3523,$H3523,I$1)</f>
        <v>23</v>
      </c>
      <c r="J3523" s="25">
        <f>_xll.DBRW($A$1,$F$14,$F$15,$C3523,$A$2,$F3523,$G3523,$H3523,J$19)</f>
        <v>10</v>
      </c>
    </row>
    <row r="3524" spans="1:10" s="23" customFormat="1" outlineLevel="1" thickBot="1" x14ac:dyDescent="0.3">
      <c r="A3524" s="44"/>
      <c r="B3524" s="31" t="str">
        <f>IF(_xll.TM1RPTELISCONSOLIDATED($H$20,$H3524),IF(_xll.TM1RPTELLEV($H$20,$H3524)&lt;=5,_xll.TM1RPTELLEV($H$20,$H3524),"Default"),"Leaf")</f>
        <v>Leaf</v>
      </c>
      <c r="C3524" s="26" t="s">
        <v>27</v>
      </c>
      <c r="D3524" s="24" t="str">
        <f>_xll.DBRW("TM1-S1_DEV:}ElementAttributes_SP_SKU",$F3524,D$1)</f>
        <v>Primary</v>
      </c>
      <c r="E3524" s="24" t="str">
        <f>_xll.DBRW("TM1-S1_DEV:}ElementAttributes_SP_SKU",$F3524,E$1)</f>
        <v>PROTEIN</v>
      </c>
      <c r="F3524" s="26" t="s">
        <v>3244</v>
      </c>
      <c r="G3524" s="26" t="s">
        <v>2566</v>
      </c>
      <c r="H3524" s="26" t="s">
        <v>2670</v>
      </c>
      <c r="I3524" s="54">
        <f>_xll.DBRW($A$1,$F$14,$F$15,$C3524,$A$2,$F3524,$G3524,$H3524,I$1)</f>
        <v>23</v>
      </c>
      <c r="J3524" s="25">
        <f>_xll.DBRW($A$1,$F$14,$F$15,$C3524,$A$2,$F3524,$G3524,$H3524,J$19)</f>
        <v>19</v>
      </c>
    </row>
    <row r="3525" spans="1:10" s="23" customFormat="1" outlineLevel="1" thickBot="1" x14ac:dyDescent="0.3">
      <c r="A3525" s="44"/>
      <c r="B3525" s="31" t="str">
        <f>IF(_xll.TM1RPTELISCONSOLIDATED($H$20,$H3525),IF(_xll.TM1RPTELLEV($H$20,$H3525)&lt;=5,_xll.TM1RPTELLEV($H$20,$H3525),"Default"),"Leaf")</f>
        <v>Leaf</v>
      </c>
      <c r="C3525" s="26" t="s">
        <v>27</v>
      </c>
      <c r="D3525" s="24" t="str">
        <f>_xll.DBRW("TM1-S1_DEV:}ElementAttributes_SP_SKU",$F3525,D$1)</f>
        <v>Primary</v>
      </c>
      <c r="E3525" s="24" t="str">
        <f>_xll.DBRW("TM1-S1_DEV:}ElementAttributes_SP_SKU",$F3525,E$1)</f>
        <v>PAD</v>
      </c>
      <c r="F3525" s="26" t="s">
        <v>3245</v>
      </c>
      <c r="G3525" s="26" t="s">
        <v>2567</v>
      </c>
      <c r="H3525" s="26" t="s">
        <v>2731</v>
      </c>
      <c r="I3525" s="54">
        <f>_xll.DBRW($A$1,$F$14,$F$15,$C3525,$A$2,$F3525,$G3525,$H3525,I$1)</f>
        <v>43</v>
      </c>
      <c r="J3525" s="25">
        <f>_xll.DBRW($A$1,$F$14,$F$15,$C3525,$A$2,$F3525,$G3525,$H3525,J$19)</f>
        <v>31</v>
      </c>
    </row>
    <row r="3526" spans="1:10" s="23" customFormat="1" outlineLevel="1" thickBot="1" x14ac:dyDescent="0.3">
      <c r="A3526" s="44"/>
      <c r="B3526" s="31" t="str">
        <f>IF(_xll.TM1RPTELISCONSOLIDATED($H$20,$H3526),IF(_xll.TM1RPTELLEV($H$20,$H3526)&lt;=5,_xll.TM1RPTELLEV($H$20,$H3526),"Default"),"Leaf")</f>
        <v>Leaf</v>
      </c>
      <c r="C3526" s="26" t="s">
        <v>28</v>
      </c>
      <c r="D3526" s="24" t="str">
        <f>_xll.DBRW("TM1-S1_DEV:}ElementAttributes_SP_SKU",$F3526,D$1)</f>
        <v>Primary</v>
      </c>
      <c r="E3526" s="24" t="str">
        <f>_xll.DBRW("TM1-S1_DEV:}ElementAttributes_SP_SKU",$F3526,E$1)</f>
        <v>HAM</v>
      </c>
      <c r="F3526" s="26" t="s">
        <v>3246</v>
      </c>
      <c r="G3526" s="26" t="s">
        <v>2382</v>
      </c>
      <c r="H3526" s="26" t="s">
        <v>2673</v>
      </c>
      <c r="I3526" s="54">
        <f>_xll.DBRW($A$1,$F$14,$F$15,$C3526,$A$2,$F3526,$G3526,$H3526,I$1)</f>
        <v>542</v>
      </c>
      <c r="J3526" s="25">
        <f>_xll.DBRW($A$1,$F$14,$F$15,$C3526,$A$2,$F3526,$G3526,$H3526,J$19)</f>
        <v>5</v>
      </c>
    </row>
    <row r="3527" spans="1:10" s="23" customFormat="1" outlineLevel="1" thickBot="1" x14ac:dyDescent="0.3">
      <c r="A3527" s="44"/>
      <c r="B3527" s="31" t="str">
        <f>IF(_xll.TM1RPTELISCONSOLIDATED($H$20,$H3527),IF(_xll.TM1RPTELLEV($H$20,$H3527)&lt;=5,_xll.TM1RPTELLEV($H$20,$H3527),"Default"),"Leaf")</f>
        <v>Leaf</v>
      </c>
      <c r="C3527" s="26" t="s">
        <v>28</v>
      </c>
      <c r="D3527" s="24" t="str">
        <f>_xll.DBRW("TM1-S1_DEV:}ElementAttributes_SP_SKU",$F3527,D$1)</f>
        <v>Primary</v>
      </c>
      <c r="E3527" s="24" t="str">
        <f>_xll.DBRW("TM1-S1_DEV:}ElementAttributes_SP_SKU",$F3527,E$1)</f>
        <v>HAM</v>
      </c>
      <c r="F3527" s="26" t="s">
        <v>3247</v>
      </c>
      <c r="G3527" s="26" t="s">
        <v>2383</v>
      </c>
      <c r="H3527" s="26" t="s">
        <v>2673</v>
      </c>
      <c r="I3527" s="54">
        <f>_xll.DBRW($A$1,$F$14,$F$15,$C3527,$A$2,$F3527,$G3527,$H3527,I$1)</f>
        <v>657</v>
      </c>
      <c r="J3527" s="25">
        <f>_xll.DBRW($A$1,$F$14,$F$15,$C3527,$A$2,$F3527,$G3527,$H3527,J$19)</f>
        <v>5</v>
      </c>
    </row>
    <row r="3528" spans="1:10" s="23" customFormat="1" outlineLevel="1" thickBot="1" x14ac:dyDescent="0.3">
      <c r="A3528" s="44"/>
      <c r="B3528" s="31" t="str">
        <f>IF(_xll.TM1RPTELISCONSOLIDATED($H$20,$H3528),IF(_xll.TM1RPTELLEV($H$20,$H3528)&lt;=5,_xll.TM1RPTELLEV($H$20,$H3528),"Default"),"Leaf")</f>
        <v>Leaf</v>
      </c>
      <c r="C3528" s="26" t="s">
        <v>28</v>
      </c>
      <c r="D3528" s="24" t="str">
        <f>_xll.DBRW("TM1-S1_DEV:}ElementAttributes_SP_SKU",$F3528,D$1)</f>
        <v>Primary</v>
      </c>
      <c r="E3528" s="24" t="str">
        <f>_xll.DBRW("TM1-S1_DEV:}ElementAttributes_SP_SKU",$F3528,E$1)</f>
        <v>HAM</v>
      </c>
      <c r="F3528" s="26" t="s">
        <v>3248</v>
      </c>
      <c r="G3528" s="26" t="s">
        <v>2384</v>
      </c>
      <c r="H3528" s="26" t="s">
        <v>2673</v>
      </c>
      <c r="I3528" s="54">
        <f>_xll.DBRW($A$1,$F$14,$F$15,$C3528,$A$2,$F3528,$G3528,$H3528,I$1)</f>
        <v>431</v>
      </c>
      <c r="J3528" s="25">
        <f>_xll.DBRW($A$1,$F$14,$F$15,$C3528,$A$2,$F3528,$G3528,$H3528,J$19)</f>
        <v>5</v>
      </c>
    </row>
    <row r="3529" spans="1:10" s="23" customFormat="1" outlineLevel="1" thickBot="1" x14ac:dyDescent="0.3">
      <c r="A3529" s="44"/>
      <c r="B3529" s="31" t="str">
        <f>IF(_xll.TM1RPTELISCONSOLIDATED($H$20,$H3529),IF(_xll.TM1RPTELLEV($H$20,$H3529)&lt;=5,_xll.TM1RPTELLEV($H$20,$H3529),"Default"),"Leaf")</f>
        <v>Leaf</v>
      </c>
      <c r="C3529" s="26" t="s">
        <v>28</v>
      </c>
      <c r="D3529" s="24" t="str">
        <f>_xll.DBRW("TM1-S1_DEV:}ElementAttributes_SP_SKU",$F3529,D$1)</f>
        <v>Primary</v>
      </c>
      <c r="E3529" s="24" t="str">
        <f>_xll.DBRW("TM1-S1_DEV:}ElementAttributes_SP_SKU",$F3529,E$1)</f>
        <v>HAM</v>
      </c>
      <c r="F3529" s="26" t="s">
        <v>3249</v>
      </c>
      <c r="G3529" s="26" t="s">
        <v>2385</v>
      </c>
      <c r="H3529" s="26" t="s">
        <v>2673</v>
      </c>
      <c r="I3529" s="54">
        <f>_xll.DBRW($A$1,$F$14,$F$15,$C3529,$A$2,$F3529,$G3529,$H3529,I$1)</f>
        <v>367</v>
      </c>
      <c r="J3529" s="25">
        <f>_xll.DBRW($A$1,$F$14,$F$15,$C3529,$A$2,$F3529,$G3529,$H3529,J$19)</f>
        <v>0</v>
      </c>
    </row>
    <row r="3530" spans="1:10" s="23" customFormat="1" outlineLevel="1" thickBot="1" x14ac:dyDescent="0.3">
      <c r="A3530" s="44"/>
      <c r="B3530" s="31" t="str">
        <f>IF(_xll.TM1RPTELISCONSOLIDATED($H$20,$H3530),IF(_xll.TM1RPTELLEV($H$20,$H3530)&lt;=5,_xll.TM1RPTELLEV($H$20,$H3530),"Default"),"Leaf")</f>
        <v>Leaf</v>
      </c>
      <c r="C3530" s="26" t="s">
        <v>28</v>
      </c>
      <c r="D3530" s="24" t="str">
        <f>_xll.DBRW("TM1-S1_DEV:}ElementAttributes_SP_SKU",$F3530,D$1)</f>
        <v>Primary</v>
      </c>
      <c r="E3530" s="24" t="str">
        <f>_xll.DBRW("TM1-S1_DEV:}ElementAttributes_SP_SKU",$F3530,E$1)</f>
        <v>HAM</v>
      </c>
      <c r="F3530" s="26" t="s">
        <v>3250</v>
      </c>
      <c r="G3530" s="26" t="s">
        <v>2386</v>
      </c>
      <c r="H3530" s="26" t="s">
        <v>2673</v>
      </c>
      <c r="I3530" s="54">
        <f>_xll.DBRW($A$1,$F$14,$F$15,$C3530,$A$2,$F3530,$G3530,$H3530,I$1)</f>
        <v>189</v>
      </c>
      <c r="J3530" s="25">
        <f>_xll.DBRW($A$1,$F$14,$F$15,$C3530,$A$2,$F3530,$G3530,$H3530,J$19)</f>
        <v>0</v>
      </c>
    </row>
    <row r="3531" spans="1:10" s="23" customFormat="1" outlineLevel="1" thickBot="1" x14ac:dyDescent="0.3">
      <c r="A3531" s="44"/>
      <c r="B3531" s="31" t="str">
        <f>IF(_xll.TM1RPTELISCONSOLIDATED($H$20,$H3531),IF(_xll.TM1RPTELLEV($H$20,$H3531)&lt;=5,_xll.TM1RPTELLEV($H$20,$H3531),"Default"),"Leaf")</f>
        <v>Leaf</v>
      </c>
      <c r="C3531" s="26" t="s">
        <v>28</v>
      </c>
      <c r="D3531" s="24" t="str">
        <f>_xll.DBRW("TM1-S1_DEV:}ElementAttributes_SP_SKU",$F3531,D$1)</f>
        <v>Primary</v>
      </c>
      <c r="E3531" s="24" t="str">
        <f>_xll.DBRW("TM1-S1_DEV:}ElementAttributes_SP_SKU",$F3531,E$1)</f>
        <v>HAM</v>
      </c>
      <c r="F3531" s="26" t="s">
        <v>3251</v>
      </c>
      <c r="G3531" s="26" t="s">
        <v>2387</v>
      </c>
      <c r="H3531" s="26" t="s">
        <v>2673</v>
      </c>
      <c r="I3531" s="54">
        <f>_xll.DBRW($A$1,$F$14,$F$15,$C3531,$A$2,$F3531,$G3531,$H3531,I$1)</f>
        <v>365</v>
      </c>
      <c r="J3531" s="25">
        <f>_xll.DBRW($A$1,$F$14,$F$15,$C3531,$A$2,$F3531,$G3531,$H3531,J$19)</f>
        <v>3</v>
      </c>
    </row>
    <row r="3532" spans="1:10" s="23" customFormat="1" outlineLevel="1" thickBot="1" x14ac:dyDescent="0.3">
      <c r="A3532" s="44"/>
      <c r="B3532" s="31" t="str">
        <f>IF(_xll.TM1RPTELISCONSOLIDATED($H$20,$H3532),IF(_xll.TM1RPTELLEV($H$20,$H3532)&lt;=5,_xll.TM1RPTELLEV($H$20,$H3532),"Default"),"Leaf")</f>
        <v>Leaf</v>
      </c>
      <c r="C3532" s="26" t="s">
        <v>28</v>
      </c>
      <c r="D3532" s="24" t="str">
        <f>_xll.DBRW("TM1-S1_DEV:}ElementAttributes_SP_SKU",$F3532,D$1)</f>
        <v>Primary</v>
      </c>
      <c r="E3532" s="24" t="str">
        <f>_xll.DBRW("TM1-S1_DEV:}ElementAttributes_SP_SKU",$F3532,E$1)</f>
        <v>TURKEY</v>
      </c>
      <c r="F3532" s="26" t="s">
        <v>3291</v>
      </c>
      <c r="G3532" s="26" t="s">
        <v>2388</v>
      </c>
      <c r="H3532" s="26" t="s">
        <v>2671</v>
      </c>
      <c r="I3532" s="54">
        <f>_xll.DBRW($A$1,$F$14,$F$15,$C3532,$A$2,$F3532,$G3532,$H3532,I$1)</f>
        <v>1</v>
      </c>
      <c r="J3532" s="25">
        <f>_xll.DBRW($A$1,$F$14,$F$15,$C3532,$A$2,$F3532,$G3532,$H3532,J$19)</f>
        <v>1</v>
      </c>
    </row>
    <row r="3533" spans="1:10" s="23" customFormat="1" outlineLevel="1" thickBot="1" x14ac:dyDescent="0.3">
      <c r="A3533" s="44"/>
      <c r="B3533" s="31" t="str">
        <f>IF(_xll.TM1RPTELISCONSOLIDATED($H$20,$H3533),IF(_xll.TM1RPTELLEV($H$20,$H3533)&lt;=5,_xll.TM1RPTELLEV($H$20,$H3533),"Default"),"Leaf")</f>
        <v>Leaf</v>
      </c>
      <c r="C3533" s="26" t="s">
        <v>28</v>
      </c>
      <c r="D3533" s="24" t="str">
        <f>_xll.DBRW("TM1-S1_DEV:}ElementAttributes_SP_SKU",$F3533,D$1)</f>
        <v>Primary</v>
      </c>
      <c r="E3533" s="24" t="str">
        <f>_xll.DBRW("TM1-S1_DEV:}ElementAttributes_SP_SKU",$F3533,E$1)</f>
        <v>TURKEY</v>
      </c>
      <c r="F3533" s="26" t="s">
        <v>3110</v>
      </c>
      <c r="G3533" s="26" t="s">
        <v>2390</v>
      </c>
      <c r="H3533" s="26" t="s">
        <v>2671</v>
      </c>
      <c r="I3533" s="54">
        <f>_xll.DBRW($A$1,$F$14,$F$15,$C3533,$A$2,$F3533,$G3533,$H3533,I$1)</f>
        <v>131</v>
      </c>
      <c r="J3533" s="25">
        <f>_xll.DBRW($A$1,$F$14,$F$15,$C3533,$A$2,$F3533,$G3533,$H3533,J$19)</f>
        <v>28</v>
      </c>
    </row>
    <row r="3534" spans="1:10" s="23" customFormat="1" outlineLevel="1" thickBot="1" x14ac:dyDescent="0.3">
      <c r="A3534" s="44"/>
      <c r="B3534" s="31" t="str">
        <f>IF(_xll.TM1RPTELISCONSOLIDATED($H$20,$H3534),IF(_xll.TM1RPTELLEV($H$20,$H3534)&lt;=5,_xll.TM1RPTELLEV($H$20,$H3534),"Default"),"Leaf")</f>
        <v>Leaf</v>
      </c>
      <c r="C3534" s="26" t="s">
        <v>28</v>
      </c>
      <c r="D3534" s="24" t="str">
        <f>_xll.DBRW("TM1-S1_DEV:}ElementAttributes_SP_SKU",$F3534,D$1)</f>
        <v>Primary</v>
      </c>
      <c r="E3534" s="24" t="str">
        <f>_xll.DBRW("TM1-S1_DEV:}ElementAttributes_SP_SKU",$F3534,E$1)</f>
        <v>TURKEY</v>
      </c>
      <c r="F3534" s="26" t="s">
        <v>3111</v>
      </c>
      <c r="G3534" s="26" t="s">
        <v>2391</v>
      </c>
      <c r="H3534" s="26" t="s">
        <v>2671</v>
      </c>
      <c r="I3534" s="54">
        <f>_xll.DBRW($A$1,$F$14,$F$15,$C3534,$A$2,$F3534,$G3534,$H3534,I$1)</f>
        <v>102</v>
      </c>
      <c r="J3534" s="25">
        <f>_xll.DBRW($A$1,$F$14,$F$15,$C3534,$A$2,$F3534,$G3534,$H3534,J$19)</f>
        <v>10</v>
      </c>
    </row>
    <row r="3535" spans="1:10" s="23" customFormat="1" outlineLevel="1" thickBot="1" x14ac:dyDescent="0.3">
      <c r="A3535" s="44"/>
      <c r="B3535" s="31" t="str">
        <f>IF(_xll.TM1RPTELISCONSOLIDATED($H$20,$H3535),IF(_xll.TM1RPTELLEV($H$20,$H3535)&lt;=5,_xll.TM1RPTELLEV($H$20,$H3535),"Default"),"Leaf")</f>
        <v>Leaf</v>
      </c>
      <c r="C3535" s="26" t="s">
        <v>28</v>
      </c>
      <c r="D3535" s="24" t="str">
        <f>_xll.DBRW("TM1-S1_DEV:}ElementAttributes_SP_SKU",$F3535,D$1)</f>
        <v>Primary</v>
      </c>
      <c r="E3535" s="24" t="str">
        <f>_xll.DBRW("TM1-S1_DEV:}ElementAttributes_SP_SKU",$F3535,E$1)</f>
        <v>PROTEIN</v>
      </c>
      <c r="F3535" s="26" t="s">
        <v>3112</v>
      </c>
      <c r="G3535" s="26" t="s">
        <v>2392</v>
      </c>
      <c r="H3535" s="26" t="s">
        <v>2672</v>
      </c>
      <c r="I3535" s="54">
        <f>_xll.DBRW($A$1,$F$14,$F$15,$C3535,$A$2,$F3535,$G3535,$H3535,I$1)</f>
        <v>12</v>
      </c>
      <c r="J3535" s="25">
        <f>_xll.DBRW($A$1,$F$14,$F$15,$C3535,$A$2,$F3535,$G3535,$H3535,J$19)</f>
        <v>5</v>
      </c>
    </row>
    <row r="3536" spans="1:10" s="23" customFormat="1" outlineLevel="1" thickBot="1" x14ac:dyDescent="0.3">
      <c r="A3536" s="44"/>
      <c r="B3536" s="31" t="str">
        <f>IF(_xll.TM1RPTELISCONSOLIDATED($H$20,$H3536),IF(_xll.TM1RPTELLEV($H$20,$H3536)&lt;=5,_xll.TM1RPTELLEV($H$20,$H3536),"Default"),"Leaf")</f>
        <v>Leaf</v>
      </c>
      <c r="C3536" s="26" t="s">
        <v>28</v>
      </c>
      <c r="D3536" s="24" t="str">
        <f>_xll.DBRW("TM1-S1_DEV:}ElementAttributes_SP_SKU",$F3536,D$1)</f>
        <v>Primary</v>
      </c>
      <c r="E3536" s="24" t="str">
        <f>_xll.DBRW("TM1-S1_DEV:}ElementAttributes_SP_SKU",$F3536,E$1)</f>
        <v>PROTEIN</v>
      </c>
      <c r="F3536" s="26" t="s">
        <v>3114</v>
      </c>
      <c r="G3536" s="26" t="s">
        <v>2394</v>
      </c>
      <c r="H3536" s="26" t="s">
        <v>2672</v>
      </c>
      <c r="I3536" s="54">
        <f>_xll.DBRW($A$1,$F$14,$F$15,$C3536,$A$2,$F3536,$G3536,$H3536,I$1)</f>
        <v>22</v>
      </c>
      <c r="J3536" s="25">
        <f>_xll.DBRW($A$1,$F$14,$F$15,$C3536,$A$2,$F3536,$G3536,$H3536,J$19)</f>
        <v>6</v>
      </c>
    </row>
    <row r="3537" spans="1:10" s="23" customFormat="1" outlineLevel="1" thickBot="1" x14ac:dyDescent="0.3">
      <c r="A3537" s="44"/>
      <c r="B3537" s="31" t="str">
        <f>IF(_xll.TM1RPTELISCONSOLIDATED($H$20,$H3537),IF(_xll.TM1RPTELLEV($H$20,$H3537)&lt;=5,_xll.TM1RPTELLEV($H$20,$H3537),"Default"),"Leaf")</f>
        <v>Leaf</v>
      </c>
      <c r="C3537" s="26" t="s">
        <v>28</v>
      </c>
      <c r="D3537" s="24" t="str">
        <f>_xll.DBRW("TM1-S1_DEV:}ElementAttributes_SP_SKU",$F3537,D$1)</f>
        <v>Primary</v>
      </c>
      <c r="E3537" s="24" t="str">
        <f>_xll.DBRW("TM1-S1_DEV:}ElementAttributes_SP_SKU",$F3537,E$1)</f>
        <v>PROTEIN</v>
      </c>
      <c r="F3537" s="26" t="s">
        <v>3115</v>
      </c>
      <c r="G3537" s="26" t="s">
        <v>2395</v>
      </c>
      <c r="H3537" s="26" t="s">
        <v>2672</v>
      </c>
      <c r="I3537" s="54">
        <f>_xll.DBRW($A$1,$F$14,$F$15,$C3537,$A$2,$F3537,$G3537,$H3537,I$1)</f>
        <v>14</v>
      </c>
      <c r="J3537" s="25">
        <f>_xll.DBRW($A$1,$F$14,$F$15,$C3537,$A$2,$F3537,$G3537,$H3537,J$19)</f>
        <v>4</v>
      </c>
    </row>
    <row r="3538" spans="1:10" s="23" customFormat="1" outlineLevel="1" thickBot="1" x14ac:dyDescent="0.3">
      <c r="A3538" s="44"/>
      <c r="B3538" s="31" t="str">
        <f>IF(_xll.TM1RPTELISCONSOLIDATED($H$20,$H3538),IF(_xll.TM1RPTELLEV($H$20,$H3538)&lt;=5,_xll.TM1RPTELLEV($H$20,$H3538),"Default"),"Leaf")</f>
        <v>Leaf</v>
      </c>
      <c r="C3538" s="26" t="s">
        <v>28</v>
      </c>
      <c r="D3538" s="24" t="str">
        <f>_xll.DBRW("TM1-S1_DEV:}ElementAttributes_SP_SKU",$F3538,D$1)</f>
        <v>Primary</v>
      </c>
      <c r="E3538" s="24" t="str">
        <f>_xll.DBRW("TM1-S1_DEV:}ElementAttributes_SP_SKU",$F3538,E$1)</f>
        <v>SOUP</v>
      </c>
      <c r="F3538" s="26" t="s">
        <v>3116</v>
      </c>
      <c r="G3538" s="26" t="s">
        <v>2396</v>
      </c>
      <c r="H3538" s="26" t="s">
        <v>2674</v>
      </c>
      <c r="I3538" s="54">
        <f>_xll.DBRW($A$1,$F$14,$F$15,$C3538,$A$2,$F3538,$G3538,$H3538,I$1)</f>
        <v>12</v>
      </c>
      <c r="J3538" s="25">
        <f>_xll.DBRW($A$1,$F$14,$F$15,$C3538,$A$2,$F3538,$G3538,$H3538,J$19)</f>
        <v>8</v>
      </c>
    </row>
    <row r="3539" spans="1:10" s="23" customFormat="1" outlineLevel="1" thickBot="1" x14ac:dyDescent="0.3">
      <c r="A3539" s="44"/>
      <c r="B3539" s="31" t="str">
        <f>IF(_xll.TM1RPTELISCONSOLIDATED($H$20,$H3539),IF(_xll.TM1RPTELLEV($H$20,$H3539)&lt;=5,_xll.TM1RPTELLEV($H$20,$H3539),"Default"),"Leaf")</f>
        <v>Leaf</v>
      </c>
      <c r="C3539" s="26" t="s">
        <v>28</v>
      </c>
      <c r="D3539" s="24" t="str">
        <f>_xll.DBRW("TM1-S1_DEV:}ElementAttributes_SP_SKU",$F3539,D$1)</f>
        <v>Primary</v>
      </c>
      <c r="E3539" s="24" t="str">
        <f>_xll.DBRW("TM1-S1_DEV:}ElementAttributes_SP_SKU",$F3539,E$1)</f>
        <v>SOUP</v>
      </c>
      <c r="F3539" s="26" t="s">
        <v>3117</v>
      </c>
      <c r="G3539" s="26" t="s">
        <v>2397</v>
      </c>
      <c r="H3539" s="26" t="s">
        <v>2674</v>
      </c>
      <c r="I3539" s="54">
        <f>_xll.DBRW($A$1,$F$14,$F$15,$C3539,$A$2,$F3539,$G3539,$H3539,I$1)</f>
        <v>10</v>
      </c>
      <c r="J3539" s="25">
        <f>_xll.DBRW($A$1,$F$14,$F$15,$C3539,$A$2,$F3539,$G3539,$H3539,J$19)</f>
        <v>6</v>
      </c>
    </row>
    <row r="3540" spans="1:10" s="23" customFormat="1" outlineLevel="1" thickBot="1" x14ac:dyDescent="0.3">
      <c r="A3540" s="44"/>
      <c r="B3540" s="31" t="str">
        <f>IF(_xll.TM1RPTELISCONSOLIDATED($H$20,$H3540),IF(_xll.TM1RPTELLEV($H$20,$H3540)&lt;=5,_xll.TM1RPTELLEV($H$20,$H3540),"Default"),"Leaf")</f>
        <v>Leaf</v>
      </c>
      <c r="C3540" s="26" t="s">
        <v>28</v>
      </c>
      <c r="D3540" s="24" t="str">
        <f>_xll.DBRW("TM1-S1_DEV:}ElementAttributes_SP_SKU",$F3540,D$1)</f>
        <v>Primary</v>
      </c>
      <c r="E3540" s="24" t="str">
        <f>_xll.DBRW("TM1-S1_DEV:}ElementAttributes_SP_SKU",$F3540,E$1)</f>
        <v>SOUP</v>
      </c>
      <c r="F3540" s="26" t="s">
        <v>3118</v>
      </c>
      <c r="G3540" s="26" t="s">
        <v>2398</v>
      </c>
      <c r="H3540" s="26" t="s">
        <v>2674</v>
      </c>
      <c r="I3540" s="54">
        <f>_xll.DBRW($A$1,$F$14,$F$15,$C3540,$A$2,$F3540,$G3540,$H3540,I$1)</f>
        <v>11</v>
      </c>
      <c r="J3540" s="25">
        <f>_xll.DBRW($A$1,$F$14,$F$15,$C3540,$A$2,$F3540,$G3540,$H3540,J$19)</f>
        <v>7</v>
      </c>
    </row>
    <row r="3541" spans="1:10" s="23" customFormat="1" outlineLevel="1" thickBot="1" x14ac:dyDescent="0.3">
      <c r="A3541" s="44"/>
      <c r="B3541" s="31" t="str">
        <f>IF(_xll.TM1RPTELISCONSOLIDATED($H$20,$H3541),IF(_xll.TM1RPTELLEV($H$20,$H3541)&lt;=5,_xll.TM1RPTELLEV($H$20,$H3541),"Default"),"Leaf")</f>
        <v>Leaf</v>
      </c>
      <c r="C3541" s="26" t="s">
        <v>28</v>
      </c>
      <c r="D3541" s="24" t="str">
        <f>_xll.DBRW("TM1-S1_DEV:}ElementAttributes_SP_SKU",$F3541,D$1)</f>
        <v>Primary</v>
      </c>
      <c r="E3541" s="24" t="str">
        <f>_xll.DBRW("TM1-S1_DEV:}ElementAttributes_SP_SKU",$F3541,E$1)</f>
        <v>PROTEIN</v>
      </c>
      <c r="F3541" s="26" t="s">
        <v>3119</v>
      </c>
      <c r="G3541" s="26" t="s">
        <v>2568</v>
      </c>
      <c r="H3541" s="26" t="s">
        <v>2670</v>
      </c>
      <c r="I3541" s="54">
        <f>_xll.DBRW($A$1,$F$14,$F$15,$C3541,$A$2,$F3541,$G3541,$H3541,I$1)</f>
        <v>11</v>
      </c>
      <c r="J3541" s="25">
        <f>_xll.DBRW($A$1,$F$14,$F$15,$C3541,$A$2,$F3541,$G3541,$H3541,J$19)</f>
        <v>4</v>
      </c>
    </row>
    <row r="3542" spans="1:10" s="23" customFormat="1" outlineLevel="1" thickBot="1" x14ac:dyDescent="0.3">
      <c r="A3542" s="44"/>
      <c r="B3542" s="31" t="str">
        <f>IF(_xll.TM1RPTELISCONSOLIDATED($H$20,$H3542),IF(_xll.TM1RPTELLEV($H$20,$H3542)&lt;=5,_xll.TM1RPTELLEV($H$20,$H3542),"Default"),"Leaf")</f>
        <v>Leaf</v>
      </c>
      <c r="C3542" s="26" t="s">
        <v>28</v>
      </c>
      <c r="D3542" s="24" t="str">
        <f>_xll.DBRW("TM1-S1_DEV:}ElementAttributes_SP_SKU",$F3542,D$1)</f>
        <v>Primary</v>
      </c>
      <c r="E3542" s="24" t="str">
        <f>_xll.DBRW("TM1-S1_DEV:}ElementAttributes_SP_SKU",$F3542,E$1)</f>
        <v>PROTEIN</v>
      </c>
      <c r="F3542" s="26" t="s">
        <v>3120</v>
      </c>
      <c r="G3542" s="26" t="s">
        <v>2569</v>
      </c>
      <c r="H3542" s="26" t="s">
        <v>2670</v>
      </c>
      <c r="I3542" s="54">
        <f>_xll.DBRW($A$1,$F$14,$F$15,$C3542,$A$2,$F3542,$G3542,$H3542,I$1)</f>
        <v>10</v>
      </c>
      <c r="J3542" s="25">
        <f>_xll.DBRW($A$1,$F$14,$F$15,$C3542,$A$2,$F3542,$G3542,$H3542,J$19)</f>
        <v>5</v>
      </c>
    </row>
    <row r="3543" spans="1:10" s="23" customFormat="1" outlineLevel="1" thickBot="1" x14ac:dyDescent="0.3">
      <c r="A3543" s="44"/>
      <c r="B3543" s="31" t="str">
        <f>IF(_xll.TM1RPTELISCONSOLIDATED($H$20,$H3543),IF(_xll.TM1RPTELLEV($H$20,$H3543)&lt;=5,_xll.TM1RPTELLEV($H$20,$H3543),"Default"),"Leaf")</f>
        <v>Leaf</v>
      </c>
      <c r="C3543" s="26" t="s">
        <v>28</v>
      </c>
      <c r="D3543" s="24" t="str">
        <f>_xll.DBRW("TM1-S1_DEV:}ElementAttributes_SP_SKU",$F3543,D$1)</f>
        <v>Primary</v>
      </c>
      <c r="E3543" s="24" t="str">
        <f>_xll.DBRW("TM1-S1_DEV:}ElementAttributes_SP_SKU",$F3543,E$1)</f>
        <v>SIDES</v>
      </c>
      <c r="F3543" s="26" t="s">
        <v>3123</v>
      </c>
      <c r="G3543" s="26" t="s">
        <v>2399</v>
      </c>
      <c r="H3543" s="26" t="s">
        <v>2676</v>
      </c>
      <c r="I3543" s="54">
        <f>_xll.DBRW($A$1,$F$14,$F$15,$C3543,$A$2,$F3543,$G3543,$H3543,I$1)</f>
        <v>24</v>
      </c>
      <c r="J3543" s="25">
        <f>_xll.DBRW($A$1,$F$14,$F$15,$C3543,$A$2,$F3543,$G3543,$H3543,J$19)</f>
        <v>16</v>
      </c>
    </row>
    <row r="3544" spans="1:10" s="23" customFormat="1" outlineLevel="1" thickBot="1" x14ac:dyDescent="0.3">
      <c r="A3544" s="44"/>
      <c r="B3544" s="31" t="str">
        <f>IF(_xll.TM1RPTELISCONSOLIDATED($H$20,$H3544),IF(_xll.TM1RPTELLEV($H$20,$H3544)&lt;=5,_xll.TM1RPTELLEV($H$20,$H3544),"Default"),"Leaf")</f>
        <v>Leaf</v>
      </c>
      <c r="C3544" s="26" t="s">
        <v>28</v>
      </c>
      <c r="D3544" s="24" t="str">
        <f>_xll.DBRW("TM1-S1_DEV:}ElementAttributes_SP_SKU",$F3544,D$1)</f>
        <v>Primary</v>
      </c>
      <c r="E3544" s="24" t="str">
        <f>_xll.DBRW("TM1-S1_DEV:}ElementAttributes_SP_SKU",$F3544,E$1)</f>
        <v>SIDES</v>
      </c>
      <c r="F3544" s="26" t="s">
        <v>3124</v>
      </c>
      <c r="G3544" s="26" t="s">
        <v>2400</v>
      </c>
      <c r="H3544" s="26" t="s">
        <v>2676</v>
      </c>
      <c r="I3544" s="54">
        <f>_xll.DBRW($A$1,$F$14,$F$15,$C3544,$A$2,$F3544,$G3544,$H3544,I$1)</f>
        <v>49</v>
      </c>
      <c r="J3544" s="25">
        <f>_xll.DBRW($A$1,$F$14,$F$15,$C3544,$A$2,$F3544,$G3544,$H3544,J$19)</f>
        <v>38</v>
      </c>
    </row>
    <row r="3545" spans="1:10" s="23" customFormat="1" outlineLevel="1" thickBot="1" x14ac:dyDescent="0.3">
      <c r="A3545" s="44"/>
      <c r="B3545" s="31" t="str">
        <f>IF(_xll.TM1RPTELISCONSOLIDATED($H$20,$H3545),IF(_xll.TM1RPTELLEV($H$20,$H3545)&lt;=5,_xll.TM1RPTELLEV($H$20,$H3545),"Default"),"Leaf")</f>
        <v>Leaf</v>
      </c>
      <c r="C3545" s="26" t="s">
        <v>28</v>
      </c>
      <c r="D3545" s="24" t="str">
        <f>_xll.DBRW("TM1-S1_DEV:}ElementAttributes_SP_SKU",$F3545,D$1)</f>
        <v>Primary</v>
      </c>
      <c r="E3545" s="24" t="str">
        <f>_xll.DBRW("TM1-S1_DEV:}ElementAttributes_SP_SKU",$F3545,E$1)</f>
        <v>SIDES</v>
      </c>
      <c r="F3545" s="26" t="s">
        <v>3125</v>
      </c>
      <c r="G3545" s="26" t="s">
        <v>2401</v>
      </c>
      <c r="H3545" s="26" t="s">
        <v>2676</v>
      </c>
      <c r="I3545" s="54">
        <f>_xll.DBRW($A$1,$F$14,$F$15,$C3545,$A$2,$F3545,$G3545,$H3545,I$1)</f>
        <v>50</v>
      </c>
      <c r="J3545" s="25">
        <f>_xll.DBRW($A$1,$F$14,$F$15,$C3545,$A$2,$F3545,$G3545,$H3545,J$19)</f>
        <v>50</v>
      </c>
    </row>
    <row r="3546" spans="1:10" s="23" customFormat="1" outlineLevel="1" thickBot="1" x14ac:dyDescent="0.3">
      <c r="A3546" s="44"/>
      <c r="B3546" s="31" t="str">
        <f>IF(_xll.TM1RPTELISCONSOLIDATED($H$20,$H3546),IF(_xll.TM1RPTELLEV($H$20,$H3546)&lt;=5,_xll.TM1RPTELLEV($H$20,$H3546),"Default"),"Leaf")</f>
        <v>Leaf</v>
      </c>
      <c r="C3546" s="26" t="s">
        <v>28</v>
      </c>
      <c r="D3546" s="24" t="str">
        <f>_xll.DBRW("TM1-S1_DEV:}ElementAttributes_SP_SKU",$F3546,D$1)</f>
        <v>Primary</v>
      </c>
      <c r="E3546" s="24" t="str">
        <f>_xll.DBRW("TM1-S1_DEV:}ElementAttributes_SP_SKU",$F3546,E$1)</f>
        <v>SIDES</v>
      </c>
      <c r="F3546" s="26" t="s">
        <v>3126</v>
      </c>
      <c r="G3546" s="26" t="s">
        <v>2402</v>
      </c>
      <c r="H3546" s="26" t="s">
        <v>2676</v>
      </c>
      <c r="I3546" s="54">
        <f>_xll.DBRW($A$1,$F$14,$F$15,$C3546,$A$2,$F3546,$G3546,$H3546,I$1)</f>
        <v>29</v>
      </c>
      <c r="J3546" s="25">
        <f>_xll.DBRW($A$1,$F$14,$F$15,$C3546,$A$2,$F3546,$G3546,$H3546,J$19)</f>
        <v>16</v>
      </c>
    </row>
    <row r="3547" spans="1:10" s="23" customFormat="1" outlineLevel="1" thickBot="1" x14ac:dyDescent="0.3">
      <c r="A3547" s="44"/>
      <c r="B3547" s="31" t="str">
        <f>IF(_xll.TM1RPTELISCONSOLIDATED($H$20,$H3547),IF(_xll.TM1RPTELLEV($H$20,$H3547)&lt;=5,_xll.TM1RPTELLEV($H$20,$H3547),"Default"),"Leaf")</f>
        <v>Leaf</v>
      </c>
      <c r="C3547" s="26" t="s">
        <v>28</v>
      </c>
      <c r="D3547" s="24" t="str">
        <f>_xll.DBRW("TM1-S1_DEV:}ElementAttributes_SP_SKU",$F3547,D$1)</f>
        <v>Primary</v>
      </c>
      <c r="E3547" s="24" t="str">
        <f>_xll.DBRW("TM1-S1_DEV:}ElementAttributes_SP_SKU",$F3547,E$1)</f>
        <v>SIDES</v>
      </c>
      <c r="F3547" s="26" t="s">
        <v>3127</v>
      </c>
      <c r="G3547" s="26" t="s">
        <v>2403</v>
      </c>
      <c r="H3547" s="26" t="s">
        <v>2676</v>
      </c>
      <c r="I3547" s="54">
        <f>_xll.DBRW($A$1,$F$14,$F$15,$C3547,$A$2,$F3547,$G3547,$H3547,I$1)</f>
        <v>34</v>
      </c>
      <c r="J3547" s="25">
        <f>_xll.DBRW($A$1,$F$14,$F$15,$C3547,$A$2,$F3547,$G3547,$H3547,J$19)</f>
        <v>24</v>
      </c>
    </row>
    <row r="3548" spans="1:10" s="23" customFormat="1" outlineLevel="1" thickBot="1" x14ac:dyDescent="0.3">
      <c r="A3548" s="44"/>
      <c r="B3548" s="31" t="str">
        <f>IF(_xll.TM1RPTELISCONSOLIDATED($H$20,$H3548),IF(_xll.TM1RPTELLEV($H$20,$H3548)&lt;=5,_xll.TM1RPTELLEV($H$20,$H3548),"Default"),"Leaf")</f>
        <v>Leaf</v>
      </c>
      <c r="C3548" s="26" t="s">
        <v>28</v>
      </c>
      <c r="D3548" s="24" t="str">
        <f>_xll.DBRW("TM1-S1_DEV:}ElementAttributes_SP_SKU",$F3548,D$1)</f>
        <v>Primary</v>
      </c>
      <c r="E3548" s="24" t="str">
        <f>_xll.DBRW("TM1-S1_DEV:}ElementAttributes_SP_SKU",$F3548,E$1)</f>
        <v>SIDES</v>
      </c>
      <c r="F3548" s="26" t="s">
        <v>3128</v>
      </c>
      <c r="G3548" s="26" t="s">
        <v>2404</v>
      </c>
      <c r="H3548" s="26" t="s">
        <v>2676</v>
      </c>
      <c r="I3548" s="54">
        <f>_xll.DBRW($A$1,$F$14,$F$15,$C3548,$A$2,$F3548,$G3548,$H3548,I$1)</f>
        <v>44</v>
      </c>
      <c r="J3548" s="25">
        <f>_xll.DBRW($A$1,$F$14,$F$15,$C3548,$A$2,$F3548,$G3548,$H3548,J$19)</f>
        <v>15</v>
      </c>
    </row>
    <row r="3549" spans="1:10" s="23" customFormat="1" outlineLevel="1" thickBot="1" x14ac:dyDescent="0.3">
      <c r="A3549" s="44"/>
      <c r="B3549" s="31" t="str">
        <f>IF(_xll.TM1RPTELISCONSOLIDATED($H$20,$H3549),IF(_xll.TM1RPTELLEV($H$20,$H3549)&lt;=5,_xll.TM1RPTELLEV($H$20,$H3549),"Default"),"Leaf")</f>
        <v>Leaf</v>
      </c>
      <c r="C3549" s="26" t="s">
        <v>28</v>
      </c>
      <c r="D3549" s="24" t="str">
        <f>_xll.DBRW("TM1-S1_DEV:}ElementAttributes_SP_SKU",$F3549,D$1)</f>
        <v>Primary</v>
      </c>
      <c r="E3549" s="24" t="str">
        <f>_xll.DBRW("TM1-S1_DEV:}ElementAttributes_SP_SKU",$F3549,E$1)</f>
        <v>SIDES</v>
      </c>
      <c r="F3549" s="26" t="s">
        <v>3129</v>
      </c>
      <c r="G3549" s="26" t="s">
        <v>2405</v>
      </c>
      <c r="H3549" s="26" t="s">
        <v>2676</v>
      </c>
      <c r="I3549" s="54">
        <f>_xll.DBRW($A$1,$F$14,$F$15,$C3549,$A$2,$F3549,$G3549,$H3549,I$1)</f>
        <v>42</v>
      </c>
      <c r="J3549" s="25">
        <f>_xll.DBRW($A$1,$F$14,$F$15,$C3549,$A$2,$F3549,$G3549,$H3549,J$19)</f>
        <v>26</v>
      </c>
    </row>
    <row r="3550" spans="1:10" s="23" customFormat="1" outlineLevel="1" thickBot="1" x14ac:dyDescent="0.3">
      <c r="A3550" s="44"/>
      <c r="B3550" s="31" t="str">
        <f>IF(_xll.TM1RPTELISCONSOLIDATED($H$20,$H3550),IF(_xll.TM1RPTELLEV($H$20,$H3550)&lt;=5,_xll.TM1RPTELLEV($H$20,$H3550),"Default"),"Leaf")</f>
        <v>Leaf</v>
      </c>
      <c r="C3550" s="26" t="s">
        <v>28</v>
      </c>
      <c r="D3550" s="24" t="str">
        <f>_xll.DBRW("TM1-S1_DEV:}ElementAttributes_SP_SKU",$F3550,D$1)</f>
        <v>Primary</v>
      </c>
      <c r="E3550" s="24" t="str">
        <f>_xll.DBRW("TM1-S1_DEV:}ElementAttributes_SP_SKU",$F3550,E$1)</f>
        <v>SIDES</v>
      </c>
      <c r="F3550" s="26" t="s">
        <v>3130</v>
      </c>
      <c r="G3550" s="26" t="s">
        <v>2406</v>
      </c>
      <c r="H3550" s="26" t="s">
        <v>2676</v>
      </c>
      <c r="I3550" s="54">
        <f>_xll.DBRW($A$1,$F$14,$F$15,$C3550,$A$2,$F3550,$G3550,$H3550,I$1)</f>
        <v>34</v>
      </c>
      <c r="J3550" s="25">
        <f>_xll.DBRW($A$1,$F$14,$F$15,$C3550,$A$2,$F3550,$G3550,$H3550,J$19)</f>
        <v>34</v>
      </c>
    </row>
    <row r="3551" spans="1:10" s="23" customFormat="1" outlineLevel="1" thickBot="1" x14ac:dyDescent="0.3">
      <c r="A3551" s="44"/>
      <c r="B3551" s="31" t="str">
        <f>IF(_xll.TM1RPTELISCONSOLIDATED($H$20,$H3551),IF(_xll.TM1RPTELLEV($H$20,$H3551)&lt;=5,_xll.TM1RPTELLEV($H$20,$H3551),"Default"),"Leaf")</f>
        <v>Leaf</v>
      </c>
      <c r="C3551" s="26" t="s">
        <v>28</v>
      </c>
      <c r="D3551" s="24" t="str">
        <f>_xll.DBRW("TM1-S1_DEV:}ElementAttributes_SP_SKU",$F3551,D$1)</f>
        <v>Primary</v>
      </c>
      <c r="E3551" s="24" t="str">
        <f>_xll.DBRW("TM1-S1_DEV:}ElementAttributes_SP_SKU",$F3551,E$1)</f>
        <v>SIDES</v>
      </c>
      <c r="F3551" s="26" t="s">
        <v>3131</v>
      </c>
      <c r="G3551" s="26" t="s">
        <v>2407</v>
      </c>
      <c r="H3551" s="26" t="s">
        <v>2676</v>
      </c>
      <c r="I3551" s="54">
        <f>_xll.DBRW($A$1,$F$14,$F$15,$C3551,$A$2,$F3551,$G3551,$H3551,I$1)</f>
        <v>29</v>
      </c>
      <c r="J3551" s="25">
        <f>_xll.DBRW($A$1,$F$14,$F$15,$C3551,$A$2,$F3551,$G3551,$H3551,J$19)</f>
        <v>25</v>
      </c>
    </row>
    <row r="3552" spans="1:10" s="23" customFormat="1" outlineLevel="1" thickBot="1" x14ac:dyDescent="0.3">
      <c r="A3552" s="44"/>
      <c r="B3552" s="31" t="str">
        <f>IF(_xll.TM1RPTELISCONSOLIDATED($H$20,$H3552),IF(_xll.TM1RPTELLEV($H$20,$H3552)&lt;=5,_xll.TM1RPTELLEV($H$20,$H3552),"Default"),"Leaf")</f>
        <v>Leaf</v>
      </c>
      <c r="C3552" s="26" t="s">
        <v>28</v>
      </c>
      <c r="D3552" s="24" t="str">
        <f>_xll.DBRW("TM1-S1_DEV:}ElementAttributes_SP_SKU",$F3552,D$1)</f>
        <v>Primary</v>
      </c>
      <c r="E3552" s="24" t="str">
        <f>_xll.DBRW("TM1-S1_DEV:}ElementAttributes_SP_SKU",$F3552,E$1)</f>
        <v>SIDES</v>
      </c>
      <c r="F3552" s="26" t="s">
        <v>3132</v>
      </c>
      <c r="G3552" s="26" t="s">
        <v>2408</v>
      </c>
      <c r="H3552" s="26" t="s">
        <v>2676</v>
      </c>
      <c r="I3552" s="54">
        <f>_xll.DBRW($A$1,$F$14,$F$15,$C3552,$A$2,$F3552,$G3552,$H3552,I$1)</f>
        <v>38</v>
      </c>
      <c r="J3552" s="25">
        <f>_xll.DBRW($A$1,$F$14,$F$15,$C3552,$A$2,$F3552,$G3552,$H3552,J$19)</f>
        <v>6</v>
      </c>
    </row>
    <row r="3553" spans="1:10" s="23" customFormat="1" outlineLevel="1" thickBot="1" x14ac:dyDescent="0.3">
      <c r="A3553" s="44"/>
      <c r="B3553" s="31" t="str">
        <f>IF(_xll.TM1RPTELISCONSOLIDATED($H$20,$H3553),IF(_xll.TM1RPTELLEV($H$20,$H3553)&lt;=5,_xll.TM1RPTELLEV($H$20,$H3553),"Default"),"Leaf")</f>
        <v>Leaf</v>
      </c>
      <c r="C3553" s="26" t="s">
        <v>28</v>
      </c>
      <c r="D3553" s="24" t="str">
        <f>_xll.DBRW("TM1-S1_DEV:}ElementAttributes_SP_SKU",$F3553,D$1)</f>
        <v>Primary</v>
      </c>
      <c r="E3553" s="24" t="str">
        <f>_xll.DBRW("TM1-S1_DEV:}ElementAttributes_SP_SKU",$F3553,E$1)</f>
        <v>DESSERT</v>
      </c>
      <c r="F3553" s="26" t="s">
        <v>29</v>
      </c>
      <c r="G3553" s="26" t="s">
        <v>2409</v>
      </c>
      <c r="H3553" s="26" t="s">
        <v>2677</v>
      </c>
      <c r="I3553" s="54">
        <f>_xll.DBRW($A$1,$F$14,$F$15,$C3553,$A$2,$F3553,$G3553,$H3553,I$1)</f>
        <v>3</v>
      </c>
      <c r="J3553" s="25">
        <f>_xll.DBRW($A$1,$F$14,$F$15,$C3553,$A$2,$F3553,$G3553,$H3553,J$19)</f>
        <v>3</v>
      </c>
    </row>
    <row r="3554" spans="1:10" s="23" customFormat="1" outlineLevel="1" thickBot="1" x14ac:dyDescent="0.3">
      <c r="A3554" s="44"/>
      <c r="B3554" s="31" t="str">
        <f>IF(_xll.TM1RPTELISCONSOLIDATED($H$20,$H3554),IF(_xll.TM1RPTELLEV($H$20,$H3554)&lt;=5,_xll.TM1RPTELLEV($H$20,$H3554),"Default"),"Leaf")</f>
        <v>Leaf</v>
      </c>
      <c r="C3554" s="26" t="s">
        <v>28</v>
      </c>
      <c r="D3554" s="24" t="str">
        <f>_xll.DBRW("TM1-S1_DEV:}ElementAttributes_SP_SKU",$F3554,D$1)</f>
        <v>Primary</v>
      </c>
      <c r="E3554" s="24" t="str">
        <f>_xll.DBRW("TM1-S1_DEV:}ElementAttributes_SP_SKU",$F3554,E$1)</f>
        <v>PIE</v>
      </c>
      <c r="F3554" s="26" t="s">
        <v>3133</v>
      </c>
      <c r="G3554" s="26" t="s">
        <v>2410</v>
      </c>
      <c r="H3554" s="26" t="s">
        <v>2678</v>
      </c>
      <c r="I3554" s="54">
        <f>_xll.DBRW($A$1,$F$14,$F$15,$C3554,$A$2,$F3554,$G3554,$H3554,I$1)</f>
        <v>13</v>
      </c>
      <c r="J3554" s="25">
        <f>_xll.DBRW($A$1,$F$14,$F$15,$C3554,$A$2,$F3554,$G3554,$H3554,J$19)</f>
        <v>12</v>
      </c>
    </row>
    <row r="3555" spans="1:10" s="23" customFormat="1" outlineLevel="1" thickBot="1" x14ac:dyDescent="0.3">
      <c r="A3555" s="44"/>
      <c r="B3555" s="31" t="str">
        <f>IF(_xll.TM1RPTELISCONSOLIDATED($H$20,$H3555),IF(_xll.TM1RPTELLEV($H$20,$H3555)&lt;=5,_xll.TM1RPTELLEV($H$20,$H3555),"Default"),"Leaf")</f>
        <v>Leaf</v>
      </c>
      <c r="C3555" s="26" t="s">
        <v>28</v>
      </c>
      <c r="D3555" s="24" t="str">
        <f>_xll.DBRW("TM1-S1_DEV:}ElementAttributes_SP_SKU",$F3555,D$1)</f>
        <v>Primary</v>
      </c>
      <c r="E3555" s="24" t="str">
        <f>_xll.DBRW("TM1-S1_DEV:}ElementAttributes_SP_SKU",$F3555,E$1)</f>
        <v>PIE</v>
      </c>
      <c r="F3555" s="26" t="s">
        <v>3134</v>
      </c>
      <c r="G3555" s="26" t="s">
        <v>2411</v>
      </c>
      <c r="H3555" s="26" t="s">
        <v>2678</v>
      </c>
      <c r="I3555" s="54">
        <f>_xll.DBRW($A$1,$F$14,$F$15,$C3555,$A$2,$F3555,$G3555,$H3555,I$1)</f>
        <v>10</v>
      </c>
      <c r="J3555" s="25">
        <f>_xll.DBRW($A$1,$F$14,$F$15,$C3555,$A$2,$F3555,$G3555,$H3555,J$19)</f>
        <v>10</v>
      </c>
    </row>
    <row r="3556" spans="1:10" s="23" customFormat="1" outlineLevel="1" thickBot="1" x14ac:dyDescent="0.3">
      <c r="A3556" s="44"/>
      <c r="B3556" s="31" t="str">
        <f>IF(_xll.TM1RPTELISCONSOLIDATED($H$20,$H3556),IF(_xll.TM1RPTELLEV($H$20,$H3556)&lt;=5,_xll.TM1RPTELLEV($H$20,$H3556),"Default"),"Leaf")</f>
        <v>Leaf</v>
      </c>
      <c r="C3556" s="26" t="s">
        <v>28</v>
      </c>
      <c r="D3556" s="24" t="str">
        <f>_xll.DBRW("TM1-S1_DEV:}ElementAttributes_SP_SKU",$F3556,D$1)</f>
        <v>Primary</v>
      </c>
      <c r="E3556" s="24" t="str">
        <f>_xll.DBRW("TM1-S1_DEV:}ElementAttributes_SP_SKU",$F3556,E$1)</f>
        <v>CAKE</v>
      </c>
      <c r="F3556" s="26" t="s">
        <v>3135</v>
      </c>
      <c r="G3556" s="26" t="s">
        <v>2412</v>
      </c>
      <c r="H3556" s="26" t="s">
        <v>2679</v>
      </c>
      <c r="I3556" s="54">
        <f>_xll.DBRW($A$1,$F$14,$F$15,$C3556,$A$2,$F3556,$G3556,$H3556,I$1)</f>
        <v>23</v>
      </c>
      <c r="J3556" s="25">
        <f>_xll.DBRW($A$1,$F$14,$F$15,$C3556,$A$2,$F3556,$G3556,$H3556,J$19)</f>
        <v>18</v>
      </c>
    </row>
    <row r="3557" spans="1:10" s="23" customFormat="1" outlineLevel="1" thickBot="1" x14ac:dyDescent="0.3">
      <c r="A3557" s="44"/>
      <c r="B3557" s="31" t="str">
        <f>IF(_xll.TM1RPTELISCONSOLIDATED($H$20,$H3557),IF(_xll.TM1RPTELLEV($H$20,$H3557)&lt;=5,_xll.TM1RPTELLEV($H$20,$H3557),"Default"),"Leaf")</f>
        <v>Leaf</v>
      </c>
      <c r="C3557" s="26" t="s">
        <v>28</v>
      </c>
      <c r="D3557" s="24" t="str">
        <f>_xll.DBRW("TM1-S1_DEV:}ElementAttributes_SP_SKU",$F3557,D$1)</f>
        <v>Primary</v>
      </c>
      <c r="E3557" s="24" t="str">
        <f>_xll.DBRW("TM1-S1_DEV:}ElementAttributes_SP_SKU",$F3557,E$1)</f>
        <v>CAKE</v>
      </c>
      <c r="F3557" s="26" t="s">
        <v>3136</v>
      </c>
      <c r="G3557" s="26" t="s">
        <v>2413</v>
      </c>
      <c r="H3557" s="26" t="s">
        <v>2679</v>
      </c>
      <c r="I3557" s="54">
        <f>_xll.DBRW($A$1,$F$14,$F$15,$C3557,$A$2,$F3557,$G3557,$H3557,I$1)</f>
        <v>11</v>
      </c>
      <c r="J3557" s="25">
        <f>_xll.DBRW($A$1,$F$14,$F$15,$C3557,$A$2,$F3557,$G3557,$H3557,J$19)</f>
        <v>10</v>
      </c>
    </row>
    <row r="3558" spans="1:10" s="23" customFormat="1" outlineLevel="1" thickBot="1" x14ac:dyDescent="0.3">
      <c r="A3558" s="44"/>
      <c r="B3558" s="31" t="str">
        <f>IF(_xll.TM1RPTELISCONSOLIDATED($H$20,$H3558),IF(_xll.TM1RPTELLEV($H$20,$H3558)&lt;=5,_xll.TM1RPTELLEV($H$20,$H3558),"Default"),"Leaf")</f>
        <v>Leaf</v>
      </c>
      <c r="C3558" s="26" t="s">
        <v>28</v>
      </c>
      <c r="D3558" s="24" t="str">
        <f>_xll.DBRW("TM1-S1_DEV:}ElementAttributes_SP_SKU",$F3558,D$1)</f>
        <v>Primary</v>
      </c>
      <c r="E3558" s="24" t="str">
        <f>_xll.DBRW("TM1-S1_DEV:}ElementAttributes_SP_SKU",$F3558,E$1)</f>
        <v>CAKE</v>
      </c>
      <c r="F3558" s="26" t="s">
        <v>3137</v>
      </c>
      <c r="G3558" s="26" t="s">
        <v>2414</v>
      </c>
      <c r="H3558" s="26" t="s">
        <v>2679</v>
      </c>
      <c r="I3558" s="54">
        <f>_xll.DBRW($A$1,$F$14,$F$15,$C3558,$A$2,$F3558,$G3558,$H3558,I$1)</f>
        <v>1</v>
      </c>
      <c r="J3558" s="25">
        <f>_xll.DBRW($A$1,$F$14,$F$15,$C3558,$A$2,$F3558,$G3558,$H3558,J$19)</f>
        <v>0</v>
      </c>
    </row>
    <row r="3559" spans="1:10" s="23" customFormat="1" outlineLevel="1" thickBot="1" x14ac:dyDescent="0.3">
      <c r="A3559" s="44"/>
      <c r="B3559" s="31" t="str">
        <f>IF(_xll.TM1RPTELISCONSOLIDATED($H$20,$H3559),IF(_xll.TM1RPTELLEV($H$20,$H3559)&lt;=5,_xll.TM1RPTELLEV($H$20,$H3559),"Default"),"Leaf")</f>
        <v>Leaf</v>
      </c>
      <c r="C3559" s="26" t="s">
        <v>28</v>
      </c>
      <c r="D3559" s="24" t="str">
        <f>_xll.DBRW("TM1-S1_DEV:}ElementAttributes_SP_SKU",$F3559,D$1)</f>
        <v>Primary</v>
      </c>
      <c r="E3559" s="24" t="str">
        <f>_xll.DBRW("TM1-S1_DEV:}ElementAttributes_SP_SKU",$F3559,E$1)</f>
        <v>CAKE</v>
      </c>
      <c r="F3559" s="26" t="s">
        <v>3138</v>
      </c>
      <c r="G3559" s="26" t="s">
        <v>2415</v>
      </c>
      <c r="H3559" s="26" t="s">
        <v>2680</v>
      </c>
      <c r="I3559" s="54">
        <f>_xll.DBRW($A$1,$F$14,$F$15,$C3559,$A$2,$F3559,$G3559,$H3559,I$1)</f>
        <v>19</v>
      </c>
      <c r="J3559" s="25">
        <f>_xll.DBRW($A$1,$F$14,$F$15,$C3559,$A$2,$F3559,$G3559,$H3559,J$19)</f>
        <v>18</v>
      </c>
    </row>
    <row r="3560" spans="1:10" s="23" customFormat="1" outlineLevel="1" thickBot="1" x14ac:dyDescent="0.3">
      <c r="A3560" s="44"/>
      <c r="B3560" s="31" t="str">
        <f>IF(_xll.TM1RPTELISCONSOLIDATED($H$20,$H3560),IF(_xll.TM1RPTELLEV($H$20,$H3560)&lt;=5,_xll.TM1RPTELLEV($H$20,$H3560),"Default"),"Leaf")</f>
        <v>Leaf</v>
      </c>
      <c r="C3560" s="26" t="s">
        <v>28</v>
      </c>
      <c r="D3560" s="24" t="str">
        <f>_xll.DBRW("TM1-S1_DEV:}ElementAttributes_SP_SKU",$F3560,D$1)</f>
        <v>Primary</v>
      </c>
      <c r="E3560" s="24" t="str">
        <f>_xll.DBRW("TM1-S1_DEV:}ElementAttributes_SP_SKU",$F3560,E$1)</f>
        <v>DESSERT</v>
      </c>
      <c r="F3560" s="26" t="s">
        <v>3139</v>
      </c>
      <c r="G3560" s="26" t="s">
        <v>2416</v>
      </c>
      <c r="H3560" s="26" t="s">
        <v>2681</v>
      </c>
      <c r="I3560" s="54">
        <f>_xll.DBRW($A$1,$F$14,$F$15,$C3560,$A$2,$F3560,$G3560,$H3560,I$1)</f>
        <v>9</v>
      </c>
      <c r="J3560" s="25">
        <f>_xll.DBRW($A$1,$F$14,$F$15,$C3560,$A$2,$F3560,$G3560,$H3560,J$19)</f>
        <v>9</v>
      </c>
    </row>
    <row r="3561" spans="1:10" s="23" customFormat="1" outlineLevel="1" thickBot="1" x14ac:dyDescent="0.3">
      <c r="A3561" s="44"/>
      <c r="B3561" s="31" t="str">
        <f>IF(_xll.TM1RPTELISCONSOLIDATED($H$20,$H3561),IF(_xll.TM1RPTELLEV($H$20,$H3561)&lt;=5,_xll.TM1RPTELLEV($H$20,$H3561),"Default"),"Leaf")</f>
        <v>Leaf</v>
      </c>
      <c r="C3561" s="26" t="s">
        <v>28</v>
      </c>
      <c r="D3561" s="24" t="str">
        <f>_xll.DBRW("TM1-S1_DEV:}ElementAttributes_SP_SKU",$F3561,D$1)</f>
        <v>Primary</v>
      </c>
      <c r="E3561" s="24" t="str">
        <f>_xll.DBRW("TM1-S1_DEV:}ElementAttributes_SP_SKU",$F3561,E$1)</f>
        <v>DESSERT</v>
      </c>
      <c r="F3561" s="26" t="s">
        <v>3140</v>
      </c>
      <c r="G3561" s="26" t="s">
        <v>2417</v>
      </c>
      <c r="H3561" s="26" t="s">
        <v>2681</v>
      </c>
      <c r="I3561" s="54">
        <f>_xll.DBRW($A$1,$F$14,$F$15,$C3561,$A$2,$F3561,$G3561,$H3561,I$1)</f>
        <v>15</v>
      </c>
      <c r="J3561" s="25">
        <f>_xll.DBRW($A$1,$F$14,$F$15,$C3561,$A$2,$F3561,$G3561,$H3561,J$19)</f>
        <v>13</v>
      </c>
    </row>
    <row r="3562" spans="1:10" s="23" customFormat="1" outlineLevel="1" thickBot="1" x14ac:dyDescent="0.3">
      <c r="A3562" s="44"/>
      <c r="B3562" s="31" t="str">
        <f>IF(_xll.TM1RPTELISCONSOLIDATED($H$20,$H3562),IF(_xll.TM1RPTELLEV($H$20,$H3562)&lt;=5,_xll.TM1RPTELLEV($H$20,$H3562),"Default"),"Leaf")</f>
        <v>Leaf</v>
      </c>
      <c r="C3562" s="26" t="s">
        <v>28</v>
      </c>
      <c r="D3562" s="24" t="str">
        <f>_xll.DBRW("TM1-S1_DEV:}ElementAttributes_SP_SKU",$F3562,D$1)</f>
        <v>Primary</v>
      </c>
      <c r="E3562" s="24" t="str">
        <f>_xll.DBRW("TM1-S1_DEV:}ElementAttributes_SP_SKU",$F3562,E$1)</f>
        <v>CAKE</v>
      </c>
      <c r="F3562" s="26" t="s">
        <v>3142</v>
      </c>
      <c r="G3562" s="26" t="s">
        <v>2418</v>
      </c>
      <c r="H3562" s="26" t="s">
        <v>2682</v>
      </c>
      <c r="I3562" s="54">
        <f>_xll.DBRW($A$1,$F$14,$F$15,$C3562,$A$2,$F3562,$G3562,$H3562,I$1)</f>
        <v>21</v>
      </c>
      <c r="J3562" s="25">
        <f>_xll.DBRW($A$1,$F$14,$F$15,$C3562,$A$2,$F3562,$G3562,$H3562,J$19)</f>
        <v>21</v>
      </c>
    </row>
    <row r="3563" spans="1:10" s="23" customFormat="1" outlineLevel="1" thickBot="1" x14ac:dyDescent="0.3">
      <c r="A3563" s="44"/>
      <c r="B3563" s="31" t="str">
        <f>IF(_xll.TM1RPTELISCONSOLIDATED($H$20,$H3563),IF(_xll.TM1RPTELLEV($H$20,$H3563)&lt;=5,_xll.TM1RPTELLEV($H$20,$H3563),"Default"),"Leaf")</f>
        <v>Leaf</v>
      </c>
      <c r="C3563" s="26" t="s">
        <v>28</v>
      </c>
      <c r="D3563" s="24" t="str">
        <f>_xll.DBRW("TM1-S1_DEV:}ElementAttributes_SP_SKU",$F3563,D$1)</f>
        <v>Primary</v>
      </c>
      <c r="E3563" s="24" t="str">
        <f>_xll.DBRW("TM1-S1_DEV:}ElementAttributes_SP_SKU",$F3563,E$1)</f>
        <v>CAKE</v>
      </c>
      <c r="F3563" s="26" t="s">
        <v>3143</v>
      </c>
      <c r="G3563" s="26" t="s">
        <v>2419</v>
      </c>
      <c r="H3563" s="26" t="s">
        <v>2682</v>
      </c>
      <c r="I3563" s="54">
        <f>_xll.DBRW($A$1,$F$14,$F$15,$C3563,$A$2,$F3563,$G3563,$H3563,I$1)</f>
        <v>15</v>
      </c>
      <c r="J3563" s="25">
        <f>_xll.DBRW($A$1,$F$14,$F$15,$C3563,$A$2,$F3563,$G3563,$H3563,J$19)</f>
        <v>15</v>
      </c>
    </row>
    <row r="3564" spans="1:10" s="23" customFormat="1" outlineLevel="1" thickBot="1" x14ac:dyDescent="0.3">
      <c r="A3564" s="44"/>
      <c r="B3564" s="31" t="str">
        <f>IF(_xll.TM1RPTELISCONSOLIDATED($H$20,$H3564),IF(_xll.TM1RPTELLEV($H$20,$H3564)&lt;=5,_xll.TM1RPTELLEV($H$20,$H3564),"Default"),"Leaf")</f>
        <v>Leaf</v>
      </c>
      <c r="C3564" s="26" t="s">
        <v>28</v>
      </c>
      <c r="D3564" s="24" t="str">
        <f>_xll.DBRW("TM1-S1_DEV:}ElementAttributes_SP_SKU",$F3564,D$1)</f>
        <v>Primary</v>
      </c>
      <c r="E3564" s="24" t="str">
        <f>_xll.DBRW("TM1-S1_DEV:}ElementAttributes_SP_SKU",$F3564,E$1)</f>
        <v>CAKE</v>
      </c>
      <c r="F3564" s="26" t="s">
        <v>3144</v>
      </c>
      <c r="G3564" s="26" t="s">
        <v>2420</v>
      </c>
      <c r="H3564" s="26" t="s">
        <v>2679</v>
      </c>
      <c r="I3564" s="54">
        <f>_xll.DBRW($A$1,$F$14,$F$15,$C3564,$A$2,$F3564,$G3564,$H3564,I$1)</f>
        <v>12</v>
      </c>
      <c r="J3564" s="25">
        <f>_xll.DBRW($A$1,$F$14,$F$15,$C3564,$A$2,$F3564,$G3564,$H3564,J$19)</f>
        <v>12</v>
      </c>
    </row>
    <row r="3565" spans="1:10" s="23" customFormat="1" outlineLevel="1" thickBot="1" x14ac:dyDescent="0.3">
      <c r="A3565" s="44"/>
      <c r="B3565" s="31" t="str">
        <f>IF(_xll.TM1RPTELISCONSOLIDATED($H$20,$H3565),IF(_xll.TM1RPTELLEV($H$20,$H3565)&lt;=5,_xll.TM1RPTELLEV($H$20,$H3565),"Default"),"Leaf")</f>
        <v>Leaf</v>
      </c>
      <c r="C3565" s="26" t="s">
        <v>28</v>
      </c>
      <c r="D3565" s="24" t="str">
        <f>_xll.DBRW("TM1-S1_DEV:}ElementAttributes_SP_SKU",$F3565,D$1)</f>
        <v>Primary</v>
      </c>
      <c r="E3565" s="24" t="str">
        <f>_xll.DBRW("TM1-S1_DEV:}ElementAttributes_SP_SKU",$F3565,E$1)</f>
        <v>CAKE</v>
      </c>
      <c r="F3565" s="26" t="s">
        <v>3145</v>
      </c>
      <c r="G3565" s="26" t="s">
        <v>2421</v>
      </c>
      <c r="H3565" s="26" t="s">
        <v>2680</v>
      </c>
      <c r="I3565" s="54">
        <f>_xll.DBRW($A$1,$F$14,$F$15,$C3565,$A$2,$F3565,$G3565,$H3565,I$1)</f>
        <v>2</v>
      </c>
      <c r="J3565" s="25">
        <f>_xll.DBRW($A$1,$F$14,$F$15,$C3565,$A$2,$F3565,$G3565,$H3565,J$19)</f>
        <v>2</v>
      </c>
    </row>
    <row r="3566" spans="1:10" s="23" customFormat="1" outlineLevel="1" thickBot="1" x14ac:dyDescent="0.3">
      <c r="A3566" s="44"/>
      <c r="B3566" s="31" t="str">
        <f>IF(_xll.TM1RPTELISCONSOLIDATED($H$20,$H3566),IF(_xll.TM1RPTELLEV($H$20,$H3566)&lt;=5,_xll.TM1RPTELLEV($H$20,$H3566),"Default"),"Leaf")</f>
        <v>Leaf</v>
      </c>
      <c r="C3566" s="26" t="s">
        <v>28</v>
      </c>
      <c r="D3566" s="24" t="str">
        <f>_xll.DBRW("TM1-S1_DEV:}ElementAttributes_SP_SKU",$F3566,D$1)</f>
        <v>Primary</v>
      </c>
      <c r="E3566" s="24" t="str">
        <f>_xll.DBRW("TM1-S1_DEV:}ElementAttributes_SP_SKU",$F3566,E$1)</f>
        <v>CAKE</v>
      </c>
      <c r="F3566" s="26" t="s">
        <v>3146</v>
      </c>
      <c r="G3566" s="26" t="s">
        <v>2422</v>
      </c>
      <c r="H3566" s="26" t="s">
        <v>2680</v>
      </c>
      <c r="I3566" s="54">
        <f>_xll.DBRW($A$1,$F$14,$F$15,$C3566,$A$2,$F3566,$G3566,$H3566,I$1)</f>
        <v>53</v>
      </c>
      <c r="J3566" s="25">
        <f>_xll.DBRW($A$1,$F$14,$F$15,$C3566,$A$2,$F3566,$G3566,$H3566,J$19)</f>
        <v>52</v>
      </c>
    </row>
    <row r="3567" spans="1:10" s="23" customFormat="1" outlineLevel="1" thickBot="1" x14ac:dyDescent="0.3">
      <c r="A3567" s="44"/>
      <c r="B3567" s="31" t="str">
        <f>IF(_xll.TM1RPTELISCONSOLIDATED($H$20,$H3567),IF(_xll.TM1RPTELLEV($H$20,$H3567)&lt;=5,_xll.TM1RPTELLEV($H$20,$H3567),"Default"),"Leaf")</f>
        <v>Leaf</v>
      </c>
      <c r="C3567" s="26" t="s">
        <v>28</v>
      </c>
      <c r="D3567" s="24" t="str">
        <f>_xll.DBRW("TM1-S1_DEV:}ElementAttributes_SP_SKU",$F3567,D$1)</f>
        <v>Primary</v>
      </c>
      <c r="E3567" s="24" t="str">
        <f>_xll.DBRW("TM1-S1_DEV:}ElementAttributes_SP_SKU",$F3567,E$1)</f>
        <v>CONDIMENT</v>
      </c>
      <c r="F3567" s="26" t="s">
        <v>3147</v>
      </c>
      <c r="G3567" s="26" t="s">
        <v>2423</v>
      </c>
      <c r="H3567" s="26" t="s">
        <v>2683</v>
      </c>
      <c r="I3567" s="54">
        <f>_xll.DBRW($A$1,$F$14,$F$15,$C3567,$A$2,$F3567,$G3567,$H3567,I$1)</f>
        <v>48</v>
      </c>
      <c r="J3567" s="25">
        <f>_xll.DBRW($A$1,$F$14,$F$15,$C3567,$A$2,$F3567,$G3567,$H3567,J$19)</f>
        <v>46</v>
      </c>
    </row>
    <row r="3568" spans="1:10" s="23" customFormat="1" outlineLevel="1" thickBot="1" x14ac:dyDescent="0.3">
      <c r="A3568" s="44"/>
      <c r="B3568" s="31" t="str">
        <f>IF(_xll.TM1RPTELISCONSOLIDATED($H$20,$H3568),IF(_xll.TM1RPTELLEV($H$20,$H3568)&lt;=5,_xll.TM1RPTELLEV($H$20,$H3568),"Default"),"Leaf")</f>
        <v>Leaf</v>
      </c>
      <c r="C3568" s="26" t="s">
        <v>28</v>
      </c>
      <c r="D3568" s="24" t="str">
        <f>_xll.DBRW("TM1-S1_DEV:}ElementAttributes_SP_SKU",$F3568,D$1)</f>
        <v>Primary</v>
      </c>
      <c r="E3568" s="24" t="str">
        <f>_xll.DBRW("TM1-S1_DEV:}ElementAttributes_SP_SKU",$F3568,E$1)</f>
        <v>CONDIMENT</v>
      </c>
      <c r="F3568" s="26" t="s">
        <v>3148</v>
      </c>
      <c r="G3568" s="26" t="s">
        <v>2424</v>
      </c>
      <c r="H3568" s="26" t="s">
        <v>2684</v>
      </c>
      <c r="I3568" s="54">
        <f>_xll.DBRW($A$1,$F$14,$F$15,$C3568,$A$2,$F3568,$G3568,$H3568,I$1)</f>
        <v>3</v>
      </c>
      <c r="J3568" s="25">
        <f>_xll.DBRW($A$1,$F$14,$F$15,$C3568,$A$2,$F3568,$G3568,$H3568,J$19)</f>
        <v>8</v>
      </c>
    </row>
    <row r="3569" spans="1:10" s="23" customFormat="1" outlineLevel="1" thickBot="1" x14ac:dyDescent="0.3">
      <c r="A3569" s="44"/>
      <c r="B3569" s="31" t="str">
        <f>IF(_xll.TM1RPTELISCONSOLIDATED($H$20,$H3569),IF(_xll.TM1RPTELLEV($H$20,$H3569)&lt;=5,_xll.TM1RPTELLEV($H$20,$H3569),"Default"),"Leaf")</f>
        <v>Leaf</v>
      </c>
      <c r="C3569" s="26" t="s">
        <v>28</v>
      </c>
      <c r="D3569" s="24" t="str">
        <f>_xll.DBRW("TM1-S1_DEV:}ElementAttributes_SP_SKU",$F3569,D$1)</f>
        <v>Primary</v>
      </c>
      <c r="E3569" s="24" t="str">
        <f>_xll.DBRW("TM1-S1_DEV:}ElementAttributes_SP_SKU",$F3569,E$1)</f>
        <v>CONDIMENT</v>
      </c>
      <c r="F3569" s="26" t="s">
        <v>3149</v>
      </c>
      <c r="G3569" s="26" t="s">
        <v>2425</v>
      </c>
      <c r="H3569" s="26" t="s">
        <v>2684</v>
      </c>
      <c r="I3569" s="54">
        <f>_xll.DBRW($A$1,$F$14,$F$15,$C3569,$A$2,$F3569,$G3569,$H3569,I$1)</f>
        <v>8</v>
      </c>
      <c r="J3569" s="25">
        <f>_xll.DBRW($A$1,$F$14,$F$15,$C3569,$A$2,$F3569,$G3569,$H3569,J$19)</f>
        <v>7</v>
      </c>
    </row>
    <row r="3570" spans="1:10" s="23" customFormat="1" outlineLevel="1" thickBot="1" x14ac:dyDescent="0.3">
      <c r="A3570" s="44"/>
      <c r="B3570" s="31" t="str">
        <f>IF(_xll.TM1RPTELISCONSOLIDATED($H$20,$H3570),IF(_xll.TM1RPTELLEV($H$20,$H3570)&lt;=5,_xll.TM1RPTELLEV($H$20,$H3570),"Default"),"Leaf")</f>
        <v>Leaf</v>
      </c>
      <c r="C3570" s="26" t="s">
        <v>28</v>
      </c>
      <c r="D3570" s="24" t="str">
        <f>_xll.DBRW("TM1-S1_DEV:}ElementAttributes_SP_SKU",$F3570,D$1)</f>
        <v>Primary</v>
      </c>
      <c r="E3570" s="24" t="str">
        <f>_xll.DBRW("TM1-S1_DEV:}ElementAttributes_SP_SKU",$F3570,E$1)</f>
        <v>CONDIMENT</v>
      </c>
      <c r="F3570" s="26" t="s">
        <v>3150</v>
      </c>
      <c r="G3570" s="26" t="s">
        <v>2426</v>
      </c>
      <c r="H3570" s="26" t="s">
        <v>2684</v>
      </c>
      <c r="I3570" s="54">
        <f>_xll.DBRW($A$1,$F$14,$F$15,$C3570,$A$2,$F3570,$G3570,$H3570,I$1)</f>
        <v>22</v>
      </c>
      <c r="J3570" s="25">
        <f>_xll.DBRW($A$1,$F$14,$F$15,$C3570,$A$2,$F3570,$G3570,$H3570,J$19)</f>
        <v>18</v>
      </c>
    </row>
    <row r="3571" spans="1:10" s="23" customFormat="1" outlineLevel="1" thickBot="1" x14ac:dyDescent="0.3">
      <c r="A3571" s="44"/>
      <c r="B3571" s="31" t="str">
        <f>IF(_xll.TM1RPTELISCONSOLIDATED($H$20,$H3571),IF(_xll.TM1RPTELLEV($H$20,$H3571)&lt;=5,_xll.TM1RPTELLEV($H$20,$H3571),"Default"),"Leaf")</f>
        <v>Leaf</v>
      </c>
      <c r="C3571" s="26" t="s">
        <v>28</v>
      </c>
      <c r="D3571" s="24" t="str">
        <f>_xll.DBRW("TM1-S1_DEV:}ElementAttributes_SP_SKU",$F3571,D$1)</f>
        <v>Primary</v>
      </c>
      <c r="E3571" s="24" t="str">
        <f>_xll.DBRW("TM1-S1_DEV:}ElementAttributes_SP_SKU",$F3571,E$1)</f>
        <v>CONDIMENT</v>
      </c>
      <c r="F3571" s="26" t="s">
        <v>3151</v>
      </c>
      <c r="G3571" s="26" t="s">
        <v>2427</v>
      </c>
      <c r="H3571" s="26" t="s">
        <v>2684</v>
      </c>
      <c r="I3571" s="54">
        <f>_xll.DBRW($A$1,$F$14,$F$15,$C3571,$A$2,$F3571,$G3571,$H3571,I$1)</f>
        <v>0</v>
      </c>
      <c r="J3571" s="25">
        <f>_xll.DBRW($A$1,$F$14,$F$15,$C3571,$A$2,$F3571,$G3571,$H3571,J$19)</f>
        <v>-2</v>
      </c>
    </row>
    <row r="3572" spans="1:10" s="23" customFormat="1" outlineLevel="1" thickBot="1" x14ac:dyDescent="0.3">
      <c r="A3572" s="44"/>
      <c r="B3572" s="31" t="str">
        <f>IF(_xll.TM1RPTELISCONSOLIDATED($H$20,$H3572),IF(_xll.TM1RPTELLEV($H$20,$H3572)&lt;=5,_xll.TM1RPTELLEV($H$20,$H3572),"Default"),"Leaf")</f>
        <v>Leaf</v>
      </c>
      <c r="C3572" s="26" t="s">
        <v>28</v>
      </c>
      <c r="D3572" s="24" t="str">
        <f>_xll.DBRW("TM1-S1_DEV:}ElementAttributes_SP_SKU",$F3572,D$1)</f>
        <v>Primary</v>
      </c>
      <c r="E3572" s="24" t="str">
        <f>_xll.DBRW("TM1-S1_DEV:}ElementAttributes_SP_SKU",$F3572,E$1)</f>
        <v>CONDIMENT</v>
      </c>
      <c r="F3572" s="26" t="s">
        <v>3152</v>
      </c>
      <c r="G3572" s="26" t="s">
        <v>2428</v>
      </c>
      <c r="H3572" s="26" t="s">
        <v>2684</v>
      </c>
      <c r="I3572" s="54">
        <f>_xll.DBRW($A$1,$F$14,$F$15,$C3572,$A$2,$F3572,$G3572,$H3572,I$1)</f>
        <v>4</v>
      </c>
      <c r="J3572" s="25">
        <f>_xll.DBRW($A$1,$F$14,$F$15,$C3572,$A$2,$F3572,$G3572,$H3572,J$19)</f>
        <v>6</v>
      </c>
    </row>
    <row r="3573" spans="1:10" s="23" customFormat="1" outlineLevel="1" thickBot="1" x14ac:dyDescent="0.3">
      <c r="A3573" s="44"/>
      <c r="B3573" s="31" t="str">
        <f>IF(_xll.TM1RPTELISCONSOLIDATED($H$20,$H3573),IF(_xll.TM1RPTELLEV($H$20,$H3573)&lt;=5,_xll.TM1RPTELLEV($H$20,$H3573),"Default"),"Leaf")</f>
        <v>Leaf</v>
      </c>
      <c r="C3573" s="26" t="s">
        <v>28</v>
      </c>
      <c r="D3573" s="24" t="str">
        <f>_xll.DBRW("TM1-S1_DEV:}ElementAttributes_SP_SKU",$F3573,D$1)</f>
        <v>Primary</v>
      </c>
      <c r="E3573" s="24" t="str">
        <f>_xll.DBRW("TM1-S1_DEV:}ElementAttributes_SP_SKU",$F3573,E$1)</f>
        <v>CONDIMENT</v>
      </c>
      <c r="F3573" s="26" t="s">
        <v>3153</v>
      </c>
      <c r="G3573" s="26" t="s">
        <v>2429</v>
      </c>
      <c r="H3573" s="26" t="s">
        <v>2684</v>
      </c>
      <c r="I3573" s="54">
        <f>_xll.DBRW($A$1,$F$14,$F$15,$C3573,$A$2,$F3573,$G3573,$H3573,I$1)</f>
        <v>9</v>
      </c>
      <c r="J3573" s="25">
        <f>_xll.DBRW($A$1,$F$14,$F$15,$C3573,$A$2,$F3573,$G3573,$H3573,J$19)</f>
        <v>8</v>
      </c>
    </row>
    <row r="3574" spans="1:10" s="23" customFormat="1" outlineLevel="1" thickBot="1" x14ac:dyDescent="0.3">
      <c r="A3574" s="44"/>
      <c r="B3574" s="31" t="str">
        <f>IF(_xll.TM1RPTELISCONSOLIDATED($H$20,$H3574),IF(_xll.TM1RPTELLEV($H$20,$H3574)&lt;=5,_xll.TM1RPTELLEV($H$20,$H3574),"Default"),"Leaf")</f>
        <v>Leaf</v>
      </c>
      <c r="C3574" s="26" t="s">
        <v>28</v>
      </c>
      <c r="D3574" s="24" t="str">
        <f>_xll.DBRW("TM1-S1_DEV:}ElementAttributes_SP_SKU",$F3574,D$1)</f>
        <v>Primary</v>
      </c>
      <c r="E3574" s="24" t="str">
        <f>_xll.DBRW("TM1-S1_DEV:}ElementAttributes_SP_SKU",$F3574,E$1)</f>
        <v>CONDIMENT</v>
      </c>
      <c r="F3574" s="26" t="s">
        <v>3154</v>
      </c>
      <c r="G3574" s="26" t="s">
        <v>2430</v>
      </c>
      <c r="H3574" s="26" t="s">
        <v>2684</v>
      </c>
      <c r="I3574" s="54">
        <f>_xll.DBRW($A$1,$F$14,$F$15,$C3574,$A$2,$F3574,$G3574,$H3574,I$1)</f>
        <v>30</v>
      </c>
      <c r="J3574" s="25">
        <f>_xll.DBRW($A$1,$F$14,$F$15,$C3574,$A$2,$F3574,$G3574,$H3574,J$19)</f>
        <v>26</v>
      </c>
    </row>
    <row r="3575" spans="1:10" s="23" customFormat="1" outlineLevel="1" thickBot="1" x14ac:dyDescent="0.3">
      <c r="A3575" s="44"/>
      <c r="B3575" s="31" t="str">
        <f>IF(_xll.TM1RPTELISCONSOLIDATED($H$20,$H3575),IF(_xll.TM1RPTELLEV($H$20,$H3575)&lt;=5,_xll.TM1RPTELLEV($H$20,$H3575),"Default"),"Leaf")</f>
        <v>Leaf</v>
      </c>
      <c r="C3575" s="26" t="s">
        <v>28</v>
      </c>
      <c r="D3575" s="24" t="str">
        <f>_xll.DBRW("TM1-S1_DEV:}ElementAttributes_SP_SKU",$F3575,D$1)</f>
        <v>Primary</v>
      </c>
      <c r="E3575" s="24" t="str">
        <f>_xll.DBRW("TM1-S1_DEV:}ElementAttributes_SP_SKU",$F3575,E$1)</f>
        <v>DRESSING</v>
      </c>
      <c r="F3575" s="26" t="s">
        <v>3155</v>
      </c>
      <c r="G3575" s="26" t="s">
        <v>2431</v>
      </c>
      <c r="H3575" s="26" t="s">
        <v>2733</v>
      </c>
      <c r="I3575" s="54">
        <f>_xll.DBRW($A$1,$F$14,$F$15,$C3575,$A$2,$F3575,$G3575,$H3575,I$1)</f>
        <v>10</v>
      </c>
      <c r="J3575" s="25">
        <f>_xll.DBRW($A$1,$F$14,$F$15,$C3575,$A$2,$F3575,$G3575,$H3575,J$19)</f>
        <v>16</v>
      </c>
    </row>
    <row r="3576" spans="1:10" s="23" customFormat="1" outlineLevel="1" thickBot="1" x14ac:dyDescent="0.3">
      <c r="A3576" s="44"/>
      <c r="B3576" s="31" t="str">
        <f>IF(_xll.TM1RPTELISCONSOLIDATED($H$20,$H3576),IF(_xll.TM1RPTELLEV($H$20,$H3576)&lt;=5,_xll.TM1RPTELLEV($H$20,$H3576),"Default"),"Leaf")</f>
        <v>Leaf</v>
      </c>
      <c r="C3576" s="26" t="s">
        <v>28</v>
      </c>
      <c r="D3576" s="24" t="str">
        <f>_xll.DBRW("TM1-S1_DEV:}ElementAttributes_SP_SKU",$F3576,D$1)</f>
        <v>Primary</v>
      </c>
      <c r="E3576" s="24" t="str">
        <f>_xll.DBRW("TM1-S1_DEV:}ElementAttributes_SP_SKU",$F3576,E$1)</f>
        <v>DRESSING</v>
      </c>
      <c r="F3576" s="26" t="s">
        <v>3157</v>
      </c>
      <c r="G3576" s="26" t="s">
        <v>2572</v>
      </c>
      <c r="H3576" s="26" t="s">
        <v>2733</v>
      </c>
      <c r="I3576" s="54">
        <f>_xll.DBRW($A$1,$F$14,$F$15,$C3576,$A$2,$F3576,$G3576,$H3576,I$1)</f>
        <v>2</v>
      </c>
      <c r="J3576" s="25">
        <f>_xll.DBRW($A$1,$F$14,$F$15,$C3576,$A$2,$F3576,$G3576,$H3576,J$19)</f>
        <v>2</v>
      </c>
    </row>
    <row r="3577" spans="1:10" s="23" customFormat="1" outlineLevel="1" thickBot="1" x14ac:dyDescent="0.3">
      <c r="A3577" s="44"/>
      <c r="B3577" s="31" t="str">
        <f>IF(_xll.TM1RPTELISCONSOLIDATED($H$20,$H3577),IF(_xll.TM1RPTELLEV($H$20,$H3577)&lt;=5,_xll.TM1RPTELLEV($H$20,$H3577),"Default"),"Leaf")</f>
        <v>Leaf</v>
      </c>
      <c r="C3577" s="26" t="s">
        <v>28</v>
      </c>
      <c r="D3577" s="24" t="str">
        <f>_xll.DBRW("TM1-S1_DEV:}ElementAttributes_SP_SKU",$F3577,D$1)</f>
        <v>Primary</v>
      </c>
      <c r="E3577" s="24" t="str">
        <f>_xll.DBRW("TM1-S1_DEV:}ElementAttributes_SP_SKU",$F3577,E$1)</f>
        <v>DRESSING</v>
      </c>
      <c r="F3577" s="26" t="s">
        <v>3161</v>
      </c>
      <c r="G3577" s="26" t="s">
        <v>2432</v>
      </c>
      <c r="H3577" s="26" t="s">
        <v>2733</v>
      </c>
      <c r="I3577" s="54">
        <f>_xll.DBRW($A$1,$F$14,$F$15,$C3577,$A$2,$F3577,$G3577,$H3577,I$1)</f>
        <v>6</v>
      </c>
      <c r="J3577" s="25">
        <f>_xll.DBRW($A$1,$F$14,$F$15,$C3577,$A$2,$F3577,$G3577,$H3577,J$19)</f>
        <v>6</v>
      </c>
    </row>
    <row r="3578" spans="1:10" s="23" customFormat="1" outlineLevel="1" thickBot="1" x14ac:dyDescent="0.3">
      <c r="A3578" s="44"/>
      <c r="B3578" s="31" t="str">
        <f>IF(_xll.TM1RPTELISCONSOLIDATED($H$20,$H3578),IF(_xll.TM1RPTELLEV($H$20,$H3578)&lt;=5,_xll.TM1RPTELLEV($H$20,$H3578),"Default"),"Leaf")</f>
        <v>Leaf</v>
      </c>
      <c r="C3578" s="26" t="s">
        <v>28</v>
      </c>
      <c r="D3578" s="24" t="str">
        <f>_xll.DBRW("TM1-S1_DEV:}ElementAttributes_SP_SKU",$F3578,D$1)</f>
        <v>Primary</v>
      </c>
      <c r="E3578" s="24" t="str">
        <f>_xll.DBRW("TM1-S1_DEV:}ElementAttributes_SP_SKU",$F3578,E$1)</f>
        <v>BREAD</v>
      </c>
      <c r="F3578" s="26" t="s">
        <v>3163</v>
      </c>
      <c r="G3578" s="26" t="s">
        <v>2433</v>
      </c>
      <c r="H3578" s="26" t="s">
        <v>2687</v>
      </c>
      <c r="I3578" s="54">
        <f>_xll.DBRW($A$1,$F$14,$F$15,$C3578,$A$2,$F3578,$G3578,$H3578,I$1)</f>
        <v>24</v>
      </c>
      <c r="J3578" s="25">
        <f>_xll.DBRW($A$1,$F$14,$F$15,$C3578,$A$2,$F3578,$G3578,$H3578,J$19)</f>
        <v>12</v>
      </c>
    </row>
    <row r="3579" spans="1:10" s="23" customFormat="1" outlineLevel="1" thickBot="1" x14ac:dyDescent="0.3">
      <c r="A3579" s="44"/>
      <c r="B3579" s="31" t="str">
        <f>IF(_xll.TM1RPTELISCONSOLIDATED($H$20,$H3579),IF(_xll.TM1RPTELLEV($H$20,$H3579)&lt;=5,_xll.TM1RPTELLEV($H$20,$H3579),"Default"),"Leaf")</f>
        <v>Leaf</v>
      </c>
      <c r="C3579" s="26" t="s">
        <v>28</v>
      </c>
      <c r="D3579" s="24" t="str">
        <f>_xll.DBRW("TM1-S1_DEV:}ElementAttributes_SP_SKU",$F3579,D$1)</f>
        <v>Primary</v>
      </c>
      <c r="E3579" s="24" t="str">
        <f>_xll.DBRW("TM1-S1_DEV:}ElementAttributes_SP_SKU",$F3579,E$1)</f>
        <v>BREAD</v>
      </c>
      <c r="F3579" s="26" t="s">
        <v>3164</v>
      </c>
      <c r="G3579" s="26" t="s">
        <v>2434</v>
      </c>
      <c r="H3579" s="26" t="s">
        <v>2687</v>
      </c>
      <c r="I3579" s="54">
        <f>_xll.DBRW($A$1,$F$14,$F$15,$C3579,$A$2,$F3579,$G3579,$H3579,I$1)</f>
        <v>31</v>
      </c>
      <c r="J3579" s="25">
        <f>_xll.DBRW($A$1,$F$14,$F$15,$C3579,$A$2,$F3579,$G3579,$H3579,J$19)</f>
        <v>16</v>
      </c>
    </row>
    <row r="3580" spans="1:10" s="23" customFormat="1" outlineLevel="1" thickBot="1" x14ac:dyDescent="0.3">
      <c r="A3580" s="44"/>
      <c r="B3580" s="31" t="str">
        <f>IF(_xll.TM1RPTELISCONSOLIDATED($H$20,$H3580),IF(_xll.TM1RPTELLEV($H$20,$H3580)&lt;=5,_xll.TM1RPTELLEV($H$20,$H3580),"Default"),"Leaf")</f>
        <v>Leaf</v>
      </c>
      <c r="C3580" s="26" t="s">
        <v>28</v>
      </c>
      <c r="D3580" s="24" t="str">
        <f>_xll.DBRW("TM1-S1_DEV:}ElementAttributes_SP_SKU",$F3580,D$1)</f>
        <v>Primary</v>
      </c>
      <c r="E3580" s="24" t="str">
        <f>_xll.DBRW("TM1-S1_DEV:}ElementAttributes_SP_SKU",$F3580,E$1)</f>
        <v>BREAD</v>
      </c>
      <c r="F3580" s="26" t="s">
        <v>3165</v>
      </c>
      <c r="G3580" s="26" t="s">
        <v>2435</v>
      </c>
      <c r="H3580" s="26" t="s">
        <v>2688</v>
      </c>
      <c r="I3580" s="54">
        <f>_xll.DBRW($A$1,$F$14,$F$15,$C3580,$A$2,$F3580,$G3580,$H3580,I$1)</f>
        <v>96</v>
      </c>
      <c r="J3580" s="25">
        <f>_xll.DBRW($A$1,$F$14,$F$15,$C3580,$A$2,$F3580,$G3580,$H3580,J$19)</f>
        <v>35</v>
      </c>
    </row>
    <row r="3581" spans="1:10" s="23" customFormat="1" outlineLevel="1" thickBot="1" x14ac:dyDescent="0.3">
      <c r="A3581" s="44"/>
      <c r="B3581" s="31" t="str">
        <f>IF(_xll.TM1RPTELISCONSOLIDATED($H$20,$H3581),IF(_xll.TM1RPTELLEV($H$20,$H3581)&lt;=5,_xll.TM1RPTELLEV($H$20,$H3581),"Default"),"Leaf")</f>
        <v>Leaf</v>
      </c>
      <c r="C3581" s="26" t="s">
        <v>28</v>
      </c>
      <c r="D3581" s="24" t="str">
        <f>_xll.DBRW("TM1-S1_DEV:}ElementAttributes_SP_SKU",$F3581,D$1)</f>
        <v>Primary</v>
      </c>
      <c r="E3581" s="24" t="str">
        <f>_xll.DBRW("TM1-S1_DEV:}ElementAttributes_SP_SKU",$F3581,E$1)</f>
        <v>BREAD</v>
      </c>
      <c r="F3581" s="26" t="s">
        <v>3166</v>
      </c>
      <c r="G3581" s="26" t="s">
        <v>2436</v>
      </c>
      <c r="H3581" s="26" t="s">
        <v>2689</v>
      </c>
      <c r="I3581" s="54">
        <f>_xll.DBRW($A$1,$F$14,$F$15,$C3581,$A$2,$F3581,$G3581,$H3581,I$1)</f>
        <v>33</v>
      </c>
      <c r="J3581" s="25">
        <f>_xll.DBRW($A$1,$F$14,$F$15,$C3581,$A$2,$F3581,$G3581,$H3581,J$19)</f>
        <v>24</v>
      </c>
    </row>
    <row r="3582" spans="1:10" s="23" customFormat="1" outlineLevel="1" thickBot="1" x14ac:dyDescent="0.3">
      <c r="A3582" s="44"/>
      <c r="B3582" s="31" t="str">
        <f>IF(_xll.TM1RPTELISCONSOLIDATED($H$20,$H3582),IF(_xll.TM1RPTELLEV($H$20,$H3582)&lt;=5,_xll.TM1RPTELLEV($H$20,$H3582),"Default"),"Leaf")</f>
        <v>Leaf</v>
      </c>
      <c r="C3582" s="26" t="s">
        <v>28</v>
      </c>
      <c r="D3582" s="24" t="str">
        <f>_xll.DBRW("TM1-S1_DEV:}ElementAttributes_SP_SKU",$F3582,D$1)</f>
        <v>Primary</v>
      </c>
      <c r="E3582" s="24" t="str">
        <f>_xll.DBRW("TM1-S1_DEV:}ElementAttributes_SP_SKU",$F3582,E$1)</f>
        <v>BREAD</v>
      </c>
      <c r="F3582" s="26" t="s">
        <v>3167</v>
      </c>
      <c r="G3582" s="26" t="s">
        <v>2437</v>
      </c>
      <c r="H3582" s="26" t="s">
        <v>2688</v>
      </c>
      <c r="I3582" s="54">
        <f>_xll.DBRW($A$1,$F$14,$F$15,$C3582,$A$2,$F3582,$G3582,$H3582,I$1)</f>
        <v>15</v>
      </c>
      <c r="J3582" s="25">
        <f>_xll.DBRW($A$1,$F$14,$F$15,$C3582,$A$2,$F3582,$G3582,$H3582,J$19)</f>
        <v>14</v>
      </c>
    </row>
    <row r="3583" spans="1:10" s="23" customFormat="1" outlineLevel="1" thickBot="1" x14ac:dyDescent="0.3">
      <c r="A3583" s="44"/>
      <c r="B3583" s="31" t="str">
        <f>IF(_xll.TM1RPTELISCONSOLIDATED($H$20,$H3583),IF(_xll.TM1RPTELLEV($H$20,$H3583)&lt;=5,_xll.TM1RPTELLEV($H$20,$H3583),"Default"),"Leaf")</f>
        <v>Leaf</v>
      </c>
      <c r="C3583" s="26" t="s">
        <v>28</v>
      </c>
      <c r="D3583" s="24" t="str">
        <f>_xll.DBRW("TM1-S1_DEV:}ElementAttributes_SP_SKU",$F3583,D$1)</f>
        <v>Primary</v>
      </c>
      <c r="E3583" s="24" t="str">
        <f>_xll.DBRW("TM1-S1_DEV:}ElementAttributes_SP_SKU",$F3583,E$1)</f>
        <v>BREAD</v>
      </c>
      <c r="F3583" s="26" t="s">
        <v>3168</v>
      </c>
      <c r="G3583" s="26" t="s">
        <v>2438</v>
      </c>
      <c r="H3583" s="26" t="s">
        <v>2688</v>
      </c>
      <c r="I3583" s="54">
        <f>_xll.DBRW($A$1,$F$14,$F$15,$C3583,$A$2,$F3583,$G3583,$H3583,I$1)</f>
        <v>21</v>
      </c>
      <c r="J3583" s="25">
        <f>_xll.DBRW($A$1,$F$14,$F$15,$C3583,$A$2,$F3583,$G3583,$H3583,J$19)</f>
        <v>19</v>
      </c>
    </row>
    <row r="3584" spans="1:10" s="23" customFormat="1" outlineLevel="1" thickBot="1" x14ac:dyDescent="0.3">
      <c r="A3584" s="44"/>
      <c r="B3584" s="31" t="str">
        <f>IF(_xll.TM1RPTELISCONSOLIDATED($H$20,$H3584),IF(_xll.TM1RPTELLEV($H$20,$H3584)&lt;=5,_xll.TM1RPTELLEV($H$20,$H3584),"Default"),"Leaf")</f>
        <v>Leaf</v>
      </c>
      <c r="C3584" s="26" t="s">
        <v>28</v>
      </c>
      <c r="D3584" s="24" t="str">
        <f>_xll.DBRW("TM1-S1_DEV:}ElementAttributes_SP_SKU",$F3584,D$1)</f>
        <v>Primary</v>
      </c>
      <c r="E3584" s="24" t="str">
        <f>_xll.DBRW("TM1-S1_DEV:}ElementAttributes_SP_SKU",$F3584,E$1)</f>
        <v>BREAD</v>
      </c>
      <c r="F3584" s="26" t="s">
        <v>3169</v>
      </c>
      <c r="G3584" s="26" t="s">
        <v>2439</v>
      </c>
      <c r="H3584" s="26" t="s">
        <v>2690</v>
      </c>
      <c r="I3584" s="54">
        <f>_xll.DBRW($A$1,$F$14,$F$15,$C3584,$A$2,$F3584,$G3584,$H3584,I$1)</f>
        <v>26</v>
      </c>
      <c r="J3584" s="25">
        <f>_xll.DBRW($A$1,$F$14,$F$15,$C3584,$A$2,$F3584,$G3584,$H3584,J$19)</f>
        <v>18</v>
      </c>
    </row>
    <row r="3585" spans="1:10" s="23" customFormat="1" outlineLevel="1" thickBot="1" x14ac:dyDescent="0.3">
      <c r="A3585" s="44"/>
      <c r="B3585" s="31" t="str">
        <f>IF(_xll.TM1RPTELISCONSOLIDATED($H$20,$H3585),IF(_xll.TM1RPTELLEV($H$20,$H3585)&lt;=5,_xll.TM1RPTELLEV($H$20,$H3585),"Default"),"Leaf")</f>
        <v>Leaf</v>
      </c>
      <c r="C3585" s="26" t="s">
        <v>28</v>
      </c>
      <c r="D3585" s="24" t="str">
        <f>_xll.DBRW("TM1-S1_DEV:}ElementAttributes_SP_SKU",$F3585,D$1)</f>
        <v>Primary</v>
      </c>
      <c r="E3585" s="24" t="str">
        <f>_xll.DBRW("TM1-S1_DEV:}ElementAttributes_SP_SKU",$F3585,E$1)</f>
        <v>BREAD</v>
      </c>
      <c r="F3585" s="26" t="s">
        <v>3170</v>
      </c>
      <c r="G3585" s="26" t="s">
        <v>2573</v>
      </c>
      <c r="H3585" s="26" t="s">
        <v>2690</v>
      </c>
      <c r="I3585" s="54">
        <f>_xll.DBRW($A$1,$F$14,$F$15,$C3585,$A$2,$F3585,$G3585,$H3585,I$1)</f>
        <v>4</v>
      </c>
      <c r="J3585" s="25">
        <f>_xll.DBRW($A$1,$F$14,$F$15,$C3585,$A$2,$F3585,$G3585,$H3585,J$19)</f>
        <v>2</v>
      </c>
    </row>
    <row r="3586" spans="1:10" s="23" customFormat="1" outlineLevel="1" thickBot="1" x14ac:dyDescent="0.3">
      <c r="A3586" s="44"/>
      <c r="B3586" s="31" t="str">
        <f>IF(_xll.TM1RPTELISCONSOLIDATED($H$20,$H3586),IF(_xll.TM1RPTELLEV($H$20,$H3586)&lt;=5,_xll.TM1RPTELLEV($H$20,$H3586),"Default"),"Leaf")</f>
        <v>Leaf</v>
      </c>
      <c r="C3586" s="26" t="s">
        <v>28</v>
      </c>
      <c r="D3586" s="24" t="str">
        <f>_xll.DBRW("TM1-S1_DEV:}ElementAttributes_SP_SKU",$F3586,D$1)</f>
        <v>Primary</v>
      </c>
      <c r="E3586" s="24" t="str">
        <f>_xll.DBRW("TM1-S1_DEV:}ElementAttributes_SP_SKU",$F3586,E$1)</f>
        <v>BREAD</v>
      </c>
      <c r="F3586" s="26" t="s">
        <v>3171</v>
      </c>
      <c r="G3586" s="26" t="s">
        <v>2440</v>
      </c>
      <c r="H3586" s="26" t="s">
        <v>2690</v>
      </c>
      <c r="I3586" s="54">
        <f>_xll.DBRW($A$1,$F$14,$F$15,$C3586,$A$2,$F3586,$G3586,$H3586,I$1)</f>
        <v>8</v>
      </c>
      <c r="J3586" s="25">
        <f>_xll.DBRW($A$1,$F$14,$F$15,$C3586,$A$2,$F3586,$G3586,$H3586,J$19)</f>
        <v>4</v>
      </c>
    </row>
    <row r="3587" spans="1:10" s="23" customFormat="1" outlineLevel="1" thickBot="1" x14ac:dyDescent="0.3">
      <c r="A3587" s="44"/>
      <c r="B3587" s="31" t="str">
        <f>IF(_xll.TM1RPTELISCONSOLIDATED($H$20,$H3587),IF(_xll.TM1RPTELLEV($H$20,$H3587)&lt;=5,_xll.TM1RPTELLEV($H$20,$H3587),"Default"),"Leaf")</f>
        <v>Leaf</v>
      </c>
      <c r="C3587" s="26" t="s">
        <v>28</v>
      </c>
      <c r="D3587" s="24" t="str">
        <f>_xll.DBRW("TM1-S1_DEV:}ElementAttributes_SP_SKU",$F3587,D$1)</f>
        <v>Primary</v>
      </c>
      <c r="E3587" s="24" t="str">
        <f>_xll.DBRW("TM1-S1_DEV:}ElementAttributes_SP_SKU",$F3587,E$1)</f>
        <v>BREAD</v>
      </c>
      <c r="F3587" s="26" t="s">
        <v>3172</v>
      </c>
      <c r="G3587" s="26" t="s">
        <v>2574</v>
      </c>
      <c r="H3587" s="26" t="s">
        <v>2690</v>
      </c>
      <c r="I3587" s="54">
        <f>_xll.DBRW($A$1,$F$14,$F$15,$C3587,$A$2,$F3587,$G3587,$H3587,I$1)</f>
        <v>6</v>
      </c>
      <c r="J3587" s="25">
        <f>_xll.DBRW($A$1,$F$14,$F$15,$C3587,$A$2,$F3587,$G3587,$H3587,J$19)</f>
        <v>2</v>
      </c>
    </row>
    <row r="3588" spans="1:10" s="23" customFormat="1" outlineLevel="1" thickBot="1" x14ac:dyDescent="0.3">
      <c r="A3588" s="44"/>
      <c r="B3588" s="31" t="str">
        <f>IF(_xll.TM1RPTELISCONSOLIDATED($H$20,$H3588),IF(_xll.TM1RPTELLEV($H$20,$H3588)&lt;=5,_xll.TM1RPTELLEV($H$20,$H3588),"Default"),"Leaf")</f>
        <v>Leaf</v>
      </c>
      <c r="C3588" s="26" t="s">
        <v>28</v>
      </c>
      <c r="D3588" s="24" t="str">
        <f>_xll.DBRW("TM1-S1_DEV:}ElementAttributes_SP_SKU",$F3588,D$1)</f>
        <v>Primary</v>
      </c>
      <c r="E3588" s="24" t="str">
        <f>_xll.DBRW("TM1-S1_DEV:}ElementAttributes_SP_SKU",$F3588,E$1)</f>
        <v>BREAD</v>
      </c>
      <c r="F3588" s="26" t="s">
        <v>3252</v>
      </c>
      <c r="G3588" s="26" t="s">
        <v>2441</v>
      </c>
      <c r="H3588" s="26" t="s">
        <v>2691</v>
      </c>
      <c r="I3588" s="54">
        <f>_xll.DBRW($A$1,$F$14,$F$15,$C3588,$A$2,$F3588,$G3588,$H3588,I$1)</f>
        <v>3</v>
      </c>
      <c r="J3588" s="25">
        <f>_xll.DBRW($A$1,$F$14,$F$15,$C3588,$A$2,$F3588,$G3588,$H3588,J$19)</f>
        <v>3</v>
      </c>
    </row>
    <row r="3589" spans="1:10" s="23" customFormat="1" outlineLevel="1" thickBot="1" x14ac:dyDescent="0.3">
      <c r="A3589" s="44"/>
      <c r="B3589" s="31" t="str">
        <f>IF(_xll.TM1RPTELISCONSOLIDATED($H$20,$H3589),IF(_xll.TM1RPTELLEV($H$20,$H3589)&lt;=5,_xll.TM1RPTELLEV($H$20,$H3589),"Default"),"Leaf")</f>
        <v>Leaf</v>
      </c>
      <c r="C3589" s="26" t="s">
        <v>28</v>
      </c>
      <c r="D3589" s="24" t="str">
        <f>_xll.DBRW("TM1-S1_DEV:}ElementAttributes_SP_SKU",$F3589,D$1)</f>
        <v>Primary</v>
      </c>
      <c r="E3589" s="24" t="str">
        <f>_xll.DBRW("TM1-S1_DEV:}ElementAttributes_SP_SKU",$F3589,E$1)</f>
        <v>CONDIMENT</v>
      </c>
      <c r="F3589" s="26" t="s">
        <v>3174</v>
      </c>
      <c r="G3589" s="26" t="s">
        <v>2444</v>
      </c>
      <c r="H3589" s="26" t="s">
        <v>2684</v>
      </c>
      <c r="I3589" s="54">
        <f>_xll.DBRW($A$1,$F$14,$F$15,$C3589,$A$2,$F3589,$G3589,$H3589,I$1)</f>
        <v>4</v>
      </c>
      <c r="J3589" s="25">
        <f>_xll.DBRW($A$1,$F$14,$F$15,$C3589,$A$2,$F3589,$G3589,$H3589,J$19)</f>
        <v>8</v>
      </c>
    </row>
    <row r="3590" spans="1:10" s="23" customFormat="1" outlineLevel="1" thickBot="1" x14ac:dyDescent="0.3">
      <c r="A3590" s="44"/>
      <c r="B3590" s="31" t="str">
        <f>IF(_xll.TM1RPTELISCONSOLIDATED($H$20,$H3590),IF(_xll.TM1RPTELLEV($H$20,$H3590)&lt;=5,_xll.TM1RPTELLEV($H$20,$H3590),"Default"),"Leaf")</f>
        <v>Leaf</v>
      </c>
      <c r="C3590" s="26" t="s">
        <v>28</v>
      </c>
      <c r="D3590" s="24" t="str">
        <f>_xll.DBRW("TM1-S1_DEV:}ElementAttributes_SP_SKU",$F3590,D$1)</f>
        <v>Primary</v>
      </c>
      <c r="E3590" s="24" t="str">
        <f>_xll.DBRW("TM1-S1_DEV:}ElementAttributes_SP_SKU",$F3590,E$1)</f>
        <v>CONDIMENT</v>
      </c>
      <c r="F3590" s="26" t="s">
        <v>3176</v>
      </c>
      <c r="G3590" s="26" t="s">
        <v>2445</v>
      </c>
      <c r="H3590" s="26" t="s">
        <v>2684</v>
      </c>
      <c r="I3590" s="54">
        <f>_xll.DBRW($A$1,$F$14,$F$15,$C3590,$A$2,$F3590,$G3590,$H3590,I$1)</f>
        <v>3</v>
      </c>
      <c r="J3590" s="25">
        <f>_xll.DBRW($A$1,$F$14,$F$15,$C3590,$A$2,$F3590,$G3590,$H3590,J$19)</f>
        <v>6</v>
      </c>
    </row>
    <row r="3591" spans="1:10" s="23" customFormat="1" outlineLevel="1" thickBot="1" x14ac:dyDescent="0.3">
      <c r="A3591" s="44"/>
      <c r="B3591" s="31" t="str">
        <f>IF(_xll.TM1RPTELISCONSOLIDATED($H$20,$H3591),IF(_xll.TM1RPTELLEV($H$20,$H3591)&lt;=5,_xll.TM1RPTELLEV($H$20,$H3591),"Default"),"Leaf")</f>
        <v>Leaf</v>
      </c>
      <c r="C3591" s="26" t="s">
        <v>28</v>
      </c>
      <c r="D3591" s="24" t="str">
        <f>_xll.DBRW("TM1-S1_DEV:}ElementAttributes_SP_SKU",$F3591,D$1)</f>
        <v>Primary</v>
      </c>
      <c r="E3591" s="24" t="str">
        <f>_xll.DBRW("TM1-S1_DEV:}ElementAttributes_SP_SKU",$F3591,E$1)</f>
        <v>CONDIMENT</v>
      </c>
      <c r="F3591" s="26" t="s">
        <v>3253</v>
      </c>
      <c r="G3591" s="26" t="s">
        <v>2446</v>
      </c>
      <c r="H3591" s="26" t="s">
        <v>2686</v>
      </c>
      <c r="I3591" s="54">
        <f>_xll.DBRW($A$1,$F$14,$F$15,$C3591,$A$2,$F3591,$G3591,$H3591,I$1)</f>
        <v>9</v>
      </c>
      <c r="J3591" s="25">
        <f>_xll.DBRW($A$1,$F$14,$F$15,$C3591,$A$2,$F3591,$G3591,$H3591,J$19)</f>
        <v>9</v>
      </c>
    </row>
    <row r="3592" spans="1:10" s="23" customFormat="1" outlineLevel="1" thickBot="1" x14ac:dyDescent="0.3">
      <c r="A3592" s="44"/>
      <c r="B3592" s="31" t="str">
        <f>IF(_xll.TM1RPTELISCONSOLIDATED($H$20,$H3592),IF(_xll.TM1RPTELLEV($H$20,$H3592)&lt;=5,_xll.TM1RPTELLEV($H$20,$H3592),"Default"),"Leaf")</f>
        <v>Leaf</v>
      </c>
      <c r="C3592" s="26" t="s">
        <v>28</v>
      </c>
      <c r="D3592" s="24" t="str">
        <f>_xll.DBRW("TM1-S1_DEV:}ElementAttributes_SP_SKU",$F3592,D$1)</f>
        <v>Primary</v>
      </c>
      <c r="E3592" s="24" t="str">
        <f>_xll.DBRW("TM1-S1_DEV:}ElementAttributes_SP_SKU",$F3592,E$1)</f>
        <v>INGREDIENT</v>
      </c>
      <c r="F3592" s="26" t="s">
        <v>3177</v>
      </c>
      <c r="G3592" s="26" t="s">
        <v>2447</v>
      </c>
      <c r="H3592" s="26" t="s">
        <v>2686</v>
      </c>
      <c r="I3592" s="54">
        <f>_xll.DBRW($A$1,$F$14,$F$15,$C3592,$A$2,$F3592,$G3592,$H3592,I$1)</f>
        <v>9</v>
      </c>
      <c r="J3592" s="25">
        <f>_xll.DBRW($A$1,$F$14,$F$15,$C3592,$A$2,$F3592,$G3592,$H3592,J$19)</f>
        <v>9</v>
      </c>
    </row>
    <row r="3593" spans="1:10" s="23" customFormat="1" outlineLevel="1" thickBot="1" x14ac:dyDescent="0.3">
      <c r="A3593" s="44"/>
      <c r="B3593" s="31" t="str">
        <f>IF(_xll.TM1RPTELISCONSOLIDATED($H$20,$H3593),IF(_xll.TM1RPTELLEV($H$20,$H3593)&lt;=5,_xll.TM1RPTELLEV($H$20,$H3593),"Default"),"Leaf")</f>
        <v>Leaf</v>
      </c>
      <c r="C3593" s="26" t="s">
        <v>28</v>
      </c>
      <c r="D3593" s="24" t="str">
        <f>_xll.DBRW("TM1-S1_DEV:}ElementAttributes_SP_SKU",$F3593,D$1)</f>
        <v>Primary</v>
      </c>
      <c r="E3593" s="24" t="str">
        <f>_xll.DBRW("TM1-S1_DEV:}ElementAttributes_SP_SKU",$F3593,E$1)</f>
        <v>CONDIMENT</v>
      </c>
      <c r="F3593" s="26" t="s">
        <v>3178</v>
      </c>
      <c r="G3593" s="26" t="s">
        <v>2448</v>
      </c>
      <c r="H3593" s="26" t="s">
        <v>2684</v>
      </c>
      <c r="I3593" s="54">
        <f>_xll.DBRW($A$1,$F$14,$F$15,$C3593,$A$2,$F3593,$G3593,$H3593,I$1)</f>
        <v>2</v>
      </c>
      <c r="J3593" s="25">
        <f>_xll.DBRW($A$1,$F$14,$F$15,$C3593,$A$2,$F3593,$G3593,$H3593,J$19)</f>
        <v>2</v>
      </c>
    </row>
    <row r="3594" spans="1:10" s="23" customFormat="1" outlineLevel="1" thickBot="1" x14ac:dyDescent="0.3">
      <c r="A3594" s="44"/>
      <c r="B3594" s="31" t="str">
        <f>IF(_xll.TM1RPTELISCONSOLIDATED($H$20,$H3594),IF(_xll.TM1RPTELLEV($H$20,$H3594)&lt;=5,_xll.TM1RPTELLEV($H$20,$H3594),"Default"),"Leaf")</f>
        <v>Leaf</v>
      </c>
      <c r="C3594" s="26" t="s">
        <v>28</v>
      </c>
      <c r="D3594" s="24" t="str">
        <f>_xll.DBRW("TM1-S1_DEV:}ElementAttributes_SP_SKU",$F3594,D$1)</f>
        <v>Primary</v>
      </c>
      <c r="E3594" s="24" t="str">
        <f>_xll.DBRW("TM1-S1_DEV:}ElementAttributes_SP_SKU",$F3594,E$1)</f>
        <v>CONDIMENT</v>
      </c>
      <c r="F3594" s="26" t="s">
        <v>3179</v>
      </c>
      <c r="G3594" s="26" t="s">
        <v>2449</v>
      </c>
      <c r="H3594" s="26" t="s">
        <v>2684</v>
      </c>
      <c r="I3594" s="54">
        <f>_xll.DBRW($A$1,$F$14,$F$15,$C3594,$A$2,$F3594,$G3594,$H3594,I$1)</f>
        <v>13</v>
      </c>
      <c r="J3594" s="25">
        <f>_xll.DBRW($A$1,$F$14,$F$15,$C3594,$A$2,$F3594,$G3594,$H3594,J$19)</f>
        <v>13</v>
      </c>
    </row>
    <row r="3595" spans="1:10" s="23" customFormat="1" outlineLevel="1" thickBot="1" x14ac:dyDescent="0.3">
      <c r="A3595" s="44"/>
      <c r="B3595" s="31" t="str">
        <f>IF(_xll.TM1RPTELISCONSOLIDATED($H$20,$H3595),IF(_xll.TM1RPTELLEV($H$20,$H3595)&lt;=5,_xll.TM1RPTELLEV($H$20,$H3595),"Default"),"Leaf")</f>
        <v>Leaf</v>
      </c>
      <c r="C3595" s="26" t="s">
        <v>28</v>
      </c>
      <c r="D3595" s="24" t="str">
        <f>_xll.DBRW("TM1-S1_DEV:}ElementAttributes_SP_SKU",$F3595,D$1)</f>
        <v>Primary</v>
      </c>
      <c r="E3595" s="24" t="str">
        <f>_xll.DBRW("TM1-S1_DEV:}ElementAttributes_SP_SKU",$F3595,E$1)</f>
        <v>COOKIE</v>
      </c>
      <c r="F3595" s="26" t="s">
        <v>3180</v>
      </c>
      <c r="G3595" s="26" t="s">
        <v>2451</v>
      </c>
      <c r="H3595" s="26" t="s">
        <v>2691</v>
      </c>
      <c r="I3595" s="54">
        <f>_xll.DBRW($A$1,$F$14,$F$15,$C3595,$A$2,$F3595,$G3595,$H3595,I$1)</f>
        <v>10</v>
      </c>
      <c r="J3595" s="25">
        <f>_xll.DBRW($A$1,$F$14,$F$15,$C3595,$A$2,$F3595,$G3595,$H3595,J$19)</f>
        <v>12</v>
      </c>
    </row>
    <row r="3596" spans="1:10" s="23" customFormat="1" outlineLevel="1" thickBot="1" x14ac:dyDescent="0.3">
      <c r="A3596" s="44"/>
      <c r="B3596" s="31" t="str">
        <f>IF(_xll.TM1RPTELISCONSOLIDATED($H$20,$H3596),IF(_xll.TM1RPTELLEV($H$20,$H3596)&lt;=5,_xll.TM1RPTELLEV($H$20,$H3596),"Default"),"Leaf")</f>
        <v>Leaf</v>
      </c>
      <c r="C3596" s="26" t="s">
        <v>28</v>
      </c>
      <c r="D3596" s="24" t="str">
        <f>_xll.DBRW("TM1-S1_DEV:}ElementAttributes_SP_SKU",$F3596,D$1)</f>
        <v>Primary</v>
      </c>
      <c r="E3596" s="24" t="str">
        <f>_xll.DBRW("TM1-S1_DEV:}ElementAttributes_SP_SKU",$F3596,E$1)</f>
        <v>COOKIE</v>
      </c>
      <c r="F3596" s="26" t="s">
        <v>3181</v>
      </c>
      <c r="G3596" s="26" t="s">
        <v>2452</v>
      </c>
      <c r="H3596" s="26" t="s">
        <v>2691</v>
      </c>
      <c r="I3596" s="54">
        <f>_xll.DBRW($A$1,$F$14,$F$15,$C3596,$A$2,$F3596,$G3596,$H3596,I$1)</f>
        <v>9</v>
      </c>
      <c r="J3596" s="25">
        <f>_xll.DBRW($A$1,$F$14,$F$15,$C3596,$A$2,$F3596,$G3596,$H3596,J$19)</f>
        <v>13</v>
      </c>
    </row>
    <row r="3597" spans="1:10" s="23" customFormat="1" outlineLevel="1" thickBot="1" x14ac:dyDescent="0.3">
      <c r="A3597" s="44"/>
      <c r="B3597" s="31" t="str">
        <f>IF(_xll.TM1RPTELISCONSOLIDATED($H$20,$H3597),IF(_xll.TM1RPTELLEV($H$20,$H3597)&lt;=5,_xll.TM1RPTELLEV($H$20,$H3597),"Default"),"Leaf")</f>
        <v>Leaf</v>
      </c>
      <c r="C3597" s="26" t="s">
        <v>28</v>
      </c>
      <c r="D3597" s="24" t="str">
        <f>_xll.DBRW("TM1-S1_DEV:}ElementAttributes_SP_SKU",$F3597,D$1)</f>
        <v>Primary</v>
      </c>
      <c r="E3597" s="24" t="str">
        <f>_xll.DBRW("TM1-S1_DEV:}ElementAttributes_SP_SKU",$F3597,E$1)</f>
        <v>COOKIE</v>
      </c>
      <c r="F3597" s="26" t="s">
        <v>3182</v>
      </c>
      <c r="G3597" s="26" t="s">
        <v>2453</v>
      </c>
      <c r="H3597" s="26" t="s">
        <v>2691</v>
      </c>
      <c r="I3597" s="54">
        <f>_xll.DBRW($A$1,$F$14,$F$15,$C3597,$A$2,$F3597,$G3597,$H3597,I$1)</f>
        <v>4</v>
      </c>
      <c r="J3597" s="25">
        <f>_xll.DBRW($A$1,$F$14,$F$15,$C3597,$A$2,$F3597,$G3597,$H3597,J$19)</f>
        <v>6</v>
      </c>
    </row>
    <row r="3598" spans="1:10" s="23" customFormat="1" outlineLevel="1" thickBot="1" x14ac:dyDescent="0.3">
      <c r="A3598" s="44"/>
      <c r="B3598" s="31" t="str">
        <f>IF(_xll.TM1RPTELISCONSOLIDATED($H$20,$H3598),IF(_xll.TM1RPTELLEV($H$20,$H3598)&lt;=5,_xll.TM1RPTELLEV($H$20,$H3598),"Default"),"Leaf")</f>
        <v>Leaf</v>
      </c>
      <c r="C3598" s="26" t="s">
        <v>28</v>
      </c>
      <c r="D3598" s="24" t="str">
        <f>_xll.DBRW("TM1-S1_DEV:}ElementAttributes_SP_SKU",$F3598,D$1)</f>
        <v>Primary</v>
      </c>
      <c r="E3598" s="24" t="str">
        <f>_xll.DBRW("TM1-S1_DEV:}ElementAttributes_SP_SKU",$F3598,E$1)</f>
        <v>COOKIE</v>
      </c>
      <c r="F3598" s="26" t="s">
        <v>3183</v>
      </c>
      <c r="G3598" s="26" t="s">
        <v>2454</v>
      </c>
      <c r="H3598" s="26" t="s">
        <v>2691</v>
      </c>
      <c r="I3598" s="54">
        <f>_xll.DBRW($A$1,$F$14,$F$15,$C3598,$A$2,$F3598,$G3598,$H3598,I$1)</f>
        <v>14</v>
      </c>
      <c r="J3598" s="25">
        <f>_xll.DBRW($A$1,$F$14,$F$15,$C3598,$A$2,$F3598,$G3598,$H3598,J$19)</f>
        <v>9</v>
      </c>
    </row>
    <row r="3599" spans="1:10" s="23" customFormat="1" outlineLevel="1" thickBot="1" x14ac:dyDescent="0.3">
      <c r="A3599" s="44"/>
      <c r="B3599" s="31" t="str">
        <f>IF(_xll.TM1RPTELISCONSOLIDATED($H$20,$H3599),IF(_xll.TM1RPTELLEV($H$20,$H3599)&lt;=5,_xll.TM1RPTELLEV($H$20,$H3599),"Default"),"Leaf")</f>
        <v>Leaf</v>
      </c>
      <c r="C3599" s="26" t="s">
        <v>28</v>
      </c>
      <c r="D3599" s="24" t="str">
        <f>_xll.DBRW("TM1-S1_DEV:}ElementAttributes_SP_SKU",$F3599,D$1)</f>
        <v>Primary</v>
      </c>
      <c r="E3599" s="24" t="str">
        <f>_xll.DBRW("TM1-S1_DEV:}ElementAttributes_SP_SKU",$F3599,E$1)</f>
        <v>INGREDIENT</v>
      </c>
      <c r="F3599" s="26" t="s">
        <v>3185</v>
      </c>
      <c r="G3599" s="26" t="s">
        <v>2455</v>
      </c>
      <c r="H3599" s="26" t="s">
        <v>2693</v>
      </c>
      <c r="I3599" s="54">
        <f>_xll.DBRW($A$1,$F$14,$F$15,$C3599,$A$2,$F3599,$G3599,$H3599,I$1)</f>
        <v>10</v>
      </c>
      <c r="J3599" s="25">
        <f>_xll.DBRW($A$1,$F$14,$F$15,$C3599,$A$2,$F3599,$G3599,$H3599,J$19)</f>
        <v>3</v>
      </c>
    </row>
    <row r="3600" spans="1:10" s="23" customFormat="1" outlineLevel="1" thickBot="1" x14ac:dyDescent="0.3">
      <c r="A3600" s="44"/>
      <c r="B3600" s="31" t="str">
        <f>IF(_xll.TM1RPTELISCONSOLIDATED($H$20,$H3600),IF(_xll.TM1RPTELLEV($H$20,$H3600)&lt;=5,_xll.TM1RPTELLEV($H$20,$H3600),"Default"),"Leaf")</f>
        <v>Leaf</v>
      </c>
      <c r="C3600" s="26" t="s">
        <v>28</v>
      </c>
      <c r="D3600" s="24" t="str">
        <f>_xll.DBRW("TM1-S1_DEV:}ElementAttributes_SP_SKU",$F3600,D$1)</f>
        <v>Primary</v>
      </c>
      <c r="E3600" s="24" t="str">
        <f>_xll.DBRW("TM1-S1_DEV:}ElementAttributes_SP_SKU",$F3600,E$1)</f>
        <v>INGREDIENT</v>
      </c>
      <c r="F3600" s="26" t="s">
        <v>3186</v>
      </c>
      <c r="G3600" s="26" t="s">
        <v>2456</v>
      </c>
      <c r="H3600" s="26" t="s">
        <v>2694</v>
      </c>
      <c r="I3600" s="54">
        <f>_xll.DBRW($A$1,$F$14,$F$15,$C3600,$A$2,$F3600,$G3600,$H3600,I$1)</f>
        <v>10</v>
      </c>
      <c r="J3600" s="25">
        <f>_xll.DBRW($A$1,$F$14,$F$15,$C3600,$A$2,$F3600,$G3600,$H3600,J$19)</f>
        <v>10</v>
      </c>
    </row>
    <row r="3601" spans="1:10" s="23" customFormat="1" outlineLevel="1" thickBot="1" x14ac:dyDescent="0.3">
      <c r="A3601" s="44"/>
      <c r="B3601" s="31" t="str">
        <f>IF(_xll.TM1RPTELISCONSOLIDATED($H$20,$H3601),IF(_xll.TM1RPTELLEV($H$20,$H3601)&lt;=5,_xll.TM1RPTELLEV($H$20,$H3601),"Default"),"Leaf")</f>
        <v>Leaf</v>
      </c>
      <c r="C3601" s="26" t="s">
        <v>28</v>
      </c>
      <c r="D3601" s="24" t="str">
        <f>_xll.DBRW("TM1-S1_DEV:}ElementAttributes_SP_SKU",$F3601,D$1)</f>
        <v>Primary</v>
      </c>
      <c r="E3601" s="24" t="str">
        <f>_xll.DBRW("TM1-S1_DEV:}ElementAttributes_SP_SKU",$F3601,E$1)</f>
        <v>INGREDIENT</v>
      </c>
      <c r="F3601" s="26" t="s">
        <v>3187</v>
      </c>
      <c r="G3601" s="26" t="s">
        <v>2457</v>
      </c>
      <c r="H3601" s="26" t="s">
        <v>2695</v>
      </c>
      <c r="I3601" s="54">
        <f>_xll.DBRW($A$1,$F$14,$F$15,$C3601,$A$2,$F3601,$G3601,$H3601,I$1)</f>
        <v>9</v>
      </c>
      <c r="J3601" s="25">
        <f>_xll.DBRW($A$1,$F$14,$F$15,$C3601,$A$2,$F3601,$G3601,$H3601,J$19)</f>
        <v>4</v>
      </c>
    </row>
    <row r="3602" spans="1:10" s="23" customFormat="1" outlineLevel="1" thickBot="1" x14ac:dyDescent="0.3">
      <c r="A3602" s="44"/>
      <c r="B3602" s="31" t="str">
        <f>IF(_xll.TM1RPTELISCONSOLIDATED($H$20,$H3602),IF(_xll.TM1RPTELLEV($H$20,$H3602)&lt;=5,_xll.TM1RPTELLEV($H$20,$H3602),"Default"),"Leaf")</f>
        <v>Leaf</v>
      </c>
      <c r="C3602" s="26" t="s">
        <v>28</v>
      </c>
      <c r="D3602" s="24" t="str">
        <f>_xll.DBRW("TM1-S1_DEV:}ElementAttributes_SP_SKU",$F3602,D$1)</f>
        <v>Primary</v>
      </c>
      <c r="E3602" s="24" t="str">
        <f>_xll.DBRW("TM1-S1_DEV:}ElementAttributes_SP_SKU",$F3602,E$1)</f>
        <v>CHIPS</v>
      </c>
      <c r="F3602" s="26" t="s">
        <v>3255</v>
      </c>
      <c r="G3602" s="26" t="s">
        <v>2458</v>
      </c>
      <c r="H3602" s="26" t="s">
        <v>2736</v>
      </c>
      <c r="I3602" s="54">
        <f>_xll.DBRW($A$1,$F$14,$F$15,$C3602,$A$2,$F3602,$G3602,$H3602,I$1)</f>
        <v>17</v>
      </c>
      <c r="J3602" s="25">
        <f>_xll.DBRW($A$1,$F$14,$F$15,$C3602,$A$2,$F3602,$G3602,$H3602,J$19)</f>
        <v>23</v>
      </c>
    </row>
    <row r="3603" spans="1:10" s="23" customFormat="1" outlineLevel="1" thickBot="1" x14ac:dyDescent="0.3">
      <c r="A3603" s="44"/>
      <c r="B3603" s="31" t="str">
        <f>IF(_xll.TM1RPTELISCONSOLIDATED($H$20,$H3603),IF(_xll.TM1RPTELLEV($H$20,$H3603)&lt;=5,_xll.TM1RPTELLEV($H$20,$H3603),"Default"),"Leaf")</f>
        <v>Leaf</v>
      </c>
      <c r="C3603" s="26" t="s">
        <v>28</v>
      </c>
      <c r="D3603" s="24" t="str">
        <f>_xll.DBRW("TM1-S1_DEV:}ElementAttributes_SP_SKU",$F3603,D$1)</f>
        <v>Primary</v>
      </c>
      <c r="E3603" s="24" t="str">
        <f>_xll.DBRW("TM1-S1_DEV:}ElementAttributes_SP_SKU",$F3603,E$1)</f>
        <v>CHIPS</v>
      </c>
      <c r="F3603" s="26" t="s">
        <v>3256</v>
      </c>
      <c r="G3603" s="26" t="s">
        <v>2575</v>
      </c>
      <c r="H3603" s="26" t="s">
        <v>2736</v>
      </c>
      <c r="I3603" s="54">
        <f>_xll.DBRW($A$1,$F$14,$F$15,$C3603,$A$2,$F3603,$G3603,$H3603,I$1)</f>
        <v>18</v>
      </c>
      <c r="J3603" s="25">
        <f>_xll.DBRW($A$1,$F$14,$F$15,$C3603,$A$2,$F3603,$G3603,$H3603,J$19)</f>
        <v>19</v>
      </c>
    </row>
    <row r="3604" spans="1:10" s="23" customFormat="1" outlineLevel="1" thickBot="1" x14ac:dyDescent="0.3">
      <c r="A3604" s="44"/>
      <c r="B3604" s="31" t="str">
        <f>IF(_xll.TM1RPTELISCONSOLIDATED($H$20,$H3604),IF(_xll.TM1RPTELLEV($H$20,$H3604)&lt;=5,_xll.TM1RPTELLEV($H$20,$H3604),"Default"),"Leaf")</f>
        <v>Leaf</v>
      </c>
      <c r="C3604" s="26" t="s">
        <v>28</v>
      </c>
      <c r="D3604" s="24" t="str">
        <f>_xll.DBRW("TM1-S1_DEV:}ElementAttributes_SP_SKU",$F3604,D$1)</f>
        <v>Primary</v>
      </c>
      <c r="E3604" s="24" t="str">
        <f>_xll.DBRW("TM1-S1_DEV:}ElementAttributes_SP_SKU",$F3604,E$1)</f>
        <v>CHIPS</v>
      </c>
      <c r="F3604" s="26" t="s">
        <v>3257</v>
      </c>
      <c r="G3604" s="26" t="s">
        <v>2576</v>
      </c>
      <c r="H3604" s="26" t="s">
        <v>2736</v>
      </c>
      <c r="I3604" s="54">
        <f>_xll.DBRW($A$1,$F$14,$F$15,$C3604,$A$2,$F3604,$G3604,$H3604,I$1)</f>
        <v>26</v>
      </c>
      <c r="J3604" s="25">
        <f>_xll.DBRW($A$1,$F$14,$F$15,$C3604,$A$2,$F3604,$G3604,$H3604,J$19)</f>
        <v>32</v>
      </c>
    </row>
    <row r="3605" spans="1:10" s="23" customFormat="1" outlineLevel="1" thickBot="1" x14ac:dyDescent="0.3">
      <c r="A3605" s="44"/>
      <c r="B3605" s="31" t="str">
        <f>IF(_xll.TM1RPTELISCONSOLIDATED($H$20,$H3605),IF(_xll.TM1RPTELLEV($H$20,$H3605)&lt;=5,_xll.TM1RPTELLEV($H$20,$H3605),"Default"),"Leaf")</f>
        <v>Leaf</v>
      </c>
      <c r="C3605" s="26" t="s">
        <v>28</v>
      </c>
      <c r="D3605" s="24" t="str">
        <f>_xll.DBRW("TM1-S1_DEV:}ElementAttributes_SP_SKU",$F3605,D$1)</f>
        <v>Primary</v>
      </c>
      <c r="E3605" s="24" t="str">
        <f>_xll.DBRW("TM1-S1_DEV:}ElementAttributes_SP_SKU",$F3605,E$1)</f>
        <v>CHIPS</v>
      </c>
      <c r="F3605" s="26" t="s">
        <v>3258</v>
      </c>
      <c r="G3605" s="26" t="s">
        <v>2577</v>
      </c>
      <c r="H3605" s="26" t="s">
        <v>2736</v>
      </c>
      <c r="I3605" s="54">
        <f>_xll.DBRW($A$1,$F$14,$F$15,$C3605,$A$2,$F3605,$G3605,$H3605,I$1)</f>
        <v>16</v>
      </c>
      <c r="J3605" s="25">
        <f>_xll.DBRW($A$1,$F$14,$F$15,$C3605,$A$2,$F3605,$G3605,$H3605,J$19)</f>
        <v>17</v>
      </c>
    </row>
    <row r="3606" spans="1:10" s="23" customFormat="1" outlineLevel="1" thickBot="1" x14ac:dyDescent="0.3">
      <c r="A3606" s="44"/>
      <c r="B3606" s="31" t="str">
        <f>IF(_xll.TM1RPTELISCONSOLIDATED($H$20,$H3606),IF(_xll.TM1RPTELLEV($H$20,$H3606)&lt;=5,_xll.TM1RPTELLEV($H$20,$H3606),"Default"),"Leaf")</f>
        <v>Leaf</v>
      </c>
      <c r="C3606" s="26" t="s">
        <v>28</v>
      </c>
      <c r="D3606" s="24" t="str">
        <f>_xll.DBRW("TM1-S1_DEV:}ElementAttributes_SP_SKU",$F3606,D$1)</f>
        <v>Primary</v>
      </c>
      <c r="E3606" s="24" t="str">
        <f>_xll.DBRW("TM1-S1_DEV:}ElementAttributes_SP_SKU",$F3606,E$1)</f>
        <v>SIDES</v>
      </c>
      <c r="F3606" s="26" t="s">
        <v>3188</v>
      </c>
      <c r="G3606" s="26" t="s">
        <v>2459</v>
      </c>
      <c r="H3606" s="26" t="s">
        <v>2686</v>
      </c>
      <c r="I3606" s="54">
        <f>_xll.DBRW($A$1,$F$14,$F$15,$C3606,$A$2,$F3606,$G3606,$H3606,I$1)</f>
        <v>0</v>
      </c>
      <c r="J3606" s="25">
        <f>_xll.DBRW($A$1,$F$14,$F$15,$C3606,$A$2,$F3606,$G3606,$H3606,J$19)</f>
        <v>8</v>
      </c>
    </row>
    <row r="3607" spans="1:10" s="23" customFormat="1" outlineLevel="1" thickBot="1" x14ac:dyDescent="0.3">
      <c r="A3607" s="44"/>
      <c r="B3607" s="31" t="str">
        <f>IF(_xll.TM1RPTELISCONSOLIDATED($H$20,$H3607),IF(_xll.TM1RPTELLEV($H$20,$H3607)&lt;=5,_xll.TM1RPTELLEV($H$20,$H3607),"Default"),"Leaf")</f>
        <v>Leaf</v>
      </c>
      <c r="C3607" s="26" t="s">
        <v>28</v>
      </c>
      <c r="D3607" s="24" t="str">
        <f>_xll.DBRW("TM1-S1_DEV:}ElementAttributes_SP_SKU",$F3607,D$1)</f>
        <v>Primary</v>
      </c>
      <c r="E3607" s="24" t="str">
        <f>_xll.DBRW("TM1-S1_DEV:}ElementAttributes_SP_SKU",$F3607,E$1)</f>
        <v>CONDIMENT</v>
      </c>
      <c r="F3607" s="26" t="s">
        <v>3189</v>
      </c>
      <c r="G3607" s="26" t="s">
        <v>2460</v>
      </c>
      <c r="H3607" s="26" t="s">
        <v>2686</v>
      </c>
      <c r="I3607" s="54">
        <f>_xll.DBRW($A$1,$F$14,$F$15,$C3607,$A$2,$F3607,$G3607,$H3607,I$1)</f>
        <v>30</v>
      </c>
      <c r="J3607" s="25">
        <f>_xll.DBRW($A$1,$F$14,$F$15,$C3607,$A$2,$F3607,$G3607,$H3607,J$19)</f>
        <v>31</v>
      </c>
    </row>
    <row r="3608" spans="1:10" s="23" customFormat="1" outlineLevel="1" thickBot="1" x14ac:dyDescent="0.3">
      <c r="A3608" s="44"/>
      <c r="B3608" s="31" t="str">
        <f>IF(_xll.TM1RPTELISCONSOLIDATED($H$20,$H3608),IF(_xll.TM1RPTELLEV($H$20,$H3608)&lt;=5,_xll.TM1RPTELLEV($H$20,$H3608),"Default"),"Leaf")</f>
        <v>Leaf</v>
      </c>
      <c r="C3608" s="26" t="s">
        <v>28</v>
      </c>
      <c r="D3608" s="24" t="str">
        <f>_xll.DBRW("TM1-S1_DEV:}ElementAttributes_SP_SKU",$F3608,D$1)</f>
        <v>Primary</v>
      </c>
      <c r="E3608" s="24" t="str">
        <f>_xll.DBRW("TM1-S1_DEV:}ElementAttributes_SP_SKU",$F3608,E$1)</f>
        <v>INGREDIENT</v>
      </c>
      <c r="F3608" s="26" t="s">
        <v>3190</v>
      </c>
      <c r="G3608" s="26" t="s">
        <v>2461</v>
      </c>
      <c r="H3608" s="26" t="s">
        <v>2696</v>
      </c>
      <c r="I3608" s="54">
        <f>_xll.DBRW($A$1,$F$14,$F$15,$C3608,$A$2,$F3608,$G3608,$H3608,I$1)</f>
        <v>9</v>
      </c>
      <c r="J3608" s="25">
        <f>_xll.DBRW($A$1,$F$14,$F$15,$C3608,$A$2,$F3608,$G3608,$H3608,J$19)</f>
        <v>8</v>
      </c>
    </row>
    <row r="3609" spans="1:10" s="23" customFormat="1" outlineLevel="1" thickBot="1" x14ac:dyDescent="0.3">
      <c r="A3609" s="44"/>
      <c r="B3609" s="31" t="str">
        <f>IF(_xll.TM1RPTELISCONSOLIDATED($H$20,$H3609),IF(_xll.TM1RPTELLEV($H$20,$H3609)&lt;=5,_xll.TM1RPTELLEV($H$20,$H3609),"Default"),"Leaf")</f>
        <v>Leaf</v>
      </c>
      <c r="C3609" s="26" t="s">
        <v>28</v>
      </c>
      <c r="D3609" s="24" t="str">
        <f>_xll.DBRW("TM1-S1_DEV:}ElementAttributes_SP_SKU",$F3609,D$1)</f>
        <v>Primary</v>
      </c>
      <c r="E3609" s="24" t="str">
        <f>_xll.DBRW("TM1-S1_DEV:}ElementAttributes_SP_SKU",$F3609,E$1)</f>
        <v>INGREDIENT</v>
      </c>
      <c r="F3609" s="26" t="s">
        <v>3191</v>
      </c>
      <c r="G3609" s="26" t="s">
        <v>2462</v>
      </c>
      <c r="H3609" s="26" t="s">
        <v>2697</v>
      </c>
      <c r="I3609" s="54">
        <f>_xll.DBRW($A$1,$F$14,$F$15,$C3609,$A$2,$F3609,$G3609,$H3609,I$1)</f>
        <v>7</v>
      </c>
      <c r="J3609" s="25">
        <f>_xll.DBRW($A$1,$F$14,$F$15,$C3609,$A$2,$F3609,$G3609,$H3609,J$19)</f>
        <v>9</v>
      </c>
    </row>
    <row r="3610" spans="1:10" s="23" customFormat="1" outlineLevel="1" thickBot="1" x14ac:dyDescent="0.3">
      <c r="A3610" s="44"/>
      <c r="B3610" s="31" t="str">
        <f>IF(_xll.TM1RPTELISCONSOLIDATED($H$20,$H3610),IF(_xll.TM1RPTELLEV($H$20,$H3610)&lt;=5,_xll.TM1RPTELLEV($H$20,$H3610),"Default"),"Leaf")</f>
        <v>Leaf</v>
      </c>
      <c r="C3610" s="26" t="s">
        <v>28</v>
      </c>
      <c r="D3610" s="24" t="str">
        <f>_xll.DBRW("TM1-S1_DEV:}ElementAttributes_SP_SKU",$F3610,D$1)</f>
        <v>Primary</v>
      </c>
      <c r="E3610" s="24" t="str">
        <f>_xll.DBRW("TM1-S1_DEV:}ElementAttributes_SP_SKU",$F3610,E$1)</f>
        <v>INGREDIENT</v>
      </c>
      <c r="F3610" s="26" t="s">
        <v>3192</v>
      </c>
      <c r="G3610" s="26" t="s">
        <v>2463</v>
      </c>
      <c r="H3610" s="26" t="s">
        <v>2698</v>
      </c>
      <c r="I3610" s="54">
        <f>_xll.DBRW($A$1,$F$14,$F$15,$C3610,$A$2,$F3610,$G3610,$H3610,I$1)</f>
        <v>6</v>
      </c>
      <c r="J3610" s="25">
        <f>_xll.DBRW($A$1,$F$14,$F$15,$C3610,$A$2,$F3610,$G3610,$H3610,J$19)</f>
        <v>5</v>
      </c>
    </row>
    <row r="3611" spans="1:10" s="23" customFormat="1" outlineLevel="1" thickBot="1" x14ac:dyDescent="0.3">
      <c r="A3611" s="44"/>
      <c r="B3611" s="31" t="str">
        <f>IF(_xll.TM1RPTELISCONSOLIDATED($H$20,$H3611),IF(_xll.TM1RPTELLEV($H$20,$H3611)&lt;=5,_xll.TM1RPTELLEV($H$20,$H3611),"Default"),"Leaf")</f>
        <v>Leaf</v>
      </c>
      <c r="C3611" s="26" t="s">
        <v>28</v>
      </c>
      <c r="D3611" s="24" t="str">
        <f>_xll.DBRW("TM1-S1_DEV:}ElementAttributes_SP_SKU",$F3611,D$1)</f>
        <v>Primary</v>
      </c>
      <c r="E3611" s="24" t="str">
        <f>_xll.DBRW("TM1-S1_DEV:}ElementAttributes_SP_SKU",$F3611,E$1)</f>
        <v>INGREDIENT</v>
      </c>
      <c r="F3611" s="26" t="s">
        <v>3193</v>
      </c>
      <c r="G3611" s="26" t="s">
        <v>2464</v>
      </c>
      <c r="H3611" s="26" t="s">
        <v>2699</v>
      </c>
      <c r="I3611" s="54">
        <f>_xll.DBRW($A$1,$F$14,$F$15,$C3611,$A$2,$F3611,$G3611,$H3611,I$1)</f>
        <v>19</v>
      </c>
      <c r="J3611" s="25">
        <f>_xll.DBRW($A$1,$F$14,$F$15,$C3611,$A$2,$F3611,$G3611,$H3611,J$19)</f>
        <v>8</v>
      </c>
    </row>
    <row r="3612" spans="1:10" s="23" customFormat="1" outlineLevel="1" thickBot="1" x14ac:dyDescent="0.3">
      <c r="A3612" s="44"/>
      <c r="B3612" s="31" t="str">
        <f>IF(_xll.TM1RPTELISCONSOLIDATED($H$20,$H3612),IF(_xll.TM1RPTELLEV($H$20,$H3612)&lt;=5,_xll.TM1RPTELLEV($H$20,$H3612),"Default"),"Leaf")</f>
        <v>Leaf</v>
      </c>
      <c r="C3612" s="26" t="s">
        <v>28</v>
      </c>
      <c r="D3612" s="24" t="str">
        <f>_xll.DBRW("TM1-S1_DEV:}ElementAttributes_SP_SKU",$F3612,D$1)</f>
        <v>Primary</v>
      </c>
      <c r="E3612" s="24" t="str">
        <f>_xll.DBRW("TM1-S1_DEV:}ElementAttributes_SP_SKU",$F3612,E$1)</f>
        <v>COOKIE</v>
      </c>
      <c r="F3612" s="26" t="s">
        <v>3194</v>
      </c>
      <c r="G3612" s="26" t="s">
        <v>2578</v>
      </c>
      <c r="H3612" s="26" t="s">
        <v>2691</v>
      </c>
      <c r="I3612" s="54">
        <f>_xll.DBRW($A$1,$F$14,$F$15,$C3612,$A$2,$F3612,$G3612,$H3612,I$1)</f>
        <v>10</v>
      </c>
      <c r="J3612" s="25">
        <f>_xll.DBRW($A$1,$F$14,$F$15,$C3612,$A$2,$F3612,$G3612,$H3612,J$19)</f>
        <v>9</v>
      </c>
    </row>
    <row r="3613" spans="1:10" s="23" customFormat="1" outlineLevel="1" thickBot="1" x14ac:dyDescent="0.3">
      <c r="A3613" s="44"/>
      <c r="B3613" s="31" t="str">
        <f>IF(_xll.TM1RPTELISCONSOLIDATED($H$20,$H3613),IF(_xll.TM1RPTELLEV($H$20,$H3613)&lt;=5,_xll.TM1RPTELLEV($H$20,$H3613),"Default"),"Leaf")</f>
        <v>Leaf</v>
      </c>
      <c r="C3613" s="26" t="s">
        <v>28</v>
      </c>
      <c r="D3613" s="24" t="str">
        <f>_xll.DBRW("TM1-S1_DEV:}ElementAttributes_SP_SKU",$F3613,D$1)</f>
        <v>Primary</v>
      </c>
      <c r="E3613" s="24" t="str">
        <f>_xll.DBRW("TM1-S1_DEV:}ElementAttributes_SP_SKU",$F3613,E$1)</f>
        <v>COOKIE</v>
      </c>
      <c r="F3613" s="26" t="s">
        <v>3196</v>
      </c>
      <c r="G3613" s="26" t="s">
        <v>2603</v>
      </c>
      <c r="H3613" s="26" t="s">
        <v>2691</v>
      </c>
      <c r="I3613" s="54">
        <f>_xll.DBRW($A$1,$F$14,$F$15,$C3613,$A$2,$F3613,$G3613,$H3613,I$1)</f>
        <v>8</v>
      </c>
      <c r="J3613" s="25">
        <f>_xll.DBRW($A$1,$F$14,$F$15,$C3613,$A$2,$F3613,$G3613,$H3613,J$19)</f>
        <v>8</v>
      </c>
    </row>
    <row r="3614" spans="1:10" s="23" customFormat="1" outlineLevel="1" thickBot="1" x14ac:dyDescent="0.3">
      <c r="A3614" s="44"/>
      <c r="B3614" s="31" t="str">
        <f>IF(_xll.TM1RPTELISCONSOLIDATED($H$20,$H3614),IF(_xll.TM1RPTELLEV($H$20,$H3614)&lt;=5,_xll.TM1RPTELLEV($H$20,$H3614),"Default"),"Leaf")</f>
        <v>Leaf</v>
      </c>
      <c r="C3614" s="26" t="s">
        <v>28</v>
      </c>
      <c r="D3614" s="24" t="str">
        <f>_xll.DBRW("TM1-S1_DEV:}ElementAttributes_SP_SKU",$F3614,D$1)</f>
        <v>Primary</v>
      </c>
      <c r="E3614" s="24" t="str">
        <f>_xll.DBRW("TM1-S1_DEV:}ElementAttributes_SP_SKU",$F3614,E$1)</f>
        <v>INGREDIENT</v>
      </c>
      <c r="F3614" s="26" t="s">
        <v>3197</v>
      </c>
      <c r="G3614" s="26" t="s">
        <v>2465</v>
      </c>
      <c r="H3614" s="26" t="s">
        <v>2686</v>
      </c>
      <c r="I3614" s="54">
        <f>_xll.DBRW($A$1,$F$14,$F$15,$C3614,$A$2,$F3614,$G3614,$H3614,I$1)</f>
        <v>2</v>
      </c>
      <c r="J3614" s="25">
        <f>_xll.DBRW($A$1,$F$14,$F$15,$C3614,$A$2,$F3614,$G3614,$H3614,J$19)</f>
        <v>4</v>
      </c>
    </row>
    <row r="3615" spans="1:10" s="23" customFormat="1" outlineLevel="1" thickBot="1" x14ac:dyDescent="0.3">
      <c r="A3615" s="44"/>
      <c r="B3615" s="31" t="str">
        <f>IF(_xll.TM1RPTELISCONSOLIDATED($H$20,$H3615),IF(_xll.TM1RPTELLEV($H$20,$H3615)&lt;=5,_xll.TM1RPTELLEV($H$20,$H3615),"Default"),"Leaf")</f>
        <v>Leaf</v>
      </c>
      <c r="C3615" s="26" t="s">
        <v>28</v>
      </c>
      <c r="D3615" s="24" t="str">
        <f>_xll.DBRW("TM1-S1_DEV:}ElementAttributes_SP_SKU",$F3615,D$1)</f>
        <v>Primary</v>
      </c>
      <c r="E3615" s="24" t="str">
        <f>_xll.DBRW("TM1-S1_DEV:}ElementAttributes_SP_SKU",$F3615,E$1)</f>
        <v>INGREDIENT</v>
      </c>
      <c r="F3615" s="26" t="s">
        <v>30</v>
      </c>
      <c r="G3615" s="26" t="s">
        <v>2467</v>
      </c>
      <c r="H3615" s="26" t="s">
        <v>2700</v>
      </c>
      <c r="I3615" s="54">
        <f>_xll.DBRW($A$1,$F$14,$F$15,$C3615,$A$2,$F3615,$G3615,$H3615,I$1)</f>
        <v>7</v>
      </c>
      <c r="J3615" s="25">
        <f>_xll.DBRW($A$1,$F$14,$F$15,$C3615,$A$2,$F3615,$G3615,$H3615,J$19)</f>
        <v>6</v>
      </c>
    </row>
    <row r="3616" spans="1:10" s="23" customFormat="1" outlineLevel="1" thickBot="1" x14ac:dyDescent="0.3">
      <c r="A3616" s="44"/>
      <c r="B3616" s="31" t="str">
        <f>IF(_xll.TM1RPTELISCONSOLIDATED($H$20,$H3616),IF(_xll.TM1RPTELLEV($H$20,$H3616)&lt;=5,_xll.TM1RPTELLEV($H$20,$H3616),"Default"),"Leaf")</f>
        <v>Leaf</v>
      </c>
      <c r="C3616" s="26" t="s">
        <v>28</v>
      </c>
      <c r="D3616" s="24" t="str">
        <f>_xll.DBRW("TM1-S1_DEV:}ElementAttributes_SP_SKU",$F3616,D$1)</f>
        <v>Primary</v>
      </c>
      <c r="E3616" s="24" t="str">
        <f>_xll.DBRW("TM1-S1_DEV:}ElementAttributes_SP_SKU",$F3616,E$1)</f>
        <v>INGREDIENT</v>
      </c>
      <c r="F3616" s="26" t="s">
        <v>3198</v>
      </c>
      <c r="G3616" s="26" t="s">
        <v>2468</v>
      </c>
      <c r="H3616" s="26" t="s">
        <v>2701</v>
      </c>
      <c r="I3616" s="54">
        <f>_xll.DBRW($A$1,$F$14,$F$15,$C3616,$A$2,$F3616,$G3616,$H3616,I$1)</f>
        <v>13</v>
      </c>
      <c r="J3616" s="25">
        <f>_xll.DBRW($A$1,$F$14,$F$15,$C3616,$A$2,$F3616,$G3616,$H3616,J$19)</f>
        <v>0</v>
      </c>
    </row>
    <row r="3617" spans="1:10" s="23" customFormat="1" outlineLevel="1" thickBot="1" x14ac:dyDescent="0.3">
      <c r="A3617" s="44"/>
      <c r="B3617" s="31" t="str">
        <f>IF(_xll.TM1RPTELISCONSOLIDATED($H$20,$H3617),IF(_xll.TM1RPTELLEV($H$20,$H3617)&lt;=5,_xll.TM1RPTELLEV($H$20,$H3617),"Default"),"Leaf")</f>
        <v>Leaf</v>
      </c>
      <c r="C3617" s="26" t="s">
        <v>28</v>
      </c>
      <c r="D3617" s="24" t="str">
        <f>_xll.DBRW("TM1-S1_DEV:}ElementAttributes_SP_SKU",$F3617,D$1)</f>
        <v>Primary</v>
      </c>
      <c r="E3617" s="24" t="str">
        <f>_xll.DBRW("TM1-S1_DEV:}ElementAttributes_SP_SKU",$F3617,E$1)</f>
        <v>BOX</v>
      </c>
      <c r="F3617" s="26" t="s">
        <v>3199</v>
      </c>
      <c r="G3617" s="26" t="s">
        <v>2469</v>
      </c>
      <c r="H3617" s="26" t="s">
        <v>2702</v>
      </c>
      <c r="I3617" s="54">
        <f>_xll.DBRW($A$1,$F$14,$F$15,$C3617,$A$2,$F3617,$G3617,$H3617,I$1)</f>
        <v>31</v>
      </c>
      <c r="J3617" s="25">
        <f>_xll.DBRW($A$1,$F$14,$F$15,$C3617,$A$2,$F3617,$G3617,$H3617,J$19)</f>
        <v>31</v>
      </c>
    </row>
    <row r="3618" spans="1:10" s="23" customFormat="1" outlineLevel="1" thickBot="1" x14ac:dyDescent="0.3">
      <c r="A3618" s="44"/>
      <c r="B3618" s="31" t="str">
        <f>IF(_xll.TM1RPTELISCONSOLIDATED($H$20,$H3618),IF(_xll.TM1RPTELLEV($H$20,$H3618)&lt;=5,_xll.TM1RPTELLEV($H$20,$H3618),"Default"),"Leaf")</f>
        <v>Leaf</v>
      </c>
      <c r="C3618" s="26" t="s">
        <v>28</v>
      </c>
      <c r="D3618" s="24" t="str">
        <f>_xll.DBRW("TM1-S1_DEV:}ElementAttributes_SP_SKU",$F3618,D$1)</f>
        <v>Primary</v>
      </c>
      <c r="E3618" s="24" t="str">
        <f>_xll.DBRW("TM1-S1_DEV:}ElementAttributes_SP_SKU",$F3618,E$1)</f>
        <v>TRAY</v>
      </c>
      <c r="F3618" s="26" t="s">
        <v>3200</v>
      </c>
      <c r="G3618" s="26" t="s">
        <v>2470</v>
      </c>
      <c r="H3618" s="26" t="s">
        <v>2703</v>
      </c>
      <c r="I3618" s="54">
        <f>_xll.DBRW($A$1,$F$14,$F$15,$C3618,$A$2,$F3618,$G3618,$H3618,I$1)</f>
        <v>7</v>
      </c>
      <c r="J3618" s="25">
        <f>_xll.DBRW($A$1,$F$14,$F$15,$C3618,$A$2,$F3618,$G3618,$H3618,J$19)</f>
        <v>6</v>
      </c>
    </row>
    <row r="3619" spans="1:10" s="23" customFormat="1" outlineLevel="1" thickBot="1" x14ac:dyDescent="0.3">
      <c r="A3619" s="44"/>
      <c r="B3619" s="31" t="str">
        <f>IF(_xll.TM1RPTELISCONSOLIDATED($H$20,$H3619),IF(_xll.TM1RPTELLEV($H$20,$H3619)&lt;=5,_xll.TM1RPTELLEV($H$20,$H3619),"Default"),"Leaf")</f>
        <v>Leaf</v>
      </c>
      <c r="C3619" s="26" t="s">
        <v>28</v>
      </c>
      <c r="D3619" s="24" t="str">
        <f>_xll.DBRW("TM1-S1_DEV:}ElementAttributes_SP_SKU",$F3619,D$1)</f>
        <v>Primary</v>
      </c>
      <c r="E3619" s="24" t="str">
        <f>_xll.DBRW("TM1-S1_DEV:}ElementAttributes_SP_SKU",$F3619,E$1)</f>
        <v>TRAY</v>
      </c>
      <c r="F3619" s="26" t="s">
        <v>3201</v>
      </c>
      <c r="G3619" s="26" t="s">
        <v>2471</v>
      </c>
      <c r="H3619" s="26" t="s">
        <v>2703</v>
      </c>
      <c r="I3619" s="54">
        <f>_xll.DBRW($A$1,$F$14,$F$15,$C3619,$A$2,$F3619,$G3619,$H3619,I$1)</f>
        <v>8</v>
      </c>
      <c r="J3619" s="25">
        <f>_xll.DBRW($A$1,$F$14,$F$15,$C3619,$A$2,$F3619,$G3619,$H3619,J$19)</f>
        <v>8</v>
      </c>
    </row>
    <row r="3620" spans="1:10" s="23" customFormat="1" outlineLevel="1" thickBot="1" x14ac:dyDescent="0.3">
      <c r="A3620" s="44"/>
      <c r="B3620" s="31" t="str">
        <f>IF(_xll.TM1RPTELISCONSOLIDATED($H$20,$H3620),IF(_xll.TM1RPTELLEV($H$20,$H3620)&lt;=5,_xll.TM1RPTELLEV($H$20,$H3620),"Default"),"Leaf")</f>
        <v>Leaf</v>
      </c>
      <c r="C3620" s="26" t="s">
        <v>28</v>
      </c>
      <c r="D3620" s="24" t="str">
        <f>_xll.DBRW("TM1-S1_DEV:}ElementAttributes_SP_SKU",$F3620,D$1)</f>
        <v>Primary</v>
      </c>
      <c r="E3620" s="24" t="str">
        <f>_xll.DBRW("TM1-S1_DEV:}ElementAttributes_SP_SKU",$F3620,E$1)</f>
        <v>TRAY</v>
      </c>
      <c r="F3620" s="26" t="s">
        <v>3202</v>
      </c>
      <c r="G3620" s="26" t="s">
        <v>2472</v>
      </c>
      <c r="H3620" s="26" t="s">
        <v>2703</v>
      </c>
      <c r="I3620" s="54">
        <f>_xll.DBRW($A$1,$F$14,$F$15,$C3620,$A$2,$F3620,$G3620,$H3620,I$1)</f>
        <v>8</v>
      </c>
      <c r="J3620" s="25">
        <f>_xll.DBRW($A$1,$F$14,$F$15,$C3620,$A$2,$F3620,$G3620,$H3620,J$19)</f>
        <v>7</v>
      </c>
    </row>
    <row r="3621" spans="1:10" s="23" customFormat="1" outlineLevel="1" thickBot="1" x14ac:dyDescent="0.3">
      <c r="A3621" s="44"/>
      <c r="B3621" s="31" t="str">
        <f>IF(_xll.TM1RPTELISCONSOLIDATED($H$20,$H3621),IF(_xll.TM1RPTELLEV($H$20,$H3621)&lt;=5,_xll.TM1RPTELLEV($H$20,$H3621),"Default"),"Leaf")</f>
        <v>Leaf</v>
      </c>
      <c r="C3621" s="26" t="s">
        <v>28</v>
      </c>
      <c r="D3621" s="24" t="str">
        <f>_xll.DBRW("TM1-S1_DEV:}ElementAttributes_SP_SKU",$F3621,D$1)</f>
        <v>Primary</v>
      </c>
      <c r="E3621" s="24" t="str">
        <f>_xll.DBRW("TM1-S1_DEV:}ElementAttributes_SP_SKU",$F3621,E$1)</f>
        <v>TRAY</v>
      </c>
      <c r="F3621" s="26" t="s">
        <v>3203</v>
      </c>
      <c r="G3621" s="26" t="s">
        <v>2473</v>
      </c>
      <c r="H3621" s="26" t="s">
        <v>2703</v>
      </c>
      <c r="I3621" s="54">
        <f>_xll.DBRW($A$1,$F$14,$F$15,$C3621,$A$2,$F3621,$G3621,$H3621,I$1)</f>
        <v>8</v>
      </c>
      <c r="J3621" s="25">
        <f>_xll.DBRW($A$1,$F$14,$F$15,$C3621,$A$2,$F3621,$G3621,$H3621,J$19)</f>
        <v>8</v>
      </c>
    </row>
    <row r="3622" spans="1:10" s="23" customFormat="1" outlineLevel="1" thickBot="1" x14ac:dyDescent="0.3">
      <c r="A3622" s="44"/>
      <c r="B3622" s="31" t="str">
        <f>IF(_xll.TM1RPTELISCONSOLIDATED($H$20,$H3622),IF(_xll.TM1RPTELLEV($H$20,$H3622)&lt;=5,_xll.TM1RPTELLEV($H$20,$H3622),"Default"),"Leaf")</f>
        <v>Leaf</v>
      </c>
      <c r="C3622" s="26" t="s">
        <v>28</v>
      </c>
      <c r="D3622" s="24" t="str">
        <f>_xll.DBRW("TM1-S1_DEV:}ElementAttributes_SP_SKU",$F3622,D$1)</f>
        <v>Primary</v>
      </c>
      <c r="E3622" s="24" t="str">
        <f>_xll.DBRW("TM1-S1_DEV:}ElementAttributes_SP_SKU",$F3622,E$1)</f>
        <v>FOIL</v>
      </c>
      <c r="F3622" s="26" t="s">
        <v>3204</v>
      </c>
      <c r="G3622" s="26" t="s">
        <v>2474</v>
      </c>
      <c r="H3622" s="26" t="s">
        <v>2704</v>
      </c>
      <c r="I3622" s="54">
        <f>_xll.DBRW($A$1,$F$14,$F$15,$C3622,$A$2,$F3622,$G3622,$H3622,I$1)</f>
        <v>17</v>
      </c>
      <c r="J3622" s="25">
        <f>_xll.DBRW($A$1,$F$14,$F$15,$C3622,$A$2,$F3622,$G3622,$H3622,J$19)</f>
        <v>13</v>
      </c>
    </row>
    <row r="3623" spans="1:10" s="23" customFormat="1" outlineLevel="1" thickBot="1" x14ac:dyDescent="0.3">
      <c r="A3623" s="44"/>
      <c r="B3623" s="31" t="str">
        <f>IF(_xll.TM1RPTELISCONSOLIDATED($H$20,$H3623),IF(_xll.TM1RPTELLEV($H$20,$H3623)&lt;=5,_xll.TM1RPTELLEV($H$20,$H3623),"Default"),"Leaf")</f>
        <v>Leaf</v>
      </c>
      <c r="C3623" s="26" t="s">
        <v>28</v>
      </c>
      <c r="D3623" s="24" t="str">
        <f>_xll.DBRW("TM1-S1_DEV:}ElementAttributes_SP_SKU",$F3623,D$1)</f>
        <v>Primary</v>
      </c>
      <c r="E3623" s="24" t="str">
        <f>_xll.DBRW("TM1-S1_DEV:}ElementAttributes_SP_SKU",$F3623,E$1)</f>
        <v>BAG</v>
      </c>
      <c r="F3623" s="26" t="s">
        <v>3205</v>
      </c>
      <c r="G3623" s="26" t="s">
        <v>2475</v>
      </c>
      <c r="H3623" s="26" t="s">
        <v>2705</v>
      </c>
      <c r="I3623" s="54">
        <f>_xll.DBRW($A$1,$F$14,$F$15,$C3623,$A$2,$F3623,$G3623,$H3623,I$1)</f>
        <v>11</v>
      </c>
      <c r="J3623" s="25">
        <f>_xll.DBRW($A$1,$F$14,$F$15,$C3623,$A$2,$F3623,$G3623,$H3623,J$19)</f>
        <v>10</v>
      </c>
    </row>
    <row r="3624" spans="1:10" s="23" customFormat="1" outlineLevel="1" thickBot="1" x14ac:dyDescent="0.3">
      <c r="A3624" s="44"/>
      <c r="B3624" s="31" t="str">
        <f>IF(_xll.TM1RPTELISCONSOLIDATED($H$20,$H3624),IF(_xll.TM1RPTELLEV($H$20,$H3624)&lt;=5,_xll.TM1RPTELLEV($H$20,$H3624),"Default"),"Leaf")</f>
        <v>Leaf</v>
      </c>
      <c r="C3624" s="26" t="s">
        <v>28</v>
      </c>
      <c r="D3624" s="24" t="str">
        <f>_xll.DBRW("TM1-S1_DEV:}ElementAttributes_SP_SKU",$F3624,D$1)</f>
        <v>Primary</v>
      </c>
      <c r="E3624" s="24" t="str">
        <f>_xll.DBRW("TM1-S1_DEV:}ElementAttributes_SP_SKU",$F3624,E$1)</f>
        <v>FOIL</v>
      </c>
      <c r="F3624" s="26" t="s">
        <v>3206</v>
      </c>
      <c r="G3624" s="26" t="s">
        <v>2476</v>
      </c>
      <c r="H3624" s="26" t="s">
        <v>2704</v>
      </c>
      <c r="I3624" s="54">
        <f>_xll.DBRW($A$1,$F$14,$F$15,$C3624,$A$2,$F3624,$G3624,$H3624,I$1)</f>
        <v>16</v>
      </c>
      <c r="J3624" s="25">
        <f>_xll.DBRW($A$1,$F$14,$F$15,$C3624,$A$2,$F3624,$G3624,$H3624,J$19)</f>
        <v>13</v>
      </c>
    </row>
    <row r="3625" spans="1:10" s="23" customFormat="1" outlineLevel="1" thickBot="1" x14ac:dyDescent="0.3">
      <c r="A3625" s="44"/>
      <c r="B3625" s="31" t="str">
        <f>IF(_xll.TM1RPTELISCONSOLIDATED($H$20,$H3625),IF(_xll.TM1RPTELLEV($H$20,$H3625)&lt;=5,_xll.TM1RPTELLEV($H$20,$H3625),"Default"),"Leaf")</f>
        <v>Leaf</v>
      </c>
      <c r="C3625" s="26" t="s">
        <v>28</v>
      </c>
      <c r="D3625" s="24" t="str">
        <f>_xll.DBRW("TM1-S1_DEV:}ElementAttributes_SP_SKU",$F3625,D$1)</f>
        <v>Primary</v>
      </c>
      <c r="E3625" s="24" t="str">
        <f>_xll.DBRW("TM1-S1_DEV:}ElementAttributes_SP_SKU",$F3625,E$1)</f>
        <v>FOIL</v>
      </c>
      <c r="F3625" s="26" t="s">
        <v>3207</v>
      </c>
      <c r="G3625" s="26" t="s">
        <v>2477</v>
      </c>
      <c r="H3625" s="26" t="s">
        <v>2704</v>
      </c>
      <c r="I3625" s="54">
        <f>_xll.DBRW($A$1,$F$14,$F$15,$C3625,$A$2,$F3625,$G3625,$H3625,I$1)</f>
        <v>3</v>
      </c>
      <c r="J3625" s="25">
        <f>_xll.DBRW($A$1,$F$14,$F$15,$C3625,$A$2,$F3625,$G3625,$H3625,J$19)</f>
        <v>3</v>
      </c>
    </row>
    <row r="3626" spans="1:10" s="23" customFormat="1" outlineLevel="1" thickBot="1" x14ac:dyDescent="0.3">
      <c r="A3626" s="44"/>
      <c r="B3626" s="31" t="str">
        <f>IF(_xll.TM1RPTELISCONSOLIDATED($H$20,$H3626),IF(_xll.TM1RPTELLEV($H$20,$H3626)&lt;=5,_xll.TM1RPTELLEV($H$20,$H3626),"Default"),"Leaf")</f>
        <v>Leaf</v>
      </c>
      <c r="C3626" s="26" t="s">
        <v>28</v>
      </c>
      <c r="D3626" s="24" t="str">
        <f>_xll.DBRW("TM1-S1_DEV:}ElementAttributes_SP_SKU",$F3626,D$1)</f>
        <v>Primary</v>
      </c>
      <c r="E3626" s="24" t="str">
        <f>_xll.DBRW("TM1-S1_DEV:}ElementAttributes_SP_SKU",$F3626,E$1)</f>
        <v>BAG</v>
      </c>
      <c r="F3626" s="26" t="s">
        <v>3208</v>
      </c>
      <c r="G3626" s="26" t="s">
        <v>2478</v>
      </c>
      <c r="H3626" s="26" t="s">
        <v>2705</v>
      </c>
      <c r="I3626" s="54">
        <f>_xll.DBRW($A$1,$F$14,$F$15,$C3626,$A$2,$F3626,$G3626,$H3626,I$1)</f>
        <v>17</v>
      </c>
      <c r="J3626" s="25">
        <f>_xll.DBRW($A$1,$F$14,$F$15,$C3626,$A$2,$F3626,$G3626,$H3626,J$19)</f>
        <v>16</v>
      </c>
    </row>
    <row r="3627" spans="1:10" s="23" customFormat="1" outlineLevel="1" thickBot="1" x14ac:dyDescent="0.3">
      <c r="A3627" s="44"/>
      <c r="B3627" s="31" t="str">
        <f>IF(_xll.TM1RPTELISCONSOLIDATED($H$20,$H3627),IF(_xll.TM1RPTELLEV($H$20,$H3627)&lt;=5,_xll.TM1RPTELLEV($H$20,$H3627),"Default"),"Leaf")</f>
        <v>Leaf</v>
      </c>
      <c r="C3627" s="26" t="s">
        <v>28</v>
      </c>
      <c r="D3627" s="24" t="str">
        <f>_xll.DBRW("TM1-S1_DEV:}ElementAttributes_SP_SKU",$F3627,D$1)</f>
        <v>Primary</v>
      </c>
      <c r="E3627" s="24" t="str">
        <f>_xll.DBRW("TM1-S1_DEV:}ElementAttributes_SP_SKU",$F3627,E$1)</f>
        <v>BAG</v>
      </c>
      <c r="F3627" s="26" t="s">
        <v>3209</v>
      </c>
      <c r="G3627" s="26" t="s">
        <v>2479</v>
      </c>
      <c r="H3627" s="26" t="s">
        <v>2705</v>
      </c>
      <c r="I3627" s="54">
        <f>_xll.DBRW($A$1,$F$14,$F$15,$C3627,$A$2,$F3627,$G3627,$H3627,I$1)</f>
        <v>19</v>
      </c>
      <c r="J3627" s="25">
        <f>_xll.DBRW($A$1,$F$14,$F$15,$C3627,$A$2,$F3627,$G3627,$H3627,J$19)</f>
        <v>13</v>
      </c>
    </row>
    <row r="3628" spans="1:10" s="23" customFormat="1" outlineLevel="1" thickBot="1" x14ac:dyDescent="0.3">
      <c r="A3628" s="44"/>
      <c r="B3628" s="31" t="str">
        <f>IF(_xll.TM1RPTELISCONSOLIDATED($H$20,$H3628),IF(_xll.TM1RPTELLEV($H$20,$H3628)&lt;=5,_xll.TM1RPTELLEV($H$20,$H3628),"Default"),"Leaf")</f>
        <v>Leaf</v>
      </c>
      <c r="C3628" s="26" t="s">
        <v>28</v>
      </c>
      <c r="D3628" s="24" t="str">
        <f>_xll.DBRW("TM1-S1_DEV:}ElementAttributes_SP_SKU",$F3628,D$1)</f>
        <v>Primary</v>
      </c>
      <c r="E3628" s="24" t="str">
        <f>_xll.DBRW("TM1-S1_DEV:}ElementAttributes_SP_SKU",$F3628,E$1)</f>
        <v>BAG</v>
      </c>
      <c r="F3628" s="26" t="s">
        <v>3210</v>
      </c>
      <c r="G3628" s="26" t="s">
        <v>2480</v>
      </c>
      <c r="H3628" s="26" t="s">
        <v>2705</v>
      </c>
      <c r="I3628" s="54">
        <f>_xll.DBRW($A$1,$F$14,$F$15,$C3628,$A$2,$F3628,$G3628,$H3628,I$1)</f>
        <v>10</v>
      </c>
      <c r="J3628" s="25">
        <f>_xll.DBRW($A$1,$F$14,$F$15,$C3628,$A$2,$F3628,$G3628,$H3628,J$19)</f>
        <v>8</v>
      </c>
    </row>
    <row r="3629" spans="1:10" s="23" customFormat="1" outlineLevel="1" thickBot="1" x14ac:dyDescent="0.3">
      <c r="A3629" s="44"/>
      <c r="B3629" s="31" t="str">
        <f>IF(_xll.TM1RPTELISCONSOLIDATED($H$20,$H3629),IF(_xll.TM1RPTELLEV($H$20,$H3629)&lt;=5,_xll.TM1RPTELLEV($H$20,$H3629),"Default"),"Leaf")</f>
        <v>Leaf</v>
      </c>
      <c r="C3629" s="26" t="s">
        <v>28</v>
      </c>
      <c r="D3629" s="24" t="str">
        <f>_xll.DBRW("TM1-S1_DEV:}ElementAttributes_SP_SKU",$F3629,D$1)</f>
        <v>Primary</v>
      </c>
      <c r="E3629" s="24" t="str">
        <f>_xll.DBRW("TM1-S1_DEV:}ElementAttributes_SP_SKU",$F3629,E$1)</f>
        <v>BOX</v>
      </c>
      <c r="F3629" s="26" t="s">
        <v>3211</v>
      </c>
      <c r="G3629" s="26" t="s">
        <v>2481</v>
      </c>
      <c r="H3629" s="26" t="s">
        <v>2706</v>
      </c>
      <c r="I3629" s="54">
        <f>_xll.DBRW($A$1,$F$14,$F$15,$C3629,$A$2,$F3629,$G3629,$H3629,I$1)</f>
        <v>10</v>
      </c>
      <c r="J3629" s="25">
        <f>_xll.DBRW($A$1,$F$14,$F$15,$C3629,$A$2,$F3629,$G3629,$H3629,J$19)</f>
        <v>12</v>
      </c>
    </row>
    <row r="3630" spans="1:10" s="23" customFormat="1" outlineLevel="1" thickBot="1" x14ac:dyDescent="0.3">
      <c r="A3630" s="44"/>
      <c r="B3630" s="31" t="str">
        <f>IF(_xll.TM1RPTELISCONSOLIDATED($H$20,$H3630),IF(_xll.TM1RPTELLEV($H$20,$H3630)&lt;=5,_xll.TM1RPTELLEV($H$20,$H3630),"Default"),"Leaf")</f>
        <v>Leaf</v>
      </c>
      <c r="C3630" s="26" t="s">
        <v>28</v>
      </c>
      <c r="D3630" s="24" t="str">
        <f>_xll.DBRW("TM1-S1_DEV:}ElementAttributes_SP_SKU",$F3630,D$1)</f>
        <v>Primary</v>
      </c>
      <c r="E3630" s="24" t="str">
        <f>_xll.DBRW("TM1-S1_DEV:}ElementAttributes_SP_SKU",$F3630,E$1)</f>
        <v>FOIL</v>
      </c>
      <c r="F3630" s="26" t="s">
        <v>3212</v>
      </c>
      <c r="G3630" s="26" t="s">
        <v>2482</v>
      </c>
      <c r="H3630" s="26" t="s">
        <v>2704</v>
      </c>
      <c r="I3630" s="54">
        <f>_xll.DBRW($A$1,$F$14,$F$15,$C3630,$A$2,$F3630,$G3630,$H3630,I$1)</f>
        <v>12</v>
      </c>
      <c r="J3630" s="25">
        <f>_xll.DBRW($A$1,$F$14,$F$15,$C3630,$A$2,$F3630,$G3630,$H3630,J$19)</f>
        <v>4</v>
      </c>
    </row>
    <row r="3631" spans="1:10" s="23" customFormat="1" outlineLevel="1" thickBot="1" x14ac:dyDescent="0.3">
      <c r="A3631" s="44"/>
      <c r="B3631" s="31" t="str">
        <f>IF(_xll.TM1RPTELISCONSOLIDATED($H$20,$H3631),IF(_xll.TM1RPTELLEV($H$20,$H3631)&lt;=5,_xll.TM1RPTELLEV($H$20,$H3631),"Default"),"Leaf")</f>
        <v>Leaf</v>
      </c>
      <c r="C3631" s="26" t="s">
        <v>28</v>
      </c>
      <c r="D3631" s="24" t="str">
        <f>_xll.DBRW("TM1-S1_DEV:}ElementAttributes_SP_SKU",$F3631,D$1)</f>
        <v>Primary</v>
      </c>
      <c r="E3631" s="24" t="str">
        <f>_xll.DBRW("TM1-S1_DEV:}ElementAttributes_SP_SKU",$F3631,E$1)</f>
        <v>TRAY</v>
      </c>
      <c r="F3631" s="26" t="s">
        <v>3213</v>
      </c>
      <c r="G3631" s="26" t="s">
        <v>2483</v>
      </c>
      <c r="H3631" s="26" t="s">
        <v>2703</v>
      </c>
      <c r="I3631" s="54">
        <f>_xll.DBRW($A$1,$F$14,$F$15,$C3631,$A$2,$F3631,$G3631,$H3631,I$1)</f>
        <v>7</v>
      </c>
      <c r="J3631" s="25">
        <f>_xll.DBRW($A$1,$F$14,$F$15,$C3631,$A$2,$F3631,$G3631,$H3631,J$19)</f>
        <v>7</v>
      </c>
    </row>
    <row r="3632" spans="1:10" s="23" customFormat="1" outlineLevel="1" thickBot="1" x14ac:dyDescent="0.3">
      <c r="A3632" s="44"/>
      <c r="B3632" s="31" t="str">
        <f>IF(_xll.TM1RPTELISCONSOLIDATED($H$20,$H3632),IF(_xll.TM1RPTELLEV($H$20,$H3632)&lt;=5,_xll.TM1RPTELLEV($H$20,$H3632),"Default"),"Leaf")</f>
        <v>Leaf</v>
      </c>
      <c r="C3632" s="26" t="s">
        <v>28</v>
      </c>
      <c r="D3632" s="24" t="str">
        <f>_xll.DBRW("TM1-S1_DEV:}ElementAttributes_SP_SKU",$F3632,D$1)</f>
        <v>Primary</v>
      </c>
      <c r="E3632" s="24" t="str">
        <f>_xll.DBRW("TM1-S1_DEV:}ElementAttributes_SP_SKU",$F3632,E$1)</f>
        <v>TRAY</v>
      </c>
      <c r="F3632" s="26" t="s">
        <v>3214</v>
      </c>
      <c r="G3632" s="26" t="s">
        <v>2484</v>
      </c>
      <c r="H3632" s="26" t="s">
        <v>2703</v>
      </c>
      <c r="I3632" s="54">
        <f>_xll.DBRW($A$1,$F$14,$F$15,$C3632,$A$2,$F3632,$G3632,$H3632,I$1)</f>
        <v>8</v>
      </c>
      <c r="J3632" s="25">
        <f>_xll.DBRW($A$1,$F$14,$F$15,$C3632,$A$2,$F3632,$G3632,$H3632,J$19)</f>
        <v>8</v>
      </c>
    </row>
    <row r="3633" spans="1:10" s="23" customFormat="1" outlineLevel="1" thickBot="1" x14ac:dyDescent="0.3">
      <c r="A3633" s="44"/>
      <c r="B3633" s="31" t="str">
        <f>IF(_xll.TM1RPTELISCONSOLIDATED($H$20,$H3633),IF(_xll.TM1RPTELLEV($H$20,$H3633)&lt;=5,_xll.TM1RPTELLEV($H$20,$H3633),"Default"),"Leaf")</f>
        <v>Leaf</v>
      </c>
      <c r="C3633" s="26" t="s">
        <v>28</v>
      </c>
      <c r="D3633" s="24" t="str">
        <f>_xll.DBRW("TM1-S1_DEV:}ElementAttributes_SP_SKU",$F3633,D$1)</f>
        <v>Primary</v>
      </c>
      <c r="E3633" s="24" t="str">
        <f>_xll.DBRW("TM1-S1_DEV:}ElementAttributes_SP_SKU",$F3633,E$1)</f>
        <v>BOWL</v>
      </c>
      <c r="F3633" s="26" t="s">
        <v>3215</v>
      </c>
      <c r="G3633" s="26" t="s">
        <v>2485</v>
      </c>
      <c r="H3633" s="26" t="s">
        <v>2703</v>
      </c>
      <c r="I3633" s="54">
        <f>_xll.DBRW($A$1,$F$14,$F$15,$C3633,$A$2,$F3633,$G3633,$H3633,I$1)</f>
        <v>9</v>
      </c>
      <c r="J3633" s="25">
        <f>_xll.DBRW($A$1,$F$14,$F$15,$C3633,$A$2,$F3633,$G3633,$H3633,J$19)</f>
        <v>9</v>
      </c>
    </row>
    <row r="3634" spans="1:10" s="23" customFormat="1" outlineLevel="1" thickBot="1" x14ac:dyDescent="0.3">
      <c r="A3634" s="44"/>
      <c r="B3634" s="31" t="str">
        <f>IF(_xll.TM1RPTELISCONSOLIDATED($H$20,$H3634),IF(_xll.TM1RPTELLEV($H$20,$H3634)&lt;=5,_xll.TM1RPTELLEV($H$20,$H3634),"Default"),"Leaf")</f>
        <v>Leaf</v>
      </c>
      <c r="C3634" s="26" t="s">
        <v>28</v>
      </c>
      <c r="D3634" s="24" t="str">
        <f>_xll.DBRW("TM1-S1_DEV:}ElementAttributes_SP_SKU",$F3634,D$1)</f>
        <v>Primary</v>
      </c>
      <c r="E3634" s="24" t="str">
        <f>_xll.DBRW("TM1-S1_DEV:}ElementAttributes_SP_SKU",$F3634,E$1)</f>
        <v>BOWL</v>
      </c>
      <c r="F3634" s="26" t="s">
        <v>3216</v>
      </c>
      <c r="G3634" s="26" t="s">
        <v>2486</v>
      </c>
      <c r="H3634" s="26" t="s">
        <v>2703</v>
      </c>
      <c r="I3634" s="54">
        <f>_xll.DBRW($A$1,$F$14,$F$15,$C3634,$A$2,$F3634,$G3634,$H3634,I$1)</f>
        <v>9</v>
      </c>
      <c r="J3634" s="25">
        <f>_xll.DBRW($A$1,$F$14,$F$15,$C3634,$A$2,$F3634,$G3634,$H3634,J$19)</f>
        <v>9</v>
      </c>
    </row>
    <row r="3635" spans="1:10" s="23" customFormat="1" outlineLevel="1" thickBot="1" x14ac:dyDescent="0.3">
      <c r="A3635" s="44"/>
      <c r="B3635" s="31" t="str">
        <f>IF(_xll.TM1RPTELISCONSOLIDATED($H$20,$H3635),IF(_xll.TM1RPTELLEV($H$20,$H3635)&lt;=5,_xll.TM1RPTELLEV($H$20,$H3635),"Default"),"Leaf")</f>
        <v>Leaf</v>
      </c>
      <c r="C3635" s="26" t="s">
        <v>28</v>
      </c>
      <c r="D3635" s="24" t="str">
        <f>_xll.DBRW("TM1-S1_DEV:}ElementAttributes_SP_SKU",$F3635,D$1)</f>
        <v>Primary</v>
      </c>
      <c r="E3635" s="24" t="str">
        <f>_xll.DBRW("TM1-S1_DEV:}ElementAttributes_SP_SKU",$F3635,E$1)</f>
        <v>UTENSIL</v>
      </c>
      <c r="F3635" s="26" t="s">
        <v>3217</v>
      </c>
      <c r="G3635" s="26" t="s">
        <v>2487</v>
      </c>
      <c r="H3635" s="26" t="s">
        <v>2703</v>
      </c>
      <c r="I3635" s="54">
        <f>_xll.DBRW($A$1,$F$14,$F$15,$C3635,$A$2,$F3635,$G3635,$H3635,I$1)</f>
        <v>18</v>
      </c>
      <c r="J3635" s="25">
        <f>_xll.DBRW($A$1,$F$14,$F$15,$C3635,$A$2,$F3635,$G3635,$H3635,J$19)</f>
        <v>18</v>
      </c>
    </row>
    <row r="3636" spans="1:10" s="23" customFormat="1" outlineLevel="1" thickBot="1" x14ac:dyDescent="0.3">
      <c r="A3636" s="44"/>
      <c r="B3636" s="31" t="str">
        <f>IF(_xll.TM1RPTELISCONSOLIDATED($H$20,$H3636),IF(_xll.TM1RPTELLEV($H$20,$H3636)&lt;=5,_xll.TM1RPTELLEV($H$20,$H3636),"Default"),"Leaf")</f>
        <v>Leaf</v>
      </c>
      <c r="C3636" s="26" t="s">
        <v>28</v>
      </c>
      <c r="D3636" s="24" t="str">
        <f>_xll.DBRW("TM1-S1_DEV:}ElementAttributes_SP_SKU",$F3636,D$1)</f>
        <v>Primary</v>
      </c>
      <c r="E3636" s="24" t="str">
        <f>_xll.DBRW("TM1-S1_DEV:}ElementAttributes_SP_SKU",$F3636,E$1)</f>
        <v>UTENSIL</v>
      </c>
      <c r="F3636" s="26" t="s">
        <v>3218</v>
      </c>
      <c r="G3636" s="26" t="s">
        <v>2488</v>
      </c>
      <c r="H3636" s="26" t="s">
        <v>2703</v>
      </c>
      <c r="I3636" s="54">
        <f>_xll.DBRW($A$1,$F$14,$F$15,$C3636,$A$2,$F3636,$G3636,$H3636,I$1)</f>
        <v>9</v>
      </c>
      <c r="J3636" s="25">
        <f>_xll.DBRW($A$1,$F$14,$F$15,$C3636,$A$2,$F3636,$G3636,$H3636,J$19)</f>
        <v>9</v>
      </c>
    </row>
    <row r="3637" spans="1:10" s="23" customFormat="1" outlineLevel="1" thickBot="1" x14ac:dyDescent="0.3">
      <c r="A3637" s="44"/>
      <c r="B3637" s="31" t="str">
        <f>IF(_xll.TM1RPTELISCONSOLIDATED($H$20,$H3637),IF(_xll.TM1RPTELLEV($H$20,$H3637)&lt;=5,_xll.TM1RPTELLEV($H$20,$H3637),"Default"),"Leaf")</f>
        <v>Leaf</v>
      </c>
      <c r="C3637" s="26" t="s">
        <v>28</v>
      </c>
      <c r="D3637" s="24" t="str">
        <f>_xll.DBRW("TM1-S1_DEV:}ElementAttributes_SP_SKU",$F3637,D$1)</f>
        <v>Primary</v>
      </c>
      <c r="E3637" s="24" t="str">
        <f>_xll.DBRW("TM1-S1_DEV:}ElementAttributes_SP_SKU",$F3637,E$1)</f>
        <v>BAG</v>
      </c>
      <c r="F3637" s="26" t="s">
        <v>3219</v>
      </c>
      <c r="G3637" s="26" t="s">
        <v>2489</v>
      </c>
      <c r="H3637" s="26" t="s">
        <v>2705</v>
      </c>
      <c r="I3637" s="54">
        <f>_xll.DBRW($A$1,$F$14,$F$15,$C3637,$A$2,$F3637,$G3637,$H3637,I$1)</f>
        <v>3</v>
      </c>
      <c r="J3637" s="25">
        <f>_xll.DBRW($A$1,$F$14,$F$15,$C3637,$A$2,$F3637,$G3637,$H3637,J$19)</f>
        <v>4</v>
      </c>
    </row>
    <row r="3638" spans="1:10" s="23" customFormat="1" outlineLevel="1" thickBot="1" x14ac:dyDescent="0.3">
      <c r="A3638" s="44"/>
      <c r="B3638" s="31" t="str">
        <f>IF(_xll.TM1RPTELISCONSOLIDATED($H$20,$H3638),IF(_xll.TM1RPTELLEV($H$20,$H3638)&lt;=5,_xll.TM1RPTELLEV($H$20,$H3638),"Default"),"Leaf")</f>
        <v>Leaf</v>
      </c>
      <c r="C3638" s="26" t="s">
        <v>28</v>
      </c>
      <c r="D3638" s="24" t="str">
        <f>_xll.DBRW("TM1-S1_DEV:}ElementAttributes_SP_SKU",$F3638,D$1)</f>
        <v>Primary</v>
      </c>
      <c r="E3638" s="24" t="str">
        <f>_xll.DBRW("TM1-S1_DEV:}ElementAttributes_SP_SKU",$F3638,E$1)</f>
        <v>BOX</v>
      </c>
      <c r="F3638" s="26" t="s">
        <v>3220</v>
      </c>
      <c r="G3638" s="26" t="s">
        <v>2490</v>
      </c>
      <c r="H3638" s="26" t="s">
        <v>2702</v>
      </c>
      <c r="I3638" s="54">
        <f>_xll.DBRW($A$1,$F$14,$F$15,$C3638,$A$2,$F3638,$G3638,$H3638,I$1)</f>
        <v>11</v>
      </c>
      <c r="J3638" s="25">
        <f>_xll.DBRW($A$1,$F$14,$F$15,$C3638,$A$2,$F3638,$G3638,$H3638,J$19)</f>
        <v>11</v>
      </c>
    </row>
    <row r="3639" spans="1:10" s="23" customFormat="1" outlineLevel="1" thickBot="1" x14ac:dyDescent="0.3">
      <c r="A3639" s="44"/>
      <c r="B3639" s="31" t="str">
        <f>IF(_xll.TM1RPTELISCONSOLIDATED($H$20,$H3639),IF(_xll.TM1RPTELLEV($H$20,$H3639)&lt;=5,_xll.TM1RPTELLEV($H$20,$H3639),"Default"),"Leaf")</f>
        <v>Leaf</v>
      </c>
      <c r="C3639" s="26" t="s">
        <v>28</v>
      </c>
      <c r="D3639" s="24" t="str">
        <f>_xll.DBRW("TM1-S1_DEV:}ElementAttributes_SP_SKU",$F3639,D$1)</f>
        <v>Primary</v>
      </c>
      <c r="E3639" s="24" t="str">
        <f>_xll.DBRW("TM1-S1_DEV:}ElementAttributes_SP_SKU",$F3639,E$1)</f>
        <v>BOX</v>
      </c>
      <c r="F3639" s="26" t="s">
        <v>3221</v>
      </c>
      <c r="G3639" s="26" t="s">
        <v>2491</v>
      </c>
      <c r="H3639" s="26" t="s">
        <v>2702</v>
      </c>
      <c r="I3639" s="54">
        <f>_xll.DBRW($A$1,$F$14,$F$15,$C3639,$A$2,$F3639,$G3639,$H3639,I$1)</f>
        <v>25</v>
      </c>
      <c r="J3639" s="25">
        <f>_xll.DBRW($A$1,$F$14,$F$15,$C3639,$A$2,$F3639,$G3639,$H3639,J$19)</f>
        <v>24</v>
      </c>
    </row>
    <row r="3640" spans="1:10" s="23" customFormat="1" outlineLevel="1" thickBot="1" x14ac:dyDescent="0.3">
      <c r="A3640" s="44"/>
      <c r="B3640" s="31" t="str">
        <f>IF(_xll.TM1RPTELISCONSOLIDATED($H$20,$H3640),IF(_xll.TM1RPTELLEV($H$20,$H3640)&lt;=5,_xll.TM1RPTELLEV($H$20,$H3640),"Default"),"Leaf")</f>
        <v>Leaf</v>
      </c>
      <c r="C3640" s="26" t="s">
        <v>28</v>
      </c>
      <c r="D3640" s="24" t="str">
        <f>_xll.DBRW("TM1-S1_DEV:}ElementAttributes_SP_SKU",$F3640,D$1)</f>
        <v>Primary</v>
      </c>
      <c r="E3640" s="24" t="str">
        <f>_xll.DBRW("TM1-S1_DEV:}ElementAttributes_SP_SKU",$F3640,E$1)</f>
        <v>BOX</v>
      </c>
      <c r="F3640" s="26" t="s">
        <v>3222</v>
      </c>
      <c r="G3640" s="26" t="s">
        <v>2492</v>
      </c>
      <c r="H3640" s="26" t="s">
        <v>2702</v>
      </c>
      <c r="I3640" s="54">
        <f>_xll.DBRW($A$1,$F$14,$F$15,$C3640,$A$2,$F3640,$G3640,$H3640,I$1)</f>
        <v>1</v>
      </c>
      <c r="J3640" s="25">
        <f>_xll.DBRW($A$1,$F$14,$F$15,$C3640,$A$2,$F3640,$G3640,$H3640,J$19)</f>
        <v>1</v>
      </c>
    </row>
    <row r="3641" spans="1:10" s="23" customFormat="1" outlineLevel="1" thickBot="1" x14ac:dyDescent="0.3">
      <c r="A3641" s="44"/>
      <c r="B3641" s="31" t="str">
        <f>IF(_xll.TM1RPTELISCONSOLIDATED($H$20,$H3641),IF(_xll.TM1RPTELLEV($H$20,$H3641)&lt;=5,_xll.TM1RPTELLEV($H$20,$H3641),"Default"),"Leaf")</f>
        <v>Leaf</v>
      </c>
      <c r="C3641" s="26" t="s">
        <v>28</v>
      </c>
      <c r="D3641" s="24" t="str">
        <f>_xll.DBRW("TM1-S1_DEV:}ElementAttributes_SP_SKU",$F3641,D$1)</f>
        <v>Primary</v>
      </c>
      <c r="E3641" s="24" t="str">
        <f>_xll.DBRW("TM1-S1_DEV:}ElementAttributes_SP_SKU",$F3641,E$1)</f>
        <v>BOWL</v>
      </c>
      <c r="F3641" s="26" t="s">
        <v>3223</v>
      </c>
      <c r="G3641" s="26" t="s">
        <v>2493</v>
      </c>
      <c r="H3641" s="26" t="s">
        <v>2703</v>
      </c>
      <c r="I3641" s="54">
        <f>_xll.DBRW($A$1,$F$14,$F$15,$C3641,$A$2,$F3641,$G3641,$H3641,I$1)</f>
        <v>6</v>
      </c>
      <c r="J3641" s="25">
        <f>_xll.DBRW($A$1,$F$14,$F$15,$C3641,$A$2,$F3641,$G3641,$H3641,J$19)</f>
        <v>6</v>
      </c>
    </row>
    <row r="3642" spans="1:10" s="23" customFormat="1" outlineLevel="1" thickBot="1" x14ac:dyDescent="0.3">
      <c r="A3642" s="44"/>
      <c r="B3642" s="31" t="str">
        <f>IF(_xll.TM1RPTELISCONSOLIDATED($H$20,$H3642),IF(_xll.TM1RPTELLEV($H$20,$H3642)&lt;=5,_xll.TM1RPTELLEV($H$20,$H3642),"Default"),"Leaf")</f>
        <v>Leaf</v>
      </c>
      <c r="C3642" s="26" t="s">
        <v>28</v>
      </c>
      <c r="D3642" s="24" t="str">
        <f>_xll.DBRW("TM1-S1_DEV:}ElementAttributes_SP_SKU",$F3642,D$1)</f>
        <v>Unassigned PSP</v>
      </c>
      <c r="E3642" s="24" t="str">
        <f>_xll.DBRW("TM1-S1_DEV:}ElementAttributes_SP_SKU",$F3642,E$1)</f>
        <v>BOWL</v>
      </c>
      <c r="F3642" s="26" t="s">
        <v>75</v>
      </c>
      <c r="G3642" s="26" t="s">
        <v>2579</v>
      </c>
      <c r="H3642" s="26" t="s">
        <v>2745</v>
      </c>
      <c r="I3642" s="54">
        <f>_xll.DBRW($A$1,$F$14,$F$15,$C3642,$A$2,$F3642,$G3642,$H3642,I$1)</f>
        <v>2</v>
      </c>
      <c r="J3642" s="25">
        <f>_xll.DBRW($A$1,$F$14,$F$15,$C3642,$A$2,$F3642,$G3642,$H3642,J$19)</f>
        <v>2</v>
      </c>
    </row>
    <row r="3643" spans="1:10" s="23" customFormat="1" outlineLevel="1" thickBot="1" x14ac:dyDescent="0.3">
      <c r="A3643" s="44"/>
      <c r="B3643" s="31" t="str">
        <f>IF(_xll.TM1RPTELISCONSOLIDATED($H$20,$H3643),IF(_xll.TM1RPTELLEV($H$20,$H3643)&lt;=5,_xll.TM1RPTELLEV($H$20,$H3643),"Default"),"Leaf")</f>
        <v>Leaf</v>
      </c>
      <c r="C3643" s="26" t="s">
        <v>28</v>
      </c>
      <c r="D3643" s="24" t="str">
        <f>_xll.DBRW("TM1-S1_DEV:}ElementAttributes_SP_SKU",$F3643,D$1)</f>
        <v>Unassigned PSP</v>
      </c>
      <c r="E3643" s="24" t="str">
        <f>_xll.DBRW("TM1-S1_DEV:}ElementAttributes_SP_SKU",$F3643,E$1)</f>
        <v>LID</v>
      </c>
      <c r="F3643" s="26" t="s">
        <v>76</v>
      </c>
      <c r="G3643" s="26" t="s">
        <v>2580</v>
      </c>
      <c r="H3643" s="26" t="s">
        <v>2745</v>
      </c>
      <c r="I3643" s="54">
        <f>_xll.DBRW($A$1,$F$14,$F$15,$C3643,$A$2,$F3643,$G3643,$H3643,I$1)</f>
        <v>3</v>
      </c>
      <c r="J3643" s="25">
        <f>_xll.DBRW($A$1,$F$14,$F$15,$C3643,$A$2,$F3643,$G3643,$H3643,J$19)</f>
        <v>3</v>
      </c>
    </row>
    <row r="3644" spans="1:10" s="23" customFormat="1" outlineLevel="1" thickBot="1" x14ac:dyDescent="0.3">
      <c r="A3644" s="44"/>
      <c r="B3644" s="31" t="str">
        <f>IF(_xll.TM1RPTELISCONSOLIDATED($H$20,$H3644),IF(_xll.TM1RPTELLEV($H$20,$H3644)&lt;=5,_xll.TM1RPTELLEV($H$20,$H3644),"Default"),"Leaf")</f>
        <v>Leaf</v>
      </c>
      <c r="C3644" s="26" t="s">
        <v>28</v>
      </c>
      <c r="D3644" s="24" t="str">
        <f>_xll.DBRW("TM1-S1_DEV:}ElementAttributes_SP_SKU",$F3644,D$1)</f>
        <v>Primary</v>
      </c>
      <c r="E3644" s="24" t="str">
        <f>_xll.DBRW("TM1-S1_DEV:}ElementAttributes_SP_SKU",$F3644,E$1)</f>
        <v>BAG</v>
      </c>
      <c r="F3644" s="26" t="s">
        <v>3224</v>
      </c>
      <c r="G3644" s="26" t="s">
        <v>2494</v>
      </c>
      <c r="H3644" s="26" t="s">
        <v>2705</v>
      </c>
      <c r="I3644" s="54">
        <f>_xll.DBRW($A$1,$F$14,$F$15,$C3644,$A$2,$F3644,$G3644,$H3644,I$1)</f>
        <v>12</v>
      </c>
      <c r="J3644" s="25">
        <f>_xll.DBRW($A$1,$F$14,$F$15,$C3644,$A$2,$F3644,$G3644,$H3644,J$19)</f>
        <v>12</v>
      </c>
    </row>
    <row r="3645" spans="1:10" s="23" customFormat="1" outlineLevel="1" thickBot="1" x14ac:dyDescent="0.3">
      <c r="A3645" s="44"/>
      <c r="B3645" s="31" t="str">
        <f>IF(_xll.TM1RPTELISCONSOLIDATED($H$20,$H3645),IF(_xll.TM1RPTELLEV($H$20,$H3645)&lt;=5,_xll.TM1RPTELLEV($H$20,$H3645),"Default"),"Leaf")</f>
        <v>Leaf</v>
      </c>
      <c r="C3645" s="26" t="s">
        <v>28</v>
      </c>
      <c r="D3645" s="24" t="str">
        <f>_xll.DBRW("TM1-S1_DEV:}ElementAttributes_SP_SKU",$F3645,D$1)</f>
        <v>Primary</v>
      </c>
      <c r="E3645" s="24" t="str">
        <f>_xll.DBRW("TM1-S1_DEV:}ElementAttributes_SP_SKU",$F3645,E$1)</f>
        <v>CUP</v>
      </c>
      <c r="F3645" s="26" t="s">
        <v>3225</v>
      </c>
      <c r="G3645" s="26" t="s">
        <v>2495</v>
      </c>
      <c r="H3645" s="26" t="s">
        <v>2707</v>
      </c>
      <c r="I3645" s="54">
        <f>_xll.DBRW($A$1,$F$14,$F$15,$C3645,$A$2,$F3645,$G3645,$H3645,I$1)</f>
        <v>7</v>
      </c>
      <c r="J3645" s="25">
        <f>_xll.DBRW($A$1,$F$14,$F$15,$C3645,$A$2,$F3645,$G3645,$H3645,J$19)</f>
        <v>4</v>
      </c>
    </row>
    <row r="3646" spans="1:10" s="23" customFormat="1" outlineLevel="1" thickBot="1" x14ac:dyDescent="0.3">
      <c r="A3646" s="44"/>
      <c r="B3646" s="31" t="str">
        <f>IF(_xll.TM1RPTELISCONSOLIDATED($H$20,$H3646),IF(_xll.TM1RPTELLEV($H$20,$H3646)&lt;=5,_xll.TM1RPTELLEV($H$20,$H3646),"Default"),"Leaf")</f>
        <v>Leaf</v>
      </c>
      <c r="C3646" s="26" t="s">
        <v>28</v>
      </c>
      <c r="D3646" s="24" t="str">
        <f>_xll.DBRW("TM1-S1_DEV:}ElementAttributes_SP_SKU",$F3646,D$1)</f>
        <v>Primary</v>
      </c>
      <c r="E3646" s="24" t="str">
        <f>_xll.DBRW("TM1-S1_DEV:}ElementAttributes_SP_SKU",$F3646,E$1)</f>
        <v>CUP</v>
      </c>
      <c r="F3646" s="26" t="s">
        <v>3226</v>
      </c>
      <c r="G3646" s="26" t="s">
        <v>2496</v>
      </c>
      <c r="H3646" s="26" t="s">
        <v>2707</v>
      </c>
      <c r="I3646" s="54">
        <f>_xll.DBRW($A$1,$F$14,$F$15,$C3646,$A$2,$F3646,$G3646,$H3646,I$1)</f>
        <v>6</v>
      </c>
      <c r="J3646" s="25">
        <f>_xll.DBRW($A$1,$F$14,$F$15,$C3646,$A$2,$F3646,$G3646,$H3646,J$19)</f>
        <v>3</v>
      </c>
    </row>
    <row r="3647" spans="1:10" s="23" customFormat="1" outlineLevel="1" thickBot="1" x14ac:dyDescent="0.3">
      <c r="A3647" s="44"/>
      <c r="B3647" s="31" t="str">
        <f>IF(_xll.TM1RPTELISCONSOLIDATED($H$20,$H3647),IF(_xll.TM1RPTELLEV($H$20,$H3647)&lt;=5,_xll.TM1RPTELLEV($H$20,$H3647),"Default"),"Leaf")</f>
        <v>Leaf</v>
      </c>
      <c r="C3647" s="26" t="s">
        <v>28</v>
      </c>
      <c r="D3647" s="24" t="str">
        <f>_xll.DBRW("TM1-S1_DEV:}ElementAttributes_SP_SKU",$F3647,D$1)</f>
        <v>Primary</v>
      </c>
      <c r="E3647" s="24" t="str">
        <f>_xll.DBRW("TM1-S1_DEV:}ElementAttributes_SP_SKU",$F3647,E$1)</f>
        <v>PROTEIN</v>
      </c>
      <c r="F3647" s="26" t="s">
        <v>3227</v>
      </c>
      <c r="G3647" s="26" t="s">
        <v>2497</v>
      </c>
      <c r="H3647" s="26" t="s">
        <v>2673</v>
      </c>
      <c r="I3647" s="54">
        <f>_xll.DBRW($A$1,$F$14,$F$15,$C3647,$A$2,$F3647,$G3647,$H3647,I$1)</f>
        <v>30</v>
      </c>
      <c r="J3647" s="25">
        <f>_xll.DBRW($A$1,$F$14,$F$15,$C3647,$A$2,$F3647,$G3647,$H3647,J$19)</f>
        <v>21</v>
      </c>
    </row>
    <row r="3648" spans="1:10" s="23" customFormat="1" outlineLevel="1" thickBot="1" x14ac:dyDescent="0.3">
      <c r="A3648" s="44"/>
      <c r="B3648" s="31" t="str">
        <f>IF(_xll.TM1RPTELISCONSOLIDATED($H$20,$H3648),IF(_xll.TM1RPTELLEV($H$20,$H3648)&lt;=5,_xll.TM1RPTELLEV($H$20,$H3648),"Default"),"Leaf")</f>
        <v>Leaf</v>
      </c>
      <c r="C3648" s="26" t="s">
        <v>28</v>
      </c>
      <c r="D3648" s="24" t="str">
        <f>_xll.DBRW("TM1-S1_DEV:}ElementAttributes_SP_SKU",$F3648,D$1)</f>
        <v>Primary</v>
      </c>
      <c r="E3648" s="24" t="str">
        <f>_xll.DBRW("TM1-S1_DEV:}ElementAttributes_SP_SKU",$F3648,E$1)</f>
        <v>GLOVES</v>
      </c>
      <c r="F3648" s="26" t="s">
        <v>3275</v>
      </c>
      <c r="G3648" s="26" t="s">
        <v>2498</v>
      </c>
      <c r="H3648" s="26" t="s">
        <v>2712</v>
      </c>
      <c r="I3648" s="54">
        <f>_xll.DBRW($A$1,$F$14,$F$15,$C3648,$A$2,$F3648,$G3648,$H3648,I$1)</f>
        <v>32</v>
      </c>
      <c r="J3648" s="25">
        <f>_xll.DBRW($A$1,$F$14,$F$15,$C3648,$A$2,$F3648,$G3648,$H3648,J$19)</f>
        <v>25</v>
      </c>
    </row>
    <row r="3649" spans="1:10" s="23" customFormat="1" outlineLevel="1" thickBot="1" x14ac:dyDescent="0.3">
      <c r="A3649" s="44"/>
      <c r="B3649" s="31" t="str">
        <f>IF(_xll.TM1RPTELISCONSOLIDATED($H$20,$H3649),IF(_xll.TM1RPTELLEV($H$20,$H3649)&lt;=5,_xll.TM1RPTELLEV($H$20,$H3649),"Default"),"Leaf")</f>
        <v>Leaf</v>
      </c>
      <c r="C3649" s="26" t="s">
        <v>28</v>
      </c>
      <c r="D3649" s="24" t="str">
        <f>_xll.DBRW("TM1-S1_DEV:}ElementAttributes_SP_SKU",$F3649,D$1)</f>
        <v>Primary</v>
      </c>
      <c r="E3649" s="24" t="str">
        <f>_xll.DBRW("TM1-S1_DEV:}ElementAttributes_SP_SKU",$F3649,E$1)</f>
        <v>TRAY</v>
      </c>
      <c r="F3649" s="26" t="s">
        <v>3228</v>
      </c>
      <c r="G3649" s="26" t="s">
        <v>2499</v>
      </c>
      <c r="H3649" s="26" t="s">
        <v>2708</v>
      </c>
      <c r="I3649" s="54">
        <f>_xll.DBRW($A$1,$F$14,$F$15,$C3649,$A$2,$F3649,$G3649,$H3649,I$1)</f>
        <v>7</v>
      </c>
      <c r="J3649" s="25">
        <f>_xll.DBRW($A$1,$F$14,$F$15,$C3649,$A$2,$F3649,$G3649,$H3649,J$19)</f>
        <v>7</v>
      </c>
    </row>
    <row r="3650" spans="1:10" s="23" customFormat="1" outlineLevel="1" thickBot="1" x14ac:dyDescent="0.3">
      <c r="A3650" s="44"/>
      <c r="B3650" s="31" t="str">
        <f>IF(_xll.TM1RPTELISCONSOLIDATED($H$20,$H3650),IF(_xll.TM1RPTELLEV($H$20,$H3650)&lt;=5,_xll.TM1RPTELLEV($H$20,$H3650),"Default"),"Leaf")</f>
        <v>Leaf</v>
      </c>
      <c r="C3650" s="26" t="s">
        <v>28</v>
      </c>
      <c r="D3650" s="24" t="str">
        <f>_xll.DBRW("TM1-S1_DEV:}ElementAttributes_SP_SKU",$F3650,D$1)</f>
        <v>Primary</v>
      </c>
      <c r="E3650" s="24" t="str">
        <f>_xll.DBRW("TM1-S1_DEV:}ElementAttributes_SP_SKU",$F3650,E$1)</f>
        <v>TRAY</v>
      </c>
      <c r="F3650" s="26" t="s">
        <v>3229</v>
      </c>
      <c r="G3650" s="26" t="s">
        <v>2500</v>
      </c>
      <c r="H3650" s="26" t="s">
        <v>2708</v>
      </c>
      <c r="I3650" s="54">
        <f>_xll.DBRW($A$1,$F$14,$F$15,$C3650,$A$2,$F3650,$G3650,$H3650,I$1)</f>
        <v>6</v>
      </c>
      <c r="J3650" s="25">
        <f>_xll.DBRW($A$1,$F$14,$F$15,$C3650,$A$2,$F3650,$G3650,$H3650,J$19)</f>
        <v>6</v>
      </c>
    </row>
    <row r="3651" spans="1:10" s="23" customFormat="1" outlineLevel="1" thickBot="1" x14ac:dyDescent="0.3">
      <c r="A3651" s="44"/>
      <c r="B3651" s="31" t="str">
        <f>IF(_xll.TM1RPTELISCONSOLIDATED($H$20,$H3651),IF(_xll.TM1RPTELLEV($H$20,$H3651)&lt;=5,_xll.TM1RPTELLEV($H$20,$H3651),"Default"),"Leaf")</f>
        <v>Leaf</v>
      </c>
      <c r="C3651" s="26" t="s">
        <v>28</v>
      </c>
      <c r="D3651" s="24" t="str">
        <f>_xll.DBRW("TM1-S1_DEV:}ElementAttributes_SP_SKU",$F3651,D$1)</f>
        <v>Primary</v>
      </c>
      <c r="E3651" s="24" t="str">
        <f>_xll.DBRW("TM1-S1_DEV:}ElementAttributes_SP_SKU",$F3651,E$1)</f>
        <v>BOWL</v>
      </c>
      <c r="F3651" s="26" t="s">
        <v>3230</v>
      </c>
      <c r="G3651" s="26" t="s">
        <v>2501</v>
      </c>
      <c r="H3651" s="26" t="s">
        <v>2703</v>
      </c>
      <c r="I3651" s="54">
        <f>_xll.DBRW($A$1,$F$14,$F$15,$C3651,$A$2,$F3651,$G3651,$H3651,I$1)</f>
        <v>6</v>
      </c>
      <c r="J3651" s="25">
        <f>_xll.DBRW($A$1,$F$14,$F$15,$C3651,$A$2,$F3651,$G3651,$H3651,J$19)</f>
        <v>6</v>
      </c>
    </row>
    <row r="3652" spans="1:10" s="23" customFormat="1" outlineLevel="1" thickBot="1" x14ac:dyDescent="0.3">
      <c r="A3652" s="44"/>
      <c r="B3652" s="31" t="str">
        <f>IF(_xll.TM1RPTELISCONSOLIDATED($H$20,$H3652),IF(_xll.TM1RPTELLEV($H$20,$H3652)&lt;=5,_xll.TM1RPTELLEV($H$20,$H3652),"Default"),"Leaf")</f>
        <v>Leaf</v>
      </c>
      <c r="C3652" s="26" t="s">
        <v>28</v>
      </c>
      <c r="D3652" s="24" t="str">
        <f>_xll.DBRW("TM1-S1_DEV:}ElementAttributes_SP_SKU",$F3652,D$1)</f>
        <v>Unassigned PSP</v>
      </c>
      <c r="E3652" s="24" t="str">
        <f>_xll.DBRW("TM1-S1_DEV:}ElementAttributes_SP_SKU",$F3652,E$1)</f>
        <v>UTENSIL</v>
      </c>
      <c r="F3652" s="26" t="s">
        <v>313</v>
      </c>
      <c r="G3652" s="26" t="s">
        <v>637</v>
      </c>
      <c r="H3652" s="26" t="s">
        <v>2703</v>
      </c>
      <c r="I3652" s="54">
        <f>_xll.DBRW($A$1,$F$14,$F$15,$C3652,$A$2,$F3652,$G3652,$H3652,I$1)</f>
        <v>3</v>
      </c>
      <c r="J3652" s="25">
        <f>_xll.DBRW($A$1,$F$14,$F$15,$C3652,$A$2,$F3652,$G3652,$H3652,J$19)</f>
        <v>3</v>
      </c>
    </row>
    <row r="3653" spans="1:10" s="23" customFormat="1" outlineLevel="1" thickBot="1" x14ac:dyDescent="0.3">
      <c r="A3653" s="44"/>
      <c r="B3653" s="31" t="str">
        <f>IF(_xll.TM1RPTELISCONSOLIDATED($H$20,$H3653),IF(_xll.TM1RPTELLEV($H$20,$H3653)&lt;=5,_xll.TM1RPTELLEV($H$20,$H3653),"Default"),"Leaf")</f>
        <v>Leaf</v>
      </c>
      <c r="C3653" s="26" t="s">
        <v>28</v>
      </c>
      <c r="D3653" s="24" t="str">
        <f>_xll.DBRW("TM1-S1_DEV:}ElementAttributes_SP_SKU",$F3653,D$1)</f>
        <v>Primary</v>
      </c>
      <c r="E3653" s="24" t="str">
        <f>_xll.DBRW("TM1-S1_DEV:}ElementAttributes_SP_SKU",$F3653,E$1)</f>
        <v>BREAD</v>
      </c>
      <c r="F3653" s="26" t="s">
        <v>3260</v>
      </c>
      <c r="G3653" s="26" t="s">
        <v>2503</v>
      </c>
      <c r="H3653" s="26" t="s">
        <v>2710</v>
      </c>
      <c r="I3653" s="54">
        <f>_xll.DBRW($A$1,$F$14,$F$15,$C3653,$A$2,$F3653,$G3653,$H3653,I$1)</f>
        <v>10</v>
      </c>
      <c r="J3653" s="25">
        <f>_xll.DBRW($A$1,$F$14,$F$15,$C3653,$A$2,$F3653,$G3653,$H3653,J$19)</f>
        <v>6</v>
      </c>
    </row>
    <row r="3654" spans="1:10" s="23" customFormat="1" outlineLevel="1" thickBot="1" x14ac:dyDescent="0.3">
      <c r="A3654" s="44"/>
      <c r="B3654" s="31" t="str">
        <f>IF(_xll.TM1RPTELISCONSOLIDATED($H$20,$H3654),IF(_xll.TM1RPTELLEV($H$20,$H3654)&lt;=5,_xll.TM1RPTELLEV($H$20,$H3654),"Default"),"Leaf")</f>
        <v>Leaf</v>
      </c>
      <c r="C3654" s="26" t="s">
        <v>28</v>
      </c>
      <c r="D3654" s="24" t="str">
        <f>_xll.DBRW("TM1-S1_DEV:}ElementAttributes_SP_SKU",$F3654,D$1)</f>
        <v>Primary</v>
      </c>
      <c r="E3654" s="24" t="str">
        <f>_xll.DBRW("TM1-S1_DEV:}ElementAttributes_SP_SKU",$F3654,E$1)</f>
        <v>TRAY</v>
      </c>
      <c r="F3654" s="26" t="s">
        <v>3231</v>
      </c>
      <c r="G3654" s="26" t="s">
        <v>2504</v>
      </c>
      <c r="H3654" s="26" t="s">
        <v>2711</v>
      </c>
      <c r="I3654" s="54">
        <f>_xll.DBRW($A$1,$F$14,$F$15,$C3654,$A$2,$F3654,$G3654,$H3654,I$1)</f>
        <v>13</v>
      </c>
      <c r="J3654" s="25">
        <f>_xll.DBRW($A$1,$F$14,$F$15,$C3654,$A$2,$F3654,$G3654,$H3654,J$19)</f>
        <v>13</v>
      </c>
    </row>
    <row r="3655" spans="1:10" s="23" customFormat="1" outlineLevel="1" thickBot="1" x14ac:dyDescent="0.3">
      <c r="A3655" s="44"/>
      <c r="B3655" s="31" t="str">
        <f>IF(_xll.TM1RPTELISCONSOLIDATED($H$20,$H3655),IF(_xll.TM1RPTELLEV($H$20,$H3655)&lt;=5,_xll.TM1RPTELLEV($H$20,$H3655),"Default"),"Leaf")</f>
        <v>Leaf</v>
      </c>
      <c r="C3655" s="26" t="s">
        <v>28</v>
      </c>
      <c r="D3655" s="24" t="str">
        <f>_xll.DBRW("TM1-S1_DEV:}ElementAttributes_SP_SKU",$F3655,D$1)</f>
        <v>Primary</v>
      </c>
      <c r="E3655" s="24" t="str">
        <f>_xll.DBRW("TM1-S1_DEV:}ElementAttributes_SP_SKU",$F3655,E$1)</f>
        <v>PAPER</v>
      </c>
      <c r="F3655" s="26" t="s">
        <v>3261</v>
      </c>
      <c r="G3655" s="26" t="s">
        <v>2505</v>
      </c>
      <c r="H3655" s="26" t="s">
        <v>2716</v>
      </c>
      <c r="I3655" s="54">
        <f>_xll.DBRW($A$1,$F$14,$F$15,$C3655,$A$2,$F3655,$G3655,$H3655,I$1)</f>
        <v>6</v>
      </c>
      <c r="J3655" s="25">
        <f>_xll.DBRW($A$1,$F$14,$F$15,$C3655,$A$2,$F3655,$G3655,$H3655,J$19)</f>
        <v>6</v>
      </c>
    </row>
    <row r="3656" spans="1:10" s="23" customFormat="1" outlineLevel="1" thickBot="1" x14ac:dyDescent="0.3">
      <c r="A3656" s="44"/>
      <c r="B3656" s="31" t="str">
        <f>IF(_xll.TM1RPTELISCONSOLIDATED($H$20,$H3656),IF(_xll.TM1RPTELLEV($H$20,$H3656)&lt;=5,_xll.TM1RPTELLEV($H$20,$H3656),"Default"),"Leaf")</f>
        <v>Leaf</v>
      </c>
      <c r="C3656" s="26" t="s">
        <v>28</v>
      </c>
      <c r="D3656" s="24" t="str">
        <f>_xll.DBRW("TM1-S1_DEV:}ElementAttributes_SP_SKU",$F3656,D$1)</f>
        <v>Primary</v>
      </c>
      <c r="E3656" s="24" t="str">
        <f>_xll.DBRW("TM1-S1_DEV:}ElementAttributes_SP_SKU",$F3656,E$1)</f>
        <v>BOWL</v>
      </c>
      <c r="F3656" s="26" t="s">
        <v>3238</v>
      </c>
      <c r="G3656" s="26" t="s">
        <v>2507</v>
      </c>
      <c r="H3656" s="26" t="s">
        <v>2703</v>
      </c>
      <c r="I3656" s="54">
        <f>_xll.DBRW($A$1,$F$14,$F$15,$C3656,$A$2,$F3656,$G3656,$H3656,I$1)</f>
        <v>2</v>
      </c>
      <c r="J3656" s="25">
        <f>_xll.DBRW($A$1,$F$14,$F$15,$C3656,$A$2,$F3656,$G3656,$H3656,J$19)</f>
        <v>2</v>
      </c>
    </row>
    <row r="3657" spans="1:10" s="23" customFormat="1" outlineLevel="1" thickBot="1" x14ac:dyDescent="0.3">
      <c r="A3657" s="44"/>
      <c r="B3657" s="31" t="str">
        <f>IF(_xll.TM1RPTELISCONSOLIDATED($H$20,$H3657),IF(_xll.TM1RPTELLEV($H$20,$H3657)&lt;=5,_xll.TM1RPTELLEV($H$20,$H3657),"Default"),"Leaf")</f>
        <v>Leaf</v>
      </c>
      <c r="C3657" s="26" t="s">
        <v>28</v>
      </c>
      <c r="D3657" s="24" t="str">
        <f>_xll.DBRW("TM1-S1_DEV:}ElementAttributes_SP_SKU",$F3657,D$1)</f>
        <v>Primary</v>
      </c>
      <c r="E3657" s="24" t="str">
        <f>_xll.DBRW("TM1-S1_DEV:}ElementAttributes_SP_SKU",$F3657,E$1)</f>
        <v>PAPER</v>
      </c>
      <c r="F3657" s="26" t="s">
        <v>3239</v>
      </c>
      <c r="G3657" s="26" t="s">
        <v>2508</v>
      </c>
      <c r="H3657" s="26" t="s">
        <v>2715</v>
      </c>
      <c r="I3657" s="54">
        <f>_xll.DBRW($A$1,$F$14,$F$15,$C3657,$A$2,$F3657,$G3657,$H3657,I$1)</f>
        <v>5</v>
      </c>
      <c r="J3657" s="25">
        <f>_xll.DBRW($A$1,$F$14,$F$15,$C3657,$A$2,$F3657,$G3657,$H3657,J$19)</f>
        <v>5</v>
      </c>
    </row>
    <row r="3658" spans="1:10" s="23" customFormat="1" outlineLevel="1" thickBot="1" x14ac:dyDescent="0.3">
      <c r="A3658" s="44"/>
      <c r="B3658" s="31" t="str">
        <f>IF(_xll.TM1RPTELISCONSOLIDATED($H$20,$H3658),IF(_xll.TM1RPTELLEV($H$20,$H3658)&lt;=5,_xll.TM1RPTELLEV($H$20,$H3658),"Default"),"Leaf")</f>
        <v>Leaf</v>
      </c>
      <c r="C3658" s="26" t="s">
        <v>28</v>
      </c>
      <c r="D3658" s="24" t="str">
        <f>_xll.DBRW("TM1-S1_DEV:}ElementAttributes_SP_SKU",$F3658,D$1)</f>
        <v>Primary</v>
      </c>
      <c r="E3658" s="24" t="str">
        <f>_xll.DBRW("TM1-S1_DEV:}ElementAttributes_SP_SKU",$F3658,E$1)</f>
        <v>BOWL</v>
      </c>
      <c r="F3658" s="26" t="s">
        <v>32</v>
      </c>
      <c r="G3658" s="26" t="s">
        <v>2509</v>
      </c>
      <c r="H3658" s="26" t="s">
        <v>2708</v>
      </c>
      <c r="I3658" s="54">
        <f>_xll.DBRW($A$1,$F$14,$F$15,$C3658,$A$2,$F3658,$G3658,$H3658,I$1)</f>
        <v>3</v>
      </c>
      <c r="J3658" s="25">
        <f>_xll.DBRW($A$1,$F$14,$F$15,$C3658,$A$2,$F3658,$G3658,$H3658,J$19)</f>
        <v>3</v>
      </c>
    </row>
    <row r="3659" spans="1:10" s="23" customFormat="1" outlineLevel="1" thickBot="1" x14ac:dyDescent="0.3">
      <c r="A3659" s="44"/>
      <c r="B3659" s="31" t="str">
        <f>IF(_xll.TM1RPTELISCONSOLIDATED($H$20,$H3659),IF(_xll.TM1RPTELLEV($H$20,$H3659)&lt;=5,_xll.TM1RPTELLEV($H$20,$H3659),"Default"),"Leaf")</f>
        <v>Leaf</v>
      </c>
      <c r="C3659" s="26" t="s">
        <v>28</v>
      </c>
      <c r="D3659" s="24" t="str">
        <f>_xll.DBRW("TM1-S1_DEV:}ElementAttributes_SP_SKU",$F3659,D$1)</f>
        <v>Primary</v>
      </c>
      <c r="E3659" s="24" t="str">
        <f>_xll.DBRW("TM1-S1_DEV:}ElementAttributes_SP_SKU",$F3659,E$1)</f>
        <v>BOWL</v>
      </c>
      <c r="F3659" s="26" t="s">
        <v>33</v>
      </c>
      <c r="G3659" s="26" t="s">
        <v>2510</v>
      </c>
      <c r="H3659" s="26" t="s">
        <v>2708</v>
      </c>
      <c r="I3659" s="54">
        <f>_xll.DBRW($A$1,$F$14,$F$15,$C3659,$A$2,$F3659,$G3659,$H3659,I$1)</f>
        <v>3</v>
      </c>
      <c r="J3659" s="25">
        <f>_xll.DBRW($A$1,$F$14,$F$15,$C3659,$A$2,$F3659,$G3659,$H3659,J$19)</f>
        <v>3</v>
      </c>
    </row>
    <row r="3660" spans="1:10" s="23" customFormat="1" outlineLevel="1" thickBot="1" x14ac:dyDescent="0.3">
      <c r="A3660" s="44"/>
      <c r="B3660" s="31" t="str">
        <f>IF(_xll.TM1RPTELISCONSOLIDATED($H$20,$H3660),IF(_xll.TM1RPTELLEV($H$20,$H3660)&lt;=5,_xll.TM1RPTELLEV($H$20,$H3660),"Default"),"Leaf")</f>
        <v>Leaf</v>
      </c>
      <c r="C3660" s="26" t="s">
        <v>28</v>
      </c>
      <c r="D3660" s="24" t="str">
        <f>_xll.DBRW("TM1-S1_DEV:}ElementAttributes_SP_SKU",$F3660,D$1)</f>
        <v>Primary</v>
      </c>
      <c r="E3660" s="24" t="str">
        <f>_xll.DBRW("TM1-S1_DEV:}ElementAttributes_SP_SKU",$F3660,E$1)</f>
        <v>CONDIMENT</v>
      </c>
      <c r="F3660" s="26" t="s">
        <v>542</v>
      </c>
      <c r="G3660" s="26" t="s">
        <v>2581</v>
      </c>
      <c r="H3660" s="26" t="s">
        <v>2718</v>
      </c>
      <c r="I3660" s="54">
        <f>_xll.DBRW($A$1,$F$14,$F$15,$C3660,$A$2,$F3660,$G3660,$H3660,I$1)</f>
        <v>8</v>
      </c>
      <c r="J3660" s="25">
        <f>_xll.DBRW($A$1,$F$14,$F$15,$C3660,$A$2,$F3660,$G3660,$H3660,J$19)</f>
        <v>8</v>
      </c>
    </row>
    <row r="3661" spans="1:10" s="23" customFormat="1" outlineLevel="1" thickBot="1" x14ac:dyDescent="0.3">
      <c r="A3661" s="44"/>
      <c r="B3661" s="31" t="str">
        <f>IF(_xll.TM1RPTELISCONSOLIDATED($H$20,$H3661),IF(_xll.TM1RPTELLEV($H$20,$H3661)&lt;=5,_xll.TM1RPTELLEV($H$20,$H3661),"Default"),"Leaf")</f>
        <v>Leaf</v>
      </c>
      <c r="C3661" s="26" t="s">
        <v>28</v>
      </c>
      <c r="D3661" s="24" t="str">
        <f>_xll.DBRW("TM1-S1_DEV:}ElementAttributes_SP_SKU",$F3661,D$1)</f>
        <v>Primary</v>
      </c>
      <c r="E3661" s="24" t="str">
        <f>_xll.DBRW("TM1-S1_DEV:}ElementAttributes_SP_SKU",$F3661,E$1)</f>
        <v>FILM</v>
      </c>
      <c r="F3661" s="26" t="s">
        <v>492</v>
      </c>
      <c r="G3661" s="26" t="s">
        <v>2512</v>
      </c>
      <c r="H3661" s="26" t="s">
        <v>2902</v>
      </c>
      <c r="I3661" s="54">
        <f>_xll.DBRW($A$1,$F$14,$F$15,$C3661,$A$2,$F3661,$G3661,$H3661,I$1)</f>
        <v>116</v>
      </c>
      <c r="J3661" s="25">
        <f>_xll.DBRW($A$1,$F$14,$F$15,$C3661,$A$2,$F3661,$G3661,$H3661,J$19)</f>
        <v>116</v>
      </c>
    </row>
    <row r="3662" spans="1:10" s="23" customFormat="1" outlineLevel="1" thickBot="1" x14ac:dyDescent="0.3">
      <c r="A3662" s="44"/>
      <c r="B3662" s="31" t="str">
        <f>IF(_xll.TM1RPTELISCONSOLIDATED($H$20,$H3662),IF(_xll.TM1RPTELLEV($H$20,$H3662)&lt;=5,_xll.TM1RPTELLEV($H$20,$H3662),"Default"),"Leaf")</f>
        <v>Leaf</v>
      </c>
      <c r="C3662" s="26" t="s">
        <v>28</v>
      </c>
      <c r="D3662" s="24" t="str">
        <f>_xll.DBRW("TM1-S1_DEV:}ElementAttributes_SP_SKU",$F3662,D$1)</f>
        <v>Primary</v>
      </c>
      <c r="E3662" s="24" t="str">
        <f>_xll.DBRW("TM1-S1_DEV:}ElementAttributes_SP_SKU",$F3662,E$1)</f>
        <v>BOWL</v>
      </c>
      <c r="F3662" s="26" t="s">
        <v>543</v>
      </c>
      <c r="G3662" s="26" t="s">
        <v>2579</v>
      </c>
      <c r="H3662" s="26" t="s">
        <v>2745</v>
      </c>
      <c r="I3662" s="54">
        <f>_xll.DBRW($A$1,$F$14,$F$15,$C3662,$A$2,$F3662,$G3662,$H3662,I$1)</f>
        <v>2</v>
      </c>
      <c r="J3662" s="25">
        <f>_xll.DBRW($A$1,$F$14,$F$15,$C3662,$A$2,$F3662,$G3662,$H3662,J$19)</f>
        <v>2</v>
      </c>
    </row>
    <row r="3663" spans="1:10" s="23" customFormat="1" outlineLevel="1" thickBot="1" x14ac:dyDescent="0.3">
      <c r="A3663" s="44"/>
      <c r="B3663" s="31" t="str">
        <f>IF(_xll.TM1RPTELISCONSOLIDATED($H$20,$H3663),IF(_xll.TM1RPTELLEV($H$20,$H3663)&lt;=5,_xll.TM1RPTELLEV($H$20,$H3663),"Default"),"Leaf")</f>
        <v>Leaf</v>
      </c>
      <c r="C3663" s="26" t="s">
        <v>28</v>
      </c>
      <c r="D3663" s="24" t="str">
        <f>_xll.DBRW("TM1-S1_DEV:}ElementAttributes_SP_SKU",$F3663,D$1)</f>
        <v>Primary</v>
      </c>
      <c r="E3663" s="24" t="str">
        <f>_xll.DBRW("TM1-S1_DEV:}ElementAttributes_SP_SKU",$F3663,E$1)</f>
        <v>CHEESE</v>
      </c>
      <c r="F3663" s="26" t="s">
        <v>3016</v>
      </c>
      <c r="G3663" s="26" t="s">
        <v>3075</v>
      </c>
      <c r="H3663" s="26" t="s">
        <v>2903</v>
      </c>
      <c r="I3663" s="54">
        <f>_xll.DBRW($A$1,$F$14,$F$15,$C3663,$A$2,$F3663,$G3663,$H3663,I$1)</f>
        <v>0</v>
      </c>
      <c r="J3663" s="25">
        <f>_xll.DBRW($A$1,$F$14,$F$15,$C3663,$A$2,$F3663,$G3663,$H3663,J$19)</f>
        <v>-2</v>
      </c>
    </row>
    <row r="3664" spans="1:10" s="23" customFormat="1" outlineLevel="1" thickBot="1" x14ac:dyDescent="0.3">
      <c r="A3664" s="44"/>
      <c r="B3664" s="31" t="str">
        <f>IF(_xll.TM1RPTELISCONSOLIDATED($H$20,$H3664),IF(_xll.TM1RPTELLEV($H$20,$H3664)&lt;=5,_xll.TM1RPTELLEV($H$20,$H3664),"Default"),"Leaf")</f>
        <v>Leaf</v>
      </c>
      <c r="C3664" s="26" t="s">
        <v>28</v>
      </c>
      <c r="D3664" s="24" t="str">
        <f>_xll.DBRW("TM1-S1_DEV:}ElementAttributes_SP_SKU",$F3664,D$1)</f>
        <v>Primary</v>
      </c>
      <c r="E3664" s="24" t="str">
        <f>_xll.DBRW("TM1-S1_DEV:}ElementAttributes_SP_SKU",$F3664,E$1)</f>
        <v>CHEESE</v>
      </c>
      <c r="F3664" s="26" t="s">
        <v>493</v>
      </c>
      <c r="G3664" s="26" t="s">
        <v>2513</v>
      </c>
      <c r="H3664" s="26" t="s">
        <v>2903</v>
      </c>
      <c r="I3664" s="54">
        <f>_xll.DBRW($A$1,$F$14,$F$15,$C3664,$A$2,$F3664,$G3664,$H3664,I$1)</f>
        <v>20</v>
      </c>
      <c r="J3664" s="25">
        <f>_xll.DBRW($A$1,$F$14,$F$15,$C3664,$A$2,$F3664,$G3664,$H3664,J$19)</f>
        <v>17</v>
      </c>
    </row>
    <row r="3665" spans="1:10" s="23" customFormat="1" outlineLevel="1" thickBot="1" x14ac:dyDescent="0.3">
      <c r="A3665" s="44"/>
      <c r="B3665" s="31" t="str">
        <f>IF(_xll.TM1RPTELISCONSOLIDATED($H$20,$H3665),IF(_xll.TM1RPTELLEV($H$20,$H3665)&lt;=5,_xll.TM1RPTELLEV($H$20,$H3665),"Default"),"Leaf")</f>
        <v>Leaf</v>
      </c>
      <c r="C3665" s="26" t="s">
        <v>28</v>
      </c>
      <c r="D3665" s="24" t="str">
        <f>_xll.DBRW("TM1-S1_DEV:}ElementAttributes_SP_SKU",$F3665,D$1)</f>
        <v>Primary</v>
      </c>
      <c r="E3665" s="24" t="str">
        <f>_xll.DBRW("TM1-S1_DEV:}ElementAttributes_SP_SKU",$F3665,E$1)</f>
        <v>UTENSIL</v>
      </c>
      <c r="F3665" s="26" t="s">
        <v>544</v>
      </c>
      <c r="G3665" s="26" t="s">
        <v>2582</v>
      </c>
      <c r="H3665" s="26" t="s">
        <v>2931</v>
      </c>
      <c r="I3665" s="54">
        <f>_xll.DBRW($A$1,$F$14,$F$15,$C3665,$A$2,$F3665,$G3665,$H3665,I$1)</f>
        <v>7</v>
      </c>
      <c r="J3665" s="25">
        <f>_xll.DBRW($A$1,$F$14,$F$15,$C3665,$A$2,$F3665,$G3665,$H3665,J$19)</f>
        <v>7</v>
      </c>
    </row>
    <row r="3666" spans="1:10" s="23" customFormat="1" outlineLevel="1" thickBot="1" x14ac:dyDescent="0.3">
      <c r="A3666" s="44"/>
      <c r="B3666" s="31" t="str">
        <f>IF(_xll.TM1RPTELISCONSOLIDATED($H$20,$H3666),IF(_xll.TM1RPTELLEV($H$20,$H3666)&lt;=5,_xll.TM1RPTELLEV($H$20,$H3666),"Default"),"Leaf")</f>
        <v>Leaf</v>
      </c>
      <c r="C3666" s="26" t="s">
        <v>28</v>
      </c>
      <c r="D3666" s="24" t="str">
        <f>_xll.DBRW("TM1-S1_DEV:}ElementAttributes_SP_SKU",$F3666,D$1)</f>
        <v>Primary</v>
      </c>
      <c r="E3666" s="24" t="str">
        <f>_xll.DBRW("TM1-S1_DEV:}ElementAttributes_SP_SKU",$F3666,E$1)</f>
        <v>FOIL</v>
      </c>
      <c r="F3666" s="26" t="s">
        <v>3019</v>
      </c>
      <c r="G3666" s="26" t="s">
        <v>2476</v>
      </c>
      <c r="H3666" s="26" t="s">
        <v>3098</v>
      </c>
      <c r="I3666" s="54">
        <f>_xll.DBRW($A$1,$F$14,$F$15,$C3666,$A$2,$F3666,$G3666,$H3666,I$1)</f>
        <v>0</v>
      </c>
      <c r="J3666" s="25">
        <f>_xll.DBRW($A$1,$F$14,$F$15,$C3666,$A$2,$F3666,$G3666,$H3666,J$19)</f>
        <v>-3</v>
      </c>
    </row>
    <row r="3667" spans="1:10" s="23" customFormat="1" outlineLevel="1" thickBot="1" x14ac:dyDescent="0.3">
      <c r="A3667" s="44"/>
      <c r="B3667" s="31" t="str">
        <f>IF(_xll.TM1RPTELISCONSOLIDATED($H$20,$H3667),IF(_xll.TM1RPTELLEV($H$20,$H3667)&lt;=5,_xll.TM1RPTELLEV($H$20,$H3667),"Default"),"Leaf")</f>
        <v>Leaf</v>
      </c>
      <c r="C3667" s="26" t="s">
        <v>28</v>
      </c>
      <c r="D3667" s="24" t="str">
        <f>_xll.DBRW("TM1-S1_DEV:}ElementAttributes_SP_SKU",$F3667,D$1)</f>
        <v>Primary</v>
      </c>
      <c r="E3667" s="24" t="str">
        <f>_xll.DBRW("TM1-S1_DEV:}ElementAttributes_SP_SKU",$F3667,E$1)</f>
        <v>CONTAINER</v>
      </c>
      <c r="F3667" s="26" t="s">
        <v>548</v>
      </c>
      <c r="G3667" s="26" t="s">
        <v>2586</v>
      </c>
      <c r="H3667" s="26" t="s">
        <v>2934</v>
      </c>
      <c r="I3667" s="54">
        <f>_xll.DBRW($A$1,$F$14,$F$15,$C3667,$A$2,$F3667,$G3667,$H3667,I$1)</f>
        <v>4</v>
      </c>
      <c r="J3667" s="25">
        <f>_xll.DBRW($A$1,$F$14,$F$15,$C3667,$A$2,$F3667,$G3667,$H3667,J$19)</f>
        <v>4</v>
      </c>
    </row>
    <row r="3668" spans="1:10" s="23" customFormat="1" outlineLevel="1" thickBot="1" x14ac:dyDescent="0.3">
      <c r="A3668" s="44"/>
      <c r="B3668" s="31" t="str">
        <f>IF(_xll.TM1RPTELISCONSOLIDATED($H$20,$H3668),IF(_xll.TM1RPTELLEV($H$20,$H3668)&lt;=5,_xll.TM1RPTELLEV($H$20,$H3668),"Default"),"Leaf")</f>
        <v>Leaf</v>
      </c>
      <c r="C3668" s="26" t="s">
        <v>28</v>
      </c>
      <c r="D3668" s="24" t="str">
        <f>_xll.DBRW("TM1-S1_DEV:}ElementAttributes_SP_SKU",$F3668,D$1)</f>
        <v>Primary</v>
      </c>
      <c r="E3668" s="24" t="str">
        <f>_xll.DBRW("TM1-S1_DEV:}ElementAttributes_SP_SKU",$F3668,E$1)</f>
        <v>CONTAINER</v>
      </c>
      <c r="F3668" s="26" t="s">
        <v>625</v>
      </c>
      <c r="G3668" s="26" t="s">
        <v>2664</v>
      </c>
      <c r="H3668" s="26" t="s">
        <v>2934</v>
      </c>
      <c r="I3668" s="54">
        <f>_xll.DBRW($A$1,$F$14,$F$15,$C3668,$A$2,$F3668,$G3668,$H3668,I$1)</f>
        <v>1</v>
      </c>
      <c r="J3668" s="25">
        <f>_xll.DBRW($A$1,$F$14,$F$15,$C3668,$A$2,$F3668,$G3668,$H3668,J$19)</f>
        <v>1</v>
      </c>
    </row>
    <row r="3669" spans="1:10" s="23" customFormat="1" outlineLevel="1" thickBot="1" x14ac:dyDescent="0.3">
      <c r="A3669" s="44"/>
      <c r="B3669" s="31" t="str">
        <f>IF(_xll.TM1RPTELISCONSOLIDATED($H$20,$H3669),IF(_xll.TM1RPTELLEV($H$20,$H3669)&lt;=5,_xll.TM1RPTELLEV($H$20,$H3669),"Default"),"Leaf")</f>
        <v>Leaf</v>
      </c>
      <c r="C3669" s="26" t="s">
        <v>28</v>
      </c>
      <c r="D3669" s="24" t="str">
        <f>_xll.DBRW("TM1-S1_DEV:}ElementAttributes_SP_SKU",$F3669,D$1)</f>
        <v>Primary</v>
      </c>
      <c r="E3669" s="24" t="str">
        <f>_xll.DBRW("TM1-S1_DEV:}ElementAttributes_SP_SKU",$F3669,E$1)</f>
        <v>DRESSING</v>
      </c>
      <c r="F3669" s="26" t="s">
        <v>549</v>
      </c>
      <c r="G3669" s="26" t="s">
        <v>2587</v>
      </c>
      <c r="H3669" s="26" t="s">
        <v>2685</v>
      </c>
      <c r="I3669" s="54">
        <f>_xll.DBRW($A$1,$F$14,$F$15,$C3669,$A$2,$F3669,$G3669,$H3669,I$1)</f>
        <v>4</v>
      </c>
      <c r="J3669" s="25">
        <f>_xll.DBRW($A$1,$F$14,$F$15,$C3669,$A$2,$F3669,$G3669,$H3669,J$19)</f>
        <v>4</v>
      </c>
    </row>
    <row r="3670" spans="1:10" s="23" customFormat="1" outlineLevel="1" thickBot="1" x14ac:dyDescent="0.3">
      <c r="A3670" s="44"/>
      <c r="B3670" s="31" t="str">
        <f>IF(_xll.TM1RPTELISCONSOLIDATED($H$20,$H3670),IF(_xll.TM1RPTELLEV($H$20,$H3670)&lt;=5,_xll.TM1RPTELLEV($H$20,$H3670),"Default"),"Leaf")</f>
        <v>Leaf</v>
      </c>
      <c r="C3670" s="26" t="s">
        <v>28</v>
      </c>
      <c r="D3670" s="24" t="str">
        <f>_xll.DBRW("TM1-S1_DEV:}ElementAttributes_SP_SKU",$F3670,D$1)</f>
        <v>Primary</v>
      </c>
      <c r="E3670" s="24" t="str">
        <f>_xll.DBRW("TM1-S1_DEV:}ElementAttributes_SP_SKU",$F3670,E$1)</f>
        <v>GLOVES</v>
      </c>
      <c r="F3670" s="26" t="s">
        <v>496</v>
      </c>
      <c r="G3670" s="26" t="s">
        <v>2516</v>
      </c>
      <c r="H3670" s="26" t="s">
        <v>2905</v>
      </c>
      <c r="I3670" s="54">
        <f>_xll.DBRW($A$1,$F$14,$F$15,$C3670,$A$2,$F3670,$G3670,$H3670,I$1)</f>
        <v>33</v>
      </c>
      <c r="J3670" s="25">
        <f>_xll.DBRW($A$1,$F$14,$F$15,$C3670,$A$2,$F3670,$G3670,$H3670,J$19)</f>
        <v>27</v>
      </c>
    </row>
    <row r="3671" spans="1:10" s="23" customFormat="1" outlineLevel="1" thickBot="1" x14ac:dyDescent="0.3">
      <c r="A3671" s="44"/>
      <c r="B3671" s="31" t="str">
        <f>IF(_xll.TM1RPTELISCONSOLIDATED($H$20,$H3671),IF(_xll.TM1RPTELLEV($H$20,$H3671)&lt;=5,_xll.TM1RPTELLEV($H$20,$H3671),"Default"),"Leaf")</f>
        <v>Leaf</v>
      </c>
      <c r="C3671" s="26" t="s">
        <v>28</v>
      </c>
      <c r="D3671" s="24" t="str">
        <f>_xll.DBRW("TM1-S1_DEV:}ElementAttributes_SP_SKU",$F3671,D$1)</f>
        <v>Primary</v>
      </c>
      <c r="E3671" s="24" t="str">
        <f>_xll.DBRW("TM1-S1_DEV:}ElementAttributes_SP_SKU",$F3671,E$1)</f>
        <v>GLOVES</v>
      </c>
      <c r="F3671" s="26" t="s">
        <v>626</v>
      </c>
      <c r="G3671" s="26" t="s">
        <v>2665</v>
      </c>
      <c r="H3671" s="26" t="s">
        <v>2905</v>
      </c>
      <c r="I3671" s="54">
        <f>_xll.DBRW($A$1,$F$14,$F$15,$C3671,$A$2,$F3671,$G3671,$H3671,I$1)</f>
        <v>7</v>
      </c>
      <c r="J3671" s="25">
        <f>_xll.DBRW($A$1,$F$14,$F$15,$C3671,$A$2,$F3671,$G3671,$H3671,J$19)</f>
        <v>7</v>
      </c>
    </row>
    <row r="3672" spans="1:10" s="23" customFormat="1" outlineLevel="1" thickBot="1" x14ac:dyDescent="0.3">
      <c r="A3672" s="44"/>
      <c r="B3672" s="31" t="str">
        <f>IF(_xll.TM1RPTELISCONSOLIDATED($H$20,$H3672),IF(_xll.TM1RPTELLEV($H$20,$H3672)&lt;=5,_xll.TM1RPTELLEV($H$20,$H3672),"Default"),"Leaf")</f>
        <v>Leaf</v>
      </c>
      <c r="C3672" s="26" t="s">
        <v>28</v>
      </c>
      <c r="D3672" s="24" t="str">
        <f>_xll.DBRW("TM1-S1_DEV:}ElementAttributes_SP_SKU",$F3672,D$1)</f>
        <v>Primary</v>
      </c>
      <c r="E3672" s="24" t="str">
        <f>_xll.DBRW("TM1-S1_DEV:}ElementAttributes_SP_SKU",$F3672,E$1)</f>
        <v>UTENSIL</v>
      </c>
      <c r="F3672" s="26" t="s">
        <v>550</v>
      </c>
      <c r="G3672" s="26" t="s">
        <v>2588</v>
      </c>
      <c r="H3672" s="26" t="s">
        <v>2906</v>
      </c>
      <c r="I3672" s="54">
        <f>_xll.DBRW($A$1,$F$14,$F$15,$C3672,$A$2,$F3672,$G3672,$H3672,I$1)</f>
        <v>132</v>
      </c>
      <c r="J3672" s="25">
        <f>_xll.DBRW($A$1,$F$14,$F$15,$C3672,$A$2,$F3672,$G3672,$H3672,J$19)</f>
        <v>131</v>
      </c>
    </row>
    <row r="3673" spans="1:10" s="23" customFormat="1" outlineLevel="1" thickBot="1" x14ac:dyDescent="0.3">
      <c r="A3673" s="44"/>
      <c r="B3673" s="31" t="str">
        <f>IF(_xll.TM1RPTELISCONSOLIDATED($H$20,$H3673),IF(_xll.TM1RPTELLEV($H$20,$H3673)&lt;=5,_xll.TM1RPTELLEV($H$20,$H3673),"Default"),"Leaf")</f>
        <v>Leaf</v>
      </c>
      <c r="C3673" s="26" t="s">
        <v>28</v>
      </c>
      <c r="D3673" s="24" t="str">
        <f>_xll.DBRW("TM1-S1_DEV:}ElementAttributes_SP_SKU",$F3673,D$1)</f>
        <v>Primary</v>
      </c>
      <c r="E3673" s="24" t="str">
        <f>_xll.DBRW("TM1-S1_DEV:}ElementAttributes_SP_SKU",$F3673,E$1)</f>
        <v>UTENSIL</v>
      </c>
      <c r="F3673" s="26" t="s">
        <v>498</v>
      </c>
      <c r="G3673" s="26" t="s">
        <v>2518</v>
      </c>
      <c r="H3673" s="26" t="s">
        <v>2906</v>
      </c>
      <c r="I3673" s="54">
        <f>_xll.DBRW($A$1,$F$14,$F$15,$C3673,$A$2,$F3673,$G3673,$H3673,I$1)</f>
        <v>62</v>
      </c>
      <c r="J3673" s="25">
        <f>_xll.DBRW($A$1,$F$14,$F$15,$C3673,$A$2,$F3673,$G3673,$H3673,J$19)</f>
        <v>60</v>
      </c>
    </row>
    <row r="3674" spans="1:10" s="23" customFormat="1" outlineLevel="1" thickBot="1" x14ac:dyDescent="0.3">
      <c r="A3674" s="44"/>
      <c r="B3674" s="31" t="str">
        <f>IF(_xll.TM1RPTELISCONSOLIDATED($H$20,$H3674),IF(_xll.TM1RPTELLEV($H$20,$H3674)&lt;=5,_xll.TM1RPTELLEV($H$20,$H3674),"Default"),"Leaf")</f>
        <v>Leaf</v>
      </c>
      <c r="C3674" s="26" t="s">
        <v>28</v>
      </c>
      <c r="D3674" s="24" t="str">
        <f>_xll.DBRW("TM1-S1_DEV:}ElementAttributes_SP_SKU",$F3674,D$1)</f>
        <v>Primary</v>
      </c>
      <c r="E3674" s="24" t="str">
        <f>_xll.DBRW("TM1-S1_DEV:}ElementAttributes_SP_SKU",$F3674,E$1)</f>
        <v>CONTAINER</v>
      </c>
      <c r="F3674" s="26" t="s">
        <v>500</v>
      </c>
      <c r="G3674" s="26" t="s">
        <v>2519</v>
      </c>
      <c r="H3674" s="26" t="s">
        <v>2908</v>
      </c>
      <c r="I3674" s="54">
        <f>_xll.DBRW($A$1,$F$14,$F$15,$C3674,$A$2,$F3674,$G3674,$H3674,I$1)</f>
        <v>18</v>
      </c>
      <c r="J3674" s="25">
        <f>_xll.DBRW($A$1,$F$14,$F$15,$C3674,$A$2,$F3674,$G3674,$H3674,J$19)</f>
        <v>18</v>
      </c>
    </row>
    <row r="3675" spans="1:10" s="23" customFormat="1" outlineLevel="1" thickBot="1" x14ac:dyDescent="0.3">
      <c r="A3675" s="44"/>
      <c r="B3675" s="31" t="str">
        <f>IF(_xll.TM1RPTELISCONSOLIDATED($H$20,$H3675),IF(_xll.TM1RPTELLEV($H$20,$H3675)&lt;=5,_xll.TM1RPTELLEV($H$20,$H3675),"Default"),"Leaf")</f>
        <v>Leaf</v>
      </c>
      <c r="C3675" s="26" t="s">
        <v>28</v>
      </c>
      <c r="D3675" s="24" t="str">
        <f>_xll.DBRW("TM1-S1_DEV:}ElementAttributes_SP_SKU",$F3675,D$1)</f>
        <v>Primary</v>
      </c>
      <c r="E3675" s="24" t="str">
        <f>_xll.DBRW("TM1-S1_DEV:}ElementAttributes_SP_SKU",$F3675,E$1)</f>
        <v>PAPER</v>
      </c>
      <c r="F3675" s="26" t="s">
        <v>501</v>
      </c>
      <c r="G3675" s="26" t="s">
        <v>2520</v>
      </c>
      <c r="H3675" s="26" t="s">
        <v>2909</v>
      </c>
      <c r="I3675" s="54">
        <f>_xll.DBRW($A$1,$F$14,$F$15,$C3675,$A$2,$F3675,$G3675,$H3675,I$1)</f>
        <v>5</v>
      </c>
      <c r="J3675" s="25">
        <f>_xll.DBRW($A$1,$F$14,$F$15,$C3675,$A$2,$F3675,$G3675,$H3675,J$19)</f>
        <v>5</v>
      </c>
    </row>
    <row r="3676" spans="1:10" s="23" customFormat="1" outlineLevel="1" thickBot="1" x14ac:dyDescent="0.3">
      <c r="A3676" s="44"/>
      <c r="B3676" s="31" t="str">
        <f>IF(_xll.TM1RPTELISCONSOLIDATED($H$20,$H3676),IF(_xll.TM1RPTELLEV($H$20,$H3676)&lt;=5,_xll.TM1RPTELLEV($H$20,$H3676),"Default"),"Leaf")</f>
        <v>Leaf</v>
      </c>
      <c r="C3676" s="26" t="s">
        <v>28</v>
      </c>
      <c r="D3676" s="24" t="str">
        <f>_xll.DBRW("TM1-S1_DEV:}ElementAttributes_SP_SKU",$F3676,D$1)</f>
        <v>Primary</v>
      </c>
      <c r="E3676" s="24" t="str">
        <f>_xll.DBRW("TM1-S1_DEV:}ElementAttributes_SP_SKU",$F3676,E$1)</f>
        <v>BAG</v>
      </c>
      <c r="F3676" s="26" t="s">
        <v>3312</v>
      </c>
      <c r="G3676" s="26" t="s">
        <v>3338</v>
      </c>
      <c r="H3676" s="26" t="s">
        <v>3344</v>
      </c>
      <c r="I3676" s="54">
        <f>_xll.DBRW($A$1,$F$14,$F$15,$C3676,$A$2,$F3676,$G3676,$H3676,I$1)</f>
        <v>0</v>
      </c>
      <c r="J3676" s="25">
        <f>_xll.DBRW($A$1,$F$14,$F$15,$C3676,$A$2,$F3676,$G3676,$H3676,J$19)</f>
        <v>-6</v>
      </c>
    </row>
    <row r="3677" spans="1:10" s="23" customFormat="1" outlineLevel="1" thickBot="1" x14ac:dyDescent="0.3">
      <c r="A3677" s="44"/>
      <c r="B3677" s="31" t="str">
        <f>IF(_xll.TM1RPTELISCONSOLIDATED($H$20,$H3677),IF(_xll.TM1RPTELLEV($H$20,$H3677)&lt;=5,_xll.TM1RPTELLEV($H$20,$H3677),"Default"),"Leaf")</f>
        <v>Leaf</v>
      </c>
      <c r="C3677" s="26" t="s">
        <v>28</v>
      </c>
      <c r="D3677" s="24" t="str">
        <f>_xll.DBRW("TM1-S1_DEV:}ElementAttributes_SP_SKU",$F3677,D$1)</f>
        <v>Primary</v>
      </c>
      <c r="E3677" s="24" t="str">
        <f>_xll.DBRW("TM1-S1_DEV:}ElementAttributes_SP_SKU",$F3677,E$1)</f>
        <v>GLOVES</v>
      </c>
      <c r="F3677" s="26" t="s">
        <v>552</v>
      </c>
      <c r="G3677" s="26" t="s">
        <v>2590</v>
      </c>
      <c r="H3677" s="26" t="s">
        <v>2911</v>
      </c>
      <c r="I3677" s="54">
        <f>_xll.DBRW($A$1,$F$14,$F$15,$C3677,$A$2,$F3677,$G3677,$H3677,I$1)</f>
        <v>35</v>
      </c>
      <c r="J3677" s="25">
        <f>_xll.DBRW($A$1,$F$14,$F$15,$C3677,$A$2,$F3677,$G3677,$H3677,J$19)</f>
        <v>32</v>
      </c>
    </row>
    <row r="3678" spans="1:10" s="23" customFormat="1" outlineLevel="1" thickBot="1" x14ac:dyDescent="0.3">
      <c r="A3678" s="44"/>
      <c r="B3678" s="31" t="str">
        <f>IF(_xll.TM1RPTELISCONSOLIDATED($H$20,$H3678),IF(_xll.TM1RPTELLEV($H$20,$H3678)&lt;=5,_xll.TM1RPTELLEV($H$20,$H3678),"Default"),"Leaf")</f>
        <v>Leaf</v>
      </c>
      <c r="C3678" s="26" t="s">
        <v>28</v>
      </c>
      <c r="D3678" s="24" t="str">
        <f>_xll.DBRW("TM1-S1_DEV:}ElementAttributes_SP_SKU",$F3678,D$1)</f>
        <v>Primary</v>
      </c>
      <c r="E3678" s="24" t="str">
        <f>_xll.DBRW("TM1-S1_DEV:}ElementAttributes_SP_SKU",$F3678,E$1)</f>
        <v>BAG</v>
      </c>
      <c r="F3678" s="26" t="s">
        <v>627</v>
      </c>
      <c r="G3678" s="26" t="s">
        <v>2666</v>
      </c>
      <c r="H3678" s="26" t="s">
        <v>2957</v>
      </c>
      <c r="I3678" s="54">
        <f>_xll.DBRW($A$1,$F$14,$F$15,$C3678,$A$2,$F3678,$G3678,$H3678,I$1)</f>
        <v>77</v>
      </c>
      <c r="J3678" s="25">
        <f>_xll.DBRW($A$1,$F$14,$F$15,$C3678,$A$2,$F3678,$G3678,$H3678,J$19)</f>
        <v>77</v>
      </c>
    </row>
    <row r="3679" spans="1:10" s="23" customFormat="1" outlineLevel="1" thickBot="1" x14ac:dyDescent="0.3">
      <c r="A3679" s="44"/>
      <c r="B3679" s="31" t="str">
        <f>IF(_xll.TM1RPTELISCONSOLIDATED($H$20,$H3679),IF(_xll.TM1RPTELLEV($H$20,$H3679)&lt;=5,_xll.TM1RPTELLEV($H$20,$H3679),"Default"),"Leaf")</f>
        <v>Leaf</v>
      </c>
      <c r="C3679" s="26" t="s">
        <v>28</v>
      </c>
      <c r="D3679" s="24" t="str">
        <f>_xll.DBRW("TM1-S1_DEV:}ElementAttributes_SP_SKU",$F3679,D$1)</f>
        <v>Primary</v>
      </c>
      <c r="E3679" s="24" t="str">
        <f>_xll.DBRW("TM1-S1_DEV:}ElementAttributes_SP_SKU",$F3679,E$1)</f>
        <v>INGREDIENT</v>
      </c>
      <c r="F3679" s="26" t="s">
        <v>506</v>
      </c>
      <c r="G3679" s="26" t="s">
        <v>2525</v>
      </c>
      <c r="H3679" s="26" t="s">
        <v>2913</v>
      </c>
      <c r="I3679" s="54">
        <f>_xll.DBRW($A$1,$F$14,$F$15,$C3679,$A$2,$F3679,$G3679,$H3679,I$1)</f>
        <v>7</v>
      </c>
      <c r="J3679" s="25">
        <f>_xll.DBRW($A$1,$F$14,$F$15,$C3679,$A$2,$F3679,$G3679,$H3679,J$19)</f>
        <v>7</v>
      </c>
    </row>
    <row r="3680" spans="1:10" s="23" customFormat="1" outlineLevel="1" thickBot="1" x14ac:dyDescent="0.3">
      <c r="A3680" s="44"/>
      <c r="B3680" s="31" t="str">
        <f>IF(_xll.TM1RPTELISCONSOLIDATED($H$20,$H3680),IF(_xll.TM1RPTELLEV($H$20,$H3680)&lt;=5,_xll.TM1RPTELLEV($H$20,$H3680),"Default"),"Leaf")</f>
        <v>Leaf</v>
      </c>
      <c r="C3680" s="26" t="s">
        <v>28</v>
      </c>
      <c r="D3680" s="24" t="str">
        <f>_xll.DBRW("TM1-S1_DEV:}ElementAttributes_SP_SKU",$F3680,D$1)</f>
        <v>Primary</v>
      </c>
      <c r="E3680" s="24" t="str">
        <f>_xll.DBRW("TM1-S1_DEV:}ElementAttributes_SP_SKU",$F3680,E$1)</f>
        <v>BAG</v>
      </c>
      <c r="F3680" s="26" t="s">
        <v>508</v>
      </c>
      <c r="G3680" s="26" t="s">
        <v>2527</v>
      </c>
      <c r="H3680" s="26" t="s">
        <v>2915</v>
      </c>
      <c r="I3680" s="54">
        <f>_xll.DBRW($A$1,$F$14,$F$15,$C3680,$A$2,$F3680,$G3680,$H3680,I$1)</f>
        <v>92</v>
      </c>
      <c r="J3680" s="25">
        <f>_xll.DBRW($A$1,$F$14,$F$15,$C3680,$A$2,$F3680,$G3680,$H3680,J$19)</f>
        <v>90</v>
      </c>
    </row>
    <row r="3681" spans="1:10" s="23" customFormat="1" outlineLevel="1" thickBot="1" x14ac:dyDescent="0.3">
      <c r="A3681" s="44"/>
      <c r="B3681" s="31" t="str">
        <f>IF(_xll.TM1RPTELISCONSOLIDATED($H$20,$H3681),IF(_xll.TM1RPTELLEV($H$20,$H3681)&lt;=5,_xll.TM1RPTELLEV($H$20,$H3681),"Default"),"Leaf")</f>
        <v>Leaf</v>
      </c>
      <c r="C3681" s="26" t="s">
        <v>28</v>
      </c>
      <c r="D3681" s="24" t="str">
        <f>_xll.DBRW("TM1-S1_DEV:}ElementAttributes_SP_SKU",$F3681,D$1)</f>
        <v>Primary</v>
      </c>
      <c r="E3681" s="24" t="str">
        <f>_xll.DBRW("TM1-S1_DEV:}ElementAttributes_SP_SKU",$F3681,E$1)</f>
        <v>FOIL</v>
      </c>
      <c r="F3681" s="26" t="s">
        <v>34</v>
      </c>
      <c r="G3681" s="26" t="s">
        <v>2592</v>
      </c>
      <c r="H3681" s="26" t="s">
        <v>2716</v>
      </c>
      <c r="I3681" s="54">
        <f>_xll.DBRW($A$1,$F$14,$F$15,$C3681,$A$2,$F3681,$G3681,$H3681,I$1)</f>
        <v>6</v>
      </c>
      <c r="J3681" s="25">
        <f>_xll.DBRW($A$1,$F$14,$F$15,$C3681,$A$2,$F3681,$G3681,$H3681,J$19)</f>
        <v>6</v>
      </c>
    </row>
    <row r="3682" spans="1:10" s="23" customFormat="1" outlineLevel="1" thickBot="1" x14ac:dyDescent="0.3">
      <c r="A3682" s="44"/>
      <c r="B3682" s="31" t="str">
        <f>IF(_xll.TM1RPTELISCONSOLIDATED($H$20,$H3682),IF(_xll.TM1RPTELLEV($H$20,$H3682)&lt;=5,_xll.TM1RPTELLEV($H$20,$H3682),"Default"),"Leaf")</f>
        <v>Leaf</v>
      </c>
      <c r="C3682" s="26" t="s">
        <v>28</v>
      </c>
      <c r="D3682" s="24" t="str">
        <f>_xll.DBRW("TM1-S1_DEV:}ElementAttributes_SP_SKU",$F3682,D$1)</f>
        <v>Secondary</v>
      </c>
      <c r="E3682" s="24" t="str">
        <f>_xll.DBRW("TM1-S1_DEV:}ElementAttributes_SP_SKU",$F3682,E$1)</f>
        <v>CLEANING</v>
      </c>
      <c r="F3682" s="26" t="s">
        <v>554</v>
      </c>
      <c r="G3682" s="26" t="s">
        <v>2593</v>
      </c>
      <c r="H3682" s="26" t="s">
        <v>2918</v>
      </c>
      <c r="I3682" s="54">
        <f>_xll.DBRW($A$1,$F$14,$F$15,$C3682,$A$2,$F3682,$G3682,$H3682,I$1)</f>
        <v>27</v>
      </c>
      <c r="J3682" s="25">
        <f>_xll.DBRW($A$1,$F$14,$F$15,$C3682,$A$2,$F3682,$G3682,$H3682,J$19)</f>
        <v>27</v>
      </c>
    </row>
    <row r="3683" spans="1:10" s="23" customFormat="1" outlineLevel="1" thickBot="1" x14ac:dyDescent="0.3">
      <c r="A3683" s="44"/>
      <c r="B3683" s="31" t="str">
        <f>IF(_xll.TM1RPTELISCONSOLIDATED($H$20,$H3683),IF(_xll.TM1RPTELLEV($H$20,$H3683)&lt;=5,_xll.TM1RPTELLEV($H$20,$H3683),"Default"),"Leaf")</f>
        <v>Leaf</v>
      </c>
      <c r="C3683" s="26" t="s">
        <v>28</v>
      </c>
      <c r="D3683" s="24" t="str">
        <f>_xll.DBRW("TM1-S1_DEV:}ElementAttributes_SP_SKU",$F3683,D$1)</f>
        <v>Secondary</v>
      </c>
      <c r="E3683" s="24" t="str">
        <f>_xll.DBRW("TM1-S1_DEV:}ElementAttributes_SP_SKU",$F3683,E$1)</f>
        <v>DRINKS</v>
      </c>
      <c r="F3683" s="26" t="s">
        <v>557</v>
      </c>
      <c r="G3683" s="26" t="s">
        <v>2596</v>
      </c>
      <c r="H3683" s="26" t="s">
        <v>2746</v>
      </c>
      <c r="I3683" s="54">
        <f>_xll.DBRW($A$1,$F$14,$F$15,$C3683,$A$2,$F3683,$G3683,$H3683,I$1)</f>
        <v>218</v>
      </c>
      <c r="J3683" s="25">
        <f>_xll.DBRW($A$1,$F$14,$F$15,$C3683,$A$2,$F3683,$G3683,$H3683,J$19)</f>
        <v>498</v>
      </c>
    </row>
    <row r="3684" spans="1:10" s="23" customFormat="1" outlineLevel="1" thickBot="1" x14ac:dyDescent="0.3">
      <c r="A3684" s="44"/>
      <c r="B3684" s="31" t="str">
        <f>IF(_xll.TM1RPTELISCONSOLIDATED($H$20,$H3684),IF(_xll.TM1RPTELLEV($H$20,$H3684)&lt;=5,_xll.TM1RPTELLEV($H$20,$H3684),"Default"),"Leaf")</f>
        <v>Leaf</v>
      </c>
      <c r="C3684" s="26" t="s">
        <v>28</v>
      </c>
      <c r="D3684" s="24" t="str">
        <f>_xll.DBRW("TM1-S1_DEV:}ElementAttributes_SP_SKU",$F3684,D$1)</f>
        <v>Secondary</v>
      </c>
      <c r="E3684" s="24" t="str">
        <f>_xll.DBRW("TM1-S1_DEV:}ElementAttributes_SP_SKU",$F3684,E$1)</f>
        <v>CLEANING</v>
      </c>
      <c r="F3684" s="26" t="s">
        <v>558</v>
      </c>
      <c r="G3684" s="26" t="s">
        <v>2597</v>
      </c>
      <c r="H3684" s="26" t="s">
        <v>2800</v>
      </c>
      <c r="I3684" s="54">
        <f>_xll.DBRW($A$1,$F$14,$F$15,$C3684,$A$2,$F3684,$G3684,$H3684,I$1)</f>
        <v>42</v>
      </c>
      <c r="J3684" s="25">
        <f>_xll.DBRW($A$1,$F$14,$F$15,$C3684,$A$2,$F3684,$G3684,$H3684,J$19)</f>
        <v>42</v>
      </c>
    </row>
    <row r="3685" spans="1:10" s="23" customFormat="1" outlineLevel="1" thickBot="1" x14ac:dyDescent="0.3">
      <c r="A3685" s="44"/>
      <c r="B3685" s="31" t="str">
        <f>IF(_xll.TM1RPTELISCONSOLIDATED($H$20,$H3685),IF(_xll.TM1RPTELLEV($H$20,$H3685)&lt;=5,_xll.TM1RPTELLEV($H$20,$H3685),"Default"),"Leaf")</f>
        <v>Leaf</v>
      </c>
      <c r="C3685" s="26" t="s">
        <v>28</v>
      </c>
      <c r="D3685" s="24" t="str">
        <f>_xll.DBRW("TM1-S1_DEV:}ElementAttributes_SP_SKU",$F3685,D$1)</f>
        <v>Secondary</v>
      </c>
      <c r="E3685" s="24" t="str">
        <f>_xll.DBRW("TM1-S1_DEV:}ElementAttributes_SP_SKU",$F3685,E$1)</f>
        <v>DRESSING</v>
      </c>
      <c r="F3685" s="26" t="s">
        <v>579</v>
      </c>
      <c r="G3685" s="26" t="s">
        <v>2623</v>
      </c>
      <c r="H3685" s="26" t="s">
        <v>2733</v>
      </c>
      <c r="I3685" s="54">
        <f>_xll.DBRW($A$1,$F$14,$F$15,$C3685,$A$2,$F3685,$G3685,$H3685,I$1)</f>
        <v>4</v>
      </c>
      <c r="J3685" s="25">
        <f>_xll.DBRW($A$1,$F$14,$F$15,$C3685,$A$2,$F3685,$G3685,$H3685,J$19)</f>
        <v>5</v>
      </c>
    </row>
    <row r="3686" spans="1:10" s="23" customFormat="1" outlineLevel="1" thickBot="1" x14ac:dyDescent="0.3">
      <c r="A3686" s="44"/>
      <c r="B3686" s="31" t="str">
        <f>IF(_xll.TM1RPTELISCONSOLIDATED($H$20,$H3686),IF(_xll.TM1RPTELLEV($H$20,$H3686)&lt;=5,_xll.TM1RPTELLEV($H$20,$H3686),"Default"),"Leaf")</f>
        <v>Leaf</v>
      </c>
      <c r="C3686" s="26" t="s">
        <v>28</v>
      </c>
      <c r="D3686" s="24" t="str">
        <f>_xll.DBRW("TM1-S1_DEV:}ElementAttributes_SP_SKU",$F3686,D$1)</f>
        <v>Secondary</v>
      </c>
      <c r="E3686" s="24" t="str">
        <f>_xll.DBRW("TM1-S1_DEV:}ElementAttributes_SP_SKU",$F3686,E$1)</f>
        <v>PAPER</v>
      </c>
      <c r="F3686" s="26" t="s">
        <v>603</v>
      </c>
      <c r="G3686" s="26" t="s">
        <v>2646</v>
      </c>
      <c r="H3686" s="26" t="s">
        <v>2951</v>
      </c>
      <c r="I3686" s="54">
        <f>_xll.DBRW($A$1,$F$14,$F$15,$C3686,$A$2,$F3686,$G3686,$H3686,I$1)</f>
        <v>66</v>
      </c>
      <c r="J3686" s="25">
        <f>_xll.DBRW($A$1,$F$14,$F$15,$C3686,$A$2,$F3686,$G3686,$H3686,J$19)</f>
        <v>66</v>
      </c>
    </row>
    <row r="3687" spans="1:10" s="23" customFormat="1" outlineLevel="1" thickBot="1" x14ac:dyDescent="0.3">
      <c r="A3687" s="44"/>
      <c r="B3687" s="31" t="str">
        <f>IF(_xll.TM1RPTELISCONSOLIDATED($H$20,$H3687),IF(_xll.TM1RPTELLEV($H$20,$H3687)&lt;=5,_xll.TM1RPTELLEV($H$20,$H3687),"Default"),"Leaf")</f>
        <v>Leaf</v>
      </c>
      <c r="C3687" s="26" t="s">
        <v>28</v>
      </c>
      <c r="D3687" s="24" t="str">
        <f>_xll.DBRW("TM1-S1_DEV:}ElementAttributes_SP_SKU",$F3687,D$1)</f>
        <v>Secondary</v>
      </c>
      <c r="E3687" s="24" t="str">
        <f>_xll.DBRW("TM1-S1_DEV:}ElementAttributes_SP_SKU",$F3687,E$1)</f>
        <v>CONTAINER</v>
      </c>
      <c r="F3687" s="26" t="s">
        <v>628</v>
      </c>
      <c r="G3687" s="26" t="s">
        <v>2580</v>
      </c>
      <c r="H3687" s="26" t="s">
        <v>2758</v>
      </c>
      <c r="I3687" s="54">
        <f>_xll.DBRW($A$1,$F$14,$F$15,$C3687,$A$2,$F3687,$G3687,$H3687,I$1)</f>
        <v>3</v>
      </c>
      <c r="J3687" s="25">
        <f>_xll.DBRW($A$1,$F$14,$F$15,$C3687,$A$2,$F3687,$G3687,$H3687,J$19)</f>
        <v>3</v>
      </c>
    </row>
    <row r="3688" spans="1:10" s="23" customFormat="1" outlineLevel="1" thickBot="1" x14ac:dyDescent="0.3">
      <c r="A3688" s="44"/>
      <c r="B3688" s="31" t="str">
        <f>IF(_xll.TM1RPTELISCONSOLIDATED($H$20,$H3688),IF(_xll.TM1RPTELLEV($H$20,$H3688)&lt;=5,_xll.TM1RPTELLEV($H$20,$H3688),"Default"),"Leaf")</f>
        <v>Leaf</v>
      </c>
      <c r="C3688" s="26" t="s">
        <v>28</v>
      </c>
      <c r="D3688" s="24" t="str">
        <f>_xll.DBRW("TM1-S1_DEV:}ElementAttributes_SP_SKU",$F3688,D$1)</f>
        <v>Secondary</v>
      </c>
      <c r="E3688" s="24" t="str">
        <f>_xll.DBRW("TM1-S1_DEV:}ElementAttributes_SP_SKU",$F3688,E$1)</f>
        <v>INGREDIENT</v>
      </c>
      <c r="F3688" s="26" t="s">
        <v>629</v>
      </c>
      <c r="G3688" s="26" t="s">
        <v>2667</v>
      </c>
      <c r="H3688" s="26" t="s">
        <v>2720</v>
      </c>
      <c r="I3688" s="54">
        <f>_xll.DBRW($A$1,$F$14,$F$15,$C3688,$A$2,$F3688,$G3688,$H3688,I$1)</f>
        <v>1</v>
      </c>
      <c r="J3688" s="25">
        <f>_xll.DBRW($A$1,$F$14,$F$15,$C3688,$A$2,$F3688,$G3688,$H3688,J$19)</f>
        <v>1</v>
      </c>
    </row>
    <row r="3689" spans="1:10" s="23" customFormat="1" outlineLevel="1" thickBot="1" x14ac:dyDescent="0.3">
      <c r="A3689" s="44"/>
      <c r="B3689" s="31" t="str">
        <f>IF(_xll.TM1RPTELISCONSOLIDATED($H$20,$H3689),IF(_xll.TM1RPTELLEV($H$20,$H3689)&lt;=5,_xll.TM1RPTELLEV($H$20,$H3689),"Default"),"Leaf")</f>
        <v>Leaf</v>
      </c>
      <c r="C3689" s="26" t="s">
        <v>28</v>
      </c>
      <c r="D3689" s="24" t="str">
        <f>_xll.DBRW("TM1-S1_DEV:}ElementAttributes_SP_SKU",$F3689,D$1)</f>
        <v>Secondary</v>
      </c>
      <c r="E3689" s="24" t="str">
        <f>_xll.DBRW("TM1-S1_DEV:}ElementAttributes_SP_SKU",$F3689,E$1)</f>
        <v>CONTAINER</v>
      </c>
      <c r="F3689" s="26" t="s">
        <v>630</v>
      </c>
      <c r="G3689" s="26" t="s">
        <v>2668</v>
      </c>
      <c r="H3689" s="26" t="s">
        <v>2958</v>
      </c>
      <c r="I3689" s="54">
        <f>_xll.DBRW($A$1,$F$14,$F$15,$C3689,$A$2,$F3689,$G3689,$H3689,I$1)</f>
        <v>36</v>
      </c>
      <c r="J3689" s="25">
        <f>_xll.DBRW($A$1,$F$14,$F$15,$C3689,$A$2,$F3689,$G3689,$H3689,J$19)</f>
        <v>36</v>
      </c>
    </row>
    <row r="3690" spans="1:10" s="23" customFormat="1" outlineLevel="1" thickBot="1" x14ac:dyDescent="0.3">
      <c r="A3690" s="44"/>
      <c r="B3690" s="31" t="str">
        <f>IF(_xll.TM1RPTELISCONSOLIDATED($H$20,$H3690),IF(_xll.TM1RPTELLEV($H$20,$H3690)&lt;=5,_xll.TM1RPTELLEV($H$20,$H3690),"Default"),"Leaf")</f>
        <v>Leaf</v>
      </c>
      <c r="C3690" s="26" t="s">
        <v>28</v>
      </c>
      <c r="D3690" s="24" t="str">
        <f>_xll.DBRW("TM1-S1_DEV:}ElementAttributes_SP_SKU",$F3690,D$1)</f>
        <v>Secondary</v>
      </c>
      <c r="E3690" s="24" t="str">
        <f>_xll.DBRW("TM1-S1_DEV:}ElementAttributes_SP_SKU",$F3690,E$1)</f>
        <v>DRINKS</v>
      </c>
      <c r="F3690" s="26" t="s">
        <v>631</v>
      </c>
      <c r="G3690" s="26" t="s">
        <v>2669</v>
      </c>
      <c r="H3690" s="26" t="s">
        <v>2746</v>
      </c>
      <c r="I3690" s="54">
        <f>_xll.DBRW($A$1,$F$14,$F$15,$C3690,$A$2,$F3690,$G3690,$H3690,I$1)</f>
        <v>123</v>
      </c>
      <c r="J3690" s="25">
        <f>_xll.DBRW($A$1,$F$14,$F$15,$C3690,$A$2,$F3690,$G3690,$H3690,J$19)</f>
        <v>203</v>
      </c>
    </row>
    <row r="3691" spans="1:10" s="23" customFormat="1" outlineLevel="1" thickBot="1" x14ac:dyDescent="0.3">
      <c r="A3691" s="44"/>
      <c r="B3691" s="31" t="str">
        <f>IF(_xll.TM1RPTELISCONSOLIDATED($H$20,$H3691),IF(_xll.TM1RPTELLEV($H$20,$H3691)&lt;=5,_xll.TM1RPTELLEV($H$20,$H3691),"Default"),"Leaf")</f>
        <v>Leaf</v>
      </c>
      <c r="C3691" s="26" t="s">
        <v>28</v>
      </c>
      <c r="D3691" s="24" t="str">
        <f>_xll.DBRW("TM1-S1_DEV:}ElementAttributes_SP_SKU",$F3691,D$1)</f>
        <v>Primary</v>
      </c>
      <c r="E3691" s="24" t="str">
        <f>_xll.DBRW("TM1-S1_DEV:}ElementAttributes_SP_SKU",$F3691,E$1)</f>
        <v>INGREDIENT</v>
      </c>
      <c r="F3691" s="26" t="s">
        <v>3240</v>
      </c>
      <c r="G3691" s="26" t="s">
        <v>2546</v>
      </c>
      <c r="H3691" s="26" t="s">
        <v>2728</v>
      </c>
      <c r="I3691" s="54">
        <f>_xll.DBRW($A$1,$F$14,$F$15,$C3691,$A$2,$F3691,$G3691,$H3691,I$1)</f>
        <v>31</v>
      </c>
      <c r="J3691" s="25">
        <f>_xll.DBRW($A$1,$F$14,$F$15,$C3691,$A$2,$F3691,$G3691,$H3691,J$19)</f>
        <v>22</v>
      </c>
    </row>
    <row r="3692" spans="1:10" s="23" customFormat="1" outlineLevel="1" thickBot="1" x14ac:dyDescent="0.3">
      <c r="A3692" s="44"/>
      <c r="B3692" s="31" t="str">
        <f>IF(_xll.TM1RPTELISCONSOLIDATED($H$20,$H3692),IF(_xll.TM1RPTELLEV($H$20,$H3692)&lt;=5,_xll.TM1RPTELLEV($H$20,$H3692),"Default"),"Leaf")</f>
        <v>Leaf</v>
      </c>
      <c r="C3692" s="26" t="s">
        <v>28</v>
      </c>
      <c r="D3692" s="24" t="str">
        <f>_xll.DBRW("TM1-S1_DEV:}ElementAttributes_SP_SKU",$F3692,D$1)</f>
        <v>Primary</v>
      </c>
      <c r="E3692" s="24" t="str">
        <f>_xll.DBRW("TM1-S1_DEV:}ElementAttributes_SP_SKU",$F3692,E$1)</f>
        <v>INGREDIENT</v>
      </c>
      <c r="F3692" s="26" t="s">
        <v>3241</v>
      </c>
      <c r="G3692" s="26" t="s">
        <v>2547</v>
      </c>
      <c r="H3692" s="26" t="s">
        <v>2729</v>
      </c>
      <c r="I3692" s="54">
        <f>_xll.DBRW($A$1,$F$14,$F$15,$C3692,$A$2,$F3692,$G3692,$H3692,I$1)</f>
        <v>420</v>
      </c>
      <c r="J3692" s="25">
        <f>_xll.DBRW($A$1,$F$14,$F$15,$C3692,$A$2,$F3692,$G3692,$H3692,J$19)</f>
        <v>350</v>
      </c>
    </row>
    <row r="3693" spans="1:10" s="23" customFormat="1" outlineLevel="1" thickBot="1" x14ac:dyDescent="0.3">
      <c r="A3693" s="44"/>
      <c r="B3693" s="31" t="str">
        <f>IF(_xll.TM1RPTELISCONSOLIDATED($H$20,$H3693),IF(_xll.TM1RPTELLEV($H$20,$H3693)&lt;=5,_xll.TM1RPTELLEV($H$20,$H3693),"Default"),"Leaf")</f>
        <v>Leaf</v>
      </c>
      <c r="C3693" s="26" t="s">
        <v>28</v>
      </c>
      <c r="D3693" s="24" t="str">
        <f>_xll.DBRW("TM1-S1_DEV:}ElementAttributes_SP_SKU",$F3693,D$1)</f>
        <v>Primary</v>
      </c>
      <c r="E3693" s="24" t="str">
        <f>_xll.DBRW("TM1-S1_DEV:}ElementAttributes_SP_SKU",$F3693,E$1)</f>
        <v>INGREDIENT</v>
      </c>
      <c r="F3693" s="26" t="s">
        <v>3241</v>
      </c>
      <c r="G3693" s="26" t="s">
        <v>2548</v>
      </c>
      <c r="H3693" s="26" t="s">
        <v>2734</v>
      </c>
      <c r="I3693" s="54">
        <f>_xll.DBRW($A$1,$F$14,$F$15,$C3693,$A$2,$F3693,$G3693,$H3693,I$1)</f>
        <v>1057</v>
      </c>
      <c r="J3693" s="25">
        <f>_xll.DBRW($A$1,$F$14,$F$15,$C3693,$A$2,$F3693,$G3693,$H3693,J$19)</f>
        <v>1057</v>
      </c>
    </row>
    <row r="3694" spans="1:10" s="23" customFormat="1" outlineLevel="1" thickBot="1" x14ac:dyDescent="0.3">
      <c r="A3694" s="44"/>
      <c r="B3694" s="31" t="str">
        <f>IF(_xll.TM1RPTELISCONSOLIDATED($H$20,$H3694),IF(_xll.TM1RPTELLEV($H$20,$H3694)&lt;=5,_xll.TM1RPTELLEV($H$20,$H3694),"Default"),"Leaf")</f>
        <v>Leaf</v>
      </c>
      <c r="C3694" s="26" t="s">
        <v>28</v>
      </c>
      <c r="D3694" s="24" t="str">
        <f>_xll.DBRW("TM1-S1_DEV:}ElementAttributes_SP_SKU",$F3694,D$1)</f>
        <v>Unassigned PSP</v>
      </c>
      <c r="E3694" s="24" t="str">
        <f>_xll.DBRW("TM1-S1_DEV:}ElementAttributes_SP_SKU",$F3694,E$1)</f>
        <v>PAPER</v>
      </c>
      <c r="F3694" s="26" t="s">
        <v>99</v>
      </c>
      <c r="G3694" s="26" t="s">
        <v>2550</v>
      </c>
      <c r="H3694" s="26" t="s">
        <v>2763</v>
      </c>
      <c r="I3694" s="54">
        <f>_xll.DBRW($A$1,$F$14,$F$15,$C3694,$A$2,$F3694,$G3694,$H3694,I$1)</f>
        <v>7</v>
      </c>
      <c r="J3694" s="25">
        <f>_xll.DBRW($A$1,$F$14,$F$15,$C3694,$A$2,$F3694,$G3694,$H3694,J$19)</f>
        <v>7</v>
      </c>
    </row>
    <row r="3695" spans="1:10" s="23" customFormat="1" outlineLevel="1" thickBot="1" x14ac:dyDescent="0.3">
      <c r="A3695" s="44"/>
      <c r="B3695" s="31" t="str">
        <f>IF(_xll.TM1RPTELISCONSOLIDATED($H$20,$H3695),IF(_xll.TM1RPTELLEV($H$20,$H3695)&lt;=5,_xll.TM1RPTELLEV($H$20,$H3695),"Default"),"Leaf")</f>
        <v>Leaf</v>
      </c>
      <c r="C3695" s="26" t="s">
        <v>28</v>
      </c>
      <c r="D3695" s="24" t="str">
        <f>_xll.DBRW("TM1-S1_DEV:}ElementAttributes_SP_SKU",$F3695,D$1)</f>
        <v>Primary</v>
      </c>
      <c r="E3695" s="24" t="str">
        <f>_xll.DBRW("TM1-S1_DEV:}ElementAttributes_SP_SKU",$F3695,E$1)</f>
        <v>CONTAINER</v>
      </c>
      <c r="F3695" s="26" t="s">
        <v>3242</v>
      </c>
      <c r="G3695" s="26" t="s">
        <v>2564</v>
      </c>
      <c r="H3695" s="26" t="s">
        <v>2708</v>
      </c>
      <c r="I3695" s="54">
        <f>_xll.DBRW($A$1,$F$14,$F$15,$C3695,$A$2,$F3695,$G3695,$H3695,I$1)</f>
        <v>26</v>
      </c>
      <c r="J3695" s="25">
        <f>_xll.DBRW($A$1,$F$14,$F$15,$C3695,$A$2,$F3695,$G3695,$H3695,J$19)</f>
        <v>17</v>
      </c>
    </row>
    <row r="3696" spans="1:10" s="23" customFormat="1" outlineLevel="1" thickBot="1" x14ac:dyDescent="0.3">
      <c r="A3696" s="44"/>
      <c r="B3696" s="31" t="str">
        <f>IF(_xll.TM1RPTELISCONSOLIDATED($H$20,$H3696),IF(_xll.TM1RPTELLEV($H$20,$H3696)&lt;=5,_xll.TM1RPTELLEV($H$20,$H3696),"Default"),"Leaf")</f>
        <v>Leaf</v>
      </c>
      <c r="C3696" s="26" t="s">
        <v>28</v>
      </c>
      <c r="D3696" s="24" t="str">
        <f>_xll.DBRW("TM1-S1_DEV:}ElementAttributes_SP_SKU",$F3696,D$1)</f>
        <v>Primary</v>
      </c>
      <c r="E3696" s="24" t="str">
        <f>_xll.DBRW("TM1-S1_DEV:}ElementAttributes_SP_SKU",$F3696,E$1)</f>
        <v>PAPER</v>
      </c>
      <c r="F3696" s="26" t="s">
        <v>3243</v>
      </c>
      <c r="G3696" s="26" t="s">
        <v>2565</v>
      </c>
      <c r="H3696" s="26" t="s">
        <v>2730</v>
      </c>
      <c r="I3696" s="54">
        <f>_xll.DBRW($A$1,$F$14,$F$15,$C3696,$A$2,$F3696,$G3696,$H3696,I$1)</f>
        <v>9</v>
      </c>
      <c r="J3696" s="25">
        <f>_xll.DBRW($A$1,$F$14,$F$15,$C3696,$A$2,$F3696,$G3696,$H3696,J$19)</f>
        <v>8</v>
      </c>
    </row>
    <row r="3697" spans="1:10" s="23" customFormat="1" outlineLevel="1" thickBot="1" x14ac:dyDescent="0.3">
      <c r="A3697" s="44"/>
      <c r="B3697" s="31" t="str">
        <f>IF(_xll.TM1RPTELISCONSOLIDATED($H$20,$H3697),IF(_xll.TM1RPTELLEV($H$20,$H3697)&lt;=5,_xll.TM1RPTELLEV($H$20,$H3697),"Default"),"Leaf")</f>
        <v>Leaf</v>
      </c>
      <c r="C3697" s="26" t="s">
        <v>28</v>
      </c>
      <c r="D3697" s="24" t="str">
        <f>_xll.DBRW("TM1-S1_DEV:}ElementAttributes_SP_SKU",$F3697,D$1)</f>
        <v>Primary</v>
      </c>
      <c r="E3697" s="24" t="str">
        <f>_xll.DBRW("TM1-S1_DEV:}ElementAttributes_SP_SKU",$F3697,E$1)</f>
        <v>PROTEIN</v>
      </c>
      <c r="F3697" s="26" t="s">
        <v>3244</v>
      </c>
      <c r="G3697" s="26" t="s">
        <v>2566</v>
      </c>
      <c r="H3697" s="26" t="s">
        <v>2670</v>
      </c>
      <c r="I3697" s="54">
        <f>_xll.DBRW($A$1,$F$14,$F$15,$C3697,$A$2,$F3697,$G3697,$H3697,I$1)</f>
        <v>1</v>
      </c>
      <c r="J3697" s="25">
        <f>_xll.DBRW($A$1,$F$14,$F$15,$C3697,$A$2,$F3697,$G3697,$H3697,J$19)</f>
        <v>30</v>
      </c>
    </row>
    <row r="3698" spans="1:10" s="23" customFormat="1" outlineLevel="1" thickBot="1" x14ac:dyDescent="0.3">
      <c r="A3698" s="44"/>
      <c r="B3698" s="31" t="str">
        <f>IF(_xll.TM1RPTELISCONSOLIDATED($H$20,$H3698),IF(_xll.TM1RPTELLEV($H$20,$H3698)&lt;=5,_xll.TM1RPTELLEV($H$20,$H3698),"Default"),"Leaf")</f>
        <v>Leaf</v>
      </c>
      <c r="C3698" s="26" t="s">
        <v>28</v>
      </c>
      <c r="D3698" s="24" t="str">
        <f>_xll.DBRW("TM1-S1_DEV:}ElementAttributes_SP_SKU",$F3698,D$1)</f>
        <v>Primary</v>
      </c>
      <c r="E3698" s="24" t="str">
        <f>_xll.DBRW("TM1-S1_DEV:}ElementAttributes_SP_SKU",$F3698,E$1)</f>
        <v>PAD</v>
      </c>
      <c r="F3698" s="26" t="s">
        <v>3245</v>
      </c>
      <c r="G3698" s="26" t="s">
        <v>2567</v>
      </c>
      <c r="H3698" s="26" t="s">
        <v>2731</v>
      </c>
      <c r="I3698" s="54">
        <f>_xll.DBRW($A$1,$F$14,$F$15,$C3698,$A$2,$F3698,$G3698,$H3698,I$1)</f>
        <v>11</v>
      </c>
      <c r="J3698" s="25">
        <f>_xll.DBRW($A$1,$F$14,$F$15,$C3698,$A$2,$F3698,$G3698,$H3698,J$19)</f>
        <v>7</v>
      </c>
    </row>
  </sheetData>
  <autoFilter ref="B19:J3698" xr:uid="{FC4FCC58-3CAB-4FF8-B276-2DF1E78BC51F}"/>
  <conditionalFormatting sqref="I4:I11 I20:I3698">
    <cfRule type="cellIs" dxfId="0" priority="6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At Risk Out of Stock</vt:lpstr>
      <vt:lpstr>'At Risk Out of Stock'!TM1RPTDATARNG40479590</vt:lpstr>
      <vt:lpstr>'At Risk Out of Stock'!TM1RPTFMTIDCOL40479590</vt:lpstr>
      <vt:lpstr>'At Risk Out of Stock'!TM1RPTFMTRNG40479590</vt:lpstr>
      <vt:lpstr>'At Risk Out of Stock'!TM1RPTQRYRNG40479590</vt:lpstr>
      <vt:lpstr>'At Risk Out of Stock'!TM1RPTVIEWRNG40479590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Santiago, Michelle</dc:creator>
  <cp:lastModifiedBy>Santiago, Michelle</cp:lastModifiedBy>
  <dcterms:created xsi:type="dcterms:W3CDTF">2026-03-19T17:05:07Z</dcterms:created>
  <dcterms:modified xsi:type="dcterms:W3CDTF">2026-03-23T14:23:57Z</dcterms:modified>
</cp:coreProperties>
</file>