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e\AppData\Local\Temp\"/>
    </mc:Choice>
  </mc:AlternateContent>
  <xr:revisionPtr revIDLastSave="0" documentId="8_{D199C1BA-CF35-4CBA-92DF-19E909ACC3E1}" xr6:coauthVersionLast="47" xr6:coauthVersionMax="47" xr10:uidLastSave="{00000000-0000-0000-0000-000000000000}"/>
  <bookViews>
    <workbookView xWindow="2040" yWindow="1035" windowWidth="34080" windowHeight="14055" firstSheet="1" activeTab="1" xr2:uid="{C22FA3B1-E461-4665-B08D-8DA0EF512BA9}"/>
  </bookViews>
  <sheets>
    <sheet name="Cognos_Office_Connection_Cache" sheetId="2" state="veryHidden" r:id="rId1"/>
    <sheet name="Fcst Adjustment Rpt" sheetId="1" r:id="rId2"/>
  </sheets>
  <externalReferences>
    <externalReference r:id="rId3"/>
    <externalReference r:id="rId4"/>
  </externalReferences>
  <definedNames>
    <definedName name="CurrentWeek">[1]Index!$C$7</definedName>
    <definedName name="CurrentYear">[1]Index!$C$4</definedName>
    <definedName name="CurrYear" hidden="1">#NAME?</definedName>
    <definedName name="DistributionCenter">[2]Main!$D$18</definedName>
    <definedName name="ID" localSheetId="0" hidden="1">"99dc2942-e12d-4a7f-906c-99f208314116"</definedName>
    <definedName name="ID" localSheetId="1" hidden="1">"3a9f71ee-77a0-4f47-89a2-3957e1cdc910"</definedName>
    <definedName name="TM1RPTDATARNG4325939" localSheetId="1">'Fcst Adjustment Rpt'!$22:$22</definedName>
    <definedName name="TM1RPTFMTIDCOL4325939" localSheetId="1">'Fcst Adjustment Rpt'!$B$6:$B$15</definedName>
    <definedName name="TM1RPTFMTRNG4325939" localSheetId="1">'Fcst Adjustment Rpt'!$C$6:$J$15</definedName>
    <definedName name="TM1RPTQRYRNG4325939" localSheetId="1">'Fcst Adjustment Rpt'!$C$16:$H$16</definedName>
    <definedName name="TM1RPTVIEWRNG4325939" localSheetId="1">'Fcst Adjustment Rpt'!$A$1</definedName>
    <definedName name="YEar" hidden="1">#NAME?</definedName>
  </definedName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" i="1" l="1"/>
  <c r="A2" i="1"/>
  <c r="D17" i="1"/>
  <c r="I1" i="1" l="1"/>
  <c r="I19" i="1" s="1"/>
  <c r="J1" i="1"/>
  <c r="J19" i="1" s="1"/>
  <c r="K1" i="1"/>
  <c r="K19" i="1" s="1"/>
  <c r="K2" i="1"/>
  <c r="L2" i="1" s="1"/>
  <c r="I20" i="1"/>
  <c r="J20" i="1"/>
  <c r="B22" i="1"/>
  <c r="A3" i="1"/>
  <c r="A4" i="1"/>
  <c r="L1" i="1" l="1"/>
  <c r="M2" i="1"/>
  <c r="L20" i="1"/>
  <c r="K20" i="1"/>
  <c r="A1" i="1"/>
  <c r="G22" i="1"/>
  <c r="C22" i="1"/>
  <c r="H22" i="1"/>
  <c r="F22" i="1"/>
  <c r="L22" i="1" s="1"/>
  <c r="I22" i="1"/>
  <c r="K22" i="1"/>
  <c r="J22" i="1"/>
  <c r="D22" i="1"/>
  <c r="E22" i="1"/>
  <c r="M1" i="1" l="1"/>
  <c r="N2" i="1"/>
  <c r="M20" i="1"/>
  <c r="L19" i="1"/>
  <c r="M22" i="1"/>
  <c r="N1" i="1" l="1"/>
  <c r="O2" i="1"/>
  <c r="N20" i="1"/>
  <c r="M19" i="1"/>
  <c r="N22" i="1"/>
  <c r="O1" i="1" l="1"/>
  <c r="P2" i="1"/>
  <c r="O20" i="1"/>
  <c r="N19" i="1"/>
  <c r="O22" i="1"/>
  <c r="P1" i="1" l="1"/>
  <c r="Q2" i="1"/>
  <c r="P20" i="1"/>
  <c r="O19" i="1"/>
  <c r="P22" i="1"/>
  <c r="Q1" i="1" l="1"/>
  <c r="R2" i="1"/>
  <c r="Q20" i="1"/>
  <c r="P19" i="1"/>
  <c r="Q22" i="1"/>
  <c r="R1" i="1" l="1"/>
  <c r="S2" i="1"/>
  <c r="R20" i="1"/>
  <c r="Q19" i="1"/>
  <c r="R22" i="1"/>
  <c r="S1" i="1" l="1"/>
  <c r="T2" i="1"/>
  <c r="S20" i="1"/>
  <c r="R19" i="1"/>
  <c r="S22" i="1"/>
  <c r="T1" i="1" l="1"/>
  <c r="U2" i="1"/>
  <c r="T20" i="1"/>
  <c r="S19" i="1"/>
  <c r="T22" i="1"/>
  <c r="T19" i="1" l="1"/>
  <c r="U1" i="1"/>
  <c r="V2" i="1"/>
  <c r="U20" i="1"/>
  <c r="U22" i="1"/>
  <c r="V1" i="1" l="1"/>
  <c r="V20" i="1"/>
  <c r="U19" i="1"/>
  <c r="V22" i="1"/>
  <c r="V19" i="1" l="1"/>
</calcChain>
</file>

<file path=xl/sharedStrings.xml><?xml version="1.0" encoding="utf-8"?>
<sst xmlns="http://schemas.openxmlformats.org/spreadsheetml/2006/main" count="85" uniqueCount="24">
  <si>
    <t>Demand</t>
  </si>
  <si>
    <t>Manufacturer</t>
  </si>
  <si>
    <t>DC Item Number</t>
  </si>
  <si>
    <t>HBH SKU</t>
  </si>
  <si>
    <t>Category</t>
  </si>
  <si>
    <t>Primary / Secondary</t>
  </si>
  <si>
    <t>DC Name</t>
  </si>
  <si>
    <t>Forecast Adjustment Report</t>
  </si>
  <si>
    <t>[End Format Range]</t>
  </si>
  <si>
    <t>Element Name</t>
  </si>
  <si>
    <t>Leaf</t>
  </si>
  <si>
    <t>Default</t>
  </si>
  <si>
    <t>[Begin Format Range]</t>
  </si>
  <si>
    <t>Next Year Rolling</t>
  </si>
  <si>
    <t>Curr Year Rolling</t>
  </si>
  <si>
    <t>{TM1SubsetToSet([SP_Manufacturer].[SP_Manufacturer], "All Level 0")}</t>
  </si>
  <si>
    <t>{TM1SubsetToSet([SP_DCItem].[SP_DCItem], "All Level 0")}</t>
  </si>
  <si>
    <t>{TM1SubsetToSet([SP_SKU].[SP_SKU], "All Level 0")}</t>
  </si>
  <si>
    <t>Primary/Secondary</t>
  </si>
  <si>
    <t>{TM1SubsetToSet([SP_DistributionCenter].[SP_DistributionCenter], "All Level 0")}</t>
  </si>
  <si>
    <t xml:space="preserve">Year: </t>
  </si>
  <si>
    <t xml:space="preserve">Week: </t>
  </si>
  <si>
    <t>*Note*:</t>
  </si>
  <si>
    <t>If there are no adjustments, the first item will show as error. This is expected.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</si>
</sst>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0.5"/>
      <color theme="1" tint="0.24994659260841701"/>
      <name val="Calibri"/>
      <family val="2"/>
    </font>
    <font>
      <b/>
      <sz val="10.5"/>
      <color rgb="FF165D81"/>
      <name val="Calibri"/>
      <family val="2"/>
    </font>
    <font>
      <sz val="11"/>
      <color rgb="FF0070C0"/>
      <name val="Aptos Narrow"/>
      <family val="2"/>
      <scheme val="minor"/>
    </font>
    <font>
      <b/>
      <i/>
      <sz val="16"/>
      <color rgb="FF0070C0"/>
      <name val="Aptos Narrow"/>
      <family val="2"/>
      <scheme val="minor"/>
    </font>
    <font>
      <sz val="11"/>
      <color theme="8"/>
      <name val="Aptos Narrow"/>
      <family val="2"/>
      <scheme val="minor"/>
    </font>
    <font>
      <b/>
      <i/>
      <sz val="10.5"/>
      <color rgb="FFFF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/>
      <bottom style="medium">
        <color theme="0" tint="-0.24994659260841701"/>
      </bottom>
      <diagonal/>
    </border>
    <border>
      <left/>
      <right style="medium">
        <color theme="0" tint="-0.2499465926084170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8">
    <xf numFmtId="0" fontId="0" fillId="0" borderId="0"/>
    <xf numFmtId="3" fontId="1" fillId="0" borderId="1" applyNumberFormat="0" applyBorder="0" applyAlignment="0" applyProtection="0"/>
    <xf numFmtId="3" fontId="1" fillId="0" borderId="1" applyFont="0" applyFill="0" applyAlignment="0" applyProtection="0"/>
    <xf numFmtId="0" fontId="2" fillId="0" borderId="2" applyNumberFormat="0" applyFill="0" applyAlignment="0" applyProtection="0"/>
    <xf numFmtId="0" fontId="2" fillId="0" borderId="2" applyNumberFormat="0" applyFill="0" applyProtection="0">
      <alignment horizontal="center" vertical="center"/>
    </xf>
    <xf numFmtId="0" fontId="1" fillId="0" borderId="1" applyNumberFormat="0" applyFill="0" applyAlignment="0" applyProtection="0"/>
    <xf numFmtId="3" fontId="1" fillId="0" borderId="0" applyNumberFormat="0" applyBorder="0" applyAlignment="0" applyProtection="0"/>
    <xf numFmtId="3" fontId="1" fillId="0" borderId="1" applyFont="0" applyFill="0" applyAlignment="0" applyProtection="0"/>
    <xf numFmtId="3" fontId="2" fillId="0" borderId="2" applyNumberFormat="0" applyFill="0" applyAlignment="0" applyProtection="0"/>
    <xf numFmtId="3" fontId="1" fillId="0" borderId="1" applyNumberFormat="0" applyBorder="0" applyAlignment="0" applyProtection="0"/>
    <xf numFmtId="3" fontId="1" fillId="0" borderId="1" applyFont="0" applyFill="0" applyAlignment="0" applyProtection="0"/>
    <xf numFmtId="0" fontId="2" fillId="0" borderId="2" applyNumberFormat="0" applyFill="0" applyAlignment="0" applyProtection="0"/>
    <xf numFmtId="3" fontId="1" fillId="0" borderId="1" applyNumberFormat="0" applyBorder="0" applyAlignment="0" applyProtection="0"/>
    <xf numFmtId="3" fontId="1" fillId="0" borderId="1" applyFont="0" applyFill="0" applyAlignment="0" applyProtection="0"/>
    <xf numFmtId="0" fontId="2" fillId="0" borderId="2" applyNumberFormat="0" applyFill="0" applyAlignment="0" applyProtection="0"/>
    <xf numFmtId="3" fontId="1" fillId="0" borderId="0" applyNumberFormat="0" applyBorder="0" applyAlignment="0" applyProtection="0"/>
    <xf numFmtId="3" fontId="1" fillId="0" borderId="1" applyFont="0" applyFill="0" applyAlignment="0" applyProtection="0"/>
    <xf numFmtId="0" fontId="2" fillId="0" borderId="2" applyNumberFormat="0" applyFill="0" applyAlignment="0" applyProtection="0"/>
    <xf numFmtId="3" fontId="1" fillId="0" borderId="0" applyNumberFormat="0" applyBorder="0" applyAlignment="0" applyProtection="0"/>
    <xf numFmtId="3" fontId="1" fillId="0" borderId="1" applyFont="0" applyFill="0" applyAlignment="0" applyProtection="0"/>
    <xf numFmtId="0" fontId="2" fillId="0" borderId="2" applyNumberFormat="0" applyFill="0" applyAlignment="0" applyProtection="0"/>
    <xf numFmtId="3" fontId="1" fillId="0" borderId="0" applyNumberFormat="0" applyBorder="0" applyAlignment="0" applyProtection="0"/>
    <xf numFmtId="3" fontId="1" fillId="0" borderId="1" applyFont="0" applyFill="0" applyAlignment="0" applyProtection="0"/>
    <xf numFmtId="3" fontId="2" fillId="0" borderId="2" applyNumberFormat="0" applyFill="0" applyAlignment="0" applyProtection="0"/>
    <xf numFmtId="3" fontId="1" fillId="0" borderId="0" applyNumberFormat="0" applyBorder="0" applyAlignment="0" applyProtection="0"/>
    <xf numFmtId="3" fontId="1" fillId="0" borderId="1" applyFont="0" applyFill="0" applyAlignment="0" applyProtection="0"/>
    <xf numFmtId="0" fontId="2" fillId="0" borderId="2" applyNumberFormat="0" applyFill="0" applyAlignment="0" applyProtection="0"/>
    <xf numFmtId="0" fontId="1" fillId="0" borderId="1" applyNumberFormat="0" applyFill="0" applyAlignment="0" applyProtection="0"/>
  </cellStyleXfs>
  <cellXfs count="60">
    <xf numFmtId="0" fontId="0" fillId="0" borderId="0" xfId="0"/>
    <xf numFmtId="0" fontId="0" fillId="2" borderId="0" xfId="0" applyFill="1"/>
    <xf numFmtId="0" fontId="1" fillId="0" borderId="0" xfId="1" applyNumberFormat="1" applyBorder="1"/>
    <xf numFmtId="3" fontId="1" fillId="0" borderId="1" xfId="2"/>
    <xf numFmtId="49" fontId="2" fillId="0" borderId="2" xfId="3" applyNumberFormat="1" applyAlignment="1"/>
    <xf numFmtId="0" fontId="2" fillId="0" borderId="2" xfId="3" applyNumberFormat="1"/>
    <xf numFmtId="0" fontId="1" fillId="0" borderId="0" xfId="1" quotePrefix="1" applyNumberFormat="1" applyBorder="1" applyAlignment="1">
      <alignment horizontal="right"/>
    </xf>
    <xf numFmtId="0" fontId="1" fillId="2" borderId="0" xfId="1" applyNumberFormat="1" applyFill="1" applyBorder="1"/>
    <xf numFmtId="0" fontId="2" fillId="3" borderId="2" xfId="4" applyFill="1" applyAlignment="1">
      <alignment horizontal="center" vertical="center" wrapText="1"/>
    </xf>
    <xf numFmtId="0" fontId="2" fillId="3" borderId="2" xfId="4" quotePrefix="1" applyFill="1" applyAlignment="1">
      <alignment horizontal="center" vertical="center" wrapText="1"/>
    </xf>
    <xf numFmtId="0" fontId="0" fillId="0" borderId="0" xfId="0" applyAlignment="1">
      <alignment wrapText="1"/>
    </xf>
    <xf numFmtId="0" fontId="3" fillId="4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wrapText="1"/>
    </xf>
    <xf numFmtId="0" fontId="4" fillId="0" borderId="0" xfId="0" applyFont="1" applyAlignment="1">
      <alignment horizontal="left"/>
    </xf>
    <xf numFmtId="0" fontId="0" fillId="2" borderId="0" xfId="0" applyFill="1" applyAlignment="1">
      <alignment wrapText="1"/>
    </xf>
    <xf numFmtId="0" fontId="5" fillId="5" borderId="2" xfId="0" applyFont="1" applyFill="1" applyBorder="1" applyAlignment="1">
      <alignment horizontal="center" vertical="center" wrapText="1"/>
    </xf>
    <xf numFmtId="0" fontId="0" fillId="0" borderId="4" xfId="0" applyBorder="1" applyAlignment="1">
      <alignment wrapText="1"/>
    </xf>
    <xf numFmtId="0" fontId="1" fillId="0" borderId="0" xfId="5" quotePrefix="1" applyBorder="1"/>
    <xf numFmtId="0" fontId="0" fillId="0" borderId="0" xfId="0" quotePrefix="1"/>
    <xf numFmtId="0" fontId="1" fillId="0" borderId="0" xfId="6" applyNumberFormat="1"/>
    <xf numFmtId="3" fontId="1" fillId="0" borderId="1" xfId="7"/>
    <xf numFmtId="0" fontId="2" fillId="0" borderId="2" xfId="8" applyNumberFormat="1"/>
    <xf numFmtId="0" fontId="1" fillId="0" borderId="0" xfId="6" quotePrefix="1" applyNumberFormat="1" applyAlignment="1">
      <alignment horizontal="right"/>
    </xf>
    <xf numFmtId="0" fontId="1" fillId="2" borderId="0" xfId="6" applyNumberFormat="1" applyFill="1"/>
    <xf numFmtId="0" fontId="1" fillId="0" borderId="0" xfId="9" applyNumberFormat="1" applyBorder="1"/>
    <xf numFmtId="3" fontId="1" fillId="0" borderId="1" xfId="10"/>
    <xf numFmtId="0" fontId="2" fillId="0" borderId="2" xfId="11" applyNumberFormat="1"/>
    <xf numFmtId="0" fontId="1" fillId="2" borderId="0" xfId="9" applyNumberFormat="1" applyFill="1" applyBorder="1"/>
    <xf numFmtId="0" fontId="1" fillId="0" borderId="0" xfId="12" applyNumberFormat="1" applyBorder="1"/>
    <xf numFmtId="3" fontId="1" fillId="0" borderId="1" xfId="13"/>
    <xf numFmtId="0" fontId="2" fillId="0" borderId="2" xfId="14" applyNumberFormat="1"/>
    <xf numFmtId="0" fontId="1" fillId="2" borderId="0" xfId="12" applyNumberFormat="1" applyFill="1" applyBorder="1"/>
    <xf numFmtId="0" fontId="1" fillId="0" borderId="0" xfId="15" applyNumberFormat="1"/>
    <xf numFmtId="3" fontId="1" fillId="0" borderId="1" xfId="16"/>
    <xf numFmtId="0" fontId="2" fillId="0" borderId="2" xfId="17" applyNumberFormat="1"/>
    <xf numFmtId="0" fontId="1" fillId="2" borderId="0" xfId="15" applyNumberFormat="1" applyFill="1"/>
    <xf numFmtId="0" fontId="1" fillId="0" borderId="0" xfId="18" applyNumberFormat="1"/>
    <xf numFmtId="3" fontId="1" fillId="0" borderId="1" xfId="19"/>
    <xf numFmtId="0" fontId="2" fillId="0" borderId="2" xfId="20" applyNumberFormat="1"/>
    <xf numFmtId="0" fontId="1" fillId="2" borderId="0" xfId="18" applyNumberFormat="1" applyFill="1"/>
    <xf numFmtId="0" fontId="1" fillId="0" borderId="0" xfId="21" applyNumberFormat="1"/>
    <xf numFmtId="3" fontId="1" fillId="0" borderId="1" xfId="22"/>
    <xf numFmtId="0" fontId="2" fillId="0" borderId="2" xfId="23" applyNumberFormat="1"/>
    <xf numFmtId="0" fontId="1" fillId="2" borderId="0" xfId="21" applyNumberFormat="1" applyFill="1"/>
    <xf numFmtId="0" fontId="1" fillId="0" borderId="0" xfId="24" applyNumberFormat="1"/>
    <xf numFmtId="3" fontId="1" fillId="0" borderId="1" xfId="25"/>
    <xf numFmtId="0" fontId="2" fillId="0" borderId="2" xfId="26" applyNumberFormat="1"/>
    <xf numFmtId="0" fontId="1" fillId="2" borderId="0" xfId="24" applyNumberFormat="1" applyFill="1"/>
    <xf numFmtId="0" fontId="1" fillId="2" borderId="1" xfId="27" applyFill="1"/>
    <xf numFmtId="0" fontId="2" fillId="2" borderId="2" xfId="4" quotePrefix="1" applyFill="1" applyAlignment="1">
      <alignment horizontal="center" vertical="center" wrapText="1"/>
    </xf>
    <xf numFmtId="0" fontId="2" fillId="2" borderId="2" xfId="4" quotePrefix="1" applyFill="1" applyAlignment="1">
      <alignment horizontal="center" vertical="top" wrapText="1"/>
    </xf>
    <xf numFmtId="0" fontId="1" fillId="2" borderId="1" xfId="27" applyFill="1" applyAlignment="1">
      <alignment wrapText="1"/>
    </xf>
    <xf numFmtId="0" fontId="0" fillId="2" borderId="0" xfId="0" applyFill="1" applyAlignment="1">
      <alignment vertical="top" wrapText="1"/>
    </xf>
    <xf numFmtId="0" fontId="0" fillId="2" borderId="2" xfId="0" quotePrefix="1" applyFill="1" applyBorder="1" applyAlignment="1">
      <alignment vertical="top" wrapText="1"/>
    </xf>
    <xf numFmtId="0" fontId="3" fillId="2" borderId="2" xfId="0" quotePrefix="1" applyFont="1" applyFill="1" applyBorder="1" applyAlignment="1">
      <alignment horizontal="center" vertical="top" wrapText="1"/>
    </xf>
    <xf numFmtId="0" fontId="2" fillId="0" borderId="0" xfId="3" applyNumberFormat="1" applyFill="1" applyBorder="1" applyAlignment="1">
      <alignment horizontal="right"/>
    </xf>
    <xf numFmtId="0" fontId="0" fillId="6" borderId="5" xfId="0" applyFill="1" applyBorder="1" applyAlignment="1">
      <alignment horizontal="center"/>
    </xf>
    <xf numFmtId="0" fontId="0" fillId="6" borderId="5" xfId="0" applyNumberFormat="1" applyFill="1" applyBorder="1" applyAlignment="1">
      <alignment horizontal="center"/>
    </xf>
    <xf numFmtId="0" fontId="2" fillId="0" borderId="0" xfId="3" applyNumberFormat="1" applyFill="1" applyBorder="1"/>
    <xf numFmtId="0" fontId="6" fillId="0" borderId="0" xfId="3" applyNumberFormat="1" applyFont="1" applyFill="1" applyBorder="1"/>
  </cellXfs>
  <cellStyles count="28">
    <cellStyle name="AF Column - IBM Cognos" xfId="4" xr:uid="{091294B3-F1E6-4A58-B72B-462D65509485}"/>
    <cellStyle name="AF Data - IBM Cognos" xfId="7" xr:uid="{96815EBD-7659-48E5-BB24-0B0B37C03F7C}"/>
    <cellStyle name="AF Data 0 - IBM Cognos" xfId="25" xr:uid="{28823F2E-F03C-4342-A76E-C3DB941FA956}"/>
    <cellStyle name="AF Data 1 - IBM Cognos" xfId="22" xr:uid="{59F2322A-48C9-4AB3-AD60-64A2AF279AE6}"/>
    <cellStyle name="AF Data 2 - IBM Cognos" xfId="19" xr:uid="{8F02DE0B-FC31-46DF-9FDF-DF1BDD57867A}"/>
    <cellStyle name="AF Data 3 - IBM Cognos" xfId="16" xr:uid="{24B28AB2-F542-4A28-8AFD-E5C7ABD39165}"/>
    <cellStyle name="AF Data 4 - IBM Cognos" xfId="13" xr:uid="{AB2948E0-CF8E-4787-AFBD-9821E25D2DB8}"/>
    <cellStyle name="AF Data 5 - IBM Cognos" xfId="10" xr:uid="{34014F94-46F2-4DDB-9393-294FE845D4F6}"/>
    <cellStyle name="AF Data Leaf - IBM Cognos" xfId="2" xr:uid="{3659CB14-C440-413A-99E4-290522BC2A8D}"/>
    <cellStyle name="AF Header - IBM Cognos" xfId="8" xr:uid="{C2E4DEA3-3F4A-478A-8241-B1694C3BB71F}"/>
    <cellStyle name="AF Header 0 - IBM Cognos" xfId="26" xr:uid="{C80DA6EA-387E-4525-B5AC-2A6B0A23E1C9}"/>
    <cellStyle name="AF Header 1 - IBM Cognos" xfId="23" xr:uid="{8DCFA973-8A23-4740-9060-3D9F599BA8F0}"/>
    <cellStyle name="AF Header 2 - IBM Cognos" xfId="20" xr:uid="{B6775DAE-7807-42A9-BEED-C5D2D33305DB}"/>
    <cellStyle name="AF Header 3 - IBM Cognos" xfId="17" xr:uid="{11F52E03-68D3-449F-8067-595CB9E89D80}"/>
    <cellStyle name="AF Header 4 - IBM Cognos" xfId="14" xr:uid="{F02C5699-276C-4672-AEB4-FD41FE4A891C}"/>
    <cellStyle name="AF Header 5 - IBM Cognos" xfId="11" xr:uid="{9DC10F4B-4721-44A5-889C-B621BBCA4FAA}"/>
    <cellStyle name="AF Header Leaf - IBM Cognos" xfId="3" xr:uid="{D70FD779-92A6-42CE-8CA2-FE7E106CB6F0}"/>
    <cellStyle name="AF Row - IBM Cognos" xfId="6" xr:uid="{D4308668-24AC-4D21-A8C3-0ED0B99212AB}"/>
    <cellStyle name="AF Row 0 - IBM Cognos" xfId="24" xr:uid="{A36C9306-439B-4FF8-BE20-AB86ACD2B4BA}"/>
    <cellStyle name="AF Row 1 - IBM Cognos" xfId="21" xr:uid="{0640A273-4BF7-49EE-9F6B-CFD8CA617237}"/>
    <cellStyle name="AF Row 2 - IBM Cognos" xfId="18" xr:uid="{7EDD68F5-297A-4850-B874-881D586FF00B}"/>
    <cellStyle name="AF Row 3 - IBM Cognos" xfId="15" xr:uid="{2DF46962-FAAC-4E96-A3DB-372681B1ECD9}"/>
    <cellStyle name="AF Row 4 - IBM Cognos" xfId="12" xr:uid="{E996B461-C73C-4578-801E-3B1016B7C2FA}"/>
    <cellStyle name="AF Row 5 - IBM Cognos" xfId="9" xr:uid="{341E423B-07E7-4B7A-B652-106FA6C5F4BD}"/>
    <cellStyle name="AF Row Leaf - IBM Cognos" xfId="1" xr:uid="{CD3AE26A-5C51-4EB3-BAF6-B6BF359E9B72}"/>
    <cellStyle name="AF Subnm - IBM Cognos" xfId="27" xr:uid="{B0689677-799E-47DD-8BD5-BF0EBA8C1DD1}"/>
    <cellStyle name="AF Title - IBM Cognos" xfId="5" xr:uid="{E9756FFE-2591-46CC-A014-819D3C7E9EE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Roaming/Microsoft/Excel/Model_Dynamic%20Report%20-%20Mfgr%20Lvl%20(version%201).xlsb" TargetMode="External"/><Relationship Id="rId2" Type="http://schemas.openxmlformats.org/officeDocument/2006/relationships/externalLinkPath" Target="file:///C:\Users\miche\AppData\Roaming\Microsoft\Excel\Model_Dynamic%20Report%20-%20Mfgr%20Lvl%20(version%201).xlsb" TargetMode="External"/><Relationship Id="rId1" Type="http://schemas.openxmlformats.org/officeDocument/2006/relationships/externalLinkPath" Target="/Users/miche/AppData/Roaming/Microsoft/Excel/Model_Dynamic%20Report%20-%20Mfgr%20Lvl%20(version%201).xlsb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iche\AppData\Local\Temp\Model_Dynamic%20Report%20-%20Adjusted.xlsm" TargetMode="External"/><Relationship Id="rId1" Type="http://schemas.openxmlformats.org/officeDocument/2006/relationships/externalLinkPath" Target="Model_Dynamic%20Report%20-%20Adjuste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ognos_Office_Connection_Cache"/>
      <sheetName val="Index"/>
      <sheetName val="PO Detail"/>
      <sheetName val="Brown Foodservice"/>
      <sheetName val="CASH-WA"/>
      <sheetName val="Cheney Punta Gorda"/>
      <sheetName val="Cheney Riviera"/>
      <sheetName val="Cheney Statesville"/>
      <sheetName val="Feesers"/>
      <sheetName val="I-Supply"/>
      <sheetName val="KUNA Foodservice"/>
      <sheetName val="McDonald"/>
      <sheetName val="Quirch Houston"/>
      <sheetName val="Quirch Vineland"/>
      <sheetName val="Quirch Winter Haven"/>
      <sheetName val="Springfield Grocer"/>
      <sheetName val="Tapia Fresno"/>
      <sheetName val="Tapia Las Vegas"/>
      <sheetName val="Tapia Maywood"/>
      <sheetName val="Tapia Phoenix"/>
    </sheetNames>
    <sheetDataSet>
      <sheetData sheetId="0"/>
      <sheetData sheetId="1">
        <row r="4">
          <cell r="C4" t="str">
            <v>FY 26</v>
          </cell>
        </row>
        <row r="7">
          <cell r="C7" t="str">
            <v>Wk 22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gnos_Office_Connection_Cache"/>
      <sheetName val="Main"/>
      <sheetName val="PO Detail"/>
      <sheetName val="12-Wk Forecast"/>
    </sheetNames>
    <sheetDataSet>
      <sheetData sheetId="0"/>
      <sheetData sheetId="1">
        <row r="18">
          <cell r="D18" t="str">
            <v>Brown Foodservice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94C4E-E856-4117-81A4-F7523E768B85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26061-D278-4DEE-9FD8-F250479089A3}">
  <dimension ref="A1:V22"/>
  <sheetViews>
    <sheetView showGridLines="0" tabSelected="1" topLeftCell="C16" workbookViewId="0">
      <selection activeCell="C16" sqref="C16"/>
    </sheetView>
  </sheetViews>
  <sheetFormatPr defaultRowHeight="15" outlineLevelRow="1" outlineLevelCol="1" x14ac:dyDescent="0.25"/>
  <cols>
    <col min="1" max="1" width="25.7109375" style="1" hidden="1" customWidth="1" outlineLevel="1"/>
    <col min="2" max="2" width="19.85546875" hidden="1" customWidth="1" outlineLevel="1"/>
    <col min="3" max="3" width="25.7109375" customWidth="1" collapsed="1"/>
    <col min="4" max="8" width="25.7109375" customWidth="1"/>
    <col min="9" max="10" width="20.140625" customWidth="1" outlineLevel="1"/>
  </cols>
  <sheetData>
    <row r="1" spans="1:22" s="52" customFormat="1" ht="45.75" hidden="1" outlineLevel="1" thickBot="1" x14ac:dyDescent="0.3">
      <c r="A1" s="52" t="str">
        <f>_xll.TM1RPTVIEW("TM1-S1_DEV:SP_Inventory:4325939",1,_xll.TM1RPTTITLE("TM1-S1_DEV:YEAR",$A$2),_xll.TM1RPTTITLE("TM1-S1_DEV:SP_Locations",$A$3),_xll.TM1RPTTITLE("TM1-S1_DEV:SP_Measures_Inventory",$A$4),TM1RPTFMTRNG4325939,TM1RPTFMTIDCOL4325939)</f>
        <v>TM1-S1_DEV:SP_Inventory:4325939</v>
      </c>
      <c r="C1" s="53" t="s">
        <v>19</v>
      </c>
      <c r="D1" s="54" t="s">
        <v>18</v>
      </c>
      <c r="E1" s="54" t="s">
        <v>4</v>
      </c>
      <c r="F1" s="53" t="s">
        <v>17</v>
      </c>
      <c r="G1" s="53" t="s">
        <v>16</v>
      </c>
      <c r="H1" s="53" t="s">
        <v>15</v>
      </c>
      <c r="I1" s="49" t="str">
        <f>$A$2</f>
        <v>Current and Next Year</v>
      </c>
      <c r="J1" s="49" t="str">
        <f>$A$2</f>
        <v>Current and Next Year</v>
      </c>
      <c r="K1" s="50" t="str">
        <f>$D$16</f>
        <v>FY 26</v>
      </c>
      <c r="L1" s="50" t="str">
        <f t="shared" ref="L1:V1" si="0">IF(RIGHT(L$2,2)&lt;RIGHT(K$2,2),"FY "&amp;RIGHT(K$1,2)+1,K$1)</f>
        <v>FY 26</v>
      </c>
      <c r="M1" s="50" t="str">
        <f t="shared" si="0"/>
        <v>FY 26</v>
      </c>
      <c r="N1" s="50" t="str">
        <f t="shared" si="0"/>
        <v>FY 26</v>
      </c>
      <c r="O1" s="50" t="str">
        <f t="shared" si="0"/>
        <v>FY 26</v>
      </c>
      <c r="P1" s="50" t="str">
        <f t="shared" si="0"/>
        <v>FY 26</v>
      </c>
      <c r="Q1" s="50" t="str">
        <f t="shared" si="0"/>
        <v>FY 26</v>
      </c>
      <c r="R1" s="50" t="str">
        <f t="shared" si="0"/>
        <v>FY 26</v>
      </c>
      <c r="S1" s="50" t="str">
        <f t="shared" si="0"/>
        <v>FY 26</v>
      </c>
      <c r="T1" s="50" t="str">
        <f t="shared" si="0"/>
        <v>FY 26</v>
      </c>
      <c r="U1" s="50" t="str">
        <f t="shared" si="0"/>
        <v>FY 26</v>
      </c>
      <c r="V1" s="50" t="str">
        <f t="shared" si="0"/>
        <v>FY 26</v>
      </c>
    </row>
    <row r="2" spans="1:22" s="14" customFormat="1" ht="15.75" hidden="1" outlineLevel="1" thickBot="1" x14ac:dyDescent="0.3">
      <c r="A2" s="51" t="str">
        <f>_xll.SUBNM("TM1-S1_DEV:YEAR",,"Current and Next Year","MEMBER_NAME")</f>
        <v>Current and Next Year</v>
      </c>
      <c r="I2" s="50" t="s">
        <v>14</v>
      </c>
      <c r="J2" s="50" t="s">
        <v>13</v>
      </c>
      <c r="K2" s="49" t="str">
        <f>$D$17</f>
        <v>Wk 26</v>
      </c>
      <c r="L2" s="49" t="str">
        <f t="shared" ref="L2:V2" si="1">IF(K$2="WK 52", "WK 1", "WK "&amp;TRIM(RIGHT(K$2,2))+1)</f>
        <v>WK 27</v>
      </c>
      <c r="M2" s="49" t="str">
        <f t="shared" si="1"/>
        <v>WK 28</v>
      </c>
      <c r="N2" s="49" t="str">
        <f t="shared" si="1"/>
        <v>WK 29</v>
      </c>
      <c r="O2" s="49" t="str">
        <f t="shared" si="1"/>
        <v>WK 30</v>
      </c>
      <c r="P2" s="49" t="str">
        <f t="shared" si="1"/>
        <v>WK 31</v>
      </c>
      <c r="Q2" s="49" t="str">
        <f t="shared" si="1"/>
        <v>WK 32</v>
      </c>
      <c r="R2" s="49" t="str">
        <f t="shared" si="1"/>
        <v>WK 33</v>
      </c>
      <c r="S2" s="49" t="str">
        <f t="shared" si="1"/>
        <v>WK 34</v>
      </c>
      <c r="T2" s="49" t="str">
        <f t="shared" si="1"/>
        <v>WK 35</v>
      </c>
      <c r="U2" s="49" t="str">
        <f t="shared" si="1"/>
        <v>WK 36</v>
      </c>
      <c r="V2" s="49" t="str">
        <f t="shared" si="1"/>
        <v>WK 37</v>
      </c>
    </row>
    <row r="3" spans="1:22" s="1" customFormat="1" hidden="1" outlineLevel="1" x14ac:dyDescent="0.25">
      <c r="A3" s="48" t="str">
        <f>_xll.SUBNM("TM1-S1_DEV:SP_Locations",,"No Store")</f>
        <v>No Store</v>
      </c>
    </row>
    <row r="4" spans="1:22" s="1" customFormat="1" hidden="1" outlineLevel="1" x14ac:dyDescent="0.25">
      <c r="A4" s="48" t="str">
        <f>_xll.SUBNM("TM1-S1_DEV:SP_Measures_Inventory",,"Updated Demand (Adjusted Only)","Description")</f>
        <v>Updated Demand (Adjusted Only)</v>
      </c>
    </row>
    <row r="5" spans="1:22" s="1" customFormat="1" hidden="1" outlineLevel="1" x14ac:dyDescent="0.25"/>
    <row r="6" spans="1:22" ht="15.75" hidden="1" outlineLevel="1" thickBot="1" x14ac:dyDescent="0.3">
      <c r="B6" s="18" t="s">
        <v>12</v>
      </c>
    </row>
    <row r="7" spans="1:22" s="44" customFormat="1" hidden="1" outlineLevel="1" thickBot="1" x14ac:dyDescent="0.3">
      <c r="A7" s="47"/>
      <c r="B7" s="44">
        <v>0</v>
      </c>
      <c r="C7" s="46" t="s">
        <v>9</v>
      </c>
      <c r="D7" s="46" t="s">
        <v>9</v>
      </c>
      <c r="E7" s="46" t="s">
        <v>9</v>
      </c>
      <c r="F7" s="46" t="s">
        <v>9</v>
      </c>
      <c r="G7" s="46" t="s">
        <v>9</v>
      </c>
      <c r="H7" s="46" t="s">
        <v>9</v>
      </c>
      <c r="I7" s="45">
        <v>123.456789</v>
      </c>
      <c r="J7" s="45">
        <v>123.456789</v>
      </c>
      <c r="K7" s="45">
        <v>123.456789</v>
      </c>
      <c r="L7" s="45">
        <v>123.456789</v>
      </c>
      <c r="M7" s="45">
        <v>123.456789</v>
      </c>
      <c r="N7" s="45">
        <v>123.456789</v>
      </c>
      <c r="O7" s="45">
        <v>123.456789</v>
      </c>
      <c r="P7" s="45">
        <v>123.456789</v>
      </c>
      <c r="Q7" s="45">
        <v>123.456789</v>
      </c>
      <c r="R7" s="45">
        <v>123.456789</v>
      </c>
      <c r="S7" s="45">
        <v>123.456789</v>
      </c>
      <c r="T7" s="45">
        <v>123.456789</v>
      </c>
      <c r="U7" s="45">
        <v>123.456789</v>
      </c>
      <c r="V7" s="45">
        <v>123.456789</v>
      </c>
    </row>
    <row r="8" spans="1:22" s="40" customFormat="1" hidden="1" outlineLevel="1" thickBot="1" x14ac:dyDescent="0.3">
      <c r="A8" s="43"/>
      <c r="B8" s="40">
        <v>1</v>
      </c>
      <c r="C8" s="42" t="s">
        <v>9</v>
      </c>
      <c r="D8" s="42" t="s">
        <v>9</v>
      </c>
      <c r="E8" s="42" t="s">
        <v>9</v>
      </c>
      <c r="F8" s="42" t="s">
        <v>9</v>
      </c>
      <c r="G8" s="42" t="s">
        <v>9</v>
      </c>
      <c r="H8" s="42" t="s">
        <v>9</v>
      </c>
      <c r="I8" s="41">
        <v>123.456789</v>
      </c>
      <c r="J8" s="41">
        <v>123.456789</v>
      </c>
      <c r="K8" s="41">
        <v>123.456789</v>
      </c>
      <c r="L8" s="41">
        <v>123.456789</v>
      </c>
      <c r="M8" s="41">
        <v>123.456789</v>
      </c>
      <c r="N8" s="41">
        <v>123.456789</v>
      </c>
      <c r="O8" s="41">
        <v>123.456789</v>
      </c>
      <c r="P8" s="41">
        <v>123.456789</v>
      </c>
      <c r="Q8" s="41">
        <v>123.456789</v>
      </c>
      <c r="R8" s="41">
        <v>123.456789</v>
      </c>
      <c r="S8" s="41">
        <v>123.456789</v>
      </c>
      <c r="T8" s="41">
        <v>123.456789</v>
      </c>
      <c r="U8" s="41">
        <v>123.456789</v>
      </c>
      <c r="V8" s="41">
        <v>123.456789</v>
      </c>
    </row>
    <row r="9" spans="1:22" s="36" customFormat="1" hidden="1" outlineLevel="1" thickBot="1" x14ac:dyDescent="0.3">
      <c r="A9" s="39"/>
      <c r="B9" s="36">
        <v>2</v>
      </c>
      <c r="C9" s="38" t="s">
        <v>9</v>
      </c>
      <c r="D9" s="38" t="s">
        <v>9</v>
      </c>
      <c r="E9" s="38" t="s">
        <v>9</v>
      </c>
      <c r="F9" s="38" t="s">
        <v>9</v>
      </c>
      <c r="G9" s="38" t="s">
        <v>9</v>
      </c>
      <c r="H9" s="38" t="s">
        <v>9</v>
      </c>
      <c r="I9" s="37">
        <v>123.456789</v>
      </c>
      <c r="J9" s="37">
        <v>123.456789</v>
      </c>
      <c r="K9" s="37">
        <v>123.456789</v>
      </c>
      <c r="L9" s="37">
        <v>123.456789</v>
      </c>
      <c r="M9" s="37">
        <v>123.456789</v>
      </c>
      <c r="N9" s="37">
        <v>123.456789</v>
      </c>
      <c r="O9" s="37">
        <v>123.456789</v>
      </c>
      <c r="P9" s="37">
        <v>123.456789</v>
      </c>
      <c r="Q9" s="37">
        <v>123.456789</v>
      </c>
      <c r="R9" s="37">
        <v>123.456789</v>
      </c>
      <c r="S9" s="37">
        <v>123.456789</v>
      </c>
      <c r="T9" s="37">
        <v>123.456789</v>
      </c>
      <c r="U9" s="37">
        <v>123.456789</v>
      </c>
      <c r="V9" s="37">
        <v>123.456789</v>
      </c>
    </row>
    <row r="10" spans="1:22" s="32" customFormat="1" hidden="1" outlineLevel="1" thickBot="1" x14ac:dyDescent="0.3">
      <c r="A10" s="35"/>
      <c r="B10" s="32">
        <v>3</v>
      </c>
      <c r="C10" s="34" t="s">
        <v>9</v>
      </c>
      <c r="D10" s="34" t="s">
        <v>9</v>
      </c>
      <c r="E10" s="34" t="s">
        <v>9</v>
      </c>
      <c r="F10" s="34" t="s">
        <v>9</v>
      </c>
      <c r="G10" s="34" t="s">
        <v>9</v>
      </c>
      <c r="H10" s="34" t="s">
        <v>9</v>
      </c>
      <c r="I10" s="33">
        <v>123.456789</v>
      </c>
      <c r="J10" s="33">
        <v>123.456789</v>
      </c>
      <c r="K10" s="33">
        <v>123.456789</v>
      </c>
      <c r="L10" s="33">
        <v>123.456789</v>
      </c>
      <c r="M10" s="33">
        <v>123.456789</v>
      </c>
      <c r="N10" s="33">
        <v>123.456789</v>
      </c>
      <c r="O10" s="33">
        <v>123.456789</v>
      </c>
      <c r="P10" s="33">
        <v>123.456789</v>
      </c>
      <c r="Q10" s="33">
        <v>123.456789</v>
      </c>
      <c r="R10" s="33">
        <v>123.456789</v>
      </c>
      <c r="S10" s="33">
        <v>123.456789</v>
      </c>
      <c r="T10" s="33">
        <v>123.456789</v>
      </c>
      <c r="U10" s="33">
        <v>123.456789</v>
      </c>
      <c r="V10" s="33">
        <v>123.456789</v>
      </c>
    </row>
    <row r="11" spans="1:22" s="28" customFormat="1" hidden="1" outlineLevel="1" thickBot="1" x14ac:dyDescent="0.3">
      <c r="A11" s="31"/>
      <c r="B11" s="28">
        <v>4</v>
      </c>
      <c r="C11" s="30" t="s">
        <v>9</v>
      </c>
      <c r="D11" s="30" t="s">
        <v>9</v>
      </c>
      <c r="E11" s="30" t="s">
        <v>9</v>
      </c>
      <c r="F11" s="30" t="s">
        <v>9</v>
      </c>
      <c r="G11" s="30" t="s">
        <v>9</v>
      </c>
      <c r="H11" s="30" t="s">
        <v>9</v>
      </c>
      <c r="I11" s="29">
        <v>123.456789</v>
      </c>
      <c r="J11" s="29">
        <v>123.456789</v>
      </c>
      <c r="K11" s="29">
        <v>123.456789</v>
      </c>
      <c r="L11" s="29">
        <v>123.456789</v>
      </c>
      <c r="M11" s="29">
        <v>123.456789</v>
      </c>
      <c r="N11" s="29">
        <v>123.456789</v>
      </c>
      <c r="O11" s="29">
        <v>123.456789</v>
      </c>
      <c r="P11" s="29">
        <v>123.456789</v>
      </c>
      <c r="Q11" s="29">
        <v>123.456789</v>
      </c>
      <c r="R11" s="29">
        <v>123.456789</v>
      </c>
      <c r="S11" s="29">
        <v>123.456789</v>
      </c>
      <c r="T11" s="29">
        <v>123.456789</v>
      </c>
      <c r="U11" s="29">
        <v>123.456789</v>
      </c>
      <c r="V11" s="29">
        <v>123.456789</v>
      </c>
    </row>
    <row r="12" spans="1:22" s="24" customFormat="1" hidden="1" outlineLevel="1" thickBot="1" x14ac:dyDescent="0.3">
      <c r="A12" s="27"/>
      <c r="B12" s="24">
        <v>5</v>
      </c>
      <c r="C12" s="26" t="s">
        <v>9</v>
      </c>
      <c r="D12" s="26" t="s">
        <v>9</v>
      </c>
      <c r="E12" s="26" t="s">
        <v>9</v>
      </c>
      <c r="F12" s="26" t="s">
        <v>9</v>
      </c>
      <c r="G12" s="26" t="s">
        <v>9</v>
      </c>
      <c r="H12" s="26" t="s">
        <v>9</v>
      </c>
      <c r="I12" s="25">
        <v>123.456789</v>
      </c>
      <c r="J12" s="25">
        <v>123.456789</v>
      </c>
      <c r="K12" s="25">
        <v>123.456789</v>
      </c>
      <c r="L12" s="25">
        <v>123.456789</v>
      </c>
      <c r="M12" s="25">
        <v>123.456789</v>
      </c>
      <c r="N12" s="25">
        <v>123.456789</v>
      </c>
      <c r="O12" s="25">
        <v>123.456789</v>
      </c>
      <c r="P12" s="25">
        <v>123.456789</v>
      </c>
      <c r="Q12" s="25">
        <v>123.456789</v>
      </c>
      <c r="R12" s="25">
        <v>123.456789</v>
      </c>
      <c r="S12" s="25">
        <v>123.456789</v>
      </c>
      <c r="T12" s="25">
        <v>123.456789</v>
      </c>
      <c r="U12" s="25">
        <v>123.456789</v>
      </c>
      <c r="V12" s="25">
        <v>123.456789</v>
      </c>
    </row>
    <row r="13" spans="1:22" s="19" customFormat="1" hidden="1" outlineLevel="1" thickBot="1" x14ac:dyDescent="0.3">
      <c r="A13" s="23"/>
      <c r="B13" s="22" t="s">
        <v>11</v>
      </c>
      <c r="C13" s="21" t="s">
        <v>9</v>
      </c>
      <c r="D13" s="21" t="s">
        <v>9</v>
      </c>
      <c r="E13" s="21" t="s">
        <v>9</v>
      </c>
      <c r="F13" s="21" t="s">
        <v>9</v>
      </c>
      <c r="G13" s="21" t="s">
        <v>9</v>
      </c>
      <c r="H13" s="21" t="s">
        <v>9</v>
      </c>
      <c r="I13" s="20">
        <v>123.456789</v>
      </c>
      <c r="J13" s="20">
        <v>123.456789</v>
      </c>
      <c r="K13" s="20">
        <v>123.456789</v>
      </c>
      <c r="L13" s="20">
        <v>123.456789</v>
      </c>
      <c r="M13" s="20">
        <v>123.456789</v>
      </c>
      <c r="N13" s="20">
        <v>123.456789</v>
      </c>
      <c r="O13" s="20">
        <v>123.456789</v>
      </c>
      <c r="P13" s="20">
        <v>123.456789</v>
      </c>
      <c r="Q13" s="20">
        <v>123.456789</v>
      </c>
      <c r="R13" s="20">
        <v>123.456789</v>
      </c>
      <c r="S13" s="20">
        <v>123.456789</v>
      </c>
      <c r="T13" s="20">
        <v>123.456789</v>
      </c>
      <c r="U13" s="20">
        <v>123.456789</v>
      </c>
      <c r="V13" s="20">
        <v>123.456789</v>
      </c>
    </row>
    <row r="14" spans="1:22" s="2" customFormat="1" hidden="1" outlineLevel="1" thickBot="1" x14ac:dyDescent="0.3">
      <c r="A14" s="7"/>
      <c r="B14" s="6" t="s">
        <v>10</v>
      </c>
      <c r="C14" s="5" t="s">
        <v>9</v>
      </c>
      <c r="D14" s="5" t="s">
        <v>9</v>
      </c>
      <c r="E14" s="5" t="s">
        <v>9</v>
      </c>
      <c r="F14" s="5" t="s">
        <v>9</v>
      </c>
      <c r="G14" s="5" t="s">
        <v>9</v>
      </c>
      <c r="H14" s="5" t="s">
        <v>9</v>
      </c>
      <c r="I14" s="3">
        <v>123.456789</v>
      </c>
      <c r="J14" s="3">
        <v>123.456789</v>
      </c>
      <c r="K14" s="3">
        <v>123.456789</v>
      </c>
      <c r="L14" s="3">
        <v>123.456789</v>
      </c>
      <c r="M14" s="3">
        <v>123.456789</v>
      </c>
      <c r="N14" s="3">
        <v>123.456789</v>
      </c>
      <c r="O14" s="3">
        <v>123.456789</v>
      </c>
      <c r="P14" s="3">
        <v>123.456789</v>
      </c>
      <c r="Q14" s="3">
        <v>123.456789</v>
      </c>
      <c r="R14" s="3">
        <v>123.456789</v>
      </c>
      <c r="S14" s="3">
        <v>123.456789</v>
      </c>
      <c r="T14" s="3">
        <v>123.456789</v>
      </c>
      <c r="U14" s="3">
        <v>123.456789</v>
      </c>
      <c r="V14" s="3">
        <v>123.456789</v>
      </c>
    </row>
    <row r="15" spans="1:22" hidden="1" outlineLevel="1" x14ac:dyDescent="0.25">
      <c r="B15" s="18" t="s">
        <v>8</v>
      </c>
    </row>
    <row r="16" spans="1:22" collapsed="1" x14ac:dyDescent="0.25">
      <c r="C16" s="55" t="s">
        <v>20</v>
      </c>
      <c r="D16" s="56" t="str">
        <f>_xll.SUBNM("TM1-S1_DEV:YEAR","Fiscal Year - Leaves","FY 26","MEMBER_NAME")</f>
        <v>FY 26</v>
      </c>
      <c r="E16" s="18"/>
      <c r="F16" s="58" t="s">
        <v>22</v>
      </c>
    </row>
    <row r="17" spans="1:22" x14ac:dyDescent="0.25">
      <c r="C17" s="55" t="s">
        <v>21</v>
      </c>
      <c r="D17" s="57" t="str">
        <f>_xll.SUBNM("TM1-S1_DEV:SP_Week","All Level 0","Wk 26")</f>
        <v>Wk 26</v>
      </c>
      <c r="F17" s="59" t="s">
        <v>23</v>
      </c>
    </row>
    <row r="18" spans="1:22" ht="15.75" thickBot="1" x14ac:dyDescent="0.3">
      <c r="C18" s="17"/>
      <c r="D18" s="17"/>
      <c r="E18" s="17"/>
    </row>
    <row r="19" spans="1:22" s="10" customFormat="1" ht="15.75" thickBot="1" x14ac:dyDescent="0.3">
      <c r="A19" s="14"/>
      <c r="H19" s="16"/>
      <c r="I19" s="15" t="str">
        <f t="shared" ref="I19:V19" si="2">I$1</f>
        <v>Current and Next Year</v>
      </c>
      <c r="J19" s="15" t="str">
        <f t="shared" si="2"/>
        <v>Current and Next Year</v>
      </c>
      <c r="K19" s="15" t="str">
        <f t="shared" si="2"/>
        <v>FY 26</v>
      </c>
      <c r="L19" s="15" t="str">
        <f t="shared" si="2"/>
        <v>FY 26</v>
      </c>
      <c r="M19" s="15" t="str">
        <f t="shared" si="2"/>
        <v>FY 26</v>
      </c>
      <c r="N19" s="15" t="str">
        <f t="shared" si="2"/>
        <v>FY 26</v>
      </c>
      <c r="O19" s="15" t="str">
        <f t="shared" si="2"/>
        <v>FY 26</v>
      </c>
      <c r="P19" s="15" t="str">
        <f t="shared" si="2"/>
        <v>FY 26</v>
      </c>
      <c r="Q19" s="15" t="str">
        <f t="shared" si="2"/>
        <v>FY 26</v>
      </c>
      <c r="R19" s="15" t="str">
        <f t="shared" si="2"/>
        <v>FY 26</v>
      </c>
      <c r="S19" s="15" t="str">
        <f t="shared" si="2"/>
        <v>FY 26</v>
      </c>
      <c r="T19" s="15" t="str">
        <f t="shared" si="2"/>
        <v>FY 26</v>
      </c>
      <c r="U19" s="15" t="str">
        <f t="shared" si="2"/>
        <v>FY 26</v>
      </c>
      <c r="V19" s="15" t="str">
        <f t="shared" si="2"/>
        <v>FY 26</v>
      </c>
    </row>
    <row r="20" spans="1:22" s="10" customFormat="1" ht="21.75" thickBot="1" x14ac:dyDescent="0.4">
      <c r="A20" s="14"/>
      <c r="C20" s="13" t="s">
        <v>7</v>
      </c>
      <c r="H20" s="12"/>
      <c r="I20" s="11" t="str">
        <f t="shared" ref="I20:V20" si="3">I$2</f>
        <v>Curr Year Rolling</v>
      </c>
      <c r="J20" s="11" t="str">
        <f t="shared" si="3"/>
        <v>Next Year Rolling</v>
      </c>
      <c r="K20" s="11" t="str">
        <f t="shared" si="3"/>
        <v>Wk 26</v>
      </c>
      <c r="L20" s="11" t="str">
        <f t="shared" si="3"/>
        <v>WK 27</v>
      </c>
      <c r="M20" s="11" t="str">
        <f t="shared" si="3"/>
        <v>WK 28</v>
      </c>
      <c r="N20" s="11" t="str">
        <f t="shared" si="3"/>
        <v>WK 29</v>
      </c>
      <c r="O20" s="11" t="str">
        <f t="shared" si="3"/>
        <v>WK 30</v>
      </c>
      <c r="P20" s="11" t="str">
        <f t="shared" si="3"/>
        <v>WK 31</v>
      </c>
      <c r="Q20" s="11" t="str">
        <f t="shared" si="3"/>
        <v>WK 32</v>
      </c>
      <c r="R20" s="11" t="str">
        <f t="shared" si="3"/>
        <v>WK 33</v>
      </c>
      <c r="S20" s="11" t="str">
        <f t="shared" si="3"/>
        <v>WK 34</v>
      </c>
      <c r="T20" s="11" t="str">
        <f t="shared" si="3"/>
        <v>WK 35</v>
      </c>
      <c r="U20" s="11" t="str">
        <f t="shared" si="3"/>
        <v>WK 36</v>
      </c>
      <c r="V20" s="11" t="str">
        <f t="shared" si="3"/>
        <v>WK 37</v>
      </c>
    </row>
    <row r="21" spans="1:22" ht="15.75" thickBot="1" x14ac:dyDescent="0.3">
      <c r="C21" s="9" t="s">
        <v>6</v>
      </c>
      <c r="D21" s="9" t="s">
        <v>5</v>
      </c>
      <c r="E21" s="9" t="s">
        <v>4</v>
      </c>
      <c r="F21" s="9" t="s">
        <v>3</v>
      </c>
      <c r="G21" s="9" t="s">
        <v>2</v>
      </c>
      <c r="H21" s="9" t="s">
        <v>1</v>
      </c>
      <c r="I21" s="8" t="s">
        <v>0</v>
      </c>
      <c r="J21" s="8" t="s">
        <v>0</v>
      </c>
      <c r="K21" s="8" t="s">
        <v>0</v>
      </c>
      <c r="L21" s="8" t="s">
        <v>0</v>
      </c>
      <c r="M21" s="8" t="s">
        <v>0</v>
      </c>
      <c r="N21" s="8" t="s">
        <v>0</v>
      </c>
      <c r="O21" s="8" t="s">
        <v>0</v>
      </c>
      <c r="P21" s="8" t="s">
        <v>0</v>
      </c>
      <c r="Q21" s="8" t="s">
        <v>0</v>
      </c>
      <c r="R21" s="8" t="s">
        <v>0</v>
      </c>
      <c r="S21" s="8" t="s">
        <v>0</v>
      </c>
      <c r="T21" s="8" t="s">
        <v>0</v>
      </c>
      <c r="U21" s="8" t="s">
        <v>0</v>
      </c>
      <c r="V21" s="8" t="s">
        <v>0</v>
      </c>
    </row>
    <row r="22" spans="1:22" s="2" customFormat="1" outlineLevel="1" thickBot="1" x14ac:dyDescent="0.3">
      <c r="A22" s="7"/>
      <c r="B22" s="6" t="str">
        <f>IF(_xll.TM1RPTELISCONSOLIDATED($H$22,$H22),IF(_xll.TM1RPTELLEV($H$22,$H22)&lt;=5,_xll.TM1RPTELLEV($H$22,$H22),"Default"),"Leaf")</f>
        <v>Leaf</v>
      </c>
      <c r="C22" s="4" t="str">
        <f>_xll.TM1RPTROW($A$1,"TM1-S1_DEV:SP_DistributionCenter",,,"MEMBER_NAME",FALSE,C$1)</f>
        <v>Brown Foodservice</v>
      </c>
      <c r="D22" s="5" t="str">
        <f>_xll.DBRW("TM1-S1_DEV:}ElementAttributes_SP_SKU",$F22,D$1)</f>
        <v>Primary</v>
      </c>
      <c r="E22" s="5" t="str">
        <f>_xll.DBRW("TM1-S1_DEV:}ElementAttributes_SP_SKU",$F22,E$1)</f>
        <v>PROTEIN</v>
      </c>
      <c r="F22" s="4" t="str">
        <f>_xll.TM1RPTROW($A$1,"TM1-S1_DEV:SP_SKU",,,"MEMBER_NAME",FALSE,F$1)</f>
        <v>100407</v>
      </c>
      <c r="G22" s="4" t="str">
        <f>_xll.TM1RPTROW($A$1,"TM1-S1_DEV:SP_DCItem",,,"MEMBER_NAME",FALSE,G$1)</f>
        <v>20202</v>
      </c>
      <c r="H22" s="4" t="str">
        <f>_xll.TM1RPTROW($A$1,"TM1-S1_DEV:SP_Manufacturer",,,"MEMBER_NAME",FALSE,H$1)</f>
        <v>Freshmark</v>
      </c>
      <c r="I22" s="3">
        <f>_xll.DBRW($A$1,I$1,I$2,$C22,$A$3,$F22,$G22,$H22,$A$4)</f>
        <v>10</v>
      </c>
      <c r="J22" s="3">
        <f>_xll.DBRW($A$1,J$1,J$2,$C22,$A$3,$F22,$G22,$H22,$A$4)</f>
        <v>0</v>
      </c>
      <c r="K22" s="3">
        <f>_xll.DBRW($A$1,K$1,K$2,$C22,$A$3,$F22,$G22,$H22,$A$4)</f>
        <v>10</v>
      </c>
      <c r="L22" s="3">
        <f>_xll.DBRW($A$1,L$1,L$2,$C22,$A$3,$F22,$G22,$H22,$A$4)</f>
        <v>0</v>
      </c>
      <c r="M22" s="3">
        <f>_xll.DBRW($A$1,M$1,M$2,$C22,$A$3,$F22,$G22,$H22,$A$4)</f>
        <v>0</v>
      </c>
      <c r="N22" s="3">
        <f>_xll.DBRW($A$1,N$1,N$2,$C22,$A$3,$F22,$G22,$H22,$A$4)</f>
        <v>0</v>
      </c>
      <c r="O22" s="3">
        <f>_xll.DBRW($A$1,O$1,O$2,$C22,$A$3,$F22,$G22,$H22,$A$4)</f>
        <v>0</v>
      </c>
      <c r="P22" s="3">
        <f>_xll.DBRW($A$1,P$1,P$2,$C22,$A$3,$F22,$G22,$H22,$A$4)</f>
        <v>0</v>
      </c>
      <c r="Q22" s="3">
        <f>_xll.DBRW($A$1,Q$1,Q$2,$C22,$A$3,$F22,$G22,$H22,$A$4)</f>
        <v>0</v>
      </c>
      <c r="R22" s="3">
        <f>_xll.DBRW($A$1,R$1,R$2,$C22,$A$3,$F22,$G22,$H22,$A$4)</f>
        <v>0</v>
      </c>
      <c r="S22" s="3">
        <f>_xll.DBRW($A$1,S$1,S$2,$C22,$A$3,$F22,$G22,$H22,$A$4)</f>
        <v>0</v>
      </c>
      <c r="T22" s="3">
        <f>_xll.DBRW($A$1,T$1,T$2,$C22,$A$3,$F22,$G22,$H22,$A$4)</f>
        <v>0</v>
      </c>
      <c r="U22" s="3">
        <f>_xll.DBRW($A$1,U$1,U$2,$C22,$A$3,$F22,$G22,$H22,$A$4)</f>
        <v>0</v>
      </c>
      <c r="V22" s="3">
        <f>_xll.DBRW($A$1,V$1,V$2,$C22,$A$3,$F22,$G22,$H22,$A$4)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</vt:i4>
      </vt:variant>
    </vt:vector>
  </HeadingPairs>
  <TitlesOfParts>
    <vt:vector size="6" baseType="lpstr">
      <vt:lpstr>Fcst Adjustment Rpt</vt:lpstr>
      <vt:lpstr>'Fcst Adjustment Rpt'!TM1RPTDATARNG4325939</vt:lpstr>
      <vt:lpstr>'Fcst Adjustment Rpt'!TM1RPTFMTIDCOL4325939</vt:lpstr>
      <vt:lpstr>'Fcst Adjustment Rpt'!TM1RPTFMTRNG4325939</vt:lpstr>
      <vt:lpstr>'Fcst Adjustment Rpt'!TM1RPTQRYRNG4325939</vt:lpstr>
      <vt:lpstr>'Fcst Adjustment Rpt'!TM1RPTVIEWRNG4325939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Santiago, Michelle</dc:creator>
  <cp:lastModifiedBy>Santiago, Michelle</cp:lastModifiedBy>
  <dcterms:created xsi:type="dcterms:W3CDTF">2026-03-19T16:25:16Z</dcterms:created>
  <dcterms:modified xsi:type="dcterms:W3CDTF">2026-03-23T14:20:36Z</dcterms:modified>
</cp:coreProperties>
</file>